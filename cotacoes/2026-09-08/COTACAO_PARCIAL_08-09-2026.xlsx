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Controle" sheetId="2" state="visible" r:id="rId2"/>
    <sheet name="Ped_DIMEC" sheetId="3" state="visible" r:id="rId3"/>
    <sheet name="Ped_PLUSFARMA" sheetId="4" state="visible" r:id="rId4"/>
    <sheet name="Ped_EPAN" sheetId="5" state="visible" r:id="rId5"/>
    <sheet name="Ped_CENTROFARMA" sheetId="6" state="visible" r:id="rId6"/>
    <sheet name="Ped_TAPAJOS" sheetId="7" state="visible" r:id="rId7"/>
    <sheet name="Ped_NAZARIA" sheetId="8" state="visible" r:id="rId8"/>
    <sheet name="Ped_MEDCENTRO" sheetId="9" state="visible" r:id="rId9"/>
    <sheet name="Ped_BRASFARMA" sheetId="10" state="visible" r:id="rId10"/>
    <sheet name="Ped_AT_SUPLEMENTO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3"/>
    </font>
    <font>
      <name val="Arial"/>
      <i val="1"/>
      <sz val="9"/>
    </font>
    <font>
      <name val="Arial"/>
      <b val="1"/>
      <sz val="1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2" borderId="1" pivotButton="0" quotePrefix="0" xfId="0"/>
    <xf numFmtId="0" fontId="2" fillId="0" borderId="1" pivotButton="0" quotePrefix="0" xfId="0"/>
    <xf numFmtId="4" fontId="2" fillId="0" borderId="1" pivotButton="0" quotePrefix="0" xfId="0"/>
    <xf numFmtId="0" fontId="3" fillId="0" borderId="1" pivotButton="0" quotePrefix="0" xfId="0"/>
    <xf numFmtId="4" fontId="3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49" fontId="2" fillId="0" borderId="1" pivotButton="0" quotePrefix="0" xfId="0"/>
    <xf numFmtId="1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0" fontId="2" fillId="4" borderId="1" pivotButton="0" quotePrefix="0" xfId="0"/>
    <xf numFmtId="0" fontId="2" fillId="5" borderId="1" pivotButton="0" quotePrefix="0" xfId="0"/>
    <xf numFmtId="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22" customWidth="1" min="3" max="3"/>
    <col width="13" customWidth="1" min="4" max="4"/>
    <col width="11" customWidth="1" min="5" max="5"/>
    <col width="16" customWidth="1" min="6" max="6"/>
  </cols>
  <sheetData>
    <row r="1">
      <c r="A1" s="1" t="inlineStr">
        <is>
          <t>COTAÇÃO 08/09/2026 — DROGARIAS ROCHA — PARCIAL (em andamento)</t>
        </is>
      </c>
    </row>
    <row r="2">
      <c r="A2" s="2" t="inlineStr">
        <is>
          <t>Base: Radar Pareto 08/09 (itens sem OL) • EANs: tabela Necessidade 08/09 • Sem limiar de preços — pedidos abaixo são RASCUNHO. Cotações de 04/09 (ePan, SB LOG, Tapajós, Nazária) descartadas: preços mudaram.</t>
        </is>
      </c>
    </row>
    <row r="4">
      <c r="A4" s="3" t="inlineStr">
        <is>
          <t>Visão geral</t>
        </is>
      </c>
    </row>
    <row r="5">
      <c r="A5" s="4" t="inlineStr">
        <is>
          <t>Itens em cotação (Radar sem OL)</t>
        </is>
      </c>
      <c r="B5" s="5" t="n">
        <v>4686</v>
      </c>
    </row>
    <row r="6">
      <c r="A6" s="4" t="inlineStr">
        <is>
          <t>Itens com ≥ 1 cotação</t>
        </is>
      </c>
      <c r="B6" s="5">
        <f>COUNTIF(Controle!T2:T4687,"&lt;&gt;SEM COTAÇÃO")</f>
        <v/>
      </c>
    </row>
    <row r="7">
      <c r="A7" s="4" t="inlineStr">
        <is>
          <t>Itens ainda sem cotação</t>
        </is>
      </c>
      <c r="B7" s="5">
        <f>COUNTIF(Controle!T2:T4687,"SEM COTAÇÃO")</f>
        <v/>
      </c>
    </row>
    <row r="8">
      <c r="A8" s="4" t="inlineStr">
        <is>
          <t>Itens OK (≤ menor hist. ou últ. compra)</t>
        </is>
      </c>
      <c r="B8" s="5">
        <f>COUNTIF(Controle!X2:X4687,"OK*")</f>
        <v/>
      </c>
    </row>
    <row r="9">
      <c r="A9" s="4" t="inlineStr">
        <is>
          <t>Itens acima do histórico</t>
        </is>
      </c>
      <c r="B9" s="5">
        <f>COUNTIF(Controle!X2:X4687,"ACIMA*")</f>
        <v/>
      </c>
    </row>
    <row r="12">
      <c r="A12" s="3" t="inlineStr">
        <is>
          <t>Detalhe por fornecedor</t>
        </is>
      </c>
    </row>
    <row r="13">
      <c r="A13" s="6" t="inlineStr">
        <is>
          <t>Fornecedor</t>
        </is>
      </c>
      <c r="B13" s="6" t="inlineStr">
        <is>
          <t>Data cotação</t>
        </is>
      </c>
      <c r="C13" s="6" t="inlineStr">
        <is>
          <t>Base de casamento</t>
        </is>
      </c>
      <c r="D13" s="6" t="inlineStr">
        <is>
          <t>Itens cotados</t>
        </is>
      </c>
      <c r="E13" s="6" t="inlineStr">
        <is>
          <t>Vencendo</t>
        </is>
      </c>
      <c r="F13" s="6" t="inlineStr">
        <is>
          <t>Valor rascunho (R$)</t>
        </is>
      </c>
    </row>
    <row r="14">
      <c r="A14" s="7" t="inlineStr">
        <is>
          <t>DIMEC</t>
        </is>
      </c>
      <c r="B14" s="7" t="inlineStr">
        <is>
          <t>08/09/2026</t>
        </is>
      </c>
      <c r="C14" s="7" t="inlineStr">
        <is>
          <t>EAN (todos, c/ DUN-14)</t>
        </is>
      </c>
      <c r="D14" s="7">
        <f>COUNT(Controle!K2:K4687)</f>
        <v/>
      </c>
      <c r="E14" s="7">
        <f>COUNTIF(Controle!T2:T4687,"DIMEC")</f>
        <v/>
      </c>
      <c r="F14" s="8">
        <f>Ped_DIMEC!I237</f>
        <v/>
      </c>
    </row>
    <row r="15">
      <c r="A15" s="7" t="inlineStr">
        <is>
          <t>PLUSFARMA</t>
        </is>
      </c>
      <c r="B15" s="7" t="inlineStr">
        <is>
          <t>08/09/2026</t>
        </is>
      </c>
      <c r="C15" s="7" t="inlineStr">
        <is>
          <t>EAN (pedido nº 36)</t>
        </is>
      </c>
      <c r="D15" s="7">
        <f>COUNT(Controle!L2:L4687)</f>
        <v/>
      </c>
      <c r="E15" s="7">
        <f>COUNTIF(Controle!T2:T4687,"PLUSFARMA")</f>
        <v/>
      </c>
      <c r="F15" s="8">
        <f>Ped_PLUSFARMA!I39</f>
        <v/>
      </c>
    </row>
    <row r="16">
      <c r="A16" s="7" t="inlineStr">
        <is>
          <t>EPAN</t>
        </is>
      </c>
      <c r="B16" s="7" t="inlineStr">
        <is>
          <t>08/09/2026</t>
        </is>
      </c>
      <c r="C16" s="7" t="inlineStr">
        <is>
          <t>EAN (painel 16:38)</t>
        </is>
      </c>
      <c r="D16" s="7">
        <f>COUNT(Controle!M2:M4687)</f>
        <v/>
      </c>
      <c r="E16" s="7">
        <f>COUNTIF(Controle!T2:T4687,"EPAN")</f>
        <v/>
      </c>
      <c r="F16" s="8">
        <f>Ped_EPAN!I126</f>
        <v/>
      </c>
    </row>
    <row r="17">
      <c r="A17" s="7" t="inlineStr">
        <is>
          <t>CENTROFARMA</t>
        </is>
      </c>
      <c r="B17" s="7" t="inlineStr">
        <is>
          <t>08/09/2026</t>
        </is>
      </c>
      <c r="C17" s="7" t="inlineStr">
        <is>
          <t>EAN (promo rede)</t>
        </is>
      </c>
      <c r="D17" s="7">
        <f>COUNT(Controle!N2:N4687)</f>
        <v/>
      </c>
      <c r="E17" s="7">
        <f>COUNTIF(Controle!T2:T4687,"CENTROFARMA")</f>
        <v/>
      </c>
      <c r="F17" s="8">
        <f>Ped_CENTROFARMA!I109</f>
        <v/>
      </c>
    </row>
    <row r="18">
      <c r="A18" s="7" t="inlineStr">
        <is>
          <t>TAPAJOS</t>
        </is>
      </c>
      <c r="B18" s="7" t="inlineStr">
        <is>
          <t>08/09/2026</t>
        </is>
      </c>
      <c r="C18" s="7" t="inlineStr">
        <is>
          <t>Cód. interno (planilha RFQ)</t>
        </is>
      </c>
      <c r="D18" s="7">
        <f>COUNT(Controle!O2:O4687)</f>
        <v/>
      </c>
      <c r="E18" s="7">
        <f>COUNTIF(Controle!T2:T4687,"TAPAJOS")</f>
        <v/>
      </c>
      <c r="F18" s="8">
        <f>Ped_TAPAJOS!I102</f>
        <v/>
      </c>
    </row>
    <row r="19">
      <c r="A19" s="7" t="inlineStr">
        <is>
          <t>NAZARIA</t>
        </is>
      </c>
      <c r="B19" s="7" t="inlineStr">
        <is>
          <t>08/09/2026</t>
        </is>
      </c>
      <c r="C19" s="7" t="inlineStr">
        <is>
          <t>Cód. interno (RFQ, PREÇO FINAL)</t>
        </is>
      </c>
      <c r="D19" s="7">
        <f>COUNT(Controle!P2:P4687)</f>
        <v/>
      </c>
      <c r="E19" s="7">
        <f>COUNTIF(Controle!T2:T4687,"NAZARIA")</f>
        <v/>
      </c>
      <c r="F19" s="8">
        <f>Ped_NAZARIA!I678</f>
        <v/>
      </c>
    </row>
    <row r="20">
      <c r="A20" s="7" t="inlineStr">
        <is>
          <t>MEDCENTRO</t>
        </is>
      </c>
      <c r="B20" s="7" t="inlineStr">
        <is>
          <t>08/09/2026</t>
        </is>
      </c>
      <c r="C20" s="7" t="inlineStr">
        <is>
          <t>Cód. interno (planilha RFQ)</t>
        </is>
      </c>
      <c r="D20" s="7">
        <f>COUNT(Controle!Q2:Q4687)</f>
        <v/>
      </c>
      <c r="E20" s="7">
        <f>COUNTIF(Controle!T2:T4687,"MEDCENTRO")</f>
        <v/>
      </c>
      <c r="F20" s="8">
        <f>Ped_MEDCENTRO!I47</f>
        <v/>
      </c>
    </row>
    <row r="21">
      <c r="A21" s="7" t="inlineStr">
        <is>
          <t>BRASFARMA</t>
        </is>
      </c>
      <c r="B21" s="7" t="inlineStr">
        <is>
          <t>09/09/2026</t>
        </is>
      </c>
      <c r="C21" s="7" t="inlineStr">
        <is>
          <t>Cód. interno (planilha RFQ)</t>
        </is>
      </c>
      <c r="D21" s="7">
        <f>COUNT(Controle!R2:R4687)</f>
        <v/>
      </c>
      <c r="E21" s="7">
        <f>COUNTIF(Controle!T2:T4687,"BRASFARMA")</f>
        <v/>
      </c>
      <c r="F21" s="8">
        <f>Ped_BRASFARMA!I89</f>
        <v/>
      </c>
    </row>
    <row r="22">
      <c r="A22" s="7" t="inlineStr">
        <is>
          <t>AT_SUPLEMENTOS</t>
        </is>
      </c>
      <c r="B22" s="7" t="inlineStr">
        <is>
          <t>09/09/2026</t>
        </is>
      </c>
      <c r="C22" s="7" t="inlineStr">
        <is>
          <t>Cód. interno (planilha RFQ)</t>
        </is>
      </c>
      <c r="D22" s="7">
        <f>COUNT(Controle!S2:S4687)</f>
        <v/>
      </c>
      <c r="E22" s="7">
        <f>COUNTIF(Controle!T2:T4687,"AT_SUPLEMENTOS")</f>
        <v/>
      </c>
      <c r="F22" s="8">
        <f>Ped_AT_SUPLEMENTOS!I84</f>
        <v/>
      </c>
    </row>
    <row r="23">
      <c r="A23" s="5" t="inlineStr">
        <is>
          <t>TOTAL</t>
        </is>
      </c>
      <c r="D23" s="9">
        <f>SUM(D14:D22)</f>
        <v/>
      </c>
      <c r="E23" s="9">
        <f>SUM(E14:E22)</f>
        <v/>
      </c>
      <c r="F23" s="10">
        <f>SUM(F14:F22)</f>
        <v/>
      </c>
    </row>
    <row r="24">
      <c r="A24" s="3" t="inlineStr">
        <is>
          <t>Aguardando cotação</t>
        </is>
      </c>
    </row>
    <row r="25">
      <c r="A25" s="2" t="inlineStr">
        <is>
          <t>Demais fornecedores: planilha COTACAO_FORNECEDORES_08-09-2026.xlsx enviada; conforme voltarem preenchidas, entram neste comparativo.</t>
        </is>
      </c>
    </row>
    <row r="27">
      <c r="A27" s="2" t="inlineStr">
        <is>
          <t>Abas: Controle = todos os itens sem OL, preço unitário equivalente por fornecedor (célula azul = vencendo); Ped_* = rascunho do pedido de cada fornecedor cotado. Nada será fechado sem sua ordem.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46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46" customWidth="1" min="3" max="3"/>
    <col width="16" customWidth="1" min="4" max="4"/>
    <col width="6" customWidth="1" min="5" max="5"/>
    <col width="8" customWidth="1" min="6" max="6"/>
    <col width="8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3" customWidth="1" min="20" max="20"/>
    <col width="10" customWidth="1" min="21" max="21"/>
    <col width="10" customWidth="1" min="22" max="22"/>
    <col width="10" customWidth="1" min="23" max="23"/>
    <col width="17" customWidth="1" min="24" max="24"/>
    <col width="30" customWidth="1" min="25" max="25"/>
  </cols>
  <sheetData>
    <row r="1" ht="26" customHeight="1">
      <c r="A1" s="11" t="inlineStr">
        <is>
          <t>Cód. interno</t>
        </is>
      </c>
      <c r="B1" s="11" t="inlineStr">
        <is>
          <t>EAN princ.</t>
        </is>
      </c>
      <c r="C1" s="11" t="inlineStr">
        <is>
          <t>Produto</t>
        </is>
      </c>
      <c r="D1" s="11" t="inlineStr">
        <is>
          <t>Grupo</t>
        </is>
      </c>
      <c r="E1" s="11" t="inlineStr">
        <is>
          <t>ABC</t>
        </is>
      </c>
      <c r="F1" s="11" t="inlineStr">
        <is>
          <t>Caixas</t>
        </is>
      </c>
      <c r="G1" s="11" t="inlineStr">
        <is>
          <t>Unid.</t>
        </is>
      </c>
      <c r="H1" s="11" t="inlineStr">
        <is>
          <t>Últ. compra</t>
        </is>
      </c>
      <c r="I1" s="11" t="inlineStr">
        <is>
          <t>Menor hist.</t>
        </is>
      </c>
      <c r="J1" s="11" t="inlineStr">
        <is>
          <t>Média hist.</t>
        </is>
      </c>
      <c r="K1" s="11" t="inlineStr">
        <is>
          <t>DIMEC (un)</t>
        </is>
      </c>
      <c r="L1" s="11" t="inlineStr">
        <is>
          <t>PLUSFARMA (un)</t>
        </is>
      </c>
      <c r="M1" s="11" t="inlineStr">
        <is>
          <t>EPAN (un)</t>
        </is>
      </c>
      <c r="N1" s="11" t="inlineStr">
        <is>
          <t>CENTROFARMA (un)</t>
        </is>
      </c>
      <c r="O1" s="11" t="inlineStr">
        <is>
          <t>TAPAJOS (un)</t>
        </is>
      </c>
      <c r="P1" s="11" t="inlineStr">
        <is>
          <t>NAZARIA (un)</t>
        </is>
      </c>
      <c r="Q1" s="11" t="inlineStr">
        <is>
          <t>MEDCENTRO (un)</t>
        </is>
      </c>
      <c r="R1" s="11" t="inlineStr">
        <is>
          <t>BRASFARMA (un)</t>
        </is>
      </c>
      <c r="S1" s="11" t="inlineStr">
        <is>
          <t>AT_SUPLEMENTOS (un)</t>
        </is>
      </c>
      <c r="T1" s="11" t="inlineStr">
        <is>
          <t>Melhor forn.</t>
        </is>
      </c>
      <c r="U1" s="11" t="inlineStr">
        <is>
          <t>Melhor (un)</t>
        </is>
      </c>
      <c r="V1" s="11" t="inlineStr">
        <is>
          <t>% vs média hist.</t>
        </is>
      </c>
      <c r="W1" s="11" t="inlineStr">
        <is>
          <t>% vs últ. compra</t>
        </is>
      </c>
      <c r="X1" s="11" t="inlineStr">
        <is>
          <t>Status</t>
        </is>
      </c>
      <c r="Y1" s="11" t="inlineStr">
        <is>
          <t>OBS</t>
        </is>
      </c>
    </row>
    <row r="2">
      <c r="A2" s="7" t="n">
        <v>652101</v>
      </c>
      <c r="B2" s="12" t="inlineStr">
        <is>
          <t>7897042018277</t>
        </is>
      </c>
      <c r="C2" s="7" t="inlineStr">
        <is>
          <t>#CR.COND.SKALA B.BIOTINA 1KG</t>
        </is>
      </c>
      <c r="D2" s="7" t="inlineStr">
        <is>
          <t>COND/SHAM/CREM/SIMILARES</t>
        </is>
      </c>
      <c r="E2" s="7" t="inlineStr">
        <is>
          <t>C</t>
        </is>
      </c>
      <c r="F2" s="13" t="n">
        <v>1</v>
      </c>
      <c r="G2" s="13" t="n">
        <v>1</v>
      </c>
      <c r="H2" s="8" t="n">
        <v>8.02</v>
      </c>
      <c r="I2" s="8" t="n">
        <v>8.02</v>
      </c>
      <c r="J2" s="8" t="n">
        <v>8.02</v>
      </c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7" t="inlineStr">
        <is>
          <t>SEM COTAÇÃO</t>
        </is>
      </c>
      <c r="U2" s="8" t="n"/>
      <c r="V2" s="14" t="n"/>
      <c r="W2" s="14" t="n"/>
      <c r="X2" s="7" t="inlineStr"/>
      <c r="Y2" s="7" t="inlineStr"/>
    </row>
    <row r="3">
      <c r="A3" s="7" t="n">
        <v>658951</v>
      </c>
      <c r="B3" s="12" t="inlineStr">
        <is>
          <t>7891150099777</t>
        </is>
      </c>
      <c r="C3" s="7" t="inlineStr">
        <is>
          <t>#DES.REXONA R-ON POWD.2X50ML P</t>
        </is>
      </c>
      <c r="D3" s="7" t="inlineStr">
        <is>
          <t>ANTITRANSPIRANTE/DESODORANTE</t>
        </is>
      </c>
      <c r="E3" s="7" t="inlineStr">
        <is>
          <t>C</t>
        </is>
      </c>
      <c r="F3" s="13" t="n">
        <v>4</v>
      </c>
      <c r="G3" s="13" t="n">
        <v>4</v>
      </c>
      <c r="H3" s="8" t="n">
        <v>10.3883</v>
      </c>
      <c r="I3" s="8" t="n">
        <v>10.3883</v>
      </c>
      <c r="J3" s="8" t="n">
        <v>10.3883</v>
      </c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7" t="inlineStr">
        <is>
          <t>SEM COTAÇÃO</t>
        </is>
      </c>
      <c r="U3" s="8" t="n"/>
      <c r="V3" s="14" t="n"/>
      <c r="W3" s="14" t="n"/>
      <c r="X3" s="7" t="inlineStr"/>
      <c r="Y3" s="7" t="inlineStr"/>
    </row>
    <row r="4">
      <c r="A4" s="7" t="n">
        <v>662151</v>
      </c>
      <c r="B4" s="12" t="inlineStr"/>
      <c r="C4" s="7" t="inlineStr">
        <is>
          <t>#ESC.ENLACE CLASSIC AD.MAC.12X</t>
        </is>
      </c>
      <c r="D4" s="7" t="inlineStr">
        <is>
          <t>ORTODONTICO</t>
        </is>
      </c>
      <c r="E4" s="7" t="inlineStr">
        <is>
          <t>A</t>
        </is>
      </c>
      <c r="F4" s="13" t="n">
        <v>3</v>
      </c>
      <c r="G4" s="13" t="n">
        <v>32</v>
      </c>
      <c r="H4" s="8" t="n">
        <v>2.2808</v>
      </c>
      <c r="I4" s="8" t="n">
        <v>2.2808</v>
      </c>
      <c r="J4" s="8" t="n">
        <v>2.2808</v>
      </c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7" t="inlineStr">
        <is>
          <t>SEM COTAÇÃO</t>
        </is>
      </c>
      <c r="U4" s="8" t="n"/>
      <c r="V4" s="14" t="n"/>
      <c r="W4" s="14" t="n"/>
      <c r="X4" s="7" t="inlineStr"/>
      <c r="Y4" s="7" t="inlineStr"/>
    </row>
    <row r="5">
      <c r="A5" s="7" t="n">
        <v>673081</v>
      </c>
      <c r="B5" s="12" t="inlineStr">
        <is>
          <t>7908458332984</t>
        </is>
      </c>
      <c r="C5" s="7" t="inlineStr">
        <is>
          <t>#MASC.CAP.S.LINE M.L.MA.CH.300</t>
        </is>
      </c>
      <c r="D5" s="7" t="inlineStr">
        <is>
          <t>COND/SHAM/CREM/SIMILARES</t>
        </is>
      </c>
      <c r="E5" s="7" t="inlineStr">
        <is>
          <t>B</t>
        </is>
      </c>
      <c r="F5" s="13" t="n">
        <v>1</v>
      </c>
      <c r="G5" s="13" t="n">
        <v>1</v>
      </c>
      <c r="H5" s="8" t="n">
        <v>28.37</v>
      </c>
      <c r="I5" s="8" t="n">
        <v>28.37</v>
      </c>
      <c r="J5" s="8" t="n">
        <v>28.37</v>
      </c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7" t="inlineStr">
        <is>
          <t>SEM COTAÇÃO</t>
        </is>
      </c>
      <c r="U5" s="8" t="n"/>
      <c r="V5" s="14" t="n"/>
      <c r="W5" s="14" t="n"/>
      <c r="X5" s="7" t="inlineStr"/>
      <c r="Y5" s="7" t="inlineStr"/>
    </row>
    <row r="6">
      <c r="A6" s="7" t="n">
        <v>673091</v>
      </c>
      <c r="B6" s="12" t="inlineStr">
        <is>
          <t>7908458332502</t>
        </is>
      </c>
      <c r="C6" s="7" t="inlineStr">
        <is>
          <t>#OLEO S.LINE SER.X.GLA.CH.200M</t>
        </is>
      </c>
      <c r="D6" s="7" t="inlineStr">
        <is>
          <t>COND/SHAM/CREM/SIMILARES</t>
        </is>
      </c>
      <c r="E6" s="7" t="inlineStr">
        <is>
          <t>B</t>
        </is>
      </c>
      <c r="F6" s="13" t="n">
        <v>3</v>
      </c>
      <c r="G6" s="13" t="n">
        <v>3</v>
      </c>
      <c r="H6" s="8" t="n">
        <v>23.48</v>
      </c>
      <c r="I6" s="8" t="n">
        <v>23.48</v>
      </c>
      <c r="J6" s="8" t="n">
        <v>23.48</v>
      </c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7" t="inlineStr">
        <is>
          <t>SEM COTAÇÃO</t>
        </is>
      </c>
      <c r="U6" s="8" t="n"/>
      <c r="V6" s="14" t="n"/>
      <c r="W6" s="14" t="n"/>
      <c r="X6" s="7" t="inlineStr"/>
      <c r="Y6" s="7" t="inlineStr"/>
    </row>
    <row r="7">
      <c r="A7" s="7" t="n">
        <v>669881</v>
      </c>
      <c r="B7" s="12" t="inlineStr">
        <is>
          <t>7891150102552</t>
        </is>
      </c>
      <c r="C7" s="7" t="inlineStr">
        <is>
          <t>- COND DOVE HIDRAT HIALU VIT 190ML   UNIL %DN:15.00</t>
        </is>
      </c>
      <c r="D7" s="7" t="inlineStr">
        <is>
          <t>COND/SHAM/CREM/SIMILARES</t>
        </is>
      </c>
      <c r="E7" s="7" t="inlineStr">
        <is>
          <t>C</t>
        </is>
      </c>
      <c r="F7" s="13" t="n">
        <v>1</v>
      </c>
      <c r="G7" s="13" t="n">
        <v>1</v>
      </c>
      <c r="H7" s="8" t="n">
        <v>13.9</v>
      </c>
      <c r="I7" s="8" t="n">
        <v>13.9</v>
      </c>
      <c r="J7" s="8" t="n">
        <v>13.9</v>
      </c>
      <c r="K7" s="8" t="n"/>
      <c r="L7" s="8" t="n"/>
      <c r="M7" s="8" t="n"/>
      <c r="N7" s="8" t="n"/>
      <c r="O7" s="8" t="n"/>
      <c r="P7" s="15" t="n">
        <v>16.3</v>
      </c>
      <c r="Q7" s="8" t="n"/>
      <c r="R7" s="8" t="n"/>
      <c r="S7" s="8" t="n"/>
      <c r="T7" s="7" t="inlineStr">
        <is>
          <t>NAZARIA</t>
        </is>
      </c>
      <c r="U7" s="8" t="n">
        <v>16.3</v>
      </c>
      <c r="V7" s="14">
        <f>U7/J7-1</f>
        <v/>
      </c>
      <c r="W7" s="14">
        <f>U7/H7-1</f>
        <v/>
      </c>
      <c r="X7" s="16" t="inlineStr">
        <is>
          <t>ACIMA +17.3%</t>
        </is>
      </c>
      <c r="Y7" s="7" t="inlineStr"/>
    </row>
    <row r="8">
      <c r="A8" s="7" t="n">
        <v>669891</v>
      </c>
      <c r="B8" s="12" t="inlineStr">
        <is>
          <t>7891150102767</t>
        </is>
      </c>
      <c r="C8" s="7" t="inlineStr">
        <is>
          <t>- COND DOVE UV REPAIR 600ML   UNIL %DN:15.00</t>
        </is>
      </c>
      <c r="D8" s="7" t="inlineStr">
        <is>
          <t>COND/SHAM/CREM/SIMILARES</t>
        </is>
      </c>
      <c r="E8" s="7" t="inlineStr">
        <is>
          <t>C</t>
        </is>
      </c>
      <c r="F8" s="13" t="n">
        <v>1</v>
      </c>
      <c r="G8" s="13" t="n">
        <v>1</v>
      </c>
      <c r="H8" s="8" t="n">
        <v>30.64</v>
      </c>
      <c r="I8" s="8" t="n">
        <v>30.64</v>
      </c>
      <c r="J8" s="8" t="n">
        <v>30.64</v>
      </c>
      <c r="K8" s="8" t="n"/>
      <c r="L8" s="8" t="n"/>
      <c r="M8" s="8" t="n"/>
      <c r="N8" s="8" t="n"/>
      <c r="O8" s="8" t="n"/>
      <c r="P8" s="8" t="n">
        <v>35.46</v>
      </c>
      <c r="Q8" s="8" t="n"/>
      <c r="R8" s="8" t="n"/>
      <c r="S8" s="8" t="n"/>
      <c r="T8" s="7" t="inlineStr">
        <is>
          <t>SEM COTAÇÃO</t>
        </is>
      </c>
      <c r="U8" s="8" t="n"/>
      <c r="V8" s="14" t="n"/>
      <c r="W8" s="14" t="n"/>
      <c r="X8" s="7" t="inlineStr"/>
      <c r="Y8" s="7" t="inlineStr">
        <is>
          <t>NAZARIA: sem estoque</t>
        </is>
      </c>
    </row>
    <row r="9">
      <c r="A9" s="7" t="n">
        <v>662971</v>
      </c>
      <c r="B9" s="12" t="inlineStr">
        <is>
          <t>7891150080119</t>
        </is>
      </c>
      <c r="C9" s="7" t="inlineStr">
        <is>
          <t>- CR TRAT SEDA COLAGVITAM C 300G   UNIL %DN:13.00</t>
        </is>
      </c>
      <c r="D9" s="7" t="inlineStr">
        <is>
          <t>COND/SHAM/CREM/SIMILARES</t>
        </is>
      </c>
      <c r="E9" s="7" t="inlineStr">
        <is>
          <t>C</t>
        </is>
      </c>
      <c r="F9" s="13" t="n">
        <v>2</v>
      </c>
      <c r="G9" s="13" t="n">
        <v>2</v>
      </c>
      <c r="H9" s="8" t="n">
        <v>10.5867</v>
      </c>
      <c r="I9" s="8" t="n">
        <v>10.5867</v>
      </c>
      <c r="J9" s="8" t="n">
        <v>10.5867</v>
      </c>
      <c r="K9" s="8" t="n"/>
      <c r="L9" s="8" t="n"/>
      <c r="M9" s="8" t="n"/>
      <c r="N9" s="8" t="n"/>
      <c r="O9" s="8" t="n"/>
      <c r="P9" s="15" t="n">
        <v>14.31</v>
      </c>
      <c r="Q9" s="8" t="n"/>
      <c r="R9" s="8" t="n"/>
      <c r="S9" s="8" t="n"/>
      <c r="T9" s="7" t="inlineStr">
        <is>
          <t>NAZARIA</t>
        </is>
      </c>
      <c r="U9" s="8" t="n">
        <v>14.31</v>
      </c>
      <c r="V9" s="14">
        <f>U9/J9-1</f>
        <v/>
      </c>
      <c r="W9" s="14">
        <f>U9/H9-1</f>
        <v/>
      </c>
      <c r="X9" s="16" t="inlineStr">
        <is>
          <t>ACIMA +35.2%</t>
        </is>
      </c>
      <c r="Y9" s="7" t="inlineStr"/>
    </row>
    <row r="10">
      <c r="A10" s="7" t="n">
        <v>663021</v>
      </c>
      <c r="B10" s="12" t="inlineStr">
        <is>
          <t>7891150087385</t>
        </is>
      </c>
      <c r="C10" s="7" t="inlineStr">
        <is>
          <t>- DEO SUAVE AER AP FRUT VER 200ML   UNIL %DN:5.00</t>
        </is>
      </c>
      <c r="D10" s="7" t="inlineStr">
        <is>
          <t>ANTITRANSPIRANTE/DESODORANTE</t>
        </is>
      </c>
      <c r="E10" s="7" t="inlineStr">
        <is>
          <t>B</t>
        </is>
      </c>
      <c r="F10" s="13" t="n">
        <v>1</v>
      </c>
      <c r="G10" s="13" t="n">
        <v>1</v>
      </c>
      <c r="H10" s="8" t="n">
        <v>8.039999999999999</v>
      </c>
      <c r="I10" s="8" t="n">
        <v>8.039999999999999</v>
      </c>
      <c r="J10" s="8" t="n">
        <v>8.039999999999999</v>
      </c>
      <c r="K10" s="8" t="n"/>
      <c r="L10" s="8" t="n"/>
      <c r="M10" s="8" t="n"/>
      <c r="N10" s="8" t="n"/>
      <c r="O10" s="8" t="n"/>
      <c r="P10" s="15" t="n">
        <v>8.76</v>
      </c>
      <c r="Q10" s="8" t="n"/>
      <c r="R10" s="8" t="n"/>
      <c r="S10" s="8" t="n"/>
      <c r="T10" s="7" t="inlineStr">
        <is>
          <t>NAZARIA</t>
        </is>
      </c>
      <c r="U10" s="8" t="n">
        <v>8.76</v>
      </c>
      <c r="V10" s="14">
        <f>U10/J10-1</f>
        <v/>
      </c>
      <c r="W10" s="14">
        <f>U10/H10-1</f>
        <v/>
      </c>
      <c r="X10" s="16" t="inlineStr">
        <is>
          <t>ACIMA +9.0%</t>
        </is>
      </c>
      <c r="Y10" s="7" t="inlineStr"/>
    </row>
    <row r="11">
      <c r="A11" s="7" t="n">
        <v>441</v>
      </c>
      <c r="B11" s="12" t="inlineStr">
        <is>
          <t>7896422513173</t>
        </is>
      </c>
      <c r="C11" s="7" t="inlineStr">
        <is>
          <t>- DOMPERIDONA 1MG/ML SUS OR FR 100ML+PIPET DOS</t>
        </is>
      </c>
      <c r="D11" s="7" t="inlineStr">
        <is>
          <t>GENERICO</t>
        </is>
      </c>
      <c r="E11" s="7" t="inlineStr">
        <is>
          <t>B</t>
        </is>
      </c>
      <c r="F11" s="13" t="n">
        <v>3</v>
      </c>
      <c r="G11" s="13" t="n">
        <v>3</v>
      </c>
      <c r="H11" s="8" t="n">
        <v>9.367100000000001</v>
      </c>
      <c r="I11" s="8" t="n">
        <v>9.367100000000001</v>
      </c>
      <c r="J11" s="8" t="n">
        <v>9.367100000000001</v>
      </c>
      <c r="K11" s="15" t="n">
        <v>12.2</v>
      </c>
      <c r="L11" s="8" t="n"/>
      <c r="M11" s="8" t="n"/>
      <c r="N11" s="8" t="n"/>
      <c r="O11" s="8" t="n"/>
      <c r="P11" s="8" t="n">
        <v>16.88868</v>
      </c>
      <c r="Q11" s="8" t="n"/>
      <c r="R11" s="8" t="n"/>
      <c r="S11" s="8" t="n"/>
      <c r="T11" s="7" t="inlineStr">
        <is>
          <t>DIMEC</t>
        </is>
      </c>
      <c r="U11" s="8" t="n">
        <v>12.2</v>
      </c>
      <c r="V11" s="14">
        <f>U11/J11-1</f>
        <v/>
      </c>
      <c r="W11" s="14">
        <f>U11/H11-1</f>
        <v/>
      </c>
      <c r="X11" s="16" t="inlineStr">
        <is>
          <t>ACIMA +30.2%</t>
        </is>
      </c>
      <c r="Y11" s="7" t="inlineStr"/>
    </row>
    <row r="12">
      <c r="A12" s="7" t="n">
        <v>652211</v>
      </c>
      <c r="B12" s="12" t="inlineStr">
        <is>
          <t>7891024043578</t>
        </is>
      </c>
      <c r="C12" s="7" t="inlineStr">
        <is>
          <t>- ESC DENT COLGATE TWISTER PACK 4UN</t>
        </is>
      </c>
      <c r="D12" s="7" t="inlineStr">
        <is>
          <t>ORTODONTICO</t>
        </is>
      </c>
      <c r="E12" s="7" t="inlineStr">
        <is>
          <t>C</t>
        </is>
      </c>
      <c r="F12" s="13" t="n">
        <v>1</v>
      </c>
      <c r="G12" s="13" t="n">
        <v>1</v>
      </c>
      <c r="H12" s="8" t="n">
        <v>20.7125</v>
      </c>
      <c r="I12" s="8" t="n">
        <v>20.7125</v>
      </c>
      <c r="J12" s="8" t="n">
        <v>20.7125</v>
      </c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7" t="inlineStr">
        <is>
          <t>SEM COTAÇÃO</t>
        </is>
      </c>
      <c r="U12" s="8" t="n"/>
      <c r="V12" s="14" t="n"/>
      <c r="W12" s="14" t="n"/>
      <c r="X12" s="7" t="inlineStr"/>
      <c r="Y12" s="7" t="inlineStr"/>
    </row>
    <row r="13">
      <c r="A13" s="7" t="n">
        <v>663121</v>
      </c>
      <c r="B13" s="12" t="inlineStr">
        <is>
          <t>7891150097377</t>
        </is>
      </c>
      <c r="C13" s="7" t="inlineStr">
        <is>
          <t>- KIT SHP+COND SEDA CERAMIDAS 300ML+190ML   UNIL %DN:10.00</t>
        </is>
      </c>
      <c r="D13" s="7" t="inlineStr">
        <is>
          <t>COND/SHAM/CREM/SIMILARES</t>
        </is>
      </c>
      <c r="E13" s="7" t="inlineStr">
        <is>
          <t>C</t>
        </is>
      </c>
      <c r="F13" s="13" t="n">
        <v>1</v>
      </c>
      <c r="G13" s="13" t="n">
        <v>1</v>
      </c>
      <c r="H13" s="8" t="n">
        <v>13.22</v>
      </c>
      <c r="I13" s="8" t="n">
        <v>13.22</v>
      </c>
      <c r="J13" s="8" t="n">
        <v>13.22</v>
      </c>
      <c r="K13" s="8" t="n"/>
      <c r="L13" s="8" t="n"/>
      <c r="M13" s="8" t="n"/>
      <c r="N13" s="8" t="n"/>
      <c r="O13" s="8" t="n"/>
      <c r="P13" s="15" t="n">
        <v>14.8</v>
      </c>
      <c r="Q13" s="8" t="n"/>
      <c r="R13" s="8" t="n"/>
      <c r="S13" s="8" t="n"/>
      <c r="T13" s="7" t="inlineStr">
        <is>
          <t>NAZARIA</t>
        </is>
      </c>
      <c r="U13" s="8" t="n">
        <v>14.8</v>
      </c>
      <c r="V13" s="14">
        <f>U13/J13-1</f>
        <v/>
      </c>
      <c r="W13" s="14">
        <f>U13/H13-1</f>
        <v/>
      </c>
      <c r="X13" s="16" t="inlineStr">
        <is>
          <t>ACIMA +12.0%</t>
        </is>
      </c>
      <c r="Y13" s="7" t="inlineStr"/>
    </row>
    <row r="14">
      <c r="A14" s="7" t="n">
        <v>653421</v>
      </c>
      <c r="B14" s="12" t="inlineStr">
        <is>
          <t>7896512927590</t>
        </is>
      </c>
      <c r="C14" s="7" t="inlineStr">
        <is>
          <t>- LENCO UMED BEBE ERVA DOCE 50UN   CASA %DN:10.00</t>
        </is>
      </c>
      <c r="D14" s="7" t="inlineStr">
        <is>
          <t>BABY/KIDS</t>
        </is>
      </c>
      <c r="E14" s="7" t="inlineStr">
        <is>
          <t>C</t>
        </is>
      </c>
      <c r="F14" s="13" t="n">
        <v>1</v>
      </c>
      <c r="G14" s="13" t="n">
        <v>1</v>
      </c>
      <c r="H14" s="8" t="n">
        <v>11.1867</v>
      </c>
      <c r="I14" s="8" t="n">
        <v>11.1867</v>
      </c>
      <c r="J14" s="8" t="n">
        <v>11.1867</v>
      </c>
      <c r="K14" s="8" t="n"/>
      <c r="L14" s="8" t="n"/>
      <c r="M14" s="8" t="n"/>
      <c r="N14" s="8" t="n"/>
      <c r="O14" s="8" t="n"/>
      <c r="P14" s="15" t="n">
        <v>12.87</v>
      </c>
      <c r="Q14" s="8" t="n"/>
      <c r="R14" s="8" t="n"/>
      <c r="S14" s="8" t="n"/>
      <c r="T14" s="7" t="inlineStr">
        <is>
          <t>NAZARIA</t>
        </is>
      </c>
      <c r="U14" s="8" t="n">
        <v>12.87</v>
      </c>
      <c r="V14" s="14">
        <f>U14/J14-1</f>
        <v/>
      </c>
      <c r="W14" s="14">
        <f>U14/H14-1</f>
        <v/>
      </c>
      <c r="X14" s="16" t="inlineStr">
        <is>
          <t>ACIMA +15.0%</t>
        </is>
      </c>
      <c r="Y14" s="7" t="inlineStr"/>
    </row>
    <row r="15">
      <c r="A15" s="7" t="n">
        <v>653411</v>
      </c>
      <c r="B15" s="12" t="inlineStr">
        <is>
          <t>7896512927606</t>
        </is>
      </c>
      <c r="C15" s="7" t="inlineStr">
        <is>
          <t>- LENCO UMED BEBE LAVANDA 50UN   CASA %DN:10.00</t>
        </is>
      </c>
      <c r="D15" s="7" t="inlineStr">
        <is>
          <t>BABY/KIDS</t>
        </is>
      </c>
      <c r="E15" s="7" t="inlineStr">
        <is>
          <t>C</t>
        </is>
      </c>
      <c r="F15" s="13" t="n">
        <v>1</v>
      </c>
      <c r="G15" s="13" t="n">
        <v>1</v>
      </c>
      <c r="H15" s="8" t="n">
        <v>10.44</v>
      </c>
      <c r="I15" s="8" t="n">
        <v>10.44</v>
      </c>
      <c r="J15" s="8" t="n">
        <v>10.44</v>
      </c>
      <c r="K15" s="8" t="n"/>
      <c r="L15" s="8" t="n"/>
      <c r="M15" s="15" t="n">
        <v>9.109999999999999</v>
      </c>
      <c r="N15" s="8" t="n"/>
      <c r="O15" s="8" t="n"/>
      <c r="P15" s="8" t="n">
        <v>12.87</v>
      </c>
      <c r="Q15" s="8" t="n"/>
      <c r="R15" s="8" t="n"/>
      <c r="S15" s="8" t="n"/>
      <c r="T15" s="7" t="inlineStr">
        <is>
          <t>EPAN</t>
        </is>
      </c>
      <c r="U15" s="8" t="n">
        <v>9.109999999999999</v>
      </c>
      <c r="V15" s="14">
        <f>U15/J15-1</f>
        <v/>
      </c>
      <c r="W15" s="14">
        <f>U15/H15-1</f>
        <v/>
      </c>
      <c r="X15" s="17" t="inlineStr">
        <is>
          <t>OK (≤ menor hist.)</t>
        </is>
      </c>
      <c r="Y15" s="7" t="inlineStr"/>
    </row>
    <row r="16">
      <c r="A16" s="7" t="n">
        <v>653401</v>
      </c>
      <c r="B16" s="12" t="inlineStr">
        <is>
          <t>7896512935540</t>
        </is>
      </c>
      <c r="C16" s="7" t="inlineStr">
        <is>
          <t>- LENCO UMED BEBE PELE SENSIVEL 50UN   CASA %DN:10.00</t>
        </is>
      </c>
      <c r="D16" s="7" t="inlineStr">
        <is>
          <t>BABY/KIDS</t>
        </is>
      </c>
      <c r="E16" s="7" t="inlineStr">
        <is>
          <t>C</t>
        </is>
      </c>
      <c r="F16" s="13" t="n">
        <v>1</v>
      </c>
      <c r="G16" s="13" t="n">
        <v>1</v>
      </c>
      <c r="H16" s="8" t="n">
        <v>11.1867</v>
      </c>
      <c r="I16" s="8" t="n">
        <v>11.1867</v>
      </c>
      <c r="J16" s="8" t="n">
        <v>11.1867</v>
      </c>
      <c r="K16" s="8" t="n"/>
      <c r="L16" s="8" t="n"/>
      <c r="M16" s="8" t="n"/>
      <c r="N16" s="8" t="n"/>
      <c r="O16" s="8" t="n"/>
      <c r="P16" s="15" t="n">
        <v>12.87</v>
      </c>
      <c r="Q16" s="8" t="n"/>
      <c r="R16" s="8" t="n"/>
      <c r="S16" s="8" t="n"/>
      <c r="T16" s="7" t="inlineStr">
        <is>
          <t>NAZARIA</t>
        </is>
      </c>
      <c r="U16" s="8" t="n">
        <v>12.87</v>
      </c>
      <c r="V16" s="14">
        <f>U16/J16-1</f>
        <v/>
      </c>
      <c r="W16" s="14">
        <f>U16/H16-1</f>
        <v/>
      </c>
      <c r="X16" s="16" t="inlineStr">
        <is>
          <t>ACIMA +15.0%</t>
        </is>
      </c>
      <c r="Y16" s="7" t="inlineStr"/>
    </row>
    <row r="17">
      <c r="A17" s="7" t="n">
        <v>669961</v>
      </c>
      <c r="B17" s="12" t="inlineStr">
        <is>
          <t>7891150102736</t>
        </is>
      </c>
      <c r="C17" s="7" t="inlineStr">
        <is>
          <t>- SHP DOVE UV REPAIR 600ML   UNIL %DN:15.00</t>
        </is>
      </c>
      <c r="D17" s="7" t="inlineStr">
        <is>
          <t>COND/SHAM/CREM/SIMILARES</t>
        </is>
      </c>
      <c r="E17" s="7" t="inlineStr">
        <is>
          <t>C</t>
        </is>
      </c>
      <c r="F17" s="13" t="n">
        <v>1</v>
      </c>
      <c r="G17" s="13" t="n">
        <v>1</v>
      </c>
      <c r="H17" s="8" t="n">
        <v>25.56</v>
      </c>
      <c r="I17" s="8" t="n">
        <v>25.56</v>
      </c>
      <c r="J17" s="8" t="n">
        <v>25.56</v>
      </c>
      <c r="K17" s="8" t="n"/>
      <c r="L17" s="8" t="n"/>
      <c r="M17" s="8" t="n"/>
      <c r="N17" s="8" t="n"/>
      <c r="O17" s="8" t="n"/>
      <c r="P17" s="8" t="n">
        <v>29.58</v>
      </c>
      <c r="Q17" s="8" t="n"/>
      <c r="R17" s="8" t="n"/>
      <c r="S17" s="8" t="n"/>
      <c r="T17" s="7" t="inlineStr">
        <is>
          <t>SEM COTAÇÃO</t>
        </is>
      </c>
      <c r="U17" s="8" t="n"/>
      <c r="V17" s="14" t="n"/>
      <c r="W17" s="14" t="n"/>
      <c r="X17" s="7" t="inlineStr"/>
      <c r="Y17" s="7" t="inlineStr">
        <is>
          <t>NAZARIA: sem estoque</t>
        </is>
      </c>
    </row>
    <row r="18">
      <c r="A18" s="7" t="n">
        <v>673351</v>
      </c>
      <c r="B18" s="12" t="inlineStr">
        <is>
          <t>7899941207714</t>
        </is>
      </c>
      <c r="C18" s="7" t="inlineStr">
        <is>
          <t>100% WHEY DOUBLE TASTY MAXTITANIUM BAUNI</t>
        </is>
      </c>
      <c r="D18" s="7" t="inlineStr">
        <is>
          <t>SUPLEMENTO</t>
        </is>
      </c>
      <c r="E18" s="7" t="inlineStr">
        <is>
          <t>B</t>
        </is>
      </c>
      <c r="F18" s="13" t="n">
        <v>1</v>
      </c>
      <c r="G18" s="13" t="n">
        <v>1</v>
      </c>
      <c r="H18" s="8" t="n">
        <v>119.98</v>
      </c>
      <c r="I18" s="8" t="n">
        <v>106.99</v>
      </c>
      <c r="J18" s="8" t="n">
        <v>115.65</v>
      </c>
      <c r="K18" s="8" t="n"/>
      <c r="L18" s="8" t="n"/>
      <c r="M18" s="8" t="n"/>
      <c r="N18" s="8" t="n">
        <v>139.79</v>
      </c>
      <c r="O18" s="8" t="n"/>
      <c r="P18" s="8" t="n">
        <v>149.12</v>
      </c>
      <c r="Q18" s="8" t="n"/>
      <c r="R18" s="8" t="n"/>
      <c r="S18" s="15" t="n">
        <v>130</v>
      </c>
      <c r="T18" s="7" t="inlineStr">
        <is>
          <t>AT_SUPLEMENTOS</t>
        </is>
      </c>
      <c r="U18" s="8" t="n">
        <v>130</v>
      </c>
      <c r="V18" s="14">
        <f>U18/J18-1</f>
        <v/>
      </c>
      <c r="W18" s="14">
        <f>U18/H18-1</f>
        <v/>
      </c>
      <c r="X18" s="16" t="inlineStr">
        <is>
          <t>ACIMA +8.4%</t>
        </is>
      </c>
      <c r="Y18" s="7" t="inlineStr">
        <is>
          <t>NAZARIA: sem estoque</t>
        </is>
      </c>
    </row>
    <row r="19">
      <c r="A19" s="7" t="n">
        <v>673401</v>
      </c>
      <c r="B19" s="12" t="inlineStr">
        <is>
          <t>7899941207721</t>
        </is>
      </c>
      <c r="C19" s="7" t="inlineStr">
        <is>
          <t>100% WHEY DOUBLE TASTY MAXTITANIUM CHOCO</t>
        </is>
      </c>
      <c r="D19" s="7" t="inlineStr">
        <is>
          <t>SUPLEMENTO</t>
        </is>
      </c>
      <c r="E19" s="7" t="inlineStr">
        <is>
          <t>C</t>
        </is>
      </c>
      <c r="F19" s="13" t="n">
        <v>1</v>
      </c>
      <c r="G19" s="13" t="n">
        <v>1</v>
      </c>
      <c r="H19" s="8" t="n">
        <v>106.99</v>
      </c>
      <c r="I19" s="8" t="n">
        <v>106.99</v>
      </c>
      <c r="J19" s="8" t="n">
        <v>106.99</v>
      </c>
      <c r="K19" s="8" t="n"/>
      <c r="L19" s="8" t="n"/>
      <c r="M19" s="8" t="n"/>
      <c r="N19" s="8" t="n">
        <v>139.35</v>
      </c>
      <c r="O19" s="8" t="n"/>
      <c r="P19" s="8" t="n">
        <v>149.12</v>
      </c>
      <c r="Q19" s="8" t="n"/>
      <c r="R19" s="8" t="n"/>
      <c r="S19" s="15" t="n">
        <v>130</v>
      </c>
      <c r="T19" s="7" t="inlineStr">
        <is>
          <t>AT_SUPLEMENTOS</t>
        </is>
      </c>
      <c r="U19" s="8" t="n">
        <v>130</v>
      </c>
      <c r="V19" s="14">
        <f>U19/J19-1</f>
        <v/>
      </c>
      <c r="W19" s="14">
        <f>U19/H19-1</f>
        <v/>
      </c>
      <c r="X19" s="16" t="inlineStr">
        <is>
          <t>ACIMA +21.5%</t>
        </is>
      </c>
      <c r="Y19" s="7" t="inlineStr">
        <is>
          <t>NAZARIA: sem estoque</t>
        </is>
      </c>
    </row>
    <row r="20">
      <c r="A20" s="7" t="n">
        <v>597611</v>
      </c>
      <c r="B20" s="12" t="inlineStr">
        <is>
          <t>7899941201781</t>
        </is>
      </c>
      <c r="C20" s="7" t="inlineStr">
        <is>
          <t>100% WHEY MAX TITANIUM BAUNILHA PT 900G</t>
        </is>
      </c>
      <c r="D20" s="7" t="inlineStr">
        <is>
          <t>SUPLEMENTO</t>
        </is>
      </c>
      <c r="E20" s="7" t="inlineStr">
        <is>
          <t>C</t>
        </is>
      </c>
      <c r="F20" s="13" t="n">
        <v>1</v>
      </c>
      <c r="G20" s="13" t="n">
        <v>1</v>
      </c>
      <c r="H20" s="8" t="n">
        <v>120.19</v>
      </c>
      <c r="I20" s="8" t="n">
        <v>120.19</v>
      </c>
      <c r="J20" s="8" t="n">
        <v>120.19</v>
      </c>
      <c r="K20" s="8" t="n"/>
      <c r="L20" s="8" t="n"/>
      <c r="M20" s="8" t="n"/>
      <c r="N20" s="8" t="n">
        <v>172.99</v>
      </c>
      <c r="O20" s="8" t="n"/>
      <c r="P20" s="8" t="n">
        <v>204.64</v>
      </c>
      <c r="Q20" s="8" t="n">
        <v>203.46</v>
      </c>
      <c r="R20" s="8" t="n"/>
      <c r="S20" s="15" t="n">
        <v>162</v>
      </c>
      <c r="T20" s="7" t="inlineStr">
        <is>
          <t>AT_SUPLEMENTOS</t>
        </is>
      </c>
      <c r="U20" s="8" t="n">
        <v>162</v>
      </c>
      <c r="V20" s="14">
        <f>U20/J20-1</f>
        <v/>
      </c>
      <c r="W20" s="14">
        <f>U20/H20-1</f>
        <v/>
      </c>
      <c r="X20" s="16" t="inlineStr">
        <is>
          <t>ACIMA +34.8%</t>
        </is>
      </c>
      <c r="Y20" s="7" t="inlineStr"/>
    </row>
    <row r="21">
      <c r="A21" s="7" t="n">
        <v>597621</v>
      </c>
      <c r="B21" s="12" t="inlineStr">
        <is>
          <t>7899941201804</t>
        </is>
      </c>
      <c r="C21" s="7" t="inlineStr">
        <is>
          <t>100% WHEY MAX TITANIUM COOKIES CREAM PT 900G</t>
        </is>
      </c>
      <c r="D21" s="7" t="inlineStr">
        <is>
          <t>SUPLEMENTO</t>
        </is>
      </c>
      <c r="E21" s="7" t="inlineStr">
        <is>
          <t>C</t>
        </is>
      </c>
      <c r="F21" s="13" t="n">
        <v>1</v>
      </c>
      <c r="G21" s="13" t="n">
        <v>1</v>
      </c>
      <c r="H21" s="8" t="n">
        <v>119.61</v>
      </c>
      <c r="I21" s="8" t="n">
        <v>119.61</v>
      </c>
      <c r="J21" s="8" t="n">
        <v>119.61</v>
      </c>
      <c r="K21" s="8" t="n"/>
      <c r="L21" s="8" t="n"/>
      <c r="M21" s="8" t="n"/>
      <c r="N21" s="8" t="n">
        <v>165.63</v>
      </c>
      <c r="O21" s="8" t="n"/>
      <c r="P21" s="8" t="n">
        <v>204.64</v>
      </c>
      <c r="Q21" s="8" t="n">
        <v>203.46</v>
      </c>
      <c r="R21" s="8" t="n"/>
      <c r="S21" s="15" t="n">
        <v>162</v>
      </c>
      <c r="T21" s="7" t="inlineStr">
        <is>
          <t>AT_SUPLEMENTOS</t>
        </is>
      </c>
      <c r="U21" s="8" t="n">
        <v>162</v>
      </c>
      <c r="V21" s="14">
        <f>U21/J21-1</f>
        <v/>
      </c>
      <c r="W21" s="14">
        <f>U21/H21-1</f>
        <v/>
      </c>
      <c r="X21" s="16" t="inlineStr">
        <is>
          <t>ACIMA +35.4%</t>
        </is>
      </c>
      <c r="Y21" s="7" t="inlineStr"/>
    </row>
    <row r="22">
      <c r="A22" s="7" t="n">
        <v>605941</v>
      </c>
      <c r="B22" s="12" t="inlineStr">
        <is>
          <t>7899941201811</t>
        </is>
      </c>
      <c r="C22" s="7" t="inlineStr">
        <is>
          <t>100% WHEY MAX TITANIUM MORANGO PT 900G</t>
        </is>
      </c>
      <c r="D22" s="7" t="inlineStr">
        <is>
          <t>SUPLEMENTO</t>
        </is>
      </c>
      <c r="E22" s="7" t="inlineStr">
        <is>
          <t>A</t>
        </is>
      </c>
      <c r="F22" s="13" t="n">
        <v>1</v>
      </c>
      <c r="G22" s="13" t="n">
        <v>1</v>
      </c>
      <c r="H22" s="8" t="n">
        <v>136.65</v>
      </c>
      <c r="I22" s="8" t="n">
        <v>119.61</v>
      </c>
      <c r="J22" s="8" t="n">
        <v>125.29</v>
      </c>
      <c r="K22" s="8" t="n"/>
      <c r="L22" s="8" t="n"/>
      <c r="M22" s="8" t="n"/>
      <c r="N22" s="8" t="n">
        <v>184.03</v>
      </c>
      <c r="O22" s="8" t="n"/>
      <c r="P22" s="8" t="n"/>
      <c r="Q22" s="8" t="n">
        <v>203.46</v>
      </c>
      <c r="R22" s="8" t="n"/>
      <c r="S22" s="15" t="n">
        <v>162</v>
      </c>
      <c r="T22" s="7" t="inlineStr">
        <is>
          <t>AT_SUPLEMENTOS</t>
        </is>
      </c>
      <c r="U22" s="8" t="n">
        <v>162</v>
      </c>
      <c r="V22" s="14">
        <f>U22/J22-1</f>
        <v/>
      </c>
      <c r="W22" s="14">
        <f>U22/H22-1</f>
        <v/>
      </c>
      <c r="X22" s="16" t="inlineStr">
        <is>
          <t>ACIMA +18.6%</t>
        </is>
      </c>
      <c r="Y22" s="7" t="inlineStr"/>
    </row>
    <row r="23">
      <c r="A23" s="7" t="n">
        <v>674181</v>
      </c>
      <c r="B23" s="12" t="inlineStr">
        <is>
          <t>7891317049225</t>
        </is>
      </c>
      <c r="C23" s="7" t="inlineStr">
        <is>
          <t>10BI IMUNE C/30CP-DEMAIS PROD</t>
        </is>
      </c>
      <c r="D23" s="7" t="inlineStr">
        <is>
          <t>RX</t>
        </is>
      </c>
      <c r="E23" s="7" t="inlineStr">
        <is>
          <t>B</t>
        </is>
      </c>
      <c r="F23" s="13" t="n">
        <v>1</v>
      </c>
      <c r="G23" s="13" t="n">
        <v>1</v>
      </c>
      <c r="H23" s="8" t="n">
        <v>125.7</v>
      </c>
      <c r="I23" s="8" t="n">
        <v>118.3</v>
      </c>
      <c r="J23" s="8" t="n">
        <v>123.2333333333333</v>
      </c>
      <c r="K23" s="8" t="n"/>
      <c r="L23" s="8" t="n"/>
      <c r="M23" s="8" t="n"/>
      <c r="N23" s="8" t="n"/>
      <c r="O23" s="15" t="n">
        <v>119.3</v>
      </c>
      <c r="P23" s="8" t="n">
        <v>144.109</v>
      </c>
      <c r="Q23" s="8" t="n"/>
      <c r="R23" s="8" t="n"/>
      <c r="S23" s="8" t="n"/>
      <c r="T23" s="7" t="inlineStr">
        <is>
          <t>TAPAJOS</t>
        </is>
      </c>
      <c r="U23" s="8" t="n">
        <v>119.3</v>
      </c>
      <c r="V23" s="14">
        <f>U23/J23-1</f>
        <v/>
      </c>
      <c r="W23" s="14">
        <f>U23/H23-1</f>
        <v/>
      </c>
      <c r="X23" s="17" t="inlineStr">
        <is>
          <t>OK (≤ últ. compra)</t>
        </is>
      </c>
      <c r="Y23" s="7" t="inlineStr"/>
    </row>
    <row r="24">
      <c r="A24" s="7" t="n">
        <v>643491</v>
      </c>
      <c r="B24" s="12" t="inlineStr">
        <is>
          <t>7896699032520</t>
        </is>
      </c>
      <c r="C24" s="7" t="inlineStr">
        <is>
          <t>1560-01-F MAM TIP 80ML SIL R F CX C/6 - LOLLY</t>
        </is>
      </c>
      <c r="D24" s="7" t="inlineStr">
        <is>
          <t>BABY/KIDS</t>
        </is>
      </c>
      <c r="E24" s="7" t="inlineStr">
        <is>
          <t>B</t>
        </is>
      </c>
      <c r="F24" s="13" t="n">
        <v>2</v>
      </c>
      <c r="G24" s="13" t="n">
        <v>2</v>
      </c>
      <c r="H24" s="8" t="n">
        <v>12.8</v>
      </c>
      <c r="I24" s="8" t="n">
        <v>12.8</v>
      </c>
      <c r="J24" s="8" t="n">
        <v>12.8</v>
      </c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7" t="inlineStr">
        <is>
          <t>SEM COTAÇÃO</t>
        </is>
      </c>
      <c r="U24" s="8" t="n"/>
      <c r="V24" s="14" t="n"/>
      <c r="W24" s="14" t="n"/>
      <c r="X24" s="7" t="inlineStr"/>
      <c r="Y24" s="7" t="inlineStr"/>
    </row>
    <row r="25">
      <c r="A25" s="7" t="n">
        <v>643511</v>
      </c>
      <c r="B25" s="12" t="inlineStr">
        <is>
          <t>7896699015479</t>
        </is>
      </c>
      <c r="C25" s="7" t="inlineStr">
        <is>
          <t>1970-01-F MINI MAM CLEAN 50ML F - LOLLY</t>
        </is>
      </c>
      <c r="D25" s="7" t="inlineStr">
        <is>
          <t>BABY/KIDS</t>
        </is>
      </c>
      <c r="E25" s="7" t="inlineStr">
        <is>
          <t>B</t>
        </is>
      </c>
      <c r="F25" s="13" t="n">
        <v>3</v>
      </c>
      <c r="G25" s="13" t="n">
        <v>3</v>
      </c>
      <c r="H25" s="8" t="n">
        <v>9.07</v>
      </c>
      <c r="I25" s="8" t="n">
        <v>9.07</v>
      </c>
      <c r="J25" s="8" t="n">
        <v>9.07</v>
      </c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7" t="inlineStr">
        <is>
          <t>SEM COTAÇÃO</t>
        </is>
      </c>
      <c r="U25" s="8" t="n"/>
      <c r="V25" s="14" t="n"/>
      <c r="W25" s="14" t="n"/>
      <c r="X25" s="7" t="inlineStr"/>
      <c r="Y25" s="7" t="inlineStr"/>
    </row>
    <row r="26">
      <c r="A26" s="7" t="n">
        <v>643521</v>
      </c>
      <c r="B26" s="12" t="inlineStr">
        <is>
          <t>7896699015455</t>
        </is>
      </c>
      <c r="C26" s="7" t="inlineStr">
        <is>
          <t>1970-01-M MINI MAM CLEAN 50ML M CX C/6 - LOLLY</t>
        </is>
      </c>
      <c r="D26" s="7" t="inlineStr">
        <is>
          <t>BABY/KIDS</t>
        </is>
      </c>
      <c r="E26" s="7" t="inlineStr">
        <is>
          <t>B</t>
        </is>
      </c>
      <c r="F26" s="13" t="n">
        <v>1</v>
      </c>
      <c r="G26" s="13" t="n">
        <v>1</v>
      </c>
      <c r="H26" s="8" t="n">
        <v>9.779999999999999</v>
      </c>
      <c r="I26" s="8" t="n">
        <v>9.779999999999999</v>
      </c>
      <c r="J26" s="8" t="n">
        <v>9.779999999999999</v>
      </c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7" t="inlineStr">
        <is>
          <t>SEM COTAÇÃO</t>
        </is>
      </c>
      <c r="U26" s="8" t="n"/>
      <c r="V26" s="14" t="n"/>
      <c r="W26" s="14" t="n"/>
      <c r="X26" s="7" t="inlineStr"/>
      <c r="Y26" s="7" t="inlineStr"/>
    </row>
    <row r="27">
      <c r="A27" s="7" t="n">
        <v>660951</v>
      </c>
      <c r="B27" s="12" t="inlineStr">
        <is>
          <t>7898744350948</t>
        </is>
      </c>
      <c r="C27" s="7" t="inlineStr">
        <is>
          <t>3 MAGNESIOS 30CAPS PURAFOR - REATIVA</t>
        </is>
      </c>
      <c r="D27" s="7" t="inlineStr">
        <is>
          <t>VITAMINA E SIMILARES</t>
        </is>
      </c>
      <c r="E27" s="7" t="inlineStr">
        <is>
          <t>B</t>
        </is>
      </c>
      <c r="F27" s="13" t="n">
        <v>4</v>
      </c>
      <c r="G27" s="13" t="n">
        <v>4</v>
      </c>
      <c r="H27" s="8" t="n">
        <v>30.05</v>
      </c>
      <c r="I27" s="8" t="n">
        <v>21.16</v>
      </c>
      <c r="J27" s="8" t="n">
        <v>27.08666666666667</v>
      </c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7" t="inlineStr">
        <is>
          <t>SEM COTAÇÃO</t>
        </is>
      </c>
      <c r="U27" s="8" t="n"/>
      <c r="V27" s="14" t="n"/>
      <c r="W27" s="14" t="n"/>
      <c r="X27" s="7" t="inlineStr"/>
      <c r="Y27" s="7" t="inlineStr"/>
    </row>
    <row r="28">
      <c r="A28" s="7" t="n">
        <v>643541</v>
      </c>
      <c r="B28" s="12" t="inlineStr">
        <is>
          <t>7896699019217</t>
        </is>
      </c>
      <c r="C28" s="7" t="inlineStr">
        <is>
          <t>3262-01-F MAM TRICOLOR 250ML SIL O F CX/6 - LOLLY</t>
        </is>
      </c>
      <c r="D28" s="7" t="inlineStr">
        <is>
          <t>BABY/KIDS</t>
        </is>
      </c>
      <c r="E28" s="7" t="inlineStr">
        <is>
          <t>B</t>
        </is>
      </c>
      <c r="F28" s="13" t="n">
        <v>1</v>
      </c>
      <c r="G28" s="13" t="n">
        <v>1</v>
      </c>
      <c r="H28" s="8" t="n">
        <v>13.71</v>
      </c>
      <c r="I28" s="8" t="n">
        <v>13.71</v>
      </c>
      <c r="J28" s="8" t="n">
        <v>13.71</v>
      </c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7" t="inlineStr">
        <is>
          <t>SEM COTAÇÃO</t>
        </is>
      </c>
      <c r="U28" s="8" t="n"/>
      <c r="V28" s="14" t="n"/>
      <c r="W28" s="14" t="n"/>
      <c r="X28" s="7" t="inlineStr"/>
      <c r="Y28" s="7" t="inlineStr"/>
    </row>
    <row r="29">
      <c r="A29" s="7" t="n">
        <v>654921</v>
      </c>
      <c r="B29" s="12" t="inlineStr">
        <is>
          <t>7908475810502</t>
        </is>
      </c>
      <c r="C29" s="7" t="inlineStr">
        <is>
          <t>40+ HOMEM 30CAPS</t>
        </is>
      </c>
      <c r="D29" s="7" t="inlineStr">
        <is>
          <t>VITAMINA E SIMILARES</t>
        </is>
      </c>
      <c r="E29" s="7" t="inlineStr">
        <is>
          <t>C</t>
        </is>
      </c>
      <c r="F29" s="13" t="n">
        <v>1</v>
      </c>
      <c r="G29" s="13" t="n">
        <v>1</v>
      </c>
      <c r="H29" s="8" t="n">
        <v>16.61</v>
      </c>
      <c r="I29" s="8" t="n">
        <v>16.61</v>
      </c>
      <c r="J29" s="8" t="n">
        <v>16.61</v>
      </c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7" t="inlineStr">
        <is>
          <t>SEM COTAÇÃO</t>
        </is>
      </c>
      <c r="U29" s="8" t="n"/>
      <c r="V29" s="14" t="n"/>
      <c r="W29" s="14" t="n"/>
      <c r="X29" s="7" t="inlineStr"/>
      <c r="Y29" s="7" t="inlineStr"/>
    </row>
    <row r="30">
      <c r="A30" s="7" t="n">
        <v>654911</v>
      </c>
      <c r="B30" s="12" t="inlineStr">
        <is>
          <t>7908475810519</t>
        </is>
      </c>
      <c r="C30" s="7" t="inlineStr">
        <is>
          <t>40+ MULHER 30CAPS</t>
        </is>
      </c>
      <c r="D30" s="7" t="inlineStr">
        <is>
          <t>VITAMINA E SIMILARES</t>
        </is>
      </c>
      <c r="E30" s="7" t="inlineStr">
        <is>
          <t>C</t>
        </is>
      </c>
      <c r="F30" s="13" t="n">
        <v>1</v>
      </c>
      <c r="G30" s="13" t="n">
        <v>1</v>
      </c>
      <c r="H30" s="8" t="n">
        <v>16.61</v>
      </c>
      <c r="I30" s="8" t="n">
        <v>16.61</v>
      </c>
      <c r="J30" s="8" t="n">
        <v>16.61</v>
      </c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7" t="inlineStr">
        <is>
          <t>SEM COTAÇÃO</t>
        </is>
      </c>
      <c r="U30" s="8" t="n"/>
      <c r="V30" s="14" t="n"/>
      <c r="W30" s="14" t="n"/>
      <c r="X30" s="7" t="inlineStr"/>
      <c r="Y30" s="7" t="inlineStr"/>
    </row>
    <row r="31">
      <c r="A31" s="7" t="n">
        <v>643571</v>
      </c>
      <c r="B31" s="12" t="inlineStr">
        <is>
          <t>7896699022330</t>
        </is>
      </c>
      <c r="C31" s="7" t="inlineStr">
        <is>
          <t>4512-01-N CH BORBOLETA SIL R T2 N - LOLLY</t>
        </is>
      </c>
      <c r="D31" s="7" t="inlineStr">
        <is>
          <t>BABY/KIDS</t>
        </is>
      </c>
      <c r="E31" s="7" t="inlineStr">
        <is>
          <t>B</t>
        </is>
      </c>
      <c r="F31" s="13" t="n">
        <v>3</v>
      </c>
      <c r="G31" s="13" t="n">
        <v>3</v>
      </c>
      <c r="H31" s="8" t="n">
        <v>6.8</v>
      </c>
      <c r="I31" s="8" t="n">
        <v>6.8</v>
      </c>
      <c r="J31" s="8" t="n">
        <v>6.8</v>
      </c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7" t="inlineStr">
        <is>
          <t>SEM COTAÇÃO</t>
        </is>
      </c>
      <c r="U31" s="8" t="n"/>
      <c r="V31" s="14" t="n"/>
      <c r="W31" s="14" t="n"/>
      <c r="X31" s="7" t="inlineStr"/>
      <c r="Y31" s="7" t="inlineStr"/>
    </row>
    <row r="32">
      <c r="A32" s="7" t="n">
        <v>643581</v>
      </c>
      <c r="B32" s="12" t="inlineStr">
        <is>
          <t>7896699022484</t>
        </is>
      </c>
      <c r="C32" s="7" t="inlineStr">
        <is>
          <t>4515-01-F CH TIP BORBOLETA SIL O T2 F CX/6 - LOLLY</t>
        </is>
      </c>
      <c r="D32" s="7" t="inlineStr">
        <is>
          <t>BABY/KIDS</t>
        </is>
      </c>
      <c r="E32" s="7" t="inlineStr">
        <is>
          <t>C</t>
        </is>
      </c>
      <c r="F32" s="13" t="n">
        <v>3</v>
      </c>
      <c r="G32" s="13" t="n">
        <v>3</v>
      </c>
      <c r="H32" s="8" t="n">
        <v>7.25</v>
      </c>
      <c r="I32" s="8" t="n">
        <v>7.25</v>
      </c>
      <c r="J32" s="8" t="n">
        <v>7.25</v>
      </c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7" t="inlineStr">
        <is>
          <t>SEM COTAÇÃO</t>
        </is>
      </c>
      <c r="U32" s="8" t="n"/>
      <c r="V32" s="14" t="n"/>
      <c r="W32" s="14" t="n"/>
      <c r="X32" s="7" t="inlineStr"/>
      <c r="Y32" s="7" t="inlineStr"/>
    </row>
    <row r="33">
      <c r="A33" s="7" t="n">
        <v>653461</v>
      </c>
      <c r="B33" s="12" t="inlineStr">
        <is>
          <t>7896699033244</t>
        </is>
      </c>
      <c r="C33" s="7" t="inlineStr">
        <is>
          <t>4915-01-F CH VIVA SIL O T2 F LOLLY</t>
        </is>
      </c>
      <c r="D33" s="7" t="inlineStr">
        <is>
          <t>BABY/KIDS</t>
        </is>
      </c>
      <c r="E33" s="7" t="inlineStr">
        <is>
          <t>C</t>
        </is>
      </c>
      <c r="F33" s="13" t="n">
        <v>1</v>
      </c>
      <c r="G33" s="13" t="n">
        <v>1</v>
      </c>
      <c r="H33" s="8" t="n">
        <v>10.4</v>
      </c>
      <c r="I33" s="8" t="n">
        <v>10.4</v>
      </c>
      <c r="J33" s="8" t="n">
        <v>10.4</v>
      </c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7" t="inlineStr">
        <is>
          <t>SEM COTAÇÃO</t>
        </is>
      </c>
      <c r="U33" s="8" t="n"/>
      <c r="V33" s="14" t="n"/>
      <c r="W33" s="14" t="n"/>
      <c r="X33" s="7" t="inlineStr"/>
      <c r="Y33" s="7" t="inlineStr"/>
    </row>
    <row r="34">
      <c r="A34" s="7" t="n">
        <v>9003</v>
      </c>
      <c r="B34" s="12" t="inlineStr">
        <is>
          <t>7898662435147</t>
        </is>
      </c>
      <c r="C34" s="7" t="inlineStr">
        <is>
          <t>521 VIP MASC PARFUM 15ML (212 VIP BLACK CAROLINA HERRERA)</t>
        </is>
      </c>
      <c r="D34" s="7" t="inlineStr">
        <is>
          <t>PERF/COSME</t>
        </is>
      </c>
      <c r="E34" s="7" t="inlineStr">
        <is>
          <t>A</t>
        </is>
      </c>
      <c r="F34" s="13" t="n">
        <v>3</v>
      </c>
      <c r="G34" s="13" t="n">
        <v>3</v>
      </c>
      <c r="H34" s="8" t="n">
        <v>21.98</v>
      </c>
      <c r="I34" s="8" t="n">
        <v>21.98</v>
      </c>
      <c r="J34" s="8" t="n">
        <v>21.98</v>
      </c>
      <c r="K34" s="8" t="n"/>
      <c r="L34" s="8" t="n"/>
      <c r="M34" s="8" t="n"/>
      <c r="N34" s="8" t="n"/>
      <c r="O34" s="8" t="n"/>
      <c r="P34" s="8" t="n"/>
      <c r="Q34" s="15" t="n">
        <v>21.1</v>
      </c>
      <c r="R34" s="8" t="n"/>
      <c r="S34" s="8" t="n"/>
      <c r="T34" s="7" t="inlineStr">
        <is>
          <t>MEDCENTRO</t>
        </is>
      </c>
      <c r="U34" s="8" t="n">
        <v>21.1</v>
      </c>
      <c r="V34" s="14">
        <f>U34/J34-1</f>
        <v/>
      </c>
      <c r="W34" s="14">
        <f>U34/H34-1</f>
        <v/>
      </c>
      <c r="X34" s="17" t="inlineStr">
        <is>
          <t>OK (≤ menor hist.)</t>
        </is>
      </c>
      <c r="Y34" s="7" t="inlineStr"/>
    </row>
    <row r="35">
      <c r="A35" s="7" t="n">
        <v>653581</v>
      </c>
      <c r="B35" s="12" t="inlineStr">
        <is>
          <t>7896699025195</t>
        </is>
      </c>
      <c r="C35" s="7" t="inlineStr">
        <is>
          <t>5214-01-F CH OCEANO SIL O T1 ROSA CX/6 - LOLLY</t>
        </is>
      </c>
      <c r="D35" s="7" t="inlineStr">
        <is>
          <t>BABY/KIDS</t>
        </is>
      </c>
      <c r="E35" s="7" t="inlineStr">
        <is>
          <t>B</t>
        </is>
      </c>
      <c r="F35" s="13" t="n">
        <v>2</v>
      </c>
      <c r="G35" s="13" t="n">
        <v>2</v>
      </c>
      <c r="H35" s="8" t="n">
        <v>8.460000000000001</v>
      </c>
      <c r="I35" s="8" t="n">
        <v>8.460000000000001</v>
      </c>
      <c r="J35" s="8" t="n">
        <v>8.460000000000001</v>
      </c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7" t="inlineStr">
        <is>
          <t>SEM COTAÇÃO</t>
        </is>
      </c>
      <c r="U35" s="8" t="n"/>
      <c r="V35" s="14" t="n"/>
      <c r="W35" s="14" t="n"/>
      <c r="X35" s="7" t="inlineStr"/>
      <c r="Y35" s="7" t="inlineStr"/>
    </row>
    <row r="36">
      <c r="A36" s="7" t="n">
        <v>634551</v>
      </c>
      <c r="B36" s="12" t="inlineStr">
        <is>
          <t>7895143226942</t>
        </is>
      </c>
      <c r="C36" s="7" t="inlineStr">
        <is>
          <t>5MAG 500MG 60CAPS QUALYNUTRI</t>
        </is>
      </c>
      <c r="D36" s="7" t="inlineStr">
        <is>
          <t>SIMILAR</t>
        </is>
      </c>
      <c r="E36" s="7" t="inlineStr">
        <is>
          <t>C</t>
        </is>
      </c>
      <c r="F36" s="13" t="n">
        <v>2</v>
      </c>
      <c r="G36" s="13" t="n">
        <v>2</v>
      </c>
      <c r="H36" s="8" t="n">
        <v>33.53</v>
      </c>
      <c r="I36" s="8" t="n">
        <v>33.53</v>
      </c>
      <c r="J36" s="8" t="n">
        <v>33.53</v>
      </c>
      <c r="K36" s="15" t="n">
        <v>33.53</v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7" t="inlineStr">
        <is>
          <t>DIMEC</t>
        </is>
      </c>
      <c r="U36" s="8" t="n">
        <v>33.53</v>
      </c>
      <c r="V36" s="14">
        <f>U36/J36-1</f>
        <v/>
      </c>
      <c r="W36" s="14">
        <f>U36/H36-1</f>
        <v/>
      </c>
      <c r="X36" s="17" t="inlineStr">
        <is>
          <t>OK (≤ menor hist.)</t>
        </is>
      </c>
      <c r="Y36" s="7" t="inlineStr"/>
    </row>
    <row r="37">
      <c r="A37" s="7" t="n">
        <v>643631</v>
      </c>
      <c r="B37" s="12" t="inlineStr">
        <is>
          <t>7896699019989</t>
        </is>
      </c>
      <c r="C37" s="7" t="inlineStr">
        <is>
          <t>7225-01 TIRA LEITE LOLLY</t>
        </is>
      </c>
      <c r="D37" s="7" t="inlineStr">
        <is>
          <t>BABY/KIDS</t>
        </is>
      </c>
      <c r="E37" s="7" t="inlineStr">
        <is>
          <t>B</t>
        </is>
      </c>
      <c r="F37" s="13" t="n">
        <v>3</v>
      </c>
      <c r="G37" s="13" t="n">
        <v>3</v>
      </c>
      <c r="H37" s="8" t="n">
        <v>26.35</v>
      </c>
      <c r="I37" s="8" t="n">
        <v>26.35</v>
      </c>
      <c r="J37" s="8" t="n">
        <v>26.35</v>
      </c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7" t="inlineStr">
        <is>
          <t>SEM COTAÇÃO</t>
        </is>
      </c>
      <c r="U37" s="8" t="n"/>
      <c r="V37" s="14" t="n"/>
      <c r="W37" s="14" t="n"/>
      <c r="X37" s="7" t="inlineStr"/>
      <c r="Y37" s="7" t="inlineStr"/>
    </row>
    <row r="38">
      <c r="A38" s="7" t="n">
        <v>653441</v>
      </c>
      <c r="B38" s="12" t="inlineStr">
        <is>
          <t>7896699011433</t>
        </is>
      </c>
      <c r="C38" s="7" t="inlineStr">
        <is>
          <t>7270-01 PROTETOR DE MAMILO LOLLY</t>
        </is>
      </c>
      <c r="D38" s="7" t="inlineStr">
        <is>
          <t>BABY/KIDS</t>
        </is>
      </c>
      <c r="E38" s="7" t="inlineStr">
        <is>
          <t>B</t>
        </is>
      </c>
      <c r="F38" s="13" t="n">
        <v>1</v>
      </c>
      <c r="G38" s="13" t="n">
        <v>1</v>
      </c>
      <c r="H38" s="8" t="n">
        <v>13.6</v>
      </c>
      <c r="I38" s="8" t="n">
        <v>13.6</v>
      </c>
      <c r="J38" s="8" t="n">
        <v>13.6</v>
      </c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7" t="inlineStr">
        <is>
          <t>SEM COTAÇÃO</t>
        </is>
      </c>
      <c r="U38" s="8" t="n"/>
      <c r="V38" s="14" t="n"/>
      <c r="W38" s="14" t="n"/>
      <c r="X38" s="7" t="inlineStr"/>
      <c r="Y38" s="7" t="inlineStr"/>
    </row>
    <row r="39">
      <c r="A39" s="7" t="n">
        <v>532101</v>
      </c>
      <c r="B39" s="12" t="inlineStr"/>
      <c r="C39" s="7" t="inlineStr">
        <is>
          <t>ABERALGINA GTS 10ML (DIPIRONA)</t>
        </is>
      </c>
      <c r="D39" s="7" t="inlineStr">
        <is>
          <t>SIMILAR</t>
        </is>
      </c>
      <c r="E39" s="7" t="inlineStr">
        <is>
          <t>B</t>
        </is>
      </c>
      <c r="F39" s="13" t="n">
        <v>16</v>
      </c>
      <c r="G39" s="13" t="n">
        <v>16</v>
      </c>
      <c r="H39" s="8" t="n">
        <v>1.46</v>
      </c>
      <c r="I39" s="8" t="n">
        <v>1.45</v>
      </c>
      <c r="J39" s="8" t="n">
        <v>1.45</v>
      </c>
      <c r="K39" s="8" t="n"/>
      <c r="L39" s="8" t="n"/>
      <c r="M39" s="8" t="n"/>
      <c r="N39" s="8" t="n"/>
      <c r="O39" s="8" t="n"/>
      <c r="P39" s="8" t="n"/>
      <c r="Q39" s="8" t="n"/>
      <c r="R39" s="15" t="n">
        <v>1.39</v>
      </c>
      <c r="S39" s="8" t="n"/>
      <c r="T39" s="7" t="inlineStr">
        <is>
          <t>BRASFARMA</t>
        </is>
      </c>
      <c r="U39" s="8" t="n">
        <v>1.39</v>
      </c>
      <c r="V39" s="14">
        <f>U39/J39-1</f>
        <v/>
      </c>
      <c r="W39" s="14">
        <f>U39/H39-1</f>
        <v/>
      </c>
      <c r="X39" s="17" t="inlineStr">
        <is>
          <t>OK (≤ menor hist.)</t>
        </is>
      </c>
      <c r="Y39" s="7" t="inlineStr"/>
    </row>
    <row r="40">
      <c r="A40" s="7" t="n">
        <v>638981</v>
      </c>
      <c r="B40" s="12" t="inlineStr">
        <is>
          <t>7894164009008</t>
        </is>
      </c>
      <c r="C40" s="7" t="inlineStr">
        <is>
          <t>ABIDOR CRIANCA 32G 60ML SUS.</t>
        </is>
      </c>
      <c r="D40" s="7" t="inlineStr">
        <is>
          <t>SIMILAR</t>
        </is>
      </c>
      <c r="E40" s="7" t="inlineStr">
        <is>
          <t>B</t>
        </is>
      </c>
      <c r="F40" s="13" t="n">
        <v>4</v>
      </c>
      <c r="G40" s="13" t="n">
        <v>4</v>
      </c>
      <c r="H40" s="8" t="n">
        <v>5.65</v>
      </c>
      <c r="I40" s="8" t="n">
        <v>5.65</v>
      </c>
      <c r="J40" s="8" t="n">
        <v>5.650000000000001</v>
      </c>
      <c r="K40" s="8" t="n">
        <v>6.4</v>
      </c>
      <c r="L40" s="8" t="n"/>
      <c r="M40" s="8" t="n"/>
      <c r="N40" s="8" t="n">
        <v>6.48</v>
      </c>
      <c r="O40" s="8" t="n"/>
      <c r="P40" s="8" t="n"/>
      <c r="Q40" s="8" t="n">
        <v>6.73</v>
      </c>
      <c r="R40" s="15" t="n">
        <v>6.11</v>
      </c>
      <c r="S40" s="8" t="n"/>
      <c r="T40" s="7" t="inlineStr">
        <is>
          <t>BRASFARMA</t>
        </is>
      </c>
      <c r="U40" s="8" t="n">
        <v>6.11</v>
      </c>
      <c r="V40" s="14">
        <f>U40/J40-1</f>
        <v/>
      </c>
      <c r="W40" s="14">
        <f>U40/H40-1</f>
        <v/>
      </c>
      <c r="X40" s="16" t="inlineStr">
        <is>
          <t>ACIMA +8.1%</t>
        </is>
      </c>
      <c r="Y40" s="7" t="inlineStr"/>
    </row>
    <row r="41">
      <c r="A41" s="7" t="n">
        <v>563221</v>
      </c>
      <c r="B41" s="12" t="inlineStr"/>
      <c r="C41" s="7" t="inlineStr">
        <is>
          <t>ABIDOR GTS 200MG/ML 15ML TUTTI-FRUTTI</t>
        </is>
      </c>
      <c r="D41" s="7" t="inlineStr">
        <is>
          <t>SIMILAR</t>
        </is>
      </c>
      <c r="E41" s="7" t="inlineStr">
        <is>
          <t>C</t>
        </is>
      </c>
      <c r="F41" s="13" t="n">
        <v>24</v>
      </c>
      <c r="G41" s="13" t="n">
        <v>24</v>
      </c>
      <c r="H41" s="8" t="n">
        <v>2.33</v>
      </c>
      <c r="I41" s="8" t="n">
        <v>2.33</v>
      </c>
      <c r="J41" s="8" t="n">
        <v>2.33</v>
      </c>
      <c r="K41" s="8" t="n"/>
      <c r="L41" s="8" t="n"/>
      <c r="M41" s="8" t="n"/>
      <c r="N41" s="8" t="n"/>
      <c r="O41" s="8" t="n"/>
      <c r="P41" s="8" t="n"/>
      <c r="Q41" s="8" t="n"/>
      <c r="R41" s="15" t="n">
        <v>2.35</v>
      </c>
      <c r="S41" s="8" t="n"/>
      <c r="T41" s="7" t="inlineStr">
        <is>
          <t>BRASFARMA</t>
        </is>
      </c>
      <c r="U41" s="8" t="n">
        <v>2.35</v>
      </c>
      <c r="V41" s="14">
        <f>U41/J41-1</f>
        <v/>
      </c>
      <c r="W41" s="14">
        <f>U41/H41-1</f>
        <v/>
      </c>
      <c r="X41" s="16" t="inlineStr">
        <is>
          <t>ACIMA +0.9%</t>
        </is>
      </c>
      <c r="Y41" s="7" t="inlineStr"/>
    </row>
    <row r="42">
      <c r="A42" s="7" t="n">
        <v>274461</v>
      </c>
      <c r="B42" s="12" t="inlineStr">
        <is>
          <t>7898040320973</t>
        </is>
      </c>
      <c r="C42" s="7" t="inlineStr">
        <is>
          <t>ABRILAR 7MG XPE FR 100ML+CM</t>
        </is>
      </c>
      <c r="D42" s="7" t="inlineStr">
        <is>
          <t>RX</t>
        </is>
      </c>
      <c r="E42" s="7" t="inlineStr">
        <is>
          <t>A</t>
        </is>
      </c>
      <c r="F42" s="13" t="n">
        <v>5</v>
      </c>
      <c r="G42" s="13" t="n">
        <v>5</v>
      </c>
      <c r="H42" s="8" t="n">
        <v>42.64</v>
      </c>
      <c r="I42" s="8" t="n">
        <v>33.1775</v>
      </c>
      <c r="J42" s="8" t="n">
        <v>36.61166666666667</v>
      </c>
      <c r="K42" s="8" t="n"/>
      <c r="L42" s="8" t="n"/>
      <c r="M42" s="8" t="n"/>
      <c r="N42" s="8" t="n"/>
      <c r="O42" s="8" t="n"/>
      <c r="P42" s="15" t="n">
        <v>41.8943</v>
      </c>
      <c r="Q42" s="8" t="n"/>
      <c r="R42" s="8" t="n"/>
      <c r="S42" s="8" t="n"/>
      <c r="T42" s="7" t="inlineStr">
        <is>
          <t>NAZARIA</t>
        </is>
      </c>
      <c r="U42" s="8" t="n">
        <v>41.8943</v>
      </c>
      <c r="V42" s="14">
        <f>U42/J42-1</f>
        <v/>
      </c>
      <c r="W42" s="14">
        <f>U42/H42-1</f>
        <v/>
      </c>
      <c r="X42" s="17" t="inlineStr">
        <is>
          <t>OK (≤ últ. compra)</t>
        </is>
      </c>
      <c r="Y42" s="7" t="inlineStr"/>
    </row>
    <row r="43">
      <c r="A43" s="7" t="n">
        <v>600881</v>
      </c>
      <c r="B43" s="12" t="inlineStr">
        <is>
          <t>7506339326055</t>
        </is>
      </c>
      <c r="C43" s="7" t="inlineStr">
        <is>
          <t>ABS ALW SUAVE NOTURNO C/A 28CM C/32</t>
        </is>
      </c>
      <c r="D43" s="7" t="inlineStr">
        <is>
          <t>ABSORVENTES</t>
        </is>
      </c>
      <c r="E43" s="7" t="inlineStr">
        <is>
          <t>A</t>
        </is>
      </c>
      <c r="F43" s="13" t="n">
        <v>3</v>
      </c>
      <c r="G43" s="13" t="n">
        <v>3</v>
      </c>
      <c r="H43" s="8" t="n">
        <v>25.59</v>
      </c>
      <c r="I43" s="8" t="n">
        <v>25.59</v>
      </c>
      <c r="J43" s="8" t="n">
        <v>25.59</v>
      </c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7" t="inlineStr">
        <is>
          <t>SEM COTAÇÃO</t>
        </is>
      </c>
      <c r="U43" s="8" t="n"/>
      <c r="V43" s="14" t="n"/>
      <c r="W43" s="14" t="n"/>
      <c r="X43" s="7" t="inlineStr"/>
      <c r="Y43" s="7" t="inlineStr"/>
    </row>
    <row r="44">
      <c r="A44" s="7" t="n">
        <v>606361</v>
      </c>
      <c r="B44" s="12" t="inlineStr">
        <is>
          <t>7506339326031</t>
        </is>
      </c>
      <c r="C44" s="7" t="inlineStr">
        <is>
          <t>ABS ALW SUAVE NOTURNO C/A C/16</t>
        </is>
      </c>
      <c r="D44" s="7" t="inlineStr">
        <is>
          <t>ABSORVENTES</t>
        </is>
      </c>
      <c r="E44" s="7" t="inlineStr">
        <is>
          <t>A</t>
        </is>
      </c>
      <c r="F44" s="13" t="n">
        <v>5</v>
      </c>
      <c r="G44" s="13" t="n">
        <v>5</v>
      </c>
      <c r="H44" s="8" t="n">
        <v>13.38</v>
      </c>
      <c r="I44" s="8" t="n">
        <v>13.38</v>
      </c>
      <c r="J44" s="8" t="n">
        <v>13.38</v>
      </c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7" t="inlineStr">
        <is>
          <t>SEM COTAÇÃO</t>
        </is>
      </c>
      <c r="U44" s="8" t="n"/>
      <c r="V44" s="14" t="n"/>
      <c r="W44" s="14" t="n"/>
      <c r="X44" s="7" t="inlineStr"/>
      <c r="Y44" s="7" t="inlineStr"/>
    </row>
    <row r="45">
      <c r="A45" s="7" t="n">
        <v>600861</v>
      </c>
      <c r="B45" s="12" t="inlineStr">
        <is>
          <t>7500435214667</t>
        </is>
      </c>
      <c r="C45" s="7" t="inlineStr">
        <is>
          <t>ABS ALW SUAVE NOTURNO C/A C/8 XG</t>
        </is>
      </c>
      <c r="D45" s="7" t="inlineStr">
        <is>
          <t>ABSORVENTES</t>
        </is>
      </c>
      <c r="E45" s="7" t="inlineStr">
        <is>
          <t>B</t>
        </is>
      </c>
      <c r="F45" s="13" t="n">
        <v>9</v>
      </c>
      <c r="G45" s="13" t="n">
        <v>9</v>
      </c>
      <c r="H45" s="8" t="n">
        <v>9.94</v>
      </c>
      <c r="I45" s="8" t="n">
        <v>9.9</v>
      </c>
      <c r="J45" s="8" t="n">
        <v>9.926666666666668</v>
      </c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7" t="inlineStr">
        <is>
          <t>SEM COTAÇÃO</t>
        </is>
      </c>
      <c r="U45" s="8" t="n"/>
      <c r="V45" s="14" t="n"/>
      <c r="W45" s="14" t="n"/>
      <c r="X45" s="7" t="inlineStr"/>
      <c r="Y45" s="7" t="inlineStr"/>
    </row>
    <row r="46">
      <c r="A46" s="7" t="n">
        <v>586701</v>
      </c>
      <c r="B46" s="12" t="inlineStr">
        <is>
          <t>7506339325249</t>
        </is>
      </c>
      <c r="C46" s="7" t="inlineStr">
        <is>
          <t>ABS ALWAYS NOTURNO SC C/AB L16 P14</t>
        </is>
      </c>
      <c r="D46" s="7" t="inlineStr">
        <is>
          <t>ABSORVENTES</t>
        </is>
      </c>
      <c r="E46" s="7" t="inlineStr">
        <is>
          <t>A</t>
        </is>
      </c>
      <c r="F46" s="13" t="n">
        <v>6</v>
      </c>
      <c r="G46" s="13" t="n">
        <v>6</v>
      </c>
      <c r="H46" s="8" t="n">
        <v>13.38</v>
      </c>
      <c r="I46" s="8" t="n">
        <v>13.38</v>
      </c>
      <c r="J46" s="8" t="n">
        <v>13.38</v>
      </c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7" t="inlineStr">
        <is>
          <t>SEM COTAÇÃO</t>
        </is>
      </c>
      <c r="U46" s="8" t="n"/>
      <c r="V46" s="14" t="n"/>
      <c r="W46" s="14" t="n"/>
      <c r="X46" s="7" t="inlineStr"/>
      <c r="Y46" s="7" t="inlineStr"/>
    </row>
    <row r="47">
      <c r="A47" s="7" t="n">
        <v>540081</v>
      </c>
      <c r="B47" s="12" t="inlineStr">
        <is>
          <t>7506339394535</t>
        </is>
      </c>
      <c r="C47" s="7" t="inlineStr">
        <is>
          <t>ABS ALWAYS SECA 8 UN.</t>
        </is>
      </c>
      <c r="D47" s="7" t="inlineStr">
        <is>
          <t>ABSORVENTES</t>
        </is>
      </c>
      <c r="E47" s="7" t="inlineStr">
        <is>
          <t>A</t>
        </is>
      </c>
      <c r="F47" s="13" t="n">
        <v>7</v>
      </c>
      <c r="G47" s="13" t="n">
        <v>7</v>
      </c>
      <c r="H47" s="8" t="n">
        <v>6.94</v>
      </c>
      <c r="I47" s="8" t="n">
        <v>6.94</v>
      </c>
      <c r="J47" s="8" t="n">
        <v>6.94</v>
      </c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7" t="inlineStr">
        <is>
          <t>SEM COTAÇÃO</t>
        </is>
      </c>
      <c r="U47" s="8" t="n"/>
      <c r="V47" s="14" t="n"/>
      <c r="W47" s="14" t="n"/>
      <c r="X47" s="7" t="inlineStr"/>
      <c r="Y47" s="7" t="inlineStr"/>
    </row>
    <row r="48">
      <c r="A48" s="7" t="n">
        <v>635171</v>
      </c>
      <c r="B48" s="12" t="inlineStr">
        <is>
          <t>7898067951594</t>
        </is>
      </c>
      <c r="C48" s="7" t="inlineStr">
        <is>
          <t>ABS CLIN-OFF C/ABAS SUAVE C/32</t>
        </is>
      </c>
      <c r="D48" s="7" t="inlineStr">
        <is>
          <t>ABSORVENTES</t>
        </is>
      </c>
      <c r="E48" s="7" t="inlineStr">
        <is>
          <t>C</t>
        </is>
      </c>
      <c r="F48" s="13" t="n">
        <v>1</v>
      </c>
      <c r="G48" s="13" t="n">
        <v>1</v>
      </c>
      <c r="H48" s="8" t="n">
        <v>10.99</v>
      </c>
      <c r="I48" s="8" t="n">
        <v>10.99</v>
      </c>
      <c r="J48" s="8" t="n">
        <v>10.99</v>
      </c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7" t="inlineStr">
        <is>
          <t>SEM COTAÇÃO</t>
        </is>
      </c>
      <c r="U48" s="8" t="n"/>
      <c r="V48" s="14" t="n"/>
      <c r="W48" s="14" t="n"/>
      <c r="X48" s="7" t="inlineStr"/>
      <c r="Y48" s="7" t="inlineStr"/>
    </row>
    <row r="49">
      <c r="A49" s="7" t="n">
        <v>575681</v>
      </c>
      <c r="B49" s="12" t="inlineStr">
        <is>
          <t>7898067950955</t>
        </is>
      </c>
      <c r="C49" s="7" t="inlineStr">
        <is>
          <t>ABS CLIN-OFF COM ABAS C/8UNID.</t>
        </is>
      </c>
      <c r="D49" s="7" t="inlineStr">
        <is>
          <t>ABSORVENTES</t>
        </is>
      </c>
      <c r="E49" s="7" t="inlineStr">
        <is>
          <t>C</t>
        </is>
      </c>
      <c r="F49" s="13" t="n">
        <v>4</v>
      </c>
      <c r="G49" s="13" t="n">
        <v>4</v>
      </c>
      <c r="H49" s="8" t="n">
        <v>2.97</v>
      </c>
      <c r="I49" s="8" t="n">
        <v>2.97</v>
      </c>
      <c r="J49" s="8" t="n">
        <v>2.97</v>
      </c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7" t="inlineStr">
        <is>
          <t>SEM COTAÇÃO</t>
        </is>
      </c>
      <c r="U49" s="8" t="n"/>
      <c r="V49" s="14" t="n"/>
      <c r="W49" s="14" t="n"/>
      <c r="X49" s="7" t="inlineStr"/>
      <c r="Y49" s="7" t="inlineStr"/>
    </row>
    <row r="50">
      <c r="A50" s="7" t="n">
        <v>593611</v>
      </c>
      <c r="B50" s="12" t="inlineStr">
        <is>
          <t>7898067951549</t>
        </is>
      </c>
      <c r="C50" s="7" t="inlineStr">
        <is>
          <t>ABS CLINOFF LV 16 PG 14 C ABAS</t>
        </is>
      </c>
      <c r="D50" s="7" t="inlineStr">
        <is>
          <t>ABSORVENTES</t>
        </is>
      </c>
      <c r="E50" s="7" t="inlineStr">
        <is>
          <t>B</t>
        </is>
      </c>
      <c r="F50" s="13" t="n">
        <v>1</v>
      </c>
      <c r="G50" s="13" t="n">
        <v>1</v>
      </c>
      <c r="H50" s="8" t="n">
        <v>5.4</v>
      </c>
      <c r="I50" s="8" t="n">
        <v>5.4</v>
      </c>
      <c r="J50" s="8" t="n">
        <v>5.400000000000001</v>
      </c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7" t="inlineStr">
        <is>
          <t>SEM COTAÇÃO</t>
        </is>
      </c>
      <c r="U50" s="8" t="n"/>
      <c r="V50" s="14" t="n"/>
      <c r="W50" s="14" t="n"/>
      <c r="X50" s="7" t="inlineStr"/>
      <c r="Y50" s="7" t="inlineStr"/>
    </row>
    <row r="51">
      <c r="A51" s="7" t="n">
        <v>557241</v>
      </c>
      <c r="B51" s="12" t="inlineStr">
        <is>
          <t>7898067951518</t>
        </is>
      </c>
      <c r="C51" s="7" t="inlineStr">
        <is>
          <t>ABS CLINOFF NOTURNO 8UN</t>
        </is>
      </c>
      <c r="D51" s="7" t="inlineStr">
        <is>
          <t>ABSORVENTES</t>
        </is>
      </c>
      <c r="E51" s="7" t="inlineStr">
        <is>
          <t>C</t>
        </is>
      </c>
      <c r="F51" s="13" t="n">
        <v>12</v>
      </c>
      <c r="G51" s="13" t="n">
        <v>12</v>
      </c>
      <c r="H51" s="8" t="n">
        <v>5.04</v>
      </c>
      <c r="I51" s="8" t="n">
        <v>4.7</v>
      </c>
      <c r="J51" s="8" t="n">
        <v>4.7</v>
      </c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7" t="inlineStr">
        <is>
          <t>SEM COTAÇÃO</t>
        </is>
      </c>
      <c r="U51" s="8" t="n"/>
      <c r="V51" s="14" t="n"/>
      <c r="W51" s="14" t="n"/>
      <c r="X51" s="7" t="inlineStr"/>
      <c r="Y51" s="7" t="inlineStr"/>
    </row>
    <row r="52">
      <c r="A52" s="7" t="n">
        <v>541881</v>
      </c>
      <c r="B52" s="12" t="inlineStr">
        <is>
          <t>7896227650127</t>
        </is>
      </c>
      <c r="C52" s="7" t="inlineStr">
        <is>
          <t>ABS COTTONBABY LADY C/A NOT.C/8</t>
        </is>
      </c>
      <c r="D52" s="7" t="inlineStr">
        <is>
          <t>ABSORVENTES</t>
        </is>
      </c>
      <c r="E52" s="7" t="inlineStr">
        <is>
          <t>A</t>
        </is>
      </c>
      <c r="F52" s="13" t="n">
        <v>16</v>
      </c>
      <c r="G52" s="13" t="n">
        <v>16</v>
      </c>
      <c r="H52" s="8" t="n">
        <v>4.59</v>
      </c>
      <c r="I52" s="8" t="n">
        <v>4.59</v>
      </c>
      <c r="J52" s="8" t="n">
        <v>4.59</v>
      </c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7" t="inlineStr">
        <is>
          <t>SEM COTAÇÃO</t>
        </is>
      </c>
      <c r="U52" s="8" t="n"/>
      <c r="V52" s="14" t="n"/>
      <c r="W52" s="14" t="n"/>
      <c r="X52" s="7" t="inlineStr"/>
      <c r="Y52" s="7" t="inlineStr"/>
    </row>
    <row r="53">
      <c r="A53" s="7" t="n">
        <v>610401</v>
      </c>
      <c r="B53" s="12" t="inlineStr">
        <is>
          <t>7896480662943</t>
        </is>
      </c>
      <c r="C53" s="7" t="inlineStr">
        <is>
          <t>ABS ENLACE ADULTO POS PARTO/OPERATORIO 20UN</t>
        </is>
      </c>
      <c r="D53" s="7" t="inlineStr">
        <is>
          <t>FRALDAS GERIATRICAS</t>
        </is>
      </c>
      <c r="E53" s="7" t="inlineStr">
        <is>
          <t>C</t>
        </is>
      </c>
      <c r="F53" s="13" t="n">
        <v>3</v>
      </c>
      <c r="G53" s="13" t="n">
        <v>3</v>
      </c>
      <c r="H53" s="8" t="n">
        <v>13.51</v>
      </c>
      <c r="I53" s="8" t="n">
        <v>13.51</v>
      </c>
      <c r="J53" s="8" t="n">
        <v>13.51</v>
      </c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7" t="inlineStr">
        <is>
          <t>SEM COTAÇÃO</t>
        </is>
      </c>
      <c r="U53" s="8" t="n"/>
      <c r="V53" s="14" t="n"/>
      <c r="W53" s="14" t="n"/>
      <c r="X53" s="7" t="inlineStr"/>
      <c r="Y53" s="7" t="inlineStr"/>
    </row>
    <row r="54">
      <c r="A54" s="7" t="n">
        <v>630901</v>
      </c>
      <c r="B54" s="12" t="inlineStr">
        <is>
          <t>7896064487016</t>
        </is>
      </c>
      <c r="C54" s="7" t="inlineStr">
        <is>
          <t>ABS GERIAMAX POS PARTO C/20UN</t>
        </is>
      </c>
      <c r="D54" s="7" t="inlineStr">
        <is>
          <t>FRALDAS GERIATRICAS</t>
        </is>
      </c>
      <c r="E54" s="7" t="inlineStr">
        <is>
          <t>A</t>
        </is>
      </c>
      <c r="F54" s="13" t="n">
        <v>3</v>
      </c>
      <c r="G54" s="13" t="n">
        <v>3</v>
      </c>
      <c r="H54" s="8" t="n">
        <v>20.02</v>
      </c>
      <c r="I54" s="8" t="n">
        <v>17.35</v>
      </c>
      <c r="J54" s="8" t="n">
        <v>19.13</v>
      </c>
      <c r="K54" s="8" t="n"/>
      <c r="L54" s="8" t="n"/>
      <c r="M54" s="8" t="n"/>
      <c r="N54" s="8" t="n"/>
      <c r="O54" s="8" t="n"/>
      <c r="P54" s="15" t="n">
        <v>20.88</v>
      </c>
      <c r="Q54" s="8" t="n"/>
      <c r="R54" s="8" t="n"/>
      <c r="S54" s="8" t="n"/>
      <c r="T54" s="7" t="inlineStr">
        <is>
          <t>NAZARIA</t>
        </is>
      </c>
      <c r="U54" s="8" t="n">
        <v>20.88</v>
      </c>
      <c r="V54" s="14">
        <f>U54/J54-1</f>
        <v/>
      </c>
      <c r="W54" s="14">
        <f>U54/H54-1</f>
        <v/>
      </c>
      <c r="X54" s="16" t="inlineStr">
        <is>
          <t>ACIMA +4.3%</t>
        </is>
      </c>
      <c r="Y54" s="7" t="inlineStr"/>
    </row>
    <row r="55">
      <c r="A55" s="7" t="n">
        <v>586281</v>
      </c>
      <c r="B55" s="12" t="inlineStr">
        <is>
          <t>7898067951150</t>
        </is>
      </c>
      <c r="C55" s="7" t="inlineStr">
        <is>
          <t>ABS GERIATRICO POS PARTO CLIN-OFF C/18</t>
        </is>
      </c>
      <c r="D55" s="7" t="inlineStr">
        <is>
          <t>FRALDAS GERIATRICAS</t>
        </is>
      </c>
      <c r="E55" s="7" t="inlineStr">
        <is>
          <t>C</t>
        </is>
      </c>
      <c r="F55" s="13" t="n">
        <v>2</v>
      </c>
      <c r="G55" s="13" t="n">
        <v>2</v>
      </c>
      <c r="H55" s="8" t="n">
        <v>20.33</v>
      </c>
      <c r="I55" s="8" t="n">
        <v>20.33</v>
      </c>
      <c r="J55" s="8" t="n">
        <v>20.33</v>
      </c>
      <c r="K55" s="8" t="n"/>
      <c r="L55" s="8" t="n"/>
      <c r="M55" s="8" t="n"/>
      <c r="N55" s="8" t="n"/>
      <c r="O55" s="8" t="n"/>
      <c r="P55" s="8" t="n"/>
      <c r="Q55" s="8" t="n"/>
      <c r="R55" s="8" t="n"/>
      <c r="S55" s="8" t="n"/>
      <c r="T55" s="7" t="inlineStr">
        <is>
          <t>SEM COTAÇÃO</t>
        </is>
      </c>
      <c r="U55" s="8" t="n"/>
      <c r="V55" s="14" t="n"/>
      <c r="W55" s="14" t="n"/>
      <c r="X55" s="7" t="inlineStr"/>
      <c r="Y55" s="7" t="inlineStr"/>
    </row>
    <row r="56">
      <c r="A56" s="7" t="n">
        <v>595461</v>
      </c>
      <c r="B56" s="12" t="inlineStr">
        <is>
          <t>7896007541959</t>
        </is>
      </c>
      <c r="C56" s="7" t="inlineStr">
        <is>
          <t>ABS INT DAYS S/AB 15UN</t>
        </is>
      </c>
      <c r="D56" s="7" t="inlineStr">
        <is>
          <t>ABSORVENTES</t>
        </is>
      </c>
      <c r="E56" s="7" t="inlineStr">
        <is>
          <t>C</t>
        </is>
      </c>
      <c r="F56" s="13" t="n">
        <v>3</v>
      </c>
      <c r="G56" s="13" t="n">
        <v>3</v>
      </c>
      <c r="H56" s="8" t="n">
        <v>4.035</v>
      </c>
      <c r="I56" s="8" t="n">
        <v>4.035</v>
      </c>
      <c r="J56" s="8" t="n">
        <v>4.035</v>
      </c>
      <c r="K56" s="8" t="n"/>
      <c r="L56" s="8" t="n"/>
      <c r="M56" s="8" t="n"/>
      <c r="N56" s="8" t="n"/>
      <c r="O56" s="8" t="n"/>
      <c r="P56" s="8" t="n">
        <v>5.76</v>
      </c>
      <c r="Q56" s="8" t="n"/>
      <c r="R56" s="8" t="n"/>
      <c r="S56" s="8" t="n"/>
      <c r="T56" s="7" t="inlineStr">
        <is>
          <t>SEM COTAÇÃO</t>
        </is>
      </c>
      <c r="U56" s="8" t="n"/>
      <c r="V56" s="14" t="n"/>
      <c r="W56" s="14" t="n"/>
      <c r="X56" s="7" t="inlineStr"/>
      <c r="Y56" s="7" t="inlineStr">
        <is>
          <t>NAZARIA: sem estoque</t>
        </is>
      </c>
    </row>
    <row r="57">
      <c r="A57" s="7" t="n">
        <v>595471</v>
      </c>
      <c r="B57" s="12" t="inlineStr">
        <is>
          <t>7896007542482</t>
        </is>
      </c>
      <c r="C57" s="7" t="inlineStr">
        <is>
          <t>ABS INT DAYS S/AB 40UN</t>
        </is>
      </c>
      <c r="D57" s="7" t="inlineStr">
        <is>
          <t>ABSORVENTES</t>
        </is>
      </c>
      <c r="E57" s="7" t="inlineStr">
        <is>
          <t>C</t>
        </is>
      </c>
      <c r="F57" s="13" t="n">
        <v>2</v>
      </c>
      <c r="G57" s="13" t="n">
        <v>2</v>
      </c>
      <c r="H57" s="8" t="n">
        <v>11.3917</v>
      </c>
      <c r="I57" s="8" t="n">
        <v>11.3917</v>
      </c>
      <c r="J57" s="8" t="n">
        <v>11.3917</v>
      </c>
      <c r="K57" s="8" t="n"/>
      <c r="L57" s="8" t="n"/>
      <c r="M57" s="8" t="n"/>
      <c r="N57" s="8" t="n"/>
      <c r="O57" s="8" t="n"/>
      <c r="P57" s="15" t="n">
        <v>12.28</v>
      </c>
      <c r="Q57" s="8" t="n"/>
      <c r="R57" s="8" t="n"/>
      <c r="S57" s="8" t="n"/>
      <c r="T57" s="7" t="inlineStr">
        <is>
          <t>NAZARIA</t>
        </is>
      </c>
      <c r="U57" s="8" t="n">
        <v>12.28</v>
      </c>
      <c r="V57" s="14">
        <f>U57/J57-1</f>
        <v/>
      </c>
      <c r="W57" s="14">
        <f>U57/H57-1</f>
        <v/>
      </c>
      <c r="X57" s="16" t="inlineStr">
        <is>
          <t>ACIMA +7.8%</t>
        </is>
      </c>
      <c r="Y57" s="7" t="inlineStr"/>
    </row>
    <row r="58">
      <c r="A58" s="7" t="n">
        <v>659431</v>
      </c>
      <c r="B58" s="12" t="inlineStr">
        <is>
          <t>7891010245603</t>
        </is>
      </c>
      <c r="C58" s="7" t="inlineStr">
        <is>
          <t>ABS INTERNO OB PROCOMFORT MED C/8</t>
        </is>
      </c>
      <c r="D58" s="7" t="inlineStr">
        <is>
          <t>ABSORVENTES</t>
        </is>
      </c>
      <c r="E58" s="7" t="inlineStr">
        <is>
          <t>C</t>
        </is>
      </c>
      <c r="F58" s="13" t="n">
        <v>6</v>
      </c>
      <c r="G58" s="13" t="n">
        <v>6</v>
      </c>
      <c r="H58" s="8" t="n">
        <v>8.8025</v>
      </c>
      <c r="I58" s="8" t="n">
        <v>8.8025</v>
      </c>
      <c r="J58" s="8" t="n">
        <v>8.8025</v>
      </c>
      <c r="K58" s="8" t="n"/>
      <c r="L58" s="8" t="n"/>
      <c r="M58" s="8" t="n"/>
      <c r="N58" s="8" t="n"/>
      <c r="O58" s="8" t="n"/>
      <c r="P58" s="15" t="n">
        <v>10.44</v>
      </c>
      <c r="Q58" s="8" t="n"/>
      <c r="R58" s="8" t="n"/>
      <c r="S58" s="8" t="n"/>
      <c r="T58" s="7" t="inlineStr">
        <is>
          <t>NAZARIA</t>
        </is>
      </c>
      <c r="U58" s="8" t="n">
        <v>10.44</v>
      </c>
      <c r="V58" s="14">
        <f>U58/J58-1</f>
        <v/>
      </c>
      <c r="W58" s="14">
        <f>U58/H58-1</f>
        <v/>
      </c>
      <c r="X58" s="16" t="inlineStr">
        <is>
          <t>ACIMA +18.6%</t>
        </is>
      </c>
      <c r="Y58" s="7" t="inlineStr"/>
    </row>
    <row r="59">
      <c r="A59" s="7" t="n">
        <v>587021</v>
      </c>
      <c r="B59" s="12" t="inlineStr">
        <is>
          <t>7896007544059</t>
        </is>
      </c>
      <c r="C59" s="7" t="inlineStr">
        <is>
          <t>ABS INTIM GEL NORM SECA C/ABAS C/32</t>
        </is>
      </c>
      <c r="D59" s="7" t="inlineStr">
        <is>
          <t>ABSORVENTES</t>
        </is>
      </c>
      <c r="E59" s="7" t="inlineStr">
        <is>
          <t>C</t>
        </is>
      </c>
      <c r="F59" s="13" t="n">
        <v>1</v>
      </c>
      <c r="G59" s="13" t="n">
        <v>1</v>
      </c>
      <c r="H59" s="8" t="n">
        <v>12.85</v>
      </c>
      <c r="I59" s="8" t="n">
        <v>12.85</v>
      </c>
      <c r="J59" s="8" t="n">
        <v>12.85</v>
      </c>
      <c r="K59" s="8" t="n"/>
      <c r="L59" s="8" t="n"/>
      <c r="M59" s="8" t="n"/>
      <c r="N59" s="8" t="n"/>
      <c r="O59" s="8" t="n"/>
      <c r="P59" s="15" t="n">
        <v>15.31</v>
      </c>
      <c r="Q59" s="8" t="n"/>
      <c r="R59" s="8" t="n"/>
      <c r="S59" s="8" t="n"/>
      <c r="T59" s="7" t="inlineStr">
        <is>
          <t>NAZARIA</t>
        </is>
      </c>
      <c r="U59" s="8" t="n">
        <v>15.31</v>
      </c>
      <c r="V59" s="14">
        <f>U59/J59-1</f>
        <v/>
      </c>
      <c r="W59" s="14">
        <f>U59/H59-1</f>
        <v/>
      </c>
      <c r="X59" s="16" t="inlineStr">
        <is>
          <t>ACIMA +19.1%</t>
        </is>
      </c>
      <c r="Y59" s="7" t="inlineStr"/>
    </row>
    <row r="60">
      <c r="A60" s="7" t="n">
        <v>628601</v>
      </c>
      <c r="B60" s="12" t="inlineStr">
        <is>
          <t>7896007550890</t>
        </is>
      </c>
      <c r="C60" s="7" t="inlineStr">
        <is>
          <t>ABS INTIM GEL NOTUR C/ABAS SUAVE C/30</t>
        </is>
      </c>
      <c r="D60" s="7" t="inlineStr">
        <is>
          <t>ABSORVENTES</t>
        </is>
      </c>
      <c r="E60" s="7" t="inlineStr">
        <is>
          <t>A</t>
        </is>
      </c>
      <c r="F60" s="13" t="n">
        <v>3</v>
      </c>
      <c r="G60" s="13" t="n">
        <v>3</v>
      </c>
      <c r="H60" s="8" t="n">
        <v>26.1</v>
      </c>
      <c r="I60" s="8" t="n">
        <v>17.6317</v>
      </c>
      <c r="J60" s="8" t="n">
        <v>19.25056666666667</v>
      </c>
      <c r="K60" s="8" t="n"/>
      <c r="L60" s="8" t="n"/>
      <c r="M60" s="8" t="n"/>
      <c r="N60" s="8" t="n"/>
      <c r="O60" s="8" t="n"/>
      <c r="P60" s="15" t="n">
        <v>27.24</v>
      </c>
      <c r="Q60" s="8" t="n"/>
      <c r="R60" s="8" t="n"/>
      <c r="S60" s="8" t="n"/>
      <c r="T60" s="7" t="inlineStr">
        <is>
          <t>NAZARIA</t>
        </is>
      </c>
      <c r="U60" s="8" t="n">
        <v>27.24</v>
      </c>
      <c r="V60" s="14">
        <f>U60/J60-1</f>
        <v/>
      </c>
      <c r="W60" s="14">
        <f>U60/H60-1</f>
        <v/>
      </c>
      <c r="X60" s="16" t="inlineStr">
        <is>
          <t>ACIMA +4.4%</t>
        </is>
      </c>
      <c r="Y60" s="7" t="inlineStr"/>
    </row>
    <row r="61">
      <c r="A61" s="7" t="n">
        <v>628751</v>
      </c>
      <c r="B61" s="12" t="inlineStr">
        <is>
          <t>7896007542864</t>
        </is>
      </c>
      <c r="C61" s="7" t="inlineStr">
        <is>
          <t>ABS INTIMUS INTERNO MEDIO L16P15</t>
        </is>
      </c>
      <c r="D61" s="7" t="inlineStr">
        <is>
          <t>ABSORVENTES</t>
        </is>
      </c>
      <c r="E61" s="7" t="inlineStr">
        <is>
          <t>A</t>
        </is>
      </c>
      <c r="F61" s="13" t="n">
        <v>6</v>
      </c>
      <c r="G61" s="13" t="n">
        <v>6</v>
      </c>
      <c r="H61" s="8" t="n">
        <v>14.27</v>
      </c>
      <c r="I61" s="8" t="n">
        <v>13.54</v>
      </c>
      <c r="J61" s="8" t="n">
        <v>14.02666666666667</v>
      </c>
      <c r="K61" s="8" t="n"/>
      <c r="L61" s="8" t="n"/>
      <c r="M61" s="8" t="n"/>
      <c r="N61" s="8" t="n"/>
      <c r="O61" s="8" t="n"/>
      <c r="P61" s="8" t="n">
        <v>21</v>
      </c>
      <c r="Q61" s="8" t="n"/>
      <c r="R61" s="8" t="n"/>
      <c r="S61" s="8" t="n"/>
      <c r="T61" s="7" t="inlineStr">
        <is>
          <t>SEM COTAÇÃO</t>
        </is>
      </c>
      <c r="U61" s="8" t="n"/>
      <c r="V61" s="14" t="n"/>
      <c r="W61" s="14" t="n"/>
      <c r="X61" s="7" t="inlineStr"/>
      <c r="Y61" s="7" t="inlineStr">
        <is>
          <t>NAZARIA: sem estoque</t>
        </is>
      </c>
    </row>
    <row r="62">
      <c r="A62" s="7" t="n">
        <v>540121</v>
      </c>
      <c r="B62" s="12" t="inlineStr">
        <is>
          <t>7896007550883</t>
        </is>
      </c>
      <c r="C62" s="7" t="inlineStr">
        <is>
          <t>ABS INTIMUS NOTURNO 16 UN</t>
        </is>
      </c>
      <c r="D62" s="7" t="inlineStr">
        <is>
          <t>ABSORVENTES</t>
        </is>
      </c>
      <c r="E62" s="7" t="inlineStr">
        <is>
          <t>C</t>
        </is>
      </c>
      <c r="F62" s="13" t="n">
        <v>3</v>
      </c>
      <c r="G62" s="13" t="n">
        <v>3</v>
      </c>
      <c r="H62" s="8" t="n">
        <v>10.5033</v>
      </c>
      <c r="I62" s="8" t="n">
        <v>10.5033</v>
      </c>
      <c r="J62" s="8" t="n">
        <v>10.5033</v>
      </c>
      <c r="K62" s="8" t="n"/>
      <c r="L62" s="8" t="n"/>
      <c r="M62" s="8" t="n"/>
      <c r="N62" s="8" t="n"/>
      <c r="O62" s="8" t="n"/>
      <c r="P62" s="15" t="n">
        <v>15.98</v>
      </c>
      <c r="Q62" s="8" t="n"/>
      <c r="R62" s="8" t="n"/>
      <c r="S62" s="8" t="n"/>
      <c r="T62" s="7" t="inlineStr">
        <is>
          <t>NAZARIA</t>
        </is>
      </c>
      <c r="U62" s="8" t="n">
        <v>15.98</v>
      </c>
      <c r="V62" s="14">
        <f>U62/J62-1</f>
        <v/>
      </c>
      <c r="W62" s="14">
        <f>U62/H62-1</f>
        <v/>
      </c>
      <c r="X62" s="16" t="inlineStr">
        <is>
          <t>ACIMA +52.1%</t>
        </is>
      </c>
      <c r="Y62" s="7" t="inlineStr"/>
    </row>
    <row r="63">
      <c r="A63" s="7" t="n">
        <v>600091</v>
      </c>
      <c r="B63" s="12" t="inlineStr">
        <is>
          <t>7898656390889</t>
        </is>
      </c>
      <c r="C63" s="7" t="inlineStr">
        <is>
          <t>ABS LIFREE FRALDA CALCA C/20</t>
        </is>
      </c>
      <c r="D63" s="7" t="inlineStr">
        <is>
          <t>FRALDAS GERIATRICAS</t>
        </is>
      </c>
      <c r="E63" s="7" t="inlineStr">
        <is>
          <t>C</t>
        </is>
      </c>
      <c r="F63" s="13" t="n">
        <v>1</v>
      </c>
      <c r="G63" s="13" t="n">
        <v>1</v>
      </c>
      <c r="H63" s="8" t="n">
        <v>23.02</v>
      </c>
      <c r="I63" s="8" t="n">
        <v>23.02</v>
      </c>
      <c r="J63" s="8" t="n">
        <v>23.02</v>
      </c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7" t="inlineStr">
        <is>
          <t>SEM COTAÇÃO</t>
        </is>
      </c>
      <c r="U63" s="8" t="n"/>
      <c r="V63" s="14" t="n"/>
      <c r="W63" s="14" t="n"/>
      <c r="X63" s="7" t="inlineStr"/>
      <c r="Y63" s="7" t="inlineStr"/>
    </row>
    <row r="64">
      <c r="A64" s="7" t="n">
        <v>615681</v>
      </c>
      <c r="B64" s="12" t="inlineStr">
        <is>
          <t>7896104993927</t>
        </is>
      </c>
      <c r="C64" s="7" t="inlineStr">
        <is>
          <t>ABS MILI DIA E NOITE SUAVE C/ABAS C/08</t>
        </is>
      </c>
      <c r="D64" s="7" t="inlineStr">
        <is>
          <t>ABSORVENTES</t>
        </is>
      </c>
      <c r="E64" s="7" t="inlineStr">
        <is>
          <t>B</t>
        </is>
      </c>
      <c r="F64" s="13" t="n">
        <v>14</v>
      </c>
      <c r="G64" s="13" t="n">
        <v>14</v>
      </c>
      <c r="H64" s="8" t="n">
        <v>4.65</v>
      </c>
      <c r="I64" s="8" t="n">
        <v>2.97</v>
      </c>
      <c r="J64" s="8" t="n">
        <v>4.090000000000001</v>
      </c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7" t="inlineStr">
        <is>
          <t>SEM COTAÇÃO</t>
        </is>
      </c>
      <c r="U64" s="8" t="n"/>
      <c r="V64" s="14" t="n"/>
      <c r="W64" s="14" t="n"/>
      <c r="X64" s="7" t="inlineStr"/>
      <c r="Y64" s="7" t="inlineStr"/>
    </row>
    <row r="65">
      <c r="A65" s="7" t="n">
        <v>618711</v>
      </c>
      <c r="B65" s="12" t="inlineStr">
        <is>
          <t>7896104993903</t>
        </is>
      </c>
      <c r="C65" s="7" t="inlineStr">
        <is>
          <t>ABS MILI DIA E NOITE SUAVE C/ABAS C/16</t>
        </is>
      </c>
      <c r="D65" s="7" t="inlineStr">
        <is>
          <t>ABSORVENTES</t>
        </is>
      </c>
      <c r="E65" s="7" t="inlineStr">
        <is>
          <t>A</t>
        </is>
      </c>
      <c r="F65" s="13" t="n">
        <v>6</v>
      </c>
      <c r="G65" s="13" t="n">
        <v>6</v>
      </c>
      <c r="H65" s="8" t="n">
        <v>7.79</v>
      </c>
      <c r="I65" s="8" t="n">
        <v>7.79</v>
      </c>
      <c r="J65" s="8" t="n">
        <v>7.79</v>
      </c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7" t="inlineStr">
        <is>
          <t>SEM COTAÇÃO</t>
        </is>
      </c>
      <c r="U65" s="8" t="n"/>
      <c r="V65" s="14" t="n"/>
      <c r="W65" s="14" t="n"/>
      <c r="X65" s="7" t="inlineStr"/>
      <c r="Y65" s="7" t="inlineStr"/>
    </row>
    <row r="66">
      <c r="A66" s="7" t="n">
        <v>622151</v>
      </c>
      <c r="B66" s="12" t="inlineStr">
        <is>
          <t>7896104993880</t>
        </is>
      </c>
      <c r="C66" s="7" t="inlineStr">
        <is>
          <t>ABS MILI NOTURNO SUAVE C/ABAS C/16</t>
        </is>
      </c>
      <c r="D66" s="7" t="inlineStr">
        <is>
          <t>ABSORVENTES</t>
        </is>
      </c>
      <c r="E66" s="7" t="inlineStr">
        <is>
          <t>A</t>
        </is>
      </c>
      <c r="F66" s="13" t="n">
        <v>23</v>
      </c>
      <c r="G66" s="13" t="n">
        <v>23</v>
      </c>
      <c r="H66" s="8" t="n">
        <v>8.949999999999999</v>
      </c>
      <c r="I66" s="8" t="n">
        <v>6.38</v>
      </c>
      <c r="J66" s="8" t="n">
        <v>8.093333333333332</v>
      </c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7" t="inlineStr">
        <is>
          <t>SEM COTAÇÃO</t>
        </is>
      </c>
      <c r="U66" s="8" t="n"/>
      <c r="V66" s="14" t="n"/>
      <c r="W66" s="14" t="n"/>
      <c r="X66" s="7" t="inlineStr"/>
      <c r="Y66" s="7" t="inlineStr"/>
    </row>
    <row r="67">
      <c r="A67" s="7" t="n">
        <v>615501</v>
      </c>
      <c r="B67" s="12" t="inlineStr">
        <is>
          <t>7896104993897</t>
        </is>
      </c>
      <c r="C67" s="7" t="inlineStr">
        <is>
          <t>ABS MILI NOTURNO SUAVE C/ABAS C/8</t>
        </is>
      </c>
      <c r="D67" s="7" t="inlineStr">
        <is>
          <t>ABSORVENTES</t>
        </is>
      </c>
      <c r="E67" s="7" t="inlineStr">
        <is>
          <t>B</t>
        </is>
      </c>
      <c r="F67" s="13" t="n">
        <v>8</v>
      </c>
      <c r="G67" s="13" t="n">
        <v>8</v>
      </c>
      <c r="H67" s="8" t="n">
        <v>5.39</v>
      </c>
      <c r="I67" s="8" t="n">
        <v>3.42</v>
      </c>
      <c r="J67" s="8" t="n">
        <v>4.733333333333333</v>
      </c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7" t="inlineStr">
        <is>
          <t>SEM COTAÇÃO</t>
        </is>
      </c>
      <c r="U67" s="8" t="n"/>
      <c r="V67" s="14" t="n"/>
      <c r="W67" s="14" t="n"/>
      <c r="X67" s="7" t="inlineStr"/>
      <c r="Y67" s="7" t="inlineStr"/>
    </row>
    <row r="68">
      <c r="A68" s="7" t="n">
        <v>654051</v>
      </c>
      <c r="B68" s="12" t="inlineStr">
        <is>
          <t>7896064442206</t>
        </is>
      </c>
      <c r="C68" s="7" t="inlineStr">
        <is>
          <t>ABS NAT MAX NOT C/8UN S/ABAS</t>
        </is>
      </c>
      <c r="D68" s="7" t="inlineStr">
        <is>
          <t>ABSORVENTES</t>
        </is>
      </c>
      <c r="E68" s="7" t="inlineStr">
        <is>
          <t>B</t>
        </is>
      </c>
      <c r="F68" s="13" t="n">
        <v>12</v>
      </c>
      <c r="G68" s="13" t="n">
        <v>12</v>
      </c>
      <c r="H68" s="8" t="n">
        <v>3.46</v>
      </c>
      <c r="I68" s="8" t="n">
        <v>3.46</v>
      </c>
      <c r="J68" s="8" t="n">
        <v>3.46</v>
      </c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7" t="inlineStr">
        <is>
          <t>SEM COTAÇÃO</t>
        </is>
      </c>
      <c r="U68" s="8" t="n"/>
      <c r="V68" s="14" t="n"/>
      <c r="W68" s="14" t="n"/>
      <c r="X68" s="7" t="inlineStr"/>
      <c r="Y68" s="7" t="inlineStr"/>
    </row>
    <row r="69">
      <c r="A69" s="7" t="n">
        <v>556581</v>
      </c>
      <c r="B69" s="12" t="inlineStr">
        <is>
          <t>7891010886547</t>
        </is>
      </c>
      <c r="C69" s="7" t="inlineStr">
        <is>
          <t>ABS OB INTERNO MEDIO 10UN</t>
        </is>
      </c>
      <c r="D69" s="7" t="inlineStr">
        <is>
          <t>ABSORVENTES</t>
        </is>
      </c>
      <c r="E69" s="7" t="inlineStr">
        <is>
          <t>A</t>
        </is>
      </c>
      <c r="F69" s="13" t="n">
        <v>11</v>
      </c>
      <c r="G69" s="13" t="n">
        <v>11</v>
      </c>
      <c r="H69" s="8" t="n">
        <v>10.83</v>
      </c>
      <c r="I69" s="8" t="n">
        <v>8.3733</v>
      </c>
      <c r="J69" s="8" t="n">
        <v>9.347099999999999</v>
      </c>
      <c r="K69" s="8" t="n"/>
      <c r="L69" s="8" t="n"/>
      <c r="M69" s="15" t="n">
        <v>9.109999999999999</v>
      </c>
      <c r="N69" s="8" t="n"/>
      <c r="O69" s="8" t="n"/>
      <c r="P69" s="8" t="n">
        <v>10.44</v>
      </c>
      <c r="Q69" s="8" t="n"/>
      <c r="R69" s="8" t="n"/>
      <c r="S69" s="8" t="n"/>
      <c r="T69" s="7" t="inlineStr">
        <is>
          <t>EPAN</t>
        </is>
      </c>
      <c r="U69" s="8" t="n">
        <v>9.109999999999999</v>
      </c>
      <c r="V69" s="14">
        <f>U69/J69-1</f>
        <v/>
      </c>
      <c r="W69" s="14">
        <f>U69/H69-1</f>
        <v/>
      </c>
      <c r="X69" s="17" t="inlineStr">
        <is>
          <t>OK (≤ últ. compra)</t>
        </is>
      </c>
      <c r="Y69" s="7" t="inlineStr"/>
    </row>
    <row r="70">
      <c r="A70" s="7" t="n">
        <v>556621</v>
      </c>
      <c r="B70" s="12" t="inlineStr">
        <is>
          <t>7891010010577</t>
        </is>
      </c>
      <c r="C70" s="7" t="inlineStr">
        <is>
          <t>ABS OB INTERNO SUPER 10UN</t>
        </is>
      </c>
      <c r="D70" s="7" t="inlineStr">
        <is>
          <t>ABSORVENTES</t>
        </is>
      </c>
      <c r="E70" s="7" t="inlineStr">
        <is>
          <t>A</t>
        </is>
      </c>
      <c r="F70" s="13" t="n">
        <v>16</v>
      </c>
      <c r="G70" s="13" t="n">
        <v>16</v>
      </c>
      <c r="H70" s="8" t="n">
        <v>9.199999999999999</v>
      </c>
      <c r="I70" s="8" t="n">
        <v>7.78</v>
      </c>
      <c r="J70" s="8" t="n">
        <v>8.726666666666667</v>
      </c>
      <c r="K70" s="8" t="n"/>
      <c r="L70" s="8" t="n"/>
      <c r="M70" s="8" t="n"/>
      <c r="N70" s="8" t="n"/>
      <c r="O70" s="8" t="n"/>
      <c r="P70" s="15" t="n">
        <v>10.44</v>
      </c>
      <c r="Q70" s="8" t="n"/>
      <c r="R70" s="8" t="n"/>
      <c r="S70" s="8" t="n"/>
      <c r="T70" s="7" t="inlineStr">
        <is>
          <t>NAZARIA</t>
        </is>
      </c>
      <c r="U70" s="8" t="n">
        <v>10.44</v>
      </c>
      <c r="V70" s="14">
        <f>U70/J70-1</f>
        <v/>
      </c>
      <c r="W70" s="14">
        <f>U70/H70-1</f>
        <v/>
      </c>
      <c r="X70" s="16" t="inlineStr">
        <is>
          <t>ACIMA +13.5%</t>
        </is>
      </c>
      <c r="Y70" s="7" t="inlineStr"/>
    </row>
    <row r="71">
      <c r="A71" s="7" t="n">
        <v>25403</v>
      </c>
      <c r="B71" s="12" t="inlineStr">
        <is>
          <t>7897211100482</t>
        </is>
      </c>
      <c r="C71" s="7" t="inlineStr">
        <is>
          <t>ABS P/SEIOS AMAME DIA&amp;NOITE C/24-DEMAIS PROD</t>
        </is>
      </c>
      <c r="D71" s="7" t="inlineStr">
        <is>
          <t>RX</t>
        </is>
      </c>
      <c r="E71" s="7" t="inlineStr">
        <is>
          <t>A</t>
        </is>
      </c>
      <c r="F71" s="13" t="n">
        <v>4</v>
      </c>
      <c r="G71" s="13" t="n">
        <v>4</v>
      </c>
      <c r="H71" s="8" t="n">
        <v>21.76</v>
      </c>
      <c r="I71" s="8" t="n">
        <v>17.955</v>
      </c>
      <c r="J71" s="8" t="n">
        <v>17.955</v>
      </c>
      <c r="K71" s="8" t="n"/>
      <c r="L71" s="8" t="n"/>
      <c r="M71" s="15" t="n">
        <v>16.92</v>
      </c>
      <c r="N71" s="8" t="n"/>
      <c r="O71" s="8" t="n"/>
      <c r="P71" s="8" t="n"/>
      <c r="Q71" s="8" t="n"/>
      <c r="R71" s="8" t="n"/>
      <c r="S71" s="8" t="n"/>
      <c r="T71" s="7" t="inlineStr">
        <is>
          <t>EPAN</t>
        </is>
      </c>
      <c r="U71" s="8" t="n">
        <v>16.92</v>
      </c>
      <c r="V71" s="14">
        <f>U71/J71-1</f>
        <v/>
      </c>
      <c r="W71" s="14">
        <f>U71/H71-1</f>
        <v/>
      </c>
      <c r="X71" s="17" t="inlineStr">
        <is>
          <t>OK (≤ menor hist.)</t>
        </is>
      </c>
      <c r="Y71" s="7" t="inlineStr"/>
    </row>
    <row r="72">
      <c r="A72" s="7" t="n">
        <v>560741</v>
      </c>
      <c r="B72" s="12" t="inlineStr">
        <is>
          <t>7896227650714</t>
        </is>
      </c>
      <c r="C72" s="7" t="inlineStr">
        <is>
          <t>ABS PARA SEIOS COM COTTONBABY 12UND</t>
        </is>
      </c>
      <c r="D72" s="7" t="inlineStr">
        <is>
          <t>ABSORVENTES</t>
        </is>
      </c>
      <c r="E72" s="7" t="inlineStr">
        <is>
          <t>C</t>
        </is>
      </c>
      <c r="F72" s="13" t="n">
        <v>3</v>
      </c>
      <c r="G72" s="13" t="n">
        <v>3</v>
      </c>
      <c r="H72" s="8" t="n">
        <v>10.81</v>
      </c>
      <c r="I72" s="8" t="n">
        <v>10.81</v>
      </c>
      <c r="J72" s="8" t="n">
        <v>10.81</v>
      </c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7" t="inlineStr">
        <is>
          <t>SEM COTAÇÃO</t>
        </is>
      </c>
      <c r="U72" s="8" t="n"/>
      <c r="V72" s="14" t="n"/>
      <c r="W72" s="14" t="n"/>
      <c r="X72" s="7" t="inlineStr"/>
      <c r="Y72" s="7" t="inlineStr"/>
    </row>
    <row r="73">
      <c r="A73" s="7" t="n">
        <v>564</v>
      </c>
      <c r="B73" s="12" t="inlineStr">
        <is>
          <t>7794626003011</t>
        </is>
      </c>
      <c r="C73" s="7" t="inlineStr">
        <is>
          <t>ABS PLENITUD FEMME ULTRA C/8 S/A</t>
        </is>
      </c>
      <c r="D73" s="7" t="inlineStr">
        <is>
          <t>FRALDAS GERIATRICAS</t>
        </is>
      </c>
      <c r="E73" s="7" t="inlineStr">
        <is>
          <t>C</t>
        </is>
      </c>
      <c r="F73" s="13" t="n">
        <v>1</v>
      </c>
      <c r="G73" s="13" t="n">
        <v>1</v>
      </c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7" t="inlineStr">
        <is>
          <t>SEM COTAÇÃO</t>
        </is>
      </c>
      <c r="U73" s="8" t="n"/>
      <c r="V73" s="14" t="n"/>
      <c r="W73" s="14" t="n"/>
      <c r="X73" s="7" t="inlineStr"/>
      <c r="Y73" s="7" t="inlineStr"/>
    </row>
    <row r="74">
      <c r="A74" s="7" t="n">
        <v>598971</v>
      </c>
      <c r="B74" s="12" t="inlineStr">
        <is>
          <t>7891010697518</t>
        </is>
      </c>
      <c r="C74" s="7" t="inlineStr">
        <is>
          <t>ABS S LIVRE AD SE C/AB 32UN</t>
        </is>
      </c>
      <c r="D74" s="7" t="inlineStr">
        <is>
          <t>ABSORVENTES</t>
        </is>
      </c>
      <c r="E74" s="7" t="inlineStr">
        <is>
          <t>B</t>
        </is>
      </c>
      <c r="F74" s="13" t="n">
        <v>4</v>
      </c>
      <c r="G74" s="13" t="n">
        <v>4</v>
      </c>
      <c r="H74" s="8" t="n">
        <v>26.05</v>
      </c>
      <c r="I74" s="8" t="n">
        <v>26.05</v>
      </c>
      <c r="J74" s="8" t="n">
        <v>26.05</v>
      </c>
      <c r="K74" s="8" t="n"/>
      <c r="L74" s="8" t="n"/>
      <c r="M74" s="8" t="n"/>
      <c r="N74" s="8" t="n"/>
      <c r="O74" s="8" t="n"/>
      <c r="P74" s="15" t="n">
        <v>28.09</v>
      </c>
      <c r="Q74" s="8" t="n"/>
      <c r="R74" s="8" t="n"/>
      <c r="S74" s="8" t="n"/>
      <c r="T74" s="7" t="inlineStr">
        <is>
          <t>NAZARIA</t>
        </is>
      </c>
      <c r="U74" s="8" t="n">
        <v>28.09</v>
      </c>
      <c r="V74" s="14">
        <f>U74/J74-1</f>
        <v/>
      </c>
      <c r="W74" s="14">
        <f>U74/H74-1</f>
        <v/>
      </c>
      <c r="X74" s="16" t="inlineStr">
        <is>
          <t>ACIMA +7.8%</t>
        </is>
      </c>
      <c r="Y74" s="7" t="inlineStr"/>
    </row>
    <row r="75">
      <c r="A75" s="7" t="n">
        <v>595251</v>
      </c>
      <c r="B75" s="12" t="inlineStr">
        <is>
          <t>7891010518844</t>
        </is>
      </c>
      <c r="C75" s="7" t="inlineStr">
        <is>
          <t>ABS S LIVRE AD SU C/AB 32UN</t>
        </is>
      </c>
      <c r="D75" s="7" t="inlineStr">
        <is>
          <t>ABSORVENTES</t>
        </is>
      </c>
      <c r="E75" s="7" t="inlineStr">
        <is>
          <t>C</t>
        </is>
      </c>
      <c r="F75" s="13" t="n">
        <v>4</v>
      </c>
      <c r="G75" s="13" t="n">
        <v>4</v>
      </c>
      <c r="H75" s="8" t="n">
        <v>26.05</v>
      </c>
      <c r="I75" s="8" t="n">
        <v>22.8483</v>
      </c>
      <c r="J75" s="8" t="n">
        <v>24.98276666666667</v>
      </c>
      <c r="K75" s="8" t="n"/>
      <c r="L75" s="8" t="n"/>
      <c r="M75" s="8" t="n"/>
      <c r="N75" s="8" t="n"/>
      <c r="O75" s="8" t="n"/>
      <c r="P75" s="15" t="n">
        <v>28.09</v>
      </c>
      <c r="Q75" s="8" t="n"/>
      <c r="R75" s="8" t="n"/>
      <c r="S75" s="8" t="n"/>
      <c r="T75" s="7" t="inlineStr">
        <is>
          <t>NAZARIA</t>
        </is>
      </c>
      <c r="U75" s="8" t="n">
        <v>28.09</v>
      </c>
      <c r="V75" s="14">
        <f>U75/J75-1</f>
        <v/>
      </c>
      <c r="W75" s="14">
        <f>U75/H75-1</f>
        <v/>
      </c>
      <c r="X75" s="16" t="inlineStr">
        <is>
          <t>ACIMA +7.8%</t>
        </is>
      </c>
      <c r="Y75" s="7" t="inlineStr"/>
    </row>
    <row r="76">
      <c r="A76" s="7" t="n">
        <v>634121</v>
      </c>
      <c r="B76" s="12" t="inlineStr">
        <is>
          <t>7891010254155</t>
        </is>
      </c>
      <c r="C76" s="7" t="inlineStr">
        <is>
          <t>ABS S LIVRE ESP ADPT C/ABA 32UN</t>
        </is>
      </c>
      <c r="D76" s="7" t="inlineStr">
        <is>
          <t>ABSORVENTES</t>
        </is>
      </c>
      <c r="E76" s="7" t="inlineStr">
        <is>
          <t>B</t>
        </is>
      </c>
      <c r="F76" s="13" t="n">
        <v>7</v>
      </c>
      <c r="G76" s="13" t="n">
        <v>7</v>
      </c>
      <c r="H76" s="8" t="n">
        <v>13.745</v>
      </c>
      <c r="I76" s="8" t="n">
        <v>12.0283</v>
      </c>
      <c r="J76" s="8" t="n">
        <v>13.17163333333333</v>
      </c>
      <c r="K76" s="8" t="n"/>
      <c r="L76" s="8" t="n"/>
      <c r="M76" s="8" t="n"/>
      <c r="N76" s="8" t="n"/>
      <c r="O76" s="8" t="n"/>
      <c r="P76" s="15" t="n">
        <v>15.34</v>
      </c>
      <c r="Q76" s="8" t="n"/>
      <c r="R76" s="8" t="n"/>
      <c r="S76" s="8" t="n"/>
      <c r="T76" s="7" t="inlineStr">
        <is>
          <t>NAZARIA</t>
        </is>
      </c>
      <c r="U76" s="8" t="n">
        <v>15.34</v>
      </c>
      <c r="V76" s="14">
        <f>U76/J76-1</f>
        <v/>
      </c>
      <c r="W76" s="14">
        <f>U76/H76-1</f>
        <v/>
      </c>
      <c r="X76" s="16" t="inlineStr">
        <is>
          <t>ACIMA +11.6%</t>
        </is>
      </c>
      <c r="Y76" s="7" t="inlineStr"/>
    </row>
    <row r="77">
      <c r="A77" s="7" t="n">
        <v>540161</v>
      </c>
      <c r="B77" s="12" t="inlineStr">
        <is>
          <t>7891010694593</t>
        </is>
      </c>
      <c r="C77" s="7" t="inlineStr">
        <is>
          <t>ABS SEMPRE LIVRE ADAPT PLUS NOITE E DIA 8 UN</t>
        </is>
      </c>
      <c r="D77" s="7" t="inlineStr">
        <is>
          <t>ABSORVENTES</t>
        </is>
      </c>
      <c r="E77" s="7" t="inlineStr">
        <is>
          <t>B</t>
        </is>
      </c>
      <c r="F77" s="13" t="n">
        <v>4</v>
      </c>
      <c r="G77" s="13" t="n">
        <v>4</v>
      </c>
      <c r="H77" s="8" t="n">
        <v>8.294600000000001</v>
      </c>
      <c r="I77" s="8" t="n">
        <v>7.3521</v>
      </c>
      <c r="J77" s="8" t="n">
        <v>7.980433333333334</v>
      </c>
      <c r="K77" s="8" t="n"/>
      <c r="L77" s="8" t="n"/>
      <c r="M77" s="8" t="n"/>
      <c r="N77" s="8" t="n"/>
      <c r="O77" s="8" t="n"/>
      <c r="P77" s="15" t="n">
        <v>8.98</v>
      </c>
      <c r="Q77" s="8" t="n"/>
      <c r="R77" s="8" t="n"/>
      <c r="S77" s="8" t="n"/>
      <c r="T77" s="7" t="inlineStr">
        <is>
          <t>NAZARIA</t>
        </is>
      </c>
      <c r="U77" s="8" t="n">
        <v>8.98</v>
      </c>
      <c r="V77" s="14">
        <f>U77/J77-1</f>
        <v/>
      </c>
      <c r="W77" s="14">
        <f>U77/H77-1</f>
        <v/>
      </c>
      <c r="X77" s="16" t="inlineStr">
        <is>
          <t>ACIMA +8.3%</t>
        </is>
      </c>
      <c r="Y77" s="7" t="inlineStr"/>
    </row>
    <row r="78">
      <c r="A78" s="7" t="n">
        <v>598071</v>
      </c>
      <c r="B78" s="12" t="inlineStr">
        <is>
          <t>7891010704780</t>
        </is>
      </c>
      <c r="C78" s="7" t="inlineStr">
        <is>
          <t>ABS SL ADAPT PLUS SUAVE ABAS C/32UN</t>
        </is>
      </c>
      <c r="D78" s="7" t="inlineStr">
        <is>
          <t>ABSORVENTES</t>
        </is>
      </c>
      <c r="E78" s="7" t="inlineStr">
        <is>
          <t>C</t>
        </is>
      </c>
      <c r="F78" s="13" t="n">
        <v>1</v>
      </c>
      <c r="G78" s="13" t="n">
        <v>1</v>
      </c>
      <c r="H78" s="8" t="n">
        <v>17.5267</v>
      </c>
      <c r="I78" s="8" t="n">
        <v>17.5267</v>
      </c>
      <c r="J78" s="8" t="n">
        <v>17.5267</v>
      </c>
      <c r="K78" s="8" t="n"/>
      <c r="L78" s="8" t="n"/>
      <c r="M78" s="8" t="n"/>
      <c r="N78" s="8" t="n"/>
      <c r="O78" s="8" t="n"/>
      <c r="P78" s="15" t="n">
        <v>18.57</v>
      </c>
      <c r="Q78" s="8" t="n"/>
      <c r="R78" s="8" t="n"/>
      <c r="S78" s="8" t="n"/>
      <c r="T78" s="7" t="inlineStr">
        <is>
          <t>NAZARIA</t>
        </is>
      </c>
      <c r="U78" s="8" t="n">
        <v>18.57</v>
      </c>
      <c r="V78" s="14">
        <f>U78/J78-1</f>
        <v/>
      </c>
      <c r="W78" s="14">
        <f>U78/H78-1</f>
        <v/>
      </c>
      <c r="X78" s="16" t="inlineStr">
        <is>
          <t>ACIMA +6.0%</t>
        </is>
      </c>
      <c r="Y78" s="7" t="inlineStr"/>
    </row>
    <row r="79">
      <c r="A79" s="7" t="n">
        <v>628331</v>
      </c>
      <c r="B79" s="12" t="inlineStr">
        <is>
          <t>7891010031633</t>
        </is>
      </c>
      <c r="C79" s="7" t="inlineStr">
        <is>
          <t>ABS SL ADAPT PLUS SUAVE ABAS C/8</t>
        </is>
      </c>
      <c r="D79" s="7" t="inlineStr">
        <is>
          <t>ABSORVENTES</t>
        </is>
      </c>
      <c r="E79" s="7" t="inlineStr">
        <is>
          <t>A</t>
        </is>
      </c>
      <c r="F79" s="13" t="n">
        <v>10</v>
      </c>
      <c r="G79" s="13" t="n">
        <v>10</v>
      </c>
      <c r="H79" s="8" t="n">
        <v>5.2817</v>
      </c>
      <c r="I79" s="8" t="n">
        <v>4.6689</v>
      </c>
      <c r="J79" s="8" t="n">
        <v>5.077433333333333</v>
      </c>
      <c r="K79" s="8" t="n"/>
      <c r="L79" s="8" t="n"/>
      <c r="M79" s="8" t="n"/>
      <c r="N79" s="8" t="n"/>
      <c r="O79" s="8" t="n"/>
      <c r="P79" s="15" t="n">
        <v>5.71</v>
      </c>
      <c r="Q79" s="8" t="n"/>
      <c r="R79" s="8" t="n"/>
      <c r="S79" s="8" t="n"/>
      <c r="T79" s="7" t="inlineStr">
        <is>
          <t>NAZARIA</t>
        </is>
      </c>
      <c r="U79" s="8" t="n">
        <v>5.71</v>
      </c>
      <c r="V79" s="14">
        <f>U79/J79-1</f>
        <v/>
      </c>
      <c r="W79" s="14">
        <f>U79/H79-1</f>
        <v/>
      </c>
      <c r="X79" s="16" t="inlineStr">
        <is>
          <t>ACIMA +8.1%</t>
        </is>
      </c>
      <c r="Y79" s="7" t="inlineStr"/>
    </row>
    <row r="80">
      <c r="A80" s="7" t="n">
        <v>652271</v>
      </c>
      <c r="B80" s="12" t="inlineStr">
        <is>
          <t>7501019056888</t>
        </is>
      </c>
      <c r="C80" s="7" t="inlineStr">
        <is>
          <t>ABS TENA LADY DISCREET NORMAL C/8</t>
        </is>
      </c>
      <c r="D80" s="7" t="inlineStr">
        <is>
          <t>ABSORVENTES</t>
        </is>
      </c>
      <c r="E80" s="7" t="inlineStr">
        <is>
          <t>C</t>
        </is>
      </c>
      <c r="F80" s="13" t="n">
        <v>1</v>
      </c>
      <c r="G80" s="13" t="n">
        <v>1</v>
      </c>
      <c r="H80" s="8" t="n">
        <v>10.75</v>
      </c>
      <c r="I80" s="8" t="n">
        <v>10.75</v>
      </c>
      <c r="J80" s="8" t="n">
        <v>10.75</v>
      </c>
      <c r="K80" s="8" t="n"/>
      <c r="L80" s="8" t="n"/>
      <c r="M80" s="8" t="n"/>
      <c r="N80" s="8" t="n"/>
      <c r="O80" s="8" t="n"/>
      <c r="P80" s="15" t="n">
        <v>13.9001</v>
      </c>
      <c r="Q80" s="8" t="n"/>
      <c r="R80" s="8" t="n"/>
      <c r="S80" s="8" t="n"/>
      <c r="T80" s="7" t="inlineStr">
        <is>
          <t>NAZARIA</t>
        </is>
      </c>
      <c r="U80" s="8" t="n">
        <v>13.9001</v>
      </c>
      <c r="V80" s="14">
        <f>U80/J80-1</f>
        <v/>
      </c>
      <c r="W80" s="14">
        <f>U80/H80-1</f>
        <v/>
      </c>
      <c r="X80" s="16" t="inlineStr">
        <is>
          <t>ACIMA +29.3%</t>
        </is>
      </c>
      <c r="Y80" s="7" t="inlineStr"/>
    </row>
    <row r="81">
      <c r="A81" s="7" t="n">
        <v>656611</v>
      </c>
      <c r="B81" s="12" t="inlineStr">
        <is>
          <t>7896012880531</t>
        </is>
      </c>
      <c r="C81" s="7" t="inlineStr">
        <is>
          <t>ABS. BIGFRAL ADULTO 3 EM 1 8X20</t>
        </is>
      </c>
      <c r="D81" s="7" t="inlineStr">
        <is>
          <t>FRALDAS GERIATRICAS</t>
        </is>
      </c>
      <c r="E81" s="7" t="inlineStr">
        <is>
          <t>A</t>
        </is>
      </c>
      <c r="F81" s="13" t="n">
        <v>1</v>
      </c>
      <c r="G81" s="13" t="n">
        <v>6</v>
      </c>
      <c r="H81" s="8" t="n">
        <v>14.3075</v>
      </c>
      <c r="I81" s="8" t="n">
        <v>11.4038</v>
      </c>
      <c r="J81" s="8" t="n">
        <v>13.3396</v>
      </c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7" t="inlineStr">
        <is>
          <t>SEM COTAÇÃO</t>
        </is>
      </c>
      <c r="U81" s="8" t="n"/>
      <c r="V81" s="14" t="n"/>
      <c r="W81" s="14" t="n"/>
      <c r="X81" s="7" t="inlineStr"/>
      <c r="Y81" s="7" t="inlineStr"/>
    </row>
    <row r="82">
      <c r="A82" s="7" t="n">
        <v>577761</v>
      </c>
      <c r="B82" s="12" t="inlineStr">
        <is>
          <t>7896007544042</t>
        </is>
      </c>
      <c r="C82" s="7" t="inlineStr">
        <is>
          <t>ABS. INT. TRIP. PR. SU.C/AB. 32UN</t>
        </is>
      </c>
      <c r="D82" s="7" t="inlineStr">
        <is>
          <t>ABSORVENTES</t>
        </is>
      </c>
      <c r="E82" s="7" t="inlineStr">
        <is>
          <t>A</t>
        </is>
      </c>
      <c r="F82" s="13" t="n">
        <v>5</v>
      </c>
      <c r="G82" s="13" t="n">
        <v>5</v>
      </c>
      <c r="H82" s="8" t="n">
        <v>14.53</v>
      </c>
      <c r="I82" s="8" t="n">
        <v>9.779999999999999</v>
      </c>
      <c r="J82" s="8" t="n">
        <v>12.94666666666667</v>
      </c>
      <c r="K82" s="8" t="n"/>
      <c r="L82" s="8" t="n"/>
      <c r="M82" s="8" t="n"/>
      <c r="N82" s="8" t="n"/>
      <c r="O82" s="8" t="n"/>
      <c r="P82" s="15" t="n">
        <v>15.31</v>
      </c>
      <c r="Q82" s="8" t="n"/>
      <c r="R82" s="8" t="n"/>
      <c r="S82" s="8" t="n"/>
      <c r="T82" s="7" t="inlineStr">
        <is>
          <t>NAZARIA</t>
        </is>
      </c>
      <c r="U82" s="8" t="n">
        <v>15.31</v>
      </c>
      <c r="V82" s="14">
        <f>U82/J82-1</f>
        <v/>
      </c>
      <c r="W82" s="14">
        <f>U82/H82-1</f>
        <v/>
      </c>
      <c r="X82" s="16" t="inlineStr">
        <is>
          <t>ACIMA +5.4%</t>
        </is>
      </c>
      <c r="Y82" s="7" t="inlineStr"/>
    </row>
    <row r="83">
      <c r="A83" s="7" t="n">
        <v>579801</v>
      </c>
      <c r="B83" s="12" t="inlineStr">
        <is>
          <t>7896007550548</t>
        </is>
      </c>
      <c r="C83" s="7" t="inlineStr">
        <is>
          <t>ABS. INTIMUS DAYS S/AB.40X1 ANT.PE</t>
        </is>
      </c>
      <c r="D83" s="7" t="inlineStr">
        <is>
          <t>ABSORVENTES</t>
        </is>
      </c>
      <c r="E83" s="7" t="inlineStr">
        <is>
          <t>A</t>
        </is>
      </c>
      <c r="F83" s="13" t="n">
        <v>3</v>
      </c>
      <c r="G83" s="13" t="n">
        <v>3</v>
      </c>
      <c r="H83" s="8" t="n">
        <v>10.14</v>
      </c>
      <c r="I83" s="8" t="n">
        <v>8.859999999999999</v>
      </c>
      <c r="J83" s="8" t="n">
        <v>9.713333333333333</v>
      </c>
      <c r="K83" s="8" t="n"/>
      <c r="L83" s="8" t="n"/>
      <c r="M83" s="8" t="n"/>
      <c r="N83" s="8" t="n"/>
      <c r="O83" s="8" t="n"/>
      <c r="P83" s="15" t="n">
        <v>12.28</v>
      </c>
      <c r="Q83" s="8" t="n"/>
      <c r="R83" s="8" t="n"/>
      <c r="S83" s="8" t="n"/>
      <c r="T83" s="7" t="inlineStr">
        <is>
          <t>NAZARIA</t>
        </is>
      </c>
      <c r="U83" s="8" t="n">
        <v>12.28</v>
      </c>
      <c r="V83" s="14">
        <f>U83/J83-1</f>
        <v/>
      </c>
      <c r="W83" s="14">
        <f>U83/H83-1</f>
        <v/>
      </c>
      <c r="X83" s="16" t="inlineStr">
        <is>
          <t>ACIMA +21.1%</t>
        </is>
      </c>
      <c r="Y83" s="7" t="inlineStr"/>
    </row>
    <row r="84">
      <c r="A84" s="7" t="n">
        <v>589771</v>
      </c>
      <c r="B84" s="12" t="inlineStr">
        <is>
          <t>7896007545094</t>
        </is>
      </c>
      <c r="C84" s="7" t="inlineStr">
        <is>
          <t>ABS. INTIMUS TRIP.PR.SU.C/A.16UN</t>
        </is>
      </c>
      <c r="D84" s="7" t="inlineStr">
        <is>
          <t>ABSORVENTES</t>
        </is>
      </c>
      <c r="E84" s="7" t="inlineStr">
        <is>
          <t>C</t>
        </is>
      </c>
      <c r="F84" s="13" t="n">
        <v>3</v>
      </c>
      <c r="G84" s="13" t="n">
        <v>3</v>
      </c>
      <c r="H84" s="8" t="n">
        <v>5.8133</v>
      </c>
      <c r="I84" s="8" t="n">
        <v>5.8133</v>
      </c>
      <c r="J84" s="8" t="n">
        <v>5.813300000000001</v>
      </c>
      <c r="K84" s="8" t="n"/>
      <c r="L84" s="8" t="n"/>
      <c r="M84" s="8" t="n"/>
      <c r="N84" s="8" t="n"/>
      <c r="O84" s="8" t="n"/>
      <c r="P84" s="15" t="n">
        <v>8.42</v>
      </c>
      <c r="Q84" s="8" t="n"/>
      <c r="R84" s="8" t="n"/>
      <c r="S84" s="8" t="n"/>
      <c r="T84" s="7" t="inlineStr">
        <is>
          <t>NAZARIA</t>
        </is>
      </c>
      <c r="U84" s="8" t="n">
        <v>8.42</v>
      </c>
      <c r="V84" s="14">
        <f>U84/J84-1</f>
        <v/>
      </c>
      <c r="W84" s="14">
        <f>U84/H84-1</f>
        <v/>
      </c>
      <c r="X84" s="16" t="inlineStr">
        <is>
          <t>ACIMA +44.8%</t>
        </is>
      </c>
      <c r="Y84" s="7" t="inlineStr"/>
    </row>
    <row r="85">
      <c r="A85" s="7" t="n">
        <v>577741</v>
      </c>
      <c r="B85" s="12" t="inlineStr">
        <is>
          <t>7891010579616</t>
        </is>
      </c>
      <c r="C85" s="7" t="inlineStr">
        <is>
          <t>ABS. S. LIVRE AD.SU.C/AB.16UN</t>
        </is>
      </c>
      <c r="D85" s="7" t="inlineStr">
        <is>
          <t>ABSORVENTES</t>
        </is>
      </c>
      <c r="E85" s="7" t="inlineStr">
        <is>
          <t>B</t>
        </is>
      </c>
      <c r="F85" s="13" t="n">
        <v>4</v>
      </c>
      <c r="G85" s="13" t="n">
        <v>4</v>
      </c>
      <c r="H85" s="8" t="n">
        <v>9.8767</v>
      </c>
      <c r="I85" s="8" t="n">
        <v>8.7217</v>
      </c>
      <c r="J85" s="8" t="n">
        <v>9.4917</v>
      </c>
      <c r="K85" s="8" t="n"/>
      <c r="L85" s="8" t="n"/>
      <c r="M85" s="8" t="n"/>
      <c r="N85" s="8" t="n"/>
      <c r="O85" s="8" t="n"/>
      <c r="P85" s="15" t="n">
        <v>10.67</v>
      </c>
      <c r="Q85" s="8" t="n"/>
      <c r="R85" s="8" t="n"/>
      <c r="S85" s="8" t="n"/>
      <c r="T85" s="7" t="inlineStr">
        <is>
          <t>NAZARIA</t>
        </is>
      </c>
      <c r="U85" s="8" t="n">
        <v>10.67</v>
      </c>
      <c r="V85" s="14">
        <f>U85/J85-1</f>
        <v/>
      </c>
      <c r="W85" s="14">
        <f>U85/H85-1</f>
        <v/>
      </c>
      <c r="X85" s="16" t="inlineStr">
        <is>
          <t>ACIMA +8.0%</t>
        </is>
      </c>
      <c r="Y85" s="7" t="inlineStr"/>
    </row>
    <row r="86">
      <c r="A86" s="7" t="n">
        <v>606081</v>
      </c>
      <c r="B86" s="12" t="inlineStr">
        <is>
          <t>7896480662899</t>
        </is>
      </c>
      <c r="C86" s="7" t="inlineStr">
        <is>
          <t>ABS.ENLACE GE.M.S.S/AB.8X1 OF</t>
        </is>
      </c>
      <c r="D86" s="7" t="inlineStr">
        <is>
          <t>ABSORVENTES</t>
        </is>
      </c>
      <c r="E86" s="7" t="inlineStr">
        <is>
          <t>C</t>
        </is>
      </c>
      <c r="F86" s="13" t="n">
        <v>2</v>
      </c>
      <c r="G86" s="13" t="n">
        <v>2</v>
      </c>
      <c r="H86" s="8" t="n">
        <v>1.86</v>
      </c>
      <c r="I86" s="8" t="n">
        <v>1.86</v>
      </c>
      <c r="J86" s="8" t="n">
        <v>1.86</v>
      </c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7" t="inlineStr">
        <is>
          <t>SEM COTAÇÃO</t>
        </is>
      </c>
      <c r="U86" s="8" t="n"/>
      <c r="V86" s="14" t="n"/>
      <c r="W86" s="14" t="n"/>
      <c r="X86" s="7" t="inlineStr"/>
      <c r="Y86" s="7" t="inlineStr"/>
    </row>
    <row r="87">
      <c r="A87" s="7" t="n">
        <v>662021</v>
      </c>
      <c r="B87" s="12" t="inlineStr">
        <is>
          <t>7896480662929</t>
        </is>
      </c>
      <c r="C87" s="7" t="inlineStr">
        <is>
          <t>ABS.ENLACE PROT.DIARIO 48</t>
        </is>
      </c>
      <c r="D87" s="7" t="inlineStr">
        <is>
          <t>ABSORVENTES</t>
        </is>
      </c>
      <c r="E87" s="7" t="inlineStr">
        <is>
          <t>C</t>
        </is>
      </c>
      <c r="F87" s="13" t="n">
        <v>5</v>
      </c>
      <c r="G87" s="13" t="n">
        <v>5</v>
      </c>
      <c r="H87" s="8" t="n">
        <v>6.89</v>
      </c>
      <c r="I87" s="8" t="n">
        <v>6.89</v>
      </c>
      <c r="J87" s="8" t="n">
        <v>6.89</v>
      </c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7" t="inlineStr">
        <is>
          <t>SEM COTAÇÃO</t>
        </is>
      </c>
      <c r="U87" s="8" t="n"/>
      <c r="V87" s="14" t="n"/>
      <c r="W87" s="14" t="n"/>
      <c r="X87" s="7" t="inlineStr"/>
      <c r="Y87" s="7" t="inlineStr"/>
    </row>
    <row r="88">
      <c r="A88" s="7" t="n">
        <v>650671</v>
      </c>
      <c r="B88" s="12" t="inlineStr">
        <is>
          <t>7896104992784</t>
        </is>
      </c>
      <c r="C88" s="7" t="inlineStr">
        <is>
          <t>ABS.MILI DIA E NOITE SUAVE C/ABAS 32UND</t>
        </is>
      </c>
      <c r="D88" s="7" t="inlineStr">
        <is>
          <t>ABSORVENTES</t>
        </is>
      </c>
      <c r="E88" s="7" t="inlineStr">
        <is>
          <t>A</t>
        </is>
      </c>
      <c r="F88" s="13" t="n">
        <v>1</v>
      </c>
      <c r="G88" s="13" t="n">
        <v>12</v>
      </c>
      <c r="H88" s="8" t="n">
        <v>14.79</v>
      </c>
      <c r="I88" s="8" t="n">
        <v>14.79</v>
      </c>
      <c r="J88" s="8" t="n">
        <v>14.79</v>
      </c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7" t="inlineStr">
        <is>
          <t>SEM COTAÇÃO</t>
        </is>
      </c>
      <c r="U88" s="8" t="n"/>
      <c r="V88" s="14" t="n"/>
      <c r="W88" s="14" t="n"/>
      <c r="X88" s="7" t="inlineStr"/>
      <c r="Y88" s="7" t="inlineStr"/>
    </row>
    <row r="89">
      <c r="A89" s="7" t="n">
        <v>667601</v>
      </c>
      <c r="B89" s="12" t="inlineStr"/>
      <c r="C89" s="7" t="inlineStr">
        <is>
          <t>ABS.MILI M.NOT DISCR C/AB16</t>
        </is>
      </c>
      <c r="D89" s="7" t="inlineStr">
        <is>
          <t>ABSORVENTES</t>
        </is>
      </c>
      <c r="E89" s="7" t="inlineStr">
        <is>
          <t>B</t>
        </is>
      </c>
      <c r="F89" s="13" t="n">
        <v>1</v>
      </c>
      <c r="G89" s="13" t="n">
        <v>1</v>
      </c>
      <c r="H89" s="8" t="n">
        <v>9.09</v>
      </c>
      <c r="I89" s="8" t="n">
        <v>6.3</v>
      </c>
      <c r="J89" s="8" t="n">
        <v>8.16</v>
      </c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7" t="inlineStr">
        <is>
          <t>SEM COTAÇÃO</t>
        </is>
      </c>
      <c r="U89" s="8" t="n"/>
      <c r="V89" s="14" t="n"/>
      <c r="W89" s="14" t="n"/>
      <c r="X89" s="7" t="inlineStr"/>
      <c r="Y89" s="7" t="inlineStr"/>
    </row>
    <row r="90">
      <c r="A90" s="7" t="n">
        <v>667611</v>
      </c>
      <c r="B90" s="12" t="inlineStr">
        <is>
          <t>7896104991527</t>
        </is>
      </c>
      <c r="C90" s="7" t="inlineStr">
        <is>
          <t>ABS.MILI M.NOT.DISCR.C/AB.8</t>
        </is>
      </c>
      <c r="D90" s="7" t="inlineStr">
        <is>
          <t>ABSORVENTES</t>
        </is>
      </c>
      <c r="E90" s="7" t="inlineStr">
        <is>
          <t>B</t>
        </is>
      </c>
      <c r="F90" s="13" t="n">
        <v>12</v>
      </c>
      <c r="G90" s="13" t="n">
        <v>12</v>
      </c>
      <c r="H90" s="8" t="n">
        <v>4.45</v>
      </c>
      <c r="I90" s="8" t="n">
        <v>3.26</v>
      </c>
      <c r="J90" s="8" t="n">
        <v>4.053333333333334</v>
      </c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7" t="inlineStr">
        <is>
          <t>SEM COTAÇÃO</t>
        </is>
      </c>
      <c r="U90" s="8" t="n"/>
      <c r="V90" s="14" t="n"/>
      <c r="W90" s="14" t="n"/>
      <c r="X90" s="7" t="inlineStr"/>
      <c r="Y90" s="7" t="inlineStr"/>
    </row>
    <row r="91">
      <c r="A91" s="7" t="n">
        <v>673921</v>
      </c>
      <c r="B91" s="12" t="inlineStr">
        <is>
          <t>7896104991497</t>
        </is>
      </c>
      <c r="C91" s="7" t="inlineStr">
        <is>
          <t>ABS.MILI M.NOT.ULTRA C/AB.8X1</t>
        </is>
      </c>
      <c r="D91" s="7" t="inlineStr">
        <is>
          <t>ABSORVENTES</t>
        </is>
      </c>
      <c r="E91" s="7" t="inlineStr">
        <is>
          <t>B</t>
        </is>
      </c>
      <c r="F91" s="13" t="n">
        <v>6</v>
      </c>
      <c r="G91" s="13" t="n">
        <v>6</v>
      </c>
      <c r="H91" s="8" t="n">
        <v>5.6</v>
      </c>
      <c r="I91" s="8" t="n">
        <v>3.83</v>
      </c>
      <c r="J91" s="8" t="n">
        <v>5.01</v>
      </c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7" t="inlineStr">
        <is>
          <t>SEM COTAÇÃO</t>
        </is>
      </c>
      <c r="U91" s="8" t="n"/>
      <c r="V91" s="14" t="n"/>
      <c r="W91" s="14" t="n"/>
      <c r="X91" s="7" t="inlineStr"/>
      <c r="Y91" s="7" t="inlineStr"/>
    </row>
    <row r="92">
      <c r="A92" s="7" t="n">
        <v>548701</v>
      </c>
      <c r="B92" s="12" t="inlineStr">
        <is>
          <t>7891010793463</t>
        </is>
      </c>
      <c r="C92" s="7" t="inlineStr">
        <is>
          <t>ABSORVENTE C/ ABAS SUAVE SEMPRE LIVRE ADAPT  16 UNID</t>
        </is>
      </c>
      <c r="D92" s="7" t="inlineStr">
        <is>
          <t>ABSORVENTES</t>
        </is>
      </c>
      <c r="E92" s="7" t="inlineStr">
        <is>
          <t>A</t>
        </is>
      </c>
      <c r="F92" s="13" t="n">
        <v>13</v>
      </c>
      <c r="G92" s="13" t="n">
        <v>13</v>
      </c>
      <c r="H92" s="8" t="n">
        <v>7.16</v>
      </c>
      <c r="I92" s="8" t="n">
        <v>7.16</v>
      </c>
      <c r="J92" s="8" t="n">
        <v>7.16</v>
      </c>
      <c r="K92" s="8" t="n"/>
      <c r="L92" s="8" t="n"/>
      <c r="M92" s="8" t="n"/>
      <c r="N92" s="8" t="n"/>
      <c r="O92" s="8" t="n"/>
      <c r="P92" s="15" t="n">
        <v>8.85</v>
      </c>
      <c r="Q92" s="8" t="n"/>
      <c r="R92" s="8" t="n"/>
      <c r="S92" s="8" t="n"/>
      <c r="T92" s="7" t="inlineStr">
        <is>
          <t>NAZARIA</t>
        </is>
      </c>
      <c r="U92" s="8" t="n">
        <v>8.85</v>
      </c>
      <c r="V92" s="14">
        <f>U92/J92-1</f>
        <v/>
      </c>
      <c r="W92" s="14">
        <f>U92/H92-1</f>
        <v/>
      </c>
      <c r="X92" s="16" t="inlineStr">
        <is>
          <t>ACIMA +23.6%</t>
        </is>
      </c>
      <c r="Y92" s="7" t="inlineStr"/>
    </row>
    <row r="93">
      <c r="A93" s="7" t="n">
        <v>539241</v>
      </c>
      <c r="B93" s="12" t="inlineStr"/>
      <c r="C93" s="7" t="inlineStr">
        <is>
          <t>ABSORVENTE COM ABAS SECA INTIMUS TRIPLA PROTECAO PACOTE 8 UNIDADES</t>
        </is>
      </c>
      <c r="D93" s="7" t="inlineStr">
        <is>
          <t>ABSORVENTES</t>
        </is>
      </c>
      <c r="E93" s="7" t="inlineStr">
        <is>
          <t>B</t>
        </is>
      </c>
      <c r="F93" s="13" t="n">
        <v>3</v>
      </c>
      <c r="G93" s="13" t="n">
        <v>3</v>
      </c>
      <c r="H93" s="8" t="n">
        <v>3.92</v>
      </c>
      <c r="I93" s="8" t="n">
        <v>3.92</v>
      </c>
      <c r="J93" s="8" t="n">
        <v>3.92</v>
      </c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7" t="inlineStr">
        <is>
          <t>SEM COTAÇÃO</t>
        </is>
      </c>
      <c r="U93" s="8" t="n"/>
      <c r="V93" s="14" t="n"/>
      <c r="W93" s="14" t="n"/>
      <c r="X93" s="7" t="inlineStr"/>
      <c r="Y93" s="7" t="inlineStr"/>
    </row>
    <row r="94">
      <c r="A94" s="7" t="n">
        <v>545001</v>
      </c>
      <c r="B94" s="12" t="inlineStr">
        <is>
          <t>7896007545100</t>
        </is>
      </c>
      <c r="C94" s="7" t="inlineStr">
        <is>
          <t>ABSORVENTE COM ABAS SECA INTIMUS TRIPLA PROTECAO PACOTE LEVE 16 PAGUE 14 UNIDADES</t>
        </is>
      </c>
      <c r="D94" s="7" t="inlineStr">
        <is>
          <t>ABSORVENTES</t>
        </is>
      </c>
      <c r="E94" s="7" t="inlineStr">
        <is>
          <t>C</t>
        </is>
      </c>
      <c r="F94" s="13" t="n">
        <v>3</v>
      </c>
      <c r="G94" s="13" t="n">
        <v>3</v>
      </c>
      <c r="H94" s="8" t="n">
        <v>5.8142</v>
      </c>
      <c r="I94" s="8" t="n">
        <v>5.8142</v>
      </c>
      <c r="J94" s="8" t="n">
        <v>5.8142</v>
      </c>
      <c r="K94" s="8" t="n"/>
      <c r="L94" s="8" t="n"/>
      <c r="M94" s="8" t="n"/>
      <c r="N94" s="8" t="n"/>
      <c r="O94" s="8" t="n"/>
      <c r="P94" s="8" t="n">
        <v>8.42</v>
      </c>
      <c r="Q94" s="8" t="n"/>
      <c r="R94" s="8" t="n"/>
      <c r="S94" s="8" t="n"/>
      <c r="T94" s="7" t="inlineStr">
        <is>
          <t>SEM COTAÇÃO</t>
        </is>
      </c>
      <c r="U94" s="8" t="n"/>
      <c r="V94" s="14" t="n"/>
      <c r="W94" s="14" t="n"/>
      <c r="X94" s="7" t="inlineStr"/>
      <c r="Y94" s="7" t="inlineStr">
        <is>
          <t>NAZARIA: sem estoque</t>
        </is>
      </c>
    </row>
    <row r="95">
      <c r="A95" s="7" t="n">
        <v>545121</v>
      </c>
      <c r="B95" s="12" t="inlineStr"/>
      <c r="C95" s="7" t="inlineStr">
        <is>
          <t>ABSORVENTE COM ABAS SUAVE INTIMUS NOTURNO PACOTE 8 UNIDADES</t>
        </is>
      </c>
      <c r="D95" s="7" t="inlineStr">
        <is>
          <t>ABSORVENTES</t>
        </is>
      </c>
      <c r="E95" s="7" t="inlineStr">
        <is>
          <t>A</t>
        </is>
      </c>
      <c r="F95" s="13" t="n">
        <v>1</v>
      </c>
      <c r="G95" s="13" t="n">
        <v>1</v>
      </c>
      <c r="H95" s="8" t="n">
        <v>6.1925</v>
      </c>
      <c r="I95" s="8" t="n">
        <v>5.5519</v>
      </c>
      <c r="J95" s="8" t="n">
        <v>5.978966666666667</v>
      </c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7" t="inlineStr">
        <is>
          <t>SEM COTAÇÃO</t>
        </is>
      </c>
      <c r="U95" s="8" t="n"/>
      <c r="V95" s="14" t="n"/>
      <c r="W95" s="14" t="n"/>
      <c r="X95" s="7" t="inlineStr"/>
      <c r="Y95" s="7" t="inlineStr"/>
    </row>
    <row r="96">
      <c r="A96" s="7" t="n">
        <v>537161</v>
      </c>
      <c r="B96" s="12" t="inlineStr"/>
      <c r="C96" s="7" t="inlineStr">
        <is>
          <t>ABSORVENTE COM ABAS SUAVE SEMPRE LIVRE ADAPT PACOTE 8 UNIDADES</t>
        </is>
      </c>
      <c r="D96" s="7" t="inlineStr">
        <is>
          <t>ABSORVENTES</t>
        </is>
      </c>
      <c r="E96" s="7" t="inlineStr">
        <is>
          <t>A</t>
        </is>
      </c>
      <c r="F96" s="13" t="n">
        <v>14</v>
      </c>
      <c r="G96" s="13" t="n">
        <v>14</v>
      </c>
      <c r="H96" s="8" t="n">
        <v>3.08</v>
      </c>
      <c r="I96" s="8" t="n">
        <v>2.44</v>
      </c>
      <c r="J96" s="8" t="n">
        <v>2.866666666666667</v>
      </c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7" t="inlineStr">
        <is>
          <t>SEM COTAÇÃO</t>
        </is>
      </c>
      <c r="U96" s="8" t="n"/>
      <c r="V96" s="14" t="n"/>
      <c r="W96" s="14" t="n"/>
      <c r="X96" s="7" t="inlineStr"/>
      <c r="Y96" s="7" t="inlineStr"/>
    </row>
    <row r="97">
      <c r="A97" s="7" t="n">
        <v>608141</v>
      </c>
      <c r="B97" s="12" t="inlineStr">
        <is>
          <t>7896301801957</t>
        </is>
      </c>
      <c r="C97" s="7" t="inlineStr">
        <is>
          <t>ABSORVENTE DIANA NOTURNO C/ ABAS 60X08UN</t>
        </is>
      </c>
      <c r="D97" s="7" t="inlineStr">
        <is>
          <t>ABSORVENTES</t>
        </is>
      </c>
      <c r="E97" s="7" t="inlineStr">
        <is>
          <t>C</t>
        </is>
      </c>
      <c r="F97" s="13" t="n">
        <v>1</v>
      </c>
      <c r="G97" s="13" t="n">
        <v>1</v>
      </c>
      <c r="H97" s="8" t="n">
        <v>4.35</v>
      </c>
      <c r="I97" s="8" t="n">
        <v>4.35</v>
      </c>
      <c r="J97" s="8" t="n">
        <v>4.35</v>
      </c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7" t="inlineStr">
        <is>
          <t>SEM COTAÇÃO</t>
        </is>
      </c>
      <c r="U97" s="8" t="n"/>
      <c r="V97" s="14" t="n"/>
      <c r="W97" s="14" t="n"/>
      <c r="X97" s="7" t="inlineStr"/>
      <c r="Y97" s="7" t="inlineStr"/>
    </row>
    <row r="98">
      <c r="A98" s="7" t="n">
        <v>537661</v>
      </c>
      <c r="B98" s="12" t="inlineStr">
        <is>
          <t>7896007541867</t>
        </is>
      </c>
      <c r="C98" s="7" t="inlineStr">
        <is>
          <t>ABSORVENTE INTERNO INTIMUS MEDIO CAIXA 8 UNIDADES</t>
        </is>
      </c>
      <c r="D98" s="7" t="inlineStr">
        <is>
          <t>ABSORVENTES</t>
        </is>
      </c>
      <c r="E98" s="7" t="inlineStr">
        <is>
          <t>A</t>
        </is>
      </c>
      <c r="F98" s="13" t="n">
        <v>8</v>
      </c>
      <c r="G98" s="13" t="n">
        <v>30</v>
      </c>
      <c r="H98" s="8" t="n">
        <v>7.87</v>
      </c>
      <c r="I98" s="8" t="n">
        <v>7.5008</v>
      </c>
      <c r="J98" s="8" t="n">
        <v>7.746933333333334</v>
      </c>
      <c r="K98" s="8" t="n"/>
      <c r="L98" s="8" t="n"/>
      <c r="M98" s="8" t="n"/>
      <c r="N98" s="8" t="n"/>
      <c r="O98" s="8" t="n"/>
      <c r="P98" s="15" t="n">
        <v>11.55</v>
      </c>
      <c r="Q98" s="8" t="n"/>
      <c r="R98" s="8" t="n"/>
      <c r="S98" s="8" t="n"/>
      <c r="T98" s="7" t="inlineStr">
        <is>
          <t>NAZARIA</t>
        </is>
      </c>
      <c r="U98" s="8" t="n">
        <v>11.55</v>
      </c>
      <c r="V98" s="14">
        <f>U98/J98-1</f>
        <v/>
      </c>
      <c r="W98" s="14">
        <f>U98/H98-1</f>
        <v/>
      </c>
      <c r="X98" s="16" t="inlineStr">
        <is>
          <t>ACIMA +46.8%</t>
        </is>
      </c>
      <c r="Y98" s="7" t="inlineStr"/>
    </row>
    <row r="99">
      <c r="A99" s="7" t="n">
        <v>537181</v>
      </c>
      <c r="B99" s="12" t="inlineStr">
        <is>
          <t>7896007541874</t>
        </is>
      </c>
      <c r="C99" s="7" t="inlineStr">
        <is>
          <t>ABSORVENTE INTERNO INTIMUS SUPER CAIXA 8 UNIDADES</t>
        </is>
      </c>
      <c r="D99" s="7" t="inlineStr">
        <is>
          <t>ABSORVENTES</t>
        </is>
      </c>
      <c r="E99" s="7" t="inlineStr">
        <is>
          <t>A</t>
        </is>
      </c>
      <c r="F99" s="13" t="n">
        <v>5</v>
      </c>
      <c r="G99" s="13" t="n">
        <v>18</v>
      </c>
      <c r="H99" s="8" t="n">
        <v>7.87</v>
      </c>
      <c r="I99" s="8" t="n">
        <v>6.8758</v>
      </c>
      <c r="J99" s="8" t="n">
        <v>7.5386</v>
      </c>
      <c r="K99" s="8" t="n"/>
      <c r="L99" s="8" t="n"/>
      <c r="M99" s="8" t="n"/>
      <c r="N99" s="8" t="n"/>
      <c r="O99" s="8" t="n"/>
      <c r="P99" s="15" t="n">
        <v>11.55</v>
      </c>
      <c r="Q99" s="8" t="n"/>
      <c r="R99" s="8" t="n"/>
      <c r="S99" s="8" t="n"/>
      <c r="T99" s="7" t="inlineStr">
        <is>
          <t>NAZARIA</t>
        </is>
      </c>
      <c r="U99" s="8" t="n">
        <v>11.55</v>
      </c>
      <c r="V99" s="14">
        <f>U99/J99-1</f>
        <v/>
      </c>
      <c r="W99" s="14">
        <f>U99/H99-1</f>
        <v/>
      </c>
      <c r="X99" s="16" t="inlineStr">
        <is>
          <t>ACIMA +46.8%</t>
        </is>
      </c>
      <c r="Y99" s="7" t="inlineStr"/>
    </row>
    <row r="100">
      <c r="A100" s="7" t="n">
        <v>656241</v>
      </c>
      <c r="B100" s="12" t="inlineStr">
        <is>
          <t>7891010245610</t>
        </is>
      </c>
      <c r="C100" s="7" t="inlineStr">
        <is>
          <t>ABSORVENTE INTERNO OB SUPER PRO CONFORT C/ 8UN</t>
        </is>
      </c>
      <c r="D100" s="7" t="inlineStr">
        <is>
          <t>ABSORVENTES</t>
        </is>
      </c>
      <c r="E100" s="7" t="inlineStr">
        <is>
          <t>A</t>
        </is>
      </c>
      <c r="F100" s="13" t="n">
        <v>10</v>
      </c>
      <c r="G100" s="13" t="n">
        <v>10</v>
      </c>
      <c r="H100" s="8" t="n">
        <v>10.83</v>
      </c>
      <c r="I100" s="8" t="n">
        <v>8.42</v>
      </c>
      <c r="J100" s="8" t="n">
        <v>10.02666666666667</v>
      </c>
      <c r="K100" s="8" t="n"/>
      <c r="L100" s="8" t="n"/>
      <c r="M100" s="15" t="n">
        <v>9.109999999999999</v>
      </c>
      <c r="N100" s="8" t="n"/>
      <c r="O100" s="8" t="n"/>
      <c r="P100" s="8" t="n">
        <v>10.44</v>
      </c>
      <c r="Q100" s="8" t="n"/>
      <c r="R100" s="8" t="n"/>
      <c r="S100" s="8" t="n"/>
      <c r="T100" s="7" t="inlineStr">
        <is>
          <t>EPAN</t>
        </is>
      </c>
      <c r="U100" s="8" t="n">
        <v>9.109999999999999</v>
      </c>
      <c r="V100" s="14">
        <f>U100/J100-1</f>
        <v/>
      </c>
      <c r="W100" s="14">
        <f>U100/H100-1</f>
        <v/>
      </c>
      <c r="X100" s="17" t="inlineStr">
        <is>
          <t>OK (≤ últ. compra)</t>
        </is>
      </c>
      <c r="Y100" s="7" t="inlineStr"/>
    </row>
    <row r="101">
      <c r="A101" s="7" t="n">
        <v>671841</v>
      </c>
      <c r="B101" s="12" t="inlineStr">
        <is>
          <t>7896007551019</t>
        </is>
      </c>
      <c r="C101" s="7" t="inlineStr">
        <is>
          <t>ABSORVENTE INTIMO INTIMUS TODA RENOVADA  COM ABAS 14UN</t>
        </is>
      </c>
      <c r="D101" s="7" t="inlineStr">
        <is>
          <t>ABSORVENTES</t>
        </is>
      </c>
      <c r="E101" s="7" t="inlineStr">
        <is>
          <t>C</t>
        </is>
      </c>
      <c r="F101" s="13" t="n">
        <v>1</v>
      </c>
      <c r="G101" s="13" t="n">
        <v>1</v>
      </c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>
        <v>8.4</v>
      </c>
      <c r="Q101" s="8" t="n"/>
      <c r="R101" s="8" t="n"/>
      <c r="S101" s="8" t="n"/>
      <c r="T101" s="7" t="inlineStr">
        <is>
          <t>SEM COTAÇÃO</t>
        </is>
      </c>
      <c r="U101" s="8" t="n"/>
      <c r="V101" s="14" t="n"/>
      <c r="W101" s="14" t="n"/>
      <c r="X101" s="7" t="inlineStr"/>
      <c r="Y101" s="7" t="inlineStr">
        <is>
          <t>NAZARIA: sem estoque</t>
        </is>
      </c>
    </row>
    <row r="102">
      <c r="A102" s="7" t="n">
        <v>641541</v>
      </c>
      <c r="B102" s="12" t="inlineStr">
        <is>
          <t>7896007542871</t>
        </is>
      </c>
      <c r="C102" s="7" t="inlineStr">
        <is>
          <t>ABSORVENTE INTIMUS INTERNO-SUPER 1X16 LVE MAIS P/MENOS R4087$</t>
        </is>
      </c>
      <c r="D102" s="7" t="inlineStr">
        <is>
          <t>ABSORVENTES</t>
        </is>
      </c>
      <c r="E102" s="7" t="inlineStr">
        <is>
          <t>A</t>
        </is>
      </c>
      <c r="F102" s="13" t="n">
        <v>8</v>
      </c>
      <c r="G102" s="13" t="n">
        <v>8</v>
      </c>
      <c r="H102" s="8" t="n">
        <v>14.27</v>
      </c>
      <c r="I102" s="8" t="n">
        <v>14.27</v>
      </c>
      <c r="J102" s="8" t="n">
        <v>14.27</v>
      </c>
      <c r="K102" s="8" t="n"/>
      <c r="L102" s="8" t="n"/>
      <c r="M102" s="8" t="n"/>
      <c r="N102" s="8" t="n"/>
      <c r="O102" s="8" t="n"/>
      <c r="P102" s="8" t="n">
        <v>21</v>
      </c>
      <c r="Q102" s="8" t="n"/>
      <c r="R102" s="8" t="n"/>
      <c r="S102" s="8" t="n"/>
      <c r="T102" s="7" t="inlineStr">
        <is>
          <t>SEM COTAÇÃO</t>
        </is>
      </c>
      <c r="U102" s="8" t="n"/>
      <c r="V102" s="14" t="n"/>
      <c r="W102" s="14" t="n"/>
      <c r="X102" s="7" t="inlineStr"/>
      <c r="Y102" s="7" t="inlineStr">
        <is>
          <t>NAZARIA: sem estoque</t>
        </is>
      </c>
    </row>
    <row r="103">
      <c r="A103" s="7" t="n">
        <v>641531</v>
      </c>
      <c r="B103" s="12" t="inlineStr">
        <is>
          <t>7896007550814</t>
        </is>
      </c>
      <c r="C103" s="7" t="inlineStr">
        <is>
          <t>ABSORVENTE INTIMUS NOTURNO DISCRETO COM ABAS 1X28</t>
        </is>
      </c>
      <c r="D103" s="7" t="inlineStr">
        <is>
          <t>ABSORVENTES</t>
        </is>
      </c>
      <c r="E103" s="7" t="inlineStr">
        <is>
          <t>A</t>
        </is>
      </c>
      <c r="F103" s="13" t="n">
        <v>5</v>
      </c>
      <c r="G103" s="13" t="n">
        <v>5</v>
      </c>
      <c r="H103" s="8" t="n">
        <v>21.1</v>
      </c>
      <c r="I103" s="8" t="n">
        <v>21.1</v>
      </c>
      <c r="J103" s="8" t="n">
        <v>21.1</v>
      </c>
      <c r="K103" s="8" t="n"/>
      <c r="L103" s="8" t="n"/>
      <c r="M103" s="8" t="n"/>
      <c r="N103" s="8" t="n"/>
      <c r="O103" s="8" t="n"/>
      <c r="P103" s="15" t="n">
        <v>27.24</v>
      </c>
      <c r="Q103" s="8" t="n"/>
      <c r="R103" s="8" t="n"/>
      <c r="S103" s="8" t="n"/>
      <c r="T103" s="7" t="inlineStr">
        <is>
          <t>NAZARIA</t>
        </is>
      </c>
      <c r="U103" s="8" t="n">
        <v>27.24</v>
      </c>
      <c r="V103" s="14">
        <f>U103/J103-1</f>
        <v/>
      </c>
      <c r="W103" s="14">
        <f>U103/H103-1</f>
        <v/>
      </c>
      <c r="X103" s="16" t="inlineStr">
        <is>
          <t>ACIMA +29.1%</t>
        </is>
      </c>
      <c r="Y103" s="7" t="inlineStr"/>
    </row>
    <row r="104">
      <c r="A104" s="7" t="n">
        <v>667801</v>
      </c>
      <c r="B104" s="12" t="inlineStr">
        <is>
          <t>7898711713066</t>
        </is>
      </c>
      <c r="C104" s="7" t="inlineStr">
        <is>
          <t>ABSORVENTE ISACARE INTERNO MEDIO 8 UNIDADES</t>
        </is>
      </c>
      <c r="D104" s="7" t="inlineStr">
        <is>
          <t>ABSORVENTES</t>
        </is>
      </c>
      <c r="E104" s="7" t="inlineStr">
        <is>
          <t>A</t>
        </is>
      </c>
      <c r="F104" s="13" t="n">
        <v>11</v>
      </c>
      <c r="G104" s="13" t="n">
        <v>11</v>
      </c>
      <c r="H104" s="8" t="n">
        <v>5.4</v>
      </c>
      <c r="I104" s="8" t="n">
        <v>5.4</v>
      </c>
      <c r="J104" s="8" t="n">
        <v>5.400000000000001</v>
      </c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7" t="inlineStr">
        <is>
          <t>SEM COTAÇÃO</t>
        </is>
      </c>
      <c r="U104" s="8" t="n"/>
      <c r="V104" s="14" t="n"/>
      <c r="W104" s="14" t="n"/>
      <c r="X104" s="7" t="inlineStr"/>
      <c r="Y104" s="7" t="inlineStr"/>
    </row>
    <row r="105">
      <c r="A105" s="7" t="n">
        <v>668111</v>
      </c>
      <c r="B105" s="12" t="inlineStr">
        <is>
          <t>7896064450041</t>
        </is>
      </c>
      <c r="C105" s="7" t="inlineStr">
        <is>
          <t>ABSORVENTE ISACARE NOTURNO COM ABAS 1X8  REF4386</t>
        </is>
      </c>
      <c r="D105" s="7" t="inlineStr">
        <is>
          <t>ABSORVENTES</t>
        </is>
      </c>
      <c r="E105" s="7" t="inlineStr">
        <is>
          <t>C</t>
        </is>
      </c>
      <c r="F105" s="13" t="n">
        <v>8</v>
      </c>
      <c r="G105" s="13" t="n">
        <v>8</v>
      </c>
      <c r="H105" s="8" t="n">
        <v>2.24</v>
      </c>
      <c r="I105" s="8" t="n">
        <v>2.24</v>
      </c>
      <c r="J105" s="8" t="n">
        <v>2.24</v>
      </c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7" t="inlineStr">
        <is>
          <t>SEM COTAÇÃO</t>
        </is>
      </c>
      <c r="U105" s="8" t="n"/>
      <c r="V105" s="14" t="n"/>
      <c r="W105" s="14" t="n"/>
      <c r="X105" s="7" t="inlineStr"/>
      <c r="Y105" s="7" t="inlineStr"/>
    </row>
    <row r="106">
      <c r="A106" s="7" t="n">
        <v>666071</v>
      </c>
      <c r="B106" s="12" t="inlineStr">
        <is>
          <t>7898905111616</t>
        </is>
      </c>
      <c r="C106" s="7" t="inlineStr">
        <is>
          <t>ABSORVENTE MULTIUSO CONFORT MAXI C/ DRY GEL C/ 20 UNID</t>
        </is>
      </c>
      <c r="D106" s="7" t="inlineStr">
        <is>
          <t>FRALDAS GERIATRICAS</t>
        </is>
      </c>
      <c r="E106" s="7" t="inlineStr">
        <is>
          <t>C</t>
        </is>
      </c>
      <c r="F106" s="13" t="n">
        <v>3</v>
      </c>
      <c r="G106" s="13" t="n">
        <v>3</v>
      </c>
      <c r="H106" s="8" t="n">
        <v>14.99</v>
      </c>
      <c r="I106" s="8" t="n">
        <v>14.99</v>
      </c>
      <c r="J106" s="8" t="n">
        <v>14.99</v>
      </c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7" t="inlineStr">
        <is>
          <t>SEM COTAÇÃO</t>
        </is>
      </c>
      <c r="U106" s="8" t="n"/>
      <c r="V106" s="14" t="n"/>
      <c r="W106" s="14" t="n"/>
      <c r="X106" s="7" t="inlineStr"/>
      <c r="Y106" s="7" t="inlineStr"/>
    </row>
    <row r="107">
      <c r="A107" s="7" t="n">
        <v>660041</v>
      </c>
      <c r="B107" s="12" t="inlineStr">
        <is>
          <t>7891899086007</t>
        </is>
      </c>
      <c r="C107" s="7" t="inlineStr">
        <is>
          <t>ABSORVENTE P.SEIOS MABIE C.12 - UN MINASREY</t>
        </is>
      </c>
      <c r="D107" s="7" t="inlineStr">
        <is>
          <t>ABSORVENTES</t>
        </is>
      </c>
      <c r="E107" s="7" t="inlineStr">
        <is>
          <t>B</t>
        </is>
      </c>
      <c r="F107" s="13" t="n">
        <v>1</v>
      </c>
      <c r="G107" s="13" t="n">
        <v>1</v>
      </c>
      <c r="H107" s="8" t="n">
        <v>14.38</v>
      </c>
      <c r="I107" s="8" t="n">
        <v>14.38</v>
      </c>
      <c r="J107" s="8" t="n">
        <v>14.38</v>
      </c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7" t="inlineStr">
        <is>
          <t>SEM COTAÇÃO</t>
        </is>
      </c>
      <c r="U107" s="8" t="n"/>
      <c r="V107" s="14" t="n"/>
      <c r="W107" s="14" t="n"/>
      <c r="X107" s="7" t="inlineStr"/>
      <c r="Y107" s="7" t="inlineStr"/>
    </row>
    <row r="108">
      <c r="A108" s="7" t="n">
        <v>554821</v>
      </c>
      <c r="B108" s="12" t="inlineStr">
        <is>
          <t>7891010503031</t>
        </is>
      </c>
      <c r="C108" s="7" t="inlineStr">
        <is>
          <t>ABSORVENTE SEM ABAS SUAVE SEMPRE LIVRE ADAPT PACOTE 8 UNIDADES</t>
        </is>
      </c>
      <c r="D108" s="7" t="inlineStr">
        <is>
          <t>ABSORVENTES</t>
        </is>
      </c>
      <c r="E108" s="7" t="inlineStr">
        <is>
          <t>A</t>
        </is>
      </c>
      <c r="F108" s="13" t="n">
        <v>18</v>
      </c>
      <c r="G108" s="13" t="n">
        <v>18</v>
      </c>
      <c r="H108" s="8" t="n">
        <v>3.08</v>
      </c>
      <c r="I108" s="8" t="n">
        <v>3.08</v>
      </c>
      <c r="J108" s="8" t="n">
        <v>3.08</v>
      </c>
      <c r="K108" s="8" t="n"/>
      <c r="L108" s="8" t="n"/>
      <c r="M108" s="8" t="n"/>
      <c r="N108" s="8" t="n"/>
      <c r="O108" s="8" t="n"/>
      <c r="P108" s="15" t="n">
        <v>4.69</v>
      </c>
      <c r="Q108" s="8" t="n"/>
      <c r="R108" s="8" t="n"/>
      <c r="S108" s="8" t="n"/>
      <c r="T108" s="7" t="inlineStr">
        <is>
          <t>NAZARIA</t>
        </is>
      </c>
      <c r="U108" s="8" t="n">
        <v>4.69</v>
      </c>
      <c r="V108" s="14">
        <f>U108/J108-1</f>
        <v/>
      </c>
      <c r="W108" s="14">
        <f>U108/H108-1</f>
        <v/>
      </c>
      <c r="X108" s="16" t="inlineStr">
        <is>
          <t>ACIMA +52.3%</t>
        </is>
      </c>
      <c r="Y108" s="7" t="inlineStr"/>
    </row>
    <row r="109">
      <c r="A109" s="7" t="n">
        <v>548801</v>
      </c>
      <c r="B109" s="12" t="inlineStr">
        <is>
          <t>7891010035631</t>
        </is>
      </c>
      <c r="C109" s="7" t="inlineStr">
        <is>
          <t>ABSORVENTE SEMPRE LIVRE ADAPT PLUS NOITE E DIA SUAVE COM ABAS COM 8 UNIDADES</t>
        </is>
      </c>
      <c r="D109" s="7" t="inlineStr">
        <is>
          <t>ABSORVENTES</t>
        </is>
      </c>
      <c r="E109" s="7" t="inlineStr">
        <is>
          <t>A</t>
        </is>
      </c>
      <c r="F109" s="13" t="n">
        <v>20</v>
      </c>
      <c r="G109" s="13" t="n">
        <v>20</v>
      </c>
      <c r="H109" s="8" t="n">
        <v>6.62</v>
      </c>
      <c r="I109" s="8" t="n">
        <v>6.62</v>
      </c>
      <c r="J109" s="8" t="n">
        <v>6.62</v>
      </c>
      <c r="K109" s="8" t="n"/>
      <c r="L109" s="8" t="n"/>
      <c r="M109" s="8" t="n"/>
      <c r="N109" s="8" t="n"/>
      <c r="O109" s="8" t="n"/>
      <c r="P109" s="15" t="n">
        <v>8.98</v>
      </c>
      <c r="Q109" s="8" t="n"/>
      <c r="R109" s="8" t="n"/>
      <c r="S109" s="8" t="n"/>
      <c r="T109" s="7" t="inlineStr">
        <is>
          <t>NAZARIA</t>
        </is>
      </c>
      <c r="U109" s="8" t="n">
        <v>8.98</v>
      </c>
      <c r="V109" s="14">
        <f>U109/J109-1</f>
        <v/>
      </c>
      <c r="W109" s="14">
        <f>U109/H109-1</f>
        <v/>
      </c>
      <c r="X109" s="16" t="inlineStr">
        <is>
          <t>ACIMA +35.6%</t>
        </is>
      </c>
      <c r="Y109" s="7" t="inlineStr"/>
    </row>
    <row r="110">
      <c r="A110" s="7" t="n">
        <v>564381</v>
      </c>
      <c r="B110" s="12" t="inlineStr">
        <is>
          <t>7891010607135</t>
        </is>
      </c>
      <c r="C110" s="7" t="inlineStr">
        <is>
          <t>ABSORVENTE SEMPRE LIVRE NOT.SU.C/A.16X1 UN</t>
        </is>
      </c>
      <c r="D110" s="7" t="inlineStr">
        <is>
          <t>ABSORVENTES</t>
        </is>
      </c>
      <c r="E110" s="7" t="inlineStr">
        <is>
          <t>A</t>
        </is>
      </c>
      <c r="F110" s="13" t="n">
        <v>13</v>
      </c>
      <c r="G110" s="13" t="n">
        <v>13</v>
      </c>
      <c r="H110" s="8" t="n">
        <v>12.99</v>
      </c>
      <c r="I110" s="8" t="n">
        <v>12.34</v>
      </c>
      <c r="J110" s="8" t="n">
        <v>12.77333333333333</v>
      </c>
      <c r="K110" s="8" t="n"/>
      <c r="L110" s="8" t="n"/>
      <c r="M110" s="8" t="n"/>
      <c r="N110" s="8" t="n"/>
      <c r="O110" s="8" t="n"/>
      <c r="P110" s="15" t="n">
        <v>16.97</v>
      </c>
      <c r="Q110" s="8" t="n"/>
      <c r="R110" s="8" t="n"/>
      <c r="S110" s="8" t="n"/>
      <c r="T110" s="7" t="inlineStr">
        <is>
          <t>NAZARIA</t>
        </is>
      </c>
      <c r="U110" s="8" t="n">
        <v>16.97</v>
      </c>
      <c r="V110" s="14">
        <f>U110/J110-1</f>
        <v/>
      </c>
      <c r="W110" s="14">
        <f>U110/H110-1</f>
        <v/>
      </c>
      <c r="X110" s="16" t="inlineStr">
        <is>
          <t>ACIMA +30.6%</t>
        </is>
      </c>
      <c r="Y110" s="7" t="inlineStr"/>
    </row>
    <row r="111">
      <c r="A111" s="7" t="n">
        <v>601541</v>
      </c>
      <c r="B111" s="12" t="inlineStr">
        <is>
          <t>4015630064175</t>
        </is>
      </c>
      <c r="C111" s="7" t="inlineStr">
        <is>
          <t>ACCU-CHEK ACTIVE 25TIRAS</t>
        </is>
      </c>
      <c r="D111" s="7" t="inlineStr">
        <is>
          <t>UTENSILIOS</t>
        </is>
      </c>
      <c r="E111" s="7" t="inlineStr">
        <is>
          <t>C</t>
        </is>
      </c>
      <c r="F111" s="13" t="n">
        <v>1</v>
      </c>
      <c r="G111" s="13" t="n">
        <v>1</v>
      </c>
      <c r="H111" s="8" t="n">
        <v>40.415</v>
      </c>
      <c r="I111" s="8" t="n">
        <v>40.415</v>
      </c>
      <c r="J111" s="8" t="n">
        <v>40.415</v>
      </c>
      <c r="K111" s="8" t="n"/>
      <c r="L111" s="8" t="n"/>
      <c r="M111" s="8" t="n"/>
      <c r="N111" s="8" t="n"/>
      <c r="O111" s="8" t="n"/>
      <c r="P111" s="8" t="n">
        <v>60.76</v>
      </c>
      <c r="Q111" s="8" t="n"/>
      <c r="R111" s="8" t="n"/>
      <c r="S111" s="8" t="n"/>
      <c r="T111" s="7" t="inlineStr">
        <is>
          <t>SEM COTAÇÃO</t>
        </is>
      </c>
      <c r="U111" s="8" t="n"/>
      <c r="V111" s="14" t="n"/>
      <c r="W111" s="14" t="n"/>
      <c r="X111" s="7" t="inlineStr"/>
      <c r="Y111" s="7" t="inlineStr">
        <is>
          <t>NAZARIA: sem estoque</t>
        </is>
      </c>
    </row>
    <row r="112">
      <c r="A112" s="7" t="n">
        <v>645181</v>
      </c>
      <c r="B112" s="12" t="inlineStr">
        <is>
          <t>4015630058518</t>
        </is>
      </c>
      <c r="C112" s="7" t="inlineStr">
        <is>
          <t>ACCU-CHEK FASTCLIX 24 LACETAS</t>
        </is>
      </c>
      <c r="D112" s="7" t="inlineStr">
        <is>
          <t>UTENSILIOS</t>
        </is>
      </c>
      <c r="E112" s="7" t="inlineStr">
        <is>
          <t>C</t>
        </is>
      </c>
      <c r="F112" s="13" t="n">
        <v>1</v>
      </c>
      <c r="G112" s="13" t="n">
        <v>1</v>
      </c>
      <c r="H112" s="8" t="n">
        <v>19.29</v>
      </c>
      <c r="I112" s="8" t="n">
        <v>19.29</v>
      </c>
      <c r="J112" s="8" t="n">
        <v>19.29</v>
      </c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7" t="inlineStr">
        <is>
          <t>SEM COTAÇÃO</t>
        </is>
      </c>
      <c r="U112" s="8" t="n"/>
      <c r="V112" s="14" t="n"/>
      <c r="W112" s="14" t="n"/>
      <c r="X112" s="7" t="inlineStr"/>
      <c r="Y112" s="7" t="inlineStr"/>
    </row>
    <row r="113">
      <c r="A113" s="7" t="n">
        <v>23503</v>
      </c>
      <c r="B113" s="12" t="inlineStr">
        <is>
          <t>7898653620026</t>
        </is>
      </c>
      <c r="C113" s="7" t="inlineStr">
        <is>
          <t>ACCU-CHEK GUIDE PACK C/50 TIRAS-DEMAIS PROD</t>
        </is>
      </c>
      <c r="D113" s="7" t="inlineStr">
        <is>
          <t>UTENSILIOS</t>
        </is>
      </c>
      <c r="E113" s="7" t="inlineStr">
        <is>
          <t>A</t>
        </is>
      </c>
      <c r="F113" s="13" t="n">
        <v>1</v>
      </c>
      <c r="G113" s="13" t="n">
        <v>1</v>
      </c>
      <c r="H113" s="8" t="n">
        <v>64.9867</v>
      </c>
      <c r="I113" s="8" t="n">
        <v>64.9867</v>
      </c>
      <c r="J113" s="8" t="n">
        <v>64.9867</v>
      </c>
      <c r="K113" s="8" t="n"/>
      <c r="L113" s="8" t="n"/>
      <c r="M113" s="8" t="n"/>
      <c r="N113" s="8" t="n"/>
      <c r="O113" s="8" t="n"/>
      <c r="P113" s="8" t="n">
        <v>228.27</v>
      </c>
      <c r="Q113" s="8" t="n"/>
      <c r="R113" s="8" t="n"/>
      <c r="S113" s="8" t="n"/>
      <c r="T113" s="7" t="inlineStr">
        <is>
          <t>SEM COTAÇÃO</t>
        </is>
      </c>
      <c r="U113" s="8" t="n"/>
      <c r="V113" s="14" t="n"/>
      <c r="W113" s="14" t="n"/>
      <c r="X113" s="7" t="inlineStr"/>
      <c r="Y113" s="7" t="inlineStr">
        <is>
          <t>NAZARIA: sem estoque; conferir emb.</t>
        </is>
      </c>
    </row>
    <row r="114">
      <c r="A114" s="7" t="n">
        <v>2081</v>
      </c>
      <c r="B114" s="12" t="inlineStr">
        <is>
          <t>7899620912731</t>
        </is>
      </c>
      <c r="C114" s="7" t="inlineStr">
        <is>
          <t>ACEBROFILINA 10MG/ML XPE FR 120ML+COP MED</t>
        </is>
      </c>
      <c r="D114" s="7" t="inlineStr">
        <is>
          <t>GENERICO</t>
        </is>
      </c>
      <c r="E114" s="7" t="inlineStr">
        <is>
          <t>B</t>
        </is>
      </c>
      <c r="F114" s="13" t="n">
        <v>2</v>
      </c>
      <c r="G114" s="13" t="n">
        <v>2</v>
      </c>
      <c r="H114" s="8" t="n">
        <v>7.01</v>
      </c>
      <c r="I114" s="8" t="n">
        <v>7.01</v>
      </c>
      <c r="J114" s="8" t="n">
        <v>7.010000000000001</v>
      </c>
      <c r="K114" s="8" t="n">
        <v>7.03</v>
      </c>
      <c r="L114" s="8" t="n"/>
      <c r="M114" s="8" t="n"/>
      <c r="N114" s="8" t="n"/>
      <c r="O114" s="8" t="n"/>
      <c r="P114" s="8" t="n"/>
      <c r="Q114" s="8" t="n"/>
      <c r="R114" s="15" t="n">
        <v>6.7</v>
      </c>
      <c r="S114" s="8" t="n"/>
      <c r="T114" s="7" t="inlineStr">
        <is>
          <t>BRASFARMA</t>
        </is>
      </c>
      <c r="U114" s="8" t="n">
        <v>6.7</v>
      </c>
      <c r="V114" s="14">
        <f>U114/J114-1</f>
        <v/>
      </c>
      <c r="W114" s="14">
        <f>U114/H114-1</f>
        <v/>
      </c>
      <c r="X114" s="17" t="inlineStr">
        <is>
          <t>OK (≤ menor hist.)</t>
        </is>
      </c>
      <c r="Y114" s="7" t="inlineStr"/>
    </row>
    <row r="115">
      <c r="A115" s="7" t="n">
        <v>403321</v>
      </c>
      <c r="B115" s="12" t="inlineStr">
        <is>
          <t>7893454300115</t>
        </is>
      </c>
      <c r="C115" s="7" t="inlineStr">
        <is>
          <t>ACERATUM SOL FR 10ML</t>
        </is>
      </c>
      <c r="D115" s="7" t="inlineStr">
        <is>
          <t>SIMILAR</t>
        </is>
      </c>
      <c r="E115" s="7" t="inlineStr">
        <is>
          <t>B</t>
        </is>
      </c>
      <c r="F115" s="13" t="n">
        <v>1</v>
      </c>
      <c r="G115" s="13" t="n">
        <v>1</v>
      </c>
      <c r="H115" s="8" t="n">
        <v>13.04</v>
      </c>
      <c r="I115" s="8" t="n">
        <v>13.04</v>
      </c>
      <c r="J115" s="8" t="n">
        <v>13.04</v>
      </c>
      <c r="K115" s="15" t="n">
        <v>11.39</v>
      </c>
      <c r="L115" s="8" t="n"/>
      <c r="M115" s="8" t="n"/>
      <c r="N115" s="8" t="n">
        <v>11.54</v>
      </c>
      <c r="O115" s="8" t="n"/>
      <c r="P115" s="8" t="n"/>
      <c r="Q115" s="8" t="n"/>
      <c r="R115" s="8" t="n"/>
      <c r="S115" s="8" t="n"/>
      <c r="T115" s="7" t="inlineStr">
        <is>
          <t>DIMEC</t>
        </is>
      </c>
      <c r="U115" s="8" t="n">
        <v>11.39</v>
      </c>
      <c r="V115" s="14">
        <f>U115/J115-1</f>
        <v/>
      </c>
      <c r="W115" s="14">
        <f>U115/H115-1</f>
        <v/>
      </c>
      <c r="X115" s="17" t="inlineStr">
        <is>
          <t>OK (≤ menor hist.)</t>
        </is>
      </c>
      <c r="Y115" s="7" t="inlineStr"/>
    </row>
    <row r="116">
      <c r="A116" s="7" t="n">
        <v>485841</v>
      </c>
      <c r="B116" s="12" t="inlineStr"/>
      <c r="C116" s="7" t="inlineStr">
        <is>
          <t>ACETATO DE CIPROTERONA+ETINILESTRADIOL 2+0,035MG CX 21 COMP REV</t>
        </is>
      </c>
      <c r="D116" s="7" t="inlineStr">
        <is>
          <t>GENERICO</t>
        </is>
      </c>
      <c r="E116" s="7" t="inlineStr">
        <is>
          <t>C</t>
        </is>
      </c>
      <c r="F116" s="13" t="n">
        <v>5</v>
      </c>
      <c r="G116" s="13" t="n">
        <v>5</v>
      </c>
      <c r="H116" s="8" t="n">
        <v>2.96</v>
      </c>
      <c r="I116" s="8" t="n">
        <v>2.96</v>
      </c>
      <c r="J116" s="8" t="n">
        <v>2.96</v>
      </c>
      <c r="K116" s="8" t="n"/>
      <c r="L116" s="8" t="n"/>
      <c r="M116" s="8" t="n"/>
      <c r="N116" s="8" t="n"/>
      <c r="O116" s="8" t="n"/>
      <c r="P116" s="8" t="n"/>
      <c r="Q116" s="8" t="n"/>
      <c r="R116" s="8" t="n"/>
      <c r="S116" s="8" t="n"/>
      <c r="T116" s="7" t="inlineStr">
        <is>
          <t>SEM COTAÇÃO</t>
        </is>
      </c>
      <c r="U116" s="8" t="n"/>
      <c r="V116" s="14" t="n"/>
      <c r="W116" s="14" t="n"/>
      <c r="X116" s="7" t="inlineStr"/>
      <c r="Y116" s="7" t="inlineStr"/>
    </row>
    <row r="117">
      <c r="A117" s="7" t="n">
        <v>568061</v>
      </c>
      <c r="B117" s="12" t="inlineStr">
        <is>
          <t>7896902209114</t>
        </is>
      </c>
      <c r="C117" s="7" t="inlineStr">
        <is>
          <t>ACETONA FARMAX 100ML</t>
        </is>
      </c>
      <c r="D117" s="7" t="inlineStr">
        <is>
          <t>PERF/COSME</t>
        </is>
      </c>
      <c r="E117" s="7" t="inlineStr">
        <is>
          <t>B</t>
        </is>
      </c>
      <c r="F117" s="13" t="n">
        <v>14</v>
      </c>
      <c r="G117" s="13" t="n">
        <v>14</v>
      </c>
      <c r="H117" s="8" t="n">
        <v>2.75</v>
      </c>
      <c r="I117" s="8" t="n">
        <v>2.4775</v>
      </c>
      <c r="J117" s="8" t="n">
        <v>2.4775</v>
      </c>
      <c r="K117" s="8" t="n"/>
      <c r="L117" s="8" t="n"/>
      <c r="M117" s="8" t="n"/>
      <c r="N117" s="15" t="n">
        <v>3.09</v>
      </c>
      <c r="O117" s="8" t="n"/>
      <c r="P117" s="8" t="n">
        <v>3.11</v>
      </c>
      <c r="Q117" s="8" t="n"/>
      <c r="R117" s="8" t="n"/>
      <c r="S117" s="8" t="n"/>
      <c r="T117" s="7" t="inlineStr">
        <is>
          <t>CENTROFARMA</t>
        </is>
      </c>
      <c r="U117" s="8" t="n">
        <v>3.09</v>
      </c>
      <c r="V117" s="14">
        <f>U117/J117-1</f>
        <v/>
      </c>
      <c r="W117" s="14">
        <f>U117/H117-1</f>
        <v/>
      </c>
      <c r="X117" s="16" t="inlineStr">
        <is>
          <t>ACIMA +12.4%</t>
        </is>
      </c>
      <c r="Y117" s="7" t="inlineStr"/>
    </row>
    <row r="118">
      <c r="A118" s="7" t="n">
        <v>595891</v>
      </c>
      <c r="B118" s="12" t="inlineStr">
        <is>
          <t>7896221806964</t>
        </is>
      </c>
      <c r="C118" s="7" t="inlineStr">
        <is>
          <t>ACETONA MARCIA 80ML</t>
        </is>
      </c>
      <c r="D118" s="7" t="inlineStr">
        <is>
          <t>PERF/COSME</t>
        </is>
      </c>
      <c r="E118" s="7" t="inlineStr">
        <is>
          <t>C</t>
        </is>
      </c>
      <c r="F118" s="13" t="n">
        <v>6</v>
      </c>
      <c r="G118" s="13" t="n">
        <v>6</v>
      </c>
      <c r="H118" s="8" t="n">
        <v>1.58</v>
      </c>
      <c r="I118" s="8" t="n">
        <v>1.58</v>
      </c>
      <c r="J118" s="8" t="n">
        <v>1.58</v>
      </c>
      <c r="K118" s="8" t="n"/>
      <c r="L118" s="8" t="n"/>
      <c r="M118" s="8" t="n"/>
      <c r="N118" s="8" t="n"/>
      <c r="O118" s="8" t="n"/>
      <c r="P118" s="8" t="n"/>
      <c r="Q118" s="8" t="n"/>
      <c r="R118" s="8" t="n"/>
      <c r="S118" s="8" t="n"/>
      <c r="T118" s="7" t="inlineStr">
        <is>
          <t>SEM COTAÇÃO</t>
        </is>
      </c>
      <c r="U118" s="8" t="n"/>
      <c r="V118" s="14" t="n"/>
      <c r="W118" s="14" t="n"/>
      <c r="X118" s="7" t="inlineStr"/>
      <c r="Y118" s="7" t="inlineStr"/>
    </row>
    <row r="119">
      <c r="A119" s="7" t="n">
        <v>601611</v>
      </c>
      <c r="B119" s="12" t="inlineStr">
        <is>
          <t>7897947601741</t>
        </is>
      </c>
      <c r="C119" s="7" t="inlineStr">
        <is>
          <t>ACEVITON TRIPLA ACAO EFERV TBX10</t>
        </is>
      </c>
      <c r="D119" s="7" t="inlineStr">
        <is>
          <t>SIMILAR</t>
        </is>
      </c>
      <c r="E119" s="7" t="inlineStr">
        <is>
          <t>A</t>
        </is>
      </c>
      <c r="F119" s="13" t="n">
        <v>62</v>
      </c>
      <c r="G119" s="13" t="n">
        <v>62</v>
      </c>
      <c r="H119" s="8" t="n">
        <v>4.96</v>
      </c>
      <c r="I119" s="8" t="n">
        <v>4.59</v>
      </c>
      <c r="J119" s="8" t="n">
        <v>4.713333333333334</v>
      </c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7" t="inlineStr">
        <is>
          <t>SEM COTAÇÃO</t>
        </is>
      </c>
      <c r="U119" s="8" t="n"/>
      <c r="V119" s="14" t="n"/>
      <c r="W119" s="14" t="n"/>
      <c r="X119" s="7" t="inlineStr"/>
      <c r="Y119" s="7" t="inlineStr"/>
    </row>
    <row r="120">
      <c r="A120" s="7" t="n">
        <v>588691</v>
      </c>
      <c r="B120" s="12" t="inlineStr"/>
      <c r="C120" s="7" t="inlineStr">
        <is>
          <t>ACEVITON ZINCO COMP EFERV 1 TB X 10</t>
        </is>
      </c>
      <c r="D120" s="7" t="inlineStr">
        <is>
          <t>SIMILAR</t>
        </is>
      </c>
      <c r="E120" s="7" t="inlineStr">
        <is>
          <t>A</t>
        </is>
      </c>
      <c r="F120" s="13" t="n">
        <v>2</v>
      </c>
      <c r="G120" s="13" t="n">
        <v>2</v>
      </c>
      <c r="H120" s="8" t="n">
        <v>3.99</v>
      </c>
      <c r="I120" s="8" t="n">
        <v>3.99</v>
      </c>
      <c r="J120" s="8" t="n">
        <v>3.99</v>
      </c>
      <c r="K120" s="8" t="n"/>
      <c r="L120" s="8" t="n"/>
      <c r="M120" s="8" t="n"/>
      <c r="N120" s="8" t="n"/>
      <c r="O120" s="8" t="n"/>
      <c r="P120" s="8" t="n"/>
      <c r="Q120" s="8" t="n"/>
      <c r="R120" s="8" t="n"/>
      <c r="S120" s="8" t="n"/>
      <c r="T120" s="7" t="inlineStr">
        <is>
          <t>SEM COTAÇÃO</t>
        </is>
      </c>
      <c r="U120" s="8" t="n"/>
      <c r="V120" s="14" t="n"/>
      <c r="W120" s="14" t="n"/>
      <c r="X120" s="7" t="inlineStr"/>
      <c r="Y120" s="7" t="inlineStr"/>
    </row>
    <row r="121">
      <c r="A121" s="7" t="n">
        <v>10781</v>
      </c>
      <c r="B121" s="12" t="inlineStr"/>
      <c r="C121" s="7" t="inlineStr">
        <is>
          <t>ACICLOVIR 200MG CX 30 COMP</t>
        </is>
      </c>
      <c r="D121" s="7" t="inlineStr">
        <is>
          <t>GENERICO</t>
        </is>
      </c>
      <c r="E121" s="7" t="inlineStr">
        <is>
          <t>A</t>
        </is>
      </c>
      <c r="F121" s="13" t="n">
        <v>19</v>
      </c>
      <c r="G121" s="13" t="n">
        <v>19</v>
      </c>
      <c r="H121" s="8" t="n">
        <v>5.83</v>
      </c>
      <c r="I121" s="8" t="n">
        <v>5.83</v>
      </c>
      <c r="J121" s="8" t="n">
        <v>5.830000000000001</v>
      </c>
      <c r="K121" s="8" t="n"/>
      <c r="L121" s="8" t="n"/>
      <c r="M121" s="8" t="n"/>
      <c r="N121" s="8" t="n"/>
      <c r="O121" s="8" t="n"/>
      <c r="P121" s="8" t="n"/>
      <c r="Q121" s="8" t="n"/>
      <c r="R121" s="8" t="n"/>
      <c r="S121" s="8" t="n"/>
      <c r="T121" s="7" t="inlineStr">
        <is>
          <t>SEM COTAÇÃO</t>
        </is>
      </c>
      <c r="U121" s="8" t="n"/>
      <c r="V121" s="14" t="n"/>
      <c r="W121" s="14" t="n"/>
      <c r="X121" s="7" t="inlineStr"/>
      <c r="Y121" s="7" t="inlineStr"/>
    </row>
    <row r="122">
      <c r="A122" s="7" t="n">
        <v>515381</v>
      </c>
      <c r="B122" s="12" t="inlineStr">
        <is>
          <t>7891721202391</t>
        </is>
      </c>
      <c r="C122" s="7" t="inlineStr">
        <is>
          <t>ACICLOVIR 400MG FR 30 COMP</t>
        </is>
      </c>
      <c r="D122" s="7" t="inlineStr">
        <is>
          <t>GENERICO</t>
        </is>
      </c>
      <c r="E122" s="7" t="inlineStr">
        <is>
          <t>A</t>
        </is>
      </c>
      <c r="F122" s="13" t="n">
        <v>2</v>
      </c>
      <c r="G122" s="13" t="n">
        <v>2</v>
      </c>
      <c r="H122" s="8" t="n">
        <v>30.457</v>
      </c>
      <c r="I122" s="8" t="n">
        <v>30.457</v>
      </c>
      <c r="J122" s="8" t="n">
        <v>30.457</v>
      </c>
      <c r="K122" s="8" t="n"/>
      <c r="L122" s="8" t="n"/>
      <c r="M122" s="8" t="n"/>
      <c r="N122" s="8" t="n"/>
      <c r="O122" s="8" t="n"/>
      <c r="P122" s="8" t="n">
        <v>244.41</v>
      </c>
      <c r="Q122" s="15" t="n">
        <v>35.01</v>
      </c>
      <c r="R122" s="8" t="n"/>
      <c r="S122" s="8" t="n"/>
      <c r="T122" s="7" t="inlineStr">
        <is>
          <t>MEDCENTRO</t>
        </is>
      </c>
      <c r="U122" s="8" t="n">
        <v>35.01</v>
      </c>
      <c r="V122" s="14">
        <f>U122/J122-1</f>
        <v/>
      </c>
      <c r="W122" s="14">
        <f>U122/H122-1</f>
        <v/>
      </c>
      <c r="X122" s="16" t="inlineStr">
        <is>
          <t>ACIMA +14.9%</t>
        </is>
      </c>
      <c r="Y122" s="7" t="inlineStr">
        <is>
          <t>NAZARIA: conferir emb.</t>
        </is>
      </c>
    </row>
    <row r="123">
      <c r="A123" s="7" t="n">
        <v>512561</v>
      </c>
      <c r="B123" s="12" t="inlineStr"/>
      <c r="C123" s="7" t="inlineStr">
        <is>
          <t>ACICLOVIR 50MG/G CREME DERM BG 10G</t>
        </is>
      </c>
      <c r="D123" s="7" t="inlineStr">
        <is>
          <t>GENERICO</t>
        </is>
      </c>
      <c r="E123" s="7" t="inlineStr">
        <is>
          <t>A</t>
        </is>
      </c>
      <c r="F123" s="13" t="n">
        <v>20</v>
      </c>
      <c r="G123" s="13" t="n">
        <v>20</v>
      </c>
      <c r="H123" s="8" t="n">
        <v>3.49</v>
      </c>
      <c r="I123" s="8" t="n">
        <v>2.79</v>
      </c>
      <c r="J123" s="8" t="n">
        <v>3.023333333333333</v>
      </c>
      <c r="K123" s="8" t="n"/>
      <c r="L123" s="8" t="n"/>
      <c r="M123" s="8" t="n"/>
      <c r="N123" s="8" t="n"/>
      <c r="O123" s="8" t="n"/>
      <c r="P123" s="8" t="n"/>
      <c r="Q123" s="8" t="n"/>
      <c r="R123" s="8" t="n"/>
      <c r="S123" s="8" t="n"/>
      <c r="T123" s="7" t="inlineStr">
        <is>
          <t>SEM COTAÇÃO</t>
        </is>
      </c>
      <c r="U123" s="8" t="n"/>
      <c r="V123" s="14" t="n"/>
      <c r="W123" s="14" t="n"/>
      <c r="X123" s="7" t="inlineStr"/>
      <c r="Y123" s="7" t="inlineStr"/>
    </row>
    <row r="124">
      <c r="A124" s="7" t="n">
        <v>14301</v>
      </c>
      <c r="B124" s="12" t="inlineStr">
        <is>
          <t>7898122913772</t>
        </is>
      </c>
      <c r="C124" s="7" t="inlineStr">
        <is>
          <t>ACIDO ASCORBICO (VIT C) HYPOFARMA 100 MG/ML SOL INJ IV/IM CX 100 AMP VD AMB X 5 ML (EMB HOSP)</t>
        </is>
      </c>
      <c r="D124" s="7" t="inlineStr">
        <is>
          <t>HOSPITALAR</t>
        </is>
      </c>
      <c r="E124" s="7" t="inlineStr">
        <is>
          <t>C</t>
        </is>
      </c>
      <c r="F124" s="13" t="n">
        <v>1</v>
      </c>
      <c r="G124" s="13" t="n">
        <v>1</v>
      </c>
      <c r="H124" s="8" t="n">
        <v>117</v>
      </c>
      <c r="I124" s="8" t="n">
        <v>117</v>
      </c>
      <c r="J124" s="8" t="n">
        <v>117</v>
      </c>
      <c r="K124" s="15" t="n">
        <v>103.59</v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7" t="inlineStr">
        <is>
          <t>DIMEC</t>
        </is>
      </c>
      <c r="U124" s="8" t="n">
        <v>103.59</v>
      </c>
      <c r="V124" s="14">
        <f>U124/J124-1</f>
        <v/>
      </c>
      <c r="W124" s="14">
        <f>U124/H124-1</f>
        <v/>
      </c>
      <c r="X124" s="17" t="inlineStr">
        <is>
          <t>OK (≤ menor hist.)</t>
        </is>
      </c>
      <c r="Y124" s="7" t="inlineStr"/>
    </row>
    <row r="125">
      <c r="A125" s="7" t="n">
        <v>650331</v>
      </c>
      <c r="B125" s="12" t="inlineStr">
        <is>
          <t>7898303263818</t>
        </is>
      </c>
      <c r="C125" s="7" t="inlineStr">
        <is>
          <t>ACIDO HIALURONICO 150MG + VITAMINAS FR 30 CAPS</t>
        </is>
      </c>
      <c r="D125" s="7" t="inlineStr">
        <is>
          <t>VITAMINA E SIMILARES</t>
        </is>
      </c>
      <c r="E125" s="7" t="inlineStr">
        <is>
          <t>C</t>
        </is>
      </c>
      <c r="F125" s="13" t="n">
        <v>1</v>
      </c>
      <c r="G125" s="13" t="n">
        <v>1</v>
      </c>
      <c r="H125" s="8" t="n">
        <v>32.95</v>
      </c>
      <c r="I125" s="8" t="n">
        <v>32.95</v>
      </c>
      <c r="J125" s="8" t="n">
        <v>32.95</v>
      </c>
      <c r="K125" s="8" t="n"/>
      <c r="L125" s="8" t="n"/>
      <c r="M125" s="8" t="n"/>
      <c r="N125" s="8" t="n"/>
      <c r="O125" s="8" t="n"/>
      <c r="P125" s="8" t="n"/>
      <c r="Q125" s="8" t="n"/>
      <c r="R125" s="8" t="n"/>
      <c r="S125" s="8" t="n"/>
      <c r="T125" s="7" t="inlineStr">
        <is>
          <t>SEM COTAÇÃO</t>
        </is>
      </c>
      <c r="U125" s="8" t="n"/>
      <c r="V125" s="14" t="n"/>
      <c r="W125" s="14" t="n"/>
      <c r="X125" s="7" t="inlineStr"/>
      <c r="Y125" s="7" t="inlineStr"/>
    </row>
    <row r="126">
      <c r="A126" s="7" t="n">
        <v>647211</v>
      </c>
      <c r="B126" s="12" t="inlineStr">
        <is>
          <t>7896023718533</t>
        </is>
      </c>
      <c r="C126" s="7" t="inlineStr">
        <is>
          <t>ACIDO HIALURONICO 150MG C/30 CAPS.</t>
        </is>
      </c>
      <c r="D126" s="7" t="inlineStr">
        <is>
          <t>VITAMINA E SIMILARES</t>
        </is>
      </c>
      <c r="E126" s="7" t="inlineStr">
        <is>
          <t>C</t>
        </is>
      </c>
      <c r="F126" s="13" t="n">
        <v>1</v>
      </c>
      <c r="G126" s="13" t="n">
        <v>1</v>
      </c>
      <c r="H126" s="8" t="n">
        <v>56.75</v>
      </c>
      <c r="I126" s="8" t="n">
        <v>56.75</v>
      </c>
      <c r="J126" s="8" t="n">
        <v>56.75</v>
      </c>
      <c r="K126" s="8" t="n"/>
      <c r="L126" s="8" t="n"/>
      <c r="M126" s="8" t="n"/>
      <c r="N126" s="15" t="n">
        <v>74.15000000000001</v>
      </c>
      <c r="O126" s="8" t="n"/>
      <c r="P126" s="8" t="n"/>
      <c r="Q126" s="8" t="n"/>
      <c r="R126" s="8" t="n"/>
      <c r="S126" s="8" t="n"/>
      <c r="T126" s="7" t="inlineStr">
        <is>
          <t>CENTROFARMA</t>
        </is>
      </c>
      <c r="U126" s="8" t="n">
        <v>74.15000000000001</v>
      </c>
      <c r="V126" s="14">
        <f>U126/J126-1</f>
        <v/>
      </c>
      <c r="W126" s="14">
        <f>U126/H126-1</f>
        <v/>
      </c>
      <c r="X126" s="16" t="inlineStr">
        <is>
          <t>ACIMA +30.7%</t>
        </is>
      </c>
      <c r="Y126" s="7" t="inlineStr"/>
    </row>
    <row r="127">
      <c r="A127" s="7" t="n">
        <v>17161</v>
      </c>
      <c r="B127" s="12" t="inlineStr">
        <is>
          <t>7896422516877</t>
        </is>
      </c>
      <c r="C127" s="7" t="inlineStr">
        <is>
          <t>ACIDO MEFENAMICO 500MG CX 12 COMP</t>
        </is>
      </c>
      <c r="D127" s="7" t="inlineStr">
        <is>
          <t>GENERICO</t>
        </is>
      </c>
      <c r="E127" s="7" t="inlineStr">
        <is>
          <t>C</t>
        </is>
      </c>
      <c r="F127" s="13" t="n">
        <v>1</v>
      </c>
      <c r="G127" s="13" t="n">
        <v>1</v>
      </c>
      <c r="H127" s="8" t="n">
        <v>7.5733</v>
      </c>
      <c r="I127" s="8" t="n">
        <v>6.755</v>
      </c>
      <c r="J127" s="8" t="n">
        <v>7.300533333333333</v>
      </c>
      <c r="K127" s="8" t="n"/>
      <c r="L127" s="8" t="n"/>
      <c r="M127" s="8" t="n"/>
      <c r="N127" s="8" t="n"/>
      <c r="O127" s="8" t="n"/>
      <c r="P127" s="8" t="n">
        <v>9.8802</v>
      </c>
      <c r="Q127" s="8" t="n"/>
      <c r="R127" s="8" t="n"/>
      <c r="S127" s="8" t="n"/>
      <c r="T127" s="7" t="inlineStr">
        <is>
          <t>SEM COTAÇÃO</t>
        </is>
      </c>
      <c r="U127" s="8" t="n"/>
      <c r="V127" s="14" t="n"/>
      <c r="W127" s="14" t="n"/>
      <c r="X127" s="7" t="inlineStr"/>
      <c r="Y127" s="7" t="inlineStr">
        <is>
          <t>NAZARIA: sem estoque</t>
        </is>
      </c>
    </row>
    <row r="128">
      <c r="A128" s="7" t="n">
        <v>17201</v>
      </c>
      <c r="B128" s="12" t="inlineStr">
        <is>
          <t>7894916144261</t>
        </is>
      </c>
      <c r="C128" s="7" t="inlineStr">
        <is>
          <t>ACIDO MEFENAMICO 500MG CX 2BL X 12 COMP</t>
        </is>
      </c>
      <c r="D128" s="7" t="inlineStr">
        <is>
          <t>GENERICO</t>
        </is>
      </c>
      <c r="E128" s="7" t="inlineStr">
        <is>
          <t>C</t>
        </is>
      </c>
      <c r="F128" s="13" t="n">
        <v>1</v>
      </c>
      <c r="G128" s="13" t="n">
        <v>1</v>
      </c>
      <c r="H128" s="8" t="n">
        <v>9.85</v>
      </c>
      <c r="I128" s="8" t="n">
        <v>9.85</v>
      </c>
      <c r="J128" s="8" t="n">
        <v>9.85</v>
      </c>
      <c r="K128" s="8" t="n"/>
      <c r="L128" s="8" t="n"/>
      <c r="M128" s="8" t="n"/>
      <c r="N128" s="8" t="n"/>
      <c r="O128" s="8" t="n"/>
      <c r="P128" s="8" t="n"/>
      <c r="Q128" s="8" t="n"/>
      <c r="R128" s="8" t="n"/>
      <c r="S128" s="8" t="n"/>
      <c r="T128" s="7" t="inlineStr">
        <is>
          <t>SEM COTAÇÃO</t>
        </is>
      </c>
      <c r="U128" s="8" t="n"/>
      <c r="V128" s="14" t="n"/>
      <c r="W128" s="14" t="n"/>
      <c r="X128" s="7" t="inlineStr"/>
      <c r="Y128" s="7" t="inlineStr"/>
    </row>
    <row r="129">
      <c r="A129" s="7" t="n">
        <v>543481</v>
      </c>
      <c r="B129" s="12" t="inlineStr">
        <is>
          <t>7896523208282</t>
        </is>
      </c>
      <c r="C129" s="7" t="inlineStr">
        <is>
          <t>ACNEZIL 50MG 20G GEL</t>
        </is>
      </c>
      <c r="D129" s="7" t="inlineStr">
        <is>
          <t>SIMILAR</t>
        </is>
      </c>
      <c r="E129" s="7" t="inlineStr">
        <is>
          <t>A</t>
        </is>
      </c>
      <c r="F129" s="13" t="n">
        <v>4</v>
      </c>
      <c r="G129" s="13" t="n">
        <v>4</v>
      </c>
      <c r="H129" s="8" t="n">
        <v>11.96</v>
      </c>
      <c r="I129" s="8" t="n">
        <v>10.09</v>
      </c>
      <c r="J129" s="8" t="n">
        <v>10.98333333333333</v>
      </c>
      <c r="K129" s="8" t="n"/>
      <c r="L129" s="8" t="n"/>
      <c r="M129" s="8" t="n"/>
      <c r="N129" s="8" t="n"/>
      <c r="O129" s="8" t="n"/>
      <c r="P129" s="15" t="n">
        <v>11.47</v>
      </c>
      <c r="Q129" s="8" t="n"/>
      <c r="R129" s="8" t="n"/>
      <c r="S129" s="8" t="n"/>
      <c r="T129" s="7" t="inlineStr">
        <is>
          <t>NAZARIA</t>
        </is>
      </c>
      <c r="U129" s="8" t="n">
        <v>11.47</v>
      </c>
      <c r="V129" s="14">
        <f>U129/J129-1</f>
        <v/>
      </c>
      <c r="W129" s="14">
        <f>U129/H129-1</f>
        <v/>
      </c>
      <c r="X129" s="17" t="inlineStr">
        <is>
          <t>OK (≤ últ. compra)</t>
        </is>
      </c>
      <c r="Y129" s="7" t="inlineStr"/>
    </row>
    <row r="130">
      <c r="A130" s="7" t="n">
        <v>546761</v>
      </c>
      <c r="B130" s="12" t="inlineStr">
        <is>
          <t>7897947607392</t>
        </is>
      </c>
      <c r="C130" s="7" t="inlineStr">
        <is>
          <t>ACNEZIL GEL SECATIVO BG 10 G</t>
        </is>
      </c>
      <c r="D130" s="7" t="inlineStr">
        <is>
          <t>DERMATOLOGICO</t>
        </is>
      </c>
      <c r="E130" s="7" t="inlineStr">
        <is>
          <t>A</t>
        </is>
      </c>
      <c r="F130" s="13" t="n">
        <v>2</v>
      </c>
      <c r="G130" s="13" t="n">
        <v>2</v>
      </c>
      <c r="H130" s="8" t="n">
        <v>9.710000000000001</v>
      </c>
      <c r="I130" s="8" t="n">
        <v>8.99</v>
      </c>
      <c r="J130" s="8" t="n">
        <v>8.99</v>
      </c>
      <c r="K130" s="8" t="n"/>
      <c r="L130" s="8" t="n"/>
      <c r="M130" s="8" t="n"/>
      <c r="N130" s="8" t="n"/>
      <c r="O130" s="8" t="n"/>
      <c r="P130" s="15" t="n">
        <v>8.67</v>
      </c>
      <c r="Q130" s="8" t="n"/>
      <c r="R130" s="8" t="n"/>
      <c r="S130" s="8" t="n"/>
      <c r="T130" s="7" t="inlineStr">
        <is>
          <t>NAZARIA</t>
        </is>
      </c>
      <c r="U130" s="8" t="n">
        <v>8.67</v>
      </c>
      <c r="V130" s="14">
        <f>U130/J130-1</f>
        <v/>
      </c>
      <c r="W130" s="14">
        <f>U130/H130-1</f>
        <v/>
      </c>
      <c r="X130" s="17" t="inlineStr">
        <is>
          <t>OK (≤ menor hist.)</t>
        </is>
      </c>
      <c r="Y130" s="7" t="inlineStr"/>
    </row>
    <row r="131">
      <c r="A131" s="7" t="n">
        <v>587601</v>
      </c>
      <c r="B131" s="12" t="inlineStr">
        <is>
          <t>7897947601185</t>
        </is>
      </c>
      <c r="C131" s="7" t="inlineStr">
        <is>
          <t>ACNEZIL PROT FPS30 OIL CONTROL BG 60G</t>
        </is>
      </c>
      <c r="D131" s="7" t="inlineStr">
        <is>
          <t>DERMATOLOGICO</t>
        </is>
      </c>
      <c r="E131" s="7" t="inlineStr">
        <is>
          <t>C</t>
        </is>
      </c>
      <c r="F131" s="13" t="n">
        <v>2</v>
      </c>
      <c r="G131" s="13" t="n">
        <v>2</v>
      </c>
      <c r="H131" s="8" t="n"/>
      <c r="I131" s="8" t="n"/>
      <c r="J131" s="8" t="n"/>
      <c r="K131" s="8" t="n"/>
      <c r="L131" s="8" t="n"/>
      <c r="M131" s="8" t="n"/>
      <c r="N131" s="8" t="n"/>
      <c r="O131" s="8" t="n"/>
      <c r="P131" s="15" t="n">
        <v>21.7</v>
      </c>
      <c r="Q131" s="8" t="n"/>
      <c r="R131" s="8" t="n"/>
      <c r="S131" s="8" t="n"/>
      <c r="T131" s="7" t="inlineStr">
        <is>
          <t>NAZARIA</t>
        </is>
      </c>
      <c r="U131" s="8" t="n">
        <v>21.7</v>
      </c>
      <c r="V131" s="14" t="n"/>
      <c r="W131" s="14" t="n"/>
      <c r="X131" s="7" t="inlineStr">
        <is>
          <t>SEM HISTÓRICO</t>
        </is>
      </c>
      <c r="Y131" s="7" t="inlineStr"/>
    </row>
    <row r="132">
      <c r="A132" s="7" t="n">
        <v>637451</v>
      </c>
      <c r="B132" s="12" t="inlineStr">
        <is>
          <t>7897947617025</t>
        </is>
      </c>
      <c r="C132" s="7" t="inlineStr">
        <is>
          <t>ACNEZIL SABONETE BARRA PELE ACNEICA 70G</t>
        </is>
      </c>
      <c r="D132" s="7" t="inlineStr">
        <is>
          <t>DERMATOLOGICO</t>
        </is>
      </c>
      <c r="E132" s="7" t="inlineStr">
        <is>
          <t>C</t>
        </is>
      </c>
      <c r="F132" s="13" t="n">
        <v>2</v>
      </c>
      <c r="G132" s="13" t="n">
        <v>2</v>
      </c>
      <c r="H132" s="8" t="n">
        <v>5.89</v>
      </c>
      <c r="I132" s="8" t="n">
        <v>5.89</v>
      </c>
      <c r="J132" s="8" t="n">
        <v>5.89</v>
      </c>
      <c r="K132" s="8" t="n"/>
      <c r="L132" s="8" t="n"/>
      <c r="M132" s="8" t="n"/>
      <c r="N132" s="8" t="n"/>
      <c r="O132" s="8" t="n"/>
      <c r="P132" s="15" t="n">
        <v>8.44</v>
      </c>
      <c r="Q132" s="8" t="n"/>
      <c r="R132" s="8" t="n"/>
      <c r="S132" s="8" t="n"/>
      <c r="T132" s="7" t="inlineStr">
        <is>
          <t>NAZARIA</t>
        </is>
      </c>
      <c r="U132" s="8" t="n">
        <v>8.44</v>
      </c>
      <c r="V132" s="14">
        <f>U132/J132-1</f>
        <v/>
      </c>
      <c r="W132" s="14">
        <f>U132/H132-1</f>
        <v/>
      </c>
      <c r="X132" s="16" t="inlineStr">
        <is>
          <t>ACIMA +43.3%</t>
        </is>
      </c>
      <c r="Y132" s="7" t="inlineStr"/>
    </row>
    <row r="133">
      <c r="A133" s="7" t="n">
        <v>637461</v>
      </c>
      <c r="B133" s="12" t="inlineStr">
        <is>
          <t>7897947617032</t>
        </is>
      </c>
      <c r="C133" s="7" t="inlineStr">
        <is>
          <t>ACNEZIL SABONETE BARRA PELE OLEOSA 70G</t>
        </is>
      </c>
      <c r="D133" s="7" t="inlineStr">
        <is>
          <t>DERMATOLOGICO</t>
        </is>
      </c>
      <c r="E133" s="7" t="inlineStr">
        <is>
          <t>C</t>
        </is>
      </c>
      <c r="F133" s="13" t="n">
        <v>3</v>
      </c>
      <c r="G133" s="13" t="n">
        <v>3</v>
      </c>
      <c r="H133" s="8" t="n">
        <v>4.79</v>
      </c>
      <c r="I133" s="8" t="n">
        <v>4.79</v>
      </c>
      <c r="J133" s="8" t="n">
        <v>4.79</v>
      </c>
      <c r="K133" s="8" t="n"/>
      <c r="L133" s="8" t="n"/>
      <c r="M133" s="8" t="n"/>
      <c r="N133" s="8" t="n"/>
      <c r="O133" s="8" t="n"/>
      <c r="P133" s="15" t="n">
        <v>8.44</v>
      </c>
      <c r="Q133" s="8" t="n"/>
      <c r="R133" s="8" t="n"/>
      <c r="S133" s="8" t="n"/>
      <c r="T133" s="7" t="inlineStr">
        <is>
          <t>NAZARIA</t>
        </is>
      </c>
      <c r="U133" s="8" t="n">
        <v>8.44</v>
      </c>
      <c r="V133" s="14">
        <f>U133/J133-1</f>
        <v/>
      </c>
      <c r="W133" s="14">
        <f>U133/H133-1</f>
        <v/>
      </c>
      <c r="X133" s="16" t="inlineStr">
        <is>
          <t>ACIMA +76.2%</t>
        </is>
      </c>
      <c r="Y133" s="7" t="inlineStr"/>
    </row>
    <row r="134">
      <c r="A134" s="7" t="n">
        <v>621431</v>
      </c>
      <c r="B134" s="12" t="inlineStr">
        <is>
          <t>3282770206036</t>
        </is>
      </c>
      <c r="C134" s="7" t="inlineStr">
        <is>
          <t>ACTINE PROT SOLAR FPS60 40G</t>
        </is>
      </c>
      <c r="D134" s="7" t="inlineStr">
        <is>
          <t>RX - DERMO</t>
        </is>
      </c>
      <c r="E134" s="7" t="inlineStr">
        <is>
          <t>B</t>
        </is>
      </c>
      <c r="F134" s="13" t="n">
        <v>1</v>
      </c>
      <c r="G134" s="13" t="n">
        <v>1</v>
      </c>
      <c r="H134" s="8" t="n">
        <v>54.63</v>
      </c>
      <c r="I134" s="8" t="n">
        <v>42.49</v>
      </c>
      <c r="J134" s="8" t="n">
        <v>42.49</v>
      </c>
      <c r="K134" s="8" t="n"/>
      <c r="L134" s="8" t="n"/>
      <c r="M134" s="15" t="n">
        <v>56.86</v>
      </c>
      <c r="N134" s="8" t="n"/>
      <c r="O134" s="8" t="n"/>
      <c r="P134" s="8" t="n">
        <v>67.03</v>
      </c>
      <c r="Q134" s="8" t="n"/>
      <c r="R134" s="8" t="n"/>
      <c r="S134" s="8" t="n"/>
      <c r="T134" s="7" t="inlineStr">
        <is>
          <t>EPAN</t>
        </is>
      </c>
      <c r="U134" s="8" t="n">
        <v>56.86</v>
      </c>
      <c r="V134" s="14">
        <f>U134/J134-1</f>
        <v/>
      </c>
      <c r="W134" s="14">
        <f>U134/H134-1</f>
        <v/>
      </c>
      <c r="X134" s="16" t="inlineStr">
        <is>
          <t>ACIMA +4.1%</t>
        </is>
      </c>
      <c r="Y134" s="7" t="inlineStr"/>
    </row>
    <row r="135">
      <c r="A135" s="7" t="n">
        <v>621421</v>
      </c>
      <c r="B135" s="12" t="inlineStr">
        <is>
          <t>3282770206050</t>
        </is>
      </c>
      <c r="C135" s="7" t="inlineStr">
        <is>
          <t>ACTINE PROT SOLAR FPS60 COR 40G</t>
        </is>
      </c>
      <c r="D135" s="7" t="inlineStr">
        <is>
          <t>RX - DERMO</t>
        </is>
      </c>
      <c r="E135" s="7" t="inlineStr">
        <is>
          <t>B</t>
        </is>
      </c>
      <c r="F135" s="13" t="n">
        <v>1</v>
      </c>
      <c r="G135" s="13" t="n">
        <v>1</v>
      </c>
      <c r="H135" s="8" t="n">
        <v>54.91</v>
      </c>
      <c r="I135" s="8" t="n">
        <v>54.91</v>
      </c>
      <c r="J135" s="8" t="n">
        <v>54.91</v>
      </c>
      <c r="K135" s="8" t="n"/>
      <c r="L135" s="8" t="n"/>
      <c r="M135" s="15" t="n">
        <v>56.86</v>
      </c>
      <c r="N135" s="8" t="n"/>
      <c r="O135" s="8" t="n"/>
      <c r="P135" s="8" t="n">
        <v>67.03</v>
      </c>
      <c r="Q135" s="8" t="n"/>
      <c r="R135" s="8" t="n"/>
      <c r="S135" s="8" t="n"/>
      <c r="T135" s="7" t="inlineStr">
        <is>
          <t>EPAN</t>
        </is>
      </c>
      <c r="U135" s="8" t="n">
        <v>56.86</v>
      </c>
      <c r="V135" s="14">
        <f>U135/J135-1</f>
        <v/>
      </c>
      <c r="W135" s="14">
        <f>U135/H135-1</f>
        <v/>
      </c>
      <c r="X135" s="16" t="inlineStr">
        <is>
          <t>ACIMA +3.6%</t>
        </is>
      </c>
      <c r="Y135" s="7" t="inlineStr"/>
    </row>
    <row r="136">
      <c r="A136" s="7" t="n">
        <v>651481</v>
      </c>
      <c r="B136" s="12" t="inlineStr">
        <is>
          <t>7891025109433</t>
        </is>
      </c>
      <c r="C136" s="7" t="inlineStr">
        <is>
          <t>ACTIVIA LIQ AVEIA LT FERM 170G *720</t>
        </is>
      </c>
      <c r="D136" s="7" t="inlineStr">
        <is>
          <t>CONVENIENCIA</t>
        </is>
      </c>
      <c r="E136" s="7" t="inlineStr">
        <is>
          <t>C</t>
        </is>
      </c>
      <c r="F136" s="13" t="n">
        <v>1</v>
      </c>
      <c r="G136" s="13" t="n">
        <v>1</v>
      </c>
      <c r="H136" s="8" t="n">
        <v>3.45</v>
      </c>
      <c r="I136" s="8" t="n">
        <v>3.45</v>
      </c>
      <c r="J136" s="8" t="n">
        <v>3.450000000000001</v>
      </c>
      <c r="K136" s="8" t="n"/>
      <c r="L136" s="8" t="n"/>
      <c r="M136" s="8" t="n"/>
      <c r="N136" s="8" t="n"/>
      <c r="O136" s="8" t="n"/>
      <c r="P136" s="8" t="n"/>
      <c r="Q136" s="8" t="n"/>
      <c r="R136" s="8" t="n"/>
      <c r="S136" s="8" t="n"/>
      <c r="T136" s="7" t="inlineStr">
        <is>
          <t>SEM COTAÇÃO</t>
        </is>
      </c>
      <c r="U136" s="8" t="n"/>
      <c r="V136" s="14" t="n"/>
      <c r="W136" s="14" t="n"/>
      <c r="X136" s="7" t="inlineStr"/>
      <c r="Y136" s="7" t="inlineStr"/>
    </row>
    <row r="137">
      <c r="A137" s="7" t="n">
        <v>651471</v>
      </c>
      <c r="B137" s="12" t="inlineStr">
        <is>
          <t>7891025109396</t>
        </is>
      </c>
      <c r="C137" s="7" t="inlineStr">
        <is>
          <t>ACTIVIA LIQ MORANGO LTE FERM 170G *717</t>
        </is>
      </c>
      <c r="D137" s="7" t="inlineStr">
        <is>
          <t>CONVENIENCIA</t>
        </is>
      </c>
      <c r="E137" s="7" t="inlineStr">
        <is>
          <t>C</t>
        </is>
      </c>
      <c r="F137" s="13" t="n">
        <v>2</v>
      </c>
      <c r="G137" s="13" t="n">
        <v>2</v>
      </c>
      <c r="H137" s="8" t="n">
        <v>3.6815</v>
      </c>
      <c r="I137" s="8" t="n">
        <v>3.579</v>
      </c>
      <c r="J137" s="8" t="n">
        <v>3.647333333333334</v>
      </c>
      <c r="K137" s="8" t="n"/>
      <c r="L137" s="8" t="n"/>
      <c r="M137" s="8" t="n"/>
      <c r="N137" s="8" t="n"/>
      <c r="O137" s="8" t="n"/>
      <c r="P137" s="8" t="n"/>
      <c r="Q137" s="8" t="n"/>
      <c r="R137" s="8" t="n"/>
      <c r="S137" s="8" t="n"/>
      <c r="T137" s="7" t="inlineStr">
        <is>
          <t>SEM COTAÇÃO</t>
        </is>
      </c>
      <c r="U137" s="8" t="n"/>
      <c r="V137" s="14" t="n"/>
      <c r="W137" s="14" t="n"/>
      <c r="X137" s="7" t="inlineStr"/>
      <c r="Y137" s="7" t="inlineStr"/>
    </row>
    <row r="138">
      <c r="A138" s="7" t="n">
        <v>642771</v>
      </c>
      <c r="B138" s="12" t="inlineStr">
        <is>
          <t>7892828001016</t>
        </is>
      </c>
      <c r="C138" s="7" t="inlineStr">
        <is>
          <t>ADEFORTE ORAL 01 AMP</t>
        </is>
      </c>
      <c r="D138" s="7" t="inlineStr">
        <is>
          <t>RX - OTC</t>
        </is>
      </c>
      <c r="E138" s="7" t="inlineStr">
        <is>
          <t>A</t>
        </is>
      </c>
      <c r="F138" s="13" t="n">
        <v>8</v>
      </c>
      <c r="G138" s="13" t="n">
        <v>8</v>
      </c>
      <c r="H138" s="8" t="n">
        <v>24.86</v>
      </c>
      <c r="I138" s="8" t="n">
        <v>17.3474</v>
      </c>
      <c r="J138" s="8" t="n">
        <v>21.62523333333333</v>
      </c>
      <c r="K138" s="8" t="n"/>
      <c r="L138" s="8" t="n"/>
      <c r="M138" s="15" t="n">
        <v>21.42</v>
      </c>
      <c r="N138" s="8" t="n"/>
      <c r="O138" s="8" t="n"/>
      <c r="P138" s="8" t="n">
        <v>26.6</v>
      </c>
      <c r="Q138" s="8" t="n"/>
      <c r="R138" s="8" t="n"/>
      <c r="S138" s="8" t="n"/>
      <c r="T138" s="7" t="inlineStr">
        <is>
          <t>EPAN</t>
        </is>
      </c>
      <c r="U138" s="8" t="n">
        <v>21.42</v>
      </c>
      <c r="V138" s="14">
        <f>U138/J138-1</f>
        <v/>
      </c>
      <c r="W138" s="14">
        <f>U138/H138-1</f>
        <v/>
      </c>
      <c r="X138" s="17" t="inlineStr">
        <is>
          <t>OK (≤ últ. compra)</t>
        </is>
      </c>
      <c r="Y138" s="7" t="inlineStr"/>
    </row>
    <row r="139">
      <c r="A139" s="7" t="n">
        <v>884</v>
      </c>
      <c r="B139" s="12" t="inlineStr">
        <is>
          <t>7892828002303</t>
        </is>
      </c>
      <c r="C139" s="7" t="inlineStr">
        <is>
          <t>ADEFORTE TURBO USO ORAL 2AMP 3ML</t>
        </is>
      </c>
      <c r="D139" s="7" t="inlineStr">
        <is>
          <t>RX</t>
        </is>
      </c>
      <c r="E139" s="7" t="inlineStr">
        <is>
          <t>A</t>
        </is>
      </c>
      <c r="F139" s="13" t="n">
        <v>17</v>
      </c>
      <c r="G139" s="13" t="n">
        <v>17</v>
      </c>
      <c r="H139" s="8" t="n">
        <v>44.79</v>
      </c>
      <c r="I139" s="8" t="n">
        <v>30.3708</v>
      </c>
      <c r="J139" s="8" t="n">
        <v>37.76866666666667</v>
      </c>
      <c r="K139" s="8" t="n"/>
      <c r="L139" s="8" t="n"/>
      <c r="M139" s="8" t="n"/>
      <c r="N139" s="8" t="n"/>
      <c r="O139" s="8" t="n"/>
      <c r="P139" s="15" t="n">
        <v>42.5505</v>
      </c>
      <c r="Q139" s="8" t="n"/>
      <c r="R139" s="8" t="n"/>
      <c r="S139" s="8" t="n"/>
      <c r="T139" s="7" t="inlineStr">
        <is>
          <t>NAZARIA</t>
        </is>
      </c>
      <c r="U139" s="8" t="n">
        <v>42.5505</v>
      </c>
      <c r="V139" s="14">
        <f>U139/J139-1</f>
        <v/>
      </c>
      <c r="W139" s="14">
        <f>U139/H139-1</f>
        <v/>
      </c>
      <c r="X139" s="17" t="inlineStr">
        <is>
          <t>OK (≤ últ. compra)</t>
        </is>
      </c>
      <c r="Y139" s="7" t="inlineStr"/>
    </row>
    <row r="140">
      <c r="A140" s="7" t="n">
        <v>618571</v>
      </c>
      <c r="B140" s="12" t="inlineStr">
        <is>
          <t>7897517932749</t>
        </is>
      </c>
      <c r="C140" s="7" t="inlineStr">
        <is>
          <t>ADESIVO P/ PROT DOS MAMILOS DESCARTAVEL 3UN</t>
        </is>
      </c>
      <c r="D140" s="7" t="inlineStr">
        <is>
          <t>PERF/COSME</t>
        </is>
      </c>
      <c r="E140" s="7" t="inlineStr">
        <is>
          <t>C</t>
        </is>
      </c>
      <c r="F140" s="13" t="n">
        <v>1</v>
      </c>
      <c r="G140" s="13" t="n">
        <v>1</v>
      </c>
      <c r="H140" s="8" t="n">
        <v>13.65</v>
      </c>
      <c r="I140" s="8" t="n">
        <v>13.65</v>
      </c>
      <c r="J140" s="8" t="n">
        <v>13.65</v>
      </c>
      <c r="K140" s="8" t="n"/>
      <c r="L140" s="8" t="n"/>
      <c r="M140" s="8" t="n"/>
      <c r="N140" s="8" t="n"/>
      <c r="O140" s="8" t="n"/>
      <c r="P140" s="8" t="n"/>
      <c r="Q140" s="8" t="n"/>
      <c r="R140" s="8" t="n"/>
      <c r="S140" s="8" t="n"/>
      <c r="T140" s="7" t="inlineStr">
        <is>
          <t>SEM COTAÇÃO</t>
        </is>
      </c>
      <c r="U140" s="8" t="n"/>
      <c r="V140" s="14" t="n"/>
      <c r="W140" s="14" t="n"/>
      <c r="X140" s="7" t="inlineStr"/>
      <c r="Y140" s="7" t="inlineStr"/>
    </row>
    <row r="141">
      <c r="A141" s="7" t="n">
        <v>577801</v>
      </c>
      <c r="B141" s="12" t="inlineStr"/>
      <c r="C141" s="7" t="inlineStr">
        <is>
          <t>ADTON GOTAS SOL ORAL 20 ML</t>
        </is>
      </c>
      <c r="D141" s="7" t="inlineStr">
        <is>
          <t>SIMILAR</t>
        </is>
      </c>
      <c r="E141" s="7" t="inlineStr">
        <is>
          <t>B</t>
        </is>
      </c>
      <c r="F141" s="13" t="n">
        <v>3</v>
      </c>
      <c r="G141" s="13" t="n">
        <v>3</v>
      </c>
      <c r="H141" s="8" t="n">
        <v>8.83</v>
      </c>
      <c r="I141" s="8" t="n">
        <v>8.710000000000001</v>
      </c>
      <c r="J141" s="8" t="n">
        <v>8.790000000000001</v>
      </c>
      <c r="K141" s="8" t="n"/>
      <c r="L141" s="8" t="n"/>
      <c r="M141" s="8" t="n"/>
      <c r="N141" s="8" t="n"/>
      <c r="O141" s="8" t="n"/>
      <c r="P141" s="8" t="n"/>
      <c r="Q141" s="8" t="n"/>
      <c r="R141" s="15" t="n">
        <v>10.3</v>
      </c>
      <c r="S141" s="8" t="n"/>
      <c r="T141" s="7" t="inlineStr">
        <is>
          <t>BRASFARMA</t>
        </is>
      </c>
      <c r="U141" s="8" t="n">
        <v>10.3</v>
      </c>
      <c r="V141" s="14">
        <f>U141/J141-1</f>
        <v/>
      </c>
      <c r="W141" s="14">
        <f>U141/H141-1</f>
        <v/>
      </c>
      <c r="X141" s="16" t="inlineStr">
        <is>
          <t>ACIMA +16.6%</t>
        </is>
      </c>
      <c r="Y141" s="7" t="inlineStr"/>
    </row>
    <row r="142">
      <c r="A142" s="7" t="n">
        <v>1463</v>
      </c>
      <c r="B142" s="12" t="inlineStr">
        <is>
          <t>7898277713739</t>
        </is>
      </c>
      <c r="C142" s="7" t="inlineStr">
        <is>
          <t>AFT RUB 30ML SPRAY BUCAL</t>
        </is>
      </c>
      <c r="D142" s="7" t="inlineStr">
        <is>
          <t>SIMILAR</t>
        </is>
      </c>
      <c r="E142" s="7" t="inlineStr">
        <is>
          <t>C</t>
        </is>
      </c>
      <c r="F142" s="13" t="n">
        <v>1</v>
      </c>
      <c r="G142" s="13" t="n">
        <v>1</v>
      </c>
      <c r="H142" s="8" t="n">
        <v>8.09</v>
      </c>
      <c r="I142" s="8" t="n">
        <v>8.09</v>
      </c>
      <c r="J142" s="8" t="n">
        <v>8.09</v>
      </c>
      <c r="K142" s="15" t="n">
        <v>8.09</v>
      </c>
      <c r="L142" s="8" t="n"/>
      <c r="M142" s="8" t="n"/>
      <c r="N142" s="8" t="n"/>
      <c r="O142" s="8" t="n"/>
      <c r="P142" s="8" t="n"/>
      <c r="Q142" s="8" t="n">
        <v>9.960000000000001</v>
      </c>
      <c r="R142" s="8" t="n"/>
      <c r="S142" s="8" t="n"/>
      <c r="T142" s="7" t="inlineStr">
        <is>
          <t>DIMEC</t>
        </is>
      </c>
      <c r="U142" s="8" t="n">
        <v>8.09</v>
      </c>
      <c r="V142" s="14">
        <f>U142/J142-1</f>
        <v/>
      </c>
      <c r="W142" s="14">
        <f>U142/H142-1</f>
        <v/>
      </c>
      <c r="X142" s="17" t="inlineStr">
        <is>
          <t>OK (≤ menor hist.)</t>
        </is>
      </c>
      <c r="Y142" s="7" t="inlineStr"/>
    </row>
    <row r="143">
      <c r="A143" s="7" t="n">
        <v>538041</v>
      </c>
      <c r="B143" s="12" t="inlineStr">
        <is>
          <t>7894164005208</t>
        </is>
      </c>
      <c r="C143" s="7" t="inlineStr">
        <is>
          <t>AFTANAX 100MG/ML SPRAY 25ML</t>
        </is>
      </c>
      <c r="D143" s="7" t="inlineStr">
        <is>
          <t>SIMILAR</t>
        </is>
      </c>
      <c r="E143" s="7" t="inlineStr">
        <is>
          <t>C</t>
        </is>
      </c>
      <c r="F143" s="13" t="n">
        <v>1</v>
      </c>
      <c r="G143" s="13" t="n">
        <v>1</v>
      </c>
      <c r="H143" s="8" t="n">
        <v>12.35</v>
      </c>
      <c r="I143" s="8" t="n">
        <v>12.35</v>
      </c>
      <c r="J143" s="8" t="n">
        <v>12.35</v>
      </c>
      <c r="K143" s="15" t="n">
        <v>12.35</v>
      </c>
      <c r="L143" s="8" t="n"/>
      <c r="M143" s="8" t="n"/>
      <c r="N143" s="8" t="n"/>
      <c r="O143" s="8" t="n"/>
      <c r="P143" s="8" t="n"/>
      <c r="Q143" s="8" t="n">
        <v>14.6</v>
      </c>
      <c r="R143" s="8" t="n">
        <v>14.09</v>
      </c>
      <c r="S143" s="8" t="n"/>
      <c r="T143" s="7" t="inlineStr">
        <is>
          <t>DIMEC</t>
        </is>
      </c>
      <c r="U143" s="8" t="n">
        <v>12.35</v>
      </c>
      <c r="V143" s="14">
        <f>U143/J143-1</f>
        <v/>
      </c>
      <c r="W143" s="14">
        <f>U143/H143-1</f>
        <v/>
      </c>
      <c r="X143" s="17" t="inlineStr">
        <is>
          <t>OK (≤ menor hist.)</t>
        </is>
      </c>
      <c r="Y143" s="7" t="inlineStr"/>
    </row>
    <row r="144">
      <c r="A144" s="7" t="n">
        <v>457981</v>
      </c>
      <c r="B144" s="12" t="inlineStr">
        <is>
          <t>7898158690517</t>
        </is>
      </c>
      <c r="C144" s="7" t="inlineStr">
        <is>
          <t>AFTINE 15+25+1+15MG SUS OR FR 20ML</t>
        </is>
      </c>
      <c r="D144" s="7" t="inlineStr">
        <is>
          <t>SIMILAR - ATB</t>
        </is>
      </c>
      <c r="E144" s="7" t="inlineStr">
        <is>
          <t>C</t>
        </is>
      </c>
      <c r="F144" s="13" t="n">
        <v>2</v>
      </c>
      <c r="G144" s="13" t="n">
        <v>2</v>
      </c>
      <c r="H144" s="8" t="n">
        <v>12.47</v>
      </c>
      <c r="I144" s="8" t="n">
        <v>12.47</v>
      </c>
      <c r="J144" s="8" t="n">
        <v>12.47</v>
      </c>
      <c r="K144" s="8" t="n"/>
      <c r="L144" s="8" t="n"/>
      <c r="M144" s="8" t="n"/>
      <c r="N144" s="8" t="n"/>
      <c r="O144" s="8" t="n"/>
      <c r="P144" s="8" t="n"/>
      <c r="Q144" s="8" t="n"/>
      <c r="R144" s="8" t="n"/>
      <c r="S144" s="8" t="n"/>
      <c r="T144" s="7" t="inlineStr">
        <is>
          <t>SEM COTAÇÃO</t>
        </is>
      </c>
      <c r="U144" s="8" t="n"/>
      <c r="V144" s="14" t="n"/>
      <c r="W144" s="14" t="n"/>
      <c r="X144" s="7" t="inlineStr"/>
      <c r="Y144" s="7" t="inlineStr"/>
    </row>
    <row r="145">
      <c r="A145" s="7" t="n">
        <v>659231</v>
      </c>
      <c r="B145" s="12" t="inlineStr">
        <is>
          <t>7896150017233</t>
        </is>
      </c>
      <c r="C145" s="7" t="inlineStr">
        <is>
          <t>AG OXIG YAMA CR 10V 100ML</t>
        </is>
      </c>
      <c r="D145" s="7" t="inlineStr">
        <is>
          <t>PERF/COSME</t>
        </is>
      </c>
      <c r="E145" s="7" t="inlineStr">
        <is>
          <t>C</t>
        </is>
      </c>
      <c r="F145" s="13" t="n">
        <v>3</v>
      </c>
      <c r="G145" s="13" t="n">
        <v>3</v>
      </c>
      <c r="H145" s="8" t="n">
        <v>3.46</v>
      </c>
      <c r="I145" s="8" t="n">
        <v>3.46</v>
      </c>
      <c r="J145" s="8" t="n">
        <v>3.46</v>
      </c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7" t="inlineStr">
        <is>
          <t>SEM COTAÇÃO</t>
        </is>
      </c>
      <c r="U145" s="8" t="n"/>
      <c r="V145" s="14" t="n"/>
      <c r="W145" s="14" t="n"/>
      <c r="X145" s="7" t="inlineStr"/>
      <c r="Y145" s="7" t="inlineStr"/>
    </row>
    <row r="146">
      <c r="A146" s="7" t="n">
        <v>659241</v>
      </c>
      <c r="B146" s="12" t="inlineStr">
        <is>
          <t>7896150017257</t>
        </is>
      </c>
      <c r="C146" s="7" t="inlineStr">
        <is>
          <t>AG OXIG YAMA CR 30V 100ML</t>
        </is>
      </c>
      <c r="D146" s="7" t="inlineStr">
        <is>
          <t>PERF/COSME</t>
        </is>
      </c>
      <c r="E146" s="7" t="inlineStr">
        <is>
          <t>C</t>
        </is>
      </c>
      <c r="F146" s="13" t="n">
        <v>3</v>
      </c>
      <c r="G146" s="13" t="n">
        <v>3</v>
      </c>
      <c r="H146" s="8" t="n">
        <v>3.46</v>
      </c>
      <c r="I146" s="8" t="n">
        <v>3.46</v>
      </c>
      <c r="J146" s="8" t="n">
        <v>3.46</v>
      </c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7" t="inlineStr">
        <is>
          <t>SEM COTAÇÃO</t>
        </is>
      </c>
      <c r="U146" s="8" t="n"/>
      <c r="V146" s="14" t="n"/>
      <c r="W146" s="14" t="n"/>
      <c r="X146" s="7" t="inlineStr"/>
      <c r="Y146" s="7" t="inlineStr"/>
    </row>
    <row r="147">
      <c r="A147" s="7" t="n">
        <v>659251</v>
      </c>
      <c r="B147" s="12" t="inlineStr">
        <is>
          <t>7896150017264</t>
        </is>
      </c>
      <c r="C147" s="7" t="inlineStr">
        <is>
          <t>AG OXIG YAMA CR 40V 100ML</t>
        </is>
      </c>
      <c r="D147" s="7" t="inlineStr">
        <is>
          <t>PERF/COSME</t>
        </is>
      </c>
      <c r="E147" s="7" t="inlineStr">
        <is>
          <t>C</t>
        </is>
      </c>
      <c r="F147" s="13" t="n">
        <v>2</v>
      </c>
      <c r="G147" s="13" t="n">
        <v>2</v>
      </c>
      <c r="H147" s="8" t="n">
        <v>3.46</v>
      </c>
      <c r="I147" s="8" t="n">
        <v>3.46</v>
      </c>
      <c r="J147" s="8" t="n">
        <v>3.46</v>
      </c>
      <c r="K147" s="8" t="n"/>
      <c r="L147" s="8" t="n"/>
      <c r="M147" s="8" t="n"/>
      <c r="N147" s="8" t="n"/>
      <c r="O147" s="8" t="n"/>
      <c r="P147" s="8" t="n"/>
      <c r="Q147" s="8" t="n"/>
      <c r="R147" s="8" t="n"/>
      <c r="S147" s="8" t="n"/>
      <c r="T147" s="7" t="inlineStr">
        <is>
          <t>SEM COTAÇÃO</t>
        </is>
      </c>
      <c r="U147" s="8" t="n"/>
      <c r="V147" s="14" t="n"/>
      <c r="W147" s="14" t="n"/>
      <c r="X147" s="7" t="inlineStr"/>
      <c r="Y147" s="7" t="inlineStr"/>
    </row>
    <row r="148">
      <c r="A148" s="7" t="n">
        <v>662261</v>
      </c>
      <c r="B148" s="12" t="inlineStr">
        <is>
          <t>7898719041116</t>
        </is>
      </c>
      <c r="C148" s="7" t="inlineStr">
        <is>
          <t>AGUA BORICADA 3% 100ML</t>
        </is>
      </c>
      <c r="D148" s="7" t="inlineStr">
        <is>
          <t>SIMILAR</t>
        </is>
      </c>
      <c r="E148" s="7" t="inlineStr">
        <is>
          <t>C</t>
        </is>
      </c>
      <c r="F148" s="13" t="n">
        <v>4</v>
      </c>
      <c r="G148" s="13" t="n">
        <v>4</v>
      </c>
      <c r="H148" s="8" t="n">
        <v>2.22</v>
      </c>
      <c r="I148" s="8" t="n">
        <v>2.22</v>
      </c>
      <c r="J148" s="8" t="n">
        <v>2.22</v>
      </c>
      <c r="K148" s="8" t="n"/>
      <c r="L148" s="8" t="n"/>
      <c r="M148" s="8" t="n"/>
      <c r="N148" s="8" t="n"/>
      <c r="O148" s="8" t="n"/>
      <c r="P148" s="8" t="n"/>
      <c r="Q148" s="8" t="n"/>
      <c r="R148" s="8" t="n"/>
      <c r="S148" s="8" t="n"/>
      <c r="T148" s="7" t="inlineStr">
        <is>
          <t>SEM COTAÇÃO</t>
        </is>
      </c>
      <c r="U148" s="8" t="n"/>
      <c r="V148" s="14" t="n"/>
      <c r="W148" s="14" t="n"/>
      <c r="X148" s="7" t="inlineStr"/>
      <c r="Y148" s="7" t="inlineStr"/>
    </row>
    <row r="149">
      <c r="A149" s="7" t="n">
        <v>532121</v>
      </c>
      <c r="B149" s="12" t="inlineStr">
        <is>
          <t>7898031310082</t>
        </is>
      </c>
      <c r="C149" s="7" t="inlineStr">
        <is>
          <t>AGUA BORICADA 3% 100ML</t>
        </is>
      </c>
      <c r="D149" s="7" t="inlineStr">
        <is>
          <t>SIMILAR</t>
        </is>
      </c>
      <c r="E149" s="7" t="inlineStr">
        <is>
          <t>C</t>
        </is>
      </c>
      <c r="F149" s="13" t="n">
        <v>1</v>
      </c>
      <c r="G149" s="13" t="n">
        <v>1</v>
      </c>
      <c r="H149" s="8" t="n">
        <v>2.49</v>
      </c>
      <c r="I149" s="8" t="n">
        <v>2.49</v>
      </c>
      <c r="J149" s="8" t="n">
        <v>2.49</v>
      </c>
      <c r="K149" s="8" t="n">
        <v>2.69</v>
      </c>
      <c r="L149" s="8" t="n"/>
      <c r="M149" s="8" t="n"/>
      <c r="N149" s="8" t="n"/>
      <c r="O149" s="8" t="n"/>
      <c r="P149" s="8" t="n">
        <v>2.83</v>
      </c>
      <c r="Q149" s="8" t="n"/>
      <c r="R149" s="15" t="n">
        <v>2.39</v>
      </c>
      <c r="S149" s="8" t="n"/>
      <c r="T149" s="7" t="inlineStr">
        <is>
          <t>BRASFARMA</t>
        </is>
      </c>
      <c r="U149" s="8" t="n">
        <v>2.39</v>
      </c>
      <c r="V149" s="14">
        <f>U149/J149-1</f>
        <v/>
      </c>
      <c r="W149" s="14">
        <f>U149/H149-1</f>
        <v/>
      </c>
      <c r="X149" s="17" t="inlineStr">
        <is>
          <t>OK (≤ menor hist.)</t>
        </is>
      </c>
      <c r="Y149" s="7" t="inlineStr"/>
    </row>
    <row r="150">
      <c r="A150" s="7" t="n">
        <v>627491</v>
      </c>
      <c r="B150" s="12" t="inlineStr">
        <is>
          <t>735201015163</t>
        </is>
      </c>
      <c r="C150" s="7" t="inlineStr">
        <is>
          <t>AGUA DE COCO 1LITRO VITORIA</t>
        </is>
      </c>
      <c r="D150" s="7" t="inlineStr">
        <is>
          <t>BEBIDAS GERAL</t>
        </is>
      </c>
      <c r="E150" s="7" t="inlineStr">
        <is>
          <t>C</t>
        </is>
      </c>
      <c r="F150" s="13" t="n">
        <v>3</v>
      </c>
      <c r="G150" s="13" t="n">
        <v>3</v>
      </c>
      <c r="H150" s="8" t="n">
        <v>12.8</v>
      </c>
      <c r="I150" s="8" t="n">
        <v>12.8</v>
      </c>
      <c r="J150" s="8" t="n">
        <v>12.8</v>
      </c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7" t="inlineStr">
        <is>
          <t>SEM COTAÇÃO</t>
        </is>
      </c>
      <c r="U150" s="8" t="n"/>
      <c r="V150" s="14" t="n"/>
      <c r="W150" s="14" t="n"/>
      <c r="X150" s="7" t="inlineStr"/>
      <c r="Y150" s="7" t="inlineStr"/>
    </row>
    <row r="151">
      <c r="A151" s="7" t="n">
        <v>627501</v>
      </c>
      <c r="B151" s="12" t="inlineStr">
        <is>
          <t>735201015156</t>
        </is>
      </c>
      <c r="C151" s="7" t="inlineStr">
        <is>
          <t>AGUA DE COCO VITORIA 300ML</t>
        </is>
      </c>
      <c r="D151" s="7" t="inlineStr">
        <is>
          <t>BEBIDAS GERAL</t>
        </is>
      </c>
      <c r="E151" s="7" t="inlineStr">
        <is>
          <t>A</t>
        </is>
      </c>
      <c r="F151" s="13" t="n">
        <v>3</v>
      </c>
      <c r="G151" s="13" t="n">
        <v>3</v>
      </c>
      <c r="H151" s="8" t="n">
        <v>4.8</v>
      </c>
      <c r="I151" s="8" t="n">
        <v>4.3</v>
      </c>
      <c r="J151" s="8" t="n">
        <v>4.633333333333333</v>
      </c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7" t="inlineStr">
        <is>
          <t>SEM COTAÇÃO</t>
        </is>
      </c>
      <c r="U151" s="8" t="n"/>
      <c r="V151" s="14" t="n"/>
      <c r="W151" s="14" t="n"/>
      <c r="X151" s="7" t="inlineStr"/>
      <c r="Y151" s="7" t="inlineStr"/>
    </row>
    <row r="152">
      <c r="A152" s="7" t="n">
        <v>541181</v>
      </c>
      <c r="B152" s="12" t="inlineStr">
        <is>
          <t>7898048691419</t>
        </is>
      </c>
      <c r="C152" s="7" t="inlineStr">
        <is>
          <t>AGUA FLOR DE LARANJEIRA 100ML</t>
        </is>
      </c>
      <c r="D152" s="7" t="inlineStr">
        <is>
          <t>SIMILAR</t>
        </is>
      </c>
      <c r="E152" s="7" t="inlineStr">
        <is>
          <t>C</t>
        </is>
      </c>
      <c r="F152" s="13" t="n">
        <v>2</v>
      </c>
      <c r="G152" s="13" t="n">
        <v>2</v>
      </c>
      <c r="H152" s="8" t="n">
        <v>5.06</v>
      </c>
      <c r="I152" s="8" t="n">
        <v>5.06</v>
      </c>
      <c r="J152" s="8" t="n">
        <v>5.06</v>
      </c>
      <c r="K152" s="15" t="n">
        <v>5.06</v>
      </c>
      <c r="L152" s="8" t="n"/>
      <c r="M152" s="8" t="n"/>
      <c r="N152" s="8" t="n"/>
      <c r="O152" s="8" t="n"/>
      <c r="P152" s="8" t="n"/>
      <c r="Q152" s="8" t="n"/>
      <c r="R152" s="8" t="n"/>
      <c r="S152" s="8" t="n"/>
      <c r="T152" s="7" t="inlineStr">
        <is>
          <t>DIMEC</t>
        </is>
      </c>
      <c r="U152" s="8" t="n">
        <v>5.06</v>
      </c>
      <c r="V152" s="14">
        <f>U152/J152-1</f>
        <v/>
      </c>
      <c r="W152" s="14">
        <f>U152/H152-1</f>
        <v/>
      </c>
      <c r="X152" s="17" t="inlineStr">
        <is>
          <t>OK (≤ menor hist.)</t>
        </is>
      </c>
      <c r="Y152" s="7" t="inlineStr"/>
    </row>
    <row r="153">
      <c r="A153" s="7" t="n">
        <v>618971</v>
      </c>
      <c r="B153" s="12" t="inlineStr">
        <is>
          <t>7898048690771</t>
        </is>
      </c>
      <c r="C153" s="7" t="inlineStr">
        <is>
          <t>AGUA INGLESA 450ML (CINCHONA OFFICINALI)</t>
        </is>
      </c>
      <c r="D153" s="7" t="inlineStr">
        <is>
          <t>SIMILAR</t>
        </is>
      </c>
      <c r="E153" s="7" t="inlineStr">
        <is>
          <t>B</t>
        </is>
      </c>
      <c r="F153" s="13" t="n">
        <v>7</v>
      </c>
      <c r="G153" s="13" t="n">
        <v>7</v>
      </c>
      <c r="H153" s="8" t="n">
        <v>11.95</v>
      </c>
      <c r="I153" s="8" t="n">
        <v>10.05</v>
      </c>
      <c r="J153" s="8" t="n">
        <v>11.25666666666667</v>
      </c>
      <c r="K153" s="15" t="n">
        <v>10.73</v>
      </c>
      <c r="L153" s="8" t="n"/>
      <c r="M153" s="8" t="n"/>
      <c r="N153" s="8" t="n"/>
      <c r="O153" s="8" t="n"/>
      <c r="P153" s="8" t="n"/>
      <c r="Q153" s="8" t="n"/>
      <c r="R153" s="8" t="n"/>
      <c r="S153" s="8" t="n"/>
      <c r="T153" s="7" t="inlineStr">
        <is>
          <t>DIMEC</t>
        </is>
      </c>
      <c r="U153" s="8" t="n">
        <v>10.73</v>
      </c>
      <c r="V153" s="14">
        <f>U153/J153-1</f>
        <v/>
      </c>
      <c r="W153" s="14">
        <f>U153/H153-1</f>
        <v/>
      </c>
      <c r="X153" s="17" t="inlineStr">
        <is>
          <t>OK (≤ últ. compra)</t>
        </is>
      </c>
      <c r="Y153" s="7" t="inlineStr"/>
    </row>
    <row r="154">
      <c r="A154" s="7" t="n">
        <v>647221</v>
      </c>
      <c r="B154" s="12" t="inlineStr">
        <is>
          <t>7896023705397</t>
        </is>
      </c>
      <c r="C154" s="7" t="inlineStr">
        <is>
          <t>AGUA INGLESA 500ML</t>
        </is>
      </c>
      <c r="D154" s="7" t="inlineStr">
        <is>
          <t>RX - OTC</t>
        </is>
      </c>
      <c r="E154" s="7" t="inlineStr">
        <is>
          <t>A</t>
        </is>
      </c>
      <c r="F154" s="13" t="n">
        <v>3</v>
      </c>
      <c r="G154" s="13" t="n">
        <v>3</v>
      </c>
      <c r="H154" s="8" t="n">
        <v>22.12</v>
      </c>
      <c r="I154" s="8" t="n">
        <v>22.12</v>
      </c>
      <c r="J154" s="8" t="n">
        <v>22.12</v>
      </c>
      <c r="K154" s="15" t="n">
        <v>22.17</v>
      </c>
      <c r="L154" s="8" t="n"/>
      <c r="M154" s="8" t="n">
        <v>48.43</v>
      </c>
      <c r="N154" s="8" t="n">
        <v>31.93</v>
      </c>
      <c r="O154" s="8" t="n"/>
      <c r="P154" s="8" t="n">
        <v>25.83</v>
      </c>
      <c r="Q154" s="8" t="n"/>
      <c r="R154" s="8" t="n"/>
      <c r="S154" s="8" t="n"/>
      <c r="T154" s="7" t="inlineStr">
        <is>
          <t>DIMEC</t>
        </is>
      </c>
      <c r="U154" s="8" t="n">
        <v>22.17</v>
      </c>
      <c r="V154" s="14">
        <f>U154/J154-1</f>
        <v/>
      </c>
      <c r="W154" s="14">
        <f>U154/H154-1</f>
        <v/>
      </c>
      <c r="X154" s="16" t="inlineStr">
        <is>
          <t>ACIMA +0.2%</t>
        </is>
      </c>
      <c r="Y154" s="7" t="inlineStr">
        <is>
          <t>EPAN: conferir emb.</t>
        </is>
      </c>
    </row>
    <row r="155">
      <c r="A155" s="7" t="n">
        <v>584341</v>
      </c>
      <c r="B155" s="12" t="inlineStr">
        <is>
          <t>7897732606234</t>
        </is>
      </c>
      <c r="C155" s="7" t="inlineStr">
        <is>
          <t>AGUA INGLESA SOBRAL COMPOSTA 430ML (SBR)</t>
        </is>
      </c>
      <c r="D155" s="7" t="inlineStr">
        <is>
          <t>SIMILAR</t>
        </is>
      </c>
      <c r="E155" s="7" t="inlineStr">
        <is>
          <t>A</t>
        </is>
      </c>
      <c r="F155" s="13" t="n">
        <v>22</v>
      </c>
      <c r="G155" s="13" t="n">
        <v>22</v>
      </c>
      <c r="H155" s="8" t="n">
        <v>11.36</v>
      </c>
      <c r="I155" s="8" t="n">
        <v>11.36</v>
      </c>
      <c r="J155" s="8" t="n">
        <v>11.36</v>
      </c>
      <c r="K155" s="8" t="n">
        <v>14.39</v>
      </c>
      <c r="L155" s="8" t="n"/>
      <c r="M155" s="8" t="n"/>
      <c r="N155" s="8" t="n">
        <v>15.11</v>
      </c>
      <c r="O155" s="15" t="n">
        <v>11.36</v>
      </c>
      <c r="P155" s="8" t="n">
        <v>16.85</v>
      </c>
      <c r="Q155" s="8" t="n">
        <v>19.53</v>
      </c>
      <c r="R155" s="8" t="n"/>
      <c r="S155" s="8" t="n"/>
      <c r="T155" s="7" t="inlineStr">
        <is>
          <t>TAPAJOS</t>
        </is>
      </c>
      <c r="U155" s="8" t="n">
        <v>11.36</v>
      </c>
      <c r="V155" s="14">
        <f>U155/J155-1</f>
        <v/>
      </c>
      <c r="W155" s="14">
        <f>U155/H155-1</f>
        <v/>
      </c>
      <c r="X155" s="17" t="inlineStr">
        <is>
          <t>OK (≤ menor hist.)</t>
        </is>
      </c>
      <c r="Y155" s="7" t="inlineStr">
        <is>
          <t>NAZARIA: estoque parcial (3 un)</t>
        </is>
      </c>
    </row>
    <row r="156">
      <c r="A156" s="7" t="n">
        <v>5033</v>
      </c>
      <c r="B156" s="12" t="inlineStr">
        <is>
          <t>7898223370191</t>
        </is>
      </c>
      <c r="C156" s="7" t="inlineStr">
        <is>
          <t>AGUA MIN NOSSA AGUA 200ML</t>
        </is>
      </c>
      <c r="D156" s="7" t="inlineStr">
        <is>
          <t>BEBIDAS GERAL</t>
        </is>
      </c>
      <c r="E156" s="7" t="inlineStr">
        <is>
          <t>C</t>
        </is>
      </c>
      <c r="F156" s="13" t="n">
        <v>25</v>
      </c>
      <c r="G156" s="13" t="n">
        <v>25</v>
      </c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7" t="inlineStr">
        <is>
          <t>SEM COTAÇÃO</t>
        </is>
      </c>
      <c r="U156" s="8" t="n"/>
      <c r="V156" s="14" t="n"/>
      <c r="W156" s="14" t="n"/>
      <c r="X156" s="7" t="inlineStr"/>
      <c r="Y156" s="7" t="inlineStr"/>
    </row>
    <row r="157">
      <c r="A157" s="7" t="n">
        <v>607731</v>
      </c>
      <c r="B157" s="12" t="inlineStr">
        <is>
          <t>7894900536515</t>
        </is>
      </c>
      <c r="C157" s="7" t="inlineStr">
        <is>
          <t>AGUA MINERAL BELAGUA 500ML</t>
        </is>
      </c>
      <c r="D157" s="7" t="inlineStr">
        <is>
          <t>BEBIDAS GERAL</t>
        </is>
      </c>
      <c r="E157" s="7" t="inlineStr">
        <is>
          <t>C</t>
        </is>
      </c>
      <c r="F157" s="13" t="n">
        <v>16</v>
      </c>
      <c r="G157" s="13" t="n">
        <v>16</v>
      </c>
      <c r="H157" s="8" t="n">
        <v>1.31</v>
      </c>
      <c r="I157" s="8" t="n">
        <v>1.24</v>
      </c>
      <c r="J157" s="8" t="n">
        <v>1.24</v>
      </c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7" t="inlineStr">
        <is>
          <t>SEM COTAÇÃO</t>
        </is>
      </c>
      <c r="U157" s="8" t="n"/>
      <c r="V157" s="14" t="n"/>
      <c r="W157" s="14" t="n"/>
      <c r="X157" s="7" t="inlineStr"/>
      <c r="Y157" s="7" t="inlineStr"/>
    </row>
    <row r="158">
      <c r="A158" s="7" t="n">
        <v>693</v>
      </c>
      <c r="B158" s="12" t="inlineStr">
        <is>
          <t>7898929064868</t>
        </is>
      </c>
      <c r="C158" s="7" t="inlineStr">
        <is>
          <t>AGUA MINERAL C GAS BENEVI 500ML</t>
        </is>
      </c>
      <c r="D158" s="7" t="inlineStr">
        <is>
          <t>BEBIDAS GERAL</t>
        </is>
      </c>
      <c r="E158" s="7" t="inlineStr">
        <is>
          <t>C</t>
        </is>
      </c>
      <c r="F158" s="13" t="n">
        <v>1</v>
      </c>
      <c r="G158" s="13" t="n">
        <v>1</v>
      </c>
      <c r="H158" s="8" t="n">
        <v>1.3333</v>
      </c>
      <c r="I158" s="8" t="n">
        <v>1.3333</v>
      </c>
      <c r="J158" s="8" t="n">
        <v>1.3333</v>
      </c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7" t="inlineStr">
        <is>
          <t>SEM COTAÇÃO</t>
        </is>
      </c>
      <c r="U158" s="8" t="n"/>
      <c r="V158" s="14" t="n"/>
      <c r="W158" s="14" t="n"/>
      <c r="X158" s="7" t="inlineStr"/>
      <c r="Y158" s="7" t="inlineStr"/>
    </row>
    <row r="159">
      <c r="A159" s="7" t="n">
        <v>34403</v>
      </c>
      <c r="B159" s="12" t="inlineStr">
        <is>
          <t>7894900530001</t>
        </is>
      </c>
      <c r="C159" s="7" t="inlineStr">
        <is>
          <t>AGUA MINERAL CRYSTAL 500ML</t>
        </is>
      </c>
      <c r="D159" s="7" t="inlineStr">
        <is>
          <t>BEBIDAS GERAL</t>
        </is>
      </c>
      <c r="E159" s="7" t="inlineStr">
        <is>
          <t>C</t>
        </is>
      </c>
      <c r="F159" s="13" t="n">
        <v>11</v>
      </c>
      <c r="G159" s="13" t="n">
        <v>11</v>
      </c>
      <c r="H159" s="8" t="n">
        <v>1.24</v>
      </c>
      <c r="I159" s="8" t="n">
        <v>1.24</v>
      </c>
      <c r="J159" s="8" t="n">
        <v>1.24</v>
      </c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7" t="inlineStr">
        <is>
          <t>SEM COTAÇÃO</t>
        </is>
      </c>
      <c r="U159" s="8" t="n"/>
      <c r="V159" s="14" t="n"/>
      <c r="W159" s="14" t="n"/>
      <c r="X159" s="7" t="inlineStr"/>
      <c r="Y159" s="7" t="inlineStr"/>
    </row>
    <row r="160">
      <c r="A160" s="7" t="n">
        <v>2743</v>
      </c>
      <c r="B160" s="12" t="inlineStr">
        <is>
          <t>7898913408067</t>
        </is>
      </c>
      <c r="C160" s="7" t="inlineStr">
        <is>
          <t>AGUA MINERAL DANAT 500ML</t>
        </is>
      </c>
      <c r="D160" s="7" t="inlineStr">
        <is>
          <t>BEBIDAS GERAL</t>
        </is>
      </c>
      <c r="E160" s="7" t="inlineStr">
        <is>
          <t>C</t>
        </is>
      </c>
      <c r="F160" s="13" t="n">
        <v>1</v>
      </c>
      <c r="G160" s="13" t="n">
        <v>1</v>
      </c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7" t="inlineStr">
        <is>
          <t>SEM COTAÇÃO</t>
        </is>
      </c>
      <c r="U160" s="8" t="n"/>
      <c r="V160" s="14" t="n"/>
      <c r="W160" s="14" t="n"/>
      <c r="X160" s="7" t="inlineStr"/>
      <c r="Y160" s="7" t="inlineStr"/>
    </row>
    <row r="161">
      <c r="A161" s="7" t="n">
        <v>53</v>
      </c>
      <c r="B161" s="12" t="inlineStr">
        <is>
          <t>7898994541721</t>
        </is>
      </c>
      <c r="C161" s="7" t="inlineStr">
        <is>
          <t>AGUA MINERAL FLORATTA 1,5L</t>
        </is>
      </c>
      <c r="D161" s="7" t="inlineStr">
        <is>
          <t>BEBIDAS GERAL</t>
        </is>
      </c>
      <c r="E161" s="7" t="inlineStr">
        <is>
          <t>B</t>
        </is>
      </c>
      <c r="F161" s="13" t="n">
        <v>9</v>
      </c>
      <c r="G161" s="13" t="n">
        <v>9</v>
      </c>
      <c r="H161" s="8" t="n">
        <v>1.59</v>
      </c>
      <c r="I161" s="8" t="n">
        <v>1.59</v>
      </c>
      <c r="J161" s="8" t="n">
        <v>1.59</v>
      </c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7" t="inlineStr">
        <is>
          <t>SEM COTAÇÃO</t>
        </is>
      </c>
      <c r="U161" s="8" t="n"/>
      <c r="V161" s="14" t="n"/>
      <c r="W161" s="14" t="n"/>
      <c r="X161" s="7" t="inlineStr"/>
      <c r="Y161" s="7" t="inlineStr"/>
    </row>
    <row r="162">
      <c r="A162" s="7" t="n">
        <v>3423</v>
      </c>
      <c r="B162" s="12" t="inlineStr">
        <is>
          <t>7898994541745</t>
        </is>
      </c>
      <c r="C162" s="7" t="inlineStr">
        <is>
          <t>AGUA MINERAL FLORATTA 350ML</t>
        </is>
      </c>
      <c r="D162" s="7" t="inlineStr">
        <is>
          <t>BEBIDAS GERAL</t>
        </is>
      </c>
      <c r="E162" s="7" t="inlineStr">
        <is>
          <t>C</t>
        </is>
      </c>
      <c r="F162" s="13" t="n">
        <v>1</v>
      </c>
      <c r="G162" s="13" t="n">
        <v>1</v>
      </c>
      <c r="H162" s="8" t="n">
        <v>0.0307</v>
      </c>
      <c r="I162" s="8" t="n">
        <v>0.0307</v>
      </c>
      <c r="J162" s="8" t="n">
        <v>0.0307</v>
      </c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7" t="inlineStr">
        <is>
          <t>SEM COTAÇÃO</t>
        </is>
      </c>
      <c r="U162" s="8" t="n"/>
      <c r="V162" s="14" t="n"/>
      <c r="W162" s="14" t="n"/>
      <c r="X162" s="7" t="inlineStr"/>
      <c r="Y162" s="7" t="inlineStr"/>
    </row>
    <row r="163">
      <c r="A163" s="7" t="n">
        <v>1153</v>
      </c>
      <c r="B163" s="12" t="inlineStr">
        <is>
          <t>7898994541738</t>
        </is>
      </c>
      <c r="C163" s="7" t="inlineStr">
        <is>
          <t>AGUA MINERAL FLORATTA 500ML</t>
        </is>
      </c>
      <c r="D163" s="7" t="inlineStr">
        <is>
          <t>BEBIDAS GERAL</t>
        </is>
      </c>
      <c r="E163" s="7" t="inlineStr">
        <is>
          <t>A</t>
        </is>
      </c>
      <c r="F163" s="13" t="n">
        <v>61</v>
      </c>
      <c r="G163" s="13" t="n">
        <v>61</v>
      </c>
      <c r="H163" s="8" t="n">
        <v>11.88</v>
      </c>
      <c r="I163" s="8" t="n">
        <v>11.88</v>
      </c>
      <c r="J163" s="8" t="n">
        <v>11.88</v>
      </c>
      <c r="K163" s="8" t="n"/>
      <c r="L163" s="8" t="n"/>
      <c r="M163" s="8" t="n"/>
      <c r="N163" s="8" t="n"/>
      <c r="O163" s="8" t="n"/>
      <c r="P163" s="15" t="n">
        <v>1.28</v>
      </c>
      <c r="Q163" s="8" t="n"/>
      <c r="R163" s="8" t="n"/>
      <c r="S163" s="8" t="n"/>
      <c r="T163" s="7" t="inlineStr">
        <is>
          <t>NAZARIA</t>
        </is>
      </c>
      <c r="U163" s="8" t="n">
        <v>1.28</v>
      </c>
      <c r="V163" s="14">
        <f>U163/J163-1</f>
        <v/>
      </c>
      <c r="W163" s="14">
        <f>U163/H163-1</f>
        <v/>
      </c>
      <c r="X163" s="17" t="inlineStr">
        <is>
          <t>OK (≤ menor hist.)</t>
        </is>
      </c>
      <c r="Y163" s="7" t="inlineStr">
        <is>
          <t>NAZARIA: conferir emb.</t>
        </is>
      </c>
    </row>
    <row r="164">
      <c r="A164" s="7" t="n">
        <v>2753</v>
      </c>
      <c r="B164" s="12" t="inlineStr">
        <is>
          <t>7896445490086</t>
        </is>
      </c>
      <c r="C164" s="7" t="inlineStr">
        <is>
          <t>AGUA MINERAL INDAIA 500ML</t>
        </is>
      </c>
      <c r="D164" s="7" t="inlineStr">
        <is>
          <t>BEBIDAS GERAL</t>
        </is>
      </c>
      <c r="E164" s="7" t="inlineStr">
        <is>
          <t>C</t>
        </is>
      </c>
      <c r="F164" s="13" t="n">
        <v>1</v>
      </c>
      <c r="G164" s="13" t="n">
        <v>1</v>
      </c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7" t="inlineStr">
        <is>
          <t>SEM COTAÇÃO</t>
        </is>
      </c>
      <c r="U164" s="8" t="n"/>
      <c r="V164" s="14" t="n"/>
      <c r="W164" s="14" t="n"/>
      <c r="X164" s="7" t="inlineStr"/>
      <c r="Y164" s="7" t="inlineStr"/>
    </row>
    <row r="165">
      <c r="A165" s="7" t="n">
        <v>703</v>
      </c>
      <c r="B165" s="12" t="inlineStr">
        <is>
          <t>7898223370023</t>
        </is>
      </c>
      <c r="C165" s="7" t="inlineStr">
        <is>
          <t>AGUA MINERAL NOSSA AGUA 1,5L</t>
        </is>
      </c>
      <c r="D165" s="7" t="inlineStr">
        <is>
          <t>BEBIDAS GERAL</t>
        </is>
      </c>
      <c r="E165" s="7" t="inlineStr">
        <is>
          <t>A</t>
        </is>
      </c>
      <c r="F165" s="13" t="n">
        <v>10</v>
      </c>
      <c r="G165" s="13" t="n">
        <v>56</v>
      </c>
      <c r="H165" s="8" t="n">
        <v>1.9</v>
      </c>
      <c r="I165" s="8" t="n">
        <v>1.9</v>
      </c>
      <c r="J165" s="8" t="n">
        <v>1.9</v>
      </c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7" t="inlineStr">
        <is>
          <t>SEM COTAÇÃO</t>
        </is>
      </c>
      <c r="U165" s="8" t="n"/>
      <c r="V165" s="14" t="n"/>
      <c r="W165" s="14" t="n"/>
      <c r="X165" s="7" t="inlineStr"/>
      <c r="Y165" s="7" t="inlineStr"/>
    </row>
    <row r="166">
      <c r="A166" s="7" t="n">
        <v>583541</v>
      </c>
      <c r="B166" s="12" t="inlineStr">
        <is>
          <t>7898223370047</t>
        </is>
      </c>
      <c r="C166" s="7" t="inlineStr">
        <is>
          <t>AGUA MINERAL NOSSA AGUA 500ML</t>
        </is>
      </c>
      <c r="D166" s="7" t="inlineStr">
        <is>
          <t>BEBIDAS GERAL</t>
        </is>
      </c>
      <c r="E166" s="7" t="inlineStr">
        <is>
          <t>A</t>
        </is>
      </c>
      <c r="F166" s="13" t="n">
        <v>13</v>
      </c>
      <c r="G166" s="13" t="n">
        <v>148</v>
      </c>
      <c r="H166" s="8" t="n">
        <v>0.98</v>
      </c>
      <c r="I166" s="8" t="n">
        <v>0.98</v>
      </c>
      <c r="J166" s="8" t="n">
        <v>0.98</v>
      </c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7" t="inlineStr">
        <is>
          <t>SEM COTAÇÃO</t>
        </is>
      </c>
      <c r="U166" s="8" t="n"/>
      <c r="V166" s="14" t="n"/>
      <c r="W166" s="14" t="n"/>
      <c r="X166" s="7" t="inlineStr"/>
      <c r="Y166" s="7" t="inlineStr"/>
    </row>
    <row r="167">
      <c r="A167" s="7" t="n">
        <v>2913</v>
      </c>
      <c r="B167" s="12" t="inlineStr">
        <is>
          <t>7896369636843</t>
        </is>
      </c>
      <c r="C167" s="7" t="inlineStr">
        <is>
          <t>AGUA MINERAL POLAR 1,5L</t>
        </is>
      </c>
      <c r="D167" s="7" t="inlineStr">
        <is>
          <t>BEBIDAS GERAL</t>
        </is>
      </c>
      <c r="E167" s="7" t="inlineStr">
        <is>
          <t>C</t>
        </is>
      </c>
      <c r="F167" s="13" t="n">
        <v>2</v>
      </c>
      <c r="G167" s="13" t="n">
        <v>2</v>
      </c>
      <c r="H167" s="8" t="n">
        <v>1.65</v>
      </c>
      <c r="I167" s="8" t="n">
        <v>1.65</v>
      </c>
      <c r="J167" s="8" t="n">
        <v>1.65</v>
      </c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7" t="inlineStr">
        <is>
          <t>SEM COTAÇÃO</t>
        </is>
      </c>
      <c r="U167" s="8" t="n"/>
      <c r="V167" s="14" t="n"/>
      <c r="W167" s="14" t="n"/>
      <c r="X167" s="7" t="inlineStr"/>
      <c r="Y167" s="7" t="inlineStr"/>
    </row>
    <row r="168">
      <c r="A168" s="7" t="n">
        <v>588731</v>
      </c>
      <c r="B168" s="12" t="inlineStr">
        <is>
          <t>7896369636812</t>
        </is>
      </c>
      <c r="C168" s="7" t="inlineStr">
        <is>
          <t>AGUA MINERAL POLAR 500ML</t>
        </is>
      </c>
      <c r="D168" s="7" t="inlineStr">
        <is>
          <t>BEBIDAS GERAL</t>
        </is>
      </c>
      <c r="E168" s="7" t="inlineStr">
        <is>
          <t>C</t>
        </is>
      </c>
      <c r="F168" s="13" t="n">
        <v>3</v>
      </c>
      <c r="G168" s="13" t="n">
        <v>35</v>
      </c>
      <c r="H168" s="8" t="n">
        <v>0.8</v>
      </c>
      <c r="I168" s="8" t="n">
        <v>0.8</v>
      </c>
      <c r="J168" s="8" t="n">
        <v>0.8000000000000002</v>
      </c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7" t="inlineStr">
        <is>
          <t>SEM COTAÇÃO</t>
        </is>
      </c>
      <c r="U168" s="8" t="n"/>
      <c r="V168" s="14" t="n"/>
      <c r="W168" s="14" t="n"/>
      <c r="X168" s="7" t="inlineStr"/>
      <c r="Y168" s="7" t="inlineStr"/>
    </row>
    <row r="169">
      <c r="A169" s="7" t="n">
        <v>635991</v>
      </c>
      <c r="B169" s="12" t="inlineStr">
        <is>
          <t>7896213309299</t>
        </is>
      </c>
      <c r="C169" s="7" t="inlineStr">
        <is>
          <t>AGUA OXIG BEIRA ALTA 90ML 10 VOL</t>
        </is>
      </c>
      <c r="D169" s="7" t="inlineStr">
        <is>
          <t>PERF/COSME</t>
        </is>
      </c>
      <c r="E169" s="7" t="inlineStr">
        <is>
          <t>C</t>
        </is>
      </c>
      <c r="F169" s="13" t="n">
        <v>1</v>
      </c>
      <c r="G169" s="13" t="n">
        <v>1</v>
      </c>
      <c r="H169" s="8" t="n">
        <v>1.62</v>
      </c>
      <c r="I169" s="8" t="n">
        <v>1.62</v>
      </c>
      <c r="J169" s="8" t="n">
        <v>1.62</v>
      </c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7" t="inlineStr">
        <is>
          <t>SEM COTAÇÃO</t>
        </is>
      </c>
      <c r="U169" s="8" t="n"/>
      <c r="V169" s="14" t="n"/>
      <c r="W169" s="14" t="n"/>
      <c r="X169" s="7" t="inlineStr"/>
      <c r="Y169" s="7" t="inlineStr"/>
    </row>
    <row r="170">
      <c r="A170" s="7" t="n">
        <v>640881</v>
      </c>
      <c r="B170" s="12" t="inlineStr">
        <is>
          <t>07896213300050</t>
        </is>
      </c>
      <c r="C170" s="7" t="inlineStr">
        <is>
          <t>AGUA OXIG BEIRA ALTA 90ML 20V</t>
        </is>
      </c>
      <c r="D170" s="7" t="inlineStr">
        <is>
          <t>PERF/COSME</t>
        </is>
      </c>
      <c r="E170" s="7" t="inlineStr">
        <is>
          <t>C</t>
        </is>
      </c>
      <c r="F170" s="13" t="n">
        <v>1</v>
      </c>
      <c r="G170" s="13" t="n">
        <v>1</v>
      </c>
      <c r="H170" s="8" t="n">
        <v>1.62</v>
      </c>
      <c r="I170" s="8" t="n">
        <v>1.62</v>
      </c>
      <c r="J170" s="8" t="n">
        <v>1.62</v>
      </c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7" t="inlineStr">
        <is>
          <t>SEM COTAÇÃO</t>
        </is>
      </c>
      <c r="U170" s="8" t="n"/>
      <c r="V170" s="14" t="n"/>
      <c r="W170" s="14" t="n"/>
      <c r="X170" s="7" t="inlineStr"/>
      <c r="Y170" s="7" t="inlineStr"/>
    </row>
    <row r="171">
      <c r="A171" s="7" t="n">
        <v>640891</v>
      </c>
      <c r="B171" s="12" t="inlineStr">
        <is>
          <t>07896213300081</t>
        </is>
      </c>
      <c r="C171" s="7" t="inlineStr">
        <is>
          <t>AGUA OXIG BEIRA ALTA 90ML 30V</t>
        </is>
      </c>
      <c r="D171" s="7" t="inlineStr">
        <is>
          <t>PERF/COSME</t>
        </is>
      </c>
      <c r="E171" s="7" t="inlineStr">
        <is>
          <t>C</t>
        </is>
      </c>
      <c r="F171" s="13" t="n">
        <v>1</v>
      </c>
      <c r="G171" s="13" t="n">
        <v>1</v>
      </c>
      <c r="H171" s="8" t="n">
        <v>1.62</v>
      </c>
      <c r="I171" s="8" t="n">
        <v>1.62</v>
      </c>
      <c r="J171" s="8" t="n">
        <v>1.62</v>
      </c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7" t="inlineStr">
        <is>
          <t>SEM COTAÇÃO</t>
        </is>
      </c>
      <c r="U171" s="8" t="n"/>
      <c r="V171" s="14" t="n"/>
      <c r="W171" s="14" t="n"/>
      <c r="X171" s="7" t="inlineStr"/>
      <c r="Y171" s="7" t="inlineStr"/>
    </row>
    <row r="172">
      <c r="A172" s="7" t="n">
        <v>657951</v>
      </c>
      <c r="B172" s="12" t="inlineStr">
        <is>
          <t>07896902210561</t>
        </is>
      </c>
      <c r="C172" s="7" t="inlineStr">
        <is>
          <t>AGUA OXIG FARMAX 90ML 20V</t>
        </is>
      </c>
      <c r="D172" s="7" t="inlineStr">
        <is>
          <t>PERF/COSME</t>
        </is>
      </c>
      <c r="E172" s="7" t="inlineStr">
        <is>
          <t>C</t>
        </is>
      </c>
      <c r="F172" s="13" t="n">
        <v>1</v>
      </c>
      <c r="G172" s="13" t="n">
        <v>1</v>
      </c>
      <c r="H172" s="8" t="n">
        <v>2.22</v>
      </c>
      <c r="I172" s="8" t="n">
        <v>2.22</v>
      </c>
      <c r="J172" s="8" t="n">
        <v>2.22</v>
      </c>
      <c r="K172" s="8" t="n"/>
      <c r="L172" s="8" t="n"/>
      <c r="M172" s="8" t="n"/>
      <c r="N172" s="8" t="n">
        <v>2.09</v>
      </c>
      <c r="O172" s="8" t="n"/>
      <c r="P172" s="15" t="n">
        <v>2.06</v>
      </c>
      <c r="Q172" s="8" t="n"/>
      <c r="R172" s="8" t="n"/>
      <c r="S172" s="8" t="n"/>
      <c r="T172" s="7" t="inlineStr">
        <is>
          <t>NAZARIA</t>
        </is>
      </c>
      <c r="U172" s="8" t="n">
        <v>2.06</v>
      </c>
      <c r="V172" s="14">
        <f>U172/J172-1</f>
        <v/>
      </c>
      <c r="W172" s="14">
        <f>U172/H172-1</f>
        <v/>
      </c>
      <c r="X172" s="17" t="inlineStr">
        <is>
          <t>OK (≤ menor hist.)</t>
        </is>
      </c>
      <c r="Y172" s="7" t="inlineStr"/>
    </row>
    <row r="173">
      <c r="A173" s="7" t="n">
        <v>631411</v>
      </c>
      <c r="B173" s="12" t="inlineStr"/>
      <c r="C173" s="7" t="inlineStr">
        <is>
          <t>AGUA OXIG MARCIA CREMOSA 30VOL 70ML</t>
        </is>
      </c>
      <c r="D173" s="7" t="inlineStr">
        <is>
          <t>PERF/COSME</t>
        </is>
      </c>
      <c r="E173" s="7" t="inlineStr">
        <is>
          <t>C</t>
        </is>
      </c>
      <c r="F173" s="13" t="n">
        <v>1</v>
      </c>
      <c r="G173" s="13" t="n">
        <v>1</v>
      </c>
      <c r="H173" s="8" t="n">
        <v>1.65</v>
      </c>
      <c r="I173" s="8" t="n">
        <v>1.65</v>
      </c>
      <c r="J173" s="8" t="n">
        <v>1.65</v>
      </c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7" t="inlineStr">
        <is>
          <t>SEM COTAÇÃO</t>
        </is>
      </c>
      <c r="U173" s="8" t="n"/>
      <c r="V173" s="14" t="n"/>
      <c r="W173" s="14" t="n"/>
      <c r="X173" s="7" t="inlineStr"/>
      <c r="Y173" s="7" t="inlineStr"/>
    </row>
    <row r="174">
      <c r="A174" s="7" t="n">
        <v>599801</v>
      </c>
      <c r="B174" s="12" t="inlineStr">
        <is>
          <t>7898719040911</t>
        </is>
      </c>
      <c r="C174" s="7" t="inlineStr">
        <is>
          <t>AGUA OXIGENADA 10-VOL 100ML</t>
        </is>
      </c>
      <c r="D174" s="7" t="inlineStr">
        <is>
          <t>CURATIVO</t>
        </is>
      </c>
      <c r="E174" s="7" t="inlineStr">
        <is>
          <t>C</t>
        </is>
      </c>
      <c r="F174" s="13" t="n">
        <v>10</v>
      </c>
      <c r="G174" s="13" t="n">
        <v>10</v>
      </c>
      <c r="H174" s="8" t="n">
        <v>2</v>
      </c>
      <c r="I174" s="8" t="n">
        <v>2</v>
      </c>
      <c r="J174" s="8" t="n">
        <v>2</v>
      </c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7" t="inlineStr">
        <is>
          <t>SEM COTAÇÃO</t>
        </is>
      </c>
      <c r="U174" s="8" t="n"/>
      <c r="V174" s="14" t="n"/>
      <c r="W174" s="14" t="n"/>
      <c r="X174" s="7" t="inlineStr"/>
      <c r="Y174" s="7" t="inlineStr"/>
    </row>
    <row r="175">
      <c r="A175" s="7" t="n">
        <v>532161</v>
      </c>
      <c r="B175" s="12" t="inlineStr">
        <is>
          <t>7898031310587</t>
        </is>
      </c>
      <c r="C175" s="7" t="inlineStr">
        <is>
          <t>AGUA OXIGENADA ALMOT. 10 VOL. 100ML</t>
        </is>
      </c>
      <c r="D175" s="7" t="inlineStr">
        <is>
          <t>CURATIVO</t>
        </is>
      </c>
      <c r="E175" s="7" t="inlineStr">
        <is>
          <t>A</t>
        </is>
      </c>
      <c r="F175" s="13" t="n">
        <v>45</v>
      </c>
      <c r="G175" s="13" t="n">
        <v>45</v>
      </c>
      <c r="H175" s="8" t="n">
        <v>2.35</v>
      </c>
      <c r="I175" s="8" t="n">
        <v>2.18</v>
      </c>
      <c r="J175" s="8" t="n">
        <v>2.293333333333333</v>
      </c>
      <c r="K175" s="8" t="n">
        <v>2.69</v>
      </c>
      <c r="L175" s="8" t="n"/>
      <c r="M175" s="8" t="n"/>
      <c r="N175" s="8" t="n">
        <v>2.72</v>
      </c>
      <c r="O175" s="8" t="n"/>
      <c r="P175" s="15" t="n">
        <v>2.65</v>
      </c>
      <c r="Q175" s="8" t="n">
        <v>2.79</v>
      </c>
      <c r="R175" s="8" t="n"/>
      <c r="S175" s="8" t="n"/>
      <c r="T175" s="7" t="inlineStr">
        <is>
          <t>NAZARIA</t>
        </is>
      </c>
      <c r="U175" s="8" t="n">
        <v>2.65</v>
      </c>
      <c r="V175" s="14">
        <f>U175/J175-1</f>
        <v/>
      </c>
      <c r="W175" s="14">
        <f>U175/H175-1</f>
        <v/>
      </c>
      <c r="X175" s="16" t="inlineStr">
        <is>
          <t>ACIMA +12.8%</t>
        </is>
      </c>
      <c r="Y175" s="7" t="inlineStr"/>
    </row>
    <row r="176">
      <c r="A176" s="7" t="n">
        <v>674721</v>
      </c>
      <c r="B176" s="12" t="inlineStr">
        <is>
          <t>7896902210530</t>
        </is>
      </c>
      <c r="C176" s="7" t="inlineStr">
        <is>
          <t>AGUA OXIGENADA CR 10VOL DESCOLOR 90ML</t>
        </is>
      </c>
      <c r="D176" s="7" t="inlineStr">
        <is>
          <t>UTENSILIOS</t>
        </is>
      </c>
      <c r="E176" s="7" t="inlineStr">
        <is>
          <t>C</t>
        </is>
      </c>
      <c r="F176" s="13" t="n">
        <v>5</v>
      </c>
      <c r="G176" s="13" t="n">
        <v>5</v>
      </c>
      <c r="H176" s="8" t="n">
        <v>1.97</v>
      </c>
      <c r="I176" s="8" t="n">
        <v>1.97</v>
      </c>
      <c r="J176" s="8" t="n">
        <v>1.97</v>
      </c>
      <c r="K176" s="8" t="n"/>
      <c r="L176" s="8" t="n"/>
      <c r="M176" s="8" t="n"/>
      <c r="N176" s="8" t="n">
        <v>2.11</v>
      </c>
      <c r="O176" s="8" t="n"/>
      <c r="P176" s="15" t="n">
        <v>2.06</v>
      </c>
      <c r="Q176" s="8" t="n"/>
      <c r="R176" s="8" t="n"/>
      <c r="S176" s="8" t="n"/>
      <c r="T176" s="7" t="inlineStr">
        <is>
          <t>NAZARIA</t>
        </is>
      </c>
      <c r="U176" s="8" t="n">
        <v>2.06</v>
      </c>
      <c r="V176" s="14">
        <f>U176/J176-1</f>
        <v/>
      </c>
      <c r="W176" s="14">
        <f>U176/H176-1</f>
        <v/>
      </c>
      <c r="X176" s="16" t="inlineStr">
        <is>
          <t>ACIMA +4.6%</t>
        </is>
      </c>
      <c r="Y176" s="7" t="inlineStr"/>
    </row>
    <row r="177">
      <c r="A177" s="7" t="n">
        <v>534741</v>
      </c>
      <c r="B177" s="12" t="inlineStr">
        <is>
          <t>7896902210608</t>
        </is>
      </c>
      <c r="C177" s="7" t="inlineStr">
        <is>
          <t>AGUA OXIGENADA CREMOSA - 30 VOL 90ML</t>
        </is>
      </c>
      <c r="D177" s="7" t="inlineStr">
        <is>
          <t>PERF/COSME</t>
        </is>
      </c>
      <c r="E177" s="7" t="inlineStr">
        <is>
          <t>A</t>
        </is>
      </c>
      <c r="F177" s="13" t="n">
        <v>16</v>
      </c>
      <c r="G177" s="13" t="n">
        <v>16</v>
      </c>
      <c r="H177" s="8" t="n">
        <v>1.84</v>
      </c>
      <c r="I177" s="8" t="n">
        <v>1.5367</v>
      </c>
      <c r="J177" s="8" t="n">
        <v>1.7389</v>
      </c>
      <c r="K177" s="8" t="n"/>
      <c r="L177" s="8" t="n"/>
      <c r="M177" s="8" t="n"/>
      <c r="N177" s="8" t="n">
        <v>2.16</v>
      </c>
      <c r="O177" s="8" t="n"/>
      <c r="P177" s="15" t="n">
        <v>2.06</v>
      </c>
      <c r="Q177" s="8" t="n"/>
      <c r="R177" s="8" t="n"/>
      <c r="S177" s="8" t="n"/>
      <c r="T177" s="7" t="inlineStr">
        <is>
          <t>NAZARIA</t>
        </is>
      </c>
      <c r="U177" s="8" t="n">
        <v>2.06</v>
      </c>
      <c r="V177" s="14">
        <f>U177/J177-1</f>
        <v/>
      </c>
      <c r="W177" s="14">
        <f>U177/H177-1</f>
        <v/>
      </c>
      <c r="X177" s="16" t="inlineStr">
        <is>
          <t>ACIMA +12.0%</t>
        </is>
      </c>
      <c r="Y177" s="7" t="inlineStr"/>
    </row>
    <row r="178">
      <c r="A178" s="7" t="n">
        <v>534761</v>
      </c>
      <c r="B178" s="12" t="inlineStr">
        <is>
          <t>7896902210905</t>
        </is>
      </c>
      <c r="C178" s="7" t="inlineStr">
        <is>
          <t>AGUA OXIGENADA CREMOSA - AMONIA 100ML</t>
        </is>
      </c>
      <c r="D178" s="7" t="inlineStr">
        <is>
          <t>PERF/COSME</t>
        </is>
      </c>
      <c r="E178" s="7" t="inlineStr">
        <is>
          <t>C</t>
        </is>
      </c>
      <c r="F178" s="13" t="n">
        <v>2</v>
      </c>
      <c r="G178" s="13" t="n">
        <v>2</v>
      </c>
      <c r="H178" s="8" t="n">
        <v>1.95</v>
      </c>
      <c r="I178" s="8" t="n">
        <v>1.95</v>
      </c>
      <c r="J178" s="8" t="n">
        <v>1.95</v>
      </c>
      <c r="K178" s="8" t="n">
        <v>2.42</v>
      </c>
      <c r="L178" s="8" t="n"/>
      <c r="M178" s="8" t="n"/>
      <c r="N178" s="8" t="n">
        <v>2.2</v>
      </c>
      <c r="O178" s="8" t="n"/>
      <c r="P178" s="15" t="n">
        <v>2.02</v>
      </c>
      <c r="Q178" s="8" t="n"/>
      <c r="R178" s="8" t="n"/>
      <c r="S178" s="8" t="n"/>
      <c r="T178" s="7" t="inlineStr">
        <is>
          <t>NAZARIA</t>
        </is>
      </c>
      <c r="U178" s="8" t="n">
        <v>2.02</v>
      </c>
      <c r="V178" s="14">
        <f>U178/J178-1</f>
        <v/>
      </c>
      <c r="W178" s="14">
        <f>U178/H178-1</f>
        <v/>
      </c>
      <c r="X178" s="16" t="inlineStr">
        <is>
          <t>ACIMA +3.6%</t>
        </is>
      </c>
      <c r="Y178" s="7" t="inlineStr"/>
    </row>
    <row r="179">
      <c r="A179" s="7" t="n">
        <v>534701</v>
      </c>
      <c r="B179" s="12" t="inlineStr">
        <is>
          <t>7896221800092</t>
        </is>
      </c>
      <c r="C179" s="7" t="inlineStr">
        <is>
          <t>AGUA OXIGENADA MARCIA 20 VOL 70ML</t>
        </is>
      </c>
      <c r="D179" s="7" t="inlineStr">
        <is>
          <t>PERF/COSME</t>
        </is>
      </c>
      <c r="E179" s="7" t="inlineStr">
        <is>
          <t>C</t>
        </is>
      </c>
      <c r="F179" s="13" t="n">
        <v>4</v>
      </c>
      <c r="G179" s="13" t="n">
        <v>4</v>
      </c>
      <c r="H179" s="8" t="n">
        <v>1.65</v>
      </c>
      <c r="I179" s="8" t="n">
        <v>1.65</v>
      </c>
      <c r="J179" s="8" t="n">
        <v>1.65</v>
      </c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7" t="inlineStr">
        <is>
          <t>SEM COTAÇÃO</t>
        </is>
      </c>
      <c r="U179" s="8" t="n"/>
      <c r="V179" s="14" t="n"/>
      <c r="W179" s="14" t="n"/>
      <c r="X179" s="7" t="inlineStr"/>
      <c r="Y179" s="7" t="inlineStr"/>
    </row>
    <row r="180">
      <c r="A180" s="7" t="n">
        <v>547721</v>
      </c>
      <c r="B180" s="12" t="inlineStr">
        <is>
          <t>7896902211544</t>
        </is>
      </c>
      <c r="C180" s="7" t="inlineStr">
        <is>
          <t>AGUA OXIGENADA VOL10</t>
        </is>
      </c>
      <c r="D180" s="7" t="inlineStr">
        <is>
          <t>SIMILAR</t>
        </is>
      </c>
      <c r="E180" s="7" t="inlineStr">
        <is>
          <t>A</t>
        </is>
      </c>
      <c r="F180" s="13" t="n">
        <v>39</v>
      </c>
      <c r="G180" s="13" t="n">
        <v>39</v>
      </c>
      <c r="H180" s="8" t="n">
        <v>2.37</v>
      </c>
      <c r="I180" s="8" t="n">
        <v>1.9</v>
      </c>
      <c r="J180" s="8" t="n">
        <v>2.056666666666667</v>
      </c>
      <c r="K180" s="8" t="n">
        <v>2.4</v>
      </c>
      <c r="L180" s="8" t="n"/>
      <c r="M180" s="8" t="n"/>
      <c r="N180" s="8" t="n">
        <v>2.47</v>
      </c>
      <c r="O180" s="8" t="n"/>
      <c r="P180" s="15" t="n">
        <v>2.12</v>
      </c>
      <c r="Q180" s="8" t="n"/>
      <c r="R180" s="8" t="n"/>
      <c r="S180" s="8" t="n"/>
      <c r="T180" s="7" t="inlineStr">
        <is>
          <t>NAZARIA</t>
        </is>
      </c>
      <c r="U180" s="8" t="n">
        <v>2.12</v>
      </c>
      <c r="V180" s="14">
        <f>U180/J180-1</f>
        <v/>
      </c>
      <c r="W180" s="14">
        <f>U180/H180-1</f>
        <v/>
      </c>
      <c r="X180" s="17" t="inlineStr">
        <is>
          <t>OK (≤ últ. compra)</t>
        </is>
      </c>
      <c r="Y180" s="7" t="inlineStr"/>
    </row>
    <row r="181">
      <c r="A181" s="7" t="n">
        <v>651171</v>
      </c>
      <c r="B181" s="12" t="inlineStr">
        <is>
          <t>7898048690900</t>
        </is>
      </c>
      <c r="C181" s="7" t="inlineStr">
        <is>
          <t>AGUARDENTE ALEMA JALAPA 200ML</t>
        </is>
      </c>
      <c r="D181" s="7" t="inlineStr">
        <is>
          <t>OTC</t>
        </is>
      </c>
      <c r="E181" s="7" t="inlineStr">
        <is>
          <t>C</t>
        </is>
      </c>
      <c r="F181" s="13" t="n">
        <v>1</v>
      </c>
      <c r="G181" s="13" t="n">
        <v>1</v>
      </c>
      <c r="H181" s="8" t="n">
        <v>8.09</v>
      </c>
      <c r="I181" s="8" t="n">
        <v>8.09</v>
      </c>
      <c r="J181" s="8" t="n">
        <v>8.09</v>
      </c>
      <c r="K181" s="8" t="n">
        <v>8.119999999999999</v>
      </c>
      <c r="L181" s="8" t="n"/>
      <c r="M181" s="8" t="n"/>
      <c r="N181" s="15" t="n">
        <v>8.08</v>
      </c>
      <c r="O181" s="8" t="n"/>
      <c r="P181" s="8" t="n"/>
      <c r="Q181" s="8" t="n"/>
      <c r="R181" s="8" t="n"/>
      <c r="S181" s="8" t="n"/>
      <c r="T181" s="7" t="inlineStr">
        <is>
          <t>CENTROFARMA</t>
        </is>
      </c>
      <c r="U181" s="8" t="n">
        <v>8.08</v>
      </c>
      <c r="V181" s="14">
        <f>U181/J181-1</f>
        <v/>
      </c>
      <c r="W181" s="14">
        <f>U181/H181-1</f>
        <v/>
      </c>
      <c r="X181" s="17" t="inlineStr">
        <is>
          <t>OK (≤ menor hist.)</t>
        </is>
      </c>
      <c r="Y181" s="7" t="inlineStr"/>
    </row>
    <row r="182">
      <c r="A182" s="7" t="n">
        <v>532201</v>
      </c>
      <c r="B182" s="12" t="inlineStr">
        <is>
          <t>7898048690887</t>
        </is>
      </c>
      <c r="C182" s="7" t="inlineStr">
        <is>
          <t>AGUARDENTE ALEMA JALAPA D1 30ML</t>
        </is>
      </c>
      <c r="D182" s="7" t="inlineStr">
        <is>
          <t>SIMILAR</t>
        </is>
      </c>
      <c r="E182" s="7" t="inlineStr">
        <is>
          <t>C</t>
        </is>
      </c>
      <c r="F182" s="13" t="n">
        <v>3</v>
      </c>
      <c r="G182" s="13" t="n">
        <v>3</v>
      </c>
      <c r="H182" s="8" t="n">
        <v>2.4</v>
      </c>
      <c r="I182" s="8" t="n">
        <v>2.38</v>
      </c>
      <c r="J182" s="8" t="n">
        <v>2.38</v>
      </c>
      <c r="K182" s="15" t="n">
        <v>2.4</v>
      </c>
      <c r="L182" s="8" t="n"/>
      <c r="M182" s="8" t="n"/>
      <c r="N182" s="8" t="n"/>
      <c r="O182" s="8" t="n"/>
      <c r="P182" s="8" t="n"/>
      <c r="Q182" s="8" t="n"/>
      <c r="R182" s="8" t="n"/>
      <c r="S182" s="8" t="n"/>
      <c r="T182" s="7" t="inlineStr">
        <is>
          <t>DIMEC</t>
        </is>
      </c>
      <c r="U182" s="8" t="n">
        <v>2.4</v>
      </c>
      <c r="V182" s="14">
        <f>U182/J182-1</f>
        <v/>
      </c>
      <c r="W182" s="14">
        <f>U182/H182-1</f>
        <v/>
      </c>
      <c r="X182" s="17" t="inlineStr">
        <is>
          <t>OK (≤ últ. compra)</t>
        </is>
      </c>
      <c r="Y182" s="7" t="inlineStr"/>
    </row>
    <row r="183">
      <c r="A183" s="7" t="n">
        <v>602681</v>
      </c>
      <c r="B183" s="12" t="inlineStr">
        <is>
          <t>7899780136176</t>
        </is>
      </c>
      <c r="C183" s="7" t="inlineStr">
        <is>
          <t>AGULHA 13X4,5 DESC. WILTEX</t>
        </is>
      </c>
      <c r="D183" s="7" t="inlineStr">
        <is>
          <t>UTENSILIOS</t>
        </is>
      </c>
      <c r="E183" s="7" t="inlineStr">
        <is>
          <t>C</t>
        </is>
      </c>
      <c r="F183" s="13" t="n">
        <v>2</v>
      </c>
      <c r="G183" s="13" t="n">
        <v>2</v>
      </c>
      <c r="H183" s="8" t="n">
        <v>0.1633</v>
      </c>
      <c r="I183" s="8" t="n">
        <v>0.1633</v>
      </c>
      <c r="J183" s="8" t="n">
        <v>0.1633</v>
      </c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7" t="inlineStr">
        <is>
          <t>SEM COTAÇÃO</t>
        </is>
      </c>
      <c r="U183" s="8" t="n"/>
      <c r="V183" s="14" t="n"/>
      <c r="W183" s="14" t="n"/>
      <c r="X183" s="7" t="inlineStr"/>
      <c r="Y183" s="7" t="inlineStr"/>
    </row>
    <row r="184">
      <c r="A184" s="7" t="n">
        <v>666871</v>
      </c>
      <c r="B184" s="12" t="inlineStr">
        <is>
          <t>7891463009371</t>
        </is>
      </c>
      <c r="C184" s="7" t="inlineStr">
        <is>
          <t>AGULHA 21G (30MM X 0,80MM) C/ DISP DE SEGURANCA UN</t>
        </is>
      </c>
      <c r="D184" s="7" t="inlineStr">
        <is>
          <t>UTENSILIOS</t>
        </is>
      </c>
      <c r="E184" s="7" t="inlineStr">
        <is>
          <t>C</t>
        </is>
      </c>
      <c r="F184" s="13" t="n">
        <v>13</v>
      </c>
      <c r="G184" s="13" t="n">
        <v>13</v>
      </c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7" t="inlineStr">
        <is>
          <t>SEM COTAÇÃO</t>
        </is>
      </c>
      <c r="U184" s="8" t="n"/>
      <c r="V184" s="14" t="n"/>
      <c r="W184" s="14" t="n"/>
      <c r="X184" s="7" t="inlineStr"/>
      <c r="Y184" s="7" t="inlineStr"/>
    </row>
    <row r="185">
      <c r="A185" s="7" t="n">
        <v>666861</v>
      </c>
      <c r="B185" s="12" t="inlineStr">
        <is>
          <t>7891463009210</t>
        </is>
      </c>
      <c r="C185" s="7" t="inlineStr">
        <is>
          <t>AGULHA 22G (30MM X 0,70MM) C/ DISP DE SEGURANCA UN</t>
        </is>
      </c>
      <c r="D185" s="7" t="inlineStr">
        <is>
          <t>UTENSILIOS</t>
        </is>
      </c>
      <c r="E185" s="7" t="inlineStr">
        <is>
          <t>C</t>
        </is>
      </c>
      <c r="F185" s="13" t="n">
        <v>4</v>
      </c>
      <c r="G185" s="13" t="n">
        <v>4</v>
      </c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7" t="inlineStr">
        <is>
          <t>SEM COTAÇÃO</t>
        </is>
      </c>
      <c r="U185" s="8" t="n"/>
      <c r="V185" s="14" t="n"/>
      <c r="W185" s="14" t="n"/>
      <c r="X185" s="7" t="inlineStr"/>
      <c r="Y185" s="7" t="inlineStr"/>
    </row>
    <row r="186">
      <c r="A186" s="7" t="n">
        <v>578641</v>
      </c>
      <c r="B186" s="12" t="inlineStr">
        <is>
          <t>7899780159168</t>
        </is>
      </c>
      <c r="C186" s="7" t="inlineStr">
        <is>
          <t>AGULHA 25X0,7 DESC. WILTEX</t>
        </is>
      </c>
      <c r="D186" s="7" t="inlineStr">
        <is>
          <t>UTENSILIOS</t>
        </is>
      </c>
      <c r="E186" s="7" t="inlineStr">
        <is>
          <t>C</t>
        </is>
      </c>
      <c r="F186" s="13" t="n">
        <v>1</v>
      </c>
      <c r="G186" s="13" t="n">
        <v>1</v>
      </c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7" t="inlineStr">
        <is>
          <t>SEM COTAÇÃO</t>
        </is>
      </c>
      <c r="U186" s="8" t="n"/>
      <c r="V186" s="14" t="n"/>
      <c r="W186" s="14" t="n"/>
      <c r="X186" s="7" t="inlineStr"/>
      <c r="Y186" s="7" t="inlineStr"/>
    </row>
    <row r="187">
      <c r="A187" s="7" t="n">
        <v>578621</v>
      </c>
      <c r="B187" s="12" t="inlineStr">
        <is>
          <t>7899780159182</t>
        </is>
      </c>
      <c r="C187" s="7" t="inlineStr">
        <is>
          <t>AGULHA 30X0,7 DESC. WILTEX</t>
        </is>
      </c>
      <c r="D187" s="7" t="inlineStr">
        <is>
          <t>UTENSILIOS</t>
        </is>
      </c>
      <c r="E187" s="7" t="inlineStr">
        <is>
          <t>C</t>
        </is>
      </c>
      <c r="F187" s="13" t="n">
        <v>1</v>
      </c>
      <c r="G187" s="13" t="n">
        <v>73</v>
      </c>
      <c r="H187" s="8" t="n">
        <v>0.1234</v>
      </c>
      <c r="I187" s="8" t="n">
        <v>0.1234</v>
      </c>
      <c r="J187" s="8" t="n">
        <v>0.1234</v>
      </c>
      <c r="K187" s="15" t="n">
        <v>0.116</v>
      </c>
      <c r="L187" s="8" t="n"/>
      <c r="M187" s="8" t="n"/>
      <c r="N187" s="8" t="n"/>
      <c r="O187" s="8" t="n"/>
      <c r="P187" s="8" t="n"/>
      <c r="Q187" s="8" t="n"/>
      <c r="R187" s="8" t="n"/>
      <c r="S187" s="8" t="n"/>
      <c r="T187" s="7" t="inlineStr">
        <is>
          <t>DIMEC</t>
        </is>
      </c>
      <c r="U187" s="8" t="n">
        <v>0.116</v>
      </c>
      <c r="V187" s="14">
        <f>U187/J187-1</f>
        <v/>
      </c>
      <c r="W187" s="14">
        <f>U187/H187-1</f>
        <v/>
      </c>
      <c r="X187" s="17" t="inlineStr">
        <is>
          <t>OK (≤ menor hist.)</t>
        </is>
      </c>
      <c r="Y187" s="7" t="inlineStr">
        <is>
          <t>DIMEC: 1 emb = 100 un</t>
        </is>
      </c>
    </row>
    <row r="188">
      <c r="A188" s="7" t="n">
        <v>553701</v>
      </c>
      <c r="B188" s="12" t="inlineStr">
        <is>
          <t>78936263</t>
        </is>
      </c>
      <c r="C188" s="7" t="inlineStr">
        <is>
          <t>AGULHA 30X8 WILTEX</t>
        </is>
      </c>
      <c r="D188" s="7" t="inlineStr">
        <is>
          <t>UTENSILIOS</t>
        </is>
      </c>
      <c r="E188" s="7" t="inlineStr">
        <is>
          <t>C</t>
        </is>
      </c>
      <c r="F188" s="13" t="n">
        <v>3</v>
      </c>
      <c r="G188" s="13" t="n">
        <v>3</v>
      </c>
      <c r="H188" s="8" t="n">
        <v>0.15</v>
      </c>
      <c r="I188" s="8" t="n">
        <v>0.15</v>
      </c>
      <c r="J188" s="8" t="n">
        <v>0.15</v>
      </c>
      <c r="K188" s="15" t="n">
        <v>0.1142</v>
      </c>
      <c r="L188" s="8" t="n"/>
      <c r="M188" s="8" t="n"/>
      <c r="N188" s="8" t="n"/>
      <c r="O188" s="8" t="n"/>
      <c r="P188" s="8" t="n"/>
      <c r="Q188" s="8" t="n"/>
      <c r="R188" s="8" t="n"/>
      <c r="S188" s="8" t="n"/>
      <c r="T188" s="7" t="inlineStr">
        <is>
          <t>DIMEC</t>
        </is>
      </c>
      <c r="U188" s="8" t="n">
        <v>0.1142</v>
      </c>
      <c r="V188" s="14">
        <f>U188/J188-1</f>
        <v/>
      </c>
      <c r="W188" s="14">
        <f>U188/H188-1</f>
        <v/>
      </c>
      <c r="X188" s="17" t="inlineStr">
        <is>
          <t>OK (≤ menor hist.)</t>
        </is>
      </c>
      <c r="Y188" s="7" t="inlineStr">
        <is>
          <t>DIMEC: 1 emb = 100 un</t>
        </is>
      </c>
    </row>
    <row r="189">
      <c r="A189" s="7" t="n">
        <v>607261</v>
      </c>
      <c r="B189" s="12" t="inlineStr">
        <is>
          <t>7898259491457</t>
        </is>
      </c>
      <c r="C189" s="7" t="inlineStr">
        <is>
          <t>AGULHA 40X12CX MEDIX C/100UN</t>
        </is>
      </c>
      <c r="D189" s="7" t="inlineStr">
        <is>
          <t>UTENSILIOS</t>
        </is>
      </c>
      <c r="E189" s="7" t="inlineStr">
        <is>
          <t>B</t>
        </is>
      </c>
      <c r="F189" s="13" t="n">
        <v>36</v>
      </c>
      <c r="G189" s="13" t="n">
        <v>36</v>
      </c>
      <c r="H189" s="8" t="n">
        <v>18.2</v>
      </c>
      <c r="I189" s="8" t="n">
        <v>0.14</v>
      </c>
      <c r="J189" s="8" t="n">
        <v>0.1466666666666667</v>
      </c>
      <c r="K189" s="8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7" t="inlineStr">
        <is>
          <t>SEM COTAÇÃO</t>
        </is>
      </c>
      <c r="U189" s="8" t="n"/>
      <c r="V189" s="14" t="n"/>
      <c r="W189" s="14" t="n"/>
      <c r="X189" s="7" t="inlineStr"/>
      <c r="Y189" s="7" t="inlineStr"/>
    </row>
    <row r="190">
      <c r="A190" s="7" t="n">
        <v>4133</v>
      </c>
      <c r="B190" s="12" t="inlineStr">
        <is>
          <t>7898652373367</t>
        </is>
      </c>
      <c r="C190" s="7" t="inlineStr">
        <is>
          <t>AGULHA CANETA INSULINA 31G 5MM C/100 UND</t>
        </is>
      </c>
      <c r="D190" s="7" t="inlineStr">
        <is>
          <t>UTENSILIOS</t>
        </is>
      </c>
      <c r="E190" s="7" t="inlineStr">
        <is>
          <t>C</t>
        </is>
      </c>
      <c r="F190" s="13" t="n">
        <v>1</v>
      </c>
      <c r="G190" s="13" t="n">
        <v>1</v>
      </c>
      <c r="H190" s="8" t="n">
        <v>15.6</v>
      </c>
      <c r="I190" s="8" t="n">
        <v>15.6</v>
      </c>
      <c r="J190" s="8" t="n">
        <v>15.6</v>
      </c>
      <c r="K190" s="8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7" t="inlineStr">
        <is>
          <t>SEM COTAÇÃO</t>
        </is>
      </c>
      <c r="U190" s="8" t="n"/>
      <c r="V190" s="14" t="n"/>
      <c r="W190" s="14" t="n"/>
      <c r="X190" s="7" t="inlineStr"/>
      <c r="Y190" s="7" t="inlineStr"/>
    </row>
    <row r="191">
      <c r="A191" s="7" t="n">
        <v>558201</v>
      </c>
      <c r="B191" s="12" t="inlineStr">
        <is>
          <t>78909830</t>
        </is>
      </c>
      <c r="C191" s="7" t="inlineStr">
        <is>
          <t>AGULHA DESC 30X7 CX100 BD</t>
        </is>
      </c>
      <c r="D191" s="7" t="inlineStr">
        <is>
          <t>UTENSILIOS</t>
        </is>
      </c>
      <c r="E191" s="7" t="inlineStr">
        <is>
          <t>C</t>
        </is>
      </c>
      <c r="F191" s="13" t="n">
        <v>1</v>
      </c>
      <c r="G191" s="13" t="n">
        <v>1</v>
      </c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15" t="n">
        <v>19.56</v>
      </c>
      <c r="R191" s="8" t="n"/>
      <c r="S191" s="8" t="n"/>
      <c r="T191" s="7" t="inlineStr">
        <is>
          <t>MEDCENTRO</t>
        </is>
      </c>
      <c r="U191" s="8" t="n">
        <v>19.56</v>
      </c>
      <c r="V191" s="14" t="n"/>
      <c r="W191" s="14" t="n"/>
      <c r="X191" s="7" t="inlineStr">
        <is>
          <t>SEM HISTÓRICO</t>
        </is>
      </c>
      <c r="Y191" s="7" t="inlineStr"/>
    </row>
    <row r="192">
      <c r="A192" s="7" t="n">
        <v>864</v>
      </c>
      <c r="B192" s="12" t="inlineStr">
        <is>
          <t>7898157720857</t>
        </is>
      </c>
      <c r="C192" s="7" t="inlineStr">
        <is>
          <t>AGULHA DESC. 21 X 11(30X8)LABOR IMPORT</t>
        </is>
      </c>
      <c r="D192" s="7" t="inlineStr">
        <is>
          <t>UTENSILIOS</t>
        </is>
      </c>
      <c r="E192" s="7" t="inlineStr">
        <is>
          <t>C</t>
        </is>
      </c>
      <c r="F192" s="13" t="n">
        <v>7</v>
      </c>
      <c r="G192" s="13" t="n">
        <v>7</v>
      </c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7" t="inlineStr">
        <is>
          <t>SEM COTAÇÃO</t>
        </is>
      </c>
      <c r="U192" s="8" t="n"/>
      <c r="V192" s="14" t="n"/>
      <c r="W192" s="14" t="n"/>
      <c r="X192" s="7" t="inlineStr"/>
      <c r="Y192" s="7" t="inlineStr"/>
    </row>
    <row r="193">
      <c r="A193" s="7" t="n">
        <v>565141</v>
      </c>
      <c r="B193" s="12" t="inlineStr">
        <is>
          <t>7898157720840</t>
        </is>
      </c>
      <c r="C193" s="7" t="inlineStr">
        <is>
          <t>AGULHA DESC. 30 X7 LABOR IMPORT</t>
        </is>
      </c>
      <c r="D193" s="7" t="inlineStr">
        <is>
          <t>UTENSILIOS</t>
        </is>
      </c>
      <c r="E193" s="7" t="inlineStr">
        <is>
          <t>C</t>
        </is>
      </c>
      <c r="F193" s="13" t="n">
        <v>1</v>
      </c>
      <c r="G193" s="13" t="n">
        <v>1</v>
      </c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7" t="inlineStr">
        <is>
          <t>SEM COTAÇÃO</t>
        </is>
      </c>
      <c r="U193" s="8" t="n"/>
      <c r="V193" s="14" t="n"/>
      <c r="W193" s="14" t="n"/>
      <c r="X193" s="7" t="inlineStr"/>
      <c r="Y193" s="7" t="inlineStr"/>
    </row>
    <row r="194">
      <c r="A194" s="7" t="n">
        <v>634141</v>
      </c>
      <c r="B194" s="12" t="inlineStr">
        <is>
          <t>7898652371943</t>
        </is>
      </c>
      <c r="C194" s="7" t="inlineStr">
        <is>
          <t>AGULHA HIPODERMICA  25X0,60MM (23GX1) 100UN MEDIX</t>
        </is>
      </c>
      <c r="D194" s="7" t="inlineStr">
        <is>
          <t>UTENSILIOS</t>
        </is>
      </c>
      <c r="E194" s="7" t="inlineStr">
        <is>
          <t>C</t>
        </is>
      </c>
      <c r="F194" s="13" t="n">
        <v>1</v>
      </c>
      <c r="G194" s="13" t="n">
        <v>9</v>
      </c>
      <c r="H194" s="8" t="n">
        <v>0.1699</v>
      </c>
      <c r="I194" s="8" t="n">
        <v>0.1699</v>
      </c>
      <c r="J194" s="8" t="n">
        <v>0.1699</v>
      </c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7" t="inlineStr">
        <is>
          <t>SEM COTAÇÃO</t>
        </is>
      </c>
      <c r="U194" s="8" t="n"/>
      <c r="V194" s="14" t="n"/>
      <c r="W194" s="14" t="n"/>
      <c r="X194" s="7" t="inlineStr"/>
      <c r="Y194" s="7" t="inlineStr"/>
    </row>
    <row r="195">
      <c r="A195" s="7" t="n">
        <v>854</v>
      </c>
      <c r="B195" s="12" t="inlineStr"/>
      <c r="C195" s="7" t="inlineStr">
        <is>
          <t>AGULHA HIPODERMICA  40X1,20MM (23GX1) 100UN MEDIX</t>
        </is>
      </c>
      <c r="D195" s="7" t="inlineStr">
        <is>
          <t>UTENSILIOS</t>
        </is>
      </c>
      <c r="E195" s="7" t="inlineStr">
        <is>
          <t>C</t>
        </is>
      </c>
      <c r="F195" s="13" t="n">
        <v>1</v>
      </c>
      <c r="G195" s="13" t="n">
        <v>7</v>
      </c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7" t="inlineStr">
        <is>
          <t>SEM COTAÇÃO</t>
        </is>
      </c>
      <c r="U195" s="8" t="n"/>
      <c r="V195" s="14" t="n"/>
      <c r="W195" s="14" t="n"/>
      <c r="X195" s="7" t="inlineStr"/>
      <c r="Y195" s="7" t="inlineStr"/>
    </row>
    <row r="196">
      <c r="A196" s="7" t="n">
        <v>631571</v>
      </c>
      <c r="B196" s="12" t="inlineStr">
        <is>
          <t>7898652371967</t>
        </is>
      </c>
      <c r="C196" s="7" t="inlineStr">
        <is>
          <t>AGULHA HIPODERMICA 30X0,70MM</t>
        </is>
      </c>
      <c r="D196" s="7" t="inlineStr">
        <is>
          <t>UTENSILIOS</t>
        </is>
      </c>
      <c r="E196" s="7" t="inlineStr">
        <is>
          <t>C</t>
        </is>
      </c>
      <c r="F196" s="13" t="n">
        <v>1</v>
      </c>
      <c r="G196" s="13" t="n">
        <v>69</v>
      </c>
      <c r="H196" s="8" t="n">
        <v>0.14</v>
      </c>
      <c r="I196" s="8" t="n">
        <v>0.14</v>
      </c>
      <c r="J196" s="8" t="n">
        <v>0.14</v>
      </c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7" t="inlineStr">
        <is>
          <t>SEM COTAÇÃO</t>
        </is>
      </c>
      <c r="U196" s="8" t="n"/>
      <c r="V196" s="14" t="n"/>
      <c r="W196" s="14" t="n"/>
      <c r="X196" s="7" t="inlineStr"/>
      <c r="Y196" s="7" t="inlineStr"/>
    </row>
    <row r="197">
      <c r="A197" s="7" t="n">
        <v>593641</v>
      </c>
      <c r="B197" s="12" t="inlineStr">
        <is>
          <t>7898259491327</t>
        </is>
      </c>
      <c r="C197" s="7" t="inlineStr">
        <is>
          <t>AGULHA SR  0,7X25</t>
        </is>
      </c>
      <c r="D197" s="7" t="inlineStr">
        <is>
          <t>UTENSILIOS</t>
        </is>
      </c>
      <c r="E197" s="7" t="inlineStr">
        <is>
          <t>C</t>
        </is>
      </c>
      <c r="F197" s="13" t="n">
        <v>1</v>
      </c>
      <c r="G197" s="13" t="n">
        <v>1</v>
      </c>
      <c r="H197" s="8" t="n">
        <v>0.153</v>
      </c>
      <c r="I197" s="8" t="n">
        <v>0.153</v>
      </c>
      <c r="J197" s="8" t="n">
        <v>0.153</v>
      </c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7" t="inlineStr">
        <is>
          <t>SEM COTAÇÃO</t>
        </is>
      </c>
      <c r="U197" s="8" t="n"/>
      <c r="V197" s="14" t="n"/>
      <c r="W197" s="14" t="n"/>
      <c r="X197" s="7" t="inlineStr"/>
      <c r="Y197" s="7" t="inlineStr"/>
    </row>
    <row r="198">
      <c r="A198" s="7" t="n">
        <v>666901</v>
      </c>
      <c r="B198" s="12" t="inlineStr">
        <is>
          <t>78910348</t>
        </is>
      </c>
      <c r="C198" s="7" t="inlineStr">
        <is>
          <t>AGULHA VERMELHA</t>
        </is>
      </c>
      <c r="D198" s="7" t="inlineStr">
        <is>
          <t>UTENSILIOS</t>
        </is>
      </c>
      <c r="E198" s="7" t="inlineStr">
        <is>
          <t>C</t>
        </is>
      </c>
      <c r="F198" s="13" t="n">
        <v>1</v>
      </c>
      <c r="G198" s="13" t="n">
        <v>1</v>
      </c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15" t="n">
        <v>57</v>
      </c>
      <c r="R198" s="8" t="n"/>
      <c r="S198" s="8" t="n"/>
      <c r="T198" s="7" t="inlineStr">
        <is>
          <t>MEDCENTRO</t>
        </is>
      </c>
      <c r="U198" s="8" t="n">
        <v>57</v>
      </c>
      <c r="V198" s="14" t="n"/>
      <c r="W198" s="14" t="n"/>
      <c r="X198" s="7" t="inlineStr">
        <is>
          <t>SEM HISTÓRICO</t>
        </is>
      </c>
      <c r="Y198" s="7" t="inlineStr"/>
    </row>
    <row r="199">
      <c r="A199" s="7" t="n">
        <v>566661</v>
      </c>
      <c r="B199" s="12" t="inlineStr">
        <is>
          <t>7891317144166</t>
        </is>
      </c>
      <c r="C199" s="7" t="inlineStr">
        <is>
          <t>AIDE 3 200UI SOL OR FR 10ML</t>
        </is>
      </c>
      <c r="D199" s="7" t="inlineStr">
        <is>
          <t>RX - OTC</t>
        </is>
      </c>
      <c r="E199" s="7" t="inlineStr">
        <is>
          <t>A</t>
        </is>
      </c>
      <c r="F199" s="13" t="n">
        <v>3</v>
      </c>
      <c r="G199" s="13" t="n">
        <v>3</v>
      </c>
      <c r="H199" s="8" t="n">
        <v>44.56</v>
      </c>
      <c r="I199" s="8" t="n">
        <v>44.56</v>
      </c>
      <c r="J199" s="8" t="n">
        <v>44.56</v>
      </c>
      <c r="K199" s="8" t="n"/>
      <c r="L199" s="8" t="n"/>
      <c r="M199" s="8" t="n">
        <v>47.62</v>
      </c>
      <c r="N199" s="8" t="n"/>
      <c r="O199" s="15" t="n">
        <v>44.56</v>
      </c>
      <c r="P199" s="8" t="n">
        <v>51.842</v>
      </c>
      <c r="Q199" s="8" t="n"/>
      <c r="R199" s="8" t="n"/>
      <c r="S199" s="8" t="n"/>
      <c r="T199" s="7" t="inlineStr">
        <is>
          <t>TAPAJOS</t>
        </is>
      </c>
      <c r="U199" s="8" t="n">
        <v>44.56</v>
      </c>
      <c r="V199" s="14">
        <f>U199/J199-1</f>
        <v/>
      </c>
      <c r="W199" s="14">
        <f>U199/H199-1</f>
        <v/>
      </c>
      <c r="X199" s="17" t="inlineStr">
        <is>
          <t>OK (≤ menor hist.)</t>
        </is>
      </c>
      <c r="Y199" s="7" t="inlineStr"/>
    </row>
    <row r="200">
      <c r="A200" s="7" t="n">
        <v>605961</v>
      </c>
      <c r="B200" s="12" t="inlineStr">
        <is>
          <t>7896715600948</t>
        </is>
      </c>
      <c r="C200" s="7" t="inlineStr">
        <is>
          <t>ALBUMINA NATUROVOS CHOCOLATE 420G</t>
        </is>
      </c>
      <c r="D200" s="7" t="inlineStr">
        <is>
          <t>SUPLEMENTO</t>
        </is>
      </c>
      <c r="E200" s="7" t="inlineStr">
        <is>
          <t>C</t>
        </is>
      </c>
      <c r="F200" s="13" t="n">
        <v>1</v>
      </c>
      <c r="G200" s="13" t="n">
        <v>1</v>
      </c>
      <c r="H200" s="8" t="n">
        <v>39.58</v>
      </c>
      <c r="I200" s="8" t="n">
        <v>39.58</v>
      </c>
      <c r="J200" s="8" t="n">
        <v>39.58</v>
      </c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7" t="inlineStr">
        <is>
          <t>SEM COTAÇÃO</t>
        </is>
      </c>
      <c r="U200" s="8" t="n"/>
      <c r="V200" s="14" t="n"/>
      <c r="W200" s="14" t="n"/>
      <c r="X200" s="7" t="inlineStr"/>
      <c r="Y200" s="7" t="inlineStr"/>
    </row>
    <row r="201">
      <c r="A201" s="7" t="n">
        <v>198661</v>
      </c>
      <c r="B201" s="12" t="inlineStr">
        <is>
          <t>7896472515349</t>
        </is>
      </c>
      <c r="C201" s="7" t="inlineStr">
        <is>
          <t>ALCACHOFRA MULTILAB 200MG CX 30 COMP</t>
        </is>
      </c>
      <c r="D201" s="7" t="inlineStr">
        <is>
          <t>FITOTERAPICO</t>
        </is>
      </c>
      <c r="E201" s="7" t="inlineStr">
        <is>
          <t>C</t>
        </is>
      </c>
      <c r="F201" s="13" t="n">
        <v>1</v>
      </c>
      <c r="G201" s="13" t="n">
        <v>1</v>
      </c>
      <c r="H201" s="8" t="n">
        <v>11.0758</v>
      </c>
      <c r="I201" s="8" t="n">
        <v>11.0758</v>
      </c>
      <c r="J201" s="8" t="n">
        <v>11.0758</v>
      </c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7" t="inlineStr">
        <is>
          <t>SEM COTAÇÃO</t>
        </is>
      </c>
      <c r="U201" s="8" t="n"/>
      <c r="V201" s="14" t="n"/>
      <c r="W201" s="14" t="n"/>
      <c r="X201" s="7" t="inlineStr"/>
      <c r="Y201" s="7" t="inlineStr"/>
    </row>
    <row r="202">
      <c r="A202" s="7" t="n">
        <v>532221</v>
      </c>
      <c r="B202" s="12" t="inlineStr">
        <is>
          <t>7898031311010</t>
        </is>
      </c>
      <c r="C202" s="7" t="inlineStr">
        <is>
          <t>ALCOOL 70% SPRAY 50 ML</t>
        </is>
      </c>
      <c r="D202" s="7" t="inlineStr">
        <is>
          <t>USO INTERNO</t>
        </is>
      </c>
      <c r="E202" s="7" t="inlineStr">
        <is>
          <t>A</t>
        </is>
      </c>
      <c r="F202" s="13" t="n">
        <v>15</v>
      </c>
      <c r="G202" s="13" t="n">
        <v>15</v>
      </c>
      <c r="H202" s="8" t="n">
        <v>4.01</v>
      </c>
      <c r="I202" s="8" t="n">
        <v>4.01</v>
      </c>
      <c r="J202" s="8" t="n">
        <v>4.01</v>
      </c>
      <c r="K202" s="15" t="n">
        <v>4.24</v>
      </c>
      <c r="L202" s="8" t="n"/>
      <c r="M202" s="8" t="n"/>
      <c r="N202" s="8" t="n"/>
      <c r="O202" s="8" t="n"/>
      <c r="P202" s="8" t="n">
        <v>4.53</v>
      </c>
      <c r="Q202" s="8" t="n"/>
      <c r="R202" s="8" t="n"/>
      <c r="S202" s="8" t="n"/>
      <c r="T202" s="7" t="inlineStr">
        <is>
          <t>DIMEC</t>
        </is>
      </c>
      <c r="U202" s="8" t="n">
        <v>4.24</v>
      </c>
      <c r="V202" s="14">
        <f>U202/J202-1</f>
        <v/>
      </c>
      <c r="W202" s="14">
        <f>U202/H202-1</f>
        <v/>
      </c>
      <c r="X202" s="16" t="inlineStr">
        <is>
          <t>ACIMA +5.7%</t>
        </is>
      </c>
      <c r="Y202" s="7" t="inlineStr"/>
    </row>
    <row r="203">
      <c r="A203" s="7" t="n">
        <v>559941</v>
      </c>
      <c r="B203" s="12" t="inlineStr">
        <is>
          <t>7898179710775</t>
        </is>
      </c>
      <c r="C203" s="7" t="inlineStr">
        <is>
          <t>ALCOOL ETILICO 50ML</t>
        </is>
      </c>
      <c r="D203" s="7" t="inlineStr">
        <is>
          <t>PERF/COSME</t>
        </is>
      </c>
      <c r="E203" s="7" t="inlineStr">
        <is>
          <t>C</t>
        </is>
      </c>
      <c r="F203" s="13" t="n">
        <v>7</v>
      </c>
      <c r="G203" s="13" t="n">
        <v>7</v>
      </c>
      <c r="H203" s="8" t="n">
        <v>2.11</v>
      </c>
      <c r="I203" s="8" t="n">
        <v>2.11</v>
      </c>
      <c r="J203" s="8" t="n">
        <v>2.11</v>
      </c>
      <c r="K203" s="15" t="n">
        <v>2.43</v>
      </c>
      <c r="L203" s="8" t="n"/>
      <c r="M203" s="8" t="n"/>
      <c r="N203" s="8" t="n">
        <v>2.46</v>
      </c>
      <c r="O203" s="8" t="n"/>
      <c r="P203" s="8" t="n"/>
      <c r="Q203" s="8" t="n"/>
      <c r="R203" s="8" t="n"/>
      <c r="S203" s="8" t="n"/>
      <c r="T203" s="7" t="inlineStr">
        <is>
          <t>DIMEC</t>
        </is>
      </c>
      <c r="U203" s="8" t="n">
        <v>2.43</v>
      </c>
      <c r="V203" s="14">
        <f>U203/J203-1</f>
        <v/>
      </c>
      <c r="W203" s="14">
        <f>U203/H203-1</f>
        <v/>
      </c>
      <c r="X203" s="16" t="inlineStr">
        <is>
          <t>ACIMA +15.2%</t>
        </is>
      </c>
      <c r="Y203" s="7" t="inlineStr"/>
    </row>
    <row r="204">
      <c r="A204" s="7" t="n">
        <v>4353</v>
      </c>
      <c r="B204" s="12" t="inlineStr">
        <is>
          <t>7898582292257</t>
        </is>
      </c>
      <c r="C204" s="7" t="inlineStr">
        <is>
          <t>ALCOOL GEL 60ML UNIPROTEGE</t>
        </is>
      </c>
      <c r="D204" s="7" t="inlineStr">
        <is>
          <t>UTENSILIOS</t>
        </is>
      </c>
      <c r="E204" s="7" t="inlineStr">
        <is>
          <t>C</t>
        </is>
      </c>
      <c r="F204" s="13" t="n">
        <v>4</v>
      </c>
      <c r="G204" s="13" t="n">
        <v>4</v>
      </c>
      <c r="H204" s="8" t="n">
        <v>4.51</v>
      </c>
      <c r="I204" s="8" t="n">
        <v>4.51</v>
      </c>
      <c r="J204" s="8" t="n">
        <v>4.51</v>
      </c>
      <c r="K204" s="15" t="n">
        <v>5.17</v>
      </c>
      <c r="L204" s="8" t="n"/>
      <c r="M204" s="8" t="n"/>
      <c r="N204" s="8" t="n">
        <v>5.51</v>
      </c>
      <c r="O204" s="8" t="n"/>
      <c r="P204" s="8" t="n"/>
      <c r="Q204" s="8" t="n"/>
      <c r="R204" s="8" t="n"/>
      <c r="S204" s="8" t="n"/>
      <c r="T204" s="7" t="inlineStr">
        <is>
          <t>DIMEC</t>
        </is>
      </c>
      <c r="U204" s="8" t="n">
        <v>5.17</v>
      </c>
      <c r="V204" s="14">
        <f>U204/J204-1</f>
        <v/>
      </c>
      <c r="W204" s="14">
        <f>U204/H204-1</f>
        <v/>
      </c>
      <c r="X204" s="16" t="inlineStr">
        <is>
          <t>ACIMA +14.6%</t>
        </is>
      </c>
      <c r="Y204" s="7" t="inlineStr"/>
    </row>
    <row r="205">
      <c r="A205" s="7" t="n">
        <v>571901</v>
      </c>
      <c r="B205" s="12" t="inlineStr">
        <is>
          <t>7898582291694</t>
        </is>
      </c>
      <c r="C205" s="7" t="inlineStr">
        <is>
          <t>ALCOOL GEL 70% PERFUMAD COM MICROES 60ML</t>
        </is>
      </c>
      <c r="D205" s="7" t="inlineStr">
        <is>
          <t>SIMILAR</t>
        </is>
      </c>
      <c r="E205" s="7" t="inlineStr">
        <is>
          <t>C</t>
        </is>
      </c>
      <c r="F205" s="13" t="n">
        <v>4</v>
      </c>
      <c r="G205" s="13" t="n">
        <v>4</v>
      </c>
      <c r="H205" s="8" t="n">
        <v>5.59</v>
      </c>
      <c r="I205" s="8" t="n">
        <v>5.39</v>
      </c>
      <c r="J205" s="8" t="n">
        <v>5.523333333333333</v>
      </c>
      <c r="K205" s="15" t="n">
        <v>5.6</v>
      </c>
      <c r="L205" s="8" t="n"/>
      <c r="M205" s="8" t="n"/>
      <c r="N205" s="8" t="n">
        <v>5.89</v>
      </c>
      <c r="O205" s="8" t="n"/>
      <c r="P205" s="8" t="n"/>
      <c r="Q205" s="8" t="n"/>
      <c r="R205" s="8" t="n"/>
      <c r="S205" s="8" t="n"/>
      <c r="T205" s="7" t="inlineStr">
        <is>
          <t>DIMEC</t>
        </is>
      </c>
      <c r="U205" s="8" t="n">
        <v>5.6</v>
      </c>
      <c r="V205" s="14">
        <f>U205/J205-1</f>
        <v/>
      </c>
      <c r="W205" s="14">
        <f>U205/H205-1</f>
        <v/>
      </c>
      <c r="X205" s="16" t="inlineStr">
        <is>
          <t>ACIMA +0.2%</t>
        </is>
      </c>
      <c r="Y205" s="7" t="inlineStr"/>
    </row>
    <row r="206">
      <c r="A206" s="7" t="n">
        <v>666061</v>
      </c>
      <c r="B206" s="12" t="inlineStr">
        <is>
          <t>618231154715</t>
        </is>
      </c>
      <c r="C206" s="7" t="inlineStr">
        <is>
          <t>ALCOOL GEL ANTISSEPTICO SPRAY COM ALOE VERA 50ML</t>
        </is>
      </c>
      <c r="D206" s="7" t="inlineStr">
        <is>
          <t>UTENSILIOS</t>
        </is>
      </c>
      <c r="E206" s="7" t="inlineStr">
        <is>
          <t>C</t>
        </is>
      </c>
      <c r="F206" s="13" t="n">
        <v>1</v>
      </c>
      <c r="G206" s="13" t="n">
        <v>1</v>
      </c>
      <c r="H206" s="8" t="n">
        <v>2.89</v>
      </c>
      <c r="I206" s="8" t="n">
        <v>2.89</v>
      </c>
      <c r="J206" s="8" t="n">
        <v>2.89</v>
      </c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7" t="inlineStr">
        <is>
          <t>SEM COTAÇÃO</t>
        </is>
      </c>
      <c r="U206" s="8" t="n"/>
      <c r="V206" s="14" t="n"/>
      <c r="W206" s="14" t="n"/>
      <c r="X206" s="7" t="inlineStr"/>
      <c r="Y206" s="7" t="inlineStr"/>
    </row>
    <row r="207">
      <c r="A207" s="7" t="n">
        <v>532241</v>
      </c>
      <c r="B207" s="12" t="inlineStr">
        <is>
          <t>7898031310198</t>
        </is>
      </c>
      <c r="C207" s="7" t="inlineStr">
        <is>
          <t>ALCOOL IODADO 1% 100ML</t>
        </is>
      </c>
      <c r="D207" s="7" t="inlineStr">
        <is>
          <t>CURATIVO</t>
        </is>
      </c>
      <c r="E207" s="7" t="inlineStr">
        <is>
          <t>A</t>
        </is>
      </c>
      <c r="F207" s="13" t="n">
        <v>11</v>
      </c>
      <c r="G207" s="13" t="n">
        <v>11</v>
      </c>
      <c r="H207" s="8" t="n">
        <v>3.91</v>
      </c>
      <c r="I207" s="8" t="n">
        <v>3.66</v>
      </c>
      <c r="J207" s="8" t="n">
        <v>3.826666666666667</v>
      </c>
      <c r="K207" s="15" t="n">
        <v>4.17</v>
      </c>
      <c r="L207" s="8" t="n"/>
      <c r="M207" s="8" t="n"/>
      <c r="N207" s="8" t="n">
        <v>4.23</v>
      </c>
      <c r="O207" s="8" t="n"/>
      <c r="P207" s="8" t="n">
        <v>4.46</v>
      </c>
      <c r="Q207" s="8" t="n">
        <v>4.54</v>
      </c>
      <c r="R207" s="8" t="n"/>
      <c r="S207" s="8" t="n"/>
      <c r="T207" s="7" t="inlineStr">
        <is>
          <t>DIMEC</t>
        </is>
      </c>
      <c r="U207" s="8" t="n">
        <v>4.17</v>
      </c>
      <c r="V207" s="14">
        <f>U207/J207-1</f>
        <v/>
      </c>
      <c r="W207" s="14">
        <f>U207/H207-1</f>
        <v/>
      </c>
      <c r="X207" s="16" t="inlineStr">
        <is>
          <t>ACIMA +6.6%</t>
        </is>
      </c>
      <c r="Y207" s="7" t="inlineStr"/>
    </row>
    <row r="208">
      <c r="A208" s="7" t="n">
        <v>203301</v>
      </c>
      <c r="B208" s="12" t="inlineStr"/>
      <c r="C208" s="7" t="inlineStr">
        <is>
          <t>ALERADINA 5MG CX 10 COMP REV</t>
        </is>
      </c>
      <c r="D208" s="7" t="inlineStr">
        <is>
          <t>SIMILAR</t>
        </is>
      </c>
      <c r="E208" s="7" t="inlineStr">
        <is>
          <t>A</t>
        </is>
      </c>
      <c r="F208" s="13" t="n">
        <v>15</v>
      </c>
      <c r="G208" s="13" t="n">
        <v>15</v>
      </c>
      <c r="H208" s="8" t="n">
        <v>4.96</v>
      </c>
      <c r="I208" s="8" t="n">
        <v>4.96</v>
      </c>
      <c r="J208" s="8" t="n">
        <v>4.96</v>
      </c>
      <c r="K208" s="8" t="n"/>
      <c r="L208" s="8" t="n"/>
      <c r="M208" s="8" t="n"/>
      <c r="N208" s="8" t="n"/>
      <c r="O208" s="8" t="n"/>
      <c r="P208" s="8" t="n"/>
      <c r="Q208" s="8" t="n"/>
      <c r="R208" s="15" t="n">
        <v>4.92</v>
      </c>
      <c r="S208" s="8" t="n"/>
      <c r="T208" s="7" t="inlineStr">
        <is>
          <t>BRASFARMA</t>
        </is>
      </c>
      <c r="U208" s="8" t="n">
        <v>4.92</v>
      </c>
      <c r="V208" s="14">
        <f>U208/J208-1</f>
        <v/>
      </c>
      <c r="W208" s="14">
        <f>U208/H208-1</f>
        <v/>
      </c>
      <c r="X208" s="17" t="inlineStr">
        <is>
          <t>OK (≤ menor hist.)</t>
        </is>
      </c>
      <c r="Y208" s="7" t="inlineStr"/>
    </row>
    <row r="209">
      <c r="A209" s="7" t="n">
        <v>331061</v>
      </c>
      <c r="B209" s="12" t="inlineStr">
        <is>
          <t>7896523209715</t>
        </is>
      </c>
      <c r="C209" s="7" t="inlineStr">
        <is>
          <t>ALERGOMINE 10MG/G CREME BG 30G</t>
        </is>
      </c>
      <c r="D209" s="7" t="inlineStr">
        <is>
          <t>SIMILAR</t>
        </is>
      </c>
      <c r="E209" s="7" t="inlineStr">
        <is>
          <t>C</t>
        </is>
      </c>
      <c r="F209" s="13" t="n">
        <v>5</v>
      </c>
      <c r="G209" s="13" t="n">
        <v>5</v>
      </c>
      <c r="H209" s="8" t="n">
        <v>6.89</v>
      </c>
      <c r="I209" s="8" t="n">
        <v>6.89</v>
      </c>
      <c r="J209" s="8" t="n">
        <v>6.89</v>
      </c>
      <c r="K209" s="15" t="n">
        <v>6.55</v>
      </c>
      <c r="L209" s="8" t="n"/>
      <c r="M209" s="8" t="n"/>
      <c r="N209" s="8" t="n"/>
      <c r="O209" s="8" t="n"/>
      <c r="P209" s="8" t="n">
        <v>17</v>
      </c>
      <c r="Q209" s="8" t="n"/>
      <c r="R209" s="8" t="n"/>
      <c r="S209" s="8" t="n"/>
      <c r="T209" s="7" t="inlineStr">
        <is>
          <t>DIMEC</t>
        </is>
      </c>
      <c r="U209" s="8" t="n">
        <v>6.55</v>
      </c>
      <c r="V209" s="14">
        <f>U209/J209-1</f>
        <v/>
      </c>
      <c r="W209" s="14">
        <f>U209/H209-1</f>
        <v/>
      </c>
      <c r="X209" s="17" t="inlineStr">
        <is>
          <t>OK (≤ menor hist.)</t>
        </is>
      </c>
      <c r="Y209" s="7" t="inlineStr">
        <is>
          <t>NAZARIA: sem estoque; conferir emb.</t>
        </is>
      </c>
    </row>
    <row r="210">
      <c r="A210" s="7" t="n">
        <v>626661</v>
      </c>
      <c r="B210" s="12" t="inlineStr">
        <is>
          <t>7896523201870</t>
        </is>
      </c>
      <c r="C210" s="7" t="inlineStr">
        <is>
          <t>ALERGOMINE 2MG CX 20 COMP REV</t>
        </is>
      </c>
      <c r="D210" s="7" t="inlineStr">
        <is>
          <t>SIMILAR</t>
        </is>
      </c>
      <c r="E210" s="7" t="inlineStr">
        <is>
          <t>C</t>
        </is>
      </c>
      <c r="F210" s="13" t="n">
        <v>1</v>
      </c>
      <c r="G210" s="13" t="n">
        <v>1</v>
      </c>
      <c r="H210" s="8" t="n">
        <v>3.49</v>
      </c>
      <c r="I210" s="8" t="n">
        <v>3.49</v>
      </c>
      <c r="J210" s="8" t="n">
        <v>3.49</v>
      </c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7" t="inlineStr">
        <is>
          <t>SEM COTAÇÃO</t>
        </is>
      </c>
      <c r="U210" s="8" t="n"/>
      <c r="V210" s="14" t="n"/>
      <c r="W210" s="14" t="n"/>
      <c r="X210" s="7" t="inlineStr"/>
      <c r="Y210" s="7" t="inlineStr"/>
    </row>
    <row r="211">
      <c r="A211" s="7" t="n">
        <v>704701</v>
      </c>
      <c r="B211" s="12" t="inlineStr">
        <is>
          <t>7898067951266</t>
        </is>
      </c>
      <c r="C211" s="7" t="inlineStr">
        <is>
          <t>ALG EM DISCO CLIN OFF C 50</t>
        </is>
      </c>
      <c r="D211" s="7" t="inlineStr">
        <is>
          <t>UTENSILIOS</t>
        </is>
      </c>
      <c r="E211" s="7" t="inlineStr">
        <is>
          <t>B</t>
        </is>
      </c>
      <c r="F211" s="13" t="n">
        <v>2</v>
      </c>
      <c r="G211" s="13" t="n">
        <v>2</v>
      </c>
      <c r="H211" s="8" t="n">
        <v>7.7004</v>
      </c>
      <c r="I211" s="8" t="n">
        <v>7.7004</v>
      </c>
      <c r="J211" s="8" t="n">
        <v>7.700399999999999</v>
      </c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7" t="inlineStr">
        <is>
          <t>SEM COTAÇÃO</t>
        </is>
      </c>
      <c r="U211" s="8" t="n"/>
      <c r="V211" s="14" t="n"/>
      <c r="W211" s="14" t="n"/>
      <c r="X211" s="7" t="inlineStr"/>
      <c r="Y211" s="7" t="inlineStr"/>
    </row>
    <row r="212">
      <c r="A212" s="7" t="n">
        <v>21</v>
      </c>
      <c r="B212" s="12" t="inlineStr">
        <is>
          <t>7908020502517</t>
        </is>
      </c>
      <c r="C212" s="7" t="inlineStr">
        <is>
          <t>ALGESTONA 150+10MG/ML SOL INJ AMP 1ML</t>
        </is>
      </c>
      <c r="D212" s="7" t="inlineStr">
        <is>
          <t>GENERICO</t>
        </is>
      </c>
      <c r="E212" s="7" t="inlineStr">
        <is>
          <t>C</t>
        </is>
      </c>
      <c r="F212" s="13" t="n">
        <v>6</v>
      </c>
      <c r="G212" s="13" t="n">
        <v>6</v>
      </c>
      <c r="H212" s="8" t="n">
        <v>8.789999999999999</v>
      </c>
      <c r="I212" s="8" t="n">
        <v>8.789999999999999</v>
      </c>
      <c r="J212" s="8" t="n">
        <v>8.789999999999999</v>
      </c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7" t="inlineStr">
        <is>
          <t>SEM COTAÇÃO</t>
        </is>
      </c>
      <c r="U212" s="8" t="n"/>
      <c r="V212" s="14" t="n"/>
      <c r="W212" s="14" t="n"/>
      <c r="X212" s="7" t="inlineStr"/>
      <c r="Y212" s="7" t="inlineStr"/>
    </row>
    <row r="213">
      <c r="A213" s="7" t="n">
        <v>367361</v>
      </c>
      <c r="B213" s="12" t="inlineStr"/>
      <c r="C213" s="7" t="inlineStr">
        <is>
          <t>ALGINAC 1,0+100,0+100,0MG CX 10 COMP REV LIB RETARD</t>
        </is>
      </c>
      <c r="D213" s="7" t="inlineStr">
        <is>
          <t>RX</t>
        </is>
      </c>
      <c r="E213" s="7" t="inlineStr">
        <is>
          <t>A</t>
        </is>
      </c>
      <c r="F213" s="13" t="n">
        <v>7</v>
      </c>
      <c r="G213" s="13" t="n">
        <v>7</v>
      </c>
      <c r="H213" s="8" t="n">
        <v>51.9467</v>
      </c>
      <c r="I213" s="8" t="n">
        <v>43.42</v>
      </c>
      <c r="J213" s="8" t="n">
        <v>48.25243333333333</v>
      </c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7" t="inlineStr">
        <is>
          <t>SEM COTAÇÃO</t>
        </is>
      </c>
      <c r="U213" s="8" t="n"/>
      <c r="V213" s="14" t="n"/>
      <c r="W213" s="14" t="n"/>
      <c r="X213" s="7" t="inlineStr"/>
      <c r="Y213" s="7" t="inlineStr"/>
    </row>
    <row r="214">
      <c r="A214" s="7" t="n">
        <v>367401</v>
      </c>
      <c r="B214" s="12" t="inlineStr"/>
      <c r="C214" s="7" t="inlineStr">
        <is>
          <t>ALGINAC 1,0+50,0+50,0MG CX 15 COMP</t>
        </is>
      </c>
      <c r="D214" s="7" t="inlineStr">
        <is>
          <t>RX</t>
        </is>
      </c>
      <c r="E214" s="7" t="inlineStr">
        <is>
          <t>A</t>
        </is>
      </c>
      <c r="F214" s="13" t="n">
        <v>10</v>
      </c>
      <c r="G214" s="13" t="n">
        <v>10</v>
      </c>
      <c r="H214" s="8" t="n">
        <v>25.7888</v>
      </c>
      <c r="I214" s="8" t="n">
        <v>22.0473</v>
      </c>
      <c r="J214" s="8" t="n">
        <v>24.30336666666667</v>
      </c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7" t="inlineStr">
        <is>
          <t>SEM COTAÇÃO</t>
        </is>
      </c>
      <c r="U214" s="8" t="n"/>
      <c r="V214" s="14" t="n"/>
      <c r="W214" s="14" t="n"/>
      <c r="X214" s="7" t="inlineStr"/>
      <c r="Y214" s="7" t="inlineStr"/>
    </row>
    <row r="215">
      <c r="A215" s="7" t="n">
        <v>367421</v>
      </c>
      <c r="B215" s="12" t="inlineStr">
        <is>
          <t>7891721029646</t>
        </is>
      </c>
      <c r="C215" s="7" t="inlineStr">
        <is>
          <t>ALGINAC 1,0+50,0+50,0MG CX 30 CP</t>
        </is>
      </c>
      <c r="D215" s="7" t="inlineStr">
        <is>
          <t>RX</t>
        </is>
      </c>
      <c r="E215" s="7" t="inlineStr">
        <is>
          <t>A</t>
        </is>
      </c>
      <c r="F215" s="13" t="n">
        <v>1</v>
      </c>
      <c r="G215" s="13" t="n">
        <v>1</v>
      </c>
      <c r="H215" s="8" t="n">
        <v>50.34</v>
      </c>
      <c r="I215" s="8" t="n">
        <v>45.91</v>
      </c>
      <c r="J215" s="8" t="n">
        <v>48.86333333333334</v>
      </c>
      <c r="K215" s="8" t="n"/>
      <c r="L215" s="8" t="n"/>
      <c r="M215" s="8" t="n"/>
      <c r="N215" s="8" t="n"/>
      <c r="O215" s="8" t="n"/>
      <c r="P215" s="8" t="n">
        <v>53.7795</v>
      </c>
      <c r="Q215" s="8" t="n"/>
      <c r="R215" s="8" t="n"/>
      <c r="S215" s="8" t="n"/>
      <c r="T215" s="7" t="inlineStr">
        <is>
          <t>SEM COTAÇÃO</t>
        </is>
      </c>
      <c r="U215" s="8" t="n"/>
      <c r="V215" s="14" t="n"/>
      <c r="W215" s="14" t="n"/>
      <c r="X215" s="7" t="inlineStr"/>
      <c r="Y215" s="7" t="inlineStr">
        <is>
          <t>NAZARIA: sem estoque</t>
        </is>
      </c>
    </row>
    <row r="216">
      <c r="A216" s="7" t="n">
        <v>608061</v>
      </c>
      <c r="B216" s="12" t="inlineStr">
        <is>
          <t>7898095296094</t>
        </is>
      </c>
      <c r="C216" s="7" t="inlineStr">
        <is>
          <t>ALGODAO DIA A DIA BOLA BRANCA 50G</t>
        </is>
      </c>
      <c r="D216" s="7" t="inlineStr">
        <is>
          <t>PERF/COSME</t>
        </is>
      </c>
      <c r="E216" s="7" t="inlineStr">
        <is>
          <t>C</t>
        </is>
      </c>
      <c r="F216" s="13" t="n">
        <v>1</v>
      </c>
      <c r="G216" s="13" t="n">
        <v>1</v>
      </c>
      <c r="H216" s="8" t="n">
        <v>5.15</v>
      </c>
      <c r="I216" s="8" t="n">
        <v>5.15</v>
      </c>
      <c r="J216" s="8" t="n">
        <v>5.15</v>
      </c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7" t="inlineStr">
        <is>
          <t>SEM COTAÇÃO</t>
        </is>
      </c>
      <c r="U216" s="8" t="n"/>
      <c r="V216" s="14" t="n"/>
      <c r="W216" s="14" t="n"/>
      <c r="X216" s="7" t="inlineStr"/>
      <c r="Y216" s="7" t="inlineStr"/>
    </row>
    <row r="217">
      <c r="A217" s="7" t="n">
        <v>612891</v>
      </c>
      <c r="B217" s="12" t="inlineStr">
        <is>
          <t>7898095297954</t>
        </is>
      </c>
      <c r="C217" s="7" t="inlineStr">
        <is>
          <t>ALGODAO DIA A DIA LIMPEZA FACIAL DISCO 48X37G</t>
        </is>
      </c>
      <c r="D217" s="7" t="inlineStr">
        <is>
          <t>PERF/COSME</t>
        </is>
      </c>
      <c r="E217" s="7" t="inlineStr">
        <is>
          <t>C</t>
        </is>
      </c>
      <c r="F217" s="13" t="n">
        <v>3</v>
      </c>
      <c r="G217" s="13" t="n">
        <v>3</v>
      </c>
      <c r="H217" s="8" t="n">
        <v>7.59</v>
      </c>
      <c r="I217" s="8" t="n">
        <v>7.59</v>
      </c>
      <c r="J217" s="8" t="n">
        <v>7.59</v>
      </c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7" t="inlineStr">
        <is>
          <t>SEM COTAÇÃO</t>
        </is>
      </c>
      <c r="U217" s="8" t="n"/>
      <c r="V217" s="14" t="n"/>
      <c r="W217" s="14" t="n"/>
      <c r="X217" s="7" t="inlineStr"/>
      <c r="Y217" s="7" t="inlineStr"/>
    </row>
    <row r="218">
      <c r="A218" s="7" t="n">
        <v>545281</v>
      </c>
      <c r="B218" s="12" t="inlineStr">
        <is>
          <t>7896227620113</t>
        </is>
      </c>
      <c r="C218" s="7" t="inlineStr">
        <is>
          <t>ALGODAO EM BOLAS FAM. COTTON 50G</t>
        </is>
      </c>
      <c r="D218" s="7" t="inlineStr">
        <is>
          <t>PERF/COSME</t>
        </is>
      </c>
      <c r="E218" s="7" t="inlineStr">
        <is>
          <t>C</t>
        </is>
      </c>
      <c r="F218" s="13" t="n">
        <v>2</v>
      </c>
      <c r="G218" s="13" t="n">
        <v>2</v>
      </c>
      <c r="H218" s="8" t="n">
        <v>5.55</v>
      </c>
      <c r="I218" s="8" t="n">
        <v>5.55</v>
      </c>
      <c r="J218" s="8" t="n">
        <v>5.55</v>
      </c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7" t="inlineStr">
        <is>
          <t>SEM COTAÇÃO</t>
        </is>
      </c>
      <c r="U218" s="8" t="n"/>
      <c r="V218" s="14" t="n"/>
      <c r="W218" s="14" t="n"/>
      <c r="X218" s="7" t="inlineStr"/>
      <c r="Y218" s="7" t="inlineStr"/>
    </row>
    <row r="219">
      <c r="A219" s="7" t="n">
        <v>620041</v>
      </c>
      <c r="B219" s="12" t="inlineStr">
        <is>
          <t>7898136150897</t>
        </is>
      </c>
      <c r="C219" s="7" t="inlineStr">
        <is>
          <t>ALGODAO NATHY DISCO 50UND</t>
        </is>
      </c>
      <c r="D219" s="7" t="inlineStr">
        <is>
          <t>PERF/COSME</t>
        </is>
      </c>
      <c r="E219" s="7" t="inlineStr">
        <is>
          <t>A</t>
        </is>
      </c>
      <c r="F219" s="13" t="n">
        <v>9</v>
      </c>
      <c r="G219" s="13" t="n">
        <v>9</v>
      </c>
      <c r="H219" s="8" t="n">
        <v>5.09</v>
      </c>
      <c r="I219" s="8" t="n">
        <v>5.07</v>
      </c>
      <c r="J219" s="8" t="n">
        <v>5.083333333333333</v>
      </c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7" t="inlineStr">
        <is>
          <t>SEM COTAÇÃO</t>
        </is>
      </c>
      <c r="U219" s="8" t="n"/>
      <c r="V219" s="14" t="n"/>
      <c r="W219" s="14" t="n"/>
      <c r="X219" s="7" t="inlineStr"/>
      <c r="Y219" s="7" t="inlineStr"/>
    </row>
    <row r="220">
      <c r="A220" s="7" t="n">
        <v>620021</v>
      </c>
      <c r="B220" s="12" t="inlineStr">
        <is>
          <t>7898136150019</t>
        </is>
      </c>
      <c r="C220" s="7" t="inlineStr">
        <is>
          <t>ALGODAO NATHY MULTIUSO 25G</t>
        </is>
      </c>
      <c r="D220" s="7" t="inlineStr">
        <is>
          <t>PERF/COSME</t>
        </is>
      </c>
      <c r="E220" s="7" t="inlineStr">
        <is>
          <t>A</t>
        </is>
      </c>
      <c r="F220" s="13" t="n">
        <v>63</v>
      </c>
      <c r="G220" s="13" t="n">
        <v>63</v>
      </c>
      <c r="H220" s="8" t="n">
        <v>1.38</v>
      </c>
      <c r="I220" s="8" t="n">
        <v>1.38</v>
      </c>
      <c r="J220" s="8" t="n">
        <v>1.38</v>
      </c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7" t="inlineStr">
        <is>
          <t>SEM COTAÇÃO</t>
        </is>
      </c>
      <c r="U220" s="8" t="n"/>
      <c r="V220" s="14" t="n"/>
      <c r="W220" s="14" t="n"/>
      <c r="X220" s="7" t="inlineStr"/>
      <c r="Y220" s="7" t="inlineStr"/>
    </row>
    <row r="221">
      <c r="A221" s="7" t="n">
        <v>562421</v>
      </c>
      <c r="B221" s="12" t="inlineStr">
        <is>
          <t>7894488000019</t>
        </is>
      </c>
      <c r="C221" s="7" t="inlineStr">
        <is>
          <t>ALGODAO SPARTERX MULTIUSO 25G</t>
        </is>
      </c>
      <c r="D221" s="7" t="inlineStr">
        <is>
          <t>PERF/COSME</t>
        </is>
      </c>
      <c r="E221" s="7" t="inlineStr">
        <is>
          <t>B</t>
        </is>
      </c>
      <c r="F221" s="13" t="n">
        <v>25</v>
      </c>
      <c r="G221" s="13" t="n">
        <v>25</v>
      </c>
      <c r="H221" s="8" t="n">
        <v>1.09</v>
      </c>
      <c r="I221" s="8" t="n">
        <v>1.09</v>
      </c>
      <c r="J221" s="8" t="n">
        <v>1.09</v>
      </c>
      <c r="K221" s="15" t="n">
        <v>1.09</v>
      </c>
      <c r="L221" s="8" t="n"/>
      <c r="M221" s="8" t="n"/>
      <c r="N221" s="8" t="n"/>
      <c r="O221" s="8" t="n"/>
      <c r="P221" s="8" t="n"/>
      <c r="Q221" s="8" t="n"/>
      <c r="R221" s="8" t="n"/>
      <c r="S221" s="8" t="n"/>
      <c r="T221" s="7" t="inlineStr">
        <is>
          <t>DIMEC</t>
        </is>
      </c>
      <c r="U221" s="8" t="n">
        <v>1.09</v>
      </c>
      <c r="V221" s="14">
        <f>U221/J221-1</f>
        <v/>
      </c>
      <c r="W221" s="14">
        <f>U221/H221-1</f>
        <v/>
      </c>
      <c r="X221" s="17" t="inlineStr">
        <is>
          <t>OK (≤ menor hist.)</t>
        </is>
      </c>
      <c r="Y221" s="7" t="inlineStr"/>
    </row>
    <row r="222">
      <c r="A222" s="7" t="n">
        <v>656411</v>
      </c>
      <c r="B222" s="12" t="inlineStr">
        <is>
          <t>7891060894509</t>
        </is>
      </c>
      <c r="C222" s="7" t="inlineStr">
        <is>
          <t>ALIC CUT MUNDIAL+ESPAT SANDY 756-S AMAR</t>
        </is>
      </c>
      <c r="D222" s="7" t="inlineStr">
        <is>
          <t>UTENSILIOS</t>
        </is>
      </c>
      <c r="E222" s="7" t="inlineStr">
        <is>
          <t>C</t>
        </is>
      </c>
      <c r="F222" s="13" t="n">
        <v>1</v>
      </c>
      <c r="G222" s="13" t="n">
        <v>1</v>
      </c>
      <c r="H222" s="8" t="n">
        <v>9.77</v>
      </c>
      <c r="I222" s="8" t="n">
        <v>9.77</v>
      </c>
      <c r="J222" s="8" t="n">
        <v>9.77</v>
      </c>
      <c r="K222" s="8" t="n"/>
      <c r="L222" s="8" t="n"/>
      <c r="M222" s="8" t="n"/>
      <c r="N222" s="8" t="n"/>
      <c r="O222" s="8" t="n"/>
      <c r="P222" s="8" t="n"/>
      <c r="Q222" s="8" t="n"/>
      <c r="R222" s="8" t="n"/>
      <c r="S222" s="8" t="n"/>
      <c r="T222" s="7" t="inlineStr">
        <is>
          <t>SEM COTAÇÃO</t>
        </is>
      </c>
      <c r="U222" s="8" t="n"/>
      <c r="V222" s="14" t="n"/>
      <c r="W222" s="14" t="n"/>
      <c r="X222" s="7" t="inlineStr"/>
      <c r="Y222" s="7" t="inlineStr"/>
    </row>
    <row r="223">
      <c r="A223" s="7" t="n">
        <v>656421</v>
      </c>
      <c r="B223" s="12" t="inlineStr">
        <is>
          <t>7891060894493</t>
        </is>
      </c>
      <c r="C223" s="7" t="inlineStr">
        <is>
          <t>ALIC CUT MUNDIAL+ESPAT SANDY 756-S LILAS</t>
        </is>
      </c>
      <c r="D223" s="7" t="inlineStr">
        <is>
          <t>UTENSILIOS</t>
        </is>
      </c>
      <c r="E223" s="7" t="inlineStr">
        <is>
          <t>C</t>
        </is>
      </c>
      <c r="F223" s="13" t="n">
        <v>1</v>
      </c>
      <c r="G223" s="13" t="n">
        <v>1</v>
      </c>
      <c r="H223" s="8" t="n">
        <v>9.77</v>
      </c>
      <c r="I223" s="8" t="n">
        <v>9.77</v>
      </c>
      <c r="J223" s="8" t="n">
        <v>9.77</v>
      </c>
      <c r="K223" s="8" t="n"/>
      <c r="L223" s="8" t="n"/>
      <c r="M223" s="8" t="n"/>
      <c r="N223" s="8" t="n"/>
      <c r="O223" s="8" t="n"/>
      <c r="P223" s="8" t="n"/>
      <c r="Q223" s="8" t="n"/>
      <c r="R223" s="8" t="n"/>
      <c r="S223" s="8" t="n"/>
      <c r="T223" s="7" t="inlineStr">
        <is>
          <t>SEM COTAÇÃO</t>
        </is>
      </c>
      <c r="U223" s="8" t="n"/>
      <c r="V223" s="14" t="n"/>
      <c r="W223" s="14" t="n"/>
      <c r="X223" s="7" t="inlineStr"/>
      <c r="Y223" s="7" t="inlineStr"/>
    </row>
    <row r="224">
      <c r="A224" s="7" t="n">
        <v>656431</v>
      </c>
      <c r="B224" s="12" t="inlineStr">
        <is>
          <t>7891060894486</t>
        </is>
      </c>
      <c r="C224" s="7" t="inlineStr">
        <is>
          <t>ALIC CUT MUNDIAL+ESPAT SANDY 756-S ROSA</t>
        </is>
      </c>
      <c r="D224" s="7" t="inlineStr">
        <is>
          <t>UTENSILIOS</t>
        </is>
      </c>
      <c r="E224" s="7" t="inlineStr">
        <is>
          <t>C</t>
        </is>
      </c>
      <c r="F224" s="13" t="n">
        <v>1</v>
      </c>
      <c r="G224" s="13" t="n">
        <v>1</v>
      </c>
      <c r="H224" s="8" t="n">
        <v>9.77</v>
      </c>
      <c r="I224" s="8" t="n">
        <v>9.77</v>
      </c>
      <c r="J224" s="8" t="n">
        <v>9.77</v>
      </c>
      <c r="K224" s="8" t="n"/>
      <c r="L224" s="8" t="n"/>
      <c r="M224" s="8" t="n"/>
      <c r="N224" s="8" t="n"/>
      <c r="O224" s="8" t="n"/>
      <c r="P224" s="8" t="n"/>
      <c r="Q224" s="8" t="n"/>
      <c r="R224" s="8" t="n"/>
      <c r="S224" s="8" t="n"/>
      <c r="T224" s="7" t="inlineStr">
        <is>
          <t>SEM COTAÇÃO</t>
        </is>
      </c>
      <c r="U224" s="8" t="n"/>
      <c r="V224" s="14" t="n"/>
      <c r="W224" s="14" t="n"/>
      <c r="X224" s="7" t="inlineStr"/>
      <c r="Y224" s="7" t="inlineStr"/>
    </row>
    <row r="225">
      <c r="A225" s="7" t="n">
        <v>656441</v>
      </c>
      <c r="B225" s="12" t="inlineStr">
        <is>
          <t>7891060894516</t>
        </is>
      </c>
      <c r="C225" s="7" t="inlineStr">
        <is>
          <t>ALIC CUT MUNDIAL+ESPAT SANDY 756-S VERDE</t>
        </is>
      </c>
      <c r="D225" s="7" t="inlineStr">
        <is>
          <t>UTENSILIOS</t>
        </is>
      </c>
      <c r="E225" s="7" t="inlineStr">
        <is>
          <t>C</t>
        </is>
      </c>
      <c r="F225" s="13" t="n">
        <v>1</v>
      </c>
      <c r="G225" s="13" t="n">
        <v>1</v>
      </c>
      <c r="H225" s="8" t="n">
        <v>9.77</v>
      </c>
      <c r="I225" s="8" t="n">
        <v>9.77</v>
      </c>
      <c r="J225" s="8" t="n">
        <v>9.77</v>
      </c>
      <c r="K225" s="8" t="n"/>
      <c r="L225" s="8" t="n"/>
      <c r="M225" s="8" t="n"/>
      <c r="N225" s="8" t="n"/>
      <c r="O225" s="8" t="n"/>
      <c r="P225" s="8" t="n"/>
      <c r="Q225" s="8" t="n"/>
      <c r="R225" s="8" t="n"/>
      <c r="S225" s="8" t="n"/>
      <c r="T225" s="7" t="inlineStr">
        <is>
          <t>SEM COTAÇÃO</t>
        </is>
      </c>
      <c r="U225" s="8" t="n"/>
      <c r="V225" s="14" t="n"/>
      <c r="W225" s="14" t="n"/>
      <c r="X225" s="7" t="inlineStr"/>
      <c r="Y225" s="7" t="inlineStr"/>
    </row>
    <row r="226">
      <c r="A226" s="7" t="n">
        <v>618591</v>
      </c>
      <c r="B226" s="12" t="inlineStr">
        <is>
          <t>7897517917272</t>
        </is>
      </c>
      <c r="C226" s="7" t="inlineStr">
        <is>
          <t>ALICATE DE CUTICULA COMPACTO BLISTER UN</t>
        </is>
      </c>
      <c r="D226" s="7" t="inlineStr">
        <is>
          <t>PERF/COSME</t>
        </is>
      </c>
      <c r="E226" s="7" t="inlineStr">
        <is>
          <t>B</t>
        </is>
      </c>
      <c r="F226" s="13" t="n">
        <v>1</v>
      </c>
      <c r="G226" s="13" t="n">
        <v>1</v>
      </c>
      <c r="H226" s="8" t="n">
        <v>19.99</v>
      </c>
      <c r="I226" s="8" t="n">
        <v>19.99</v>
      </c>
      <c r="J226" s="8" t="n">
        <v>19.99</v>
      </c>
      <c r="K226" s="8" t="n"/>
      <c r="L226" s="8" t="n"/>
      <c r="M226" s="8" t="n"/>
      <c r="N226" s="8" t="n"/>
      <c r="O226" s="8" t="n"/>
      <c r="P226" s="8" t="n"/>
      <c r="Q226" s="8" t="n"/>
      <c r="R226" s="8" t="n"/>
      <c r="S226" s="8" t="n"/>
      <c r="T226" s="7" t="inlineStr">
        <is>
          <t>SEM COTAÇÃO</t>
        </is>
      </c>
      <c r="U226" s="8" t="n"/>
      <c r="V226" s="14" t="n"/>
      <c r="W226" s="14" t="n"/>
      <c r="X226" s="7" t="inlineStr"/>
      <c r="Y226" s="7" t="inlineStr"/>
    </row>
    <row r="227">
      <c r="A227" s="7" t="n">
        <v>641561</v>
      </c>
      <c r="B227" s="12" t="inlineStr">
        <is>
          <t>7891060773071</t>
        </is>
      </c>
      <c r="C227" s="7" t="inlineStr">
        <is>
          <t>ALICATE MANICURE SANDY   C/ DUPLEX  CORES SORTIDAS (REF.756) 6X1$</t>
        </is>
      </c>
      <c r="D227" s="7" t="inlineStr">
        <is>
          <t>UTENSILIOS</t>
        </is>
      </c>
      <c r="E227" s="7" t="inlineStr">
        <is>
          <t>C</t>
        </is>
      </c>
      <c r="F227" s="13" t="n">
        <v>2</v>
      </c>
      <c r="G227" s="13" t="n">
        <v>2</v>
      </c>
      <c r="H227" s="8" t="n">
        <v>10.28</v>
      </c>
      <c r="I227" s="8" t="n">
        <v>10.28</v>
      </c>
      <c r="J227" s="8" t="n">
        <v>10.28</v>
      </c>
      <c r="K227" s="8" t="n"/>
      <c r="L227" s="8" t="n"/>
      <c r="M227" s="8" t="n"/>
      <c r="N227" s="8" t="n"/>
      <c r="O227" s="8" t="n"/>
      <c r="P227" s="8" t="n"/>
      <c r="Q227" s="8" t="n"/>
      <c r="R227" s="8" t="n"/>
      <c r="S227" s="8" t="n"/>
      <c r="T227" s="7" t="inlineStr">
        <is>
          <t>SEM COTAÇÃO</t>
        </is>
      </c>
      <c r="U227" s="8" t="n"/>
      <c r="V227" s="14" t="n"/>
      <c r="W227" s="14" t="n"/>
      <c r="X227" s="7" t="inlineStr"/>
      <c r="Y227" s="7" t="inlineStr"/>
    </row>
    <row r="228">
      <c r="A228" s="7" t="n">
        <v>667631</v>
      </c>
      <c r="B228" s="12" t="inlineStr">
        <is>
          <t>7896075707158</t>
        </is>
      </c>
      <c r="C228" s="7" t="inlineStr">
        <is>
          <t>ALICATE MERH.CUT.C/ESP.LILAS</t>
        </is>
      </c>
      <c r="D228" s="7" t="inlineStr">
        <is>
          <t>UTENSILIOS</t>
        </is>
      </c>
      <c r="E228" s="7" t="inlineStr">
        <is>
          <t>B</t>
        </is>
      </c>
      <c r="F228" s="13" t="n">
        <v>5</v>
      </c>
      <c r="G228" s="13" t="n">
        <v>5</v>
      </c>
      <c r="H228" s="8" t="n">
        <v>6.89</v>
      </c>
      <c r="I228" s="8" t="n">
        <v>6.89</v>
      </c>
      <c r="J228" s="8" t="n">
        <v>6.89</v>
      </c>
      <c r="K228" s="8" t="n"/>
      <c r="L228" s="8" t="n"/>
      <c r="M228" s="8" t="n"/>
      <c r="N228" s="8" t="n"/>
      <c r="O228" s="8" t="n"/>
      <c r="P228" s="8" t="n"/>
      <c r="Q228" s="8" t="n"/>
      <c r="R228" s="8" t="n"/>
      <c r="S228" s="8" t="n"/>
      <c r="T228" s="7" t="inlineStr">
        <is>
          <t>SEM COTAÇÃO</t>
        </is>
      </c>
      <c r="U228" s="8" t="n"/>
      <c r="V228" s="14" t="n"/>
      <c r="W228" s="14" t="n"/>
      <c r="X228" s="7" t="inlineStr"/>
      <c r="Y228" s="7" t="inlineStr"/>
    </row>
    <row r="229">
      <c r="A229" s="7" t="n">
        <v>640821</v>
      </c>
      <c r="B229" s="12" t="inlineStr">
        <is>
          <t>7891060969504</t>
        </is>
      </c>
      <c r="C229" s="7" t="inlineStr">
        <is>
          <t>ALICATE MUNDIAL PROFESSIONAL ACO INOXIDAVEL (REF.777)$</t>
        </is>
      </c>
      <c r="D229" s="7" t="inlineStr">
        <is>
          <t>UTENSILIOS</t>
        </is>
      </c>
      <c r="E229" s="7" t="inlineStr">
        <is>
          <t>C</t>
        </is>
      </c>
      <c r="F229" s="13" t="n">
        <v>1</v>
      </c>
      <c r="G229" s="13" t="n">
        <v>1</v>
      </c>
      <c r="H229" s="8" t="n">
        <v>25.95</v>
      </c>
      <c r="I229" s="8" t="n">
        <v>25.95</v>
      </c>
      <c r="J229" s="8" t="n">
        <v>25.95</v>
      </c>
      <c r="K229" s="8" t="n"/>
      <c r="L229" s="8" t="n"/>
      <c r="M229" s="8" t="n"/>
      <c r="N229" s="8" t="n"/>
      <c r="O229" s="8" t="n"/>
      <c r="P229" s="8" t="n"/>
      <c r="Q229" s="8" t="n"/>
      <c r="R229" s="8" t="n"/>
      <c r="S229" s="8" t="n"/>
      <c r="T229" s="7" t="inlineStr">
        <is>
          <t>SEM COTAÇÃO</t>
        </is>
      </c>
      <c r="U229" s="8" t="n"/>
      <c r="V229" s="14" t="n"/>
      <c r="W229" s="14" t="n"/>
      <c r="X229" s="7" t="inlineStr"/>
      <c r="Y229" s="7" t="inlineStr"/>
    </row>
    <row r="230">
      <c r="A230" s="7" t="n">
        <v>667321</v>
      </c>
      <c r="B230" s="12" t="inlineStr">
        <is>
          <t>7896699036092</t>
        </is>
      </c>
      <c r="C230" s="7" t="inlineStr">
        <is>
          <t>ALIMENTADOR FREEZYNG POUCH F - LOLLY</t>
        </is>
      </c>
      <c r="D230" s="7" t="inlineStr">
        <is>
          <t>BABY/KIDS</t>
        </is>
      </c>
      <c r="E230" s="7" t="inlineStr">
        <is>
          <t>C</t>
        </is>
      </c>
      <c r="F230" s="13" t="n">
        <v>1</v>
      </c>
      <c r="G230" s="13" t="n">
        <v>1</v>
      </c>
      <c r="H230" s="8" t="n">
        <v>21.86</v>
      </c>
      <c r="I230" s="8" t="n">
        <v>21.86</v>
      </c>
      <c r="J230" s="8" t="n">
        <v>21.86</v>
      </c>
      <c r="K230" s="8" t="n"/>
      <c r="L230" s="8" t="n"/>
      <c r="M230" s="8" t="n"/>
      <c r="N230" s="8" t="n"/>
      <c r="O230" s="8" t="n"/>
      <c r="P230" s="8" t="n"/>
      <c r="Q230" s="8" t="n"/>
      <c r="R230" s="8" t="n"/>
      <c r="S230" s="8" t="n"/>
      <c r="T230" s="7" t="inlineStr">
        <is>
          <t>SEM COTAÇÃO</t>
        </is>
      </c>
      <c r="U230" s="8" t="n"/>
      <c r="V230" s="14" t="n"/>
      <c r="W230" s="14" t="n"/>
      <c r="X230" s="7" t="inlineStr"/>
      <c r="Y230" s="7" t="inlineStr"/>
    </row>
    <row r="231">
      <c r="A231" s="7" t="n">
        <v>602891</v>
      </c>
      <c r="B231" s="12" t="inlineStr">
        <is>
          <t>7896013501824</t>
        </is>
      </c>
      <c r="C231" s="7" t="inlineStr">
        <is>
          <t>ALIS CR HAIRLIFE KIT LISO NATURAL</t>
        </is>
      </c>
      <c r="D231" s="7" t="inlineStr">
        <is>
          <t>PERF/COSME</t>
        </is>
      </c>
      <c r="E231" s="7" t="inlineStr">
        <is>
          <t>C</t>
        </is>
      </c>
      <c r="F231" s="13" t="n">
        <v>1</v>
      </c>
      <c r="G231" s="13" t="n">
        <v>1</v>
      </c>
      <c r="H231" s="8" t="n">
        <v>11.98</v>
      </c>
      <c r="I231" s="8" t="n">
        <v>11.98</v>
      </c>
      <c r="J231" s="8" t="n">
        <v>11.98</v>
      </c>
      <c r="K231" s="8" t="n"/>
      <c r="L231" s="8" t="n"/>
      <c r="M231" s="8" t="n"/>
      <c r="N231" s="8" t="n"/>
      <c r="O231" s="8" t="n"/>
      <c r="P231" s="8" t="n"/>
      <c r="Q231" s="8" t="n"/>
      <c r="R231" s="8" t="n"/>
      <c r="S231" s="8" t="n"/>
      <c r="T231" s="7" t="inlineStr">
        <is>
          <t>SEM COTAÇÃO</t>
        </is>
      </c>
      <c r="U231" s="8" t="n"/>
      <c r="V231" s="14" t="n"/>
      <c r="W231" s="14" t="n"/>
      <c r="X231" s="7" t="inlineStr"/>
      <c r="Y231" s="7" t="inlineStr"/>
    </row>
    <row r="232">
      <c r="A232" s="7" t="n">
        <v>602901</v>
      </c>
      <c r="B232" s="12" t="inlineStr">
        <is>
          <t>7896013544920</t>
        </is>
      </c>
      <c r="C232" s="7" t="inlineStr">
        <is>
          <t>ALIS CR HAIRLIFE KIT SUPER CACHOS SOLTO</t>
        </is>
      </c>
      <c r="D232" s="7" t="inlineStr">
        <is>
          <t>PERF/COSME</t>
        </is>
      </c>
      <c r="E232" s="7" t="inlineStr">
        <is>
          <t>C</t>
        </is>
      </c>
      <c r="F232" s="13" t="n">
        <v>1</v>
      </c>
      <c r="G232" s="13" t="n">
        <v>1</v>
      </c>
      <c r="H232" s="8" t="n">
        <v>12</v>
      </c>
      <c r="I232" s="8" t="n">
        <v>12</v>
      </c>
      <c r="J232" s="8" t="n">
        <v>12</v>
      </c>
      <c r="K232" s="8" t="n"/>
      <c r="L232" s="8" t="n"/>
      <c r="M232" s="8" t="n"/>
      <c r="N232" s="8" t="n"/>
      <c r="O232" s="8" t="n"/>
      <c r="P232" s="8" t="n"/>
      <c r="Q232" s="8" t="n"/>
      <c r="R232" s="8" t="n"/>
      <c r="S232" s="8" t="n"/>
      <c r="T232" s="7" t="inlineStr">
        <is>
          <t>SEM COTAÇÃO</t>
        </is>
      </c>
      <c r="U232" s="8" t="n"/>
      <c r="V232" s="14" t="n"/>
      <c r="W232" s="14" t="n"/>
      <c r="X232" s="7" t="inlineStr"/>
      <c r="Y232" s="7" t="inlineStr"/>
    </row>
    <row r="233">
      <c r="A233" s="7" t="n">
        <v>4373</v>
      </c>
      <c r="B233" s="12" t="inlineStr">
        <is>
          <t>7896186003316</t>
        </is>
      </c>
      <c r="C233" s="7" t="inlineStr">
        <is>
          <t>ALIVIK 40G POTE</t>
        </is>
      </c>
      <c r="D233" s="7" t="inlineStr">
        <is>
          <t>SIMILAR</t>
        </is>
      </c>
      <c r="E233" s="7" t="inlineStr">
        <is>
          <t>C</t>
        </is>
      </c>
      <c r="F233" s="13" t="n">
        <v>5</v>
      </c>
      <c r="G233" s="13" t="n">
        <v>5</v>
      </c>
      <c r="H233" s="8" t="n">
        <v>6.52</v>
      </c>
      <c r="I233" s="8" t="n">
        <v>6.52</v>
      </c>
      <c r="J233" s="8" t="n">
        <v>6.52</v>
      </c>
      <c r="K233" s="15" t="n">
        <v>8.02</v>
      </c>
      <c r="L233" s="8" t="n"/>
      <c r="M233" s="8" t="n"/>
      <c r="N233" s="8" t="n"/>
      <c r="O233" s="8" t="n"/>
      <c r="P233" s="8" t="n"/>
      <c r="Q233" s="8" t="n"/>
      <c r="R233" s="8" t="n"/>
      <c r="S233" s="8" t="n"/>
      <c r="T233" s="7" t="inlineStr">
        <is>
          <t>DIMEC</t>
        </is>
      </c>
      <c r="U233" s="8" t="n">
        <v>8.02</v>
      </c>
      <c r="V233" s="14">
        <f>U233/J233-1</f>
        <v/>
      </c>
      <c r="W233" s="14">
        <f>U233/H233-1</f>
        <v/>
      </c>
      <c r="X233" s="16" t="inlineStr">
        <is>
          <t>ACIMA +23.0%</t>
        </is>
      </c>
      <c r="Y233" s="7" t="inlineStr"/>
    </row>
    <row r="234">
      <c r="A234" s="7" t="n">
        <v>618961</v>
      </c>
      <c r="B234" s="12" t="inlineStr">
        <is>
          <t>7898495609012</t>
        </is>
      </c>
      <c r="C234" s="7" t="inlineStr">
        <is>
          <t>ALIVIOL ARNICA POMADA 20G</t>
        </is>
      </c>
      <c r="D234" s="7" t="inlineStr">
        <is>
          <t>SIMILAR</t>
        </is>
      </c>
      <c r="E234" s="7" t="inlineStr">
        <is>
          <t>C</t>
        </is>
      </c>
      <c r="F234" s="13" t="n">
        <v>1</v>
      </c>
      <c r="G234" s="13" t="n">
        <v>1</v>
      </c>
      <c r="H234" s="8" t="n">
        <v>9.390000000000001</v>
      </c>
      <c r="I234" s="8" t="n">
        <v>9.390000000000001</v>
      </c>
      <c r="J234" s="8" t="n">
        <v>9.390000000000001</v>
      </c>
      <c r="K234" s="8" t="n"/>
      <c r="L234" s="8" t="n"/>
      <c r="M234" s="8" t="n"/>
      <c r="N234" s="8" t="n"/>
      <c r="O234" s="8" t="n"/>
      <c r="P234" s="8" t="n"/>
      <c r="Q234" s="8" t="n"/>
      <c r="R234" s="8" t="n"/>
      <c r="S234" s="8" t="n"/>
      <c r="T234" s="7" t="inlineStr">
        <is>
          <t>SEM COTAÇÃO</t>
        </is>
      </c>
      <c r="U234" s="8" t="n"/>
      <c r="V234" s="14" t="n"/>
      <c r="W234" s="14" t="n"/>
      <c r="X234" s="7" t="inlineStr"/>
      <c r="Y234" s="7" t="inlineStr"/>
    </row>
    <row r="235">
      <c r="A235" s="7" t="n">
        <v>295401</v>
      </c>
      <c r="B235" s="12" t="inlineStr">
        <is>
          <t>7891142982407</t>
        </is>
      </c>
      <c r="C235" s="7" t="inlineStr">
        <is>
          <t>ALIVIUM 400MG CX 10 CAP</t>
        </is>
      </c>
      <c r="D235" s="7" t="inlineStr">
        <is>
          <t>RX - OTC</t>
        </is>
      </c>
      <c r="E235" s="7" t="inlineStr">
        <is>
          <t>B</t>
        </is>
      </c>
      <c r="F235" s="13" t="n">
        <v>1</v>
      </c>
      <c r="G235" s="13" t="n">
        <v>1</v>
      </c>
      <c r="H235" s="8" t="n">
        <v>20.215</v>
      </c>
      <c r="I235" s="8" t="n">
        <v>20.215</v>
      </c>
      <c r="J235" s="8" t="n">
        <v>20.215</v>
      </c>
      <c r="K235" s="8" t="n"/>
      <c r="L235" s="8" t="n"/>
      <c r="M235" s="8" t="n"/>
      <c r="N235" s="8" t="n"/>
      <c r="O235" s="8" t="n"/>
      <c r="P235" s="15" t="n">
        <v>24.89095</v>
      </c>
      <c r="Q235" s="8" t="n"/>
      <c r="R235" s="8" t="n"/>
      <c r="S235" s="8" t="n"/>
      <c r="T235" s="7" t="inlineStr">
        <is>
          <t>NAZARIA</t>
        </is>
      </c>
      <c r="U235" s="8" t="n">
        <v>24.89095</v>
      </c>
      <c r="V235" s="14">
        <f>U235/J235-1</f>
        <v/>
      </c>
      <c r="W235" s="14">
        <f>U235/H235-1</f>
        <v/>
      </c>
      <c r="X235" s="16" t="inlineStr">
        <is>
          <t>ACIMA +23.1%</t>
        </is>
      </c>
      <c r="Y235" s="7" t="inlineStr"/>
    </row>
    <row r="236">
      <c r="A236" s="7" t="n">
        <v>643861</v>
      </c>
      <c r="B236" s="12" t="inlineStr"/>
      <c r="C236" s="7" t="inlineStr">
        <is>
          <t>ALLOVITA 50MG/ML SOL CAPILAR FR 50ML</t>
        </is>
      </c>
      <c r="D236" s="7" t="inlineStr">
        <is>
          <t>SIMILAR</t>
        </is>
      </c>
      <c r="E236" s="7" t="inlineStr">
        <is>
          <t>B</t>
        </is>
      </c>
      <c r="F236" s="13" t="n">
        <v>3</v>
      </c>
      <c r="G236" s="13" t="n">
        <v>3</v>
      </c>
      <c r="H236" s="8" t="n">
        <v>19.22</v>
      </c>
      <c r="I236" s="8" t="n">
        <v>19.22</v>
      </c>
      <c r="J236" s="8" t="n">
        <v>19.22</v>
      </c>
      <c r="K236" s="8" t="n"/>
      <c r="L236" s="8" t="n"/>
      <c r="M236" s="8" t="n"/>
      <c r="N236" s="8" t="n"/>
      <c r="O236" s="8" t="n"/>
      <c r="P236" s="8" t="n"/>
      <c r="Q236" s="8" t="n"/>
      <c r="R236" s="15" t="n">
        <v>37.06</v>
      </c>
      <c r="S236" s="8" t="n"/>
      <c r="T236" s="7" t="inlineStr">
        <is>
          <t>BRASFARMA</t>
        </is>
      </c>
      <c r="U236" s="8" t="n">
        <v>37.06</v>
      </c>
      <c r="V236" s="14">
        <f>U236/J236-1</f>
        <v/>
      </c>
      <c r="W236" s="14">
        <f>U236/H236-1</f>
        <v/>
      </c>
      <c r="X236" s="16" t="inlineStr">
        <is>
          <t>ACIMA +92.8%</t>
        </is>
      </c>
      <c r="Y236" s="7" t="inlineStr"/>
    </row>
    <row r="237">
      <c r="A237" s="7" t="n">
        <v>29321</v>
      </c>
      <c r="B237" s="12" t="inlineStr">
        <is>
          <t>7896422516921</t>
        </is>
      </c>
      <c r="C237" s="7" t="inlineStr">
        <is>
          <t>ALOPURINOL 100MG CX 30 COMP</t>
        </is>
      </c>
      <c r="D237" s="7" t="inlineStr">
        <is>
          <t>GENERICO</t>
        </is>
      </c>
      <c r="E237" s="7" t="inlineStr">
        <is>
          <t>C</t>
        </is>
      </c>
      <c r="F237" s="13" t="n">
        <v>1</v>
      </c>
      <c r="G237" s="13" t="n">
        <v>1</v>
      </c>
      <c r="H237" s="8" t="n">
        <v>4.0675</v>
      </c>
      <c r="I237" s="8" t="n">
        <v>3.83</v>
      </c>
      <c r="J237" s="8" t="n">
        <v>3.988333333333333</v>
      </c>
      <c r="K237" s="15" t="n">
        <v>4.85</v>
      </c>
      <c r="L237" s="8" t="n"/>
      <c r="M237" s="8" t="n"/>
      <c r="N237" s="8" t="n"/>
      <c r="O237" s="8" t="n"/>
      <c r="P237" s="8" t="n">
        <v>6.012728999999999</v>
      </c>
      <c r="Q237" s="8" t="n"/>
      <c r="R237" s="8" t="n"/>
      <c r="S237" s="8" t="n"/>
      <c r="T237" s="7" t="inlineStr">
        <is>
          <t>DIMEC</t>
        </is>
      </c>
      <c r="U237" s="8" t="n">
        <v>4.85</v>
      </c>
      <c r="V237" s="14">
        <f>U237/J237-1</f>
        <v/>
      </c>
      <c r="W237" s="14">
        <f>U237/H237-1</f>
        <v/>
      </c>
      <c r="X237" s="16" t="inlineStr">
        <is>
          <t>ACIMA +19.2%</t>
        </is>
      </c>
      <c r="Y237" s="7" t="inlineStr"/>
    </row>
    <row r="238">
      <c r="A238" s="7" t="n">
        <v>646251</v>
      </c>
      <c r="B238" s="12" t="inlineStr">
        <is>
          <t>7898505096375</t>
        </is>
      </c>
      <c r="C238" s="7" t="inlineStr">
        <is>
          <t>ALPHALIV 900MG 20CPR REV</t>
        </is>
      </c>
      <c r="D238" s="7" t="inlineStr">
        <is>
          <t>DESATIVADO</t>
        </is>
      </c>
      <c r="E238" s="7" t="inlineStr">
        <is>
          <t>C</t>
        </is>
      </c>
      <c r="F238" s="13" t="n">
        <v>1</v>
      </c>
      <c r="G238" s="13" t="n">
        <v>1</v>
      </c>
      <c r="H238" s="8" t="n">
        <v>47.2</v>
      </c>
      <c r="I238" s="8" t="n">
        <v>47.2</v>
      </c>
      <c r="J238" s="8" t="n">
        <v>47.20000000000001</v>
      </c>
      <c r="K238" s="8" t="n"/>
      <c r="L238" s="8" t="n"/>
      <c r="M238" s="8" t="n"/>
      <c r="N238" s="8" t="n"/>
      <c r="O238" s="8" t="n"/>
      <c r="P238" s="15" t="n">
        <v>82.0523</v>
      </c>
      <c r="Q238" s="8" t="n"/>
      <c r="R238" s="8" t="n"/>
      <c r="S238" s="8" t="n"/>
      <c r="T238" s="7" t="inlineStr">
        <is>
          <t>NAZARIA</t>
        </is>
      </c>
      <c r="U238" s="8" t="n">
        <v>82.0523</v>
      </c>
      <c r="V238" s="14">
        <f>U238/J238-1</f>
        <v/>
      </c>
      <c r="W238" s="14">
        <f>U238/H238-1</f>
        <v/>
      </c>
      <c r="X238" s="16" t="inlineStr">
        <is>
          <t>ACIMA +73.8%</t>
        </is>
      </c>
      <c r="Y238" s="7" t="inlineStr"/>
    </row>
    <row r="239">
      <c r="A239" s="7" t="n">
        <v>592051</v>
      </c>
      <c r="B239" s="12" t="inlineStr">
        <is>
          <t>7891000067048</t>
        </is>
      </c>
      <c r="C239" s="7" t="inlineStr">
        <is>
          <t>ALPINO BEBIDA GARRAFA PLAS 280ML</t>
        </is>
      </c>
      <c r="D239" s="7" t="inlineStr">
        <is>
          <t>BEBIDAS GERAL</t>
        </is>
      </c>
      <c r="E239" s="7" t="inlineStr">
        <is>
          <t>B</t>
        </is>
      </c>
      <c r="F239" s="13" t="n">
        <v>7</v>
      </c>
      <c r="G239" s="13" t="n">
        <v>7</v>
      </c>
      <c r="H239" s="8" t="n">
        <v>6.1442</v>
      </c>
      <c r="I239" s="8" t="n">
        <v>5.2375</v>
      </c>
      <c r="J239" s="8" t="n">
        <v>5.689166666666666</v>
      </c>
      <c r="K239" s="8" t="n"/>
      <c r="L239" s="8" t="n"/>
      <c r="M239" s="8" t="n"/>
      <c r="N239" s="8" t="n"/>
      <c r="O239" s="8" t="n"/>
      <c r="P239" s="8" t="n"/>
      <c r="Q239" s="8" t="n"/>
      <c r="R239" s="8" t="n"/>
      <c r="S239" s="8" t="n"/>
      <c r="T239" s="7" t="inlineStr">
        <is>
          <t>SEM COTAÇÃO</t>
        </is>
      </c>
      <c r="U239" s="8" t="n"/>
      <c r="V239" s="14" t="n"/>
      <c r="W239" s="14" t="n"/>
      <c r="X239" s="7" t="inlineStr"/>
      <c r="Y239" s="7" t="inlineStr"/>
    </row>
    <row r="240">
      <c r="A240" s="7" t="n">
        <v>674901</v>
      </c>
      <c r="B240" s="12" t="inlineStr">
        <is>
          <t>7891000410707</t>
        </is>
      </c>
      <c r="C240" s="7" t="inlineStr">
        <is>
          <t>ALPINO CHOCOLATE 80G</t>
        </is>
      </c>
      <c r="D240" s="7" t="inlineStr">
        <is>
          <t>CHOCOLATES</t>
        </is>
      </c>
      <c r="E240" s="7" t="inlineStr">
        <is>
          <t>A</t>
        </is>
      </c>
      <c r="F240" s="13" t="n">
        <v>1</v>
      </c>
      <c r="G240" s="13" t="n">
        <v>12</v>
      </c>
      <c r="H240" s="8" t="n">
        <v>7.0694</v>
      </c>
      <c r="I240" s="8" t="n">
        <v>7.0694</v>
      </c>
      <c r="J240" s="8" t="n">
        <v>7.069399999999999</v>
      </c>
      <c r="K240" s="8" t="n"/>
      <c r="L240" s="8" t="n"/>
      <c r="M240" s="8" t="n"/>
      <c r="N240" s="8" t="n"/>
      <c r="O240" s="8" t="n"/>
      <c r="P240" s="8" t="n"/>
      <c r="Q240" s="8" t="n"/>
      <c r="R240" s="8" t="n"/>
      <c r="S240" s="8" t="n"/>
      <c r="T240" s="7" t="inlineStr">
        <is>
          <t>SEM COTAÇÃO</t>
        </is>
      </c>
      <c r="U240" s="8" t="n"/>
      <c r="V240" s="14" t="n"/>
      <c r="W240" s="14" t="n"/>
      <c r="X240" s="7" t="inlineStr"/>
      <c r="Y240" s="7" t="inlineStr"/>
    </row>
    <row r="241">
      <c r="A241" s="7" t="n">
        <v>592361</v>
      </c>
      <c r="B241" s="12" t="inlineStr">
        <is>
          <t>7891000336373</t>
        </is>
      </c>
      <c r="C241" s="7" t="inlineStr">
        <is>
          <t>ALPINO CHOCOLATE AO LEITE 85G</t>
        </is>
      </c>
      <c r="D241" s="7" t="inlineStr">
        <is>
          <t>CONVENIENCIA</t>
        </is>
      </c>
      <c r="E241" s="7" t="inlineStr">
        <is>
          <t>C</t>
        </is>
      </c>
      <c r="F241" s="13" t="n">
        <v>1</v>
      </c>
      <c r="G241" s="13" t="n">
        <v>7</v>
      </c>
      <c r="H241" s="8" t="n">
        <v>7.9773</v>
      </c>
      <c r="I241" s="8" t="n">
        <v>7.9773</v>
      </c>
      <c r="J241" s="8" t="n">
        <v>7.9773</v>
      </c>
      <c r="K241" s="8" t="n"/>
      <c r="L241" s="8" t="n"/>
      <c r="M241" s="8" t="n"/>
      <c r="N241" s="8" t="n"/>
      <c r="O241" s="8" t="n"/>
      <c r="P241" s="8" t="n"/>
      <c r="Q241" s="8" t="n"/>
      <c r="R241" s="8" t="n"/>
      <c r="S241" s="8" t="n"/>
      <c r="T241" s="7" t="inlineStr">
        <is>
          <t>SEM COTAÇÃO</t>
        </is>
      </c>
      <c r="U241" s="8" t="n"/>
      <c r="V241" s="14" t="n"/>
      <c r="W241" s="14" t="n"/>
      <c r="X241" s="7" t="inlineStr"/>
      <c r="Y241" s="7" t="inlineStr"/>
    </row>
    <row r="242">
      <c r="A242" s="7" t="n">
        <v>586321</v>
      </c>
      <c r="B242" s="12" t="inlineStr">
        <is>
          <t>7896085813450</t>
        </is>
      </c>
      <c r="C242" s="7" t="inlineStr">
        <is>
          <t>ALZ ORIGEM FLORES &amp;AMP; FRUTAS</t>
        </is>
      </c>
      <c r="D242" s="7" t="inlineStr">
        <is>
          <t>PERF/COSME</t>
        </is>
      </c>
      <c r="E242" s="7" t="inlineStr">
        <is>
          <t>C</t>
        </is>
      </c>
      <c r="F242" s="13" t="n">
        <v>1</v>
      </c>
      <c r="G242" s="13" t="n">
        <v>1</v>
      </c>
      <c r="H242" s="8" t="n">
        <v>11.84</v>
      </c>
      <c r="I242" s="8" t="n">
        <v>11.84</v>
      </c>
      <c r="J242" s="8" t="n">
        <v>11.84</v>
      </c>
      <c r="K242" s="8" t="n"/>
      <c r="L242" s="8" t="n"/>
      <c r="M242" s="8" t="n"/>
      <c r="N242" s="8" t="n"/>
      <c r="O242" s="8" t="n"/>
      <c r="P242" s="8" t="n"/>
      <c r="Q242" s="8" t="n"/>
      <c r="R242" s="8" t="n"/>
      <c r="S242" s="8" t="n"/>
      <c r="T242" s="7" t="inlineStr">
        <is>
          <t>SEM COTAÇÃO</t>
        </is>
      </c>
      <c r="U242" s="8" t="n"/>
      <c r="V242" s="14" t="n"/>
      <c r="W242" s="14" t="n"/>
      <c r="X242" s="7" t="inlineStr"/>
      <c r="Y242" s="7" t="inlineStr"/>
    </row>
    <row r="243">
      <c r="A243" s="7" t="n">
        <v>586621</v>
      </c>
      <c r="B243" s="12" t="inlineStr">
        <is>
          <t>7896085866067</t>
        </is>
      </c>
      <c r="C243" s="7" t="inlineStr">
        <is>
          <t>ALZ SFERA M ARGAN ONDULADOS &amp;AMP; VOLUMOSOS</t>
        </is>
      </c>
      <c r="D243" s="7" t="inlineStr">
        <is>
          <t>PERF/COSME</t>
        </is>
      </c>
      <c r="E243" s="7" t="inlineStr">
        <is>
          <t>C</t>
        </is>
      </c>
      <c r="F243" s="13" t="n">
        <v>1</v>
      </c>
      <c r="G243" s="13" t="n">
        <v>1</v>
      </c>
      <c r="H243" s="8" t="n">
        <v>13.78</v>
      </c>
      <c r="I243" s="8" t="n">
        <v>13.78</v>
      </c>
      <c r="J243" s="8" t="n">
        <v>13.78</v>
      </c>
      <c r="K243" s="8" t="n"/>
      <c r="L243" s="8" t="n"/>
      <c r="M243" s="8" t="n"/>
      <c r="N243" s="8" t="n"/>
      <c r="O243" s="8" t="n"/>
      <c r="P243" s="8" t="n"/>
      <c r="Q243" s="8" t="n"/>
      <c r="R243" s="8" t="n"/>
      <c r="S243" s="8" t="n"/>
      <c r="T243" s="7" t="inlineStr">
        <is>
          <t>SEM COTAÇÃO</t>
        </is>
      </c>
      <c r="U243" s="8" t="n"/>
      <c r="V243" s="14" t="n"/>
      <c r="W243" s="14" t="n"/>
      <c r="X243" s="7" t="inlineStr"/>
      <c r="Y243" s="7" t="inlineStr"/>
    </row>
    <row r="244">
      <c r="A244" s="7" t="n">
        <v>586501</v>
      </c>
      <c r="B244" s="12" t="inlineStr">
        <is>
          <t>7896085862649</t>
        </is>
      </c>
      <c r="C244" s="7" t="inlineStr">
        <is>
          <t>ALZ SFERA M MANGA FINOS &amp;AMP; DELICAD</t>
        </is>
      </c>
      <c r="D244" s="7" t="inlineStr">
        <is>
          <t>PERF/COSME</t>
        </is>
      </c>
      <c r="E244" s="7" t="inlineStr">
        <is>
          <t>C</t>
        </is>
      </c>
      <c r="F244" s="13" t="n">
        <v>1</v>
      </c>
      <c r="G244" s="13" t="n">
        <v>1</v>
      </c>
      <c r="H244" s="8" t="n">
        <v>13.78</v>
      </c>
      <c r="I244" s="8" t="n">
        <v>13.78</v>
      </c>
      <c r="J244" s="8" t="n">
        <v>13.78</v>
      </c>
      <c r="K244" s="8" t="n"/>
      <c r="L244" s="8" t="n"/>
      <c r="M244" s="8" t="n"/>
      <c r="N244" s="8" t="n"/>
      <c r="O244" s="8" t="n"/>
      <c r="P244" s="8" t="n"/>
      <c r="Q244" s="8" t="n"/>
      <c r="R244" s="8" t="n"/>
      <c r="S244" s="8" t="n"/>
      <c r="T244" s="7" t="inlineStr">
        <is>
          <t>SEM COTAÇÃO</t>
        </is>
      </c>
      <c r="U244" s="8" t="n"/>
      <c r="V244" s="14" t="n"/>
      <c r="W244" s="14" t="n"/>
      <c r="X244" s="7" t="inlineStr"/>
      <c r="Y244" s="7" t="inlineStr"/>
    </row>
    <row r="245">
      <c r="A245" s="7" t="n">
        <v>3663</v>
      </c>
      <c r="B245" s="12" t="inlineStr">
        <is>
          <t>7894900536010</t>
        </is>
      </c>
      <c r="C245" s="7" t="inlineStr">
        <is>
          <t>AM BELAGUA 500ML C/GAS</t>
        </is>
      </c>
      <c r="D245" s="7" t="inlineStr">
        <is>
          <t>BEBIDAS GERAL</t>
        </is>
      </c>
      <c r="E245" s="7" t="inlineStr">
        <is>
          <t>C</t>
        </is>
      </c>
      <c r="F245" s="13" t="n">
        <v>2</v>
      </c>
      <c r="G245" s="13" t="n">
        <v>2</v>
      </c>
      <c r="H245" s="8" t="n">
        <v>1.77</v>
      </c>
      <c r="I245" s="8" t="n">
        <v>1.77</v>
      </c>
      <c r="J245" s="8" t="n">
        <v>1.77</v>
      </c>
      <c r="K245" s="8" t="n"/>
      <c r="L245" s="8" t="n"/>
      <c r="M245" s="8" t="n"/>
      <c r="N245" s="8" t="n"/>
      <c r="O245" s="8" t="n"/>
      <c r="P245" s="8" t="n"/>
      <c r="Q245" s="8" t="n"/>
      <c r="R245" s="8" t="n"/>
      <c r="S245" s="8" t="n"/>
      <c r="T245" s="7" t="inlineStr">
        <is>
          <t>SEM COTAÇÃO</t>
        </is>
      </c>
      <c r="U245" s="8" t="n"/>
      <c r="V245" s="14" t="n"/>
      <c r="W245" s="14" t="n"/>
      <c r="X245" s="7" t="inlineStr"/>
      <c r="Y245" s="7" t="inlineStr"/>
    </row>
    <row r="246">
      <c r="A246" s="7" t="n">
        <v>122441</v>
      </c>
      <c r="B246" s="12" t="inlineStr">
        <is>
          <t>7898100243143</t>
        </is>
      </c>
      <c r="C246" s="7" t="inlineStr">
        <is>
          <t>AMBROL 15MG/5ML XPE FR 100ML PED</t>
        </is>
      </c>
      <c r="D246" s="7" t="inlineStr">
        <is>
          <t>SIMILAR</t>
        </is>
      </c>
      <c r="E246" s="7" t="inlineStr">
        <is>
          <t>A</t>
        </is>
      </c>
      <c r="F246" s="13" t="n">
        <v>16</v>
      </c>
      <c r="G246" s="13" t="n">
        <v>16</v>
      </c>
      <c r="H246" s="8" t="n">
        <v>3.69</v>
      </c>
      <c r="I246" s="8" t="n">
        <v>3.69</v>
      </c>
      <c r="J246" s="8" t="n">
        <v>3.69</v>
      </c>
      <c r="K246" s="8" t="n">
        <v>4.69</v>
      </c>
      <c r="L246" s="8" t="n"/>
      <c r="M246" s="8" t="n"/>
      <c r="N246" s="8" t="n">
        <v>5.18</v>
      </c>
      <c r="O246" s="8" t="n">
        <v>5.04</v>
      </c>
      <c r="P246" s="8" t="n"/>
      <c r="Q246" s="8" t="n">
        <v>4.95</v>
      </c>
      <c r="R246" s="15" t="n">
        <v>3.99</v>
      </c>
      <c r="S246" s="8" t="n"/>
      <c r="T246" s="7" t="inlineStr">
        <is>
          <t>BRASFARMA</t>
        </is>
      </c>
      <c r="U246" s="8" t="n">
        <v>3.99</v>
      </c>
      <c r="V246" s="14">
        <f>U246/J246-1</f>
        <v/>
      </c>
      <c r="W246" s="14">
        <f>U246/H246-1</f>
        <v/>
      </c>
      <c r="X246" s="16" t="inlineStr">
        <is>
          <t>ACIMA +8.1%</t>
        </is>
      </c>
      <c r="Y246" s="7" t="inlineStr">
        <is>
          <t>BRASFARMA: preços divergentes entre EANs (usado menor)</t>
        </is>
      </c>
    </row>
    <row r="247">
      <c r="A247" s="7" t="n">
        <v>122461</v>
      </c>
      <c r="B247" s="12" t="inlineStr">
        <is>
          <t>7898100243150</t>
        </is>
      </c>
      <c r="C247" s="7" t="inlineStr">
        <is>
          <t>AMBROL 30MG/5ML XPE FR 100ML ADU</t>
        </is>
      </c>
      <c r="D247" s="7" t="inlineStr">
        <is>
          <t>SIMILAR</t>
        </is>
      </c>
      <c r="E247" s="7" t="inlineStr">
        <is>
          <t>A</t>
        </is>
      </c>
      <c r="F247" s="13" t="n">
        <v>70</v>
      </c>
      <c r="G247" s="13" t="n">
        <v>70</v>
      </c>
      <c r="H247" s="8" t="n">
        <v>4.68</v>
      </c>
      <c r="I247" s="8" t="n">
        <v>3.69</v>
      </c>
      <c r="J247" s="8" t="n">
        <v>4.02</v>
      </c>
      <c r="K247" s="8" t="n">
        <v>4.71</v>
      </c>
      <c r="L247" s="8" t="n"/>
      <c r="M247" s="8" t="n"/>
      <c r="N247" s="8" t="n">
        <v>5.42</v>
      </c>
      <c r="O247" s="8" t="n">
        <v>5.04</v>
      </c>
      <c r="P247" s="8" t="n"/>
      <c r="Q247" s="8" t="n">
        <v>4.94</v>
      </c>
      <c r="R247" s="15" t="n">
        <v>4.09</v>
      </c>
      <c r="S247" s="8" t="n"/>
      <c r="T247" s="7" t="inlineStr">
        <is>
          <t>BRASFARMA</t>
        </is>
      </c>
      <c r="U247" s="8" t="n">
        <v>4.09</v>
      </c>
      <c r="V247" s="14">
        <f>U247/J247-1</f>
        <v/>
      </c>
      <c r="W247" s="14">
        <f>U247/H247-1</f>
        <v/>
      </c>
      <c r="X247" s="17" t="inlineStr">
        <is>
          <t>OK (≤ últ. compra)</t>
        </is>
      </c>
      <c r="Y247" s="7" t="inlineStr"/>
    </row>
    <row r="248">
      <c r="A248" s="7" t="n">
        <v>612411</v>
      </c>
      <c r="B248" s="12" t="inlineStr">
        <is>
          <t>7899785200681</t>
        </is>
      </c>
      <c r="C248" s="7" t="inlineStr">
        <is>
          <t>AMBROXMEL SPR FR 30ML GENGIBRE</t>
        </is>
      </c>
      <c r="D248" s="7" t="inlineStr">
        <is>
          <t>SIMILAR</t>
        </is>
      </c>
      <c r="E248" s="7" t="inlineStr">
        <is>
          <t>C</t>
        </is>
      </c>
      <c r="F248" s="13" t="n">
        <v>1</v>
      </c>
      <c r="G248" s="13" t="n">
        <v>9</v>
      </c>
      <c r="H248" s="8" t="n">
        <v>7.15</v>
      </c>
      <c r="I248" s="8" t="n">
        <v>7.15</v>
      </c>
      <c r="J248" s="8" t="n">
        <v>7.150000000000001</v>
      </c>
      <c r="K248" s="8" t="n"/>
      <c r="L248" s="8" t="n"/>
      <c r="M248" s="8" t="n"/>
      <c r="N248" s="8" t="n"/>
      <c r="O248" s="8" t="n"/>
      <c r="P248" s="8" t="n"/>
      <c r="Q248" s="8" t="n"/>
      <c r="R248" s="8" t="n"/>
      <c r="S248" s="8" t="n"/>
      <c r="T248" s="7" t="inlineStr">
        <is>
          <t>SEM COTAÇÃO</t>
        </is>
      </c>
      <c r="U248" s="8" t="n"/>
      <c r="V248" s="14" t="n"/>
      <c r="W248" s="14" t="n"/>
      <c r="X248" s="7" t="inlineStr"/>
      <c r="Y248" s="7" t="inlineStr"/>
    </row>
    <row r="249">
      <c r="A249" s="7" t="n">
        <v>672441</v>
      </c>
      <c r="B249" s="12" t="inlineStr">
        <is>
          <t>7896058507713</t>
        </is>
      </c>
      <c r="C249" s="7" t="inlineStr">
        <is>
          <t>AMEND PETTIZ CROC PIMENTA VERMELHA1,010K UN QTD. 1.00 UN</t>
        </is>
      </c>
      <c r="D249" s="7" t="inlineStr">
        <is>
          <t>CONVENIENCIA</t>
        </is>
      </c>
      <c r="E249" s="7" t="inlineStr">
        <is>
          <t>C</t>
        </is>
      </c>
      <c r="F249" s="13" t="n">
        <v>1</v>
      </c>
      <c r="G249" s="13" t="n">
        <v>1</v>
      </c>
      <c r="H249" s="8" t="n">
        <v>33.85</v>
      </c>
      <c r="I249" s="8" t="n">
        <v>33.85</v>
      </c>
      <c r="J249" s="8" t="n">
        <v>33.85</v>
      </c>
      <c r="K249" s="8" t="n"/>
      <c r="L249" s="8" t="n"/>
      <c r="M249" s="8" t="n"/>
      <c r="N249" s="8" t="n"/>
      <c r="O249" s="8" t="n"/>
      <c r="P249" s="8" t="n"/>
      <c r="Q249" s="8" t="n"/>
      <c r="R249" s="8" t="n"/>
      <c r="S249" s="8" t="n"/>
      <c r="T249" s="7" t="inlineStr">
        <is>
          <t>SEM COTAÇÃO</t>
        </is>
      </c>
      <c r="U249" s="8" t="n"/>
      <c r="V249" s="14" t="n"/>
      <c r="W249" s="14" t="n"/>
      <c r="X249" s="7" t="inlineStr"/>
      <c r="Y249" s="7" t="inlineStr"/>
    </row>
    <row r="250">
      <c r="A250" s="7" t="n">
        <v>578441</v>
      </c>
      <c r="B250" s="12" t="inlineStr">
        <is>
          <t>7896058500721</t>
        </is>
      </c>
      <c r="C250" s="7" t="inlineStr">
        <is>
          <t>AMENDOIM CHOCOLATE DORI CONF 70GR UN</t>
        </is>
      </c>
      <c r="D250" s="7" t="inlineStr">
        <is>
          <t>CONVENIENCIA</t>
        </is>
      </c>
      <c r="E250" s="7" t="inlineStr">
        <is>
          <t>C</t>
        </is>
      </c>
      <c r="F250" s="13" t="n">
        <v>4</v>
      </c>
      <c r="G250" s="13" t="n">
        <v>4</v>
      </c>
      <c r="H250" s="8" t="n">
        <v>2.87</v>
      </c>
      <c r="I250" s="8" t="n">
        <v>2.87</v>
      </c>
      <c r="J250" s="8" t="n">
        <v>2.87</v>
      </c>
      <c r="K250" s="8" t="n"/>
      <c r="L250" s="8" t="n"/>
      <c r="M250" s="8" t="n"/>
      <c r="N250" s="8" t="n"/>
      <c r="O250" s="8" t="n"/>
      <c r="P250" s="8" t="n"/>
      <c r="Q250" s="8" t="n"/>
      <c r="R250" s="8" t="n"/>
      <c r="S250" s="8" t="n"/>
      <c r="T250" s="7" t="inlineStr">
        <is>
          <t>SEM COTAÇÃO</t>
        </is>
      </c>
      <c r="U250" s="8" t="n"/>
      <c r="V250" s="14" t="n"/>
      <c r="W250" s="14" t="n"/>
      <c r="X250" s="7" t="inlineStr"/>
      <c r="Y250" s="7" t="inlineStr"/>
    </row>
    <row r="251">
      <c r="A251" s="7" t="n">
        <v>578461</v>
      </c>
      <c r="B251" s="12" t="inlineStr">
        <is>
          <t>7896058500714</t>
        </is>
      </c>
      <c r="C251" s="7" t="inlineStr">
        <is>
          <t>AMENDOIM COLORIDO DORI CONF 70GR</t>
        </is>
      </c>
      <c r="D251" s="7" t="inlineStr">
        <is>
          <t>CONVENIENCIA</t>
        </is>
      </c>
      <c r="E251" s="7" t="inlineStr">
        <is>
          <t>C</t>
        </is>
      </c>
      <c r="F251" s="13" t="n">
        <v>23</v>
      </c>
      <c r="G251" s="13" t="n">
        <v>23</v>
      </c>
      <c r="H251" s="8" t="n">
        <v>3.16</v>
      </c>
      <c r="I251" s="8" t="n">
        <v>2.88</v>
      </c>
      <c r="J251" s="8" t="n">
        <v>3.066666666666666</v>
      </c>
      <c r="K251" s="8" t="n"/>
      <c r="L251" s="8" t="n"/>
      <c r="M251" s="8" t="n"/>
      <c r="N251" s="8" t="n"/>
      <c r="O251" s="8" t="n"/>
      <c r="P251" s="8" t="n"/>
      <c r="Q251" s="8" t="n"/>
      <c r="R251" s="8" t="n"/>
      <c r="S251" s="8" t="n"/>
      <c r="T251" s="7" t="inlineStr">
        <is>
          <t>SEM COTAÇÃO</t>
        </is>
      </c>
      <c r="U251" s="8" t="n"/>
      <c r="V251" s="14" t="n"/>
      <c r="W251" s="14" t="n"/>
      <c r="X251" s="7" t="inlineStr"/>
      <c r="Y251" s="7" t="inlineStr"/>
    </row>
    <row r="252">
      <c r="A252" s="7" t="n">
        <v>578481</v>
      </c>
      <c r="B252" s="12" t="inlineStr">
        <is>
          <t>7896058501100</t>
        </is>
      </c>
      <c r="C252" s="7" t="inlineStr">
        <is>
          <t>AMENDOIM JAPONES DORI 100GR UN QTD</t>
        </is>
      </c>
      <c r="D252" s="7" t="inlineStr">
        <is>
          <t>PERF/COSME</t>
        </is>
      </c>
      <c r="E252" s="7" t="inlineStr">
        <is>
          <t>A</t>
        </is>
      </c>
      <c r="F252" s="13" t="n">
        <v>29</v>
      </c>
      <c r="G252" s="13" t="n">
        <v>29</v>
      </c>
      <c r="H252" s="8" t="n">
        <v>4.33</v>
      </c>
      <c r="I252" s="8" t="n">
        <v>3.82</v>
      </c>
      <c r="J252" s="8" t="n">
        <v>4.16</v>
      </c>
      <c r="K252" s="8" t="n"/>
      <c r="L252" s="8" t="n"/>
      <c r="M252" s="8" t="n"/>
      <c r="N252" s="8" t="n"/>
      <c r="O252" s="8" t="n"/>
      <c r="P252" s="8" t="n"/>
      <c r="Q252" s="8" t="n"/>
      <c r="R252" s="8" t="n"/>
      <c r="S252" s="8" t="n"/>
      <c r="T252" s="7" t="inlineStr">
        <is>
          <t>SEM COTAÇÃO</t>
        </is>
      </c>
      <c r="U252" s="8" t="n"/>
      <c r="V252" s="14" t="n"/>
      <c r="W252" s="14" t="n"/>
      <c r="X252" s="7" t="inlineStr"/>
      <c r="Y252" s="7" t="inlineStr"/>
    </row>
    <row r="253">
      <c r="A253" s="7" t="n">
        <v>578421</v>
      </c>
      <c r="B253" s="12" t="inlineStr">
        <is>
          <t>7896058500738</t>
        </is>
      </c>
      <c r="C253" s="7" t="inlineStr">
        <is>
          <t>AMENDOIM JAPONES DORI 70GR UN QTD</t>
        </is>
      </c>
      <c r="D253" s="7" t="inlineStr">
        <is>
          <t>CONVENIENCIA</t>
        </is>
      </c>
      <c r="E253" s="7" t="inlineStr">
        <is>
          <t>B</t>
        </is>
      </c>
      <c r="F253" s="13" t="n">
        <v>32</v>
      </c>
      <c r="G253" s="13" t="n">
        <v>32</v>
      </c>
      <c r="H253" s="8" t="n">
        <v>3.15</v>
      </c>
      <c r="I253" s="8" t="n">
        <v>2.81</v>
      </c>
      <c r="J253" s="8" t="n">
        <v>3.036666666666667</v>
      </c>
      <c r="K253" s="8" t="n"/>
      <c r="L253" s="8" t="n"/>
      <c r="M253" s="8" t="n"/>
      <c r="N253" s="8" t="n"/>
      <c r="O253" s="8" t="n"/>
      <c r="P253" s="8" t="n"/>
      <c r="Q253" s="8" t="n"/>
      <c r="R253" s="8" t="n"/>
      <c r="S253" s="8" t="n"/>
      <c r="T253" s="7" t="inlineStr">
        <is>
          <t>SEM COTAÇÃO</t>
        </is>
      </c>
      <c r="U253" s="8" t="n"/>
      <c r="V253" s="14" t="n"/>
      <c r="W253" s="14" t="n"/>
      <c r="X253" s="7" t="inlineStr"/>
      <c r="Y253" s="7" t="inlineStr"/>
    </row>
    <row r="254">
      <c r="A254" s="7" t="n">
        <v>588771</v>
      </c>
      <c r="B254" s="12" t="inlineStr">
        <is>
          <t>7892840815745</t>
        </is>
      </c>
      <c r="C254" s="7" t="inlineStr">
        <is>
          <t>AMENDOIM JAPONES ELMA CHIPS 45G UN</t>
        </is>
      </c>
      <c r="D254" s="7" t="inlineStr">
        <is>
          <t>CONVENIENCIA</t>
        </is>
      </c>
      <c r="E254" s="7" t="inlineStr">
        <is>
          <t>A</t>
        </is>
      </c>
      <c r="F254" s="13" t="n">
        <v>3</v>
      </c>
      <c r="G254" s="13" t="n">
        <v>3</v>
      </c>
      <c r="H254" s="8" t="n">
        <v>3.85</v>
      </c>
      <c r="I254" s="8" t="n">
        <v>3.85</v>
      </c>
      <c r="J254" s="8" t="n">
        <v>3.85</v>
      </c>
      <c r="K254" s="8" t="n"/>
      <c r="L254" s="8" t="n"/>
      <c r="M254" s="8" t="n"/>
      <c r="N254" s="8" t="n"/>
      <c r="O254" s="8" t="n"/>
      <c r="P254" s="8" t="n"/>
      <c r="Q254" s="8" t="n"/>
      <c r="R254" s="8" t="n"/>
      <c r="S254" s="8" t="n"/>
      <c r="T254" s="7" t="inlineStr">
        <is>
          <t>SEM COTAÇÃO</t>
        </is>
      </c>
      <c r="U254" s="8" t="n"/>
      <c r="V254" s="14" t="n"/>
      <c r="W254" s="14" t="n"/>
      <c r="X254" s="7" t="inlineStr"/>
      <c r="Y254" s="7" t="inlineStr"/>
    </row>
    <row r="255">
      <c r="A255" s="7" t="n">
        <v>581141</v>
      </c>
      <c r="B255" s="12" t="inlineStr">
        <is>
          <t>7896058593167</t>
        </is>
      </c>
      <c r="C255" s="7" t="inlineStr">
        <is>
          <t>AMENDOIM PETTIZ CROC CEBOLA E SALSA 50G UN QTD. 10.00 UN</t>
        </is>
      </c>
      <c r="D255" s="7" t="inlineStr">
        <is>
          <t>CONVENIENCIA</t>
        </is>
      </c>
      <c r="E255" s="7" t="inlineStr">
        <is>
          <t>C</t>
        </is>
      </c>
      <c r="F255" s="13" t="n">
        <v>1</v>
      </c>
      <c r="G255" s="13" t="n">
        <v>1</v>
      </c>
      <c r="H255" s="8" t="n">
        <v>2.5</v>
      </c>
      <c r="I255" s="8" t="n">
        <v>2.5</v>
      </c>
      <c r="J255" s="8" t="n">
        <v>2.5</v>
      </c>
      <c r="K255" s="8" t="n"/>
      <c r="L255" s="8" t="n"/>
      <c r="M255" s="8" t="n"/>
      <c r="N255" s="8" t="n"/>
      <c r="O255" s="8" t="n"/>
      <c r="P255" s="8" t="n"/>
      <c r="Q255" s="8" t="n"/>
      <c r="R255" s="8" t="n"/>
      <c r="S255" s="8" t="n"/>
      <c r="T255" s="7" t="inlineStr">
        <is>
          <t>SEM COTAÇÃO</t>
        </is>
      </c>
      <c r="U255" s="8" t="n"/>
      <c r="V255" s="14" t="n"/>
      <c r="W255" s="14" t="n"/>
      <c r="X255" s="7" t="inlineStr"/>
      <c r="Y255" s="7" t="inlineStr"/>
    </row>
    <row r="256">
      <c r="A256" s="7" t="n">
        <v>607321</v>
      </c>
      <c r="B256" s="12" t="inlineStr">
        <is>
          <t>7896058593150</t>
        </is>
      </c>
      <c r="C256" s="7" t="inlineStr">
        <is>
          <t>AMENDOIM PETTIZ CROC PIMENTA VERM 50G UN QTD. 12.00 UN</t>
        </is>
      </c>
      <c r="D256" s="7" t="inlineStr">
        <is>
          <t>DESATIVADO</t>
        </is>
      </c>
      <c r="E256" s="7" t="inlineStr">
        <is>
          <t>C</t>
        </is>
      </c>
      <c r="F256" s="13" t="n">
        <v>3</v>
      </c>
      <c r="G256" s="13" t="n">
        <v>3</v>
      </c>
      <c r="H256" s="8" t="n">
        <v>2.21</v>
      </c>
      <c r="I256" s="8" t="n">
        <v>2.21</v>
      </c>
      <c r="J256" s="8" t="n">
        <v>2.21</v>
      </c>
      <c r="K256" s="8" t="n"/>
      <c r="L256" s="8" t="n"/>
      <c r="M256" s="8" t="n"/>
      <c r="N256" s="8" t="n"/>
      <c r="O256" s="8" t="n"/>
      <c r="P256" s="8" t="n"/>
      <c r="Q256" s="8" t="n"/>
      <c r="R256" s="8" t="n"/>
      <c r="S256" s="8" t="n"/>
      <c r="T256" s="7" t="inlineStr">
        <is>
          <t>SEM COTAÇÃO</t>
        </is>
      </c>
      <c r="U256" s="8" t="n"/>
      <c r="V256" s="14" t="n"/>
      <c r="W256" s="14" t="n"/>
      <c r="X256" s="7" t="inlineStr"/>
      <c r="Y256" s="7" t="inlineStr"/>
    </row>
    <row r="257">
      <c r="A257" s="7" t="n">
        <v>601441</v>
      </c>
      <c r="B257" s="12" t="inlineStr">
        <is>
          <t>7896058507218</t>
        </is>
      </c>
      <c r="C257" s="7" t="inlineStr">
        <is>
          <t>AMENDOIM TORRADO E SALGADO S/PELE 70G</t>
        </is>
      </c>
      <c r="D257" s="7" t="inlineStr">
        <is>
          <t>CONVENIENCIA</t>
        </is>
      </c>
      <c r="E257" s="7" t="inlineStr">
        <is>
          <t>C</t>
        </is>
      </c>
      <c r="F257" s="13" t="n">
        <v>1</v>
      </c>
      <c r="G257" s="13" t="n">
        <v>1</v>
      </c>
      <c r="H257" s="8" t="n">
        <v>3.54</v>
      </c>
      <c r="I257" s="8" t="n">
        <v>3.54</v>
      </c>
      <c r="J257" s="8" t="n">
        <v>3.54</v>
      </c>
      <c r="K257" s="8" t="n"/>
      <c r="L257" s="8" t="n"/>
      <c r="M257" s="8" t="n"/>
      <c r="N257" s="8" t="n"/>
      <c r="O257" s="8" t="n"/>
      <c r="P257" s="8" t="n"/>
      <c r="Q257" s="8" t="n"/>
      <c r="R257" s="8" t="n"/>
      <c r="S257" s="8" t="n"/>
      <c r="T257" s="7" t="inlineStr">
        <is>
          <t>SEM COTAÇÃO</t>
        </is>
      </c>
      <c r="U257" s="8" t="n"/>
      <c r="V257" s="14" t="n"/>
      <c r="W257" s="14" t="n"/>
      <c r="X257" s="7" t="inlineStr"/>
      <c r="Y257" s="7" t="inlineStr"/>
    </row>
    <row r="258">
      <c r="A258" s="7" t="n">
        <v>633931</v>
      </c>
      <c r="B258" s="12" t="inlineStr">
        <is>
          <t>7891150071780</t>
        </is>
      </c>
      <c r="C258" s="7" t="inlineStr">
        <is>
          <t>AMIDO MILHO CREMOGEMA TRAD PROM 180G</t>
        </is>
      </c>
      <c r="D258" s="7" t="inlineStr">
        <is>
          <t>ALIMENTOS LACTEOS, DERIVADOS E SIMILARES</t>
        </is>
      </c>
      <c r="E258" s="7" t="inlineStr">
        <is>
          <t>C</t>
        </is>
      </c>
      <c r="F258" s="13" t="n">
        <v>1</v>
      </c>
      <c r="G258" s="13" t="n">
        <v>1</v>
      </c>
      <c r="H258" s="8" t="n">
        <v>3.19</v>
      </c>
      <c r="I258" s="8" t="n">
        <v>3.19</v>
      </c>
      <c r="J258" s="8" t="n">
        <v>3.19</v>
      </c>
      <c r="K258" s="8" t="n"/>
      <c r="L258" s="8" t="n"/>
      <c r="M258" s="8" t="n"/>
      <c r="N258" s="8" t="n"/>
      <c r="O258" s="8" t="n"/>
      <c r="P258" s="8" t="n"/>
      <c r="Q258" s="8" t="n"/>
      <c r="R258" s="8" t="n"/>
      <c r="S258" s="8" t="n"/>
      <c r="T258" s="7" t="inlineStr">
        <is>
          <t>SEM COTAÇÃO</t>
        </is>
      </c>
      <c r="U258" s="8" t="n"/>
      <c r="V258" s="14" t="n"/>
      <c r="W258" s="14" t="n"/>
      <c r="X258" s="7" t="inlineStr"/>
      <c r="Y258" s="7" t="inlineStr"/>
    </row>
    <row r="259">
      <c r="A259" s="7" t="n">
        <v>597651</v>
      </c>
      <c r="B259" s="12" t="inlineStr">
        <is>
          <t>7896311763269</t>
        </is>
      </c>
      <c r="C259" s="7" t="inlineStr">
        <is>
          <t>AMINO BCAA INTEGRALMEDICA 90 CAPS</t>
        </is>
      </c>
      <c r="D259" s="7" t="inlineStr">
        <is>
          <t>SUPLEMENTO</t>
        </is>
      </c>
      <c r="E259" s="7" t="inlineStr">
        <is>
          <t>B</t>
        </is>
      </c>
      <c r="F259" s="13" t="n">
        <v>5</v>
      </c>
      <c r="G259" s="13" t="n">
        <v>5</v>
      </c>
      <c r="H259" s="8" t="n">
        <v>45.25</v>
      </c>
      <c r="I259" s="8" t="n">
        <v>38.06</v>
      </c>
      <c r="J259" s="8" t="n">
        <v>42.85333333333333</v>
      </c>
      <c r="K259" s="8" t="n"/>
      <c r="L259" s="8" t="n"/>
      <c r="M259" s="8" t="n"/>
      <c r="N259" s="8" t="n"/>
      <c r="O259" s="8" t="n"/>
      <c r="P259" s="8" t="n"/>
      <c r="Q259" s="8" t="n"/>
      <c r="R259" s="8" t="n"/>
      <c r="S259" s="15" t="n">
        <v>45</v>
      </c>
      <c r="T259" s="7" t="inlineStr">
        <is>
          <t>AT_SUPLEMENTOS</t>
        </is>
      </c>
      <c r="U259" s="8" t="n">
        <v>45</v>
      </c>
      <c r="V259" s="14">
        <f>U259/J259-1</f>
        <v/>
      </c>
      <c r="W259" s="14">
        <f>U259/H259-1</f>
        <v/>
      </c>
      <c r="X259" s="17" t="inlineStr">
        <is>
          <t>OK (≤ últ. compra)</t>
        </is>
      </c>
      <c r="Y259" s="7" t="inlineStr"/>
    </row>
    <row r="260">
      <c r="A260" s="7" t="n">
        <v>5261</v>
      </c>
      <c r="B260" s="12" t="inlineStr"/>
      <c r="C260" s="7" t="inlineStr">
        <is>
          <t>AMORA 2,0+0,03MG CX 21 COMP REV</t>
        </is>
      </c>
      <c r="D260" s="7" t="inlineStr">
        <is>
          <t>RX</t>
        </is>
      </c>
      <c r="E260" s="7" t="inlineStr">
        <is>
          <t>A</t>
        </is>
      </c>
      <c r="F260" s="13" t="n">
        <v>1</v>
      </c>
      <c r="G260" s="13" t="n">
        <v>1</v>
      </c>
      <c r="H260" s="8" t="n">
        <v>36.38</v>
      </c>
      <c r="I260" s="8" t="n">
        <v>32.65</v>
      </c>
      <c r="J260" s="8" t="n">
        <v>34.67833333333333</v>
      </c>
      <c r="K260" s="8" t="n"/>
      <c r="L260" s="8" t="n"/>
      <c r="M260" s="8" t="n"/>
      <c r="N260" s="8" t="n"/>
      <c r="O260" s="8" t="n"/>
      <c r="P260" s="8" t="n"/>
      <c r="Q260" s="8" t="n"/>
      <c r="R260" s="8" t="n"/>
      <c r="S260" s="8" t="n"/>
      <c r="T260" s="7" t="inlineStr">
        <is>
          <t>SEM COTAÇÃO</t>
        </is>
      </c>
      <c r="U260" s="8" t="n"/>
      <c r="V260" s="14" t="n"/>
      <c r="W260" s="14" t="n"/>
      <c r="X260" s="7" t="inlineStr"/>
      <c r="Y260" s="7" t="inlineStr"/>
    </row>
    <row r="261">
      <c r="A261" s="7" t="n">
        <v>663491</v>
      </c>
      <c r="B261" s="12" t="inlineStr">
        <is>
          <t>7898744351457</t>
        </is>
      </c>
      <c r="C261" s="7" t="inlineStr">
        <is>
          <t>AMORA COM ISOFLAVONA 60 CAPS</t>
        </is>
      </c>
      <c r="D261" s="7" t="inlineStr">
        <is>
          <t>VITAMINA E SIMILARES</t>
        </is>
      </c>
      <c r="E261" s="7" t="inlineStr">
        <is>
          <t>A</t>
        </is>
      </c>
      <c r="F261" s="13" t="n">
        <v>2</v>
      </c>
      <c r="G261" s="13" t="n">
        <v>2</v>
      </c>
      <c r="H261" s="8" t="n">
        <v>30.4</v>
      </c>
      <c r="I261" s="8" t="n">
        <v>21.18</v>
      </c>
      <c r="J261" s="8" t="n">
        <v>27.32666666666666</v>
      </c>
      <c r="K261" s="8" t="n"/>
      <c r="L261" s="8" t="n"/>
      <c r="M261" s="8" t="n"/>
      <c r="N261" s="8" t="n"/>
      <c r="O261" s="8" t="n"/>
      <c r="P261" s="8" t="n"/>
      <c r="Q261" s="8" t="n"/>
      <c r="R261" s="8" t="n"/>
      <c r="S261" s="8" t="n"/>
      <c r="T261" s="7" t="inlineStr">
        <is>
          <t>SEM COTAÇÃO</t>
        </is>
      </c>
      <c r="U261" s="8" t="n"/>
      <c r="V261" s="14" t="n"/>
      <c r="W261" s="14" t="n"/>
      <c r="X261" s="7" t="inlineStr"/>
      <c r="Y261" s="7" t="inlineStr"/>
    </row>
    <row r="262">
      <c r="A262" s="7" t="n">
        <v>654601</v>
      </c>
      <c r="B262" s="12" t="inlineStr">
        <is>
          <t>7898744351075</t>
        </is>
      </c>
      <c r="C262" s="7" t="inlineStr">
        <is>
          <t>AMORA COM ISOFLAVONA 60CAPS - NUTRIPLANT</t>
        </is>
      </c>
      <c r="D262" s="7" t="inlineStr">
        <is>
          <t>FITOTERAPICO</t>
        </is>
      </c>
      <c r="E262" s="7" t="inlineStr">
        <is>
          <t>B</t>
        </is>
      </c>
      <c r="F262" s="13" t="n">
        <v>1</v>
      </c>
      <c r="G262" s="13" t="n">
        <v>1</v>
      </c>
      <c r="H262" s="8" t="n">
        <v>16.84</v>
      </c>
      <c r="I262" s="8" t="n">
        <v>16.84</v>
      </c>
      <c r="J262" s="8" t="n">
        <v>16.84</v>
      </c>
      <c r="K262" s="8" t="n"/>
      <c r="L262" s="8" t="n"/>
      <c r="M262" s="8" t="n"/>
      <c r="N262" s="8" t="n"/>
      <c r="O262" s="8" t="n"/>
      <c r="P262" s="8" t="n"/>
      <c r="Q262" s="8" t="n"/>
      <c r="R262" s="8" t="n"/>
      <c r="S262" s="8" t="n"/>
      <c r="T262" s="7" t="inlineStr">
        <is>
          <t>SEM COTAÇÃO</t>
        </is>
      </c>
      <c r="U262" s="8" t="n"/>
      <c r="V262" s="14" t="n"/>
      <c r="W262" s="14" t="n"/>
      <c r="X262" s="7" t="inlineStr"/>
      <c r="Y262" s="7" t="inlineStr"/>
    </row>
    <row r="263">
      <c r="A263" s="7" t="n">
        <v>33361</v>
      </c>
      <c r="B263" s="12" t="inlineStr">
        <is>
          <t>7896523208107</t>
        </is>
      </c>
      <c r="C263" s="7" t="inlineStr">
        <is>
          <t>AMOXICILINA 500MG CX 21 CAP</t>
        </is>
      </c>
      <c r="D263" s="7" t="inlineStr">
        <is>
          <t>GENERICO - ATB</t>
        </is>
      </c>
      <c r="E263" s="7" t="inlineStr">
        <is>
          <t>A</t>
        </is>
      </c>
      <c r="F263" s="13" t="n">
        <v>15</v>
      </c>
      <c r="G263" s="13" t="n">
        <v>15</v>
      </c>
      <c r="H263" s="8" t="n">
        <v>8.49</v>
      </c>
      <c r="I263" s="8" t="n">
        <v>8.49</v>
      </c>
      <c r="J263" s="8" t="n">
        <v>8.49</v>
      </c>
      <c r="K263" s="8" t="n"/>
      <c r="L263" s="8" t="n"/>
      <c r="M263" s="8" t="n"/>
      <c r="N263" s="8" t="n"/>
      <c r="O263" s="8" t="n"/>
      <c r="P263" s="15" t="n">
        <v>23.02</v>
      </c>
      <c r="Q263" s="8" t="n"/>
      <c r="R263" s="8" t="n"/>
      <c r="S263" s="8" t="n"/>
      <c r="T263" s="7" t="inlineStr">
        <is>
          <t>NAZARIA</t>
        </is>
      </c>
      <c r="U263" s="8" t="n">
        <v>23.02</v>
      </c>
      <c r="V263" s="14">
        <f>U263/J263-1</f>
        <v/>
      </c>
      <c r="W263" s="14">
        <f>U263/H263-1</f>
        <v/>
      </c>
      <c r="X263" s="16" t="inlineStr">
        <is>
          <t>ACIMA +171.1%</t>
        </is>
      </c>
      <c r="Y263" s="7" t="inlineStr">
        <is>
          <t>NAZARIA: conferir emb.</t>
        </is>
      </c>
    </row>
    <row r="264">
      <c r="A264" s="7" t="n">
        <v>608041</v>
      </c>
      <c r="B264" s="12" t="inlineStr">
        <is>
          <t>7898211382953</t>
        </is>
      </c>
      <c r="C264" s="7" t="inlineStr">
        <is>
          <t>AMPOLA CAPILAR D-PANTENOL 10ML</t>
        </is>
      </c>
      <c r="D264" s="7" t="inlineStr">
        <is>
          <t>PERF/COSME</t>
        </is>
      </c>
      <c r="E264" s="7" t="inlineStr">
        <is>
          <t>C</t>
        </is>
      </c>
      <c r="F264" s="13" t="n">
        <v>1</v>
      </c>
      <c r="G264" s="13" t="n">
        <v>1</v>
      </c>
      <c r="H264" s="8" t="n">
        <v>2.35</v>
      </c>
      <c r="I264" s="8" t="n">
        <v>2.35</v>
      </c>
      <c r="J264" s="8" t="n">
        <v>2.35</v>
      </c>
      <c r="K264" s="8" t="n"/>
      <c r="L264" s="8" t="n"/>
      <c r="M264" s="8" t="n"/>
      <c r="N264" s="8" t="n"/>
      <c r="O264" s="8" t="n"/>
      <c r="P264" s="8" t="n"/>
      <c r="Q264" s="8" t="n"/>
      <c r="R264" s="8" t="n"/>
      <c r="S264" s="8" t="n"/>
      <c r="T264" s="7" t="inlineStr">
        <is>
          <t>SEM COTAÇÃO</t>
        </is>
      </c>
      <c r="U264" s="8" t="n"/>
      <c r="V264" s="14" t="n"/>
      <c r="W264" s="14" t="n"/>
      <c r="X264" s="7" t="inlineStr"/>
      <c r="Y264" s="7" t="inlineStr"/>
    </row>
    <row r="265">
      <c r="A265" s="7" t="n">
        <v>608011</v>
      </c>
      <c r="B265" s="12" t="inlineStr">
        <is>
          <t>7898211381925</t>
        </is>
      </c>
      <c r="C265" s="7" t="inlineStr">
        <is>
          <t>AMPOLA CAPILAR OLEO DE ARGAN 10ML</t>
        </is>
      </c>
      <c r="D265" s="7" t="inlineStr">
        <is>
          <t>PERF/COSME</t>
        </is>
      </c>
      <c r="E265" s="7" t="inlineStr">
        <is>
          <t>C</t>
        </is>
      </c>
      <c r="F265" s="13" t="n">
        <v>1</v>
      </c>
      <c r="G265" s="13" t="n">
        <v>1</v>
      </c>
      <c r="H265" s="8" t="n">
        <v>2.05</v>
      </c>
      <c r="I265" s="8" t="n">
        <v>2.05</v>
      </c>
      <c r="J265" s="8" t="n">
        <v>2.05</v>
      </c>
      <c r="K265" s="8" t="n"/>
      <c r="L265" s="8" t="n"/>
      <c r="M265" s="8" t="n"/>
      <c r="N265" s="8" t="n"/>
      <c r="O265" s="8" t="n"/>
      <c r="P265" s="8" t="n"/>
      <c r="Q265" s="8" t="n"/>
      <c r="R265" s="8" t="n"/>
      <c r="S265" s="8" t="n"/>
      <c r="T265" s="7" t="inlineStr">
        <is>
          <t>SEM COTAÇÃO</t>
        </is>
      </c>
      <c r="U265" s="8" t="n"/>
      <c r="V265" s="14" t="n"/>
      <c r="W265" s="14" t="n"/>
      <c r="X265" s="7" t="inlineStr"/>
      <c r="Y265" s="7" t="inlineStr"/>
    </row>
    <row r="266">
      <c r="A266" s="7" t="n">
        <v>608021</v>
      </c>
      <c r="B266" s="12" t="inlineStr">
        <is>
          <t>7898211381932</t>
        </is>
      </c>
      <c r="C266" s="7" t="inlineStr">
        <is>
          <t>AMPOLA CAPILAR QUERATINA 12X10ML</t>
        </is>
      </c>
      <c r="D266" s="7" t="inlineStr">
        <is>
          <t>PERF/COSME</t>
        </is>
      </c>
      <c r="E266" s="7" t="inlineStr">
        <is>
          <t>C</t>
        </is>
      </c>
      <c r="F266" s="13" t="n">
        <v>1</v>
      </c>
      <c r="G266" s="13" t="n">
        <v>1</v>
      </c>
      <c r="H266" s="8" t="n">
        <v>2.35</v>
      </c>
      <c r="I266" s="8" t="n">
        <v>2.35</v>
      </c>
      <c r="J266" s="8" t="n">
        <v>2.35</v>
      </c>
      <c r="K266" s="8" t="n"/>
      <c r="L266" s="8" t="n"/>
      <c r="M266" s="8" t="n"/>
      <c r="N266" s="8" t="n"/>
      <c r="O266" s="8" t="n"/>
      <c r="P266" s="8" t="n"/>
      <c r="Q266" s="8" t="n"/>
      <c r="R266" s="8" t="n"/>
      <c r="S266" s="8" t="n"/>
      <c r="T266" s="7" t="inlineStr">
        <is>
          <t>SEM COTAÇÃO</t>
        </is>
      </c>
      <c r="U266" s="8" t="n"/>
      <c r="V266" s="14" t="n"/>
      <c r="W266" s="14" t="n"/>
      <c r="X266" s="7" t="inlineStr"/>
      <c r="Y266" s="7" t="inlineStr"/>
    </row>
    <row r="267">
      <c r="A267" s="7" t="n">
        <v>608031</v>
      </c>
      <c r="B267" s="12" t="inlineStr">
        <is>
          <t>7898211381949</t>
        </is>
      </c>
      <c r="C267" s="7" t="inlineStr">
        <is>
          <t>AMPOLA CAPILAR VITAMINA A 10ML</t>
        </is>
      </c>
      <c r="D267" s="7" t="inlineStr">
        <is>
          <t>PERF/COSME</t>
        </is>
      </c>
      <c r="E267" s="7" t="inlineStr">
        <is>
          <t>C</t>
        </is>
      </c>
      <c r="F267" s="13" t="n">
        <v>1</v>
      </c>
      <c r="G267" s="13" t="n">
        <v>1</v>
      </c>
      <c r="H267" s="8" t="n">
        <v>2.35</v>
      </c>
      <c r="I267" s="8" t="n">
        <v>2.35</v>
      </c>
      <c r="J267" s="8" t="n">
        <v>2.35</v>
      </c>
      <c r="K267" s="8" t="n"/>
      <c r="L267" s="8" t="n"/>
      <c r="M267" s="8" t="n"/>
      <c r="N267" s="8" t="n"/>
      <c r="O267" s="8" t="n"/>
      <c r="P267" s="8" t="n"/>
      <c r="Q267" s="8" t="n"/>
      <c r="R267" s="8" t="n"/>
      <c r="S267" s="8" t="n"/>
      <c r="T267" s="7" t="inlineStr">
        <is>
          <t>SEM COTAÇÃO</t>
        </is>
      </c>
      <c r="U267" s="8" t="n"/>
      <c r="V267" s="14" t="n"/>
      <c r="W267" s="14" t="n"/>
      <c r="X267" s="7" t="inlineStr"/>
      <c r="Y267" s="7" t="inlineStr"/>
    </row>
    <row r="268">
      <c r="A268" s="7" t="n">
        <v>71981</v>
      </c>
      <c r="B268" s="12" t="inlineStr">
        <is>
          <t>7896676414639</t>
        </is>
      </c>
      <c r="C268" s="7" t="inlineStr">
        <is>
          <t>ANA-FLEX 35+300+50MG CX 200 COMP</t>
        </is>
      </c>
      <c r="D268" s="7" t="inlineStr">
        <is>
          <t>RX</t>
        </is>
      </c>
      <c r="E268" s="7" t="inlineStr">
        <is>
          <t>C</t>
        </is>
      </c>
      <c r="F268" s="13" t="n">
        <v>1</v>
      </c>
      <c r="G268" s="13" t="n">
        <v>3</v>
      </c>
      <c r="H268" s="8" t="n">
        <v>4.9505</v>
      </c>
      <c r="I268" s="8" t="n">
        <v>4.9505</v>
      </c>
      <c r="J268" s="8" t="n">
        <v>4.9505</v>
      </c>
      <c r="K268" s="8" t="n"/>
      <c r="L268" s="8" t="n"/>
      <c r="M268" s="8" t="n"/>
      <c r="N268" s="8" t="n"/>
      <c r="O268" s="8" t="n"/>
      <c r="P268" s="8" t="n"/>
      <c r="Q268" s="8" t="n"/>
      <c r="R268" s="8" t="n"/>
      <c r="S268" s="8" t="n"/>
      <c r="T268" s="7" t="inlineStr">
        <is>
          <t>SEM COTAÇÃO</t>
        </is>
      </c>
      <c r="U268" s="8" t="n"/>
      <c r="V268" s="14" t="n"/>
      <c r="W268" s="14" t="n"/>
      <c r="X268" s="7" t="inlineStr"/>
      <c r="Y268" s="7" t="inlineStr"/>
    </row>
    <row r="269">
      <c r="A269" s="7" t="n">
        <v>2153</v>
      </c>
      <c r="B269" s="12" t="inlineStr">
        <is>
          <t>7897230303048</t>
        </is>
      </c>
      <c r="C269" s="7" t="inlineStr">
        <is>
          <t>ANASOL BASE MEDIA MULTIFUNCAO - FPS 60 - 60 G</t>
        </is>
      </c>
      <c r="D269" s="7" t="inlineStr">
        <is>
          <t>DERMOCOSMETICOS/COSMETICOS</t>
        </is>
      </c>
      <c r="E269" s="7" t="inlineStr">
        <is>
          <t>A</t>
        </is>
      </c>
      <c r="F269" s="13" t="n">
        <v>2</v>
      </c>
      <c r="G269" s="13" t="n">
        <v>2</v>
      </c>
      <c r="H269" s="8" t="n">
        <v>42.8567</v>
      </c>
      <c r="I269" s="8" t="n">
        <v>42.8567</v>
      </c>
      <c r="J269" s="8" t="n">
        <v>42.8567</v>
      </c>
      <c r="K269" s="8" t="n"/>
      <c r="L269" s="8" t="n"/>
      <c r="M269" s="8" t="n"/>
      <c r="N269" s="8" t="n"/>
      <c r="O269" s="8" t="n"/>
      <c r="P269" s="8" t="n"/>
      <c r="Q269" s="8" t="n"/>
      <c r="R269" s="8" t="n"/>
      <c r="S269" s="8" t="n"/>
      <c r="T269" s="7" t="inlineStr">
        <is>
          <t>SEM COTAÇÃO</t>
        </is>
      </c>
      <c r="U269" s="8" t="n"/>
      <c r="V269" s="14" t="n"/>
      <c r="W269" s="14" t="n"/>
      <c r="X269" s="7" t="inlineStr"/>
      <c r="Y269" s="7" t="inlineStr"/>
    </row>
    <row r="270">
      <c r="A270" s="7" t="n">
        <v>665541</v>
      </c>
      <c r="B270" s="12" t="inlineStr">
        <is>
          <t>7897230300023</t>
        </is>
      </c>
      <c r="C270" s="7" t="inlineStr">
        <is>
          <t>ANASOL DD CREAM FACIAL FPS 75 - 40G</t>
        </is>
      </c>
      <c r="D270" s="7" t="inlineStr">
        <is>
          <t>PERF/COSME</t>
        </is>
      </c>
      <c r="E270" s="7" t="inlineStr">
        <is>
          <t>C</t>
        </is>
      </c>
      <c r="F270" s="13" t="n">
        <v>3</v>
      </c>
      <c r="G270" s="13" t="n">
        <v>3</v>
      </c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  <c r="Q270" s="8" t="n"/>
      <c r="R270" s="8" t="n"/>
      <c r="S270" s="8" t="n"/>
      <c r="T270" s="7" t="inlineStr">
        <is>
          <t>SEM COTAÇÃO</t>
        </is>
      </c>
      <c r="U270" s="8" t="n"/>
      <c r="V270" s="14" t="n"/>
      <c r="W270" s="14" t="n"/>
      <c r="X270" s="7" t="inlineStr"/>
      <c r="Y270" s="7" t="inlineStr"/>
    </row>
    <row r="271">
      <c r="A271" s="7" t="n">
        <v>665531</v>
      </c>
      <c r="B271" s="12" t="inlineStr">
        <is>
          <t>7897230303192</t>
        </is>
      </c>
      <c r="C271" s="7" t="inlineStr">
        <is>
          <t>ANASOL PROT SOLAR FPS 30 - LOCAO - 200 G</t>
        </is>
      </c>
      <c r="D271" s="7" t="inlineStr">
        <is>
          <t>PERF/COSME</t>
        </is>
      </c>
      <c r="E271" s="7" t="inlineStr">
        <is>
          <t>C</t>
        </is>
      </c>
      <c r="F271" s="13" t="n">
        <v>1</v>
      </c>
      <c r="G271" s="13" t="n">
        <v>1</v>
      </c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 t="n"/>
      <c r="R271" s="8" t="n"/>
      <c r="S271" s="8" t="n"/>
      <c r="T271" s="7" t="inlineStr">
        <is>
          <t>SEM COTAÇÃO</t>
        </is>
      </c>
      <c r="U271" s="8" t="n"/>
      <c r="V271" s="14" t="n"/>
      <c r="W271" s="14" t="n"/>
      <c r="X271" s="7" t="inlineStr"/>
      <c r="Y271" s="7" t="inlineStr"/>
    </row>
    <row r="272">
      <c r="A272" s="7" t="n">
        <v>2133</v>
      </c>
      <c r="B272" s="12" t="inlineStr">
        <is>
          <t>7897230302829</t>
        </is>
      </c>
      <c r="C272" s="7" t="inlineStr">
        <is>
          <t>ANASOL PROT. SOLAR FACIAL CLAREADOR FPS70-60G</t>
        </is>
      </c>
      <c r="D272" s="7" t="inlineStr">
        <is>
          <t>DERMOCOSMETICOS/COSMETICOS</t>
        </is>
      </c>
      <c r="E272" s="7" t="inlineStr">
        <is>
          <t>A</t>
        </is>
      </c>
      <c r="F272" s="13" t="n">
        <v>5</v>
      </c>
      <c r="G272" s="13" t="n">
        <v>5</v>
      </c>
      <c r="H272" s="8" t="n">
        <v>30.9</v>
      </c>
      <c r="I272" s="8" t="n">
        <v>30.9</v>
      </c>
      <c r="J272" s="8" t="n">
        <v>30.9</v>
      </c>
      <c r="K272" s="8" t="n"/>
      <c r="L272" s="8" t="n"/>
      <c r="M272" s="8" t="n"/>
      <c r="N272" s="8" t="n"/>
      <c r="O272" s="8" t="n"/>
      <c r="P272" s="8" t="n"/>
      <c r="Q272" s="8" t="n"/>
      <c r="R272" s="8" t="n"/>
      <c r="S272" s="8" t="n"/>
      <c r="T272" s="7" t="inlineStr">
        <is>
          <t>SEM COTAÇÃO</t>
        </is>
      </c>
      <c r="U272" s="8" t="n"/>
      <c r="V272" s="14" t="n"/>
      <c r="W272" s="14" t="n"/>
      <c r="X272" s="7" t="inlineStr"/>
      <c r="Y272" s="7" t="inlineStr"/>
    </row>
    <row r="273">
      <c r="A273" s="7" t="n">
        <v>644341</v>
      </c>
      <c r="B273" s="12" t="inlineStr">
        <is>
          <t>7897230301983</t>
        </is>
      </c>
      <c r="C273" s="7" t="inlineStr">
        <is>
          <t>ANASOL PROT. SOLAR FACIAL FPS50 - 60G</t>
        </is>
      </c>
      <c r="D273" s="7" t="inlineStr">
        <is>
          <t>PERF/COSME</t>
        </is>
      </c>
      <c r="E273" s="7" t="inlineStr">
        <is>
          <t>B</t>
        </is>
      </c>
      <c r="F273" s="13" t="n">
        <v>1</v>
      </c>
      <c r="G273" s="13" t="n">
        <v>1</v>
      </c>
      <c r="H273" s="8" t="n">
        <v>23.0867</v>
      </c>
      <c r="I273" s="8" t="n">
        <v>23.0867</v>
      </c>
      <c r="J273" s="8" t="n">
        <v>23.0867</v>
      </c>
      <c r="K273" s="8" t="n"/>
      <c r="L273" s="8" t="n"/>
      <c r="M273" s="8" t="n"/>
      <c r="N273" s="8" t="n"/>
      <c r="O273" s="8" t="n"/>
      <c r="P273" s="8" t="n"/>
      <c r="Q273" s="8" t="n"/>
      <c r="R273" s="8" t="n"/>
      <c r="S273" s="8" t="n"/>
      <c r="T273" s="7" t="inlineStr">
        <is>
          <t>SEM COTAÇÃO</t>
        </is>
      </c>
      <c r="U273" s="8" t="n"/>
      <c r="V273" s="14" t="n"/>
      <c r="W273" s="14" t="n"/>
      <c r="X273" s="7" t="inlineStr"/>
      <c r="Y273" s="7" t="inlineStr"/>
    </row>
    <row r="274">
      <c r="A274" s="7" t="n">
        <v>4003</v>
      </c>
      <c r="B274" s="12" t="inlineStr">
        <is>
          <t>7897230305882</t>
        </is>
      </c>
      <c r="C274" s="7" t="inlineStr">
        <is>
          <t>ANASOL PROTETOR SOLAR FACIAL CLAREADOR FPS 50 - 60G</t>
        </is>
      </c>
      <c r="D274" s="7" t="inlineStr">
        <is>
          <t>DERMOCOSMETICOS/COSMETICOS</t>
        </is>
      </c>
      <c r="E274" s="7" t="inlineStr">
        <is>
          <t>A</t>
        </is>
      </c>
      <c r="F274" s="13" t="n">
        <v>4</v>
      </c>
      <c r="G274" s="13" t="n">
        <v>4</v>
      </c>
      <c r="H274" s="8" t="n">
        <v>23.79</v>
      </c>
      <c r="I274" s="8" t="n">
        <v>23.79</v>
      </c>
      <c r="J274" s="8" t="n">
        <v>23.79</v>
      </c>
      <c r="K274" s="8" t="n"/>
      <c r="L274" s="8" t="n"/>
      <c r="M274" s="8" t="n"/>
      <c r="N274" s="8" t="n"/>
      <c r="O274" s="8" t="n"/>
      <c r="P274" s="8" t="n"/>
      <c r="Q274" s="8" t="n"/>
      <c r="R274" s="8" t="n"/>
      <c r="S274" s="8" t="n"/>
      <c r="T274" s="7" t="inlineStr">
        <is>
          <t>SEM COTAÇÃO</t>
        </is>
      </c>
      <c r="U274" s="8" t="n"/>
      <c r="V274" s="14" t="n"/>
      <c r="W274" s="14" t="n"/>
      <c r="X274" s="7" t="inlineStr"/>
      <c r="Y274" s="7" t="inlineStr"/>
    </row>
    <row r="275">
      <c r="A275" s="7" t="n">
        <v>124481</v>
      </c>
      <c r="B275" s="12" t="inlineStr">
        <is>
          <t>7896094207851</t>
        </is>
      </c>
      <c r="C275" s="7" t="inlineStr">
        <is>
          <t>ANCORON 200MG CX 30 COMP REV</t>
        </is>
      </c>
      <c r="D275" s="7" t="inlineStr">
        <is>
          <t>RX</t>
        </is>
      </c>
      <c r="E275" s="7" t="inlineStr">
        <is>
          <t>B</t>
        </is>
      </c>
      <c r="F275" s="13" t="n">
        <v>1</v>
      </c>
      <c r="G275" s="13" t="n">
        <v>1</v>
      </c>
      <c r="H275" s="8" t="n">
        <v>50.26</v>
      </c>
      <c r="I275" s="8" t="n">
        <v>42.28</v>
      </c>
      <c r="J275" s="8" t="n">
        <v>46.33333333333334</v>
      </c>
      <c r="K275" s="8" t="n"/>
      <c r="L275" s="8" t="n"/>
      <c r="M275" s="8" t="n">
        <v>50.26</v>
      </c>
      <c r="N275" s="8" t="n"/>
      <c r="O275" s="8" t="n"/>
      <c r="P275" s="15" t="n">
        <v>49.2723</v>
      </c>
      <c r="Q275" s="8" t="n"/>
      <c r="R275" s="8" t="n"/>
      <c r="S275" s="8" t="n"/>
      <c r="T275" s="7" t="inlineStr">
        <is>
          <t>NAZARIA</t>
        </is>
      </c>
      <c r="U275" s="8" t="n">
        <v>49.2723</v>
      </c>
      <c r="V275" s="14">
        <f>U275/J275-1</f>
        <v/>
      </c>
      <c r="W275" s="14">
        <f>U275/H275-1</f>
        <v/>
      </c>
      <c r="X275" s="17" t="inlineStr">
        <is>
          <t>OK (≤ últ. compra)</t>
        </is>
      </c>
      <c r="Y275" s="7" t="inlineStr"/>
    </row>
    <row r="276">
      <c r="A276" s="7" t="n">
        <v>469661</v>
      </c>
      <c r="B276" s="12" t="inlineStr">
        <is>
          <t>7891317013967</t>
        </is>
      </c>
      <c r="C276" s="7" t="inlineStr">
        <is>
          <t>ANDOLBA 4,5%+0,5%+0,5% AER TOP TB 43G</t>
        </is>
      </c>
      <c r="D276" s="7" t="inlineStr">
        <is>
          <t>RX</t>
        </is>
      </c>
      <c r="E276" s="7" t="inlineStr">
        <is>
          <t>C</t>
        </is>
      </c>
      <c r="F276" s="13" t="n">
        <v>2</v>
      </c>
      <c r="G276" s="13" t="n">
        <v>2</v>
      </c>
      <c r="H276" s="8" t="n">
        <v>28.045</v>
      </c>
      <c r="I276" s="8" t="n">
        <v>28.04</v>
      </c>
      <c r="J276" s="8" t="n">
        <v>28.04</v>
      </c>
      <c r="K276" s="8" t="n"/>
      <c r="L276" s="8" t="n"/>
      <c r="M276" s="8" t="n"/>
      <c r="N276" s="8" t="n"/>
      <c r="O276" s="15" t="n">
        <v>30.01</v>
      </c>
      <c r="P276" s="8" t="n"/>
      <c r="Q276" s="8" t="n"/>
      <c r="R276" s="8" t="n"/>
      <c r="S276" s="8" t="n"/>
      <c r="T276" s="7" t="inlineStr">
        <is>
          <t>TAPAJOS</t>
        </is>
      </c>
      <c r="U276" s="8" t="n">
        <v>30.01</v>
      </c>
      <c r="V276" s="14">
        <f>U276/J276-1</f>
        <v/>
      </c>
      <c r="W276" s="14">
        <f>U276/H276-1</f>
        <v/>
      </c>
      <c r="X276" s="16" t="inlineStr">
        <is>
          <t>ACIMA +7.0%</t>
        </is>
      </c>
      <c r="Y276" s="7" t="inlineStr"/>
    </row>
    <row r="277">
      <c r="A277" s="7" t="n">
        <v>42403</v>
      </c>
      <c r="B277" s="12" t="inlineStr">
        <is>
          <t>7899547544558</t>
        </is>
      </c>
      <c r="C277" s="7" t="inlineStr">
        <is>
          <t>ANLODIPINO BESILATO 5MG CX 60 COMP</t>
        </is>
      </c>
      <c r="D277" s="7" t="inlineStr">
        <is>
          <t>GENERICO</t>
        </is>
      </c>
      <c r="E277" s="7" t="inlineStr">
        <is>
          <t>C</t>
        </is>
      </c>
      <c r="F277" s="13" t="n">
        <v>4</v>
      </c>
      <c r="G277" s="13" t="n">
        <v>4</v>
      </c>
      <c r="H277" s="8" t="n">
        <v>4.31</v>
      </c>
      <c r="I277" s="8" t="n">
        <v>4.31</v>
      </c>
      <c r="J277" s="8" t="n">
        <v>4.31</v>
      </c>
      <c r="K277" s="8" t="n"/>
      <c r="L277" s="8" t="n"/>
      <c r="M277" s="8" t="n"/>
      <c r="N277" s="8" t="n"/>
      <c r="O277" s="8" t="n"/>
      <c r="P277" s="8" t="n"/>
      <c r="Q277" s="8" t="n"/>
      <c r="R277" s="8" t="n"/>
      <c r="S277" s="8" t="n"/>
      <c r="T277" s="7" t="inlineStr">
        <is>
          <t>SEM COTAÇÃO</t>
        </is>
      </c>
      <c r="U277" s="8" t="n"/>
      <c r="V277" s="14" t="n"/>
      <c r="W277" s="14" t="n"/>
      <c r="X277" s="7" t="inlineStr"/>
      <c r="Y277" s="7" t="inlineStr"/>
    </row>
    <row r="278">
      <c r="A278" s="7" t="n">
        <v>364361</v>
      </c>
      <c r="B278" s="12" t="inlineStr"/>
      <c r="C278" s="7" t="inlineStr">
        <is>
          <t>ANNITA 20MG/ML PO SUS ORAL FR 45ML</t>
        </is>
      </c>
      <c r="D278" s="7" t="inlineStr">
        <is>
          <t>RX</t>
        </is>
      </c>
      <c r="E278" s="7" t="inlineStr">
        <is>
          <t>A</t>
        </is>
      </c>
      <c r="F278" s="13" t="n">
        <v>8</v>
      </c>
      <c r="G278" s="13" t="n">
        <v>8</v>
      </c>
      <c r="H278" s="8" t="n">
        <v>25.125</v>
      </c>
      <c r="I278" s="8" t="n">
        <v>21.8625</v>
      </c>
      <c r="J278" s="8" t="n">
        <v>22.775</v>
      </c>
      <c r="K278" s="8" t="n"/>
      <c r="L278" s="8" t="n"/>
      <c r="M278" s="8" t="n"/>
      <c r="N278" s="8" t="n"/>
      <c r="O278" s="8" t="n"/>
      <c r="P278" s="8" t="n"/>
      <c r="Q278" s="8" t="n"/>
      <c r="R278" s="8" t="n"/>
      <c r="S278" s="8" t="n"/>
      <c r="T278" s="7" t="inlineStr">
        <is>
          <t>SEM COTAÇÃO</t>
        </is>
      </c>
      <c r="U278" s="8" t="n"/>
      <c r="V278" s="14" t="n"/>
      <c r="W278" s="14" t="n"/>
      <c r="X278" s="7" t="inlineStr"/>
      <c r="Y278" s="7" t="inlineStr"/>
    </row>
    <row r="279">
      <c r="A279" s="7" t="n">
        <v>131861</v>
      </c>
      <c r="B279" s="12" t="inlineStr">
        <is>
          <t>7896094200227</t>
        </is>
      </c>
      <c r="C279" s="7" t="inlineStr">
        <is>
          <t>ANSITEC 5MG CX 20 COMP</t>
        </is>
      </c>
      <c r="D279" s="7" t="inlineStr">
        <is>
          <t>RX - SIMILAR - CONTROLE</t>
        </is>
      </c>
      <c r="E279" s="7" t="inlineStr">
        <is>
          <t>C</t>
        </is>
      </c>
      <c r="F279" s="13" t="n">
        <v>1</v>
      </c>
      <c r="G279" s="13" t="n">
        <v>1</v>
      </c>
      <c r="H279" s="8" t="n">
        <v>27.07</v>
      </c>
      <c r="I279" s="8" t="n">
        <v>27.07</v>
      </c>
      <c r="J279" s="8" t="n">
        <v>27.07</v>
      </c>
      <c r="K279" s="8" t="n"/>
      <c r="L279" s="8" t="n"/>
      <c r="M279" s="8" t="n"/>
      <c r="N279" s="8" t="n"/>
      <c r="O279" s="8" t="n"/>
      <c r="P279" s="8" t="n"/>
      <c r="Q279" s="8" t="n"/>
      <c r="R279" s="8" t="n"/>
      <c r="S279" s="8" t="n"/>
      <c r="T279" s="7" t="inlineStr">
        <is>
          <t>SEM COTAÇÃO</t>
        </is>
      </c>
      <c r="U279" s="8" t="n"/>
      <c r="V279" s="14" t="n"/>
      <c r="W279" s="14" t="n"/>
      <c r="X279" s="7" t="inlineStr"/>
      <c r="Y279" s="7" t="inlineStr"/>
    </row>
    <row r="280">
      <c r="A280" s="7" t="n">
        <v>624171</v>
      </c>
      <c r="B280" s="12" t="inlineStr">
        <is>
          <t>7899706195089</t>
        </is>
      </c>
      <c r="C280" s="7" t="inlineStr">
        <is>
          <t>ANTHELIOS LRP AIRLIC FL FPS50 S/COR 40ML</t>
        </is>
      </c>
      <c r="D280" s="7" t="inlineStr">
        <is>
          <t>RX - DERMO</t>
        </is>
      </c>
      <c r="E280" s="7" t="inlineStr">
        <is>
          <t>C</t>
        </is>
      </c>
      <c r="F280" s="13" t="n">
        <v>1</v>
      </c>
      <c r="G280" s="13" t="n">
        <v>1</v>
      </c>
      <c r="H280" s="8" t="n">
        <v>88.16</v>
      </c>
      <c r="I280" s="8" t="n">
        <v>88.16</v>
      </c>
      <c r="J280" s="8" t="n">
        <v>88.16000000000001</v>
      </c>
      <c r="K280" s="8" t="n"/>
      <c r="L280" s="8" t="n"/>
      <c r="M280" s="8" t="n"/>
      <c r="N280" s="8" t="n"/>
      <c r="O280" s="8" t="n"/>
      <c r="P280" s="8" t="n"/>
      <c r="Q280" s="8" t="n"/>
      <c r="R280" s="8" t="n"/>
      <c r="S280" s="8" t="n"/>
      <c r="T280" s="7" t="inlineStr">
        <is>
          <t>SEM COTAÇÃO</t>
        </is>
      </c>
      <c r="U280" s="8" t="n"/>
      <c r="V280" s="14" t="n"/>
      <c r="W280" s="14" t="n"/>
      <c r="X280" s="7" t="inlineStr"/>
      <c r="Y280" s="7" t="inlineStr"/>
    </row>
    <row r="281">
      <c r="A281" s="7" t="n">
        <v>618051</v>
      </c>
      <c r="B281" s="12" t="inlineStr">
        <is>
          <t>7908615030098</t>
        </is>
      </c>
      <c r="C281" s="7" t="inlineStr">
        <is>
          <t>ANTHELIOS LRP AIRLIC FPS70 2.0 40G+NECESSARIE</t>
        </is>
      </c>
      <c r="D281" s="7" t="inlineStr">
        <is>
          <t>RX - DERMO</t>
        </is>
      </c>
      <c r="E281" s="7" t="inlineStr">
        <is>
          <t>C</t>
        </is>
      </c>
      <c r="F281" s="13" t="n">
        <v>1</v>
      </c>
      <c r="G281" s="13" t="n">
        <v>1</v>
      </c>
      <c r="H281" s="8" t="n">
        <v>75.47499999999999</v>
      </c>
      <c r="I281" s="8" t="n">
        <v>75.47499999999999</v>
      </c>
      <c r="J281" s="8" t="n">
        <v>75.47499999999999</v>
      </c>
      <c r="K281" s="8" t="n"/>
      <c r="L281" s="8" t="n"/>
      <c r="M281" s="8" t="n"/>
      <c r="N281" s="8" t="n"/>
      <c r="O281" s="8" t="n"/>
      <c r="P281" s="8" t="n"/>
      <c r="Q281" s="8" t="n"/>
      <c r="R281" s="8" t="n"/>
      <c r="S281" s="8" t="n"/>
      <c r="T281" s="7" t="inlineStr">
        <is>
          <t>SEM COTAÇÃO</t>
        </is>
      </c>
      <c r="U281" s="8" t="n"/>
      <c r="V281" s="14" t="n"/>
      <c r="W281" s="14" t="n"/>
      <c r="X281" s="7" t="inlineStr"/>
      <c r="Y281" s="7" t="inlineStr"/>
    </row>
    <row r="282">
      <c r="A282" s="7" t="n">
        <v>648861</v>
      </c>
      <c r="B282" s="12" t="inlineStr">
        <is>
          <t>7908615038384</t>
        </is>
      </c>
      <c r="C282" s="7" t="inlineStr">
        <is>
          <t>ANTHELIOS LRP AIRLIC+FLUIDO FPS50+EFFACL CONC 50G</t>
        </is>
      </c>
      <c r="D282" s="7" t="inlineStr">
        <is>
          <t>RX - DERMO</t>
        </is>
      </c>
      <c r="E282" s="7" t="inlineStr">
        <is>
          <t>B</t>
        </is>
      </c>
      <c r="F282" s="13" t="n">
        <v>1</v>
      </c>
      <c r="G282" s="13" t="n">
        <v>1</v>
      </c>
      <c r="H282" s="8" t="n">
        <v>112.82</v>
      </c>
      <c r="I282" s="8" t="n">
        <v>112.82</v>
      </c>
      <c r="J282" s="8" t="n">
        <v>112.82</v>
      </c>
      <c r="K282" s="8" t="n"/>
      <c r="L282" s="8" t="n"/>
      <c r="M282" s="8" t="n"/>
      <c r="N282" s="8" t="n"/>
      <c r="O282" s="8" t="n"/>
      <c r="P282" s="8" t="n">
        <v>110.51</v>
      </c>
      <c r="Q282" s="8" t="n"/>
      <c r="R282" s="8" t="n"/>
      <c r="S282" s="8" t="n"/>
      <c r="T282" s="7" t="inlineStr">
        <is>
          <t>SEM COTAÇÃO</t>
        </is>
      </c>
      <c r="U282" s="8" t="n"/>
      <c r="V282" s="14" t="n"/>
      <c r="W282" s="14" t="n"/>
      <c r="X282" s="7" t="inlineStr"/>
      <c r="Y282" s="7" t="inlineStr">
        <is>
          <t>NAZARIA: sem estoque</t>
        </is>
      </c>
    </row>
    <row r="283">
      <c r="A283" s="7" t="n">
        <v>650831</v>
      </c>
      <c r="B283" s="12" t="inlineStr">
        <is>
          <t>7896013105428</t>
        </is>
      </c>
      <c r="C283" s="7" t="inlineStr">
        <is>
          <t>ANTI-SEP BUCAL EVENMENTAS/ALV500 PG350ML</t>
        </is>
      </c>
      <c r="D283" s="7" t="inlineStr">
        <is>
          <t>ORTODONTICO</t>
        </is>
      </c>
      <c r="E283" s="7" t="inlineStr">
        <is>
          <t>C</t>
        </is>
      </c>
      <c r="F283" s="13" t="n">
        <v>1</v>
      </c>
      <c r="G283" s="13" t="n">
        <v>1</v>
      </c>
      <c r="H283" s="8" t="n">
        <v>15</v>
      </c>
      <c r="I283" s="8" t="n">
        <v>15</v>
      </c>
      <c r="J283" s="8" t="n">
        <v>15</v>
      </c>
      <c r="K283" s="8" t="n"/>
      <c r="L283" s="8" t="n"/>
      <c r="M283" s="8" t="n"/>
      <c r="N283" s="8" t="n"/>
      <c r="O283" s="8" t="n"/>
      <c r="P283" s="8" t="n"/>
      <c r="Q283" s="8" t="n"/>
      <c r="R283" s="8" t="n"/>
      <c r="S283" s="8" t="n"/>
      <c r="T283" s="7" t="inlineStr">
        <is>
          <t>SEM COTAÇÃO</t>
        </is>
      </c>
      <c r="U283" s="8" t="n"/>
      <c r="V283" s="14" t="n"/>
      <c r="W283" s="14" t="n"/>
      <c r="X283" s="7" t="inlineStr"/>
      <c r="Y283" s="7" t="inlineStr"/>
    </row>
    <row r="284">
      <c r="A284" s="7" t="n">
        <v>626011</v>
      </c>
      <c r="B284" s="12" t="inlineStr">
        <is>
          <t>7898395843394</t>
        </is>
      </c>
      <c r="C284" s="7" t="inlineStr">
        <is>
          <t>ANTISSEPTI BUCAL PERIODENTAL ZERO ALCOOL 250ML</t>
        </is>
      </c>
      <c r="D284" s="7" t="inlineStr">
        <is>
          <t>PERF/COSME</t>
        </is>
      </c>
      <c r="E284" s="7" t="inlineStr">
        <is>
          <t>C</t>
        </is>
      </c>
      <c r="F284" s="13" t="n">
        <v>1</v>
      </c>
      <c r="G284" s="13" t="n">
        <v>1</v>
      </c>
      <c r="H284" s="8" t="n">
        <v>14.65</v>
      </c>
      <c r="I284" s="8" t="n">
        <v>14.65</v>
      </c>
      <c r="J284" s="8" t="n">
        <v>14.65</v>
      </c>
      <c r="K284" s="8" t="n"/>
      <c r="L284" s="8" t="n"/>
      <c r="M284" s="8" t="n"/>
      <c r="N284" s="8" t="n"/>
      <c r="O284" s="8" t="n"/>
      <c r="P284" s="8" t="n"/>
      <c r="Q284" s="8" t="n"/>
      <c r="R284" s="8" t="n"/>
      <c r="S284" s="8" t="n"/>
      <c r="T284" s="7" t="inlineStr">
        <is>
          <t>SEM COTAÇÃO</t>
        </is>
      </c>
      <c r="U284" s="8" t="n"/>
      <c r="V284" s="14" t="n"/>
      <c r="W284" s="14" t="n"/>
      <c r="X284" s="7" t="inlineStr"/>
      <c r="Y284" s="7" t="inlineStr"/>
    </row>
    <row r="285">
      <c r="A285" s="7" t="n">
        <v>612031</v>
      </c>
      <c r="B285" s="12" t="inlineStr">
        <is>
          <t>7891150068780</t>
        </is>
      </c>
      <c r="C285" s="7" t="inlineStr">
        <is>
          <t>ANTITRANSPIRANTE AEROSSOL ORIGINAL DOVE 200ML PROM</t>
        </is>
      </c>
      <c r="D285" s="7" t="inlineStr">
        <is>
          <t>PERF/COSME</t>
        </is>
      </c>
      <c r="E285" s="7" t="inlineStr">
        <is>
          <t>A</t>
        </is>
      </c>
      <c r="F285" s="13" t="n">
        <v>7</v>
      </c>
      <c r="G285" s="13" t="n">
        <v>7</v>
      </c>
      <c r="H285" s="8" t="n">
        <v>15.52</v>
      </c>
      <c r="I285" s="8" t="n">
        <v>15.52</v>
      </c>
      <c r="J285" s="8" t="n">
        <v>15.52</v>
      </c>
      <c r="K285" s="8" t="n"/>
      <c r="L285" s="8" t="n"/>
      <c r="M285" s="8" t="n"/>
      <c r="N285" s="8" t="n"/>
      <c r="O285" s="8" t="n"/>
      <c r="P285" s="8" t="n"/>
      <c r="Q285" s="8" t="n"/>
      <c r="R285" s="8" t="n"/>
      <c r="S285" s="8" t="n"/>
      <c r="T285" s="7" t="inlineStr">
        <is>
          <t>SEM COTAÇÃO</t>
        </is>
      </c>
      <c r="U285" s="8" t="n"/>
      <c r="V285" s="14" t="n"/>
      <c r="W285" s="14" t="n"/>
      <c r="X285" s="7" t="inlineStr"/>
      <c r="Y285" s="7" t="inlineStr"/>
    </row>
    <row r="286">
      <c r="A286" s="7" t="n">
        <v>559761</v>
      </c>
      <c r="B286" s="12" t="inlineStr">
        <is>
          <t>78931633</t>
        </is>
      </c>
      <c r="C286" s="7" t="inlineStr">
        <is>
          <t>ANTITRANSPIRANTE ROLL-ON DOVE ORIGINAL 30ML</t>
        </is>
      </c>
      <c r="D286" s="7" t="inlineStr">
        <is>
          <t>ANTITRANSPIRANTE/DESODORANTE</t>
        </is>
      </c>
      <c r="E286" s="7" t="inlineStr">
        <is>
          <t>B</t>
        </is>
      </c>
      <c r="F286" s="13" t="n">
        <v>6</v>
      </c>
      <c r="G286" s="13" t="n">
        <v>6</v>
      </c>
      <c r="H286" s="8" t="n">
        <v>5.4383</v>
      </c>
      <c r="I286" s="8" t="n">
        <v>5.06</v>
      </c>
      <c r="J286" s="8" t="n">
        <v>5.3122</v>
      </c>
      <c r="K286" s="8" t="n"/>
      <c r="L286" s="8" t="n"/>
      <c r="M286" s="8" t="n"/>
      <c r="N286" s="8" t="n"/>
      <c r="O286" s="8" t="n"/>
      <c r="P286" s="8" t="n">
        <v>5.68</v>
      </c>
      <c r="Q286" s="8" t="n"/>
      <c r="R286" s="8" t="n"/>
      <c r="S286" s="8" t="n"/>
      <c r="T286" s="7" t="inlineStr">
        <is>
          <t>SEM COTAÇÃO</t>
        </is>
      </c>
      <c r="U286" s="8" t="n"/>
      <c r="V286" s="14" t="n"/>
      <c r="W286" s="14" t="n"/>
      <c r="X286" s="7" t="inlineStr"/>
      <c r="Y286" s="7" t="inlineStr">
        <is>
          <t>NAZARIA: sem estoque</t>
        </is>
      </c>
    </row>
    <row r="287">
      <c r="A287" s="7" t="n">
        <v>559721</v>
      </c>
      <c r="B287" s="12" t="inlineStr">
        <is>
          <t>78929388</t>
        </is>
      </c>
      <c r="C287" s="7" t="inlineStr">
        <is>
          <t>ANTITRANSPIRANTE ROLL-ON REXONA ACTIVE DRY 30ML</t>
        </is>
      </c>
      <c r="D287" s="7" t="inlineStr">
        <is>
          <t>PERF/COSME</t>
        </is>
      </c>
      <c r="E287" s="7" t="inlineStr">
        <is>
          <t>B</t>
        </is>
      </c>
      <c r="F287" s="13" t="n">
        <v>1</v>
      </c>
      <c r="G287" s="13" t="n">
        <v>3</v>
      </c>
      <c r="H287" s="8" t="n">
        <v>4.8117</v>
      </c>
      <c r="I287" s="8" t="n">
        <v>4.8117</v>
      </c>
      <c r="J287" s="8" t="n">
        <v>4.8117</v>
      </c>
      <c r="K287" s="8" t="n"/>
      <c r="L287" s="8" t="n"/>
      <c r="M287" s="8" t="n"/>
      <c r="N287" s="8" t="n"/>
      <c r="O287" s="8" t="n"/>
      <c r="P287" s="8" t="n">
        <v>5.11</v>
      </c>
      <c r="Q287" s="8" t="n"/>
      <c r="R287" s="8" t="n"/>
      <c r="S287" s="8" t="n"/>
      <c r="T287" s="7" t="inlineStr">
        <is>
          <t>SEM COTAÇÃO</t>
        </is>
      </c>
      <c r="U287" s="8" t="n"/>
      <c r="V287" s="14" t="n"/>
      <c r="W287" s="14" t="n"/>
      <c r="X287" s="7" t="inlineStr"/>
      <c r="Y287" s="7" t="inlineStr">
        <is>
          <t>NAZARIA: sem estoque</t>
        </is>
      </c>
    </row>
    <row r="288">
      <c r="A288" s="7" t="n">
        <v>559741</v>
      </c>
      <c r="B288" s="12" t="inlineStr">
        <is>
          <t>75063559</t>
        </is>
      </c>
      <c r="C288" s="7" t="inlineStr">
        <is>
          <t>ANTITRANSPIRANTE ROLL-ON REXONA BAMBOO 30ML</t>
        </is>
      </c>
      <c r="D288" s="7" t="inlineStr">
        <is>
          <t>PERF/COSME</t>
        </is>
      </c>
      <c r="E288" s="7" t="inlineStr">
        <is>
          <t>C</t>
        </is>
      </c>
      <c r="F288" s="13" t="n">
        <v>2</v>
      </c>
      <c r="G288" s="13" t="n">
        <v>2</v>
      </c>
      <c r="H288" s="8" t="n">
        <v>4.8117</v>
      </c>
      <c r="I288" s="8" t="n">
        <v>4.4833</v>
      </c>
      <c r="J288" s="8" t="n">
        <v>4.702233333333333</v>
      </c>
      <c r="K288" s="8" t="n"/>
      <c r="L288" s="8" t="n"/>
      <c r="M288" s="8" t="n"/>
      <c r="N288" s="8" t="n"/>
      <c r="O288" s="8" t="n"/>
      <c r="P288" s="8" t="n">
        <v>5.11</v>
      </c>
      <c r="Q288" s="8" t="n"/>
      <c r="R288" s="8" t="n"/>
      <c r="S288" s="8" t="n"/>
      <c r="T288" s="7" t="inlineStr">
        <is>
          <t>SEM COTAÇÃO</t>
        </is>
      </c>
      <c r="U288" s="8" t="n"/>
      <c r="V288" s="14" t="n"/>
      <c r="W288" s="14" t="n"/>
      <c r="X288" s="7" t="inlineStr"/>
      <c r="Y288" s="7" t="inlineStr">
        <is>
          <t>NAZARIA: sem estoque</t>
        </is>
      </c>
    </row>
    <row r="289">
      <c r="A289" s="7" t="n">
        <v>559681</v>
      </c>
      <c r="B289" s="12" t="inlineStr">
        <is>
          <t>78924239</t>
        </is>
      </c>
      <c r="C289" s="7" t="inlineStr">
        <is>
          <t>ANTITRANSPIRANTE ROLL-ON REXONA POWEDER DRY 30ML</t>
        </is>
      </c>
      <c r="D289" s="7" t="inlineStr">
        <is>
          <t>ANTITRANSPIRANTE/DESODORANTE</t>
        </is>
      </c>
      <c r="E289" s="7" t="inlineStr">
        <is>
          <t>C</t>
        </is>
      </c>
      <c r="F289" s="13" t="n">
        <v>8</v>
      </c>
      <c r="G289" s="13" t="n">
        <v>8</v>
      </c>
      <c r="H289" s="8" t="n">
        <v>4.89</v>
      </c>
      <c r="I289" s="8" t="n">
        <v>3.4533</v>
      </c>
      <c r="J289" s="8" t="n">
        <v>4.4111</v>
      </c>
      <c r="K289" s="8" t="n"/>
      <c r="L289" s="8" t="n"/>
      <c r="M289" s="8" t="n"/>
      <c r="N289" s="8" t="n"/>
      <c r="O289" s="8" t="n"/>
      <c r="P289" s="8" t="n"/>
      <c r="Q289" s="8" t="n"/>
      <c r="R289" s="8" t="n"/>
      <c r="S289" s="8" t="n"/>
      <c r="T289" s="7" t="inlineStr">
        <is>
          <t>SEM COTAÇÃO</t>
        </is>
      </c>
      <c r="U289" s="8" t="n"/>
      <c r="V289" s="14" t="n"/>
      <c r="W289" s="14" t="n"/>
      <c r="X289" s="7" t="inlineStr"/>
      <c r="Y289" s="7" t="inlineStr"/>
    </row>
    <row r="290">
      <c r="A290" s="7" t="n">
        <v>559701</v>
      </c>
      <c r="B290" s="12" t="inlineStr">
        <is>
          <t>78930841</t>
        </is>
      </c>
      <c r="C290" s="7" t="inlineStr">
        <is>
          <t>ANTITRANSPIRANTE ROLL-ON REXONA V8 30ML</t>
        </is>
      </c>
      <c r="D290" s="7" t="inlineStr">
        <is>
          <t>ANTITRANSPIRANTE/DESODORANTE</t>
        </is>
      </c>
      <c r="E290" s="7" t="inlineStr">
        <is>
          <t>B</t>
        </is>
      </c>
      <c r="F290" s="13" t="n">
        <v>3</v>
      </c>
      <c r="G290" s="13" t="n">
        <v>3</v>
      </c>
      <c r="H290" s="8" t="n">
        <v>4.8117</v>
      </c>
      <c r="I290" s="8" t="n">
        <v>3.4533</v>
      </c>
      <c r="J290" s="8" t="n">
        <v>4.3589</v>
      </c>
      <c r="K290" s="8" t="n"/>
      <c r="L290" s="8" t="n"/>
      <c r="M290" s="8" t="n"/>
      <c r="N290" s="8" t="n"/>
      <c r="O290" s="8" t="n"/>
      <c r="P290" s="8" t="n">
        <v>5.11</v>
      </c>
      <c r="Q290" s="8" t="n"/>
      <c r="R290" s="8" t="n"/>
      <c r="S290" s="8" t="n"/>
      <c r="T290" s="7" t="inlineStr">
        <is>
          <t>SEM COTAÇÃO</t>
        </is>
      </c>
      <c r="U290" s="8" t="n"/>
      <c r="V290" s="14" t="n"/>
      <c r="W290" s="14" t="n"/>
      <c r="X290" s="7" t="inlineStr"/>
      <c r="Y290" s="7" t="inlineStr">
        <is>
          <t>NAZARIA: sem estoque</t>
        </is>
      </c>
    </row>
    <row r="291">
      <c r="A291" s="7" t="n">
        <v>650981</v>
      </c>
      <c r="B291" s="12" t="inlineStr">
        <is>
          <t>0070330729803</t>
        </is>
      </c>
      <c r="C291" s="7" t="inlineStr">
        <is>
          <t>AP BARB BIC 3 INTENSITY 2X12 PRETO</t>
        </is>
      </c>
      <c r="D291" s="7" t="inlineStr">
        <is>
          <t>BARBEADORES</t>
        </is>
      </c>
      <c r="E291" s="7" t="inlineStr">
        <is>
          <t>C</t>
        </is>
      </c>
      <c r="F291" s="13" t="n">
        <v>1</v>
      </c>
      <c r="G291" s="13" t="n">
        <v>1</v>
      </c>
      <c r="H291" s="8" t="n">
        <v>4.505</v>
      </c>
      <c r="I291" s="8" t="n">
        <v>4.505</v>
      </c>
      <c r="J291" s="8" t="n">
        <v>4.505</v>
      </c>
      <c r="K291" s="8" t="n"/>
      <c r="L291" s="8" t="n"/>
      <c r="M291" s="8" t="n"/>
      <c r="N291" s="8" t="n"/>
      <c r="O291" s="8" t="n"/>
      <c r="P291" s="8" t="n"/>
      <c r="Q291" s="8" t="n"/>
      <c r="R291" s="8" t="n"/>
      <c r="S291" s="8" t="n"/>
      <c r="T291" s="7" t="inlineStr">
        <is>
          <t>SEM COTAÇÃO</t>
        </is>
      </c>
      <c r="U291" s="8" t="n"/>
      <c r="V291" s="14" t="n"/>
      <c r="W291" s="14" t="n"/>
      <c r="X291" s="7" t="inlineStr"/>
      <c r="Y291" s="7" t="inlineStr"/>
    </row>
    <row r="292">
      <c r="A292" s="7" t="n">
        <v>635861</v>
      </c>
      <c r="B292" s="12" t="inlineStr">
        <is>
          <t>070330727984</t>
        </is>
      </c>
      <c r="C292" s="7" t="inlineStr">
        <is>
          <t>AP BARB BIC COMFORT3 BLACK NIGHT C/ 2UN</t>
        </is>
      </c>
      <c r="D292" s="7" t="inlineStr">
        <is>
          <t>PERF/COSME</t>
        </is>
      </c>
      <c r="E292" s="7" t="inlineStr">
        <is>
          <t>C</t>
        </is>
      </c>
      <c r="F292" s="13" t="n">
        <v>1</v>
      </c>
      <c r="G292" s="13" t="n">
        <v>1</v>
      </c>
      <c r="H292" s="8" t="n">
        <v>7.7117</v>
      </c>
      <c r="I292" s="8" t="n">
        <v>7.7117</v>
      </c>
      <c r="J292" s="8" t="n">
        <v>7.7117</v>
      </c>
      <c r="K292" s="8" t="n"/>
      <c r="L292" s="8" t="n"/>
      <c r="M292" s="8" t="n"/>
      <c r="N292" s="8" t="n"/>
      <c r="O292" s="8" t="n"/>
      <c r="P292" s="8" t="n"/>
      <c r="Q292" s="8" t="n"/>
      <c r="R292" s="8" t="n"/>
      <c r="S292" s="8" t="n"/>
      <c r="T292" s="7" t="inlineStr">
        <is>
          <t>SEM COTAÇÃO</t>
        </is>
      </c>
      <c r="U292" s="8" t="n"/>
      <c r="V292" s="14" t="n"/>
      <c r="W292" s="14" t="n"/>
      <c r="X292" s="7" t="inlineStr"/>
      <c r="Y292" s="7" t="inlineStr"/>
    </row>
    <row r="293">
      <c r="A293" s="7" t="n">
        <v>635851</v>
      </c>
      <c r="B293" s="12" t="inlineStr">
        <is>
          <t>070330717534</t>
        </is>
      </c>
      <c r="C293" s="7" t="inlineStr">
        <is>
          <t>AP BARB BIC COMFORT3 PELE NORMAL C/ 2</t>
        </is>
      </c>
      <c r="D293" s="7" t="inlineStr">
        <is>
          <t>PERF/COSME</t>
        </is>
      </c>
      <c r="E293" s="7" t="inlineStr">
        <is>
          <t>C</t>
        </is>
      </c>
      <c r="F293" s="13" t="n">
        <v>1</v>
      </c>
      <c r="G293" s="13" t="n">
        <v>1</v>
      </c>
      <c r="H293" s="8" t="n">
        <v>7.7117</v>
      </c>
      <c r="I293" s="8" t="n">
        <v>7.7117</v>
      </c>
      <c r="J293" s="8" t="n">
        <v>7.7117</v>
      </c>
      <c r="K293" s="8" t="n"/>
      <c r="L293" s="8" t="n"/>
      <c r="M293" s="8" t="n"/>
      <c r="N293" s="8" t="n"/>
      <c r="O293" s="8" t="n"/>
      <c r="P293" s="8" t="n"/>
      <c r="Q293" s="8" t="n"/>
      <c r="R293" s="8" t="n"/>
      <c r="S293" s="8" t="n"/>
      <c r="T293" s="7" t="inlineStr">
        <is>
          <t>SEM COTAÇÃO</t>
        </is>
      </c>
      <c r="U293" s="8" t="n"/>
      <c r="V293" s="14" t="n"/>
      <c r="W293" s="14" t="n"/>
      <c r="X293" s="7" t="inlineStr"/>
      <c r="Y293" s="7" t="inlineStr"/>
    </row>
    <row r="294">
      <c r="A294" s="7" t="n">
        <v>651021</v>
      </c>
      <c r="B294" s="12" t="inlineStr">
        <is>
          <t>070330717510</t>
        </is>
      </c>
      <c r="C294" s="7" t="inlineStr">
        <is>
          <t>AP BARB BIC COMFORT3 PELE NORMAL C/2 AZ</t>
        </is>
      </c>
      <c r="D294" s="7" t="inlineStr">
        <is>
          <t>BARBEADORES</t>
        </is>
      </c>
      <c r="E294" s="7" t="inlineStr">
        <is>
          <t>C</t>
        </is>
      </c>
      <c r="F294" s="13" t="n">
        <v>1</v>
      </c>
      <c r="G294" s="13" t="n">
        <v>1</v>
      </c>
      <c r="H294" s="8" t="n">
        <v>9.630000000000001</v>
      </c>
      <c r="I294" s="8" t="n">
        <v>9.630000000000001</v>
      </c>
      <c r="J294" s="8" t="n">
        <v>9.630000000000001</v>
      </c>
      <c r="K294" s="8" t="n"/>
      <c r="L294" s="8" t="n"/>
      <c r="M294" s="8" t="n"/>
      <c r="N294" s="8" t="n"/>
      <c r="O294" s="8" t="n"/>
      <c r="P294" s="8" t="n"/>
      <c r="Q294" s="8" t="n"/>
      <c r="R294" s="8" t="n"/>
      <c r="S294" s="8" t="n"/>
      <c r="T294" s="7" t="inlineStr">
        <is>
          <t>SEM COTAÇÃO</t>
        </is>
      </c>
      <c r="U294" s="8" t="n"/>
      <c r="V294" s="14" t="n"/>
      <c r="W294" s="14" t="n"/>
      <c r="X294" s="7" t="inlineStr"/>
      <c r="Y294" s="7" t="inlineStr"/>
    </row>
    <row r="295">
      <c r="A295" s="7" t="n">
        <v>602921</v>
      </c>
      <c r="B295" s="12" t="inlineStr">
        <is>
          <t>070330717565</t>
        </is>
      </c>
      <c r="C295" s="7" t="inlineStr">
        <is>
          <t>AP BARB BIC COMFORT3 PELE SENS C/ 2</t>
        </is>
      </c>
      <c r="D295" s="7" t="inlineStr">
        <is>
          <t>PERF/COSME</t>
        </is>
      </c>
      <c r="E295" s="7" t="inlineStr">
        <is>
          <t>C</t>
        </is>
      </c>
      <c r="F295" s="13" t="n">
        <v>1</v>
      </c>
      <c r="G295" s="13" t="n">
        <v>4</v>
      </c>
      <c r="H295" s="8" t="n">
        <v>7.8167</v>
      </c>
      <c r="I295" s="8" t="n">
        <v>7.8167</v>
      </c>
      <c r="J295" s="8" t="n">
        <v>7.8167</v>
      </c>
      <c r="K295" s="8" t="n"/>
      <c r="L295" s="8" t="n"/>
      <c r="M295" s="8" t="n"/>
      <c r="N295" s="8" t="n"/>
      <c r="O295" s="8" t="n"/>
      <c r="P295" s="8" t="n"/>
      <c r="Q295" s="8" t="n"/>
      <c r="R295" s="8" t="n"/>
      <c r="S295" s="8" t="n"/>
      <c r="T295" s="7" t="inlineStr">
        <is>
          <t>SEM COTAÇÃO</t>
        </is>
      </c>
      <c r="U295" s="8" t="n"/>
      <c r="V295" s="14" t="n"/>
      <c r="W295" s="14" t="n"/>
      <c r="X295" s="7" t="inlineStr"/>
      <c r="Y295" s="7" t="inlineStr"/>
    </row>
    <row r="296">
      <c r="A296" s="7" t="n">
        <v>650971</v>
      </c>
      <c r="B296" s="12" t="inlineStr">
        <is>
          <t>7501843503404</t>
        </is>
      </c>
      <c r="C296" s="7" t="inlineStr">
        <is>
          <t>AP BARB BIC FLEX3 AZUL 12X1</t>
        </is>
      </c>
      <c r="D296" s="7" t="inlineStr">
        <is>
          <t>BARBEADORES</t>
        </is>
      </c>
      <c r="E296" s="7" t="inlineStr">
        <is>
          <t>C</t>
        </is>
      </c>
      <c r="F296" s="13" t="n">
        <v>1</v>
      </c>
      <c r="G296" s="13" t="n">
        <v>1</v>
      </c>
      <c r="H296" s="8" t="n">
        <v>5.6133</v>
      </c>
      <c r="I296" s="8" t="n">
        <v>5.6133</v>
      </c>
      <c r="J296" s="8" t="n">
        <v>5.6133</v>
      </c>
      <c r="K296" s="8" t="n"/>
      <c r="L296" s="8" t="n"/>
      <c r="M296" s="8" t="n"/>
      <c r="N296" s="8" t="n"/>
      <c r="O296" s="8" t="n"/>
      <c r="P296" s="8" t="n"/>
      <c r="Q296" s="8" t="n"/>
      <c r="R296" s="8" t="n"/>
      <c r="S296" s="8" t="n"/>
      <c r="T296" s="7" t="inlineStr">
        <is>
          <t>SEM COTAÇÃO</t>
        </is>
      </c>
      <c r="U296" s="8" t="n"/>
      <c r="V296" s="14" t="n"/>
      <c r="W296" s="14" t="n"/>
      <c r="X296" s="7" t="inlineStr"/>
      <c r="Y296" s="7" t="inlineStr"/>
    </row>
    <row r="297">
      <c r="A297" s="7" t="n">
        <v>602911</v>
      </c>
      <c r="B297" s="12" t="inlineStr">
        <is>
          <t>070330703629</t>
        </is>
      </c>
      <c r="C297" s="7" t="inlineStr">
        <is>
          <t>AP BARB BIC SENSITIVE AMARELO PAR</t>
        </is>
      </c>
      <c r="D297" s="7" t="inlineStr">
        <is>
          <t>PERF/COSME</t>
        </is>
      </c>
      <c r="E297" s="7" t="inlineStr">
        <is>
          <t>C</t>
        </is>
      </c>
      <c r="F297" s="13" t="n">
        <v>1</v>
      </c>
      <c r="G297" s="13" t="n">
        <v>5</v>
      </c>
      <c r="H297" s="8" t="n">
        <v>2.435</v>
      </c>
      <c r="I297" s="8" t="n">
        <v>2.435</v>
      </c>
      <c r="J297" s="8" t="n">
        <v>2.435</v>
      </c>
      <c r="K297" s="8" t="n"/>
      <c r="L297" s="8" t="n"/>
      <c r="M297" s="8" t="n"/>
      <c r="N297" s="8" t="n"/>
      <c r="O297" s="8" t="n"/>
      <c r="P297" s="8" t="n"/>
      <c r="Q297" s="8" t="n"/>
      <c r="R297" s="8" t="n"/>
      <c r="S297" s="8" t="n"/>
      <c r="T297" s="7" t="inlineStr">
        <is>
          <t>SEM COTAÇÃO</t>
        </is>
      </c>
      <c r="U297" s="8" t="n"/>
      <c r="V297" s="14" t="n"/>
      <c r="W297" s="14" t="n"/>
      <c r="X297" s="7" t="inlineStr"/>
      <c r="Y297" s="7" t="inlineStr"/>
    </row>
    <row r="298">
      <c r="A298" s="7" t="n">
        <v>597991</v>
      </c>
      <c r="B298" s="12" t="inlineStr">
        <is>
          <t>7890000218269</t>
        </is>
      </c>
      <c r="C298" s="7" t="inlineStr">
        <is>
          <t>AP DEP BIC COMFORT2 WOMEN 2X12 ROSA</t>
        </is>
      </c>
      <c r="D298" s="7" t="inlineStr">
        <is>
          <t>COND/SHAM/CREM/SIMILARES</t>
        </is>
      </c>
      <c r="E298" s="7" t="inlineStr">
        <is>
          <t>C</t>
        </is>
      </c>
      <c r="F298" s="13" t="n">
        <v>1</v>
      </c>
      <c r="G298" s="13" t="n">
        <v>1</v>
      </c>
      <c r="H298" s="8" t="n">
        <v>4.9308</v>
      </c>
      <c r="I298" s="8" t="n">
        <v>4.9308</v>
      </c>
      <c r="J298" s="8" t="n">
        <v>4.9308</v>
      </c>
      <c r="K298" s="8" t="n"/>
      <c r="L298" s="8" t="n"/>
      <c r="M298" s="8" t="n"/>
      <c r="N298" s="8" t="n"/>
      <c r="O298" s="8" t="n"/>
      <c r="P298" s="8" t="n"/>
      <c r="Q298" s="8" t="n"/>
      <c r="R298" s="8" t="n"/>
      <c r="S298" s="8" t="n"/>
      <c r="T298" s="7" t="inlineStr">
        <is>
          <t>SEM COTAÇÃO</t>
        </is>
      </c>
      <c r="U298" s="8" t="n"/>
      <c r="V298" s="14" t="n"/>
      <c r="W298" s="14" t="n"/>
      <c r="X298" s="7" t="inlineStr"/>
      <c r="Y298" s="7" t="inlineStr"/>
    </row>
    <row r="299">
      <c r="A299" s="7" t="n">
        <v>650991</v>
      </c>
      <c r="B299" s="12" t="inlineStr">
        <is>
          <t>07890000392013</t>
        </is>
      </c>
      <c r="C299" s="7" t="inlineStr">
        <is>
          <t>AP DEP BIC COMFORT2 WOMEN L5P4</t>
        </is>
      </c>
      <c r="D299" s="7" t="inlineStr">
        <is>
          <t>BARBEADORES</t>
        </is>
      </c>
      <c r="E299" s="7" t="inlineStr">
        <is>
          <t>C</t>
        </is>
      </c>
      <c r="F299" s="13" t="n">
        <v>1</v>
      </c>
      <c r="G299" s="13" t="n">
        <v>1</v>
      </c>
      <c r="H299" s="8" t="n">
        <v>9.67</v>
      </c>
      <c r="I299" s="8" t="n">
        <v>9.67</v>
      </c>
      <c r="J299" s="8" t="n">
        <v>9.67</v>
      </c>
      <c r="K299" s="8" t="n"/>
      <c r="L299" s="8" t="n"/>
      <c r="M299" s="8" t="n"/>
      <c r="N299" s="8" t="n"/>
      <c r="O299" s="8" t="n"/>
      <c r="P299" s="8" t="n"/>
      <c r="Q299" s="8" t="n"/>
      <c r="R299" s="8" t="n"/>
      <c r="S299" s="8" t="n"/>
      <c r="T299" s="7" t="inlineStr">
        <is>
          <t>SEM COTAÇÃO</t>
        </is>
      </c>
      <c r="U299" s="8" t="n"/>
      <c r="V299" s="14" t="n"/>
      <c r="W299" s="14" t="n"/>
      <c r="X299" s="7" t="inlineStr"/>
      <c r="Y299" s="7" t="inlineStr"/>
    </row>
    <row r="300">
      <c r="A300" s="7" t="n">
        <v>651011</v>
      </c>
      <c r="B300" s="12" t="inlineStr">
        <is>
          <t>0070330738133</t>
        </is>
      </c>
      <c r="C300" s="7" t="inlineStr">
        <is>
          <t>AP DEP BIC SOLEIL TRIMMER ROSA/ROXO C/2</t>
        </is>
      </c>
      <c r="D300" s="7" t="inlineStr">
        <is>
          <t>BARBEADORES</t>
        </is>
      </c>
      <c r="E300" s="7" t="inlineStr">
        <is>
          <t>C</t>
        </is>
      </c>
      <c r="F300" s="13" t="n">
        <v>1</v>
      </c>
      <c r="G300" s="13" t="n">
        <v>1</v>
      </c>
      <c r="H300" s="8" t="n">
        <v>12.67</v>
      </c>
      <c r="I300" s="8" t="n">
        <v>12.67</v>
      </c>
      <c r="J300" s="8" t="n">
        <v>12.67</v>
      </c>
      <c r="K300" s="8" t="n"/>
      <c r="L300" s="8" t="n"/>
      <c r="M300" s="8" t="n"/>
      <c r="N300" s="8" t="n"/>
      <c r="O300" s="8" t="n"/>
      <c r="P300" s="8" t="n"/>
      <c r="Q300" s="8" t="n"/>
      <c r="R300" s="8" t="n"/>
      <c r="S300" s="8" t="n"/>
      <c r="T300" s="7" t="inlineStr">
        <is>
          <t>SEM COTAÇÃO</t>
        </is>
      </c>
      <c r="U300" s="8" t="n"/>
      <c r="V300" s="14" t="n"/>
      <c r="W300" s="14" t="n"/>
      <c r="X300" s="7" t="inlineStr"/>
      <c r="Y300" s="7" t="inlineStr"/>
    </row>
    <row r="301">
      <c r="A301" s="7" t="n">
        <v>635871</v>
      </c>
      <c r="B301" s="12" t="inlineStr">
        <is>
          <t>070330731806</t>
        </is>
      </c>
      <c r="C301" s="7" t="inlineStr">
        <is>
          <t>AP DEP BIC SOLEIL3 ROSA C/ 2 UN</t>
        </is>
      </c>
      <c r="D301" s="7" t="inlineStr">
        <is>
          <t>PERF/COSME</t>
        </is>
      </c>
      <c r="E301" s="7" t="inlineStr">
        <is>
          <t>C</t>
        </is>
      </c>
      <c r="F301" s="13" t="n">
        <v>1</v>
      </c>
      <c r="G301" s="13" t="n">
        <v>4</v>
      </c>
      <c r="H301" s="8" t="n">
        <v>8.5183</v>
      </c>
      <c r="I301" s="8" t="n">
        <v>8.5183</v>
      </c>
      <c r="J301" s="8" t="n">
        <v>8.5183</v>
      </c>
      <c r="K301" s="8" t="n"/>
      <c r="L301" s="8" t="n"/>
      <c r="M301" s="8" t="n"/>
      <c r="N301" s="8" t="n"/>
      <c r="O301" s="8" t="n"/>
      <c r="P301" s="8" t="n"/>
      <c r="Q301" s="8" t="n"/>
      <c r="R301" s="8" t="n"/>
      <c r="S301" s="8" t="n"/>
      <c r="T301" s="7" t="inlineStr">
        <is>
          <t>SEM COTAÇÃO</t>
        </is>
      </c>
      <c r="U301" s="8" t="n"/>
      <c r="V301" s="14" t="n"/>
      <c r="W301" s="14" t="n"/>
      <c r="X301" s="7" t="inlineStr"/>
      <c r="Y301" s="7" t="inlineStr"/>
    </row>
    <row r="302">
      <c r="A302" s="7" t="n">
        <v>650961</v>
      </c>
      <c r="B302" s="12" t="inlineStr">
        <is>
          <t>0070330734425</t>
        </is>
      </c>
      <c r="C302" s="7" t="inlineStr">
        <is>
          <t>AP DEP BIC SOLEIL3 ROSA LARANJ ROXO L4P3</t>
        </is>
      </c>
      <c r="D302" s="7" t="inlineStr">
        <is>
          <t>BARBEADORES</t>
        </is>
      </c>
      <c r="E302" s="7" t="inlineStr">
        <is>
          <t>C</t>
        </is>
      </c>
      <c r="F302" s="13" t="n">
        <v>1</v>
      </c>
      <c r="G302" s="13" t="n">
        <v>1</v>
      </c>
      <c r="H302" s="8" t="n">
        <v>16.96</v>
      </c>
      <c r="I302" s="8" t="n">
        <v>16.96</v>
      </c>
      <c r="J302" s="8" t="n">
        <v>16.96</v>
      </c>
      <c r="K302" s="8" t="n"/>
      <c r="L302" s="8" t="n"/>
      <c r="M302" s="8" t="n"/>
      <c r="N302" s="8" t="n"/>
      <c r="O302" s="8" t="n"/>
      <c r="P302" s="8" t="n"/>
      <c r="Q302" s="8" t="n"/>
      <c r="R302" s="8" t="n"/>
      <c r="S302" s="8" t="n"/>
      <c r="T302" s="7" t="inlineStr">
        <is>
          <t>SEM COTAÇÃO</t>
        </is>
      </c>
      <c r="U302" s="8" t="n"/>
      <c r="V302" s="14" t="n"/>
      <c r="W302" s="14" t="n"/>
      <c r="X302" s="7" t="inlineStr"/>
      <c r="Y302" s="7" t="inlineStr"/>
    </row>
    <row r="303">
      <c r="A303" s="7" t="n">
        <v>494</v>
      </c>
      <c r="B303" s="12" t="inlineStr">
        <is>
          <t>7506339337525</t>
        </is>
      </c>
      <c r="C303" s="7" t="inlineStr">
        <is>
          <t>AP PRESTOBARBA 3 SENSE PROTECT C/2</t>
        </is>
      </c>
      <c r="D303" s="7" t="inlineStr">
        <is>
          <t>PERF/COSME</t>
        </is>
      </c>
      <c r="E303" s="7" t="inlineStr">
        <is>
          <t>A</t>
        </is>
      </c>
      <c r="F303" s="13" t="n">
        <v>1</v>
      </c>
      <c r="G303" s="13" t="n">
        <v>1</v>
      </c>
      <c r="H303" s="8" t="n">
        <v>15.21</v>
      </c>
      <c r="I303" s="8" t="n">
        <v>14</v>
      </c>
      <c r="J303" s="8" t="n">
        <v>14.40333333333333</v>
      </c>
      <c r="K303" s="8" t="n"/>
      <c r="L303" s="8" t="n"/>
      <c r="M303" s="8" t="n"/>
      <c r="N303" s="8" t="n"/>
      <c r="O303" s="8" t="n"/>
      <c r="P303" s="8" t="n"/>
      <c r="Q303" s="8" t="n"/>
      <c r="R303" s="8" t="n"/>
      <c r="S303" s="8" t="n"/>
      <c r="T303" s="7" t="inlineStr">
        <is>
          <t>SEM COTAÇÃO</t>
        </is>
      </c>
      <c r="U303" s="8" t="n"/>
      <c r="V303" s="14" t="n"/>
      <c r="W303" s="14" t="n"/>
      <c r="X303" s="7" t="inlineStr"/>
      <c r="Y303" s="7" t="inlineStr"/>
    </row>
    <row r="304">
      <c r="A304" s="7" t="n">
        <v>589801</v>
      </c>
      <c r="B304" s="12" t="inlineStr">
        <is>
          <t>7500435141536</t>
        </is>
      </c>
      <c r="C304" s="7" t="inlineStr">
        <is>
          <t>APAR GILLETTE MACH3 ACQ.REG.</t>
        </is>
      </c>
      <c r="D304" s="7" t="inlineStr">
        <is>
          <t>PERF/COSME</t>
        </is>
      </c>
      <c r="E304" s="7" t="inlineStr">
        <is>
          <t>B</t>
        </is>
      </c>
      <c r="F304" s="13" t="n">
        <v>3</v>
      </c>
      <c r="G304" s="13" t="n">
        <v>3</v>
      </c>
      <c r="H304" s="8" t="n">
        <v>21.15</v>
      </c>
      <c r="I304" s="8" t="n">
        <v>21.15</v>
      </c>
      <c r="J304" s="8" t="n">
        <v>21.15</v>
      </c>
      <c r="K304" s="8" t="n"/>
      <c r="L304" s="8" t="n"/>
      <c r="M304" s="8" t="n"/>
      <c r="N304" s="8" t="n"/>
      <c r="O304" s="8" t="n"/>
      <c r="P304" s="8" t="n"/>
      <c r="Q304" s="8" t="n"/>
      <c r="R304" s="8" t="n"/>
      <c r="S304" s="8" t="n"/>
      <c r="T304" s="7" t="inlineStr">
        <is>
          <t>SEM COTAÇÃO</t>
        </is>
      </c>
      <c r="U304" s="8" t="n"/>
      <c r="V304" s="14" t="n"/>
      <c r="W304" s="14" t="n"/>
      <c r="X304" s="7" t="inlineStr"/>
      <c r="Y304" s="7" t="inlineStr"/>
    </row>
    <row r="305">
      <c r="A305" s="7" t="n">
        <v>666011</v>
      </c>
      <c r="B305" s="12" t="inlineStr">
        <is>
          <t>7898639690586</t>
        </is>
      </c>
      <c r="C305" s="7" t="inlineStr">
        <is>
          <t>APAR PRES DIG HOME GP200 G-TECH-DEMAIS PROD</t>
        </is>
      </c>
      <c r="D305" s="7" t="inlineStr">
        <is>
          <t>RX - DIABETES</t>
        </is>
      </c>
      <c r="E305" s="7" t="inlineStr">
        <is>
          <t>C</t>
        </is>
      </c>
      <c r="F305" s="13" t="n">
        <v>2</v>
      </c>
      <c r="G305" s="13" t="n">
        <v>2</v>
      </c>
      <c r="H305" s="8" t="n">
        <v>73.03830000000001</v>
      </c>
      <c r="I305" s="8" t="n">
        <v>73.03830000000001</v>
      </c>
      <c r="J305" s="8" t="n">
        <v>73.03830000000001</v>
      </c>
      <c r="K305" s="8" t="n"/>
      <c r="L305" s="8" t="n"/>
      <c r="M305" s="8" t="n"/>
      <c r="N305" s="8" t="n"/>
      <c r="O305" s="8" t="n"/>
      <c r="P305" s="8" t="n"/>
      <c r="Q305" s="8" t="n"/>
      <c r="R305" s="8" t="n"/>
      <c r="S305" s="8" t="n"/>
      <c r="T305" s="7" t="inlineStr">
        <is>
          <t>SEM COTAÇÃO</t>
        </is>
      </c>
      <c r="U305" s="8" t="n"/>
      <c r="V305" s="14" t="n"/>
      <c r="W305" s="14" t="n"/>
      <c r="X305" s="7" t="inlineStr"/>
      <c r="Y305" s="7" t="inlineStr"/>
    </row>
    <row r="306">
      <c r="A306" s="7" t="n">
        <v>565721</v>
      </c>
      <c r="B306" s="12" t="inlineStr">
        <is>
          <t>7702018037803</t>
        </is>
      </c>
      <c r="C306" s="7" t="inlineStr">
        <is>
          <t>APAR.GILLETTE MACH3 SENSITIVE</t>
        </is>
      </c>
      <c r="D306" s="7" t="inlineStr">
        <is>
          <t>PERF/COSME</t>
        </is>
      </c>
      <c r="E306" s="7" t="inlineStr">
        <is>
          <t>B</t>
        </is>
      </c>
      <c r="F306" s="13" t="n">
        <v>3</v>
      </c>
      <c r="G306" s="13" t="n">
        <v>3</v>
      </c>
      <c r="H306" s="8" t="n">
        <v>25.19</v>
      </c>
      <c r="I306" s="8" t="n">
        <v>25.19</v>
      </c>
      <c r="J306" s="8" t="n">
        <v>25.19</v>
      </c>
      <c r="K306" s="8" t="n"/>
      <c r="L306" s="8" t="n"/>
      <c r="M306" s="8" t="n"/>
      <c r="N306" s="8" t="n"/>
      <c r="O306" s="8" t="n"/>
      <c r="P306" s="8" t="n"/>
      <c r="Q306" s="8" t="n"/>
      <c r="R306" s="8" t="n"/>
      <c r="S306" s="8" t="n"/>
      <c r="T306" s="7" t="inlineStr">
        <is>
          <t>SEM COTAÇÃO</t>
        </is>
      </c>
      <c r="U306" s="8" t="n"/>
      <c r="V306" s="14" t="n"/>
      <c r="W306" s="14" t="n"/>
      <c r="X306" s="7" t="inlineStr"/>
      <c r="Y306" s="7" t="inlineStr"/>
    </row>
    <row r="307">
      <c r="A307" s="7" t="n">
        <v>591591</v>
      </c>
      <c r="B307" s="12" t="inlineStr">
        <is>
          <t>7500435187350</t>
        </is>
      </c>
      <c r="C307" s="7" t="inlineStr">
        <is>
          <t>APAR.PROBAK II 2UNID (PAR)</t>
        </is>
      </c>
      <c r="D307" s="7" t="inlineStr">
        <is>
          <t>PERF/COSME</t>
        </is>
      </c>
      <c r="E307" s="7" t="inlineStr">
        <is>
          <t>B</t>
        </is>
      </c>
      <c r="F307" s="13" t="n">
        <v>1</v>
      </c>
      <c r="G307" s="13" t="n">
        <v>4</v>
      </c>
      <c r="H307" s="8" t="n">
        <v>1.5603</v>
      </c>
      <c r="I307" s="8" t="n">
        <v>1.433</v>
      </c>
      <c r="J307" s="8" t="n">
        <v>1.507766666666667</v>
      </c>
      <c r="K307" s="8" t="n"/>
      <c r="L307" s="8" t="n"/>
      <c r="M307" s="8" t="n"/>
      <c r="N307" s="8" t="n"/>
      <c r="O307" s="8" t="n"/>
      <c r="P307" s="8" t="n"/>
      <c r="Q307" s="8" t="n"/>
      <c r="R307" s="8" t="n"/>
      <c r="S307" s="8" t="n"/>
      <c r="T307" s="7" t="inlineStr">
        <is>
          <t>SEM COTAÇÃO</t>
        </is>
      </c>
      <c r="U307" s="8" t="n"/>
      <c r="V307" s="14" t="n"/>
      <c r="W307" s="14" t="n"/>
      <c r="X307" s="7" t="inlineStr"/>
      <c r="Y307" s="7" t="inlineStr"/>
    </row>
    <row r="308">
      <c r="A308" s="7" t="n">
        <v>667911</v>
      </c>
      <c r="B308" s="12" t="inlineStr">
        <is>
          <t>7898291219569</t>
        </is>
      </c>
      <c r="C308" s="7" t="inlineStr">
        <is>
          <t>APARELHO BOZZANO SENSITIVE 2 LAMINAS</t>
        </is>
      </c>
      <c r="D308" s="7" t="inlineStr">
        <is>
          <t>BARBEADORES</t>
        </is>
      </c>
      <c r="E308" s="7" t="inlineStr">
        <is>
          <t>C</t>
        </is>
      </c>
      <c r="F308" s="13" t="n">
        <v>1</v>
      </c>
      <c r="G308" s="13" t="n">
        <v>2</v>
      </c>
      <c r="H308" s="8" t="n">
        <v>2.4817</v>
      </c>
      <c r="I308" s="8" t="n">
        <v>2.4817</v>
      </c>
      <c r="J308" s="8" t="n">
        <v>2.4817</v>
      </c>
      <c r="K308" s="8" t="n"/>
      <c r="L308" s="8" t="n"/>
      <c r="M308" s="8" t="n"/>
      <c r="N308" s="8" t="n"/>
      <c r="O308" s="8" t="n"/>
      <c r="P308" s="8" t="n"/>
      <c r="Q308" s="8" t="n"/>
      <c r="R308" s="8" t="n"/>
      <c r="S308" s="8" t="n"/>
      <c r="T308" s="7" t="inlineStr">
        <is>
          <t>SEM COTAÇÃO</t>
        </is>
      </c>
      <c r="U308" s="8" t="n"/>
      <c r="V308" s="14" t="n"/>
      <c r="W308" s="14" t="n"/>
      <c r="X308" s="7" t="inlineStr"/>
      <c r="Y308" s="7" t="inlineStr"/>
    </row>
    <row r="309">
      <c r="A309" s="7" t="n">
        <v>668011</v>
      </c>
      <c r="B309" s="12" t="inlineStr">
        <is>
          <t>7898291219590</t>
        </is>
      </c>
      <c r="C309" s="7" t="inlineStr">
        <is>
          <t>APARELHO BOZZANO SPEED 2 LAMINAS REF 649 12X1</t>
        </is>
      </c>
      <c r="D309" s="7" t="inlineStr">
        <is>
          <t>BARBEADORES</t>
        </is>
      </c>
      <c r="E309" s="7" t="inlineStr">
        <is>
          <t>C</t>
        </is>
      </c>
      <c r="F309" s="13" t="n">
        <v>1</v>
      </c>
      <c r="G309" s="13" t="n">
        <v>3</v>
      </c>
      <c r="H309" s="8" t="n">
        <v>2.0808</v>
      </c>
      <c r="I309" s="8" t="n">
        <v>2.0808</v>
      </c>
      <c r="J309" s="8" t="n">
        <v>2.0808</v>
      </c>
      <c r="K309" s="8" t="n"/>
      <c r="L309" s="8" t="n"/>
      <c r="M309" s="8" t="n"/>
      <c r="N309" s="8" t="n"/>
      <c r="O309" s="8" t="n"/>
      <c r="P309" s="8" t="n"/>
      <c r="Q309" s="8" t="n"/>
      <c r="R309" s="8" t="n"/>
      <c r="S309" s="8" t="n"/>
      <c r="T309" s="7" t="inlineStr">
        <is>
          <t>SEM COTAÇÃO</t>
        </is>
      </c>
      <c r="U309" s="8" t="n"/>
      <c r="V309" s="14" t="n"/>
      <c r="W309" s="14" t="n"/>
      <c r="X309" s="7" t="inlineStr"/>
      <c r="Y309" s="7" t="inlineStr"/>
    </row>
    <row r="310">
      <c r="A310" s="7" t="n">
        <v>600791</v>
      </c>
      <c r="B310" s="12" t="inlineStr"/>
      <c r="C310" s="7" t="inlineStr">
        <is>
          <t>APB GILLETTE PRESTO 3 FEM C/2</t>
        </is>
      </c>
      <c r="D310" s="7" t="inlineStr">
        <is>
          <t>PERF/COSME</t>
        </is>
      </c>
      <c r="E310" s="7" t="inlineStr">
        <is>
          <t>A</t>
        </is>
      </c>
      <c r="F310" s="13" t="n">
        <v>3</v>
      </c>
      <c r="G310" s="13" t="n">
        <v>3</v>
      </c>
      <c r="H310" s="8" t="n">
        <v>18.43</v>
      </c>
      <c r="I310" s="8" t="n">
        <v>14</v>
      </c>
      <c r="J310" s="8" t="n">
        <v>15.47666666666667</v>
      </c>
      <c r="K310" s="8" t="n"/>
      <c r="L310" s="8" t="n"/>
      <c r="M310" s="8" t="n"/>
      <c r="N310" s="8" t="n"/>
      <c r="O310" s="8" t="n"/>
      <c r="P310" s="8" t="n"/>
      <c r="Q310" s="8" t="n"/>
      <c r="R310" s="8" t="n"/>
      <c r="S310" s="8" t="n"/>
      <c r="T310" s="7" t="inlineStr">
        <is>
          <t>SEM COTAÇÃO</t>
        </is>
      </c>
      <c r="U310" s="8" t="n"/>
      <c r="V310" s="14" t="n"/>
      <c r="W310" s="14" t="n"/>
      <c r="X310" s="7" t="inlineStr"/>
      <c r="Y310" s="7" t="inlineStr"/>
    </row>
    <row r="311">
      <c r="A311" s="7" t="n">
        <v>666391</v>
      </c>
      <c r="B311" s="12" t="inlineStr">
        <is>
          <t>7500435245845</t>
        </is>
      </c>
      <c r="C311" s="7" t="inlineStr">
        <is>
          <t>APB PRESTO 3 CARVAO C/12</t>
        </is>
      </c>
      <c r="D311" s="7" t="inlineStr">
        <is>
          <t>BARBEADORES</t>
        </is>
      </c>
      <c r="E311" s="7" t="inlineStr">
        <is>
          <t>A</t>
        </is>
      </c>
      <c r="F311" s="13" t="n">
        <v>2</v>
      </c>
      <c r="G311" s="13" t="n">
        <v>20</v>
      </c>
      <c r="H311" s="8" t="n">
        <v>5.0175</v>
      </c>
      <c r="I311" s="8" t="n">
        <v>4.0492</v>
      </c>
      <c r="J311" s="8" t="n">
        <v>4.371966666666666</v>
      </c>
      <c r="K311" s="8" t="n"/>
      <c r="L311" s="8" t="n"/>
      <c r="M311" s="8" t="n"/>
      <c r="N311" s="8" t="n"/>
      <c r="O311" s="8" t="n"/>
      <c r="P311" s="8" t="n"/>
      <c r="Q311" s="8" t="n"/>
      <c r="R311" s="8" t="n"/>
      <c r="S311" s="8" t="n"/>
      <c r="T311" s="7" t="inlineStr">
        <is>
          <t>SEM COTAÇÃO</t>
        </is>
      </c>
      <c r="U311" s="8" t="n"/>
      <c r="V311" s="14" t="n"/>
      <c r="W311" s="14" t="n"/>
      <c r="X311" s="7" t="inlineStr"/>
      <c r="Y311" s="7" t="inlineStr"/>
    </row>
    <row r="312">
      <c r="A312" s="7" t="n">
        <v>647171</v>
      </c>
      <c r="B312" s="12" t="inlineStr">
        <is>
          <t>7500435245821</t>
        </is>
      </c>
      <c r="C312" s="7" t="inlineStr">
        <is>
          <t>APB PRESTO 3 CARVAO C/2</t>
        </is>
      </c>
      <c r="D312" s="7" t="inlineStr">
        <is>
          <t>BARBEADORES</t>
        </is>
      </c>
      <c r="E312" s="7" t="inlineStr">
        <is>
          <t>C</t>
        </is>
      </c>
      <c r="F312" s="13" t="n">
        <v>3</v>
      </c>
      <c r="G312" s="13" t="n">
        <v>3</v>
      </c>
      <c r="H312" s="8" t="n">
        <v>3.33</v>
      </c>
      <c r="I312" s="8" t="n">
        <v>3.33</v>
      </c>
      <c r="J312" s="8" t="n">
        <v>3.33</v>
      </c>
      <c r="K312" s="8" t="n"/>
      <c r="L312" s="8" t="n"/>
      <c r="M312" s="8" t="n"/>
      <c r="N312" s="8" t="n"/>
      <c r="O312" s="8" t="n"/>
      <c r="P312" s="8" t="n"/>
      <c r="Q312" s="8" t="n"/>
      <c r="R312" s="8" t="n"/>
      <c r="S312" s="8" t="n"/>
      <c r="T312" s="7" t="inlineStr">
        <is>
          <t>SEM COTAÇÃO</t>
        </is>
      </c>
      <c r="U312" s="8" t="n"/>
      <c r="V312" s="14" t="n"/>
      <c r="W312" s="14" t="n"/>
      <c r="X312" s="7" t="inlineStr"/>
      <c r="Y312" s="7" t="inlineStr"/>
    </row>
    <row r="313">
      <c r="A313" s="7" t="n">
        <v>669711</v>
      </c>
      <c r="B313" s="12" t="inlineStr">
        <is>
          <t>7500435190541</t>
        </is>
      </c>
      <c r="C313" s="7" t="inlineStr">
        <is>
          <t>APB PRESTO 3 DERMA PROTECAO C/2</t>
        </is>
      </c>
      <c r="D313" s="7" t="inlineStr">
        <is>
          <t>BARBEADORES</t>
        </is>
      </c>
      <c r="E313" s="7" t="inlineStr">
        <is>
          <t>B</t>
        </is>
      </c>
      <c r="F313" s="13" t="n">
        <v>3</v>
      </c>
      <c r="G313" s="13" t="n">
        <v>3</v>
      </c>
      <c r="H313" s="8" t="n">
        <v>16.13</v>
      </c>
      <c r="I313" s="8" t="n">
        <v>16</v>
      </c>
      <c r="J313" s="8" t="n">
        <v>16</v>
      </c>
      <c r="K313" s="8" t="n"/>
      <c r="L313" s="8" t="n"/>
      <c r="M313" s="8" t="n"/>
      <c r="N313" s="8" t="n"/>
      <c r="O313" s="8" t="n"/>
      <c r="P313" s="8" t="n"/>
      <c r="Q313" s="8" t="n"/>
      <c r="R313" s="8" t="n"/>
      <c r="S313" s="8" t="n"/>
      <c r="T313" s="7" t="inlineStr">
        <is>
          <t>SEM COTAÇÃO</t>
        </is>
      </c>
      <c r="U313" s="8" t="n"/>
      <c r="V313" s="14" t="n"/>
      <c r="W313" s="14" t="n"/>
      <c r="X313" s="7" t="inlineStr"/>
      <c r="Y313" s="7" t="inlineStr"/>
    </row>
    <row r="314">
      <c r="A314" s="7" t="n">
        <v>657501</v>
      </c>
      <c r="B314" s="12" t="inlineStr">
        <is>
          <t>7500435172561</t>
        </is>
      </c>
      <c r="C314" s="7" t="inlineStr">
        <is>
          <t>APB VENUS SENSITIVE LEV 4 PAG 3</t>
        </is>
      </c>
      <c r="D314" s="7" t="inlineStr">
        <is>
          <t>BARBEADORES</t>
        </is>
      </c>
      <c r="E314" s="7" t="inlineStr">
        <is>
          <t>B</t>
        </is>
      </c>
      <c r="F314" s="13" t="n">
        <v>1</v>
      </c>
      <c r="G314" s="13" t="n">
        <v>1</v>
      </c>
      <c r="H314" s="8" t="n">
        <v>24.21</v>
      </c>
      <c r="I314" s="8" t="n">
        <v>24.21</v>
      </c>
      <c r="J314" s="8" t="n">
        <v>24.21</v>
      </c>
      <c r="K314" s="8" t="n"/>
      <c r="L314" s="8" t="n"/>
      <c r="M314" s="8" t="n"/>
      <c r="N314" s="8" t="n"/>
      <c r="O314" s="8" t="n"/>
      <c r="P314" s="8" t="n"/>
      <c r="Q314" s="8" t="n"/>
      <c r="R314" s="8" t="n"/>
      <c r="S314" s="8" t="n"/>
      <c r="T314" s="7" t="inlineStr">
        <is>
          <t>SEM COTAÇÃO</t>
        </is>
      </c>
      <c r="U314" s="8" t="n"/>
      <c r="V314" s="14" t="n"/>
      <c r="W314" s="14" t="n"/>
      <c r="X314" s="7" t="inlineStr"/>
      <c r="Y314" s="7" t="inlineStr"/>
    </row>
    <row r="315">
      <c r="A315" s="7" t="n">
        <v>622451</v>
      </c>
      <c r="B315" s="12" t="inlineStr">
        <is>
          <t>7702018072439</t>
        </is>
      </c>
      <c r="C315" s="7" t="inlineStr">
        <is>
          <t>APB VENUS SIMPLY UNID</t>
        </is>
      </c>
      <c r="D315" s="7" t="inlineStr">
        <is>
          <t>PERF/COSME</t>
        </is>
      </c>
      <c r="E315" s="7" t="inlineStr">
        <is>
          <t>C</t>
        </is>
      </c>
      <c r="F315" s="13" t="n">
        <v>1</v>
      </c>
      <c r="G315" s="13" t="n">
        <v>1</v>
      </c>
      <c r="H315" s="8" t="n">
        <v>6.95</v>
      </c>
      <c r="I315" s="8" t="n">
        <v>6.95</v>
      </c>
      <c r="J315" s="8" t="n">
        <v>6.95</v>
      </c>
      <c r="K315" s="8" t="n"/>
      <c r="L315" s="8" t="n"/>
      <c r="M315" s="8" t="n"/>
      <c r="N315" s="8" t="n"/>
      <c r="O315" s="8" t="n"/>
      <c r="P315" s="8" t="n"/>
      <c r="Q315" s="8" t="n"/>
      <c r="R315" s="8" t="n"/>
      <c r="S315" s="8" t="n"/>
      <c r="T315" s="7" t="inlineStr">
        <is>
          <t>SEM COTAÇÃO</t>
        </is>
      </c>
      <c r="U315" s="8" t="n"/>
      <c r="V315" s="14" t="n"/>
      <c r="W315" s="14" t="n"/>
      <c r="X315" s="7" t="inlineStr"/>
      <c r="Y315" s="7" t="inlineStr"/>
    </row>
    <row r="316">
      <c r="A316" s="7" t="n">
        <v>633571</v>
      </c>
      <c r="B316" s="12" t="inlineStr">
        <is>
          <t>7500435105699</t>
        </is>
      </c>
      <c r="C316" s="7" t="inlineStr">
        <is>
          <t>APB VENUS TROPICAL C/3</t>
        </is>
      </c>
      <c r="D316" s="7" t="inlineStr">
        <is>
          <t>PERF/COSME</t>
        </is>
      </c>
      <c r="E316" s="7" t="inlineStr">
        <is>
          <t>C</t>
        </is>
      </c>
      <c r="F316" s="13" t="n">
        <v>1</v>
      </c>
      <c r="G316" s="13" t="n">
        <v>1</v>
      </c>
      <c r="H316" s="8" t="n">
        <v>28.21</v>
      </c>
      <c r="I316" s="8" t="n">
        <v>28.21</v>
      </c>
      <c r="J316" s="8" t="n">
        <v>28.21</v>
      </c>
      <c r="K316" s="8" t="n"/>
      <c r="L316" s="8" t="n"/>
      <c r="M316" s="8" t="n"/>
      <c r="N316" s="8" t="n"/>
      <c r="O316" s="8" t="n"/>
      <c r="P316" s="8" t="n"/>
      <c r="Q316" s="8" t="n"/>
      <c r="R316" s="8" t="n"/>
      <c r="S316" s="8" t="n"/>
      <c r="T316" s="7" t="inlineStr">
        <is>
          <t>SEM COTAÇÃO</t>
        </is>
      </c>
      <c r="U316" s="8" t="n"/>
      <c r="V316" s="14" t="n"/>
      <c r="W316" s="14" t="n"/>
      <c r="X316" s="7" t="inlineStr"/>
      <c r="Y316" s="7" t="inlineStr"/>
    </row>
    <row r="317">
      <c r="A317" s="7" t="n">
        <v>533061</v>
      </c>
      <c r="B317" s="12" t="inlineStr">
        <is>
          <t>7899620915091</t>
        </is>
      </c>
      <c r="C317" s="7" t="inlineStr">
        <is>
          <t>APETISINA BC 240ML MORANGO</t>
        </is>
      </c>
      <c r="D317" s="7" t="inlineStr">
        <is>
          <t>VITAMINA E SIMILARES</t>
        </is>
      </c>
      <c r="E317" s="7" t="inlineStr">
        <is>
          <t>C</t>
        </is>
      </c>
      <c r="F317" s="13" t="n">
        <v>5</v>
      </c>
      <c r="G317" s="13" t="n">
        <v>5</v>
      </c>
      <c r="H317" s="8" t="n">
        <v>4.35</v>
      </c>
      <c r="I317" s="8" t="n">
        <v>4.35</v>
      </c>
      <c r="J317" s="8" t="n">
        <v>4.35</v>
      </c>
      <c r="K317" s="15" t="n">
        <v>5.49</v>
      </c>
      <c r="L317" s="8" t="n"/>
      <c r="M317" s="8" t="n"/>
      <c r="N317" s="8" t="n">
        <v>5.84</v>
      </c>
      <c r="O317" s="8" t="n"/>
      <c r="P317" s="8" t="n"/>
      <c r="Q317" s="8" t="n"/>
      <c r="R317" s="8" t="n"/>
      <c r="S317" s="8" t="n"/>
      <c r="T317" s="7" t="inlineStr">
        <is>
          <t>DIMEC</t>
        </is>
      </c>
      <c r="U317" s="8" t="n">
        <v>5.49</v>
      </c>
      <c r="V317" s="14">
        <f>U317/J317-1</f>
        <v/>
      </c>
      <c r="W317" s="14">
        <f>U317/H317-1</f>
        <v/>
      </c>
      <c r="X317" s="16" t="inlineStr">
        <is>
          <t>ACIMA +26.2%</t>
        </is>
      </c>
      <c r="Y317" s="7" t="inlineStr"/>
    </row>
    <row r="318">
      <c r="A318" s="7" t="n">
        <v>547741</v>
      </c>
      <c r="B318" s="12" t="inlineStr">
        <is>
          <t>7899620910584</t>
        </is>
      </c>
      <c r="C318" s="7" t="inlineStr">
        <is>
          <t>APETISINA BC 240ML UVA</t>
        </is>
      </c>
      <c r="D318" s="7" t="inlineStr">
        <is>
          <t>VITAMINA E SIMILARES</t>
        </is>
      </c>
      <c r="E318" s="7" t="inlineStr">
        <is>
          <t>C</t>
        </is>
      </c>
      <c r="F318" s="13" t="n">
        <v>4</v>
      </c>
      <c r="G318" s="13" t="n">
        <v>4</v>
      </c>
      <c r="H318" s="8" t="n">
        <v>5.48</v>
      </c>
      <c r="I318" s="8" t="n">
        <v>4.8</v>
      </c>
      <c r="J318" s="8" t="n">
        <v>5.253333333333334</v>
      </c>
      <c r="K318" s="15" t="n">
        <v>5.49</v>
      </c>
      <c r="L318" s="8" t="n"/>
      <c r="M318" s="8" t="n"/>
      <c r="N318" s="8" t="n">
        <v>5.84</v>
      </c>
      <c r="O318" s="8" t="n"/>
      <c r="P318" s="8" t="n"/>
      <c r="Q318" s="8" t="n"/>
      <c r="R318" s="8" t="n"/>
      <c r="S318" s="8" t="n"/>
      <c r="T318" s="7" t="inlineStr">
        <is>
          <t>DIMEC</t>
        </is>
      </c>
      <c r="U318" s="8" t="n">
        <v>5.49</v>
      </c>
      <c r="V318" s="14">
        <f>U318/J318-1</f>
        <v/>
      </c>
      <c r="W318" s="14">
        <f>U318/H318-1</f>
        <v/>
      </c>
      <c r="X318" s="16" t="inlineStr">
        <is>
          <t>ACIMA +0.2%</t>
        </is>
      </c>
      <c r="Y318" s="7" t="inlineStr"/>
    </row>
    <row r="319">
      <c r="A319" s="7" t="n">
        <v>135641</v>
      </c>
      <c r="B319" s="12" t="inlineStr">
        <is>
          <t>7898014560343</t>
        </is>
      </c>
      <c r="C319" s="7" t="inlineStr">
        <is>
          <t>APETIVAN BC XPE CT FR PLAS AMB X 240 ML</t>
        </is>
      </c>
      <c r="D319" s="7" t="inlineStr">
        <is>
          <t>SIMILAR</t>
        </is>
      </c>
      <c r="E319" s="7" t="inlineStr">
        <is>
          <t>C</t>
        </is>
      </c>
      <c r="F319" s="13" t="n">
        <v>3</v>
      </c>
      <c r="G319" s="13" t="n">
        <v>3</v>
      </c>
      <c r="H319" s="8" t="n">
        <v>7.09</v>
      </c>
      <c r="I319" s="8" t="n">
        <v>7.09</v>
      </c>
      <c r="J319" s="8" t="n">
        <v>7.09</v>
      </c>
      <c r="K319" s="8" t="n"/>
      <c r="L319" s="8" t="n"/>
      <c r="M319" s="8" t="n"/>
      <c r="N319" s="8" t="n"/>
      <c r="O319" s="8" t="n"/>
      <c r="P319" s="8" t="n"/>
      <c r="Q319" s="8" t="n"/>
      <c r="R319" s="8" t="n"/>
      <c r="S319" s="8" t="n"/>
      <c r="T319" s="7" t="inlineStr">
        <is>
          <t>SEM COTAÇÃO</t>
        </is>
      </c>
      <c r="U319" s="8" t="n"/>
      <c r="V319" s="14" t="n"/>
      <c r="W319" s="14" t="n"/>
      <c r="X319" s="7" t="inlineStr"/>
      <c r="Y319" s="7" t="inlineStr"/>
    </row>
    <row r="320">
      <c r="A320" s="7" t="n">
        <v>149921</v>
      </c>
      <c r="B320" s="12" t="inlineStr">
        <is>
          <t>7896261018181</t>
        </is>
      </c>
      <c r="C320" s="7" t="inlineStr">
        <is>
          <t>APRESOLINA 25MG CX 20 DRG</t>
        </is>
      </c>
      <c r="D320" s="7" t="inlineStr">
        <is>
          <t>RX</t>
        </is>
      </c>
      <c r="E320" s="7" t="inlineStr">
        <is>
          <t>A</t>
        </is>
      </c>
      <c r="F320" s="13" t="n">
        <v>5</v>
      </c>
      <c r="G320" s="13" t="n">
        <v>5</v>
      </c>
      <c r="H320" s="8" t="n">
        <v>7.9631</v>
      </c>
      <c r="I320" s="8" t="n">
        <v>6.64</v>
      </c>
      <c r="J320" s="8" t="n">
        <v>7.3638</v>
      </c>
      <c r="K320" s="8" t="n"/>
      <c r="L320" s="8" t="n"/>
      <c r="M320" s="8" t="n"/>
      <c r="N320" s="8" t="n"/>
      <c r="O320" s="15" t="n">
        <v>7.43</v>
      </c>
      <c r="P320" s="8" t="n">
        <v>7.663</v>
      </c>
      <c r="Q320" s="8" t="n"/>
      <c r="R320" s="8" t="n"/>
      <c r="S320" s="8" t="n"/>
      <c r="T320" s="7" t="inlineStr">
        <is>
          <t>TAPAJOS</t>
        </is>
      </c>
      <c r="U320" s="8" t="n">
        <v>7.43</v>
      </c>
      <c r="V320" s="14">
        <f>U320/J320-1</f>
        <v/>
      </c>
      <c r="W320" s="14">
        <f>U320/H320-1</f>
        <v/>
      </c>
      <c r="X320" s="17" t="inlineStr">
        <is>
          <t>OK (≤ últ. compra)</t>
        </is>
      </c>
      <c r="Y320" s="7" t="inlineStr"/>
    </row>
    <row r="321">
      <c r="A321" s="7" t="n">
        <v>149961</v>
      </c>
      <c r="B321" s="12" t="inlineStr"/>
      <c r="C321" s="7" t="inlineStr">
        <is>
          <t>APRESOLINA 50MG CX 20 DRG</t>
        </is>
      </c>
      <c r="D321" s="7" t="inlineStr">
        <is>
          <t>RX</t>
        </is>
      </c>
      <c r="E321" s="7" t="inlineStr">
        <is>
          <t>A</t>
        </is>
      </c>
      <c r="F321" s="13" t="n">
        <v>1</v>
      </c>
      <c r="G321" s="13" t="n">
        <v>1</v>
      </c>
      <c r="H321" s="8" t="n">
        <v>9.93</v>
      </c>
      <c r="I321" s="8" t="n">
        <v>8.8758</v>
      </c>
      <c r="J321" s="8" t="n">
        <v>9.5786</v>
      </c>
      <c r="K321" s="8" t="n"/>
      <c r="L321" s="8" t="n"/>
      <c r="M321" s="8" t="n"/>
      <c r="N321" s="8" t="n"/>
      <c r="O321" s="8" t="n"/>
      <c r="P321" s="8" t="n"/>
      <c r="Q321" s="8" t="n"/>
      <c r="R321" s="8" t="n"/>
      <c r="S321" s="8" t="n"/>
      <c r="T321" s="7" t="inlineStr">
        <is>
          <t>SEM COTAÇÃO</t>
        </is>
      </c>
      <c r="U321" s="8" t="n"/>
      <c r="V321" s="14" t="n"/>
      <c r="W321" s="14" t="n"/>
      <c r="X321" s="7" t="inlineStr"/>
      <c r="Y321" s="7" t="inlineStr"/>
    </row>
    <row r="322">
      <c r="A322" s="7" t="n">
        <v>570461</v>
      </c>
      <c r="B322" s="12" t="inlineStr">
        <is>
          <t>7891025111825</t>
        </is>
      </c>
      <c r="C322" s="7" t="inlineStr">
        <is>
          <t>APTAMIL 1 PREMIUM 800G</t>
        </is>
      </c>
      <c r="D322" s="7" t="inlineStr">
        <is>
          <t>VITAMINA E SIMILARES</t>
        </is>
      </c>
      <c r="E322" s="7" t="inlineStr">
        <is>
          <t>A</t>
        </is>
      </c>
      <c r="F322" s="13" t="n">
        <v>5</v>
      </c>
      <c r="G322" s="13" t="n">
        <v>5</v>
      </c>
      <c r="H322" s="8" t="n">
        <v>66.36499999999999</v>
      </c>
      <c r="I322" s="8" t="n">
        <v>57.9178</v>
      </c>
      <c r="J322" s="8" t="n">
        <v>63.54926666666666</v>
      </c>
      <c r="K322" s="8" t="n"/>
      <c r="L322" s="8" t="n"/>
      <c r="M322" s="15" t="n">
        <v>58.12</v>
      </c>
      <c r="N322" s="8" t="n"/>
      <c r="O322" s="8" t="n"/>
      <c r="P322" s="8" t="n">
        <v>72.18000000000001</v>
      </c>
      <c r="Q322" s="8" t="n"/>
      <c r="R322" s="8" t="n"/>
      <c r="S322" s="8" t="n"/>
      <c r="T322" s="7" t="inlineStr">
        <is>
          <t>EPAN</t>
        </is>
      </c>
      <c r="U322" s="8" t="n">
        <v>58.12</v>
      </c>
      <c r="V322" s="14">
        <f>U322/J322-1</f>
        <v/>
      </c>
      <c r="W322" s="14">
        <f>U322/H322-1</f>
        <v/>
      </c>
      <c r="X322" s="17" t="inlineStr">
        <is>
          <t>OK (≤ últ. compra)</t>
        </is>
      </c>
      <c r="Y322" s="7" t="inlineStr"/>
    </row>
    <row r="323">
      <c r="A323" s="7" t="n">
        <v>570481</v>
      </c>
      <c r="B323" s="12" t="inlineStr">
        <is>
          <t>7891025107897</t>
        </is>
      </c>
      <c r="C323" s="7" t="inlineStr">
        <is>
          <t>APTAMIL 2 800G</t>
        </is>
      </c>
      <c r="D323" s="7" t="inlineStr">
        <is>
          <t>VITAMINA E SIMILARES</t>
        </is>
      </c>
      <c r="E323" s="7" t="inlineStr">
        <is>
          <t>B</t>
        </is>
      </c>
      <c r="F323" s="13" t="n">
        <v>1</v>
      </c>
      <c r="G323" s="13" t="n">
        <v>1</v>
      </c>
      <c r="H323" s="8" t="n">
        <v>67.1267</v>
      </c>
      <c r="I323" s="8" t="n">
        <v>58.5988</v>
      </c>
      <c r="J323" s="8" t="n">
        <v>64.28406666666666</v>
      </c>
      <c r="K323" s="8" t="n"/>
      <c r="L323" s="8" t="n"/>
      <c r="M323" s="15" t="n">
        <v>57.69</v>
      </c>
      <c r="N323" s="8" t="n"/>
      <c r="O323" s="8" t="n"/>
      <c r="P323" s="8" t="n">
        <v>72.95</v>
      </c>
      <c r="Q323" s="8" t="n"/>
      <c r="R323" s="8" t="n"/>
      <c r="S323" s="8" t="n"/>
      <c r="T323" s="7" t="inlineStr">
        <is>
          <t>EPAN</t>
        </is>
      </c>
      <c r="U323" s="8" t="n">
        <v>57.69</v>
      </c>
      <c r="V323" s="14">
        <f>U323/J323-1</f>
        <v/>
      </c>
      <c r="W323" s="14">
        <f>U323/H323-1</f>
        <v/>
      </c>
      <c r="X323" s="17" t="inlineStr">
        <is>
          <t>OK (≤ menor hist.)</t>
        </is>
      </c>
      <c r="Y323" s="7" t="inlineStr"/>
    </row>
    <row r="324">
      <c r="A324" s="7" t="n">
        <v>646691</v>
      </c>
      <c r="B324" s="12" t="inlineStr">
        <is>
          <t>7891025112679</t>
        </is>
      </c>
      <c r="C324" s="7" t="inlineStr">
        <is>
          <t>APTAMIL PROFUT 1 400G-DEMAIS PROD</t>
        </is>
      </c>
      <c r="D324" s="7" t="inlineStr">
        <is>
          <t>ALIMENTOS LACTEOS, DERIVADOS E SIMILARES</t>
        </is>
      </c>
      <c r="E324" s="7" t="inlineStr">
        <is>
          <t>A</t>
        </is>
      </c>
      <c r="F324" s="13" t="n">
        <v>2</v>
      </c>
      <c r="G324" s="13" t="n">
        <v>2</v>
      </c>
      <c r="H324" s="8" t="n">
        <v>50.285</v>
      </c>
      <c r="I324" s="8" t="n">
        <v>50.285</v>
      </c>
      <c r="J324" s="8" t="n">
        <v>50.285</v>
      </c>
      <c r="K324" s="8" t="n"/>
      <c r="L324" s="8" t="n"/>
      <c r="M324" s="15" t="n">
        <v>44.01</v>
      </c>
      <c r="N324" s="8" t="n"/>
      <c r="O324" s="8" t="n"/>
      <c r="P324" s="8" t="n">
        <v>63.12</v>
      </c>
      <c r="Q324" s="8" t="n"/>
      <c r="R324" s="8" t="n"/>
      <c r="S324" s="8" t="n"/>
      <c r="T324" s="7" t="inlineStr">
        <is>
          <t>EPAN</t>
        </is>
      </c>
      <c r="U324" s="8" t="n">
        <v>44.01</v>
      </c>
      <c r="V324" s="14">
        <f>U324/J324-1</f>
        <v/>
      </c>
      <c r="W324" s="14">
        <f>U324/H324-1</f>
        <v/>
      </c>
      <c r="X324" s="17" t="inlineStr">
        <is>
          <t>OK (≤ menor hist.)</t>
        </is>
      </c>
      <c r="Y324" s="7" t="inlineStr"/>
    </row>
    <row r="325">
      <c r="A325" s="7" t="n">
        <v>570521</v>
      </c>
      <c r="B325" s="12" t="inlineStr">
        <is>
          <t>7891025107910</t>
        </is>
      </c>
      <c r="C325" s="7" t="inlineStr">
        <is>
          <t>APTANUTRI 3 800G</t>
        </is>
      </c>
      <c r="D325" s="7" t="inlineStr">
        <is>
          <t>VITAMINA E SIMILARES</t>
        </is>
      </c>
      <c r="E325" s="7" t="inlineStr">
        <is>
          <t>C</t>
        </is>
      </c>
      <c r="F325" s="13" t="n">
        <v>1</v>
      </c>
      <c r="G325" s="13" t="n">
        <v>1</v>
      </c>
      <c r="H325" s="8" t="n">
        <v>50.39</v>
      </c>
      <c r="I325" s="8" t="n">
        <v>50.39</v>
      </c>
      <c r="J325" s="8" t="n">
        <v>50.39000000000001</v>
      </c>
      <c r="K325" s="8" t="n"/>
      <c r="L325" s="8" t="n"/>
      <c r="M325" s="8" t="n"/>
      <c r="N325" s="8" t="n"/>
      <c r="O325" s="8" t="n"/>
      <c r="P325" s="15" t="n">
        <v>67.38</v>
      </c>
      <c r="Q325" s="8" t="n"/>
      <c r="R325" s="8" t="n"/>
      <c r="S325" s="8" t="n"/>
      <c r="T325" s="7" t="inlineStr">
        <is>
          <t>NAZARIA</t>
        </is>
      </c>
      <c r="U325" s="8" t="n">
        <v>67.38</v>
      </c>
      <c r="V325" s="14">
        <f>U325/J325-1</f>
        <v/>
      </c>
      <c r="W325" s="14">
        <f>U325/H325-1</f>
        <v/>
      </c>
      <c r="X325" s="16" t="inlineStr">
        <is>
          <t>ACIMA +33.7%</t>
        </is>
      </c>
      <c r="Y325" s="7" t="inlineStr"/>
    </row>
    <row r="326">
      <c r="A326" s="7" t="n">
        <v>241121</v>
      </c>
      <c r="B326" s="12" t="inlineStr">
        <is>
          <t>7897337704984</t>
        </is>
      </c>
      <c r="C326" s="7" t="inlineStr">
        <is>
          <t>ARCOXIA 90MG CX 7 COMP</t>
        </is>
      </c>
      <c r="D326" s="7" t="inlineStr">
        <is>
          <t>RX - REFERENCIA - CONTROLE</t>
        </is>
      </c>
      <c r="E326" s="7" t="inlineStr">
        <is>
          <t>B</t>
        </is>
      </c>
      <c r="F326" s="13" t="n">
        <v>1</v>
      </c>
      <c r="G326" s="13" t="n">
        <v>1</v>
      </c>
      <c r="H326" s="8" t="n">
        <v>62.92</v>
      </c>
      <c r="I326" s="8" t="n">
        <v>56.51</v>
      </c>
      <c r="J326" s="8" t="n">
        <v>60.21</v>
      </c>
      <c r="K326" s="8" t="n"/>
      <c r="L326" s="8" t="n"/>
      <c r="M326" s="8" t="n"/>
      <c r="N326" s="8" t="n"/>
      <c r="O326" s="8" t="n"/>
      <c r="P326" s="15" t="n">
        <v>63.1567</v>
      </c>
      <c r="Q326" s="8" t="n"/>
      <c r="R326" s="8" t="n"/>
      <c r="S326" s="8" t="n"/>
      <c r="T326" s="7" t="inlineStr">
        <is>
          <t>NAZARIA</t>
        </is>
      </c>
      <c r="U326" s="8" t="n">
        <v>63.1567</v>
      </c>
      <c r="V326" s="14">
        <f>U326/J326-1</f>
        <v/>
      </c>
      <c r="W326" s="14">
        <f>U326/H326-1</f>
        <v/>
      </c>
      <c r="X326" s="16" t="inlineStr">
        <is>
          <t>ACIMA +0.4%</t>
        </is>
      </c>
      <c r="Y326" s="7" t="inlineStr"/>
    </row>
    <row r="327">
      <c r="A327" s="7" t="n">
        <v>647611</v>
      </c>
      <c r="B327" s="12" t="inlineStr">
        <is>
          <t>7898392933159</t>
        </is>
      </c>
      <c r="C327" s="7" t="inlineStr">
        <is>
          <t>ARNICA POWER LIQUIDA 30ML - PHARMAKOS</t>
        </is>
      </c>
      <c r="D327" s="7" t="inlineStr">
        <is>
          <t>SIMILAR</t>
        </is>
      </c>
      <c r="E327" s="7" t="inlineStr">
        <is>
          <t>B</t>
        </is>
      </c>
      <c r="F327" s="13" t="n">
        <v>4</v>
      </c>
      <c r="G327" s="13" t="n">
        <v>4</v>
      </c>
      <c r="H327" s="8" t="n">
        <v>7.12</v>
      </c>
      <c r="I327" s="8" t="n">
        <v>7.12</v>
      </c>
      <c r="J327" s="8" t="n">
        <v>7.12</v>
      </c>
      <c r="K327" s="8" t="n"/>
      <c r="L327" s="8" t="n"/>
      <c r="M327" s="8" t="n"/>
      <c r="N327" s="8" t="n"/>
      <c r="O327" s="8" t="n"/>
      <c r="P327" s="8" t="n"/>
      <c r="Q327" s="8" t="n"/>
      <c r="R327" s="8" t="n"/>
      <c r="S327" s="8" t="n"/>
      <c r="T327" s="7" t="inlineStr">
        <is>
          <t>SEM COTAÇÃO</t>
        </is>
      </c>
      <c r="U327" s="8" t="n"/>
      <c r="V327" s="14" t="n"/>
      <c r="W327" s="14" t="n"/>
      <c r="X327" s="7" t="inlineStr"/>
      <c r="Y327" s="7" t="inlineStr"/>
    </row>
    <row r="328">
      <c r="A328" s="7" t="n">
        <v>647701</v>
      </c>
      <c r="B328" s="12" t="inlineStr">
        <is>
          <t>7898656151503</t>
        </is>
      </c>
      <c r="C328" s="7" t="inlineStr">
        <is>
          <t>ARNICOL AEROSO RELAXANTE MUSCULARL100ML/60G - DEMAZON</t>
        </is>
      </c>
      <c r="D328" s="7" t="inlineStr">
        <is>
          <t>DERMOCOSMETICOS/COSMETICOS</t>
        </is>
      </c>
      <c r="E328" s="7" t="inlineStr">
        <is>
          <t>B</t>
        </is>
      </c>
      <c r="F328" s="13" t="n">
        <v>2</v>
      </c>
      <c r="G328" s="13" t="n">
        <v>2</v>
      </c>
      <c r="H328" s="8" t="n">
        <v>23.85</v>
      </c>
      <c r="I328" s="8" t="n">
        <v>23.85</v>
      </c>
      <c r="J328" s="8" t="n">
        <v>23.85</v>
      </c>
      <c r="K328" s="8" t="n"/>
      <c r="L328" s="8" t="n"/>
      <c r="M328" s="8" t="n"/>
      <c r="N328" s="8" t="n"/>
      <c r="O328" s="8" t="n"/>
      <c r="P328" s="8" t="n"/>
      <c r="Q328" s="8" t="n"/>
      <c r="R328" s="8" t="n"/>
      <c r="S328" s="8" t="n"/>
      <c r="T328" s="7" t="inlineStr">
        <is>
          <t>SEM COTAÇÃO</t>
        </is>
      </c>
      <c r="U328" s="8" t="n"/>
      <c r="V328" s="14" t="n"/>
      <c r="W328" s="14" t="n"/>
      <c r="X328" s="7" t="inlineStr"/>
      <c r="Y328" s="7" t="inlineStr"/>
    </row>
    <row r="329">
      <c r="A329" s="7" t="n">
        <v>654771</v>
      </c>
      <c r="B329" s="12" t="inlineStr">
        <is>
          <t>7898944301016</t>
        </is>
      </c>
      <c r="C329" s="7" t="inlineStr">
        <is>
          <t>ARNICOL GEL PARA MASSAGEM TRADICIONAL 150G CX/36 - DEMAZON</t>
        </is>
      </c>
      <c r="D329" s="7" t="inlineStr">
        <is>
          <t>FITOTERAPICO</t>
        </is>
      </c>
      <c r="E329" s="7" t="inlineStr">
        <is>
          <t>C</t>
        </is>
      </c>
      <c r="F329" s="13" t="n">
        <v>1</v>
      </c>
      <c r="G329" s="13" t="n">
        <v>1</v>
      </c>
      <c r="H329" s="8" t="n">
        <v>16.4</v>
      </c>
      <c r="I329" s="8" t="n">
        <v>16.4</v>
      </c>
      <c r="J329" s="8" t="n">
        <v>16.4</v>
      </c>
      <c r="K329" s="8" t="n"/>
      <c r="L329" s="8" t="n"/>
      <c r="M329" s="8" t="n"/>
      <c r="N329" s="8" t="n"/>
      <c r="O329" s="8" t="n"/>
      <c r="P329" s="8" t="n"/>
      <c r="Q329" s="8" t="n"/>
      <c r="R329" s="8" t="n"/>
      <c r="S329" s="8" t="n"/>
      <c r="T329" s="7" t="inlineStr">
        <is>
          <t>SEM COTAÇÃO</t>
        </is>
      </c>
      <c r="U329" s="8" t="n"/>
      <c r="V329" s="14" t="n"/>
      <c r="W329" s="14" t="n"/>
      <c r="X329" s="7" t="inlineStr"/>
      <c r="Y329" s="7" t="inlineStr"/>
    </row>
    <row r="330">
      <c r="A330" s="7" t="n">
        <v>642881</v>
      </c>
      <c r="B330" s="12" t="inlineStr">
        <is>
          <t>7894913003875</t>
        </is>
      </c>
      <c r="C330" s="7" t="inlineStr">
        <is>
          <t>ARTICULAM ULTRA C/30 CAPS</t>
        </is>
      </c>
      <c r="D330" s="7" t="inlineStr">
        <is>
          <t>VITAMINA E SIMILARES</t>
        </is>
      </c>
      <c r="E330" s="7" t="inlineStr">
        <is>
          <t>B</t>
        </is>
      </c>
      <c r="F330" s="13" t="n">
        <v>2</v>
      </c>
      <c r="G330" s="13" t="n">
        <v>2</v>
      </c>
      <c r="H330" s="8" t="n">
        <v>37.6</v>
      </c>
      <c r="I330" s="8" t="n">
        <v>37.6</v>
      </c>
      <c r="J330" s="8" t="n">
        <v>37.6</v>
      </c>
      <c r="K330" s="8" t="n"/>
      <c r="L330" s="8" t="n"/>
      <c r="M330" s="8" t="n"/>
      <c r="N330" s="15" t="n">
        <v>39.71</v>
      </c>
      <c r="O330" s="8" t="n"/>
      <c r="P330" s="8" t="n"/>
      <c r="Q330" s="8" t="n"/>
      <c r="R330" s="8" t="n"/>
      <c r="S330" s="8" t="n"/>
      <c r="T330" s="7" t="inlineStr">
        <is>
          <t>CENTROFARMA</t>
        </is>
      </c>
      <c r="U330" s="8" t="n">
        <v>39.71</v>
      </c>
      <c r="V330" s="14">
        <f>U330/J330-1</f>
        <v/>
      </c>
      <c r="W330" s="14">
        <f>U330/H330-1</f>
        <v/>
      </c>
      <c r="X330" s="16" t="inlineStr">
        <is>
          <t>ACIMA +5.6%</t>
        </is>
      </c>
      <c r="Y330" s="7" t="inlineStr"/>
    </row>
    <row r="331">
      <c r="A331" s="7" t="n">
        <v>5503</v>
      </c>
      <c r="B331" s="12" t="inlineStr">
        <is>
          <t>7898767760922</t>
        </is>
      </c>
      <c r="C331" s="7" t="inlineStr">
        <is>
          <t>ARTRIFLEX 40MG C/60 CPS</t>
        </is>
      </c>
      <c r="D331" s="7" t="inlineStr">
        <is>
          <t>VITAMINA E SIMILARES</t>
        </is>
      </c>
      <c r="E331" s="7" t="inlineStr">
        <is>
          <t>C</t>
        </is>
      </c>
      <c r="F331" s="13" t="n">
        <v>1</v>
      </c>
      <c r="G331" s="13" t="n">
        <v>1</v>
      </c>
      <c r="H331" s="8" t="n">
        <v>26.99</v>
      </c>
      <c r="I331" s="8" t="n">
        <v>26.99</v>
      </c>
      <c r="J331" s="8" t="n">
        <v>26.99</v>
      </c>
      <c r="K331" s="15" t="n">
        <v>42.39</v>
      </c>
      <c r="L331" s="8" t="n"/>
      <c r="M331" s="8" t="n"/>
      <c r="N331" s="8" t="n"/>
      <c r="O331" s="8" t="n"/>
      <c r="P331" s="8" t="n"/>
      <c r="Q331" s="8" t="n"/>
      <c r="R331" s="8" t="n"/>
      <c r="S331" s="8" t="n"/>
      <c r="T331" s="7" t="inlineStr">
        <is>
          <t>DIMEC</t>
        </is>
      </c>
      <c r="U331" s="8" t="n">
        <v>42.39</v>
      </c>
      <c r="V331" s="14">
        <f>U331/J331-1</f>
        <v/>
      </c>
      <c r="W331" s="14">
        <f>U331/H331-1</f>
        <v/>
      </c>
      <c r="X331" s="16" t="inlineStr">
        <is>
          <t>ACIMA +57.1%</t>
        </is>
      </c>
      <c r="Y331" s="7" t="inlineStr"/>
    </row>
    <row r="332">
      <c r="A332" s="7" t="n">
        <v>339181</v>
      </c>
      <c r="B332" s="12" t="inlineStr">
        <is>
          <t>7898216360581</t>
        </is>
      </c>
      <c r="C332" s="7" t="inlineStr">
        <is>
          <t>ARTRITEC 7,5MG CX 10 COMP</t>
        </is>
      </c>
      <c r="D332" s="7" t="inlineStr">
        <is>
          <t>SIMILAR</t>
        </is>
      </c>
      <c r="E332" s="7" t="inlineStr">
        <is>
          <t>C</t>
        </is>
      </c>
      <c r="F332" s="13" t="n">
        <v>2</v>
      </c>
      <c r="G332" s="13" t="n">
        <v>2</v>
      </c>
      <c r="H332" s="8" t="n">
        <v>3.22</v>
      </c>
      <c r="I332" s="8" t="n">
        <v>3.22</v>
      </c>
      <c r="J332" s="8" t="n">
        <v>3.22</v>
      </c>
      <c r="K332" s="8" t="n">
        <v>3.3</v>
      </c>
      <c r="L332" s="8" t="n"/>
      <c r="M332" s="8" t="n"/>
      <c r="N332" s="8" t="n"/>
      <c r="O332" s="8" t="n"/>
      <c r="P332" s="8" t="n"/>
      <c r="Q332" s="8" t="n">
        <v>3.58</v>
      </c>
      <c r="R332" s="15" t="n">
        <v>3.2</v>
      </c>
      <c r="S332" s="8" t="n"/>
      <c r="T332" s="7" t="inlineStr">
        <is>
          <t>BRASFARMA</t>
        </is>
      </c>
      <c r="U332" s="8" t="n">
        <v>3.2</v>
      </c>
      <c r="V332" s="14">
        <f>U332/J332-1</f>
        <v/>
      </c>
      <c r="W332" s="14">
        <f>U332/H332-1</f>
        <v/>
      </c>
      <c r="X332" s="17" t="inlineStr">
        <is>
          <t>OK (≤ menor hist.)</t>
        </is>
      </c>
      <c r="Y332" s="7" t="inlineStr"/>
    </row>
    <row r="333">
      <c r="A333" s="7" t="n">
        <v>619611</v>
      </c>
      <c r="B333" s="12" t="inlineStr">
        <is>
          <t>7898636190720</t>
        </is>
      </c>
      <c r="C333" s="7" t="inlineStr">
        <is>
          <t>ASEPXIA PO COMPA MARFIM 10G</t>
        </is>
      </c>
      <c r="D333" s="7" t="inlineStr">
        <is>
          <t>RX - DERMO</t>
        </is>
      </c>
      <c r="E333" s="7" t="inlineStr">
        <is>
          <t>C</t>
        </is>
      </c>
      <c r="F333" s="13" t="n">
        <v>1</v>
      </c>
      <c r="G333" s="13" t="n">
        <v>1</v>
      </c>
      <c r="H333" s="8" t="n">
        <v>36.43</v>
      </c>
      <c r="I333" s="8" t="n">
        <v>36.43</v>
      </c>
      <c r="J333" s="8" t="n">
        <v>36.43</v>
      </c>
      <c r="K333" s="8" t="n"/>
      <c r="L333" s="8" t="n"/>
      <c r="M333" s="8" t="n"/>
      <c r="N333" s="8" t="n"/>
      <c r="O333" s="8" t="n"/>
      <c r="P333" s="8" t="n"/>
      <c r="Q333" s="8" t="n"/>
      <c r="R333" s="8" t="n"/>
      <c r="S333" s="8" t="n"/>
      <c r="T333" s="7" t="inlineStr">
        <is>
          <t>SEM COTAÇÃO</t>
        </is>
      </c>
      <c r="U333" s="8" t="n"/>
      <c r="V333" s="14" t="n"/>
      <c r="W333" s="14" t="n"/>
      <c r="X333" s="7" t="inlineStr"/>
      <c r="Y333" s="7" t="inlineStr"/>
    </row>
    <row r="334">
      <c r="A334" s="7" t="n">
        <v>632471</v>
      </c>
      <c r="B334" s="12" t="inlineStr">
        <is>
          <t>7898952193801</t>
        </is>
      </c>
      <c r="C334" s="7" t="inlineStr">
        <is>
          <t>ASPIRADOR NASAL TIPO PERINHA/9380</t>
        </is>
      </c>
      <c r="D334" s="7" t="inlineStr">
        <is>
          <t>BABY/KIDS</t>
        </is>
      </c>
      <c r="E334" s="7" t="inlineStr">
        <is>
          <t>C</t>
        </is>
      </c>
      <c r="F334" s="13" t="n">
        <v>1</v>
      </c>
      <c r="G334" s="13" t="n">
        <v>1</v>
      </c>
      <c r="H334" s="8" t="n">
        <v>12.82</v>
      </c>
      <c r="I334" s="8" t="n">
        <v>12.82</v>
      </c>
      <c r="J334" s="8" t="n">
        <v>12.82</v>
      </c>
      <c r="K334" s="8" t="n"/>
      <c r="L334" s="8" t="n"/>
      <c r="M334" s="8" t="n"/>
      <c r="N334" s="8" t="n"/>
      <c r="O334" s="8" t="n"/>
      <c r="P334" s="8" t="n"/>
      <c r="Q334" s="8" t="n"/>
      <c r="R334" s="8" t="n"/>
      <c r="S334" s="8" t="n"/>
      <c r="T334" s="7" t="inlineStr">
        <is>
          <t>SEM COTAÇÃO</t>
        </is>
      </c>
      <c r="U334" s="8" t="n"/>
      <c r="V334" s="14" t="n"/>
      <c r="W334" s="14" t="n"/>
      <c r="X334" s="7" t="inlineStr"/>
      <c r="Y334" s="7" t="inlineStr"/>
    </row>
    <row r="335">
      <c r="A335" s="7" t="n">
        <v>13901</v>
      </c>
      <c r="B335" s="12" t="inlineStr"/>
      <c r="C335" s="7" t="inlineStr">
        <is>
          <t>ASPIRINA 500MG BL X 20 COMP</t>
        </is>
      </c>
      <c r="D335" s="7" t="inlineStr">
        <is>
          <t>RX - OTC</t>
        </is>
      </c>
      <c r="E335" s="7" t="inlineStr">
        <is>
          <t>A</t>
        </is>
      </c>
      <c r="F335" s="13" t="n">
        <v>3</v>
      </c>
      <c r="G335" s="13" t="n">
        <v>3</v>
      </c>
      <c r="H335" s="8" t="n">
        <v>13.25</v>
      </c>
      <c r="I335" s="8" t="n">
        <v>12.36</v>
      </c>
      <c r="J335" s="8" t="n">
        <v>12.95333333333333</v>
      </c>
      <c r="K335" s="8" t="n"/>
      <c r="L335" s="8" t="n"/>
      <c r="M335" s="8" t="n"/>
      <c r="N335" s="8" t="n"/>
      <c r="O335" s="8" t="n"/>
      <c r="P335" s="8" t="n"/>
      <c r="Q335" s="8" t="n"/>
      <c r="R335" s="8" t="n"/>
      <c r="S335" s="8" t="n"/>
      <c r="T335" s="7" t="inlineStr">
        <is>
          <t>SEM COTAÇÃO</t>
        </is>
      </c>
      <c r="U335" s="8" t="n"/>
      <c r="V335" s="14" t="n"/>
      <c r="W335" s="14" t="n"/>
      <c r="X335" s="7" t="inlineStr"/>
      <c r="Y335" s="7" t="inlineStr"/>
    </row>
    <row r="336">
      <c r="A336" s="7" t="n">
        <v>13921</v>
      </c>
      <c r="B336" s="12" t="inlineStr">
        <is>
          <t>7891106915175</t>
        </is>
      </c>
      <c r="C336" s="7" t="inlineStr">
        <is>
          <t>ASPIRINA 500MG CX 100 COMP ACLAR</t>
        </is>
      </c>
      <c r="D336" s="7" t="inlineStr">
        <is>
          <t>RX - OTC</t>
        </is>
      </c>
      <c r="E336" s="7" t="inlineStr">
        <is>
          <t>C</t>
        </is>
      </c>
      <c r="F336" s="13" t="n">
        <v>1</v>
      </c>
      <c r="G336" s="13" t="n">
        <v>7</v>
      </c>
      <c r="H336" s="8" t="n">
        <v>8.422000000000001</v>
      </c>
      <c r="I336" s="8" t="n">
        <v>8.422000000000001</v>
      </c>
      <c r="J336" s="8" t="n">
        <v>8.422000000000001</v>
      </c>
      <c r="K336" s="8" t="n"/>
      <c r="L336" s="8" t="n"/>
      <c r="M336" s="8" t="n"/>
      <c r="N336" s="8" t="n"/>
      <c r="O336" s="8" t="n"/>
      <c r="P336" s="8" t="n"/>
      <c r="Q336" s="8" t="n"/>
      <c r="R336" s="8" t="n"/>
      <c r="S336" s="8" t="n"/>
      <c r="T336" s="7" t="inlineStr">
        <is>
          <t>SEM COTAÇÃO</t>
        </is>
      </c>
      <c r="U336" s="8" t="n"/>
      <c r="V336" s="14" t="n"/>
      <c r="W336" s="14" t="n"/>
      <c r="X336" s="7" t="inlineStr"/>
      <c r="Y336" s="7" t="inlineStr"/>
    </row>
    <row r="337">
      <c r="A337" s="7" t="n">
        <v>14001</v>
      </c>
      <c r="B337" s="12" t="inlineStr">
        <is>
          <t>7891106915151</t>
        </is>
      </c>
      <c r="C337" s="7" t="inlineStr">
        <is>
          <t>ASPIRINA C EFERVESC 400+240MG LIMÃO CARTELA</t>
        </is>
      </c>
      <c r="D337" s="7" t="inlineStr">
        <is>
          <t>RX</t>
        </is>
      </c>
      <c r="E337" s="7" t="inlineStr">
        <is>
          <t>A</t>
        </is>
      </c>
      <c r="F337" s="13" t="n">
        <v>1</v>
      </c>
      <c r="G337" s="13" t="n">
        <v>4</v>
      </c>
      <c r="H337" s="8" t="n">
        <v>7.4224</v>
      </c>
      <c r="I337" s="8" t="n">
        <v>5.736</v>
      </c>
      <c r="J337" s="8" t="n">
        <v>6.298133333333333</v>
      </c>
      <c r="K337" s="8" t="n"/>
      <c r="L337" s="8" t="n"/>
      <c r="M337" s="8" t="n"/>
      <c r="N337" s="8" t="n"/>
      <c r="O337" s="8" t="n"/>
      <c r="P337" s="15" t="n">
        <v>371.1317</v>
      </c>
      <c r="Q337" s="8" t="n"/>
      <c r="R337" s="8" t="n"/>
      <c r="S337" s="8" t="n"/>
      <c r="T337" s="7" t="inlineStr">
        <is>
          <t>NAZARIA</t>
        </is>
      </c>
      <c r="U337" s="8" t="n">
        <v>371.1317</v>
      </c>
      <c r="V337" s="14">
        <f>U337/J337-1</f>
        <v/>
      </c>
      <c r="W337" s="14">
        <f>U337/H337-1</f>
        <v/>
      </c>
      <c r="X337" s="16" t="inlineStr">
        <is>
          <t>ACIMA +4900.2%</t>
        </is>
      </c>
      <c r="Y337" s="7" t="inlineStr">
        <is>
          <t>NAZARIA: conferir emb.</t>
        </is>
      </c>
    </row>
    <row r="338">
      <c r="A338" s="7" t="n">
        <v>13301</v>
      </c>
      <c r="B338" s="12" t="inlineStr"/>
      <c r="C338" s="7" t="inlineStr">
        <is>
          <t>ASPIRINA PREVENT 100MG CX 30 COMP REV</t>
        </is>
      </c>
      <c r="D338" s="7" t="inlineStr">
        <is>
          <t>RX</t>
        </is>
      </c>
      <c r="E338" s="7" t="inlineStr">
        <is>
          <t>A</t>
        </is>
      </c>
      <c r="F338" s="13" t="n">
        <v>6</v>
      </c>
      <c r="G338" s="13" t="n">
        <v>6</v>
      </c>
      <c r="H338" s="8" t="n">
        <v>17.626</v>
      </c>
      <c r="I338" s="8" t="n">
        <v>16.8067</v>
      </c>
      <c r="J338" s="8" t="n">
        <v>17.3529</v>
      </c>
      <c r="K338" s="8" t="n"/>
      <c r="L338" s="8" t="n"/>
      <c r="M338" s="8" t="n"/>
      <c r="N338" s="8" t="n"/>
      <c r="O338" s="8" t="n"/>
      <c r="P338" s="8" t="n"/>
      <c r="Q338" s="8" t="n"/>
      <c r="R338" s="8" t="n"/>
      <c r="S338" s="8" t="n"/>
      <c r="T338" s="7" t="inlineStr">
        <is>
          <t>SEM COTAÇÃO</t>
        </is>
      </c>
      <c r="U338" s="8" t="n"/>
      <c r="V338" s="14" t="n"/>
      <c r="W338" s="14" t="n"/>
      <c r="X338" s="7" t="inlineStr"/>
      <c r="Y338" s="7" t="inlineStr"/>
    </row>
    <row r="339">
      <c r="A339" s="7" t="n">
        <v>47361</v>
      </c>
      <c r="B339" s="12" t="inlineStr">
        <is>
          <t>7891317451752</t>
        </is>
      </c>
      <c r="C339" s="7" t="inlineStr">
        <is>
          <t>ASTRO 1500MG PO SUS OR+DIL X 22ML+SER DOS</t>
        </is>
      </c>
      <c r="D339" s="7" t="inlineStr">
        <is>
          <t>RX - REFERENCIA - ATB</t>
        </is>
      </c>
      <c r="E339" s="7" t="inlineStr">
        <is>
          <t>B</t>
        </is>
      </c>
      <c r="F339" s="13" t="n">
        <v>1</v>
      </c>
      <c r="G339" s="13" t="n">
        <v>1</v>
      </c>
      <c r="H339" s="8" t="n">
        <v>77.98999999999999</v>
      </c>
      <c r="I339" s="8" t="n">
        <v>54.48</v>
      </c>
      <c r="J339" s="8" t="n">
        <v>65.08666666666666</v>
      </c>
      <c r="K339" s="8" t="n"/>
      <c r="L339" s="8" t="n"/>
      <c r="M339" s="8" t="n"/>
      <c r="N339" s="8" t="n"/>
      <c r="O339" s="15" t="n">
        <v>59.78</v>
      </c>
      <c r="P339" s="8" t="n">
        <v>62.328</v>
      </c>
      <c r="Q339" s="8" t="n"/>
      <c r="R339" s="8" t="n"/>
      <c r="S339" s="8" t="n"/>
      <c r="T339" s="7" t="inlineStr">
        <is>
          <t>TAPAJOS</t>
        </is>
      </c>
      <c r="U339" s="8" t="n">
        <v>59.78</v>
      </c>
      <c r="V339" s="14">
        <f>U339/J339-1</f>
        <v/>
      </c>
      <c r="W339" s="14">
        <f>U339/H339-1</f>
        <v/>
      </c>
      <c r="X339" s="17" t="inlineStr">
        <is>
          <t>OK (≤ últ. compra)</t>
        </is>
      </c>
      <c r="Y339" s="7" t="inlineStr"/>
    </row>
    <row r="340">
      <c r="A340" s="7" t="n">
        <v>47301</v>
      </c>
      <c r="B340" s="12" t="inlineStr">
        <is>
          <t>7891317420840</t>
        </is>
      </c>
      <c r="C340" s="7" t="inlineStr">
        <is>
          <t>ASTRO 500MG CX 5 COMP REV</t>
        </is>
      </c>
      <c r="D340" s="7" t="inlineStr">
        <is>
          <t>RX - SIMILAR - ATB</t>
        </is>
      </c>
      <c r="E340" s="7" t="inlineStr">
        <is>
          <t>B</t>
        </is>
      </c>
      <c r="F340" s="13" t="n">
        <v>1</v>
      </c>
      <c r="G340" s="13" t="n">
        <v>1</v>
      </c>
      <c r="H340" s="8" t="n">
        <v>32.28</v>
      </c>
      <c r="I340" s="8" t="n">
        <v>28.61</v>
      </c>
      <c r="J340" s="8" t="n">
        <v>30.65</v>
      </c>
      <c r="K340" s="8" t="n"/>
      <c r="L340" s="8" t="n"/>
      <c r="M340" s="8" t="n"/>
      <c r="N340" s="8" t="n"/>
      <c r="O340" s="15" t="n">
        <v>31.4</v>
      </c>
      <c r="P340" s="8" t="n">
        <v>32.732</v>
      </c>
      <c r="Q340" s="8" t="n"/>
      <c r="R340" s="8" t="n"/>
      <c r="S340" s="8" t="n"/>
      <c r="T340" s="7" t="inlineStr">
        <is>
          <t>TAPAJOS</t>
        </is>
      </c>
      <c r="U340" s="8" t="n">
        <v>31.4</v>
      </c>
      <c r="V340" s="14">
        <f>U340/J340-1</f>
        <v/>
      </c>
      <c r="W340" s="14">
        <f>U340/H340-1</f>
        <v/>
      </c>
      <c r="X340" s="17" t="inlineStr">
        <is>
          <t>OK (≤ últ. compra)</t>
        </is>
      </c>
      <c r="Y340" s="7" t="inlineStr"/>
    </row>
    <row r="341">
      <c r="A341" s="7" t="n">
        <v>47321</v>
      </c>
      <c r="B341" s="12" t="inlineStr">
        <is>
          <t>7891317412692</t>
        </is>
      </c>
      <c r="C341" s="7" t="inlineStr">
        <is>
          <t>ASTRO 600MG CX 1FA+DIL</t>
        </is>
      </c>
      <c r="D341" s="7" t="inlineStr">
        <is>
          <t>RX - REFERENCIA - ATB</t>
        </is>
      </c>
      <c r="E341" s="7" t="inlineStr">
        <is>
          <t>B</t>
        </is>
      </c>
      <c r="F341" s="13" t="n">
        <v>3</v>
      </c>
      <c r="G341" s="13" t="n">
        <v>3</v>
      </c>
      <c r="H341" s="8" t="n">
        <v>38.26</v>
      </c>
      <c r="I341" s="8" t="n">
        <v>38.26</v>
      </c>
      <c r="J341" s="8" t="n">
        <v>38.26</v>
      </c>
      <c r="K341" s="8" t="n"/>
      <c r="L341" s="8" t="n"/>
      <c r="M341" s="8" t="n"/>
      <c r="N341" s="8" t="n"/>
      <c r="O341" s="15" t="n">
        <v>41.97</v>
      </c>
      <c r="P341" s="8" t="n">
        <v>43.7668</v>
      </c>
      <c r="Q341" s="8" t="n"/>
      <c r="R341" s="8" t="n"/>
      <c r="S341" s="8" t="n"/>
      <c r="T341" s="7" t="inlineStr">
        <is>
          <t>TAPAJOS</t>
        </is>
      </c>
      <c r="U341" s="8" t="n">
        <v>41.97</v>
      </c>
      <c r="V341" s="14">
        <f>U341/J341-1</f>
        <v/>
      </c>
      <c r="W341" s="14">
        <f>U341/H341-1</f>
        <v/>
      </c>
      <c r="X341" s="16" t="inlineStr">
        <is>
          <t>ACIMA +9.7%</t>
        </is>
      </c>
      <c r="Y341" s="7" t="inlineStr"/>
    </row>
    <row r="342">
      <c r="A342" s="7" t="n">
        <v>3443</v>
      </c>
      <c r="B342" s="12" t="inlineStr">
        <is>
          <t>7898108641323</t>
        </is>
      </c>
      <c r="C342" s="7" t="inlineStr">
        <is>
          <t>ATADURA DE CREPE 06CM C/12 UND</t>
        </is>
      </c>
      <c r="D342" s="7" t="inlineStr">
        <is>
          <t>CURATIVO</t>
        </is>
      </c>
      <c r="E342" s="7" t="inlineStr">
        <is>
          <t>C</t>
        </is>
      </c>
      <c r="F342" s="13" t="n">
        <v>1</v>
      </c>
      <c r="G342" s="13" t="n">
        <v>4</v>
      </c>
      <c r="H342" s="8" t="n">
        <v>12.54</v>
      </c>
      <c r="I342" s="8" t="n">
        <v>12.54</v>
      </c>
      <c r="J342" s="8" t="n">
        <v>12.54</v>
      </c>
      <c r="K342" s="8" t="n">
        <v>1.24</v>
      </c>
      <c r="L342" s="8" t="n"/>
      <c r="M342" s="8" t="n"/>
      <c r="N342" s="15" t="n">
        <v>1.13</v>
      </c>
      <c r="O342" s="8" t="n"/>
      <c r="P342" s="8" t="n"/>
      <c r="Q342" s="8" t="n"/>
      <c r="R342" s="8" t="n"/>
      <c r="S342" s="8" t="n"/>
      <c r="T342" s="7" t="inlineStr">
        <is>
          <t>CENTROFARMA</t>
        </is>
      </c>
      <c r="U342" s="8" t="n">
        <v>1.13</v>
      </c>
      <c r="V342" s="14">
        <f>U342/J342-1</f>
        <v/>
      </c>
      <c r="W342" s="14">
        <f>U342/H342-1</f>
        <v/>
      </c>
      <c r="X342" s="17" t="inlineStr">
        <is>
          <t>OK (≤ menor hist.)</t>
        </is>
      </c>
      <c r="Y342" s="7" t="inlineStr">
        <is>
          <t>DIMEC: conferir emb.; CENTROFARMA: conferir emb.</t>
        </is>
      </c>
    </row>
    <row r="343">
      <c r="A343" s="7" t="n">
        <v>597791</v>
      </c>
      <c r="B343" s="12" t="inlineStr">
        <is>
          <t>7898933598625</t>
        </is>
      </c>
      <c r="C343" s="7" t="inlineStr">
        <is>
          <t>ATADURA DE CREPE 06CM UND</t>
        </is>
      </c>
      <c r="D343" s="7" t="inlineStr">
        <is>
          <t>CURATIVO</t>
        </is>
      </c>
      <c r="E343" s="7" t="inlineStr">
        <is>
          <t>A</t>
        </is>
      </c>
      <c r="F343" s="13" t="n">
        <v>7</v>
      </c>
      <c r="G343" s="13" t="n">
        <v>78</v>
      </c>
      <c r="H343" s="8" t="n">
        <v>0.4992</v>
      </c>
      <c r="I343" s="8" t="n">
        <v>0.4992</v>
      </c>
      <c r="J343" s="8" t="n">
        <v>0.4991999999999999</v>
      </c>
      <c r="K343" s="15" t="n">
        <v>0.4375</v>
      </c>
      <c r="L343" s="8" t="n"/>
      <c r="M343" s="8" t="n"/>
      <c r="N343" s="8" t="n"/>
      <c r="O343" s="8" t="n"/>
      <c r="P343" s="8" t="n"/>
      <c r="Q343" s="8" t="n"/>
      <c r="R343" s="8" t="n"/>
      <c r="S343" s="8" t="n"/>
      <c r="T343" s="7" t="inlineStr">
        <is>
          <t>DIMEC</t>
        </is>
      </c>
      <c r="U343" s="8" t="n">
        <v>0.4375</v>
      </c>
      <c r="V343" s="14">
        <f>U343/J343-1</f>
        <v/>
      </c>
      <c r="W343" s="14">
        <f>U343/H343-1</f>
        <v/>
      </c>
      <c r="X343" s="17" t="inlineStr">
        <is>
          <t>OK (≤ menor hist.)</t>
        </is>
      </c>
      <c r="Y343" s="7" t="inlineStr">
        <is>
          <t>DIMEC: 1 emb = 12 un</t>
        </is>
      </c>
    </row>
    <row r="344">
      <c r="A344" s="7" t="n">
        <v>643821</v>
      </c>
      <c r="B344" s="12" t="inlineStr">
        <is>
          <t>7898933598632</t>
        </is>
      </c>
      <c r="C344" s="7" t="inlineStr">
        <is>
          <t>ATADURA DE CREPE 08CM C/12 UND</t>
        </is>
      </c>
      <c r="D344" s="7" t="inlineStr">
        <is>
          <t>CURATIVO</t>
        </is>
      </c>
      <c r="E344" s="7" t="inlineStr">
        <is>
          <t>A</t>
        </is>
      </c>
      <c r="F344" s="13" t="n">
        <v>2</v>
      </c>
      <c r="G344" s="13" t="n">
        <v>22</v>
      </c>
      <c r="H344" s="8" t="n">
        <v>0.6657999999999999</v>
      </c>
      <c r="I344" s="8" t="n">
        <v>0.6657999999999999</v>
      </c>
      <c r="J344" s="8" t="n">
        <v>0.6657999999999999</v>
      </c>
      <c r="K344" s="8" t="n"/>
      <c r="L344" s="8" t="n"/>
      <c r="M344" s="8" t="n"/>
      <c r="N344" s="8" t="n"/>
      <c r="O344" s="8" t="n"/>
      <c r="P344" s="8" t="n"/>
      <c r="Q344" s="8" t="n"/>
      <c r="R344" s="8" t="n"/>
      <c r="S344" s="8" t="n"/>
      <c r="T344" s="7" t="inlineStr">
        <is>
          <t>SEM COTAÇÃO</t>
        </is>
      </c>
      <c r="U344" s="8" t="n"/>
      <c r="V344" s="14" t="n"/>
      <c r="W344" s="14" t="n"/>
      <c r="X344" s="7" t="inlineStr"/>
      <c r="Y344" s="7" t="inlineStr"/>
    </row>
    <row r="345">
      <c r="A345" s="7" t="n">
        <v>621511</v>
      </c>
      <c r="B345" s="12" t="inlineStr">
        <is>
          <t>7898933598816</t>
        </is>
      </c>
      <c r="C345" s="7" t="inlineStr">
        <is>
          <t>ATADURA DE CREPE 10CM 13 FIOS TEXPHARMA</t>
        </is>
      </c>
      <c r="D345" s="7" t="inlineStr">
        <is>
          <t>CURATIVO</t>
        </is>
      </c>
      <c r="E345" s="7" t="inlineStr">
        <is>
          <t>C</t>
        </is>
      </c>
      <c r="F345" s="13" t="n">
        <v>12</v>
      </c>
      <c r="G345" s="13" t="n">
        <v>12</v>
      </c>
      <c r="H345" s="8" t="n">
        <v>0.8325</v>
      </c>
      <c r="I345" s="8" t="n">
        <v>0.8325</v>
      </c>
      <c r="J345" s="8" t="n">
        <v>0.8325</v>
      </c>
      <c r="K345" s="15" t="n">
        <v>0.5441666666666667</v>
      </c>
      <c r="L345" s="8" t="n"/>
      <c r="M345" s="8" t="n"/>
      <c r="N345" s="8" t="n"/>
      <c r="O345" s="8" t="n"/>
      <c r="P345" s="8" t="n"/>
      <c r="Q345" s="8" t="n"/>
      <c r="R345" s="8" t="n"/>
      <c r="S345" s="8" t="n"/>
      <c r="T345" s="7" t="inlineStr">
        <is>
          <t>DIMEC</t>
        </is>
      </c>
      <c r="U345" s="8" t="n">
        <v>0.5441666666666667</v>
      </c>
      <c r="V345" s="14">
        <f>U345/J345-1</f>
        <v/>
      </c>
      <c r="W345" s="14">
        <f>U345/H345-1</f>
        <v/>
      </c>
      <c r="X345" s="17" t="inlineStr">
        <is>
          <t>OK (≤ menor hist.)</t>
        </is>
      </c>
      <c r="Y345" s="7" t="inlineStr">
        <is>
          <t>DIMEC: 1 emb = 12 un</t>
        </is>
      </c>
    </row>
    <row r="346">
      <c r="A346" s="7" t="n">
        <v>597781</v>
      </c>
      <c r="B346" s="12" t="inlineStr">
        <is>
          <t>7898933598823</t>
        </is>
      </c>
      <c r="C346" s="7" t="inlineStr">
        <is>
          <t>ATADURA DE CREPE 12CM UNID.</t>
        </is>
      </c>
      <c r="D346" s="7" t="inlineStr">
        <is>
          <t>CURATIVO</t>
        </is>
      </c>
      <c r="E346" s="7" t="inlineStr">
        <is>
          <t>C</t>
        </is>
      </c>
      <c r="F346" s="13" t="n">
        <v>1</v>
      </c>
      <c r="G346" s="13" t="n">
        <v>2</v>
      </c>
      <c r="H346" s="8" t="n">
        <v>0.7483</v>
      </c>
      <c r="I346" s="8" t="n">
        <v>0.7483</v>
      </c>
      <c r="J346" s="8" t="n">
        <v>0.7483</v>
      </c>
      <c r="K346" s="8" t="n"/>
      <c r="L346" s="8" t="n"/>
      <c r="M346" s="8" t="n"/>
      <c r="N346" s="8" t="n"/>
      <c r="O346" s="8" t="n"/>
      <c r="P346" s="8" t="n"/>
      <c r="Q346" s="8" t="n"/>
      <c r="R346" s="8" t="n"/>
      <c r="S346" s="8" t="n"/>
      <c r="T346" s="7" t="inlineStr">
        <is>
          <t>SEM COTAÇÃO</t>
        </is>
      </c>
      <c r="U346" s="8" t="n"/>
      <c r="V346" s="14" t="n"/>
      <c r="W346" s="14" t="n"/>
      <c r="X346" s="7" t="inlineStr"/>
      <c r="Y346" s="7" t="inlineStr"/>
    </row>
    <row r="347">
      <c r="A347" s="7" t="n">
        <v>623471</v>
      </c>
      <c r="B347" s="12" t="inlineStr">
        <is>
          <t>7898933598755</t>
        </is>
      </c>
      <c r="C347" s="7" t="inlineStr">
        <is>
          <t>ATADURA DE CREPE 15CM C/12 UND</t>
        </is>
      </c>
      <c r="D347" s="7" t="inlineStr">
        <is>
          <t>CURATIVO</t>
        </is>
      </c>
      <c r="E347" s="7" t="inlineStr">
        <is>
          <t>A</t>
        </is>
      </c>
      <c r="F347" s="13" t="n">
        <v>11</v>
      </c>
      <c r="G347" s="13" t="n">
        <v>121</v>
      </c>
      <c r="H347" s="8" t="n">
        <v>1.2492</v>
      </c>
      <c r="I347" s="8" t="n">
        <v>1.1658</v>
      </c>
      <c r="J347" s="8" t="n">
        <v>1.2214</v>
      </c>
      <c r="K347" s="15" t="n">
        <v>0.8183333333333334</v>
      </c>
      <c r="L347" s="8" t="n"/>
      <c r="M347" s="8" t="n"/>
      <c r="N347" s="8" t="n"/>
      <c r="O347" s="8" t="n"/>
      <c r="P347" s="8" t="n"/>
      <c r="Q347" s="8" t="n"/>
      <c r="R347" s="8" t="n"/>
      <c r="S347" s="8" t="n"/>
      <c r="T347" s="7" t="inlineStr">
        <is>
          <t>DIMEC</t>
        </is>
      </c>
      <c r="U347" s="8" t="n">
        <v>0.8183333333333334</v>
      </c>
      <c r="V347" s="14">
        <f>U347/J347-1</f>
        <v/>
      </c>
      <c r="W347" s="14">
        <f>U347/H347-1</f>
        <v/>
      </c>
      <c r="X347" s="17" t="inlineStr">
        <is>
          <t>OK (≤ menor hist.)</t>
        </is>
      </c>
      <c r="Y347" s="7" t="inlineStr">
        <is>
          <t>DIMEC: 1 emb = 12 un</t>
        </is>
      </c>
    </row>
    <row r="348">
      <c r="A348" s="7" t="n">
        <v>623481</v>
      </c>
      <c r="B348" s="12" t="inlineStr">
        <is>
          <t>7898933598847</t>
        </is>
      </c>
      <c r="C348" s="7" t="inlineStr">
        <is>
          <t>ATADURA DE CREPE 20CM 13 FIOS TEXPHARMA</t>
        </is>
      </c>
      <c r="D348" s="7" t="inlineStr">
        <is>
          <t>CURATIVO</t>
        </is>
      </c>
      <c r="E348" s="7" t="inlineStr">
        <is>
          <t>C</t>
        </is>
      </c>
      <c r="F348" s="13" t="n">
        <v>1</v>
      </c>
      <c r="G348" s="13" t="n">
        <v>9</v>
      </c>
      <c r="H348" s="8" t="n">
        <v>1.6658</v>
      </c>
      <c r="I348" s="8" t="n">
        <v>1.6658</v>
      </c>
      <c r="J348" s="8" t="n">
        <v>1.6658</v>
      </c>
      <c r="K348" s="15" t="n">
        <v>1.09</v>
      </c>
      <c r="L348" s="8" t="n"/>
      <c r="M348" s="8" t="n"/>
      <c r="N348" s="8" t="n"/>
      <c r="O348" s="8" t="n"/>
      <c r="P348" s="8" t="n"/>
      <c r="Q348" s="8" t="n"/>
      <c r="R348" s="8" t="n"/>
      <c r="S348" s="8" t="n"/>
      <c r="T348" s="7" t="inlineStr">
        <is>
          <t>DIMEC</t>
        </is>
      </c>
      <c r="U348" s="8" t="n">
        <v>1.09</v>
      </c>
      <c r="V348" s="14">
        <f>U348/J348-1</f>
        <v/>
      </c>
      <c r="W348" s="14">
        <f>U348/H348-1</f>
        <v/>
      </c>
      <c r="X348" s="17" t="inlineStr">
        <is>
          <t>OK (≤ menor hist.)</t>
        </is>
      </c>
      <c r="Y348" s="7" t="inlineStr">
        <is>
          <t>DIMEC: 1 emb = 12 un</t>
        </is>
      </c>
    </row>
    <row r="349">
      <c r="A349" s="7" t="n">
        <v>541121</v>
      </c>
      <c r="B349" s="12" t="inlineStr">
        <is>
          <t>7898665013687</t>
        </is>
      </c>
      <c r="C349" s="7" t="inlineStr">
        <is>
          <t>ATADURA DE CREPE 30CM C/12 UND</t>
        </is>
      </c>
      <c r="D349" s="7" t="inlineStr">
        <is>
          <t>CURATIVO</t>
        </is>
      </c>
      <c r="E349" s="7" t="inlineStr">
        <is>
          <t>C</t>
        </is>
      </c>
      <c r="F349" s="13" t="n">
        <v>1</v>
      </c>
      <c r="G349" s="13" t="n">
        <v>1</v>
      </c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 t="n"/>
      <c r="R349" s="8" t="n"/>
      <c r="S349" s="8" t="n"/>
      <c r="T349" s="7" t="inlineStr">
        <is>
          <t>SEM COTAÇÃO</t>
        </is>
      </c>
      <c r="U349" s="8" t="n"/>
      <c r="V349" s="14" t="n"/>
      <c r="W349" s="14" t="n"/>
      <c r="X349" s="7" t="inlineStr"/>
      <c r="Y349" s="7" t="inlineStr"/>
    </row>
    <row r="350">
      <c r="A350" s="7" t="n">
        <v>613211</v>
      </c>
      <c r="B350" s="12" t="inlineStr">
        <is>
          <t>7898933598786</t>
        </is>
      </c>
      <c r="C350" s="7" t="inlineStr">
        <is>
          <t>ATADURA DE CREPE 30CM C/12 UND</t>
        </is>
      </c>
      <c r="D350" s="7" t="inlineStr">
        <is>
          <t>CURATIVO</t>
        </is>
      </c>
      <c r="E350" s="7" t="inlineStr">
        <is>
          <t>A</t>
        </is>
      </c>
      <c r="F350" s="13" t="n">
        <v>3</v>
      </c>
      <c r="G350" s="13" t="n">
        <v>35</v>
      </c>
      <c r="H350" s="8" t="n">
        <v>2.1658</v>
      </c>
      <c r="I350" s="8" t="n">
        <v>2.1658</v>
      </c>
      <c r="J350" s="8" t="n">
        <v>2.1658</v>
      </c>
      <c r="K350" s="15" t="n">
        <v>1.639166666666667</v>
      </c>
      <c r="L350" s="8" t="n"/>
      <c r="M350" s="8" t="n"/>
      <c r="N350" s="8" t="n"/>
      <c r="O350" s="8" t="n"/>
      <c r="P350" s="8" t="n"/>
      <c r="Q350" s="8" t="n"/>
      <c r="R350" s="8" t="n"/>
      <c r="S350" s="8" t="n"/>
      <c r="T350" s="7" t="inlineStr">
        <is>
          <t>DIMEC</t>
        </is>
      </c>
      <c r="U350" s="8" t="n">
        <v>1.639166666666667</v>
      </c>
      <c r="V350" s="14">
        <f>U350/J350-1</f>
        <v/>
      </c>
      <c r="W350" s="14">
        <f>U350/H350-1</f>
        <v/>
      </c>
      <c r="X350" s="17" t="inlineStr">
        <is>
          <t>OK (≤ menor hist.)</t>
        </is>
      </c>
      <c r="Y350" s="7" t="inlineStr">
        <is>
          <t>DIMEC: 1 emb = 12 un</t>
        </is>
      </c>
    </row>
    <row r="351">
      <c r="A351" s="7" t="n">
        <v>653611</v>
      </c>
      <c r="B351" s="12" t="inlineStr">
        <is>
          <t>7898108642078</t>
        </is>
      </c>
      <c r="C351" s="7" t="inlineStr">
        <is>
          <t>ATADURA DE CREPE MICKEY 06CM</t>
        </is>
      </c>
      <c r="D351" s="7" t="inlineStr">
        <is>
          <t>CURATIVO</t>
        </is>
      </c>
      <c r="E351" s="7" t="inlineStr">
        <is>
          <t>C</t>
        </is>
      </c>
      <c r="F351" s="13" t="n">
        <v>4</v>
      </c>
      <c r="G351" s="13" t="n">
        <v>4</v>
      </c>
      <c r="H351" s="8" t="n">
        <v>1.25</v>
      </c>
      <c r="I351" s="8" t="n">
        <v>1.25</v>
      </c>
      <c r="J351" s="8" t="n">
        <v>1.25</v>
      </c>
      <c r="K351" s="8" t="n"/>
      <c r="L351" s="8" t="n"/>
      <c r="M351" s="8" t="n"/>
      <c r="N351" s="15" t="n">
        <v>1.32</v>
      </c>
      <c r="O351" s="8" t="n"/>
      <c r="P351" s="8" t="n">
        <v>1.3205</v>
      </c>
      <c r="Q351" s="8" t="n">
        <v>1.69</v>
      </c>
      <c r="R351" s="8" t="n">
        <v>1.39</v>
      </c>
      <c r="S351" s="8" t="n"/>
      <c r="T351" s="7" t="inlineStr">
        <is>
          <t>CENTROFARMA</t>
        </is>
      </c>
      <c r="U351" s="8" t="n">
        <v>1.32</v>
      </c>
      <c r="V351" s="14">
        <f>U351/J351-1</f>
        <v/>
      </c>
      <c r="W351" s="14">
        <f>U351/H351-1</f>
        <v/>
      </c>
      <c r="X351" s="16" t="inlineStr">
        <is>
          <t>ACIMA +5.6%</t>
        </is>
      </c>
      <c r="Y351" s="7" t="inlineStr">
        <is>
          <t>NAZARIA: sem estoque</t>
        </is>
      </c>
    </row>
    <row r="352">
      <c r="A352" s="7" t="n">
        <v>661591</v>
      </c>
      <c r="B352" s="12" t="inlineStr">
        <is>
          <t>7898108642085</t>
        </is>
      </c>
      <c r="C352" s="7" t="inlineStr">
        <is>
          <t>ATADURA DE CREPE MICKEY 08CM</t>
        </is>
      </c>
      <c r="D352" s="7" t="inlineStr">
        <is>
          <t>CURATIVO</t>
        </is>
      </c>
      <c r="E352" s="7" t="inlineStr">
        <is>
          <t>C</t>
        </is>
      </c>
      <c r="F352" s="13" t="n">
        <v>3</v>
      </c>
      <c r="G352" s="13" t="n">
        <v>3</v>
      </c>
      <c r="H352" s="8" t="n">
        <v>1.935</v>
      </c>
      <c r="I352" s="8" t="n">
        <v>1.935</v>
      </c>
      <c r="J352" s="8" t="n">
        <v>1.935</v>
      </c>
      <c r="K352" s="8" t="n"/>
      <c r="L352" s="8" t="n"/>
      <c r="M352" s="8" t="n"/>
      <c r="N352" s="15" t="n">
        <v>1.67</v>
      </c>
      <c r="O352" s="8" t="n"/>
      <c r="P352" s="8" t="n">
        <v>1.6815</v>
      </c>
      <c r="Q352" s="8" t="n">
        <v>2.24</v>
      </c>
      <c r="R352" s="8" t="n">
        <v>1.7</v>
      </c>
      <c r="S352" s="8" t="n"/>
      <c r="T352" s="7" t="inlineStr">
        <is>
          <t>CENTROFARMA</t>
        </is>
      </c>
      <c r="U352" s="8" t="n">
        <v>1.67</v>
      </c>
      <c r="V352" s="14">
        <f>U352/J352-1</f>
        <v/>
      </c>
      <c r="W352" s="14">
        <f>U352/H352-1</f>
        <v/>
      </c>
      <c r="X352" s="17" t="inlineStr">
        <is>
          <t>OK (≤ menor hist.)</t>
        </is>
      </c>
      <c r="Y352" s="7" t="inlineStr">
        <is>
          <t>NAZARIA: sem estoque</t>
        </is>
      </c>
    </row>
    <row r="353">
      <c r="A353" s="7" t="n">
        <v>653621</v>
      </c>
      <c r="B353" s="12" t="inlineStr">
        <is>
          <t>7898108642108</t>
        </is>
      </c>
      <c r="C353" s="7" t="inlineStr">
        <is>
          <t>ATADURA DE CREPE MICKEY 12CM</t>
        </is>
      </c>
      <c r="D353" s="7" t="inlineStr">
        <is>
          <t>CURATIVO</t>
        </is>
      </c>
      <c r="E353" s="7" t="inlineStr">
        <is>
          <t>C</t>
        </is>
      </c>
      <c r="F353" s="13" t="n">
        <v>2</v>
      </c>
      <c r="G353" s="13" t="n">
        <v>2</v>
      </c>
      <c r="H353" s="8" t="n">
        <v>2.53</v>
      </c>
      <c r="I353" s="8" t="n">
        <v>2.51</v>
      </c>
      <c r="J353" s="8" t="n">
        <v>2.51</v>
      </c>
      <c r="K353" s="8" t="n">
        <v>2.66</v>
      </c>
      <c r="L353" s="8" t="n"/>
      <c r="M353" s="8" t="n"/>
      <c r="N353" s="8" t="n"/>
      <c r="O353" s="8" t="n"/>
      <c r="P353" s="8" t="n">
        <v>2.4605</v>
      </c>
      <c r="Q353" s="8" t="n">
        <v>3.58</v>
      </c>
      <c r="R353" s="15" t="n">
        <v>2.32</v>
      </c>
      <c r="S353" s="8" t="n"/>
      <c r="T353" s="7" t="inlineStr">
        <is>
          <t>BRASFARMA</t>
        </is>
      </c>
      <c r="U353" s="8" t="n">
        <v>2.32</v>
      </c>
      <c r="V353" s="14">
        <f>U353/J353-1</f>
        <v/>
      </c>
      <c r="W353" s="14">
        <f>U353/H353-1</f>
        <v/>
      </c>
      <c r="X353" s="17" t="inlineStr">
        <is>
          <t>OK (≤ menor hist.)</t>
        </is>
      </c>
      <c r="Y353" s="7" t="inlineStr"/>
    </row>
    <row r="354">
      <c r="A354" s="7" t="n">
        <v>661601</v>
      </c>
      <c r="B354" s="12" t="inlineStr">
        <is>
          <t>7898108641347</t>
        </is>
      </c>
      <c r="C354" s="7" t="inlineStr">
        <is>
          <t>ATADURA DE CREPE SANF 12CMX1,80M</t>
        </is>
      </c>
      <c r="D354" s="7" t="inlineStr">
        <is>
          <t>CURATIVO</t>
        </is>
      </c>
      <c r="E354" s="7" t="inlineStr">
        <is>
          <t>C</t>
        </is>
      </c>
      <c r="F354" s="13" t="n">
        <v>2</v>
      </c>
      <c r="G354" s="13" t="n">
        <v>2</v>
      </c>
      <c r="H354" s="8" t="n">
        <v>2.23</v>
      </c>
      <c r="I354" s="8" t="n">
        <v>2.23</v>
      </c>
      <c r="J354" s="8" t="n">
        <v>2.23</v>
      </c>
      <c r="K354" s="8" t="n">
        <v>2.33</v>
      </c>
      <c r="L354" s="8" t="n">
        <v>2.55</v>
      </c>
      <c r="M354" s="8" t="n"/>
      <c r="N354" s="8" t="n">
        <v>2.08</v>
      </c>
      <c r="O354" s="8" t="n"/>
      <c r="P354" s="8" t="n">
        <v>2.1565</v>
      </c>
      <c r="Q354" s="8" t="n">
        <v>3.23</v>
      </c>
      <c r="R354" s="15" t="n">
        <v>1.21</v>
      </c>
      <c r="S354" s="8" t="n"/>
      <c r="T354" s="7" t="inlineStr">
        <is>
          <t>BRASFARMA</t>
        </is>
      </c>
      <c r="U354" s="8" t="n">
        <v>1.21</v>
      </c>
      <c r="V354" s="14">
        <f>U354/J354-1</f>
        <v/>
      </c>
      <c r="W354" s="14">
        <f>U354/H354-1</f>
        <v/>
      </c>
      <c r="X354" s="17" t="inlineStr">
        <is>
          <t>OK (≤ menor hist.)</t>
        </is>
      </c>
      <c r="Y354" s="7" t="inlineStr">
        <is>
          <t>NAZARIA: sem estoque</t>
        </is>
      </c>
    </row>
    <row r="355">
      <c r="A355" s="7" t="n">
        <v>648271</v>
      </c>
      <c r="B355" s="12" t="inlineStr">
        <is>
          <t>7898108641354</t>
        </is>
      </c>
      <c r="C355" s="7" t="inlineStr">
        <is>
          <t>ATADURA DE CREPE SANF 15CMX1,80M</t>
        </is>
      </c>
      <c r="D355" s="7" t="inlineStr">
        <is>
          <t>CURATIVO</t>
        </is>
      </c>
      <c r="E355" s="7" t="inlineStr">
        <is>
          <t>C</t>
        </is>
      </c>
      <c r="F355" s="13" t="n">
        <v>1</v>
      </c>
      <c r="G355" s="13" t="n">
        <v>1</v>
      </c>
      <c r="H355" s="8" t="n">
        <v>2.6808</v>
      </c>
      <c r="I355" s="8" t="n">
        <v>2.6808</v>
      </c>
      <c r="J355" s="8" t="n">
        <v>2.6808</v>
      </c>
      <c r="K355" s="15" t="n">
        <v>3.07</v>
      </c>
      <c r="L355" s="8" t="n">
        <v>3.35</v>
      </c>
      <c r="M355" s="8" t="n"/>
      <c r="N355" s="8" t="n">
        <v>3.17</v>
      </c>
      <c r="O355" s="8" t="n"/>
      <c r="P355" s="8" t="n">
        <v>2.8405</v>
      </c>
      <c r="Q355" s="8" t="n"/>
      <c r="R355" s="8" t="n"/>
      <c r="S355" s="8" t="n"/>
      <c r="T355" s="7" t="inlineStr">
        <is>
          <t>DIMEC</t>
        </is>
      </c>
      <c r="U355" s="8" t="n">
        <v>3.07</v>
      </c>
      <c r="V355" s="14">
        <f>U355/J355-1</f>
        <v/>
      </c>
      <c r="W355" s="14">
        <f>U355/H355-1</f>
        <v/>
      </c>
      <c r="X355" s="16" t="inlineStr">
        <is>
          <t>ACIMA +14.5%</t>
        </is>
      </c>
      <c r="Y355" s="7" t="inlineStr">
        <is>
          <t>NAZARIA: sem estoque</t>
        </is>
      </c>
    </row>
    <row r="356">
      <c r="A356" s="7" t="n">
        <v>24303</v>
      </c>
      <c r="B356" s="12" t="inlineStr">
        <is>
          <t>7898488481052</t>
        </is>
      </c>
      <c r="C356" s="7" t="inlineStr">
        <is>
          <t>ATADURA DE CREPOM JADE 15,0CMX1,8M</t>
        </is>
      </c>
      <c r="D356" s="7" t="inlineStr">
        <is>
          <t>CURATIVO</t>
        </is>
      </c>
      <c r="E356" s="7" t="inlineStr">
        <is>
          <t>A</t>
        </is>
      </c>
      <c r="F356" s="13" t="n">
        <v>28</v>
      </c>
      <c r="G356" s="13" t="n">
        <v>28</v>
      </c>
      <c r="H356" s="8" t="n">
        <v>1.1658</v>
      </c>
      <c r="I356" s="8" t="n">
        <v>1.1658</v>
      </c>
      <c r="J356" s="8" t="n">
        <v>1.1658</v>
      </c>
      <c r="K356" s="8" t="n"/>
      <c r="L356" s="8" t="n"/>
      <c r="M356" s="8" t="n"/>
      <c r="N356" s="8" t="n"/>
      <c r="O356" s="8" t="n"/>
      <c r="P356" s="8" t="n"/>
      <c r="Q356" s="8" t="n"/>
      <c r="R356" s="8" t="n"/>
      <c r="S356" s="8" t="n"/>
      <c r="T356" s="7" t="inlineStr">
        <is>
          <t>SEM COTAÇÃO</t>
        </is>
      </c>
      <c r="U356" s="8" t="n"/>
      <c r="V356" s="14" t="n"/>
      <c r="W356" s="14" t="n"/>
      <c r="X356" s="7" t="inlineStr"/>
      <c r="Y356" s="7" t="inlineStr"/>
    </row>
    <row r="357">
      <c r="A357" s="7" t="n">
        <v>594191</v>
      </c>
      <c r="B357" s="12" t="inlineStr"/>
      <c r="C357" s="7" t="inlineStr">
        <is>
          <t>ATAK CLAV 875+125MG CX 14 COMP REV</t>
        </is>
      </c>
      <c r="D357" s="7" t="inlineStr">
        <is>
          <t>RX - REFERENCIA - ATB</t>
        </is>
      </c>
      <c r="E357" s="7" t="inlineStr">
        <is>
          <t>A</t>
        </is>
      </c>
      <c r="F357" s="13" t="n">
        <v>7</v>
      </c>
      <c r="G357" s="13" t="n">
        <v>7</v>
      </c>
      <c r="H357" s="8" t="n">
        <v>66.98999999999999</v>
      </c>
      <c r="I357" s="8" t="n">
        <v>49.5083</v>
      </c>
      <c r="J357" s="8" t="n">
        <v>52.43219999999999</v>
      </c>
      <c r="K357" s="8" t="n"/>
      <c r="L357" s="8" t="n"/>
      <c r="M357" s="8" t="n"/>
      <c r="N357" s="8" t="n"/>
      <c r="O357" s="8" t="n"/>
      <c r="P357" s="8" t="n"/>
      <c r="Q357" s="8" t="n"/>
      <c r="R357" s="8" t="n"/>
      <c r="S357" s="8" t="n"/>
      <c r="T357" s="7" t="inlineStr">
        <is>
          <t>SEM COTAÇÃO</t>
        </is>
      </c>
      <c r="U357" s="8" t="n"/>
      <c r="V357" s="14" t="n"/>
      <c r="W357" s="14" t="n"/>
      <c r="X357" s="7" t="inlineStr"/>
      <c r="Y357" s="7" t="inlineStr"/>
    </row>
    <row r="358">
      <c r="A358" s="7" t="n">
        <v>637931</v>
      </c>
      <c r="B358" s="12" t="inlineStr">
        <is>
          <t>7898968453098</t>
        </is>
      </c>
      <c r="C358" s="7" t="inlineStr">
        <is>
          <t>ATENSINA 0,100MG CX 30 COMP</t>
        </is>
      </c>
      <c r="D358" s="7" t="inlineStr">
        <is>
          <t>RX</t>
        </is>
      </c>
      <c r="E358" s="7" t="inlineStr">
        <is>
          <t>C</t>
        </is>
      </c>
      <c r="F358" s="13" t="n">
        <v>1</v>
      </c>
      <c r="G358" s="13" t="n">
        <v>1</v>
      </c>
      <c r="H358" s="8" t="n">
        <v>7.045</v>
      </c>
      <c r="I358" s="8" t="n">
        <v>7.045</v>
      </c>
      <c r="J358" s="8" t="n">
        <v>7.044999999999999</v>
      </c>
      <c r="K358" s="8" t="n"/>
      <c r="L358" s="8" t="n"/>
      <c r="M358" s="8" t="n">
        <v>7.91</v>
      </c>
      <c r="N358" s="8" t="n"/>
      <c r="O358" s="8" t="n"/>
      <c r="P358" s="15" t="n">
        <v>8.01</v>
      </c>
      <c r="Q358" s="8" t="n"/>
      <c r="R358" s="8" t="n"/>
      <c r="S358" s="8" t="n"/>
      <c r="T358" s="7" t="inlineStr">
        <is>
          <t>NAZARIA</t>
        </is>
      </c>
      <c r="U358" s="8" t="n">
        <v>8.01</v>
      </c>
      <c r="V358" s="14">
        <f>U358/J358-1</f>
        <v/>
      </c>
      <c r="W358" s="14">
        <f>U358/H358-1</f>
        <v/>
      </c>
      <c r="X358" s="16" t="inlineStr">
        <is>
          <t>ACIMA +13.7%</t>
        </is>
      </c>
      <c r="Y358" s="7" t="inlineStr">
        <is>
          <t>EPAN: sem estoque</t>
        </is>
      </c>
    </row>
    <row r="359">
      <c r="A359" s="7" t="n">
        <v>603271</v>
      </c>
      <c r="B359" s="12" t="inlineStr">
        <is>
          <t>7898623951723</t>
        </is>
      </c>
      <c r="C359" s="7" t="inlineStr">
        <is>
          <t>ATIV. DE CACHOS SOS RICINO E QUERATINA 300ML</t>
        </is>
      </c>
      <c r="D359" s="7" t="inlineStr">
        <is>
          <t>PERF/COSME</t>
        </is>
      </c>
      <c r="E359" s="7" t="inlineStr">
        <is>
          <t>C</t>
        </is>
      </c>
      <c r="F359" s="13" t="n">
        <v>1</v>
      </c>
      <c r="G359" s="13" t="n">
        <v>1</v>
      </c>
      <c r="H359" s="8" t="n">
        <v>15.03</v>
      </c>
      <c r="I359" s="8" t="n">
        <v>15.03</v>
      </c>
      <c r="J359" s="8" t="n">
        <v>15.03</v>
      </c>
      <c r="K359" s="8" t="n"/>
      <c r="L359" s="8" t="n"/>
      <c r="M359" s="8" t="n"/>
      <c r="N359" s="8" t="n"/>
      <c r="O359" s="8" t="n"/>
      <c r="P359" s="8" t="n"/>
      <c r="Q359" s="8" t="n"/>
      <c r="R359" s="8" t="n"/>
      <c r="S359" s="8" t="n"/>
      <c r="T359" s="7" t="inlineStr">
        <is>
          <t>SEM COTAÇÃO</t>
        </is>
      </c>
      <c r="U359" s="8" t="n"/>
      <c r="V359" s="14" t="n"/>
      <c r="W359" s="14" t="n"/>
      <c r="X359" s="7" t="inlineStr"/>
      <c r="Y359" s="7" t="inlineStr"/>
    </row>
    <row r="360">
      <c r="A360" s="7" t="n">
        <v>653341</v>
      </c>
      <c r="B360" s="12" t="inlineStr">
        <is>
          <t>7896279127417</t>
        </is>
      </c>
      <c r="C360" s="7" t="inlineStr">
        <is>
          <t>ATIVAD CACH MURIEL ALEC C/BAB 300ML</t>
        </is>
      </c>
      <c r="D360" s="7" t="inlineStr">
        <is>
          <t>BABY/KIDS</t>
        </is>
      </c>
      <c r="E360" s="7" t="inlineStr">
        <is>
          <t>C</t>
        </is>
      </c>
      <c r="F360" s="13" t="n">
        <v>1</v>
      </c>
      <c r="G360" s="13" t="n">
        <v>1</v>
      </c>
      <c r="H360" s="8" t="n">
        <v>14.12</v>
      </c>
      <c r="I360" s="8" t="n">
        <v>14.12</v>
      </c>
      <c r="J360" s="8" t="n">
        <v>14.12</v>
      </c>
      <c r="K360" s="8" t="n"/>
      <c r="L360" s="8" t="n"/>
      <c r="M360" s="8" t="n"/>
      <c r="N360" s="8" t="n"/>
      <c r="O360" s="8" t="n"/>
      <c r="P360" s="8" t="n"/>
      <c r="Q360" s="8" t="n"/>
      <c r="R360" s="8" t="n"/>
      <c r="S360" s="8" t="n"/>
      <c r="T360" s="7" t="inlineStr">
        <is>
          <t>SEM COTAÇÃO</t>
        </is>
      </c>
      <c r="U360" s="8" t="n"/>
      <c r="V360" s="14" t="n"/>
      <c r="W360" s="14" t="n"/>
      <c r="X360" s="7" t="inlineStr"/>
      <c r="Y360" s="7" t="inlineStr"/>
    </row>
    <row r="361">
      <c r="A361" s="7" t="n">
        <v>603281</v>
      </c>
      <c r="B361" s="12" t="inlineStr">
        <is>
          <t>7898524348639</t>
        </is>
      </c>
      <c r="C361" s="7" t="inlineStr">
        <is>
          <t>ATIVADOR DE CACHOS SOS COCO 300ML</t>
        </is>
      </c>
      <c r="D361" s="7" t="inlineStr">
        <is>
          <t>PERF/COSME</t>
        </is>
      </c>
      <c r="E361" s="7" t="inlineStr">
        <is>
          <t>C</t>
        </is>
      </c>
      <c r="F361" s="13" t="n">
        <v>1</v>
      </c>
      <c r="G361" s="13" t="n">
        <v>1</v>
      </c>
      <c r="H361" s="8" t="n">
        <v>14.9</v>
      </c>
      <c r="I361" s="8" t="n">
        <v>14.9</v>
      </c>
      <c r="J361" s="8" t="n">
        <v>14.9</v>
      </c>
      <c r="K361" s="8" t="n"/>
      <c r="L361" s="8" t="n"/>
      <c r="M361" s="8" t="n"/>
      <c r="N361" s="8" t="n"/>
      <c r="O361" s="8" t="n"/>
      <c r="P361" s="8" t="n"/>
      <c r="Q361" s="8" t="n"/>
      <c r="R361" s="8" t="n"/>
      <c r="S361" s="8" t="n"/>
      <c r="T361" s="7" t="inlineStr">
        <is>
          <t>SEM COTAÇÃO</t>
        </is>
      </c>
      <c r="U361" s="8" t="n"/>
      <c r="V361" s="14" t="n"/>
      <c r="W361" s="14" t="n"/>
      <c r="X361" s="7" t="inlineStr"/>
      <c r="Y361" s="7" t="inlineStr"/>
    </row>
    <row r="362">
      <c r="A362" s="7" t="n">
        <v>43681</v>
      </c>
      <c r="B362" s="12" t="inlineStr">
        <is>
          <t>7894916146074</t>
        </is>
      </c>
      <c r="C362" s="7" t="inlineStr">
        <is>
          <t>ATORVASTATINA 40MG CX 3BL X 10 COMP REV</t>
        </is>
      </c>
      <c r="D362" s="7" t="inlineStr">
        <is>
          <t>GENERICO</t>
        </is>
      </c>
      <c r="E362" s="7" t="inlineStr">
        <is>
          <t>A</t>
        </is>
      </c>
      <c r="F362" s="13" t="n">
        <v>2</v>
      </c>
      <c r="G362" s="13" t="n">
        <v>2</v>
      </c>
      <c r="H362" s="8" t="n">
        <v>18.6</v>
      </c>
      <c r="I362" s="8" t="n">
        <v>18.6</v>
      </c>
      <c r="J362" s="8" t="n">
        <v>18.6</v>
      </c>
      <c r="K362" s="8" t="n"/>
      <c r="L362" s="8" t="n"/>
      <c r="M362" s="8" t="n"/>
      <c r="N362" s="8" t="n"/>
      <c r="O362" s="8" t="n"/>
      <c r="P362" s="8" t="n"/>
      <c r="Q362" s="8" t="n"/>
      <c r="R362" s="8" t="n"/>
      <c r="S362" s="8" t="n"/>
      <c r="T362" s="7" t="inlineStr">
        <is>
          <t>SEM COTAÇÃO</t>
        </is>
      </c>
      <c r="U362" s="8" t="n"/>
      <c r="V362" s="14" t="n"/>
      <c r="W362" s="14" t="n"/>
      <c r="X362" s="7" t="inlineStr"/>
      <c r="Y362" s="7" t="inlineStr"/>
    </row>
    <row r="363">
      <c r="A363" s="7" t="n">
        <v>529981</v>
      </c>
      <c r="B363" s="12" t="inlineStr">
        <is>
          <t>7896523201092</t>
        </is>
      </c>
      <c r="C363" s="7" t="inlineStr">
        <is>
          <t>ATORVASTATINA CALC 10MG CX 30 COMP REV</t>
        </is>
      </c>
      <c r="D363" s="7" t="inlineStr">
        <is>
          <t>GENERICO</t>
        </is>
      </c>
      <c r="E363" s="7" t="inlineStr">
        <is>
          <t>B</t>
        </is>
      </c>
      <c r="F363" s="13" t="n">
        <v>3</v>
      </c>
      <c r="G363" s="13" t="n">
        <v>3</v>
      </c>
      <c r="H363" s="8" t="n">
        <v>5.19</v>
      </c>
      <c r="I363" s="8" t="n">
        <v>4.99</v>
      </c>
      <c r="J363" s="8" t="n">
        <v>4.99</v>
      </c>
      <c r="K363" s="8" t="n"/>
      <c r="L363" s="8" t="n"/>
      <c r="M363" s="8" t="n"/>
      <c r="N363" s="8" t="n"/>
      <c r="O363" s="8" t="n"/>
      <c r="P363" s="15" t="n">
        <v>56.12</v>
      </c>
      <c r="Q363" s="8" t="n"/>
      <c r="R363" s="8" t="n"/>
      <c r="S363" s="8" t="n"/>
      <c r="T363" s="7" t="inlineStr">
        <is>
          <t>NAZARIA</t>
        </is>
      </c>
      <c r="U363" s="8" t="n">
        <v>56.12</v>
      </c>
      <c r="V363" s="14">
        <f>U363/J363-1</f>
        <v/>
      </c>
      <c r="W363" s="14">
        <f>U363/H363-1</f>
        <v/>
      </c>
      <c r="X363" s="16" t="inlineStr">
        <is>
          <t>ACIMA +981.3%</t>
        </is>
      </c>
      <c r="Y363" s="7" t="inlineStr">
        <is>
          <t>NAZARIA: conferir emb.</t>
        </is>
      </c>
    </row>
    <row r="364">
      <c r="A364" s="7" t="n">
        <v>530021</v>
      </c>
      <c r="B364" s="12" t="inlineStr">
        <is>
          <t>7896523201078</t>
        </is>
      </c>
      <c r="C364" s="7" t="inlineStr">
        <is>
          <t>ATORVASTATINA CALC 40MG CX 30 COMP REV</t>
        </is>
      </c>
      <c r="D364" s="7" t="inlineStr">
        <is>
          <t>GENERICO</t>
        </is>
      </c>
      <c r="E364" s="7" t="inlineStr">
        <is>
          <t>A</t>
        </is>
      </c>
      <c r="F364" s="13" t="n">
        <v>12</v>
      </c>
      <c r="G364" s="13" t="n">
        <v>12</v>
      </c>
      <c r="H364" s="8" t="n">
        <v>10.59</v>
      </c>
      <c r="I364" s="8" t="n">
        <v>10.15</v>
      </c>
      <c r="J364" s="8" t="n">
        <v>10.42333333333333</v>
      </c>
      <c r="K364" s="8" t="n"/>
      <c r="L364" s="8" t="n"/>
      <c r="M364" s="8" t="n"/>
      <c r="N364" s="8" t="n"/>
      <c r="O364" s="8" t="n"/>
      <c r="P364" s="15" t="n">
        <v>42.59</v>
      </c>
      <c r="Q364" s="8" t="n"/>
      <c r="R364" s="8" t="n"/>
      <c r="S364" s="8" t="n"/>
      <c r="T364" s="7" t="inlineStr">
        <is>
          <t>NAZARIA</t>
        </is>
      </c>
      <c r="U364" s="8" t="n">
        <v>42.59</v>
      </c>
      <c r="V364" s="14">
        <f>U364/J364-1</f>
        <v/>
      </c>
      <c r="W364" s="14">
        <f>U364/H364-1</f>
        <v/>
      </c>
      <c r="X364" s="16" t="inlineStr">
        <is>
          <t>ACIMA +302.2%</t>
        </is>
      </c>
      <c r="Y364" s="7" t="inlineStr">
        <is>
          <t>NAZARIA: conferir emb.</t>
        </is>
      </c>
    </row>
    <row r="365">
      <c r="A365" s="7" t="n">
        <v>530001</v>
      </c>
      <c r="B365" s="12" t="inlineStr">
        <is>
          <t>7896523201085</t>
        </is>
      </c>
      <c r="C365" s="7" t="inlineStr">
        <is>
          <t>ATORVASTATINA CALCICA 20MG CX 30 COMP REV</t>
        </is>
      </c>
      <c r="D365" s="7" t="inlineStr">
        <is>
          <t>CONVENIENCIA</t>
        </is>
      </c>
      <c r="E365" s="7" t="inlineStr">
        <is>
          <t>C</t>
        </is>
      </c>
      <c r="F365" s="13" t="n">
        <v>2</v>
      </c>
      <c r="G365" s="13" t="n">
        <v>2</v>
      </c>
      <c r="H365" s="8" t="n">
        <v>4.84</v>
      </c>
      <c r="I365" s="8" t="n">
        <v>4.84</v>
      </c>
      <c r="J365" s="8" t="n">
        <v>4.84</v>
      </c>
      <c r="K365" s="8" t="n"/>
      <c r="L365" s="8" t="n"/>
      <c r="M365" s="8" t="n"/>
      <c r="N365" s="8" t="n"/>
      <c r="O365" s="8" t="n"/>
      <c r="P365" s="15" t="n">
        <v>28.34</v>
      </c>
      <c r="Q365" s="8" t="n"/>
      <c r="R365" s="8" t="n"/>
      <c r="S365" s="8" t="n"/>
      <c r="T365" s="7" t="inlineStr">
        <is>
          <t>NAZARIA</t>
        </is>
      </c>
      <c r="U365" s="8" t="n">
        <v>28.34</v>
      </c>
      <c r="V365" s="14">
        <f>U365/J365-1</f>
        <v/>
      </c>
      <c r="W365" s="14">
        <f>U365/H365-1</f>
        <v/>
      </c>
      <c r="X365" s="16" t="inlineStr">
        <is>
          <t>ACIMA +485.5%</t>
        </is>
      </c>
      <c r="Y365" s="7" t="inlineStr">
        <is>
          <t>NAZARIA: conferir emb.</t>
        </is>
      </c>
    </row>
    <row r="366">
      <c r="A366" s="7" t="n">
        <v>582181</v>
      </c>
      <c r="B366" s="12" t="inlineStr"/>
      <c r="C366" s="7" t="inlineStr">
        <is>
          <t>ATROVENT 0,25MG/ML SOL INAL CT FR VD AMB X 20ML</t>
        </is>
      </c>
      <c r="D366" s="7" t="inlineStr">
        <is>
          <t>RX</t>
        </is>
      </c>
      <c r="E366" s="7" t="inlineStr">
        <is>
          <t>A</t>
        </is>
      </c>
      <c r="F366" s="13" t="n">
        <v>7</v>
      </c>
      <c r="G366" s="13" t="n">
        <v>7</v>
      </c>
      <c r="H366" s="8" t="n">
        <v>22.33</v>
      </c>
      <c r="I366" s="8" t="n">
        <v>21.12</v>
      </c>
      <c r="J366" s="8" t="n">
        <v>21.92666666666667</v>
      </c>
      <c r="K366" s="8" t="n"/>
      <c r="L366" s="8" t="n"/>
      <c r="M366" s="8" t="n"/>
      <c r="N366" s="8" t="n"/>
      <c r="O366" s="8" t="n"/>
      <c r="P366" s="8" t="n"/>
      <c r="Q366" s="8" t="n"/>
      <c r="R366" s="8" t="n"/>
      <c r="S366" s="8" t="n"/>
      <c r="T366" s="7" t="inlineStr">
        <is>
          <t>SEM COTAÇÃO</t>
        </is>
      </c>
      <c r="U366" s="8" t="n"/>
      <c r="V366" s="14" t="n"/>
      <c r="W366" s="14" t="n"/>
      <c r="X366" s="7" t="inlineStr"/>
      <c r="Y366" s="7" t="inlineStr"/>
    </row>
    <row r="367">
      <c r="A367" s="7" t="n">
        <v>488841</v>
      </c>
      <c r="B367" s="12" t="inlineStr">
        <is>
          <t>7891317010287</t>
        </is>
      </c>
      <c r="C367" s="7" t="inlineStr">
        <is>
          <t>ATTENZE 10MG CX 30 COMP</t>
        </is>
      </c>
      <c r="D367" s="7" t="inlineStr">
        <is>
          <t>RX - SIMILAR - CONTROLE</t>
        </is>
      </c>
      <c r="E367" s="7" t="inlineStr">
        <is>
          <t>C</t>
        </is>
      </c>
      <c r="F367" s="13" t="n">
        <v>1</v>
      </c>
      <c r="G367" s="13" t="n">
        <v>1</v>
      </c>
      <c r="H367" s="8" t="n">
        <v>32.7783</v>
      </c>
      <c r="I367" s="8" t="n">
        <v>32.7783</v>
      </c>
      <c r="J367" s="8" t="n">
        <v>32.7783</v>
      </c>
      <c r="K367" s="8" t="n"/>
      <c r="L367" s="8" t="n"/>
      <c r="M367" s="8" t="n"/>
      <c r="N367" s="8" t="n"/>
      <c r="O367" s="8" t="n"/>
      <c r="P367" s="8" t="n">
        <v>40.1996</v>
      </c>
      <c r="Q367" s="8" t="n"/>
      <c r="R367" s="8" t="n"/>
      <c r="S367" s="8" t="n"/>
      <c r="T367" s="7" t="inlineStr">
        <is>
          <t>SEM COTAÇÃO</t>
        </is>
      </c>
      <c r="U367" s="8" t="n"/>
      <c r="V367" s="14" t="n"/>
      <c r="W367" s="14" t="n"/>
      <c r="X367" s="7" t="inlineStr"/>
      <c r="Y367" s="7" t="inlineStr">
        <is>
          <t>NAZARIA: sem estoque</t>
        </is>
      </c>
    </row>
    <row r="368">
      <c r="A368" s="7" t="n">
        <v>607111</v>
      </c>
      <c r="B368" s="12" t="inlineStr">
        <is>
          <t>7898639693402</t>
        </is>
      </c>
      <c r="C368" s="7" t="inlineStr">
        <is>
          <t>AUTO TESTE DE COVID G-TECH 1 UNIDADE</t>
        </is>
      </c>
      <c r="D368" s="7" t="inlineStr">
        <is>
          <t>UTENSILIOS</t>
        </is>
      </c>
      <c r="E368" s="7" t="inlineStr">
        <is>
          <t>C</t>
        </is>
      </c>
      <c r="F368" s="13" t="n">
        <v>1</v>
      </c>
      <c r="G368" s="13" t="n">
        <v>1</v>
      </c>
      <c r="H368" s="8" t="n">
        <v>13.66</v>
      </c>
      <c r="I368" s="8" t="n">
        <v>13.66</v>
      </c>
      <c r="J368" s="8" t="n">
        <v>13.66</v>
      </c>
      <c r="K368" s="8" t="n"/>
      <c r="L368" s="8" t="n"/>
      <c r="M368" s="8" t="n"/>
      <c r="N368" s="8" t="n"/>
      <c r="O368" s="8" t="n"/>
      <c r="P368" s="8" t="n"/>
      <c r="Q368" s="8" t="n"/>
      <c r="R368" s="8" t="n"/>
      <c r="S368" s="8" t="n"/>
      <c r="T368" s="7" t="inlineStr">
        <is>
          <t>SEM COTAÇÃO</t>
        </is>
      </c>
      <c r="U368" s="8" t="n"/>
      <c r="V368" s="14" t="n"/>
      <c r="W368" s="14" t="n"/>
      <c r="X368" s="7" t="inlineStr"/>
      <c r="Y368" s="7" t="inlineStr"/>
    </row>
    <row r="369">
      <c r="A369" s="7" t="n">
        <v>648171</v>
      </c>
      <c r="B369" s="12" t="inlineStr">
        <is>
          <t>7908007905478</t>
        </is>
      </c>
      <c r="C369" s="7" t="inlineStr">
        <is>
          <t>AUTOTESTE COVID-19 AG (TESTE RAPIDO)</t>
        </is>
      </c>
      <c r="D369" s="7" t="inlineStr">
        <is>
          <t>UTENSILIOS</t>
        </is>
      </c>
      <c r="E369" s="7" t="inlineStr">
        <is>
          <t>C</t>
        </is>
      </c>
      <c r="F369" s="13" t="n">
        <v>1</v>
      </c>
      <c r="G369" s="13" t="n">
        <v>1</v>
      </c>
      <c r="H369" s="8" t="n">
        <v>10.7</v>
      </c>
      <c r="I369" s="8" t="n">
        <v>10.7</v>
      </c>
      <c r="J369" s="8" t="n">
        <v>10.7</v>
      </c>
      <c r="K369" s="15" t="n">
        <v>8.289999999999999</v>
      </c>
      <c r="L369" s="8" t="n"/>
      <c r="M369" s="8" t="n"/>
      <c r="N369" s="8" t="n"/>
      <c r="O369" s="8" t="n"/>
      <c r="P369" s="8" t="n"/>
      <c r="Q369" s="8" t="n"/>
      <c r="R369" s="8" t="n"/>
      <c r="S369" s="8" t="n"/>
      <c r="T369" s="7" t="inlineStr">
        <is>
          <t>DIMEC</t>
        </is>
      </c>
      <c r="U369" s="8" t="n">
        <v>8.289999999999999</v>
      </c>
      <c r="V369" s="14">
        <f>U369/J369-1</f>
        <v/>
      </c>
      <c r="W369" s="14">
        <f>U369/H369-1</f>
        <v/>
      </c>
      <c r="X369" s="17" t="inlineStr">
        <is>
          <t>OK (≤ menor hist.)</t>
        </is>
      </c>
      <c r="Y369" s="7" t="inlineStr"/>
    </row>
    <row r="370">
      <c r="A370" s="7" t="n">
        <v>258201</v>
      </c>
      <c r="B370" s="12" t="inlineStr"/>
      <c r="C370" s="7" t="inlineStr">
        <is>
          <t>AVAMYS 27,5MG SPRAY NAS 120 DOS</t>
        </is>
      </c>
      <c r="D370" s="7" t="inlineStr">
        <is>
          <t>RX</t>
        </is>
      </c>
      <c r="E370" s="7" t="inlineStr">
        <is>
          <t>A</t>
        </is>
      </c>
      <c r="F370" s="13" t="n">
        <v>3</v>
      </c>
      <c r="G370" s="13" t="n">
        <v>3</v>
      </c>
      <c r="H370" s="8" t="n">
        <v>58.6267</v>
      </c>
      <c r="I370" s="8" t="n">
        <v>51.075</v>
      </c>
      <c r="J370" s="8" t="n">
        <v>54.76763333333334</v>
      </c>
      <c r="K370" s="8" t="n"/>
      <c r="L370" s="8" t="n"/>
      <c r="M370" s="8" t="n"/>
      <c r="N370" s="8" t="n"/>
      <c r="O370" s="8" t="n"/>
      <c r="P370" s="8" t="n"/>
      <c r="Q370" s="8" t="n"/>
      <c r="R370" s="8" t="n"/>
      <c r="S370" s="8" t="n"/>
      <c r="T370" s="7" t="inlineStr">
        <is>
          <t>SEM COTAÇÃO</t>
        </is>
      </c>
      <c r="U370" s="8" t="n"/>
      <c r="V370" s="14" t="n"/>
      <c r="W370" s="14" t="n"/>
      <c r="X370" s="7" t="inlineStr"/>
      <c r="Y370" s="7" t="inlineStr"/>
    </row>
    <row r="371">
      <c r="A371" s="7" t="n">
        <v>638101</v>
      </c>
      <c r="B371" s="12" t="inlineStr">
        <is>
          <t>7892840815769</t>
        </is>
      </c>
      <c r="C371" s="7" t="inlineStr">
        <is>
          <t>AVEIA FLOCOS FINOS QUAKER CART 165G</t>
        </is>
      </c>
      <c r="D371" s="7" t="inlineStr">
        <is>
          <t>ALIMENTOS LACTEOS, DERIVADOS E SIMILARES</t>
        </is>
      </c>
      <c r="E371" s="7" t="inlineStr">
        <is>
          <t>C</t>
        </is>
      </c>
      <c r="F371" s="13" t="n">
        <v>1</v>
      </c>
      <c r="G371" s="13" t="n">
        <v>1</v>
      </c>
      <c r="H371" s="8" t="n">
        <v>4.11</v>
      </c>
      <c r="I371" s="8" t="n">
        <v>4.11</v>
      </c>
      <c r="J371" s="8" t="n">
        <v>4.11</v>
      </c>
      <c r="K371" s="8" t="n"/>
      <c r="L371" s="8" t="n"/>
      <c r="M371" s="8" t="n"/>
      <c r="N371" s="8" t="n"/>
      <c r="O371" s="8" t="n"/>
      <c r="P371" s="8" t="n"/>
      <c r="Q371" s="8" t="n"/>
      <c r="R371" s="8" t="n"/>
      <c r="S371" s="8" t="n"/>
      <c r="T371" s="7" t="inlineStr">
        <is>
          <t>SEM COTAÇÃO</t>
        </is>
      </c>
      <c r="U371" s="8" t="n"/>
      <c r="V371" s="14" t="n"/>
      <c r="W371" s="14" t="n"/>
      <c r="X371" s="7" t="inlineStr"/>
      <c r="Y371" s="7" t="inlineStr"/>
    </row>
    <row r="372">
      <c r="A372" s="7" t="n">
        <v>638111</v>
      </c>
      <c r="B372" s="12" t="inlineStr">
        <is>
          <t>7892840815752</t>
        </is>
      </c>
      <c r="C372" s="7" t="inlineStr">
        <is>
          <t>AVEIA FLOCOS REGULARES QUAKER CART 165G</t>
        </is>
      </c>
      <c r="D372" s="7" t="inlineStr">
        <is>
          <t>ALIMENTOS LACTEOS, DERIVADOS E SIMILARES</t>
        </is>
      </c>
      <c r="E372" s="7" t="inlineStr">
        <is>
          <t>C</t>
        </is>
      </c>
      <c r="F372" s="13" t="n">
        <v>1</v>
      </c>
      <c r="G372" s="13" t="n">
        <v>1</v>
      </c>
      <c r="H372" s="8" t="n">
        <v>3.99</v>
      </c>
      <c r="I372" s="8" t="n">
        <v>3.99</v>
      </c>
      <c r="J372" s="8" t="n">
        <v>3.99</v>
      </c>
      <c r="K372" s="8" t="n"/>
      <c r="L372" s="8" t="n"/>
      <c r="M372" s="8" t="n"/>
      <c r="N372" s="8" t="n"/>
      <c r="O372" s="8" t="n"/>
      <c r="P372" s="8" t="n"/>
      <c r="Q372" s="8" t="n"/>
      <c r="R372" s="8" t="n"/>
      <c r="S372" s="8" t="n"/>
      <c r="T372" s="7" t="inlineStr">
        <is>
          <t>SEM COTAÇÃO</t>
        </is>
      </c>
      <c r="U372" s="8" t="n"/>
      <c r="V372" s="14" t="n"/>
      <c r="W372" s="14" t="n"/>
      <c r="X372" s="7" t="inlineStr"/>
      <c r="Y372" s="7" t="inlineStr"/>
    </row>
    <row r="373">
      <c r="A373" s="7" t="n">
        <v>3143</v>
      </c>
      <c r="B373" s="12" t="inlineStr">
        <is>
          <t>7898031310259</t>
        </is>
      </c>
      <c r="C373" s="7" t="inlineStr">
        <is>
          <t>AZEITE DOCE 30ML</t>
        </is>
      </c>
      <c r="D373" s="7" t="inlineStr">
        <is>
          <t>SIMILAR</t>
        </is>
      </c>
      <c r="E373" s="7" t="inlineStr">
        <is>
          <t>C</t>
        </is>
      </c>
      <c r="F373" s="13" t="n">
        <v>1</v>
      </c>
      <c r="G373" s="13" t="n">
        <v>1</v>
      </c>
      <c r="H373" s="8" t="n">
        <v>3.54</v>
      </c>
      <c r="I373" s="8" t="n">
        <v>3.54</v>
      </c>
      <c r="J373" s="8" t="n">
        <v>3.54</v>
      </c>
      <c r="K373" s="8" t="n">
        <v>3.6</v>
      </c>
      <c r="L373" s="8" t="n"/>
      <c r="M373" s="8" t="n"/>
      <c r="N373" s="8" t="n">
        <v>3.84</v>
      </c>
      <c r="O373" s="15" t="n">
        <v>3.54</v>
      </c>
      <c r="P373" s="8" t="n">
        <v>4.95</v>
      </c>
      <c r="Q373" s="8" t="n">
        <v>4.31</v>
      </c>
      <c r="R373" s="8" t="n"/>
      <c r="S373" s="8" t="n"/>
      <c r="T373" s="7" t="inlineStr">
        <is>
          <t>TAPAJOS</t>
        </is>
      </c>
      <c r="U373" s="8" t="n">
        <v>3.54</v>
      </c>
      <c r="V373" s="14">
        <f>U373/J373-1</f>
        <v/>
      </c>
      <c r="W373" s="14">
        <f>U373/H373-1</f>
        <v/>
      </c>
      <c r="X373" s="17" t="inlineStr">
        <is>
          <t>OK (≤ menor hist.)</t>
        </is>
      </c>
      <c r="Y373" s="7" t="inlineStr"/>
    </row>
    <row r="374">
      <c r="A374" s="7" t="n">
        <v>15761</v>
      </c>
      <c r="B374" s="12" t="inlineStr">
        <is>
          <t>5702191025637</t>
        </is>
      </c>
      <c r="C374" s="7" t="inlineStr">
        <is>
          <t>AZELAN 150 MG/G GEL CT BG AL X 30 G</t>
        </is>
      </c>
      <c r="D374" s="7" t="inlineStr">
        <is>
          <t>RX - OTC</t>
        </is>
      </c>
      <c r="E374" s="7" t="inlineStr">
        <is>
          <t>A</t>
        </is>
      </c>
      <c r="F374" s="13" t="n">
        <v>3</v>
      </c>
      <c r="G374" s="13" t="n">
        <v>3</v>
      </c>
      <c r="H374" s="8" t="n">
        <v>67.23999999999999</v>
      </c>
      <c r="I374" s="8" t="n">
        <v>63.655</v>
      </c>
      <c r="J374" s="8" t="n">
        <v>64.84999999999999</v>
      </c>
      <c r="K374" s="8" t="n"/>
      <c r="L374" s="8" t="n"/>
      <c r="M374" s="8" t="n">
        <v>67.5</v>
      </c>
      <c r="N374" s="8" t="n"/>
      <c r="O374" s="8" t="n"/>
      <c r="P374" s="8" t="n">
        <v>71.53</v>
      </c>
      <c r="Q374" s="8" t="n"/>
      <c r="R374" s="8" t="n"/>
      <c r="S374" s="8" t="n"/>
      <c r="T374" s="7" t="inlineStr">
        <is>
          <t>SEM COTAÇÃO</t>
        </is>
      </c>
      <c r="U374" s="8" t="n"/>
      <c r="V374" s="14" t="n"/>
      <c r="W374" s="14" t="n"/>
      <c r="X374" s="7" t="inlineStr"/>
      <c r="Y374" s="7" t="inlineStr">
        <is>
          <t>EPAN: sem estoque; NAZARIA: sem estoque</t>
        </is>
      </c>
    </row>
    <row r="375">
      <c r="A375" s="7" t="n">
        <v>46621</v>
      </c>
      <c r="B375" s="12" t="inlineStr">
        <is>
          <t>7895296220033</t>
        </is>
      </c>
      <c r="C375" s="7" t="inlineStr">
        <is>
          <t>AZITROMICINA 500MG CX 3 COMP REV</t>
        </is>
      </c>
      <c r="D375" s="7" t="inlineStr">
        <is>
          <t>GENERICO - ATB</t>
        </is>
      </c>
      <c r="E375" s="7" t="inlineStr">
        <is>
          <t>C</t>
        </is>
      </c>
      <c r="F375" s="13" t="n">
        <v>3</v>
      </c>
      <c r="G375" s="13" t="n">
        <v>3</v>
      </c>
      <c r="H375" s="8" t="n">
        <v>5.0067</v>
      </c>
      <c r="I375" s="8" t="n">
        <v>3.3817</v>
      </c>
      <c r="J375" s="8" t="n">
        <v>4.465033333333333</v>
      </c>
      <c r="K375" s="8" t="n"/>
      <c r="L375" s="8" t="n"/>
      <c r="M375" s="8" t="n"/>
      <c r="N375" s="8" t="n"/>
      <c r="O375" s="8" t="n"/>
      <c r="P375" s="8" t="n"/>
      <c r="Q375" s="8" t="n"/>
      <c r="R375" s="8" t="n"/>
      <c r="S375" s="8" t="n"/>
      <c r="T375" s="7" t="inlineStr">
        <is>
          <t>SEM COTAÇÃO</t>
        </is>
      </c>
      <c r="U375" s="8" t="n"/>
      <c r="V375" s="14" t="n"/>
      <c r="W375" s="14" t="n"/>
      <c r="X375" s="7" t="inlineStr"/>
      <c r="Y375" s="7" t="inlineStr"/>
    </row>
    <row r="376">
      <c r="A376" s="7" t="n">
        <v>46141</v>
      </c>
      <c r="B376" s="12" t="inlineStr">
        <is>
          <t>7898060132518</t>
        </is>
      </c>
      <c r="C376" s="7" t="inlineStr">
        <is>
          <t>AZITROMICINA 500MG CX 5 COMP</t>
        </is>
      </c>
      <c r="D376" s="7" t="inlineStr">
        <is>
          <t>GENERICO - ATB</t>
        </is>
      </c>
      <c r="E376" s="7" t="inlineStr">
        <is>
          <t>C</t>
        </is>
      </c>
      <c r="F376" s="13" t="n">
        <v>1</v>
      </c>
      <c r="G376" s="13" t="n">
        <v>1</v>
      </c>
      <c r="H376" s="8" t="n">
        <v>5.86</v>
      </c>
      <c r="I376" s="8" t="n">
        <v>5.86</v>
      </c>
      <c r="J376" s="8" t="n">
        <v>5.86</v>
      </c>
      <c r="K376" s="8" t="n">
        <v>6.44</v>
      </c>
      <c r="L376" s="8" t="n"/>
      <c r="M376" s="8" t="n"/>
      <c r="N376" s="15" t="n">
        <v>6.17</v>
      </c>
      <c r="O376" s="8" t="n"/>
      <c r="P376" s="8" t="n"/>
      <c r="Q376" s="8" t="n"/>
      <c r="R376" s="8" t="n"/>
      <c r="S376" s="8" t="n"/>
      <c r="T376" s="7" t="inlineStr">
        <is>
          <t>CENTROFARMA</t>
        </is>
      </c>
      <c r="U376" s="8" t="n">
        <v>6.17</v>
      </c>
      <c r="V376" s="14">
        <f>U376/J376-1</f>
        <v/>
      </c>
      <c r="W376" s="14">
        <f>U376/H376-1</f>
        <v/>
      </c>
      <c r="X376" s="16" t="inlineStr">
        <is>
          <t>ACIMA +5.3%</t>
        </is>
      </c>
      <c r="Y376" s="7" t="inlineStr"/>
    </row>
    <row r="377">
      <c r="A377" s="7" t="n">
        <v>47221</v>
      </c>
      <c r="B377" s="12" t="inlineStr">
        <is>
          <t>7898216365708</t>
        </is>
      </c>
      <c r="C377" s="7" t="inlineStr">
        <is>
          <t>AZITROMICINA DI-HIDRATADA 500MG CX 5 COMP REV</t>
        </is>
      </c>
      <c r="D377" s="7" t="inlineStr">
        <is>
          <t>GENERICO - ATB</t>
        </is>
      </c>
      <c r="E377" s="7" t="inlineStr">
        <is>
          <t>A</t>
        </is>
      </c>
      <c r="F377" s="13" t="n">
        <v>18</v>
      </c>
      <c r="G377" s="13" t="n">
        <v>18</v>
      </c>
      <c r="H377" s="8" t="n">
        <v>5.78</v>
      </c>
      <c r="I377" s="8" t="n">
        <v>5.78</v>
      </c>
      <c r="J377" s="8" t="n">
        <v>5.78</v>
      </c>
      <c r="K377" s="8" t="n">
        <v>6</v>
      </c>
      <c r="L377" s="8" t="n"/>
      <c r="M377" s="8" t="n"/>
      <c r="N377" s="8" t="n">
        <v>6.08</v>
      </c>
      <c r="O377" s="8" t="n">
        <v>5.95</v>
      </c>
      <c r="P377" s="8" t="n"/>
      <c r="Q377" s="8" t="n">
        <v>6.28</v>
      </c>
      <c r="R377" s="15" t="n">
        <v>5.74</v>
      </c>
      <c r="S377" s="8" t="n"/>
      <c r="T377" s="7" t="inlineStr">
        <is>
          <t>BRASFARMA</t>
        </is>
      </c>
      <c r="U377" s="8" t="n">
        <v>5.74</v>
      </c>
      <c r="V377" s="14">
        <f>U377/J377-1</f>
        <v/>
      </c>
      <c r="W377" s="14">
        <f>U377/H377-1</f>
        <v/>
      </c>
      <c r="X377" s="17" t="inlineStr">
        <is>
          <t>OK (≤ menor hist.)</t>
        </is>
      </c>
      <c r="Y377" s="7" t="inlineStr"/>
    </row>
    <row r="378">
      <c r="A378" s="7" t="n">
        <v>48221</v>
      </c>
      <c r="B378" s="12" t="inlineStr">
        <is>
          <t>7898216360123</t>
        </is>
      </c>
      <c r="C378" s="7" t="inlineStr">
        <is>
          <t>AZITROPHAR 500MG CX 3 COM REV</t>
        </is>
      </c>
      <c r="D378" s="7" t="inlineStr">
        <is>
          <t>SIMILAR - ATB</t>
        </is>
      </c>
      <c r="E378" s="7" t="inlineStr">
        <is>
          <t>A</t>
        </is>
      </c>
      <c r="F378" s="13" t="n">
        <v>3</v>
      </c>
      <c r="G378" s="13" t="n">
        <v>3</v>
      </c>
      <c r="H378" s="8" t="n">
        <v>3.63</v>
      </c>
      <c r="I378" s="8" t="n">
        <v>3.63</v>
      </c>
      <c r="J378" s="8" t="n">
        <v>3.63</v>
      </c>
      <c r="K378" s="8" t="n">
        <v>3.91</v>
      </c>
      <c r="L378" s="8" t="n"/>
      <c r="M378" s="8" t="n"/>
      <c r="N378" s="8" t="n">
        <v>3.84</v>
      </c>
      <c r="O378" s="8" t="n">
        <v>3.78</v>
      </c>
      <c r="P378" s="8" t="n"/>
      <c r="Q378" s="8" t="n">
        <v>4.11</v>
      </c>
      <c r="R378" s="15" t="n">
        <v>3.74</v>
      </c>
      <c r="S378" s="8" t="n"/>
      <c r="T378" s="7" t="inlineStr">
        <is>
          <t>BRASFARMA</t>
        </is>
      </c>
      <c r="U378" s="8" t="n">
        <v>3.74</v>
      </c>
      <c r="V378" s="14">
        <f>U378/J378-1</f>
        <v/>
      </c>
      <c r="W378" s="14">
        <f>U378/H378-1</f>
        <v/>
      </c>
      <c r="X378" s="16" t="inlineStr">
        <is>
          <t>ACIMA +3.0%</t>
        </is>
      </c>
      <c r="Y378" s="7" t="inlineStr"/>
    </row>
    <row r="379">
      <c r="A379" s="7" t="n">
        <v>47701</v>
      </c>
      <c r="B379" s="12" t="inlineStr">
        <is>
          <t>7898216364510</t>
        </is>
      </c>
      <c r="C379" s="7" t="inlineStr">
        <is>
          <t>AZITROPHAR 600MG PO SUS OR FR 15ML + SER DOS 5ML</t>
        </is>
      </c>
      <c r="D379" s="7" t="inlineStr">
        <is>
          <t>GENERICO</t>
        </is>
      </c>
      <c r="E379" s="7" t="inlineStr">
        <is>
          <t>B</t>
        </is>
      </c>
      <c r="F379" s="13" t="n">
        <v>6</v>
      </c>
      <c r="G379" s="13" t="n">
        <v>6</v>
      </c>
      <c r="H379" s="8" t="n">
        <v>13.96</v>
      </c>
      <c r="I379" s="8" t="n">
        <v>13.96</v>
      </c>
      <c r="J379" s="8" t="n">
        <v>13.96</v>
      </c>
      <c r="K379" s="8" t="n">
        <v>14.499</v>
      </c>
      <c r="L379" s="8" t="n"/>
      <c r="M379" s="8" t="n"/>
      <c r="N379" s="8" t="n">
        <v>14.69</v>
      </c>
      <c r="O379" s="8" t="n">
        <v>14.36</v>
      </c>
      <c r="P379" s="8" t="n"/>
      <c r="Q379" s="8" t="n">
        <v>14.27</v>
      </c>
      <c r="R379" s="15" t="n">
        <v>13.84</v>
      </c>
      <c r="S379" s="8" t="n"/>
      <c r="T379" s="7" t="inlineStr">
        <is>
          <t>BRASFARMA</t>
        </is>
      </c>
      <c r="U379" s="8" t="n">
        <v>13.84</v>
      </c>
      <c r="V379" s="14">
        <f>U379/J379-1</f>
        <v/>
      </c>
      <c r="W379" s="14">
        <f>U379/H379-1</f>
        <v/>
      </c>
      <c r="X379" s="17" t="inlineStr">
        <is>
          <t>OK (≤ menor hist.)</t>
        </is>
      </c>
      <c r="Y379" s="7" t="inlineStr"/>
    </row>
    <row r="380">
      <c r="A380" s="7" t="n">
        <v>329081</v>
      </c>
      <c r="B380" s="12" t="inlineStr"/>
      <c r="C380" s="7" t="inlineStr">
        <is>
          <t>AZORGA 10+5MG/ML SUS OFT FR GOT X 5ML</t>
        </is>
      </c>
      <c r="D380" s="7" t="inlineStr">
        <is>
          <t>RX</t>
        </is>
      </c>
      <c r="E380" s="7" t="inlineStr">
        <is>
          <t>A</t>
        </is>
      </c>
      <c r="F380" s="13" t="n">
        <v>2</v>
      </c>
      <c r="G380" s="13" t="n">
        <v>2</v>
      </c>
      <c r="H380" s="8" t="n">
        <v>82.95999999999999</v>
      </c>
      <c r="I380" s="8" t="n">
        <v>76.12</v>
      </c>
      <c r="J380" s="8" t="n">
        <v>80.67999999999999</v>
      </c>
      <c r="K380" s="8" t="n"/>
      <c r="L380" s="8" t="n"/>
      <c r="M380" s="8" t="n"/>
      <c r="N380" s="8" t="n"/>
      <c r="O380" s="8" t="n"/>
      <c r="P380" s="8" t="n"/>
      <c r="Q380" s="8" t="n"/>
      <c r="R380" s="8" t="n"/>
      <c r="S380" s="8" t="n"/>
      <c r="T380" s="7" t="inlineStr">
        <is>
          <t>SEM COTAÇÃO</t>
        </is>
      </c>
      <c r="U380" s="8" t="n"/>
      <c r="V380" s="14" t="n"/>
      <c r="W380" s="14" t="n"/>
      <c r="X380" s="7" t="inlineStr"/>
      <c r="Y380" s="7" t="inlineStr"/>
    </row>
    <row r="381">
      <c r="A381" s="7" t="n">
        <v>364041</v>
      </c>
      <c r="B381" s="12" t="inlineStr">
        <is>
          <t>7891317172749</t>
        </is>
      </c>
      <c r="C381" s="7" t="inlineStr">
        <is>
          <t>AZOX 20MG/ML PO SUS OR FR 100ML+SER DOS</t>
        </is>
      </c>
      <c r="D381" s="7" t="inlineStr">
        <is>
          <t>RX</t>
        </is>
      </c>
      <c r="E381" s="7" t="inlineStr">
        <is>
          <t>A</t>
        </is>
      </c>
      <c r="F381" s="13" t="n">
        <v>1</v>
      </c>
      <c r="G381" s="13" t="n">
        <v>1</v>
      </c>
      <c r="H381" s="8" t="n">
        <v>46.74</v>
      </c>
      <c r="I381" s="8" t="n">
        <v>42.955</v>
      </c>
      <c r="J381" s="8" t="n">
        <v>45.30166666666667</v>
      </c>
      <c r="K381" s="8" t="n"/>
      <c r="L381" s="8" t="n"/>
      <c r="M381" s="8" t="n"/>
      <c r="N381" s="8" t="n"/>
      <c r="O381" s="15" t="n">
        <v>46.74</v>
      </c>
      <c r="P381" s="8" t="n">
        <v>48.7256</v>
      </c>
      <c r="Q381" s="8" t="n"/>
      <c r="R381" s="8" t="n"/>
      <c r="S381" s="8" t="n"/>
      <c r="T381" s="7" t="inlineStr">
        <is>
          <t>TAPAJOS</t>
        </is>
      </c>
      <c r="U381" s="8" t="n">
        <v>46.74</v>
      </c>
      <c r="V381" s="14">
        <f>U381/J381-1</f>
        <v/>
      </c>
      <c r="W381" s="14">
        <f>U381/H381-1</f>
        <v/>
      </c>
      <c r="X381" s="17" t="inlineStr">
        <is>
          <t>OK (≤ últ. compra)</t>
        </is>
      </c>
      <c r="Y381" s="7" t="inlineStr"/>
    </row>
    <row r="382">
      <c r="A382" s="7" t="n">
        <v>265661</v>
      </c>
      <c r="B382" s="12" t="inlineStr"/>
      <c r="C382" s="7" t="inlineStr">
        <is>
          <t>AZUKON MR 30MG CX 30 COMP LIB PROL</t>
        </is>
      </c>
      <c r="D382" s="7" t="inlineStr">
        <is>
          <t>RX - DIABETES</t>
        </is>
      </c>
      <c r="E382" s="7" t="inlineStr">
        <is>
          <t>A</t>
        </is>
      </c>
      <c r="F382" s="13" t="n">
        <v>1</v>
      </c>
      <c r="G382" s="13" t="n">
        <v>1</v>
      </c>
      <c r="H382" s="8" t="n">
        <v>18.2</v>
      </c>
      <c r="I382" s="8" t="n">
        <v>14.564</v>
      </c>
      <c r="J382" s="8" t="n">
        <v>16.8205</v>
      </c>
      <c r="K382" s="8" t="n"/>
      <c r="L382" s="8" t="n"/>
      <c r="M382" s="8" t="n"/>
      <c r="N382" s="8" t="n"/>
      <c r="O382" s="8" t="n"/>
      <c r="P382" s="8" t="n"/>
      <c r="Q382" s="8" t="n"/>
      <c r="R382" s="8" t="n"/>
      <c r="S382" s="8" t="n"/>
      <c r="T382" s="7" t="inlineStr">
        <is>
          <t>SEM COTAÇÃO</t>
        </is>
      </c>
      <c r="U382" s="8" t="n"/>
      <c r="V382" s="14" t="n"/>
      <c r="W382" s="14" t="n"/>
      <c r="X382" s="7" t="inlineStr"/>
      <c r="Y382" s="7" t="inlineStr"/>
    </row>
    <row r="383">
      <c r="A383" s="7" t="n">
        <v>565601</v>
      </c>
      <c r="B383" s="12" t="inlineStr"/>
      <c r="C383" s="7" t="inlineStr">
        <is>
          <t>BABYMED AMENDOAS CREM BG X 40 G</t>
        </is>
      </c>
      <c r="D383" s="7" t="inlineStr">
        <is>
          <t>SIMILAR</t>
        </is>
      </c>
      <c r="E383" s="7" t="inlineStr">
        <is>
          <t>A</t>
        </is>
      </c>
      <c r="F383" s="13" t="n">
        <v>9</v>
      </c>
      <c r="G383" s="13" t="n">
        <v>9</v>
      </c>
      <c r="H383" s="8" t="n">
        <v>5.99</v>
      </c>
      <c r="I383" s="8" t="n">
        <v>5.99</v>
      </c>
      <c r="J383" s="8" t="n">
        <v>5.989999999999999</v>
      </c>
      <c r="K383" s="8" t="n"/>
      <c r="L383" s="8" t="n"/>
      <c r="M383" s="8" t="n"/>
      <c r="N383" s="8" t="n"/>
      <c r="O383" s="8" t="n"/>
      <c r="P383" s="8" t="n"/>
      <c r="Q383" s="8" t="n"/>
      <c r="R383" s="8" t="n"/>
      <c r="S383" s="8" t="n"/>
      <c r="T383" s="7" t="inlineStr">
        <is>
          <t>SEM COTAÇÃO</t>
        </is>
      </c>
      <c r="U383" s="8" t="n"/>
      <c r="V383" s="14" t="n"/>
      <c r="W383" s="14" t="n"/>
      <c r="X383" s="7" t="inlineStr"/>
      <c r="Y383" s="7" t="inlineStr"/>
    </row>
    <row r="384">
      <c r="A384" s="7" t="n">
        <v>533001</v>
      </c>
      <c r="B384" s="12" t="inlineStr">
        <is>
          <t>7896523223223</t>
        </is>
      </c>
      <c r="C384" s="7" t="inlineStr">
        <is>
          <t>BABYMED MENINO 45G POMADA</t>
        </is>
      </c>
      <c r="D384" s="7" t="inlineStr">
        <is>
          <t>SIMILAR</t>
        </is>
      </c>
      <c r="E384" s="7" t="inlineStr">
        <is>
          <t>A</t>
        </is>
      </c>
      <c r="F384" s="13" t="n">
        <v>11</v>
      </c>
      <c r="G384" s="13" t="n">
        <v>11</v>
      </c>
      <c r="H384" s="8" t="n">
        <v>4.99</v>
      </c>
      <c r="I384" s="8" t="n">
        <v>4.99</v>
      </c>
      <c r="J384" s="8" t="n">
        <v>4.99</v>
      </c>
      <c r="K384" s="15" t="n">
        <v>6.74</v>
      </c>
      <c r="L384" s="8" t="n"/>
      <c r="M384" s="8" t="n"/>
      <c r="N384" s="8" t="n"/>
      <c r="O384" s="8" t="n"/>
      <c r="P384" s="8" t="n">
        <v>7.16</v>
      </c>
      <c r="Q384" s="8" t="n"/>
      <c r="R384" s="8" t="n"/>
      <c r="S384" s="8" t="n"/>
      <c r="T384" s="7" t="inlineStr">
        <is>
          <t>DIMEC</t>
        </is>
      </c>
      <c r="U384" s="8" t="n">
        <v>6.74</v>
      </c>
      <c r="V384" s="14">
        <f>U384/J384-1</f>
        <v/>
      </c>
      <c r="W384" s="14">
        <f>U384/H384-1</f>
        <v/>
      </c>
      <c r="X384" s="16" t="inlineStr">
        <is>
          <t>ACIMA +35.1%</t>
        </is>
      </c>
      <c r="Y384" s="7" t="inlineStr"/>
    </row>
    <row r="385">
      <c r="A385" s="7" t="n">
        <v>645591</v>
      </c>
      <c r="B385" s="12" t="inlineStr">
        <is>
          <t>7898040328603</t>
        </is>
      </c>
      <c r="C385" s="7" t="inlineStr">
        <is>
          <t>BACTRIM F CX 10 COMP</t>
        </is>
      </c>
      <c r="D385" s="7" t="inlineStr">
        <is>
          <t>RX - REFERENCIA - ATB</t>
        </is>
      </c>
      <c r="E385" s="7" t="inlineStr">
        <is>
          <t>A</t>
        </is>
      </c>
      <c r="F385" s="13" t="n">
        <v>6</v>
      </c>
      <c r="G385" s="13" t="n">
        <v>6</v>
      </c>
      <c r="H385" s="8" t="n">
        <v>27.55</v>
      </c>
      <c r="I385" s="8" t="n">
        <v>24.63</v>
      </c>
      <c r="J385" s="8" t="n">
        <v>26.13</v>
      </c>
      <c r="K385" s="8" t="n"/>
      <c r="L385" s="8" t="n"/>
      <c r="M385" s="8" t="n"/>
      <c r="N385" s="8" t="n"/>
      <c r="O385" s="15" t="n">
        <v>27.55</v>
      </c>
      <c r="P385" s="8" t="n">
        <v>28.033</v>
      </c>
      <c r="Q385" s="8" t="n"/>
      <c r="R385" s="8" t="n"/>
      <c r="S385" s="8" t="n"/>
      <c r="T385" s="7" t="inlineStr">
        <is>
          <t>TAPAJOS</t>
        </is>
      </c>
      <c r="U385" s="8" t="n">
        <v>27.55</v>
      </c>
      <c r="V385" s="14">
        <f>U385/J385-1</f>
        <v/>
      </c>
      <c r="W385" s="14">
        <f>U385/H385-1</f>
        <v/>
      </c>
      <c r="X385" s="17" t="inlineStr">
        <is>
          <t>OK (≤ últ. compra)</t>
        </is>
      </c>
      <c r="Y385" s="7" t="inlineStr"/>
    </row>
    <row r="386">
      <c r="A386" s="7" t="n">
        <v>652611</v>
      </c>
      <c r="B386" s="12" t="inlineStr">
        <is>
          <t>7622210561800</t>
        </is>
      </c>
      <c r="C386" s="7" t="inlineStr">
        <is>
          <t>BALA BUBBALOO MIX</t>
        </is>
      </c>
      <c r="D386" s="7" t="inlineStr">
        <is>
          <t>CONVENIENCIA</t>
        </is>
      </c>
      <c r="E386" s="7" t="inlineStr">
        <is>
          <t>C</t>
        </is>
      </c>
      <c r="F386" s="13" t="n">
        <v>3</v>
      </c>
      <c r="G386" s="13" t="n">
        <v>3</v>
      </c>
      <c r="H386" s="8" t="n">
        <v>0.99</v>
      </c>
      <c r="I386" s="8" t="n">
        <v>0.99</v>
      </c>
      <c r="J386" s="8" t="n">
        <v>0.9899999999999999</v>
      </c>
      <c r="K386" s="8" t="n"/>
      <c r="L386" s="8" t="n"/>
      <c r="M386" s="8" t="n"/>
      <c r="N386" s="8" t="n"/>
      <c r="O386" s="8" t="n"/>
      <c r="P386" s="8" t="n"/>
      <c r="Q386" s="8" t="n"/>
      <c r="R386" s="8" t="n"/>
      <c r="S386" s="8" t="n"/>
      <c r="T386" s="7" t="inlineStr">
        <is>
          <t>SEM COTAÇÃO</t>
        </is>
      </c>
      <c r="U386" s="8" t="n"/>
      <c r="V386" s="14" t="n"/>
      <c r="W386" s="14" t="n"/>
      <c r="X386" s="7" t="inlineStr"/>
      <c r="Y386" s="7" t="inlineStr"/>
    </row>
    <row r="387">
      <c r="A387" s="7" t="n">
        <v>664681</v>
      </c>
      <c r="B387" s="12" t="inlineStr">
        <is>
          <t>7891151031462</t>
        </is>
      </c>
      <c r="C387" s="7" t="inlineStr">
        <is>
          <t>BALA COMENTADA MENTA 24X700G PC</t>
        </is>
      </c>
      <c r="D387" s="7" t="inlineStr">
        <is>
          <t>CONVENIENCIA</t>
        </is>
      </c>
      <c r="E387" s="7" t="inlineStr">
        <is>
          <t>C</t>
        </is>
      </c>
      <c r="F387" s="13" t="n">
        <v>1</v>
      </c>
      <c r="G387" s="13" t="n">
        <v>1</v>
      </c>
      <c r="H387" s="8" t="n">
        <v>14.31</v>
      </c>
      <c r="I387" s="8" t="n">
        <v>14.31</v>
      </c>
      <c r="J387" s="8" t="n">
        <v>14.31</v>
      </c>
      <c r="K387" s="8" t="n"/>
      <c r="L387" s="8" t="n"/>
      <c r="M387" s="8" t="n"/>
      <c r="N387" s="8" t="n"/>
      <c r="O387" s="8" t="n"/>
      <c r="P387" s="8" t="n"/>
      <c r="Q387" s="8" t="n"/>
      <c r="R387" s="8" t="n"/>
      <c r="S387" s="8" t="n"/>
      <c r="T387" s="7" t="inlineStr">
        <is>
          <t>SEM COTAÇÃO</t>
        </is>
      </c>
      <c r="U387" s="8" t="n"/>
      <c r="V387" s="14" t="n"/>
      <c r="W387" s="14" t="n"/>
      <c r="X387" s="7" t="inlineStr"/>
      <c r="Y387" s="7" t="inlineStr"/>
    </row>
    <row r="388">
      <c r="A388" s="7" t="n">
        <v>659801</v>
      </c>
      <c r="B388" s="12" t="inlineStr">
        <is>
          <t>7896286621960</t>
        </is>
      </c>
      <c r="C388" s="7" t="inlineStr">
        <is>
          <t>BALA DURA ICEKISS EXTRA FORTE 30X100G PC</t>
        </is>
      </c>
      <c r="D388" s="7" t="inlineStr">
        <is>
          <t>CONVENIENCIA</t>
        </is>
      </c>
      <c r="E388" s="7" t="inlineStr">
        <is>
          <t>C</t>
        </is>
      </c>
      <c r="F388" s="13" t="n">
        <v>1</v>
      </c>
      <c r="G388" s="13" t="n">
        <v>1</v>
      </c>
      <c r="H388" s="8" t="n">
        <v>3.47</v>
      </c>
      <c r="I388" s="8" t="n">
        <v>3.47</v>
      </c>
      <c r="J388" s="8" t="n">
        <v>3.47</v>
      </c>
      <c r="K388" s="8" t="n"/>
      <c r="L388" s="8" t="n"/>
      <c r="M388" s="8" t="n"/>
      <c r="N388" s="8" t="n"/>
      <c r="O388" s="8" t="n"/>
      <c r="P388" s="8" t="n"/>
      <c r="Q388" s="8" t="n"/>
      <c r="R388" s="8" t="n"/>
      <c r="S388" s="8" t="n"/>
      <c r="T388" s="7" t="inlineStr">
        <is>
          <t>SEM COTAÇÃO</t>
        </is>
      </c>
      <c r="U388" s="8" t="n"/>
      <c r="V388" s="14" t="n"/>
      <c r="W388" s="14" t="n"/>
      <c r="X388" s="7" t="inlineStr"/>
      <c r="Y388" s="7" t="inlineStr"/>
    </row>
    <row r="389">
      <c r="A389" s="7" t="n">
        <v>614971</v>
      </c>
      <c r="B389" s="12" t="inlineStr">
        <is>
          <t>7898591457777</t>
        </is>
      </c>
      <c r="C389" s="7" t="inlineStr">
        <is>
          <t>BALA FINI CAMPING 80G</t>
        </is>
      </c>
      <c r="D389" s="7" t="inlineStr">
        <is>
          <t>CONVENIENCIA</t>
        </is>
      </c>
      <c r="E389" s="7" t="inlineStr">
        <is>
          <t>C</t>
        </is>
      </c>
      <c r="F389" s="13" t="n">
        <v>8</v>
      </c>
      <c r="G389" s="13" t="n">
        <v>8</v>
      </c>
      <c r="H389" s="8" t="n">
        <v>5.97</v>
      </c>
      <c r="I389" s="8" t="n">
        <v>5.97</v>
      </c>
      <c r="J389" s="8" t="n">
        <v>5.97</v>
      </c>
      <c r="K389" s="8" t="n"/>
      <c r="L389" s="8" t="n"/>
      <c r="M389" s="8" t="n"/>
      <c r="N389" s="8" t="n"/>
      <c r="O389" s="8" t="n"/>
      <c r="P389" s="8" t="n"/>
      <c r="Q389" s="8" t="n"/>
      <c r="R389" s="8" t="n"/>
      <c r="S389" s="8" t="n"/>
      <c r="T389" s="7" t="inlineStr">
        <is>
          <t>SEM COTAÇÃO</t>
        </is>
      </c>
      <c r="U389" s="8" t="n"/>
      <c r="V389" s="14" t="n"/>
      <c r="W389" s="14" t="n"/>
      <c r="X389" s="7" t="inlineStr"/>
      <c r="Y389" s="7" t="inlineStr"/>
    </row>
    <row r="390">
      <c r="A390" s="7" t="n">
        <v>614991</v>
      </c>
      <c r="B390" s="12" t="inlineStr">
        <is>
          <t>7898279794521</t>
        </is>
      </c>
      <c r="C390" s="7" t="inlineStr">
        <is>
          <t>BALA FINI CORACAO MASHMALLOPWS 80G</t>
        </is>
      </c>
      <c r="D390" s="7" t="inlineStr">
        <is>
          <t>CONVENIENCIA</t>
        </is>
      </c>
      <c r="E390" s="7" t="inlineStr">
        <is>
          <t>B</t>
        </is>
      </c>
      <c r="F390" s="13" t="n">
        <v>8</v>
      </c>
      <c r="G390" s="13" t="n">
        <v>8</v>
      </c>
      <c r="H390" s="8" t="n">
        <v>6.06</v>
      </c>
      <c r="I390" s="8" t="n">
        <v>5.97</v>
      </c>
      <c r="J390" s="8" t="n">
        <v>6</v>
      </c>
      <c r="K390" s="8" t="n"/>
      <c r="L390" s="8" t="n"/>
      <c r="M390" s="8" t="n"/>
      <c r="N390" s="8" t="n"/>
      <c r="O390" s="8" t="n"/>
      <c r="P390" s="8" t="n"/>
      <c r="Q390" s="8" t="n"/>
      <c r="R390" s="8" t="n"/>
      <c r="S390" s="8" t="n"/>
      <c r="T390" s="7" t="inlineStr">
        <is>
          <t>SEM COTAÇÃO</t>
        </is>
      </c>
      <c r="U390" s="8" t="n"/>
      <c r="V390" s="14" t="n"/>
      <c r="W390" s="14" t="n"/>
      <c r="X390" s="7" t="inlineStr"/>
      <c r="Y390" s="7" t="inlineStr"/>
    </row>
    <row r="391">
      <c r="A391" s="7" t="n">
        <v>614981</v>
      </c>
      <c r="B391" s="12" t="inlineStr">
        <is>
          <t>7898279797911</t>
        </is>
      </c>
      <c r="C391" s="7" t="inlineStr">
        <is>
          <t>BALA FINI FLOR MASHMALLOPWS 80G</t>
        </is>
      </c>
      <c r="D391" s="7" t="inlineStr">
        <is>
          <t>CONVENIENCIA</t>
        </is>
      </c>
      <c r="E391" s="7" t="inlineStr">
        <is>
          <t>C</t>
        </is>
      </c>
      <c r="F391" s="13" t="n">
        <v>1</v>
      </c>
      <c r="G391" s="13" t="n">
        <v>1</v>
      </c>
      <c r="H391" s="8" t="n">
        <v>5.97</v>
      </c>
      <c r="I391" s="8" t="n">
        <v>5.97</v>
      </c>
      <c r="J391" s="8" t="n">
        <v>5.97</v>
      </c>
      <c r="K391" s="8" t="n"/>
      <c r="L391" s="8" t="n"/>
      <c r="M391" s="8" t="n"/>
      <c r="N391" s="8" t="n"/>
      <c r="O391" s="8" t="n"/>
      <c r="P391" s="8" t="n"/>
      <c r="Q391" s="8" t="n"/>
      <c r="R391" s="8" t="n"/>
      <c r="S391" s="8" t="n"/>
      <c r="T391" s="7" t="inlineStr">
        <is>
          <t>SEM COTAÇÃO</t>
        </is>
      </c>
      <c r="U391" s="8" t="n"/>
      <c r="V391" s="14" t="n"/>
      <c r="W391" s="14" t="n"/>
      <c r="X391" s="7" t="inlineStr"/>
      <c r="Y391" s="7" t="inlineStr"/>
    </row>
    <row r="392">
      <c r="A392" s="7" t="n">
        <v>605811</v>
      </c>
      <c r="B392" s="12" t="inlineStr">
        <is>
          <t>7898279790431</t>
        </is>
      </c>
      <c r="C392" s="7" t="inlineStr">
        <is>
          <t>BALA FINI GELAT AMORAS 90G</t>
        </is>
      </c>
      <c r="D392" s="7" t="inlineStr">
        <is>
          <t>CONVENIENCIA</t>
        </is>
      </c>
      <c r="E392" s="7" t="inlineStr">
        <is>
          <t>B</t>
        </is>
      </c>
      <c r="F392" s="13" t="n">
        <v>2</v>
      </c>
      <c r="G392" s="13" t="n">
        <v>2</v>
      </c>
      <c r="H392" s="8" t="n">
        <v>6.06</v>
      </c>
      <c r="I392" s="8" t="n">
        <v>5.97</v>
      </c>
      <c r="J392" s="8" t="n">
        <v>6</v>
      </c>
      <c r="K392" s="8" t="n"/>
      <c r="L392" s="8" t="n"/>
      <c r="M392" s="8" t="n"/>
      <c r="N392" s="8" t="n"/>
      <c r="O392" s="8" t="n"/>
      <c r="P392" s="8" t="n"/>
      <c r="Q392" s="8" t="n"/>
      <c r="R392" s="8" t="n"/>
      <c r="S392" s="8" t="n"/>
      <c r="T392" s="7" t="inlineStr">
        <is>
          <t>SEM COTAÇÃO</t>
        </is>
      </c>
      <c r="U392" s="8" t="n"/>
      <c r="V392" s="14" t="n"/>
      <c r="W392" s="14" t="n"/>
      <c r="X392" s="7" t="inlineStr"/>
      <c r="Y392" s="7" t="inlineStr"/>
    </row>
    <row r="393">
      <c r="A393" s="7" t="n">
        <v>605821</v>
      </c>
      <c r="B393" s="12" t="inlineStr">
        <is>
          <t>7898279790394</t>
        </is>
      </c>
      <c r="C393" s="7" t="inlineStr">
        <is>
          <t>BALA FINI GELAT BANANAS 90G</t>
        </is>
      </c>
      <c r="D393" s="7" t="inlineStr">
        <is>
          <t>CONVENIENCIA</t>
        </is>
      </c>
      <c r="E393" s="7" t="inlineStr">
        <is>
          <t>B</t>
        </is>
      </c>
      <c r="F393" s="13" t="n">
        <v>8</v>
      </c>
      <c r="G393" s="13" t="n">
        <v>8</v>
      </c>
      <c r="H393" s="8" t="n">
        <v>6.06</v>
      </c>
      <c r="I393" s="8" t="n">
        <v>5.97</v>
      </c>
      <c r="J393" s="8" t="n">
        <v>6</v>
      </c>
      <c r="K393" s="8" t="n"/>
      <c r="L393" s="8" t="n"/>
      <c r="M393" s="8" t="n"/>
      <c r="N393" s="8" t="n"/>
      <c r="O393" s="8" t="n"/>
      <c r="P393" s="8" t="n"/>
      <c r="Q393" s="8" t="n"/>
      <c r="R393" s="8" t="n"/>
      <c r="S393" s="8" t="n"/>
      <c r="T393" s="7" t="inlineStr">
        <is>
          <t>SEM COTAÇÃO</t>
        </is>
      </c>
      <c r="U393" s="8" t="n"/>
      <c r="V393" s="14" t="n"/>
      <c r="W393" s="14" t="n"/>
      <c r="X393" s="7" t="inlineStr"/>
      <c r="Y393" s="7" t="inlineStr"/>
    </row>
    <row r="394">
      <c r="A394" s="7" t="n">
        <v>603381</v>
      </c>
      <c r="B394" s="12" t="inlineStr">
        <is>
          <t>7898279790400</t>
        </is>
      </c>
      <c r="C394" s="7" t="inlineStr">
        <is>
          <t>BALA FINI GELAT BEIJ MO 90G</t>
        </is>
      </c>
      <c r="D394" s="7" t="inlineStr">
        <is>
          <t>CONVENIENCIA</t>
        </is>
      </c>
      <c r="E394" s="7" t="inlineStr">
        <is>
          <t>A</t>
        </is>
      </c>
      <c r="F394" s="13" t="n">
        <v>7</v>
      </c>
      <c r="G394" s="13" t="n">
        <v>7</v>
      </c>
      <c r="H394" s="8" t="n">
        <v>6.06</v>
      </c>
      <c r="I394" s="8" t="n">
        <v>5.97</v>
      </c>
      <c r="J394" s="8" t="n">
        <v>6</v>
      </c>
      <c r="K394" s="8" t="n"/>
      <c r="L394" s="8" t="n"/>
      <c r="M394" s="8" t="n"/>
      <c r="N394" s="8" t="n"/>
      <c r="O394" s="8" t="n"/>
      <c r="P394" s="8" t="n"/>
      <c r="Q394" s="8" t="n"/>
      <c r="R394" s="8" t="n"/>
      <c r="S394" s="8" t="n"/>
      <c r="T394" s="7" t="inlineStr">
        <is>
          <t>SEM COTAÇÃO</t>
        </is>
      </c>
      <c r="U394" s="8" t="n"/>
      <c r="V394" s="14" t="n"/>
      <c r="W394" s="14" t="n"/>
      <c r="X394" s="7" t="inlineStr"/>
      <c r="Y394" s="7" t="inlineStr"/>
    </row>
    <row r="395">
      <c r="A395" s="7" t="n">
        <v>603391</v>
      </c>
      <c r="B395" s="12" t="inlineStr">
        <is>
          <t>7898279790417</t>
        </is>
      </c>
      <c r="C395" s="7" t="inlineStr">
        <is>
          <t>BALA FINI GELAT DENTAD 90G</t>
        </is>
      </c>
      <c r="D395" s="7" t="inlineStr">
        <is>
          <t>CONVENIENCIA</t>
        </is>
      </c>
      <c r="E395" s="7" t="inlineStr">
        <is>
          <t>B</t>
        </is>
      </c>
      <c r="F395" s="13" t="n">
        <v>12</v>
      </c>
      <c r="G395" s="13" t="n">
        <v>12</v>
      </c>
      <c r="H395" s="8" t="n">
        <v>5.45</v>
      </c>
      <c r="I395" s="8" t="n">
        <v>5.45</v>
      </c>
      <c r="J395" s="8" t="n">
        <v>5.45</v>
      </c>
      <c r="K395" s="8" t="n"/>
      <c r="L395" s="8" t="n"/>
      <c r="M395" s="8" t="n"/>
      <c r="N395" s="8" t="n"/>
      <c r="O395" s="8" t="n"/>
      <c r="P395" s="8" t="n"/>
      <c r="Q395" s="8" t="n"/>
      <c r="R395" s="8" t="n"/>
      <c r="S395" s="8" t="n"/>
      <c r="T395" s="7" t="inlineStr">
        <is>
          <t>SEM COTAÇÃO</t>
        </is>
      </c>
      <c r="U395" s="8" t="n"/>
      <c r="V395" s="14" t="n"/>
      <c r="W395" s="14" t="n"/>
      <c r="X395" s="7" t="inlineStr"/>
      <c r="Y395" s="7" t="inlineStr"/>
    </row>
    <row r="396">
      <c r="A396" s="7" t="n">
        <v>615001</v>
      </c>
      <c r="B396" s="12" t="inlineStr">
        <is>
          <t>7898591457807</t>
        </is>
      </c>
      <c r="C396" s="7" t="inlineStr">
        <is>
          <t>BALA FINI GELAT DENTAD 90G</t>
        </is>
      </c>
      <c r="D396" s="7" t="inlineStr">
        <is>
          <t>CONVENIENCIA</t>
        </is>
      </c>
      <c r="E396" s="7" t="inlineStr">
        <is>
          <t>C</t>
        </is>
      </c>
      <c r="F396" s="13" t="n">
        <v>2</v>
      </c>
      <c r="G396" s="13" t="n">
        <v>2</v>
      </c>
      <c r="H396" s="8" t="n">
        <v>5.97</v>
      </c>
      <c r="I396" s="8" t="n">
        <v>5.97</v>
      </c>
      <c r="J396" s="8" t="n">
        <v>5.97</v>
      </c>
      <c r="K396" s="8" t="n"/>
      <c r="L396" s="8" t="n"/>
      <c r="M396" s="8" t="n"/>
      <c r="N396" s="8" t="n"/>
      <c r="O396" s="8" t="n"/>
      <c r="P396" s="8" t="n"/>
      <c r="Q396" s="8" t="n"/>
      <c r="R396" s="8" t="n"/>
      <c r="S396" s="8" t="n"/>
      <c r="T396" s="7" t="inlineStr">
        <is>
          <t>SEM COTAÇÃO</t>
        </is>
      </c>
      <c r="U396" s="8" t="n"/>
      <c r="V396" s="14" t="n"/>
      <c r="W396" s="14" t="n"/>
      <c r="X396" s="7" t="inlineStr"/>
      <c r="Y396" s="7" t="inlineStr"/>
    </row>
    <row r="397">
      <c r="A397" s="7" t="n">
        <v>603401</v>
      </c>
      <c r="B397" s="12" t="inlineStr">
        <is>
          <t>7898279790776</t>
        </is>
      </c>
      <c r="C397" s="7" t="inlineStr">
        <is>
          <t>BALA FINI GELAT MINH B 90G</t>
        </is>
      </c>
      <c r="D397" s="7" t="inlineStr">
        <is>
          <t>CONVENIENCIA</t>
        </is>
      </c>
      <c r="E397" s="7" t="inlineStr">
        <is>
          <t>A</t>
        </is>
      </c>
      <c r="F397" s="13" t="n">
        <v>6</v>
      </c>
      <c r="G397" s="13" t="n">
        <v>6</v>
      </c>
      <c r="H397" s="8" t="n">
        <v>6.06</v>
      </c>
      <c r="I397" s="8" t="n">
        <v>5.97</v>
      </c>
      <c r="J397" s="8" t="n">
        <v>6</v>
      </c>
      <c r="K397" s="8" t="n"/>
      <c r="L397" s="8" t="n"/>
      <c r="M397" s="8" t="n"/>
      <c r="N397" s="8" t="n"/>
      <c r="O397" s="8" t="n"/>
      <c r="P397" s="8" t="n"/>
      <c r="Q397" s="8" t="n"/>
      <c r="R397" s="8" t="n"/>
      <c r="S397" s="8" t="n"/>
      <c r="T397" s="7" t="inlineStr">
        <is>
          <t>SEM COTAÇÃO</t>
        </is>
      </c>
      <c r="U397" s="8" t="n"/>
      <c r="V397" s="14" t="n"/>
      <c r="W397" s="14" t="n"/>
      <c r="X397" s="7" t="inlineStr"/>
      <c r="Y397" s="7" t="inlineStr"/>
    </row>
    <row r="398">
      <c r="A398" s="7" t="n">
        <v>603411</v>
      </c>
      <c r="B398" s="12" t="inlineStr">
        <is>
          <t>7898279792039</t>
        </is>
      </c>
      <c r="C398" s="7" t="inlineStr">
        <is>
          <t>BALA FINI GELAT MINH C 90G</t>
        </is>
      </c>
      <c r="D398" s="7" t="inlineStr">
        <is>
          <t>CONVENIENCIA</t>
        </is>
      </c>
      <c r="E398" s="7" t="inlineStr">
        <is>
          <t>C</t>
        </is>
      </c>
      <c r="F398" s="13" t="n">
        <v>8</v>
      </c>
      <c r="G398" s="13" t="n">
        <v>8</v>
      </c>
      <c r="H398" s="8" t="n">
        <v>5.97</v>
      </c>
      <c r="I398" s="8" t="n">
        <v>5.97</v>
      </c>
      <c r="J398" s="8" t="n">
        <v>5.97</v>
      </c>
      <c r="K398" s="8" t="n"/>
      <c r="L398" s="8" t="n"/>
      <c r="M398" s="8" t="n"/>
      <c r="N398" s="8" t="n"/>
      <c r="O398" s="8" t="n"/>
      <c r="P398" s="8" t="n"/>
      <c r="Q398" s="8" t="n"/>
      <c r="R398" s="8" t="n"/>
      <c r="S398" s="8" t="n"/>
      <c r="T398" s="7" t="inlineStr">
        <is>
          <t>SEM COTAÇÃO</t>
        </is>
      </c>
      <c r="U398" s="8" t="n"/>
      <c r="V398" s="14" t="n"/>
      <c r="W398" s="14" t="n"/>
      <c r="X398" s="7" t="inlineStr"/>
      <c r="Y398" s="7" t="inlineStr"/>
    </row>
    <row r="399">
      <c r="A399" s="7" t="n">
        <v>603421</v>
      </c>
      <c r="B399" s="12" t="inlineStr">
        <is>
          <t>7898279790639</t>
        </is>
      </c>
      <c r="C399" s="7" t="inlineStr">
        <is>
          <t>BALA FINI GELAT URSI B 90G</t>
        </is>
      </c>
      <c r="D399" s="7" t="inlineStr">
        <is>
          <t>CONVENIENCIA</t>
        </is>
      </c>
      <c r="E399" s="7" t="inlineStr">
        <is>
          <t>B</t>
        </is>
      </c>
      <c r="F399" s="13" t="n">
        <v>2</v>
      </c>
      <c r="G399" s="13" t="n">
        <v>2</v>
      </c>
      <c r="H399" s="8" t="n">
        <v>6.06</v>
      </c>
      <c r="I399" s="8" t="n">
        <v>5.97</v>
      </c>
      <c r="J399" s="8" t="n">
        <v>6</v>
      </c>
      <c r="K399" s="8" t="n"/>
      <c r="L399" s="8" t="n"/>
      <c r="M399" s="8" t="n"/>
      <c r="N399" s="8" t="n"/>
      <c r="O399" s="8" t="n"/>
      <c r="P399" s="8" t="n"/>
      <c r="Q399" s="8" t="n"/>
      <c r="R399" s="8" t="n"/>
      <c r="S399" s="8" t="n"/>
      <c r="T399" s="7" t="inlineStr">
        <is>
          <t>SEM COTAÇÃO</t>
        </is>
      </c>
      <c r="U399" s="8" t="n"/>
      <c r="V399" s="14" t="n"/>
      <c r="W399" s="14" t="n"/>
      <c r="X399" s="7" t="inlineStr"/>
      <c r="Y399" s="7" t="inlineStr"/>
    </row>
    <row r="400">
      <c r="A400" s="7" t="n">
        <v>614931</v>
      </c>
      <c r="B400" s="12" t="inlineStr">
        <is>
          <t>7898279792077</t>
        </is>
      </c>
      <c r="C400" s="7" t="inlineStr">
        <is>
          <t>BALA FINI HAMBURGUERS 80G</t>
        </is>
      </c>
      <c r="D400" s="7" t="inlineStr">
        <is>
          <t>CONVENIENCIA</t>
        </is>
      </c>
      <c r="E400" s="7" t="inlineStr">
        <is>
          <t>C</t>
        </is>
      </c>
      <c r="F400" s="13" t="n">
        <v>9</v>
      </c>
      <c r="G400" s="13" t="n">
        <v>9</v>
      </c>
      <c r="H400" s="8" t="n">
        <v>5.97</v>
      </c>
      <c r="I400" s="8" t="n">
        <v>5.97</v>
      </c>
      <c r="J400" s="8" t="n">
        <v>5.97</v>
      </c>
      <c r="K400" s="8" t="n"/>
      <c r="L400" s="8" t="n"/>
      <c r="M400" s="8" t="n"/>
      <c r="N400" s="8" t="n"/>
      <c r="O400" s="8" t="n"/>
      <c r="P400" s="8" t="n"/>
      <c r="Q400" s="8" t="n"/>
      <c r="R400" s="8" t="n"/>
      <c r="S400" s="8" t="n"/>
      <c r="T400" s="7" t="inlineStr">
        <is>
          <t>SEM COTAÇÃO</t>
        </is>
      </c>
      <c r="U400" s="8" t="n"/>
      <c r="V400" s="14" t="n"/>
      <c r="W400" s="14" t="n"/>
      <c r="X400" s="7" t="inlineStr"/>
      <c r="Y400" s="7" t="inlineStr"/>
    </row>
    <row r="401">
      <c r="A401" s="7" t="n">
        <v>614951</v>
      </c>
      <c r="B401" s="12" t="inlineStr">
        <is>
          <t>7898279794842</t>
        </is>
      </c>
      <c r="C401" s="7" t="inlineStr">
        <is>
          <t>BALA FINI MELANCIA AZEDINHA 80G</t>
        </is>
      </c>
      <c r="D401" s="7" t="inlineStr">
        <is>
          <t>CONVENIENCIA</t>
        </is>
      </c>
      <c r="E401" s="7" t="inlineStr">
        <is>
          <t>C</t>
        </is>
      </c>
      <c r="F401" s="13" t="n">
        <v>10</v>
      </c>
      <c r="G401" s="13" t="n">
        <v>10</v>
      </c>
      <c r="H401" s="8" t="n">
        <v>5.97</v>
      </c>
      <c r="I401" s="8" t="n">
        <v>5.97</v>
      </c>
      <c r="J401" s="8" t="n">
        <v>5.97</v>
      </c>
      <c r="K401" s="8" t="n"/>
      <c r="L401" s="8" t="n"/>
      <c r="M401" s="8" t="n"/>
      <c r="N401" s="8" t="n"/>
      <c r="O401" s="8" t="n"/>
      <c r="P401" s="8" t="n"/>
      <c r="Q401" s="8" t="n"/>
      <c r="R401" s="8" t="n"/>
      <c r="S401" s="8" t="n"/>
      <c r="T401" s="7" t="inlineStr">
        <is>
          <t>SEM COTAÇÃO</t>
        </is>
      </c>
      <c r="U401" s="8" t="n"/>
      <c r="V401" s="14" t="n"/>
      <c r="W401" s="14" t="n"/>
      <c r="X401" s="7" t="inlineStr"/>
      <c r="Y401" s="7" t="inlineStr"/>
    </row>
    <row r="402">
      <c r="A402" s="7" t="n">
        <v>614921</v>
      </c>
      <c r="B402" s="12" t="inlineStr">
        <is>
          <t>7898279794859</t>
        </is>
      </c>
      <c r="C402" s="7" t="inlineStr">
        <is>
          <t>BALA FINI OVO DINOSSAURO 90G</t>
        </is>
      </c>
      <c r="D402" s="7" t="inlineStr">
        <is>
          <t>CONVENIENCIA</t>
        </is>
      </c>
      <c r="E402" s="7" t="inlineStr">
        <is>
          <t>B</t>
        </is>
      </c>
      <c r="F402" s="13" t="n">
        <v>7</v>
      </c>
      <c r="G402" s="13" t="n">
        <v>7</v>
      </c>
      <c r="H402" s="8" t="n">
        <v>6.06</v>
      </c>
      <c r="I402" s="8" t="n">
        <v>5.97</v>
      </c>
      <c r="J402" s="8" t="n">
        <v>6</v>
      </c>
      <c r="K402" s="8" t="n"/>
      <c r="L402" s="8" t="n"/>
      <c r="M402" s="8" t="n"/>
      <c r="N402" s="8" t="n"/>
      <c r="O402" s="8" t="n"/>
      <c r="P402" s="8" t="n"/>
      <c r="Q402" s="8" t="n"/>
      <c r="R402" s="8" t="n"/>
      <c r="S402" s="8" t="n"/>
      <c r="T402" s="7" t="inlineStr">
        <is>
          <t>SEM COTAÇÃO</t>
        </is>
      </c>
      <c r="U402" s="8" t="n"/>
      <c r="V402" s="14" t="n"/>
      <c r="W402" s="14" t="n"/>
      <c r="X402" s="7" t="inlineStr"/>
      <c r="Y402" s="7" t="inlineStr"/>
    </row>
    <row r="403">
      <c r="A403" s="7" t="n">
        <v>603441</v>
      </c>
      <c r="B403" s="12" t="inlineStr">
        <is>
          <t>7898591455025</t>
        </is>
      </c>
      <c r="C403" s="7" t="inlineStr">
        <is>
          <t>BALA FINI REGAL TUB AZE UVA 80G</t>
        </is>
      </c>
      <c r="D403" s="7" t="inlineStr">
        <is>
          <t>CONVENIENCIA</t>
        </is>
      </c>
      <c r="E403" s="7" t="inlineStr">
        <is>
          <t>C</t>
        </is>
      </c>
      <c r="F403" s="13" t="n">
        <v>1</v>
      </c>
      <c r="G403" s="13" t="n">
        <v>1</v>
      </c>
      <c r="H403" s="8" t="n">
        <v>5.97</v>
      </c>
      <c r="I403" s="8" t="n">
        <v>5.97</v>
      </c>
      <c r="J403" s="8" t="n">
        <v>5.97</v>
      </c>
      <c r="K403" s="8" t="n"/>
      <c r="L403" s="8" t="n"/>
      <c r="M403" s="8" t="n"/>
      <c r="N403" s="8" t="n"/>
      <c r="O403" s="8" t="n"/>
      <c r="P403" s="8" t="n"/>
      <c r="Q403" s="8" t="n"/>
      <c r="R403" s="8" t="n"/>
      <c r="S403" s="8" t="n"/>
      <c r="T403" s="7" t="inlineStr">
        <is>
          <t>SEM COTAÇÃO</t>
        </is>
      </c>
      <c r="U403" s="8" t="n"/>
      <c r="V403" s="14" t="n"/>
      <c r="W403" s="14" t="n"/>
      <c r="X403" s="7" t="inlineStr"/>
      <c r="Y403" s="7" t="inlineStr"/>
    </row>
    <row r="404">
      <c r="A404" s="7" t="n">
        <v>603461</v>
      </c>
      <c r="B404" s="12" t="inlineStr">
        <is>
          <t>8410525159619</t>
        </is>
      </c>
      <c r="C404" s="7" t="inlineStr">
        <is>
          <t>BALA FINI REGAL TUB M C 12X80G</t>
        </is>
      </c>
      <c r="D404" s="7" t="inlineStr">
        <is>
          <t>CONVENIENCIA</t>
        </is>
      </c>
      <c r="E404" s="7" t="inlineStr">
        <is>
          <t>B</t>
        </is>
      </c>
      <c r="F404" s="13" t="n">
        <v>9</v>
      </c>
      <c r="G404" s="13" t="n">
        <v>9</v>
      </c>
      <c r="H404" s="8" t="n">
        <v>5.97</v>
      </c>
      <c r="I404" s="8" t="n">
        <v>5.97</v>
      </c>
      <c r="J404" s="8" t="n">
        <v>5.97</v>
      </c>
      <c r="K404" s="8" t="n"/>
      <c r="L404" s="8" t="n"/>
      <c r="M404" s="8" t="n"/>
      <c r="N404" s="8" t="n"/>
      <c r="O404" s="8" t="n"/>
      <c r="P404" s="8" t="n"/>
      <c r="Q404" s="8" t="n"/>
      <c r="R404" s="8" t="n"/>
      <c r="S404" s="8" t="n"/>
      <c r="T404" s="7" t="inlineStr">
        <is>
          <t>SEM COTAÇÃO</t>
        </is>
      </c>
      <c r="U404" s="8" t="n"/>
      <c r="V404" s="14" t="n"/>
      <c r="W404" s="14" t="n"/>
      <c r="X404" s="7" t="inlineStr"/>
      <c r="Y404" s="7" t="inlineStr"/>
    </row>
    <row r="405">
      <c r="A405" s="7" t="n">
        <v>603471</v>
      </c>
      <c r="B405" s="12" t="inlineStr">
        <is>
          <t>8410525146435</t>
        </is>
      </c>
      <c r="C405" s="7" t="inlineStr">
        <is>
          <t>BALA FINI REGAL TUB MOR 80G</t>
        </is>
      </c>
      <c r="D405" s="7" t="inlineStr">
        <is>
          <t>CONVENIENCIA</t>
        </is>
      </c>
      <c r="E405" s="7" t="inlineStr">
        <is>
          <t>C</t>
        </is>
      </c>
      <c r="F405" s="13" t="n">
        <v>6</v>
      </c>
      <c r="G405" s="13" t="n">
        <v>6</v>
      </c>
      <c r="H405" s="8" t="n">
        <v>5.97</v>
      </c>
      <c r="I405" s="8" t="n">
        <v>5.97</v>
      </c>
      <c r="J405" s="8" t="n">
        <v>5.97</v>
      </c>
      <c r="K405" s="8" t="n"/>
      <c r="L405" s="8" t="n"/>
      <c r="M405" s="8" t="n"/>
      <c r="N405" s="8" t="n"/>
      <c r="O405" s="8" t="n"/>
      <c r="P405" s="8" t="n"/>
      <c r="Q405" s="8" t="n"/>
      <c r="R405" s="8" t="n"/>
      <c r="S405" s="8" t="n"/>
      <c r="T405" s="7" t="inlineStr">
        <is>
          <t>SEM COTAÇÃO</t>
        </is>
      </c>
      <c r="U405" s="8" t="n"/>
      <c r="V405" s="14" t="n"/>
      <c r="W405" s="14" t="n"/>
      <c r="X405" s="7" t="inlineStr"/>
      <c r="Y405" s="7" t="inlineStr"/>
    </row>
    <row r="406">
      <c r="A406" s="7" t="n">
        <v>603481</v>
      </c>
      <c r="B406" s="12" t="inlineStr">
        <is>
          <t>7898591453595</t>
        </is>
      </c>
      <c r="C406" s="7" t="inlineStr">
        <is>
          <t>BALA FINI REGAL TUB T F 80G</t>
        </is>
      </c>
      <c r="D406" s="7" t="inlineStr">
        <is>
          <t>CONVENIENCIA</t>
        </is>
      </c>
      <c r="E406" s="7" t="inlineStr">
        <is>
          <t>C</t>
        </is>
      </c>
      <c r="F406" s="13" t="n">
        <v>2</v>
      </c>
      <c r="G406" s="13" t="n">
        <v>2</v>
      </c>
      <c r="H406" s="8" t="n">
        <v>5.97</v>
      </c>
      <c r="I406" s="8" t="n">
        <v>5.97</v>
      </c>
      <c r="J406" s="8" t="n">
        <v>5.97</v>
      </c>
      <c r="K406" s="8" t="n"/>
      <c r="L406" s="8" t="n"/>
      <c r="M406" s="8" t="n"/>
      <c r="N406" s="8" t="n"/>
      <c r="O406" s="8" t="n"/>
      <c r="P406" s="8" t="n"/>
      <c r="Q406" s="8" t="n"/>
      <c r="R406" s="8" t="n"/>
      <c r="S406" s="8" t="n"/>
      <c r="T406" s="7" t="inlineStr">
        <is>
          <t>SEM COTAÇÃO</t>
        </is>
      </c>
      <c r="U406" s="8" t="n"/>
      <c r="V406" s="14" t="n"/>
      <c r="W406" s="14" t="n"/>
      <c r="X406" s="7" t="inlineStr"/>
      <c r="Y406" s="7" t="inlineStr"/>
    </row>
    <row r="407">
      <c r="A407" s="7" t="n">
        <v>614941</v>
      </c>
      <c r="B407" s="12" t="inlineStr">
        <is>
          <t>7898279795061</t>
        </is>
      </c>
      <c r="C407" s="7" t="inlineStr">
        <is>
          <t>BALA FINI SALADA DE FRUTAS AZEDINHO 80G</t>
        </is>
      </c>
      <c r="D407" s="7" t="inlineStr">
        <is>
          <t>CONVENIENCIA</t>
        </is>
      </c>
      <c r="E407" s="7" t="inlineStr">
        <is>
          <t>B</t>
        </is>
      </c>
      <c r="F407" s="13" t="n">
        <v>14</v>
      </c>
      <c r="G407" s="13" t="n">
        <v>14</v>
      </c>
      <c r="H407" s="8" t="n">
        <v>5.97</v>
      </c>
      <c r="I407" s="8" t="n">
        <v>5.97</v>
      </c>
      <c r="J407" s="8" t="n">
        <v>5.97</v>
      </c>
      <c r="K407" s="8" t="n"/>
      <c r="L407" s="8" t="n"/>
      <c r="M407" s="8" t="n"/>
      <c r="N407" s="8" t="n"/>
      <c r="O407" s="8" t="n"/>
      <c r="P407" s="8" t="n"/>
      <c r="Q407" s="8" t="n"/>
      <c r="R407" s="8" t="n"/>
      <c r="S407" s="8" t="n"/>
      <c r="T407" s="7" t="inlineStr">
        <is>
          <t>SEM COTAÇÃO</t>
        </is>
      </c>
      <c r="U407" s="8" t="n"/>
      <c r="V407" s="14" t="n"/>
      <c r="W407" s="14" t="n"/>
      <c r="X407" s="7" t="inlineStr"/>
      <c r="Y407" s="7" t="inlineStr"/>
    </row>
    <row r="408">
      <c r="A408" s="7" t="n">
        <v>614961</v>
      </c>
      <c r="B408" s="12" t="inlineStr">
        <is>
          <t>7908228804499</t>
        </is>
      </c>
      <c r="C408" s="7" t="inlineStr">
        <is>
          <t>BALA FINI TORCAO RECHEADO 80G</t>
        </is>
      </c>
      <c r="D408" s="7" t="inlineStr">
        <is>
          <t>CONVENIENCIA</t>
        </is>
      </c>
      <c r="E408" s="7" t="inlineStr">
        <is>
          <t>C</t>
        </is>
      </c>
      <c r="F408" s="13" t="n">
        <v>2</v>
      </c>
      <c r="G408" s="13" t="n">
        <v>2</v>
      </c>
      <c r="H408" s="8" t="n">
        <v>5.97</v>
      </c>
      <c r="I408" s="8" t="n">
        <v>5.97</v>
      </c>
      <c r="J408" s="8" t="n">
        <v>5.97</v>
      </c>
      <c r="K408" s="8" t="n"/>
      <c r="L408" s="8" t="n"/>
      <c r="M408" s="8" t="n"/>
      <c r="N408" s="8" t="n"/>
      <c r="O408" s="8" t="n"/>
      <c r="P408" s="8" t="n"/>
      <c r="Q408" s="8" t="n"/>
      <c r="R408" s="8" t="n"/>
      <c r="S408" s="8" t="n"/>
      <c r="T408" s="7" t="inlineStr">
        <is>
          <t>SEM COTAÇÃO</t>
        </is>
      </c>
      <c r="U408" s="8" t="n"/>
      <c r="V408" s="14" t="n"/>
      <c r="W408" s="14" t="n"/>
      <c r="X408" s="7" t="inlineStr"/>
      <c r="Y408" s="7" t="inlineStr"/>
    </row>
    <row r="409">
      <c r="A409" s="7" t="n">
        <v>664691</v>
      </c>
      <c r="B409" s="12" t="inlineStr">
        <is>
          <t>7891151043014</t>
        </is>
      </c>
      <c r="C409" s="7" t="inlineStr">
        <is>
          <t>BALA FREEGELLS EXTRA FORTE 36PCX475G PC</t>
        </is>
      </c>
      <c r="D409" s="7" t="inlineStr">
        <is>
          <t>CONVENIENCIA</t>
        </is>
      </c>
      <c r="E409" s="7" t="inlineStr">
        <is>
          <t>C</t>
        </is>
      </c>
      <c r="F409" s="13" t="n">
        <v>1</v>
      </c>
      <c r="G409" s="13" t="n">
        <v>1</v>
      </c>
      <c r="H409" s="8" t="n">
        <v>6.92</v>
      </c>
      <c r="I409" s="8" t="n">
        <v>6.92</v>
      </c>
      <c r="J409" s="8" t="n">
        <v>6.919999999999999</v>
      </c>
      <c r="K409" s="8" t="n"/>
      <c r="L409" s="8" t="n"/>
      <c r="M409" s="8" t="n"/>
      <c r="N409" s="8" t="n"/>
      <c r="O409" s="8" t="n"/>
      <c r="P409" s="8" t="n"/>
      <c r="Q409" s="8" t="n"/>
      <c r="R409" s="8" t="n"/>
      <c r="S409" s="8" t="n"/>
      <c r="T409" s="7" t="inlineStr">
        <is>
          <t>SEM COTAÇÃO</t>
        </is>
      </c>
      <c r="U409" s="8" t="n"/>
      <c r="V409" s="14" t="n"/>
      <c r="W409" s="14" t="n"/>
      <c r="X409" s="7" t="inlineStr"/>
      <c r="Y409" s="7" t="inlineStr"/>
    </row>
    <row r="410">
      <c r="A410" s="7" t="n">
        <v>568521</v>
      </c>
      <c r="B410" s="12" t="inlineStr">
        <is>
          <t>78938878</t>
        </is>
      </c>
      <c r="C410" s="7" t="inlineStr">
        <is>
          <t>BALA HALLS 28G</t>
        </is>
      </c>
      <c r="D410" s="7" t="inlineStr">
        <is>
          <t>CONVENIENCIA</t>
        </is>
      </c>
      <c r="E410" s="7" t="inlineStr">
        <is>
          <t>C</t>
        </is>
      </c>
      <c r="F410" s="13" t="n">
        <v>21</v>
      </c>
      <c r="G410" s="13" t="n">
        <v>21</v>
      </c>
      <c r="H410" s="8" t="n">
        <v>1.2</v>
      </c>
      <c r="I410" s="8" t="n">
        <v>1.2</v>
      </c>
      <c r="J410" s="8" t="n">
        <v>1.2</v>
      </c>
      <c r="K410" s="8" t="n"/>
      <c r="L410" s="8" t="n"/>
      <c r="M410" s="8" t="n"/>
      <c r="N410" s="8" t="n"/>
      <c r="O410" s="8" t="n"/>
      <c r="P410" s="8" t="n"/>
      <c r="Q410" s="8" t="n"/>
      <c r="R410" s="8" t="n"/>
      <c r="S410" s="8" t="n"/>
      <c r="T410" s="7" t="inlineStr">
        <is>
          <t>SEM COTAÇÃO</t>
        </is>
      </c>
      <c r="U410" s="8" t="n"/>
      <c r="V410" s="14" t="n"/>
      <c r="W410" s="14" t="n"/>
      <c r="X410" s="7" t="inlineStr"/>
      <c r="Y410" s="7" t="inlineStr"/>
    </row>
    <row r="411">
      <c r="A411" s="7" t="n">
        <v>542721</v>
      </c>
      <c r="B411" s="12" t="inlineStr">
        <is>
          <t>78938854</t>
        </is>
      </c>
      <c r="C411" s="7" t="inlineStr">
        <is>
          <t>BALA MELANCIA HALLS PACOTE 28G</t>
        </is>
      </c>
      <c r="D411" s="7" t="inlineStr">
        <is>
          <t>CONVENIENCIA</t>
        </is>
      </c>
      <c r="E411" s="7" t="inlineStr">
        <is>
          <t>B</t>
        </is>
      </c>
      <c r="F411" s="13" t="n">
        <v>33</v>
      </c>
      <c r="G411" s="13" t="n">
        <v>33</v>
      </c>
      <c r="H411" s="8" t="n">
        <v>1.28</v>
      </c>
      <c r="I411" s="8" t="n">
        <v>1.2</v>
      </c>
      <c r="J411" s="8" t="n">
        <v>1.253333333333333</v>
      </c>
      <c r="K411" s="8" t="n"/>
      <c r="L411" s="8" t="n"/>
      <c r="M411" s="8" t="n"/>
      <c r="N411" s="8" t="n"/>
      <c r="O411" s="8" t="n"/>
      <c r="P411" s="8" t="n"/>
      <c r="Q411" s="8" t="n"/>
      <c r="R411" s="8" t="n"/>
      <c r="S411" s="8" t="n"/>
      <c r="T411" s="7" t="inlineStr">
        <is>
          <t>SEM COTAÇÃO</t>
        </is>
      </c>
      <c r="U411" s="8" t="n"/>
      <c r="V411" s="14" t="n"/>
      <c r="W411" s="14" t="n"/>
      <c r="X411" s="7" t="inlineStr"/>
      <c r="Y411" s="7" t="inlineStr"/>
    </row>
    <row r="412">
      <c r="A412" s="7" t="n">
        <v>557521</v>
      </c>
      <c r="B412" s="12" t="inlineStr">
        <is>
          <t>78938823</t>
        </is>
      </c>
      <c r="C412" s="7" t="inlineStr">
        <is>
          <t>BALA MENTA HALLS  28G MENTOL</t>
        </is>
      </c>
      <c r="D412" s="7" t="inlineStr">
        <is>
          <t>CONVENIENCIA</t>
        </is>
      </c>
      <c r="E412" s="7" t="inlineStr">
        <is>
          <t>B</t>
        </is>
      </c>
      <c r="F412" s="13" t="n">
        <v>7</v>
      </c>
      <c r="G412" s="13" t="n">
        <v>7</v>
      </c>
      <c r="H412" s="8" t="n">
        <v>1.28</v>
      </c>
      <c r="I412" s="8" t="n">
        <v>1.2</v>
      </c>
      <c r="J412" s="8" t="n">
        <v>1.253333333333333</v>
      </c>
      <c r="K412" s="8" t="n"/>
      <c r="L412" s="8" t="n"/>
      <c r="M412" s="8" t="n"/>
      <c r="N412" s="8" t="n"/>
      <c r="O412" s="8" t="n"/>
      <c r="P412" s="8" t="n"/>
      <c r="Q412" s="8" t="n"/>
      <c r="R412" s="8" t="n"/>
      <c r="S412" s="8" t="n"/>
      <c r="T412" s="7" t="inlineStr">
        <is>
          <t>SEM COTAÇÃO</t>
        </is>
      </c>
      <c r="U412" s="8" t="n"/>
      <c r="V412" s="14" t="n"/>
      <c r="W412" s="14" t="n"/>
      <c r="X412" s="7" t="inlineStr"/>
      <c r="Y412" s="7" t="inlineStr"/>
    </row>
    <row r="413">
      <c r="A413" s="7" t="n">
        <v>557501</v>
      </c>
      <c r="B413" s="12" t="inlineStr">
        <is>
          <t>78938793</t>
        </is>
      </c>
      <c r="C413" s="7" t="inlineStr">
        <is>
          <t>BALA MENTA HALLS 28G CEREJA</t>
        </is>
      </c>
      <c r="D413" s="7" t="inlineStr">
        <is>
          <t>CONVENIENCIA</t>
        </is>
      </c>
      <c r="E413" s="7" t="inlineStr">
        <is>
          <t>B</t>
        </is>
      </c>
      <c r="F413" s="13" t="n">
        <v>14</v>
      </c>
      <c r="G413" s="13" t="n">
        <v>14</v>
      </c>
      <c r="H413" s="8" t="n">
        <v>1.28</v>
      </c>
      <c r="I413" s="8" t="n">
        <v>1.2</v>
      </c>
      <c r="J413" s="8" t="n">
        <v>1.253333333333333</v>
      </c>
      <c r="K413" s="8" t="n"/>
      <c r="L413" s="8" t="n"/>
      <c r="M413" s="8" t="n"/>
      <c r="N413" s="8" t="n"/>
      <c r="O413" s="8" t="n"/>
      <c r="P413" s="8" t="n"/>
      <c r="Q413" s="8" t="n"/>
      <c r="R413" s="8" t="n"/>
      <c r="S413" s="8" t="n"/>
      <c r="T413" s="7" t="inlineStr">
        <is>
          <t>SEM COTAÇÃO</t>
        </is>
      </c>
      <c r="U413" s="8" t="n"/>
      <c r="V413" s="14" t="n"/>
      <c r="W413" s="14" t="n"/>
      <c r="X413" s="7" t="inlineStr"/>
      <c r="Y413" s="7" t="inlineStr"/>
    </row>
    <row r="414">
      <c r="A414" s="7" t="n">
        <v>542761</v>
      </c>
      <c r="B414" s="12" t="inlineStr">
        <is>
          <t>78938830</t>
        </is>
      </c>
      <c r="C414" s="7" t="inlineStr">
        <is>
          <t>BALA MENTA HALLS PACOTE 28G</t>
        </is>
      </c>
      <c r="D414" s="7" t="inlineStr">
        <is>
          <t>CONVENIENCIA</t>
        </is>
      </c>
      <c r="E414" s="7" t="inlineStr">
        <is>
          <t>C</t>
        </is>
      </c>
      <c r="F414" s="13" t="n">
        <v>3</v>
      </c>
      <c r="G414" s="13" t="n">
        <v>3</v>
      </c>
      <c r="H414" s="8" t="n">
        <v>1.28</v>
      </c>
      <c r="I414" s="8" t="n">
        <v>1.2</v>
      </c>
      <c r="J414" s="8" t="n">
        <v>1.253333333333333</v>
      </c>
      <c r="K414" s="8" t="n"/>
      <c r="L414" s="8" t="n"/>
      <c r="M414" s="8" t="n"/>
      <c r="N414" s="8" t="n"/>
      <c r="O414" s="8" t="n"/>
      <c r="P414" s="8" t="n"/>
      <c r="Q414" s="8" t="n"/>
      <c r="R414" s="8" t="n"/>
      <c r="S414" s="8" t="n"/>
      <c r="T414" s="7" t="inlineStr">
        <is>
          <t>SEM COTAÇÃO</t>
        </is>
      </c>
      <c r="U414" s="8" t="n"/>
      <c r="V414" s="14" t="n"/>
      <c r="W414" s="14" t="n"/>
      <c r="X414" s="7" t="inlineStr"/>
      <c r="Y414" s="7" t="inlineStr"/>
    </row>
    <row r="415">
      <c r="A415" s="7" t="n">
        <v>542741</v>
      </c>
      <c r="B415" s="12" t="inlineStr">
        <is>
          <t>78938816</t>
        </is>
      </c>
      <c r="C415" s="7" t="inlineStr">
        <is>
          <t>BALA MENTOL EXTRA FORTE HALLS 10 UN</t>
        </is>
      </c>
      <c r="D415" s="7" t="inlineStr">
        <is>
          <t>CONVENIENCIA</t>
        </is>
      </c>
      <c r="E415" s="7" t="inlineStr">
        <is>
          <t>A</t>
        </is>
      </c>
      <c r="F415" s="13" t="n">
        <v>16</v>
      </c>
      <c r="G415" s="13" t="n">
        <v>16</v>
      </c>
      <c r="H415" s="8" t="n">
        <v>1.3</v>
      </c>
      <c r="I415" s="8" t="n">
        <v>1.2</v>
      </c>
      <c r="J415" s="8" t="n">
        <v>1.253333333333333</v>
      </c>
      <c r="K415" s="8" t="n"/>
      <c r="L415" s="8" t="n"/>
      <c r="M415" s="8" t="n"/>
      <c r="N415" s="8" t="n"/>
      <c r="O415" s="8" t="n"/>
      <c r="P415" s="8" t="n"/>
      <c r="Q415" s="8" t="n"/>
      <c r="R415" s="8" t="n"/>
      <c r="S415" s="8" t="n"/>
      <c r="T415" s="7" t="inlineStr">
        <is>
          <t>SEM COTAÇÃO</t>
        </is>
      </c>
      <c r="U415" s="8" t="n"/>
      <c r="V415" s="14" t="n"/>
      <c r="W415" s="14" t="n"/>
      <c r="X415" s="7" t="inlineStr"/>
      <c r="Y415" s="7" t="inlineStr"/>
    </row>
    <row r="416">
      <c r="A416" s="7" t="n">
        <v>584981</v>
      </c>
      <c r="B416" s="12" t="inlineStr">
        <is>
          <t>7896058591507</t>
        </is>
      </c>
      <c r="C416" s="7" t="inlineStr">
        <is>
          <t>BALA YOGURTE100 MORANGO 600GR</t>
        </is>
      </c>
      <c r="D416" s="7" t="inlineStr">
        <is>
          <t>CONVENIENCIA</t>
        </is>
      </c>
      <c r="E416" s="7" t="inlineStr">
        <is>
          <t>C</t>
        </is>
      </c>
      <c r="F416" s="13" t="n">
        <v>1</v>
      </c>
      <c r="G416" s="13" t="n">
        <v>1</v>
      </c>
      <c r="H416" s="8" t="n">
        <v>0.1222</v>
      </c>
      <c r="I416" s="8" t="n">
        <v>0.1222</v>
      </c>
      <c r="J416" s="8" t="n">
        <v>0.1222</v>
      </c>
      <c r="K416" s="8" t="n"/>
      <c r="L416" s="8" t="n"/>
      <c r="M416" s="8" t="n"/>
      <c r="N416" s="8" t="n"/>
      <c r="O416" s="8" t="n"/>
      <c r="P416" s="8" t="n"/>
      <c r="Q416" s="8" t="n"/>
      <c r="R416" s="8" t="n"/>
      <c r="S416" s="8" t="n"/>
      <c r="T416" s="7" t="inlineStr">
        <is>
          <t>SEM COTAÇÃO</t>
        </is>
      </c>
      <c r="U416" s="8" t="n"/>
      <c r="V416" s="14" t="n"/>
      <c r="W416" s="14" t="n"/>
      <c r="X416" s="7" t="inlineStr"/>
      <c r="Y416" s="7" t="inlineStr"/>
    </row>
    <row r="417">
      <c r="A417" s="7" t="n">
        <v>606841</v>
      </c>
      <c r="B417" s="12" t="inlineStr">
        <is>
          <t>7896148500259</t>
        </is>
      </c>
      <c r="C417" s="7" t="inlineStr">
        <is>
          <t>BALAS DE FITOMELITO 37G (FIT)</t>
        </is>
      </c>
      <c r="D417" s="7" t="inlineStr">
        <is>
          <t>SIMILAR</t>
        </is>
      </c>
      <c r="E417" s="7" t="inlineStr">
        <is>
          <t>A</t>
        </is>
      </c>
      <c r="F417" s="13" t="n">
        <v>11</v>
      </c>
      <c r="G417" s="13" t="n">
        <v>11</v>
      </c>
      <c r="H417" s="8" t="n">
        <v>3.68</v>
      </c>
      <c r="I417" s="8" t="n">
        <v>3.68</v>
      </c>
      <c r="J417" s="8" t="n">
        <v>3.68</v>
      </c>
      <c r="K417" s="8" t="n">
        <v>4.47</v>
      </c>
      <c r="L417" s="8" t="n"/>
      <c r="M417" s="8" t="n"/>
      <c r="N417" s="8" t="n"/>
      <c r="O417" s="15" t="n">
        <v>3.68</v>
      </c>
      <c r="P417" s="8" t="n">
        <v>4.44</v>
      </c>
      <c r="Q417" s="8" t="n"/>
      <c r="R417" s="8" t="n"/>
      <c r="S417" s="8" t="n"/>
      <c r="T417" s="7" t="inlineStr">
        <is>
          <t>TAPAJOS</t>
        </is>
      </c>
      <c r="U417" s="8" t="n">
        <v>3.68</v>
      </c>
      <c r="V417" s="14">
        <f>U417/J417-1</f>
        <v/>
      </c>
      <c r="W417" s="14">
        <f>U417/H417-1</f>
        <v/>
      </c>
      <c r="X417" s="17" t="inlineStr">
        <is>
          <t>OK (≤ menor hist.)</t>
        </is>
      </c>
      <c r="Y417" s="7" t="inlineStr"/>
    </row>
    <row r="418">
      <c r="A418" s="7" t="n">
        <v>339861</v>
      </c>
      <c r="B418" s="12" t="inlineStr">
        <is>
          <t>7896004726793</t>
        </is>
      </c>
      <c r="C418" s="7" t="inlineStr">
        <is>
          <t>BALSAMO BENGUE 0,10+0,50G AER FR 60G</t>
        </is>
      </c>
      <c r="D418" s="7" t="inlineStr">
        <is>
          <t>RX - OTC</t>
        </is>
      </c>
      <c r="E418" s="7" t="inlineStr">
        <is>
          <t>A</t>
        </is>
      </c>
      <c r="F418" s="13" t="n">
        <v>2</v>
      </c>
      <c r="G418" s="13" t="n">
        <v>2</v>
      </c>
      <c r="H418" s="8" t="n">
        <v>28.88</v>
      </c>
      <c r="I418" s="8" t="n">
        <v>25.51</v>
      </c>
      <c r="J418" s="8" t="n">
        <v>26.7</v>
      </c>
      <c r="K418" s="8" t="n"/>
      <c r="L418" s="8" t="n"/>
      <c r="M418" s="8" t="n">
        <v>36.07</v>
      </c>
      <c r="N418" s="8" t="n"/>
      <c r="O418" s="8" t="n">
        <v>34.71</v>
      </c>
      <c r="P418" s="8" t="n">
        <v>36.93</v>
      </c>
      <c r="Q418" s="8" t="n">
        <v>28.37</v>
      </c>
      <c r="R418" s="15" t="n">
        <v>27.8</v>
      </c>
      <c r="S418" s="8" t="n"/>
      <c r="T418" s="7" t="inlineStr">
        <is>
          <t>BRASFARMA</t>
        </is>
      </c>
      <c r="U418" s="8" t="n">
        <v>27.8</v>
      </c>
      <c r="V418" s="14">
        <f>U418/J418-1</f>
        <v/>
      </c>
      <c r="W418" s="14">
        <f>U418/H418-1</f>
        <v/>
      </c>
      <c r="X418" s="17" t="inlineStr">
        <is>
          <t>OK (≤ últ. compra)</t>
        </is>
      </c>
      <c r="Y418" s="7" t="inlineStr">
        <is>
          <t>NAZARIA: sem estoque</t>
        </is>
      </c>
    </row>
    <row r="419">
      <c r="A419" s="7" t="n">
        <v>339821</v>
      </c>
      <c r="B419" s="12" t="inlineStr"/>
      <c r="C419" s="7" t="inlineStr">
        <is>
          <t>BALSAMO BENGUE GEL BG 20G</t>
        </is>
      </c>
      <c r="D419" s="7" t="inlineStr">
        <is>
          <t>RX - OTC</t>
        </is>
      </c>
      <c r="E419" s="7" t="inlineStr">
        <is>
          <t>A</t>
        </is>
      </c>
      <c r="F419" s="13" t="n">
        <v>3</v>
      </c>
      <c r="G419" s="13" t="n">
        <v>3</v>
      </c>
      <c r="H419" s="8" t="n">
        <v>19.96</v>
      </c>
      <c r="I419" s="8" t="n">
        <v>13.96</v>
      </c>
      <c r="J419" s="8" t="n">
        <v>15.09556666666667</v>
      </c>
      <c r="K419" s="8" t="n"/>
      <c r="L419" s="8" t="n"/>
      <c r="M419" s="8" t="n"/>
      <c r="N419" s="8" t="n"/>
      <c r="O419" s="8" t="n"/>
      <c r="P419" s="8" t="n"/>
      <c r="Q419" s="8" t="n"/>
      <c r="R419" s="15" t="n">
        <v>15.98</v>
      </c>
      <c r="S419" s="8" t="n"/>
      <c r="T419" s="7" t="inlineStr">
        <is>
          <t>BRASFARMA</t>
        </is>
      </c>
      <c r="U419" s="8" t="n">
        <v>15.98</v>
      </c>
      <c r="V419" s="14">
        <f>U419/J419-1</f>
        <v/>
      </c>
      <c r="W419" s="14">
        <f>U419/H419-1</f>
        <v/>
      </c>
      <c r="X419" s="17" t="inlineStr">
        <is>
          <t>OK (≤ últ. compra)</t>
        </is>
      </c>
      <c r="Y419" s="7" t="inlineStr"/>
    </row>
    <row r="420">
      <c r="A420" s="7" t="n">
        <v>339841</v>
      </c>
      <c r="B420" s="12" t="inlineStr"/>
      <c r="C420" s="7" t="inlineStr">
        <is>
          <t>BALSAMO BENGUE POM BG 20G</t>
        </is>
      </c>
      <c r="D420" s="7" t="inlineStr">
        <is>
          <t>RX - OTC</t>
        </is>
      </c>
      <c r="E420" s="7" t="inlineStr">
        <is>
          <t>A</t>
        </is>
      </c>
      <c r="F420" s="13" t="n">
        <v>2</v>
      </c>
      <c r="G420" s="13" t="n">
        <v>2</v>
      </c>
      <c r="H420" s="8" t="n">
        <v>21.8425</v>
      </c>
      <c r="I420" s="8" t="n">
        <v>15.4369</v>
      </c>
      <c r="J420" s="8" t="n">
        <v>15.90686666666667</v>
      </c>
      <c r="K420" s="8" t="n"/>
      <c r="L420" s="8" t="n"/>
      <c r="M420" s="8" t="n"/>
      <c r="N420" s="8" t="n"/>
      <c r="O420" s="8" t="n"/>
      <c r="P420" s="8" t="n"/>
      <c r="Q420" s="8" t="n"/>
      <c r="R420" s="15" t="n">
        <v>16.83</v>
      </c>
      <c r="S420" s="8" t="n"/>
      <c r="T420" s="7" t="inlineStr">
        <is>
          <t>BRASFARMA</t>
        </is>
      </c>
      <c r="U420" s="8" t="n">
        <v>16.83</v>
      </c>
      <c r="V420" s="14">
        <f>U420/J420-1</f>
        <v/>
      </c>
      <c r="W420" s="14">
        <f>U420/H420-1</f>
        <v/>
      </c>
      <c r="X420" s="17" t="inlineStr">
        <is>
          <t>OK (≤ últ. compra)</t>
        </is>
      </c>
      <c r="Y420" s="7" t="inlineStr"/>
    </row>
    <row r="421">
      <c r="A421" s="7" t="n">
        <v>632861</v>
      </c>
      <c r="B421" s="12" t="inlineStr">
        <is>
          <t>7899828214026</t>
        </is>
      </c>
      <c r="C421" s="7" t="inlineStr">
        <is>
          <t>BANDAGEM ELAST FITA KINES 5MX5CM PRETO</t>
        </is>
      </c>
      <c r="D421" s="7" t="inlineStr">
        <is>
          <t>OTC</t>
        </is>
      </c>
      <c r="E421" s="7" t="inlineStr">
        <is>
          <t>C</t>
        </is>
      </c>
      <c r="F421" s="13" t="n">
        <v>1</v>
      </c>
      <c r="G421" s="13" t="n">
        <v>1</v>
      </c>
      <c r="H421" s="8" t="n">
        <v>23.99</v>
      </c>
      <c r="I421" s="8" t="n">
        <v>23.99</v>
      </c>
      <c r="J421" s="8" t="n">
        <v>23.99</v>
      </c>
      <c r="K421" s="8" t="n"/>
      <c r="L421" s="8" t="n"/>
      <c r="M421" s="8" t="n"/>
      <c r="N421" s="15" t="n">
        <v>27.34</v>
      </c>
      <c r="O421" s="8" t="n"/>
      <c r="P421" s="8" t="n">
        <v>24.46</v>
      </c>
      <c r="Q421" s="8" t="n"/>
      <c r="R421" s="8" t="n"/>
      <c r="S421" s="8" t="n"/>
      <c r="T421" s="7" t="inlineStr">
        <is>
          <t>CENTROFARMA</t>
        </is>
      </c>
      <c r="U421" s="8" t="n">
        <v>27.34</v>
      </c>
      <c r="V421" s="14">
        <f>U421/J421-1</f>
        <v/>
      </c>
      <c r="W421" s="14">
        <f>U421/H421-1</f>
        <v/>
      </c>
      <c r="X421" s="16" t="inlineStr">
        <is>
          <t>ACIMA +14.0%</t>
        </is>
      </c>
      <c r="Y421" s="7" t="inlineStr">
        <is>
          <t>NAZARIA: sem estoque</t>
        </is>
      </c>
    </row>
    <row r="422">
      <c r="A422" s="7" t="n">
        <v>632871</v>
      </c>
      <c r="B422" s="12" t="inlineStr">
        <is>
          <t>7899828214033</t>
        </is>
      </c>
      <c r="C422" s="7" t="inlineStr">
        <is>
          <t>BANDAGEM ELAST FITA KINES 5MX5CM ROSA</t>
        </is>
      </c>
      <c r="D422" s="7" t="inlineStr">
        <is>
          <t>OTC</t>
        </is>
      </c>
      <c r="E422" s="7" t="inlineStr">
        <is>
          <t>C</t>
        </is>
      </c>
      <c r="F422" s="13" t="n">
        <v>1</v>
      </c>
      <c r="G422" s="13" t="n">
        <v>1</v>
      </c>
      <c r="H422" s="8" t="n">
        <v>21.99</v>
      </c>
      <c r="I422" s="8" t="n">
        <v>21.99</v>
      </c>
      <c r="J422" s="8" t="n">
        <v>21.99</v>
      </c>
      <c r="K422" s="8" t="n"/>
      <c r="L422" s="8" t="n"/>
      <c r="M422" s="8" t="n"/>
      <c r="N422" s="15" t="n">
        <v>27.4</v>
      </c>
      <c r="O422" s="8" t="n"/>
      <c r="P422" s="8" t="n">
        <v>42.49</v>
      </c>
      <c r="Q422" s="8" t="n">
        <v>31.77</v>
      </c>
      <c r="R422" s="8" t="n"/>
      <c r="S422" s="8" t="n"/>
      <c r="T422" s="7" t="inlineStr">
        <is>
          <t>CENTROFARMA</t>
        </is>
      </c>
      <c r="U422" s="8" t="n">
        <v>27.4</v>
      </c>
      <c r="V422" s="14">
        <f>U422/J422-1</f>
        <v/>
      </c>
      <c r="W422" s="14">
        <f>U422/H422-1</f>
        <v/>
      </c>
      <c r="X422" s="16" t="inlineStr">
        <is>
          <t>ACIMA +24.6%</t>
        </is>
      </c>
      <c r="Y422" s="7" t="inlineStr"/>
    </row>
    <row r="423">
      <c r="A423" s="7" t="n">
        <v>534941</v>
      </c>
      <c r="B423" s="12" t="inlineStr">
        <is>
          <t>7898126407796</t>
        </is>
      </c>
      <c r="C423" s="7" t="inlineStr">
        <is>
          <t>BANHO DE CREME BIO EXTRATUS PÓS-QUIMICA 250G</t>
        </is>
      </c>
      <c r="D423" s="7" t="inlineStr">
        <is>
          <t>PERF/COSME</t>
        </is>
      </c>
      <c r="E423" s="7" t="inlineStr">
        <is>
          <t>B</t>
        </is>
      </c>
      <c r="F423" s="13" t="n">
        <v>3</v>
      </c>
      <c r="G423" s="13" t="n">
        <v>3</v>
      </c>
      <c r="H423" s="8" t="n">
        <v>23.38</v>
      </c>
      <c r="I423" s="8" t="n">
        <v>23.38</v>
      </c>
      <c r="J423" s="8" t="n">
        <v>23.38</v>
      </c>
      <c r="K423" s="8" t="n"/>
      <c r="L423" s="8" t="n"/>
      <c r="M423" s="8" t="n"/>
      <c r="N423" s="8" t="n"/>
      <c r="O423" s="8" t="n"/>
      <c r="P423" s="8" t="n"/>
      <c r="Q423" s="8" t="n"/>
      <c r="R423" s="8" t="n"/>
      <c r="S423" s="8" t="n"/>
      <c r="T423" s="7" t="inlineStr">
        <is>
          <t>SEM COTAÇÃO</t>
        </is>
      </c>
      <c r="U423" s="8" t="n"/>
      <c r="V423" s="14" t="n"/>
      <c r="W423" s="14" t="n"/>
      <c r="X423" s="7" t="inlineStr"/>
      <c r="Y423" s="7" t="inlineStr"/>
    </row>
    <row r="424">
      <c r="A424" s="7" t="n">
        <v>582021</v>
      </c>
      <c r="B424" s="12" t="inlineStr">
        <is>
          <t>7898132981853</t>
        </is>
      </c>
      <c r="C424" s="7" t="inlineStr">
        <is>
          <t>BANHO DE CREME CACHOS E CRESPOS 250GR</t>
        </is>
      </c>
      <c r="D424" s="7" t="inlineStr">
        <is>
          <t>PERF/COSME</t>
        </is>
      </c>
      <c r="E424" s="7" t="inlineStr">
        <is>
          <t>C</t>
        </is>
      </c>
      <c r="F424" s="13" t="n">
        <v>1</v>
      </c>
      <c r="G424" s="13" t="n">
        <v>1</v>
      </c>
      <c r="H424" s="8" t="n">
        <v>21.25</v>
      </c>
      <c r="I424" s="8" t="n">
        <v>21.25</v>
      </c>
      <c r="J424" s="8" t="n">
        <v>21.25</v>
      </c>
      <c r="K424" s="8" t="n"/>
      <c r="L424" s="8" t="n"/>
      <c r="M424" s="8" t="n"/>
      <c r="N424" s="8" t="n"/>
      <c r="O424" s="8" t="n"/>
      <c r="P424" s="8" t="n"/>
      <c r="Q424" s="8" t="n"/>
      <c r="R424" s="8" t="n"/>
      <c r="S424" s="8" t="n"/>
      <c r="T424" s="7" t="inlineStr">
        <is>
          <t>SEM COTAÇÃO</t>
        </is>
      </c>
      <c r="U424" s="8" t="n"/>
      <c r="V424" s="14" t="n"/>
      <c r="W424" s="14" t="n"/>
      <c r="X424" s="7" t="inlineStr"/>
      <c r="Y424" s="7" t="inlineStr"/>
    </row>
    <row r="425">
      <c r="A425" s="7" t="n">
        <v>581601</v>
      </c>
      <c r="B425" s="12" t="inlineStr">
        <is>
          <t>7898126400728</t>
        </is>
      </c>
      <c r="C425" s="7" t="inlineStr">
        <is>
          <t>BANHO DE CREME JABORANDI 250GR</t>
        </is>
      </c>
      <c r="D425" s="7" t="inlineStr">
        <is>
          <t>PERF/COSME</t>
        </is>
      </c>
      <c r="E425" s="7" t="inlineStr">
        <is>
          <t>C</t>
        </is>
      </c>
      <c r="F425" s="13" t="n">
        <v>2</v>
      </c>
      <c r="G425" s="13" t="n">
        <v>2</v>
      </c>
      <c r="H425" s="8" t="n">
        <v>23.38</v>
      </c>
      <c r="I425" s="8" t="n">
        <v>23.38</v>
      </c>
      <c r="J425" s="8" t="n">
        <v>23.38</v>
      </c>
      <c r="K425" s="8" t="n"/>
      <c r="L425" s="8" t="n"/>
      <c r="M425" s="8" t="n"/>
      <c r="N425" s="8" t="n"/>
      <c r="O425" s="8" t="n"/>
      <c r="P425" s="8" t="n"/>
      <c r="Q425" s="8" t="n"/>
      <c r="R425" s="8" t="n"/>
      <c r="S425" s="8" t="n"/>
      <c r="T425" s="7" t="inlineStr">
        <is>
          <t>SEM COTAÇÃO</t>
        </is>
      </c>
      <c r="U425" s="8" t="n"/>
      <c r="V425" s="14" t="n"/>
      <c r="W425" s="14" t="n"/>
      <c r="X425" s="7" t="inlineStr"/>
      <c r="Y425" s="7" t="inlineStr"/>
    </row>
    <row r="426">
      <c r="A426" s="7" t="n">
        <v>581961</v>
      </c>
      <c r="B426" s="12" t="inlineStr">
        <is>
          <t>7898132980825</t>
        </is>
      </c>
      <c r="C426" s="7" t="inlineStr">
        <is>
          <t>BANHO DE CREME UMECTANTE OLEO COCO 250G</t>
        </is>
      </c>
      <c r="D426" s="7" t="inlineStr">
        <is>
          <t>PERF/COSME</t>
        </is>
      </c>
      <c r="E426" s="7" t="inlineStr">
        <is>
          <t>B</t>
        </is>
      </c>
      <c r="F426" s="13" t="n">
        <v>2</v>
      </c>
      <c r="G426" s="13" t="n">
        <v>2</v>
      </c>
      <c r="H426" s="8" t="n">
        <v>23.38</v>
      </c>
      <c r="I426" s="8" t="n">
        <v>23.38</v>
      </c>
      <c r="J426" s="8" t="n">
        <v>23.38</v>
      </c>
      <c r="K426" s="8" t="n"/>
      <c r="L426" s="8" t="n"/>
      <c r="M426" s="8" t="n"/>
      <c r="N426" s="8" t="n"/>
      <c r="O426" s="8" t="n"/>
      <c r="P426" s="8" t="n"/>
      <c r="Q426" s="8" t="n"/>
      <c r="R426" s="8" t="n"/>
      <c r="S426" s="8" t="n"/>
      <c r="T426" s="7" t="inlineStr">
        <is>
          <t>SEM COTAÇÃO</t>
        </is>
      </c>
      <c r="U426" s="8" t="n"/>
      <c r="V426" s="14" t="n"/>
      <c r="W426" s="14" t="n"/>
      <c r="X426" s="7" t="inlineStr"/>
      <c r="Y426" s="7" t="inlineStr"/>
    </row>
    <row r="427">
      <c r="A427" s="7" t="n">
        <v>655301</v>
      </c>
      <c r="B427" s="12" t="inlineStr"/>
      <c r="C427" s="7" t="inlineStr">
        <is>
          <t>BARBEADOR AVARIADOS</t>
        </is>
      </c>
      <c r="D427" s="7" t="inlineStr">
        <is>
          <t>PERF/COSME</t>
        </is>
      </c>
      <c r="E427" s="7" t="inlineStr">
        <is>
          <t>C</t>
        </is>
      </c>
      <c r="F427" s="13" t="n">
        <v>11</v>
      </c>
      <c r="G427" s="13" t="n">
        <v>11</v>
      </c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  <c r="Q427" s="8" t="n"/>
      <c r="R427" s="8" t="n"/>
      <c r="S427" s="8" t="n"/>
      <c r="T427" s="7" t="inlineStr">
        <is>
          <t>SEM COTAÇÃO</t>
        </is>
      </c>
      <c r="U427" s="8" t="n"/>
      <c r="V427" s="14" t="n"/>
      <c r="W427" s="14" t="n"/>
      <c r="X427" s="7" t="inlineStr"/>
      <c r="Y427" s="7" t="inlineStr"/>
    </row>
    <row r="428">
      <c r="A428" s="7" t="n">
        <v>642711</v>
      </c>
      <c r="B428" s="12" t="inlineStr">
        <is>
          <t>0070330729872</t>
        </is>
      </c>
      <c r="C428" s="7" t="inlineStr">
        <is>
          <t>BARBEADOR BIC ACQUA</t>
        </is>
      </c>
      <c r="D428" s="7" t="inlineStr">
        <is>
          <t>BARBEADORES</t>
        </is>
      </c>
      <c r="E428" s="7" t="inlineStr">
        <is>
          <t>C</t>
        </is>
      </c>
      <c r="F428" s="13" t="n">
        <v>1</v>
      </c>
      <c r="G428" s="13" t="n">
        <v>2</v>
      </c>
      <c r="H428" s="8" t="n">
        <v>3.6267</v>
      </c>
      <c r="I428" s="8" t="n">
        <v>3.6267</v>
      </c>
      <c r="J428" s="8" t="n">
        <v>3.6267</v>
      </c>
      <c r="K428" s="8" t="n"/>
      <c r="L428" s="8" t="n"/>
      <c r="M428" s="8" t="n"/>
      <c r="N428" s="8" t="n"/>
      <c r="O428" s="8" t="n"/>
      <c r="P428" s="8" t="n"/>
      <c r="Q428" s="8" t="n"/>
      <c r="R428" s="8" t="n"/>
      <c r="S428" s="8" t="n"/>
      <c r="T428" s="7" t="inlineStr">
        <is>
          <t>SEM COTAÇÃO</t>
        </is>
      </c>
      <c r="U428" s="8" t="n"/>
      <c r="V428" s="14" t="n"/>
      <c r="W428" s="14" t="n"/>
      <c r="X428" s="7" t="inlineStr"/>
      <c r="Y428" s="7" t="inlineStr"/>
    </row>
    <row r="429">
      <c r="A429" s="7" t="n">
        <v>625561</v>
      </c>
      <c r="B429" s="12" t="inlineStr">
        <is>
          <t>7622210699992</t>
        </is>
      </c>
      <c r="C429" s="7" t="inlineStr">
        <is>
          <t>BARRA CHOC INTEN 40 CACAU ORIG LACTA 85G</t>
        </is>
      </c>
      <c r="D429" s="7" t="inlineStr">
        <is>
          <t>CONVENIENCIA</t>
        </is>
      </c>
      <c r="E429" s="7" t="inlineStr">
        <is>
          <t>B</t>
        </is>
      </c>
      <c r="F429" s="13" t="n">
        <v>4</v>
      </c>
      <c r="G429" s="13" t="n">
        <v>4</v>
      </c>
      <c r="H429" s="8" t="n">
        <v>14.9</v>
      </c>
      <c r="I429" s="8" t="n">
        <v>12.15</v>
      </c>
      <c r="J429" s="8" t="n">
        <v>13.98333333333333</v>
      </c>
      <c r="K429" s="8" t="n"/>
      <c r="L429" s="8" t="n"/>
      <c r="M429" s="8" t="n"/>
      <c r="N429" s="8" t="n"/>
      <c r="O429" s="8" t="n"/>
      <c r="P429" s="8" t="n"/>
      <c r="Q429" s="8" t="n"/>
      <c r="R429" s="8" t="n"/>
      <c r="S429" s="8" t="n"/>
      <c r="T429" s="7" t="inlineStr">
        <is>
          <t>SEM COTAÇÃO</t>
        </is>
      </c>
      <c r="U429" s="8" t="n"/>
      <c r="V429" s="14" t="n"/>
      <c r="W429" s="14" t="n"/>
      <c r="X429" s="7" t="inlineStr"/>
      <c r="Y429" s="7" t="inlineStr"/>
    </row>
    <row r="430">
      <c r="A430" s="7" t="n">
        <v>642401</v>
      </c>
      <c r="B430" s="12" t="inlineStr">
        <is>
          <t>7622210528216</t>
        </is>
      </c>
      <c r="C430" s="7" t="inlineStr">
        <is>
          <t>BARRA CHOC LACTA RECH OURO BRANCO 17X98G</t>
        </is>
      </c>
      <c r="D430" s="7" t="inlineStr">
        <is>
          <t>CHOCOLATES</t>
        </is>
      </c>
      <c r="E430" s="7" t="inlineStr">
        <is>
          <t>A</t>
        </is>
      </c>
      <c r="F430" s="13" t="n">
        <v>15</v>
      </c>
      <c r="G430" s="13" t="n">
        <v>15</v>
      </c>
      <c r="H430" s="8" t="n">
        <v>8.890000000000001</v>
      </c>
      <c r="I430" s="8" t="n">
        <v>7.99</v>
      </c>
      <c r="J430" s="8" t="n">
        <v>8.590000000000002</v>
      </c>
      <c r="K430" s="8" t="n"/>
      <c r="L430" s="8" t="n"/>
      <c r="M430" s="8" t="n"/>
      <c r="N430" s="8" t="n"/>
      <c r="O430" s="8" t="n"/>
      <c r="P430" s="8" t="n"/>
      <c r="Q430" s="8" t="n"/>
      <c r="R430" s="8" t="n"/>
      <c r="S430" s="8" t="n"/>
      <c r="T430" s="7" t="inlineStr">
        <is>
          <t>SEM COTAÇÃO</t>
        </is>
      </c>
      <c r="U430" s="8" t="n"/>
      <c r="V430" s="14" t="n"/>
      <c r="W430" s="14" t="n"/>
      <c r="X430" s="7" t="inlineStr"/>
      <c r="Y430" s="7" t="inlineStr"/>
    </row>
    <row r="431">
      <c r="A431" s="7" t="n">
        <v>642381</v>
      </c>
      <c r="B431" s="12" t="inlineStr"/>
      <c r="C431" s="7" t="inlineStr">
        <is>
          <t>BARRA CHOC LACTA SHOT 17X80G</t>
        </is>
      </c>
      <c r="D431" s="7" t="inlineStr">
        <is>
          <t>CHOCOLATES</t>
        </is>
      </c>
      <c r="E431" s="7" t="inlineStr">
        <is>
          <t>B</t>
        </is>
      </c>
      <c r="F431" s="13" t="n">
        <v>2</v>
      </c>
      <c r="G431" s="13" t="n">
        <v>2</v>
      </c>
      <c r="H431" s="8" t="n">
        <v>8.49</v>
      </c>
      <c r="I431" s="8" t="n">
        <v>7.99</v>
      </c>
      <c r="J431" s="8" t="n">
        <v>8.323333333333332</v>
      </c>
      <c r="K431" s="8" t="n"/>
      <c r="L431" s="8" t="n"/>
      <c r="M431" s="8" t="n"/>
      <c r="N431" s="8" t="n"/>
      <c r="O431" s="8" t="n"/>
      <c r="P431" s="8" t="n"/>
      <c r="Q431" s="8" t="n"/>
      <c r="R431" s="8" t="n"/>
      <c r="S431" s="8" t="n"/>
      <c r="T431" s="7" t="inlineStr">
        <is>
          <t>SEM COTAÇÃO</t>
        </is>
      </c>
      <c r="U431" s="8" t="n"/>
      <c r="V431" s="14" t="n"/>
      <c r="W431" s="14" t="n"/>
      <c r="X431" s="7" t="inlineStr"/>
      <c r="Y431" s="7" t="inlineStr"/>
    </row>
    <row r="432">
      <c r="A432" s="7" t="n">
        <v>625621</v>
      </c>
      <c r="B432" s="12" t="inlineStr">
        <is>
          <t>7622210573353</t>
        </is>
      </c>
      <c r="C432" s="7" t="inlineStr">
        <is>
          <t>BARRA CHOC LAKA LACTA 34G</t>
        </is>
      </c>
      <c r="D432" s="7" t="inlineStr">
        <is>
          <t>CONVENIENCIA</t>
        </is>
      </c>
      <c r="E432" s="7" t="inlineStr">
        <is>
          <t>C</t>
        </is>
      </c>
      <c r="F432" s="13" t="n">
        <v>1</v>
      </c>
      <c r="G432" s="13" t="n">
        <v>1</v>
      </c>
      <c r="H432" s="8" t="n">
        <v>2.7742</v>
      </c>
      <c r="I432" s="8" t="n">
        <v>2.7742</v>
      </c>
      <c r="J432" s="8" t="n">
        <v>2.7742</v>
      </c>
      <c r="K432" s="8" t="n"/>
      <c r="L432" s="8" t="n"/>
      <c r="M432" s="8" t="n"/>
      <c r="N432" s="8" t="n"/>
      <c r="O432" s="8" t="n"/>
      <c r="P432" s="8" t="n"/>
      <c r="Q432" s="8" t="n"/>
      <c r="R432" s="8" t="n"/>
      <c r="S432" s="8" t="n"/>
      <c r="T432" s="7" t="inlineStr">
        <is>
          <t>SEM COTAÇÃO</t>
        </is>
      </c>
      <c r="U432" s="8" t="n"/>
      <c r="V432" s="14" t="n"/>
      <c r="W432" s="14" t="n"/>
      <c r="X432" s="7" t="inlineStr"/>
      <c r="Y432" s="7" t="inlineStr"/>
    </row>
    <row r="433">
      <c r="A433" s="7" t="n">
        <v>619471</v>
      </c>
      <c r="B433" s="12" t="inlineStr">
        <is>
          <t>7896079861115</t>
        </is>
      </c>
      <c r="C433" s="7" t="inlineStr">
        <is>
          <t>BARRA DE CEREAIS BANANA E MEL 25GR CR QTD. 1.00 CR</t>
        </is>
      </c>
      <c r="D433" s="7" t="inlineStr">
        <is>
          <t>CONVENIENCIA</t>
        </is>
      </c>
      <c r="E433" s="7" t="inlineStr">
        <is>
          <t>C</t>
        </is>
      </c>
      <c r="F433" s="13" t="n">
        <v>1</v>
      </c>
      <c r="G433" s="13" t="n">
        <v>1</v>
      </c>
      <c r="H433" s="8" t="n">
        <v>1.7108</v>
      </c>
      <c r="I433" s="8" t="n">
        <v>1.7108</v>
      </c>
      <c r="J433" s="8" t="n">
        <v>1.7108</v>
      </c>
      <c r="K433" s="8" t="n"/>
      <c r="L433" s="8" t="n"/>
      <c r="M433" s="8" t="n"/>
      <c r="N433" s="8" t="n"/>
      <c r="O433" s="8" t="n"/>
      <c r="P433" s="8" t="n"/>
      <c r="Q433" s="8" t="n"/>
      <c r="R433" s="8" t="n"/>
      <c r="S433" s="8" t="n"/>
      <c r="T433" s="7" t="inlineStr">
        <is>
          <t>SEM COTAÇÃO</t>
        </is>
      </c>
      <c r="U433" s="8" t="n"/>
      <c r="V433" s="14" t="n"/>
      <c r="W433" s="14" t="n"/>
      <c r="X433" s="7" t="inlineStr"/>
      <c r="Y433" s="7" t="inlineStr"/>
    </row>
    <row r="434">
      <c r="A434" s="7" t="n">
        <v>592341</v>
      </c>
      <c r="B434" s="12" t="inlineStr">
        <is>
          <t>7891000369371</t>
        </is>
      </c>
      <c r="C434" s="7" t="inlineStr">
        <is>
          <t>BARRA DE CHOCOLATE CRUNCH CHOCOLATE 80G</t>
        </is>
      </c>
      <c r="D434" s="7" t="inlineStr">
        <is>
          <t>CONVENIENCIA</t>
        </is>
      </c>
      <c r="E434" s="7" t="inlineStr">
        <is>
          <t>A</t>
        </is>
      </c>
      <c r="F434" s="13" t="n">
        <v>2</v>
      </c>
      <c r="G434" s="13" t="n">
        <v>18</v>
      </c>
      <c r="H434" s="8" t="n">
        <v>7.3838</v>
      </c>
      <c r="I434" s="8" t="n">
        <v>7.3838</v>
      </c>
      <c r="J434" s="8" t="n">
        <v>7.3838</v>
      </c>
      <c r="K434" s="8" t="n"/>
      <c r="L434" s="8" t="n"/>
      <c r="M434" s="8" t="n"/>
      <c r="N434" s="8" t="n"/>
      <c r="O434" s="8" t="n"/>
      <c r="P434" s="8" t="n"/>
      <c r="Q434" s="8" t="n"/>
      <c r="R434" s="8" t="n"/>
      <c r="S434" s="8" t="n"/>
      <c r="T434" s="7" t="inlineStr">
        <is>
          <t>SEM COTAÇÃO</t>
        </is>
      </c>
      <c r="U434" s="8" t="n"/>
      <c r="V434" s="14" t="n"/>
      <c r="W434" s="14" t="n"/>
      <c r="X434" s="7" t="inlineStr"/>
      <c r="Y434" s="7" t="inlineStr"/>
    </row>
    <row r="435">
      <c r="A435" s="7" t="n">
        <v>21003</v>
      </c>
      <c r="B435" s="12" t="inlineStr"/>
      <c r="C435" s="7" t="inlineStr">
        <is>
          <t>BARRA DE CHOCOLATE NESTLE SUFLAIR AO LEITE 80G</t>
        </is>
      </c>
      <c r="D435" s="7" t="inlineStr">
        <is>
          <t>CONVENIENCIA</t>
        </is>
      </c>
      <c r="E435" s="7" t="inlineStr">
        <is>
          <t>A</t>
        </is>
      </c>
      <c r="F435" s="13" t="n">
        <v>1</v>
      </c>
      <c r="G435" s="13" t="n">
        <v>5</v>
      </c>
      <c r="H435" s="8" t="n">
        <v>7.0694</v>
      </c>
      <c r="I435" s="8" t="n">
        <v>7.0694</v>
      </c>
      <c r="J435" s="8" t="n">
        <v>7.069399999999999</v>
      </c>
      <c r="K435" s="8" t="n"/>
      <c r="L435" s="8" t="n"/>
      <c r="M435" s="8" t="n"/>
      <c r="N435" s="8" t="n"/>
      <c r="O435" s="8" t="n"/>
      <c r="P435" s="8" t="n"/>
      <c r="Q435" s="8" t="n"/>
      <c r="R435" s="8" t="n"/>
      <c r="S435" s="8" t="n"/>
      <c r="T435" s="7" t="inlineStr">
        <is>
          <t>SEM COTAÇÃO</t>
        </is>
      </c>
      <c r="U435" s="8" t="n"/>
      <c r="V435" s="14" t="n"/>
      <c r="W435" s="14" t="n"/>
      <c r="X435" s="7" t="inlineStr"/>
      <c r="Y435" s="7" t="inlineStr"/>
    </row>
    <row r="436">
      <c r="A436" s="7" t="n">
        <v>642311</v>
      </c>
      <c r="B436" s="12" t="inlineStr">
        <is>
          <t>7891000077924</t>
        </is>
      </c>
      <c r="C436" s="7" t="inlineStr">
        <is>
          <t>BARRA DE CHOCOLATE PRESTIGIO 110G</t>
        </is>
      </c>
      <c r="D436" s="7" t="inlineStr">
        <is>
          <t>BISCOITOS/SALGADOS</t>
        </is>
      </c>
      <c r="E436" s="7" t="inlineStr">
        <is>
          <t>B</t>
        </is>
      </c>
      <c r="F436" s="13" t="n">
        <v>1</v>
      </c>
      <c r="G436" s="13" t="n">
        <v>1</v>
      </c>
      <c r="H436" s="8" t="n">
        <v>3.6812</v>
      </c>
      <c r="I436" s="8" t="n">
        <v>3.6117</v>
      </c>
      <c r="J436" s="8" t="n">
        <v>3.6117</v>
      </c>
      <c r="K436" s="8" t="n"/>
      <c r="L436" s="8" t="n"/>
      <c r="M436" s="8" t="n"/>
      <c r="N436" s="8" t="n"/>
      <c r="O436" s="8" t="n"/>
      <c r="P436" s="8" t="n"/>
      <c r="Q436" s="8" t="n"/>
      <c r="R436" s="8" t="n"/>
      <c r="S436" s="8" t="n"/>
      <c r="T436" s="7" t="inlineStr">
        <is>
          <t>SEM COTAÇÃO</t>
        </is>
      </c>
      <c r="U436" s="8" t="n"/>
      <c r="V436" s="14" t="n"/>
      <c r="W436" s="14" t="n"/>
      <c r="X436" s="7" t="inlineStr"/>
      <c r="Y436" s="7" t="inlineStr"/>
    </row>
    <row r="437">
      <c r="A437" s="7" t="n">
        <v>646161</v>
      </c>
      <c r="B437" s="12" t="inlineStr">
        <is>
          <t>7899628600449</t>
        </is>
      </c>
      <c r="C437" s="7" t="inlineStr">
        <is>
          <t>BARRA FLOWBAR NUTS CRANBERRY 30G D/12</t>
        </is>
      </c>
      <c r="D437" s="7" t="inlineStr">
        <is>
          <t>SUPLEMENTO</t>
        </is>
      </c>
      <c r="E437" s="7" t="inlineStr">
        <is>
          <t>C</t>
        </is>
      </c>
      <c r="F437" s="13" t="n">
        <v>1</v>
      </c>
      <c r="G437" s="13" t="n">
        <v>1</v>
      </c>
      <c r="H437" s="8" t="n">
        <v>3.54</v>
      </c>
      <c r="I437" s="8" t="n">
        <v>3.54</v>
      </c>
      <c r="J437" s="8" t="n">
        <v>3.54</v>
      </c>
      <c r="K437" s="8" t="n"/>
      <c r="L437" s="8" t="n"/>
      <c r="M437" s="8" t="n"/>
      <c r="N437" s="8" t="n"/>
      <c r="O437" s="8" t="n"/>
      <c r="P437" s="8" t="n"/>
      <c r="Q437" s="8" t="n"/>
      <c r="R437" s="8" t="n"/>
      <c r="S437" s="8" t="n"/>
      <c r="T437" s="7" t="inlineStr">
        <is>
          <t>SEM COTAÇÃO</t>
        </is>
      </c>
      <c r="U437" s="8" t="n"/>
      <c r="V437" s="14" t="n"/>
      <c r="W437" s="14" t="n"/>
      <c r="X437" s="7" t="inlineStr"/>
      <c r="Y437" s="7" t="inlineStr"/>
    </row>
    <row r="438">
      <c r="A438" s="7" t="n">
        <v>638221</v>
      </c>
      <c r="B438" s="12" t="inlineStr">
        <is>
          <t>7899628600524</t>
        </is>
      </c>
      <c r="C438" s="7" t="inlineStr">
        <is>
          <t>BARRA FLOWBAR NUTS DARK CRANBERRY 30G D/12</t>
        </is>
      </c>
      <c r="D438" s="7" t="inlineStr">
        <is>
          <t>SUPLEMENTO</t>
        </is>
      </c>
      <c r="E438" s="7" t="inlineStr">
        <is>
          <t>C</t>
        </is>
      </c>
      <c r="F438" s="13" t="n">
        <v>1</v>
      </c>
      <c r="G438" s="13" t="n">
        <v>1</v>
      </c>
      <c r="H438" s="8" t="n">
        <v>3.27</v>
      </c>
      <c r="I438" s="8" t="n">
        <v>3.27</v>
      </c>
      <c r="J438" s="8" t="n">
        <v>3.27</v>
      </c>
      <c r="K438" s="8" t="n"/>
      <c r="L438" s="8" t="n"/>
      <c r="M438" s="8" t="n"/>
      <c r="N438" s="8" t="n"/>
      <c r="O438" s="8" t="n"/>
      <c r="P438" s="8" t="n"/>
      <c r="Q438" s="8" t="n"/>
      <c r="R438" s="8" t="n"/>
      <c r="S438" s="15" t="n">
        <v>3.94</v>
      </c>
      <c r="T438" s="7" t="inlineStr">
        <is>
          <t>AT_SUPLEMENTOS</t>
        </is>
      </c>
      <c r="U438" s="8" t="n">
        <v>3.94</v>
      </c>
      <c r="V438" s="14">
        <f>U438/J438-1</f>
        <v/>
      </c>
      <c r="W438" s="14">
        <f>U438/H438-1</f>
        <v/>
      </c>
      <c r="X438" s="16" t="inlineStr">
        <is>
          <t>ACIMA +20.5%</t>
        </is>
      </c>
      <c r="Y438" s="7" t="inlineStr"/>
    </row>
    <row r="439">
      <c r="A439" s="7" t="n">
        <v>661381</v>
      </c>
      <c r="B439" s="12" t="inlineStr">
        <is>
          <t>7898975307032</t>
        </is>
      </c>
      <c r="C439" s="7" t="inlineStr">
        <is>
          <t>BARRA FLOWBAR NUTS DARK CRANBERRY D/12 30G</t>
        </is>
      </c>
      <c r="D439" s="7" t="inlineStr">
        <is>
          <t>SUPLEMENTO</t>
        </is>
      </c>
      <c r="E439" s="7" t="inlineStr">
        <is>
          <t>C</t>
        </is>
      </c>
      <c r="F439" s="13" t="n">
        <v>1</v>
      </c>
      <c r="G439" s="13" t="n">
        <v>1</v>
      </c>
      <c r="H439" s="8" t="n">
        <v>3.44</v>
      </c>
      <c r="I439" s="8" t="n">
        <v>3.44</v>
      </c>
      <c r="J439" s="8" t="n">
        <v>3.44</v>
      </c>
      <c r="K439" s="8" t="n"/>
      <c r="L439" s="8" t="n"/>
      <c r="M439" s="8" t="n"/>
      <c r="N439" s="8" t="n"/>
      <c r="O439" s="8" t="n"/>
      <c r="P439" s="8" t="n"/>
      <c r="Q439" s="8" t="n"/>
      <c r="R439" s="8" t="n"/>
      <c r="S439" s="8" t="n"/>
      <c r="T439" s="7" t="inlineStr">
        <is>
          <t>SEM COTAÇÃO</t>
        </is>
      </c>
      <c r="U439" s="8" t="n"/>
      <c r="V439" s="14" t="n"/>
      <c r="W439" s="14" t="n"/>
      <c r="X439" s="7" t="inlineStr"/>
      <c r="Y439" s="7" t="inlineStr"/>
    </row>
    <row r="440">
      <c r="A440" s="7" t="n">
        <v>631911</v>
      </c>
      <c r="B440" s="12" t="inlineStr">
        <is>
          <t>7899970402814</t>
        </is>
      </c>
      <c r="C440" s="7" t="inlineStr">
        <is>
          <t>BARRA HERSHEYS CHOCOLATE AO LEITE 82G</t>
        </is>
      </c>
      <c r="D440" s="7" t="inlineStr">
        <is>
          <t>CONVENIENCIA</t>
        </is>
      </c>
      <c r="E440" s="7" t="inlineStr">
        <is>
          <t>C</t>
        </is>
      </c>
      <c r="F440" s="13" t="n">
        <v>3</v>
      </c>
      <c r="G440" s="13" t="n">
        <v>3</v>
      </c>
      <c r="H440" s="8" t="n">
        <v>5.8</v>
      </c>
      <c r="I440" s="8" t="n">
        <v>5.8</v>
      </c>
      <c r="J440" s="8" t="n">
        <v>5.8</v>
      </c>
      <c r="K440" s="8" t="n"/>
      <c r="L440" s="8" t="n"/>
      <c r="M440" s="8" t="n"/>
      <c r="N440" s="8" t="n"/>
      <c r="O440" s="8" t="n"/>
      <c r="P440" s="8" t="n"/>
      <c r="Q440" s="8" t="n"/>
      <c r="R440" s="8" t="n"/>
      <c r="S440" s="8" t="n"/>
      <c r="T440" s="7" t="inlineStr">
        <is>
          <t>SEM COTAÇÃO</t>
        </is>
      </c>
      <c r="U440" s="8" t="n"/>
      <c r="V440" s="14" t="n"/>
      <c r="W440" s="14" t="n"/>
      <c r="X440" s="7" t="inlineStr"/>
      <c r="Y440" s="7" t="inlineStr"/>
    </row>
    <row r="441">
      <c r="A441" s="7" t="n">
        <v>631921</v>
      </c>
      <c r="B441" s="12" t="inlineStr">
        <is>
          <t>7899970402852</t>
        </is>
      </c>
      <c r="C441" s="7" t="inlineStr">
        <is>
          <t>BARRA HERSHEYS COOKIES N CREME 77G</t>
        </is>
      </c>
      <c r="D441" s="7" t="inlineStr">
        <is>
          <t>CONVENIENCIA</t>
        </is>
      </c>
      <c r="E441" s="7" t="inlineStr">
        <is>
          <t>C</t>
        </is>
      </c>
      <c r="F441" s="13" t="n">
        <v>2</v>
      </c>
      <c r="G441" s="13" t="n">
        <v>2</v>
      </c>
      <c r="H441" s="8" t="n">
        <v>5.8</v>
      </c>
      <c r="I441" s="8" t="n">
        <v>5.8</v>
      </c>
      <c r="J441" s="8" t="n">
        <v>5.8</v>
      </c>
      <c r="K441" s="8" t="n"/>
      <c r="L441" s="8" t="n"/>
      <c r="M441" s="8" t="n"/>
      <c r="N441" s="8" t="n"/>
      <c r="O441" s="8" t="n"/>
      <c r="P441" s="8" t="n"/>
      <c r="Q441" s="8" t="n"/>
      <c r="R441" s="8" t="n"/>
      <c r="S441" s="8" t="n"/>
      <c r="T441" s="7" t="inlineStr">
        <is>
          <t>SEM COTAÇÃO</t>
        </is>
      </c>
      <c r="U441" s="8" t="n"/>
      <c r="V441" s="14" t="n"/>
      <c r="W441" s="14" t="n"/>
      <c r="X441" s="7" t="inlineStr"/>
      <c r="Y441" s="7" t="inlineStr"/>
    </row>
    <row r="442">
      <c r="A442" s="7" t="n">
        <v>631791</v>
      </c>
      <c r="B442" s="12" t="inlineStr">
        <is>
          <t>7899970402876</t>
        </is>
      </c>
      <c r="C442" s="7" t="inlineStr">
        <is>
          <t>BARRA HERSHEYS OVOMALTINE 77G</t>
        </is>
      </c>
      <c r="D442" s="7" t="inlineStr">
        <is>
          <t>CONVENIENCIA</t>
        </is>
      </c>
      <c r="E442" s="7" t="inlineStr">
        <is>
          <t>C</t>
        </is>
      </c>
      <c r="F442" s="13" t="n">
        <v>1</v>
      </c>
      <c r="G442" s="13" t="n">
        <v>1</v>
      </c>
      <c r="H442" s="8" t="n">
        <v>5.8</v>
      </c>
      <c r="I442" s="8" t="n">
        <v>5.8</v>
      </c>
      <c r="J442" s="8" t="n">
        <v>5.8</v>
      </c>
      <c r="K442" s="8" t="n"/>
      <c r="L442" s="8" t="n"/>
      <c r="M442" s="8" t="n"/>
      <c r="N442" s="8" t="n"/>
      <c r="O442" s="8" t="n"/>
      <c r="P442" s="8" t="n"/>
      <c r="Q442" s="8" t="n"/>
      <c r="R442" s="8" t="n"/>
      <c r="S442" s="8" t="n"/>
      <c r="T442" s="7" t="inlineStr">
        <is>
          <t>SEM COTAÇÃO</t>
        </is>
      </c>
      <c r="U442" s="8" t="n"/>
      <c r="V442" s="14" t="n"/>
      <c r="W442" s="14" t="n"/>
      <c r="X442" s="7" t="inlineStr"/>
      <c r="Y442" s="7" t="inlineStr"/>
    </row>
    <row r="443">
      <c r="A443" s="7" t="n">
        <v>654401</v>
      </c>
      <c r="B443" s="12" t="inlineStr">
        <is>
          <t>7898675808402</t>
        </is>
      </c>
      <c r="C443" s="7" t="inlineStr">
        <is>
          <t>BARRA PROTEICA BANOFFEE DISP 12X40G</t>
        </is>
      </c>
      <c r="D443" s="7" t="inlineStr">
        <is>
          <t>VITAMINA E SIMILARES</t>
        </is>
      </c>
      <c r="E443" s="7" t="inlineStr">
        <is>
          <t>C</t>
        </is>
      </c>
      <c r="F443" s="13" t="n">
        <v>1</v>
      </c>
      <c r="G443" s="13" t="n">
        <v>1</v>
      </c>
      <c r="H443" s="8" t="n">
        <v>7.1917</v>
      </c>
      <c r="I443" s="8" t="n">
        <v>7.1917</v>
      </c>
      <c r="J443" s="8" t="n">
        <v>7.1917</v>
      </c>
      <c r="K443" s="8" t="n"/>
      <c r="L443" s="8" t="n"/>
      <c r="M443" s="8" t="n"/>
      <c r="N443" s="8" t="n"/>
      <c r="O443" s="8" t="n"/>
      <c r="P443" s="8" t="n"/>
      <c r="Q443" s="8" t="n"/>
      <c r="R443" s="8" t="n"/>
      <c r="S443" s="8" t="n"/>
      <c r="T443" s="7" t="inlineStr">
        <is>
          <t>SEM COTAÇÃO</t>
        </is>
      </c>
      <c r="U443" s="8" t="n"/>
      <c r="V443" s="14" t="n"/>
      <c r="W443" s="14" t="n"/>
      <c r="X443" s="7" t="inlineStr"/>
      <c r="Y443" s="7" t="inlineStr"/>
    </row>
    <row r="444">
      <c r="A444" s="7" t="n">
        <v>645771</v>
      </c>
      <c r="B444" s="12" t="inlineStr">
        <is>
          <t>7898675804848</t>
        </is>
      </c>
      <c r="C444" s="7" t="inlineStr">
        <is>
          <t>BARRA PROTEICA BEIJINHO DISP 40</t>
        </is>
      </c>
      <c r="D444" s="7" t="inlineStr">
        <is>
          <t>VITAMINA E SIMILARES</t>
        </is>
      </c>
      <c r="E444" s="7" t="inlineStr">
        <is>
          <t>C</t>
        </is>
      </c>
      <c r="F444" s="13" t="n">
        <v>1</v>
      </c>
      <c r="G444" s="13" t="n">
        <v>1</v>
      </c>
      <c r="H444" s="8" t="n">
        <v>6.6408</v>
      </c>
      <c r="I444" s="8" t="n">
        <v>6.6408</v>
      </c>
      <c r="J444" s="8" t="n">
        <v>6.6408</v>
      </c>
      <c r="K444" s="8" t="n"/>
      <c r="L444" s="8" t="n"/>
      <c r="M444" s="8" t="n"/>
      <c r="N444" s="8" t="n"/>
      <c r="O444" s="8" t="n"/>
      <c r="P444" s="8" t="n"/>
      <c r="Q444" s="8" t="n"/>
      <c r="R444" s="8" t="n"/>
      <c r="S444" s="8" t="n"/>
      <c r="T444" s="7" t="inlineStr">
        <is>
          <t>SEM COTAÇÃO</t>
        </is>
      </c>
      <c r="U444" s="8" t="n"/>
      <c r="V444" s="14" t="n"/>
      <c r="W444" s="14" t="n"/>
      <c r="X444" s="7" t="inlineStr"/>
      <c r="Y444" s="7" t="inlineStr"/>
    </row>
    <row r="445">
      <c r="A445" s="7" t="n">
        <v>645781</v>
      </c>
      <c r="B445" s="12" t="inlineStr">
        <is>
          <t>7898675804794</t>
        </is>
      </c>
      <c r="C445" s="7" t="inlineStr">
        <is>
          <t>BARRA PROTEICA BRIGADEIRO 40G</t>
        </is>
      </c>
      <c r="D445" s="7" t="inlineStr">
        <is>
          <t>VITAMINA E SIMILARES</t>
        </is>
      </c>
      <c r="E445" s="7" t="inlineStr">
        <is>
          <t>C</t>
        </is>
      </c>
      <c r="F445" s="13" t="n">
        <v>1</v>
      </c>
      <c r="G445" s="13" t="n">
        <v>3</v>
      </c>
      <c r="H445" s="8" t="n">
        <v>7.1933</v>
      </c>
      <c r="I445" s="8" t="n">
        <v>7.1933</v>
      </c>
      <c r="J445" s="8" t="n">
        <v>7.1933</v>
      </c>
      <c r="K445" s="8" t="n"/>
      <c r="L445" s="8" t="n"/>
      <c r="M445" s="8" t="n"/>
      <c r="N445" s="8" t="n"/>
      <c r="O445" s="8" t="n"/>
      <c r="P445" s="8" t="n"/>
      <c r="Q445" s="8" t="n"/>
      <c r="R445" s="8" t="n"/>
      <c r="S445" s="8" t="n"/>
      <c r="T445" s="7" t="inlineStr">
        <is>
          <t>SEM COTAÇÃO</t>
        </is>
      </c>
      <c r="U445" s="8" t="n"/>
      <c r="V445" s="14" t="n"/>
      <c r="W445" s="14" t="n"/>
      <c r="X445" s="7" t="inlineStr"/>
      <c r="Y445" s="7" t="inlineStr"/>
    </row>
    <row r="446">
      <c r="A446" s="7" t="n">
        <v>645791</v>
      </c>
      <c r="B446" s="12" t="inlineStr">
        <is>
          <t>7898675804800</t>
        </is>
      </c>
      <c r="C446" s="7" t="inlineStr">
        <is>
          <t>BARRA PROTEICA CHOCRANTE DISP 40G</t>
        </is>
      </c>
      <c r="D446" s="7" t="inlineStr">
        <is>
          <t>VITAMINA E SIMILARES</t>
        </is>
      </c>
      <c r="E446" s="7" t="inlineStr">
        <is>
          <t>C</t>
        </is>
      </c>
      <c r="F446" s="13" t="n">
        <v>1</v>
      </c>
      <c r="G446" s="13" t="n">
        <v>3</v>
      </c>
      <c r="H446" s="8" t="n">
        <v>7.1933</v>
      </c>
      <c r="I446" s="8" t="n">
        <v>7.1933</v>
      </c>
      <c r="J446" s="8" t="n">
        <v>7.1933</v>
      </c>
      <c r="K446" s="8" t="n"/>
      <c r="L446" s="8" t="n"/>
      <c r="M446" s="8" t="n"/>
      <c r="N446" s="8" t="n"/>
      <c r="O446" s="8" t="n"/>
      <c r="P446" s="8" t="n"/>
      <c r="Q446" s="8" t="n"/>
      <c r="R446" s="8" t="n"/>
      <c r="S446" s="8" t="n"/>
      <c r="T446" s="7" t="inlineStr">
        <is>
          <t>SEM COTAÇÃO</t>
        </is>
      </c>
      <c r="U446" s="8" t="n"/>
      <c r="V446" s="14" t="n"/>
      <c r="W446" s="14" t="n"/>
      <c r="X446" s="7" t="inlineStr"/>
      <c r="Y446" s="7" t="inlineStr"/>
    </row>
    <row r="447">
      <c r="A447" s="7" t="n">
        <v>645801</v>
      </c>
      <c r="B447" s="12" t="inlineStr">
        <is>
          <t>7898675804824</t>
        </is>
      </c>
      <c r="C447" s="7" t="inlineStr">
        <is>
          <t>BARRA PROTEICA PACOCA DISP 40G</t>
        </is>
      </c>
      <c r="D447" s="7" t="inlineStr">
        <is>
          <t>VITAMINA E SIMILARES</t>
        </is>
      </c>
      <c r="E447" s="7" t="inlineStr">
        <is>
          <t>C</t>
        </is>
      </c>
      <c r="F447" s="13" t="n">
        <v>1</v>
      </c>
      <c r="G447" s="13" t="n">
        <v>1</v>
      </c>
      <c r="H447" s="8" t="n">
        <v>6.6408</v>
      </c>
      <c r="I447" s="8" t="n">
        <v>6.6408</v>
      </c>
      <c r="J447" s="8" t="n">
        <v>6.6408</v>
      </c>
      <c r="K447" s="8" t="n"/>
      <c r="L447" s="8" t="n"/>
      <c r="M447" s="8" t="n"/>
      <c r="N447" s="8" t="n"/>
      <c r="O447" s="8" t="n"/>
      <c r="P447" s="8" t="n"/>
      <c r="Q447" s="8" t="n"/>
      <c r="R447" s="8" t="n"/>
      <c r="S447" s="8" t="n"/>
      <c r="T447" s="7" t="inlineStr">
        <is>
          <t>SEM COTAÇÃO</t>
        </is>
      </c>
      <c r="U447" s="8" t="n"/>
      <c r="V447" s="14" t="n"/>
      <c r="W447" s="14" t="n"/>
      <c r="X447" s="7" t="inlineStr"/>
      <c r="Y447" s="7" t="inlineStr"/>
    </row>
    <row r="448">
      <c r="A448" s="7" t="n">
        <v>645661</v>
      </c>
      <c r="B448" s="12" t="inlineStr">
        <is>
          <t>7898700410891</t>
        </is>
      </c>
      <c r="C448" s="7" t="inlineStr">
        <is>
          <t>BARRA TRUSTFUEL PAST AMENDO 40G</t>
        </is>
      </c>
      <c r="D448" s="7" t="inlineStr">
        <is>
          <t>DESATIVADO</t>
        </is>
      </c>
      <c r="E448" s="7" t="inlineStr">
        <is>
          <t>C</t>
        </is>
      </c>
      <c r="F448" s="13" t="n">
        <v>1</v>
      </c>
      <c r="G448" s="13" t="n">
        <v>1</v>
      </c>
      <c r="H448" s="8" t="n">
        <v>69.89</v>
      </c>
      <c r="I448" s="8" t="n">
        <v>69.89</v>
      </c>
      <c r="J448" s="8" t="n">
        <v>69.89</v>
      </c>
      <c r="K448" s="8" t="n"/>
      <c r="L448" s="8" t="n"/>
      <c r="M448" s="8" t="n"/>
      <c r="N448" s="8" t="n"/>
      <c r="O448" s="8" t="n"/>
      <c r="P448" s="8" t="n"/>
      <c r="Q448" s="8" t="n"/>
      <c r="R448" s="8" t="n"/>
      <c r="S448" s="8" t="n"/>
      <c r="T448" s="7" t="inlineStr">
        <is>
          <t>SEM COTAÇÃO</t>
        </is>
      </c>
      <c r="U448" s="8" t="n"/>
      <c r="V448" s="14" t="n"/>
      <c r="W448" s="14" t="n"/>
      <c r="X448" s="7" t="inlineStr"/>
      <c r="Y448" s="7" t="inlineStr"/>
    </row>
    <row r="449">
      <c r="A449" s="7" t="n">
        <v>655521</v>
      </c>
      <c r="B449" s="12" t="inlineStr">
        <is>
          <t>7899811100596</t>
        </is>
      </c>
      <c r="C449" s="7" t="inlineStr">
        <is>
          <t>BASILICAO POMADA BISNAGA 27G BASILIFLAM</t>
        </is>
      </c>
      <c r="D449" s="7" t="inlineStr">
        <is>
          <t>SIMILAR</t>
        </is>
      </c>
      <c r="E449" s="7" t="inlineStr">
        <is>
          <t>C</t>
        </is>
      </c>
      <c r="F449" s="13" t="n">
        <v>1</v>
      </c>
      <c r="G449" s="13" t="n">
        <v>1</v>
      </c>
      <c r="H449" s="8" t="n">
        <v>14.62</v>
      </c>
      <c r="I449" s="8" t="n">
        <v>14.62</v>
      </c>
      <c r="J449" s="8" t="n">
        <v>14.62</v>
      </c>
      <c r="K449" s="8" t="n"/>
      <c r="L449" s="8" t="n"/>
      <c r="M449" s="8" t="n"/>
      <c r="N449" s="15" t="n">
        <v>15.63</v>
      </c>
      <c r="O449" s="8" t="n"/>
      <c r="P449" s="8" t="n"/>
      <c r="Q449" s="8" t="n"/>
      <c r="R449" s="8" t="n"/>
      <c r="S449" s="8" t="n"/>
      <c r="T449" s="7" t="inlineStr">
        <is>
          <t>CENTROFARMA</t>
        </is>
      </c>
      <c r="U449" s="8" t="n">
        <v>15.63</v>
      </c>
      <c r="V449" s="14">
        <f>U449/J449-1</f>
        <v/>
      </c>
      <c r="W449" s="14">
        <f>U449/H449-1</f>
        <v/>
      </c>
      <c r="X449" s="16" t="inlineStr">
        <is>
          <t>ACIMA +6.9%</t>
        </is>
      </c>
      <c r="Y449" s="7" t="inlineStr"/>
    </row>
    <row r="450">
      <c r="A450" s="7" t="n">
        <v>607811</v>
      </c>
      <c r="B450" s="12" t="inlineStr">
        <is>
          <t>7897013556968</t>
        </is>
      </c>
      <c r="C450" s="7" t="inlineStr">
        <is>
          <t>BAT ALCALINA ELGIN LR41 PAR</t>
        </is>
      </c>
      <c r="D450" s="7" t="inlineStr">
        <is>
          <t>PERF/COSME</t>
        </is>
      </c>
      <c r="E450" s="7" t="inlineStr">
        <is>
          <t>C</t>
        </is>
      </c>
      <c r="F450" s="13" t="n">
        <v>1</v>
      </c>
      <c r="G450" s="13" t="n">
        <v>1</v>
      </c>
      <c r="H450" s="8" t="n">
        <v>5.87</v>
      </c>
      <c r="I450" s="8" t="n">
        <v>5.87</v>
      </c>
      <c r="J450" s="8" t="n">
        <v>5.87</v>
      </c>
      <c r="K450" s="8" t="n"/>
      <c r="L450" s="8" t="n"/>
      <c r="M450" s="8" t="n"/>
      <c r="N450" s="8" t="n"/>
      <c r="O450" s="8" t="n"/>
      <c r="P450" s="8" t="n"/>
      <c r="Q450" s="8" t="n"/>
      <c r="R450" s="8" t="n"/>
      <c r="S450" s="8" t="n"/>
      <c r="T450" s="7" t="inlineStr">
        <is>
          <t>SEM COTAÇÃO</t>
        </is>
      </c>
      <c r="U450" s="8" t="n"/>
      <c r="V450" s="14" t="n"/>
      <c r="W450" s="14" t="n"/>
      <c r="X450" s="7" t="inlineStr"/>
      <c r="Y450" s="7" t="inlineStr"/>
    </row>
    <row r="451">
      <c r="A451" s="7" t="n">
        <v>611881</v>
      </c>
      <c r="B451" s="12" t="inlineStr">
        <is>
          <t>783094031517</t>
        </is>
      </c>
      <c r="C451" s="7" t="inlineStr">
        <is>
          <t>BAT RAY ELET LITHIUM CR2032 3V C/1UN</t>
        </is>
      </c>
      <c r="D451" s="7" t="inlineStr">
        <is>
          <t>UTENSILIOS</t>
        </is>
      </c>
      <c r="E451" s="7" t="inlineStr">
        <is>
          <t>C</t>
        </is>
      </c>
      <c r="F451" s="13" t="n">
        <v>1</v>
      </c>
      <c r="G451" s="13" t="n">
        <v>1</v>
      </c>
      <c r="H451" s="8" t="n">
        <v>10.98</v>
      </c>
      <c r="I451" s="8" t="n">
        <v>10.98</v>
      </c>
      <c r="J451" s="8" t="n">
        <v>10.98</v>
      </c>
      <c r="K451" s="8" t="n"/>
      <c r="L451" s="8" t="n"/>
      <c r="M451" s="8" t="n"/>
      <c r="N451" s="8" t="n"/>
      <c r="O451" s="8" t="n"/>
      <c r="P451" s="8" t="n"/>
      <c r="Q451" s="8" t="n"/>
      <c r="R451" s="8" t="n"/>
      <c r="S451" s="8" t="n"/>
      <c r="T451" s="7" t="inlineStr">
        <is>
          <t>SEM COTAÇÃO</t>
        </is>
      </c>
      <c r="U451" s="8" t="n"/>
      <c r="V451" s="14" t="n"/>
      <c r="W451" s="14" t="n"/>
      <c r="X451" s="7" t="inlineStr"/>
      <c r="Y451" s="7" t="inlineStr"/>
    </row>
    <row r="452">
      <c r="A452" s="7" t="n">
        <v>617411</v>
      </c>
      <c r="B452" s="12" t="inlineStr">
        <is>
          <t>7896004008998</t>
        </is>
      </c>
      <c r="C452" s="7" t="inlineStr">
        <is>
          <t>BATATA PRINGLES CHED.BAC.105G</t>
        </is>
      </c>
      <c r="D452" s="7" t="inlineStr">
        <is>
          <t>CONVENIENCIA</t>
        </is>
      </c>
      <c r="E452" s="7" t="inlineStr">
        <is>
          <t>C</t>
        </is>
      </c>
      <c r="F452" s="13" t="n">
        <v>1</v>
      </c>
      <c r="G452" s="13" t="n">
        <v>1</v>
      </c>
      <c r="H452" s="8" t="n">
        <v>9.02</v>
      </c>
      <c r="I452" s="8" t="n">
        <v>9.02</v>
      </c>
      <c r="J452" s="8" t="n">
        <v>9.02</v>
      </c>
      <c r="K452" s="8" t="n"/>
      <c r="L452" s="8" t="n"/>
      <c r="M452" s="8" t="n"/>
      <c r="N452" s="8" t="n"/>
      <c r="O452" s="8" t="n"/>
      <c r="P452" s="8" t="n"/>
      <c r="Q452" s="8" t="n"/>
      <c r="R452" s="8" t="n"/>
      <c r="S452" s="8" t="n"/>
      <c r="T452" s="7" t="inlineStr">
        <is>
          <t>SEM COTAÇÃO</t>
        </is>
      </c>
      <c r="U452" s="8" t="n"/>
      <c r="V452" s="14" t="n"/>
      <c r="W452" s="14" t="n"/>
      <c r="X452" s="7" t="inlineStr"/>
      <c r="Y452" s="7" t="inlineStr"/>
    </row>
    <row r="453">
      <c r="A453" s="7" t="n">
        <v>617001</v>
      </c>
      <c r="B453" s="12" t="inlineStr">
        <is>
          <t>7896004006406</t>
        </is>
      </c>
      <c r="C453" s="7" t="inlineStr">
        <is>
          <t>BATATA PRINGLES CHURRASCO 109G</t>
        </is>
      </c>
      <c r="D453" s="7" t="inlineStr">
        <is>
          <t>CONVENIENCIA</t>
        </is>
      </c>
      <c r="E453" s="7" t="inlineStr">
        <is>
          <t>C</t>
        </is>
      </c>
      <c r="F453" s="13" t="n">
        <v>1</v>
      </c>
      <c r="G453" s="13" t="n">
        <v>1</v>
      </c>
      <c r="H453" s="8" t="n">
        <v>9.02</v>
      </c>
      <c r="I453" s="8" t="n">
        <v>9.02</v>
      </c>
      <c r="J453" s="8" t="n">
        <v>9.02</v>
      </c>
      <c r="K453" s="8" t="n"/>
      <c r="L453" s="8" t="n"/>
      <c r="M453" s="8" t="n"/>
      <c r="N453" s="8" t="n"/>
      <c r="O453" s="8" t="n"/>
      <c r="P453" s="8" t="n"/>
      <c r="Q453" s="8" t="n"/>
      <c r="R453" s="8" t="n"/>
      <c r="S453" s="8" t="n"/>
      <c r="T453" s="7" t="inlineStr">
        <is>
          <t>SEM COTAÇÃO</t>
        </is>
      </c>
      <c r="U453" s="8" t="n"/>
      <c r="V453" s="14" t="n"/>
      <c r="W453" s="14" t="n"/>
      <c r="X453" s="7" t="inlineStr"/>
      <c r="Y453" s="7" t="inlineStr"/>
    </row>
    <row r="454">
      <c r="A454" s="7" t="n">
        <v>617011</v>
      </c>
      <c r="B454" s="12" t="inlineStr">
        <is>
          <t>7896004006239</t>
        </is>
      </c>
      <c r="C454" s="7" t="inlineStr">
        <is>
          <t>BATATA PRINGLES CREME CEB 109G</t>
        </is>
      </c>
      <c r="D454" s="7" t="inlineStr">
        <is>
          <t>CONVENIENCIA</t>
        </is>
      </c>
      <c r="E454" s="7" t="inlineStr">
        <is>
          <t>C</t>
        </is>
      </c>
      <c r="F454" s="13" t="n">
        <v>1</v>
      </c>
      <c r="G454" s="13" t="n">
        <v>1</v>
      </c>
      <c r="H454" s="8" t="n">
        <v>9.02</v>
      </c>
      <c r="I454" s="8" t="n">
        <v>9.02</v>
      </c>
      <c r="J454" s="8" t="n">
        <v>9.02</v>
      </c>
      <c r="K454" s="8" t="n"/>
      <c r="L454" s="8" t="n"/>
      <c r="M454" s="8" t="n"/>
      <c r="N454" s="8" t="n"/>
      <c r="O454" s="8" t="n"/>
      <c r="P454" s="8" t="n"/>
      <c r="Q454" s="8" t="n"/>
      <c r="R454" s="8" t="n"/>
      <c r="S454" s="8" t="n"/>
      <c r="T454" s="7" t="inlineStr">
        <is>
          <t>SEM COTAÇÃO</t>
        </is>
      </c>
      <c r="U454" s="8" t="n"/>
      <c r="V454" s="14" t="n"/>
      <c r="W454" s="14" t="n"/>
      <c r="X454" s="7" t="inlineStr"/>
      <c r="Y454" s="7" t="inlineStr"/>
    </row>
    <row r="455">
      <c r="A455" s="7" t="n">
        <v>626801</v>
      </c>
      <c r="B455" s="12" t="inlineStr">
        <is>
          <t>7896067203460</t>
        </is>
      </c>
      <c r="C455" s="7" t="inlineStr">
        <is>
          <t>BATERIA ALCALINA 9V UN</t>
        </is>
      </c>
      <c r="D455" s="7" t="inlineStr">
        <is>
          <t>UTENSILIOS</t>
        </is>
      </c>
      <c r="E455" s="7" t="inlineStr">
        <is>
          <t>C</t>
        </is>
      </c>
      <c r="F455" s="13" t="n">
        <v>1</v>
      </c>
      <c r="G455" s="13" t="n">
        <v>1</v>
      </c>
      <c r="H455" s="8" t="n">
        <v>17</v>
      </c>
      <c r="I455" s="8" t="n">
        <v>17</v>
      </c>
      <c r="J455" s="8" t="n">
        <v>17</v>
      </c>
      <c r="K455" s="8" t="n"/>
      <c r="L455" s="8" t="n"/>
      <c r="M455" s="8" t="n"/>
      <c r="N455" s="8" t="n"/>
      <c r="O455" s="8" t="n"/>
      <c r="P455" s="8" t="n"/>
      <c r="Q455" s="8" t="n"/>
      <c r="R455" s="8" t="n"/>
      <c r="S455" s="8" t="n"/>
      <c r="T455" s="7" t="inlineStr">
        <is>
          <t>SEM COTAÇÃO</t>
        </is>
      </c>
      <c r="U455" s="8" t="n"/>
      <c r="V455" s="14" t="n"/>
      <c r="W455" s="14" t="n"/>
      <c r="X455" s="7" t="inlineStr"/>
      <c r="Y455" s="7" t="inlineStr"/>
    </row>
    <row r="456">
      <c r="A456" s="7" t="n">
        <v>705001</v>
      </c>
      <c r="B456" s="12" t="inlineStr">
        <is>
          <t>7896067203941</t>
        </is>
      </c>
      <c r="C456" s="7" t="inlineStr">
        <is>
          <t>BATERIA DE LITIO (MOEDA) CR-2032 DP/C 10 UN CX</t>
        </is>
      </c>
      <c r="D456" s="7" t="inlineStr">
        <is>
          <t>UTENSILIOS</t>
        </is>
      </c>
      <c r="E456" s="7" t="inlineStr">
        <is>
          <t>C</t>
        </is>
      </c>
      <c r="F456" s="13" t="n">
        <v>1</v>
      </c>
      <c r="G456" s="13" t="n">
        <v>1</v>
      </c>
      <c r="H456" s="8" t="n">
        <v>7.743</v>
      </c>
      <c r="I456" s="8" t="n">
        <v>7.743</v>
      </c>
      <c r="J456" s="8" t="n">
        <v>7.742999999999999</v>
      </c>
      <c r="K456" s="8" t="n"/>
      <c r="L456" s="8" t="n"/>
      <c r="M456" s="8" t="n"/>
      <c r="N456" s="8" t="n"/>
      <c r="O456" s="8" t="n"/>
      <c r="P456" s="8" t="n"/>
      <c r="Q456" s="8" t="n"/>
      <c r="R456" s="8" t="n"/>
      <c r="S456" s="8" t="n"/>
      <c r="T456" s="7" t="inlineStr">
        <is>
          <t>SEM COTAÇÃO</t>
        </is>
      </c>
      <c r="U456" s="8" t="n"/>
      <c r="V456" s="14" t="n"/>
      <c r="W456" s="14" t="n"/>
      <c r="X456" s="7" t="inlineStr"/>
      <c r="Y456" s="7" t="inlineStr"/>
    </row>
    <row r="457">
      <c r="A457" s="7" t="n">
        <v>627531</v>
      </c>
      <c r="B457" s="12" t="inlineStr">
        <is>
          <t>783094031555</t>
        </is>
      </c>
      <c r="C457" s="7" t="inlineStr">
        <is>
          <t>BATERIA RAY ELET LITHIUM CR2016 3V C/1UN</t>
        </is>
      </c>
      <c r="D457" s="7" t="inlineStr">
        <is>
          <t>UTENSILIOS</t>
        </is>
      </c>
      <c r="E457" s="7" t="inlineStr">
        <is>
          <t>C</t>
        </is>
      </c>
      <c r="F457" s="13" t="n">
        <v>1</v>
      </c>
      <c r="G457" s="13" t="n">
        <v>1</v>
      </c>
      <c r="H457" s="8" t="n">
        <v>12</v>
      </c>
      <c r="I457" s="8" t="n">
        <v>12</v>
      </c>
      <c r="J457" s="8" t="n">
        <v>12</v>
      </c>
      <c r="K457" s="8" t="n"/>
      <c r="L457" s="8" t="n"/>
      <c r="M457" s="8" t="n"/>
      <c r="N457" s="8" t="n"/>
      <c r="O457" s="8" t="n"/>
      <c r="P457" s="8" t="n"/>
      <c r="Q457" s="8" t="n"/>
      <c r="R457" s="8" t="n"/>
      <c r="S457" s="8" t="n"/>
      <c r="T457" s="7" t="inlineStr">
        <is>
          <t>SEM COTAÇÃO</t>
        </is>
      </c>
      <c r="U457" s="8" t="n"/>
      <c r="V457" s="14" t="n"/>
      <c r="W457" s="14" t="n"/>
      <c r="X457" s="7" t="inlineStr"/>
      <c r="Y457" s="7" t="inlineStr"/>
    </row>
    <row r="458">
      <c r="A458" s="7" t="n">
        <v>592421</v>
      </c>
      <c r="B458" s="12" t="inlineStr">
        <is>
          <t>7896009725012</t>
        </is>
      </c>
      <c r="C458" s="7" t="inlineStr">
        <is>
          <t>BATERIA RAYOV ALCALINA 9V C/01</t>
        </is>
      </c>
      <c r="D458" s="7" t="inlineStr">
        <is>
          <t>UTENSILIOS</t>
        </is>
      </c>
      <c r="E458" s="7" t="inlineStr">
        <is>
          <t>C</t>
        </is>
      </c>
      <c r="F458" s="13" t="n">
        <v>1</v>
      </c>
      <c r="G458" s="13" t="n">
        <v>1</v>
      </c>
      <c r="H458" s="8" t="n">
        <v>18.86</v>
      </c>
      <c r="I458" s="8" t="n">
        <v>18.86</v>
      </c>
      <c r="J458" s="8" t="n">
        <v>18.86</v>
      </c>
      <c r="K458" s="8" t="n"/>
      <c r="L458" s="8" t="n"/>
      <c r="M458" s="8" t="n"/>
      <c r="N458" s="8" t="n"/>
      <c r="O458" s="8" t="n"/>
      <c r="P458" s="8" t="n"/>
      <c r="Q458" s="8" t="n"/>
      <c r="R458" s="8" t="n"/>
      <c r="S458" s="8" t="n"/>
      <c r="T458" s="7" t="inlineStr">
        <is>
          <t>SEM COTAÇÃO</t>
        </is>
      </c>
      <c r="U458" s="8" t="n"/>
      <c r="V458" s="14" t="n"/>
      <c r="W458" s="14" t="n"/>
      <c r="X458" s="7" t="inlineStr"/>
      <c r="Y458" s="7" t="inlineStr"/>
    </row>
    <row r="459">
      <c r="A459" s="7" t="n">
        <v>541321</v>
      </c>
      <c r="B459" s="12" t="inlineStr">
        <is>
          <t>7898563802468</t>
        </is>
      </c>
      <c r="C459" s="7" t="inlineStr">
        <is>
          <t>BATOM DE CACAU UN</t>
        </is>
      </c>
      <c r="D459" s="7" t="inlineStr">
        <is>
          <t>OTC</t>
        </is>
      </c>
      <c r="E459" s="7" t="inlineStr">
        <is>
          <t>C</t>
        </is>
      </c>
      <c r="F459" s="13" t="n">
        <v>1</v>
      </c>
      <c r="G459" s="13" t="n">
        <v>9</v>
      </c>
      <c r="H459" s="8" t="n">
        <v>1.61</v>
      </c>
      <c r="I459" s="8" t="n">
        <v>1.61</v>
      </c>
      <c r="J459" s="8" t="n">
        <v>1.61</v>
      </c>
      <c r="K459" s="15" t="n">
        <v>1.61</v>
      </c>
      <c r="L459" s="8" t="n"/>
      <c r="M459" s="8" t="n"/>
      <c r="N459" s="8" t="n"/>
      <c r="O459" s="8" t="n"/>
      <c r="P459" s="8" t="n"/>
      <c r="Q459" s="8" t="n">
        <v>99.86</v>
      </c>
      <c r="R459" s="8" t="n"/>
      <c r="S459" s="8" t="n"/>
      <c r="T459" s="7" t="inlineStr">
        <is>
          <t>DIMEC</t>
        </is>
      </c>
      <c r="U459" s="8" t="n">
        <v>1.61</v>
      </c>
      <c r="V459" s="14">
        <f>U459/J459-1</f>
        <v/>
      </c>
      <c r="W459" s="14">
        <f>U459/H459-1</f>
        <v/>
      </c>
      <c r="X459" s="17" t="inlineStr">
        <is>
          <t>OK (≤ menor hist.)</t>
        </is>
      </c>
      <c r="Y459" s="7" t="inlineStr">
        <is>
          <t>MEDCENTRO: conferir emb.</t>
        </is>
      </c>
    </row>
    <row r="460">
      <c r="A460" s="7" t="n">
        <v>599431</v>
      </c>
      <c r="B460" s="12" t="inlineStr">
        <is>
          <t>78936911</t>
        </is>
      </c>
      <c r="C460" s="7" t="inlineStr">
        <is>
          <t>BATON BASTAO RECH MORANGO 16G</t>
        </is>
      </c>
      <c r="D460" s="7" t="inlineStr">
        <is>
          <t>CONVENIENCIA</t>
        </is>
      </c>
      <c r="E460" s="7" t="inlineStr">
        <is>
          <t>C</t>
        </is>
      </c>
      <c r="F460" s="13" t="n">
        <v>1</v>
      </c>
      <c r="G460" s="13" t="n">
        <v>5</v>
      </c>
      <c r="H460" s="8" t="n">
        <v>1.4757</v>
      </c>
      <c r="I460" s="8" t="n">
        <v>1.4323</v>
      </c>
      <c r="J460" s="8" t="n">
        <v>1.4421</v>
      </c>
      <c r="K460" s="8" t="n"/>
      <c r="L460" s="8" t="n"/>
      <c r="M460" s="8" t="n"/>
      <c r="N460" s="8" t="n"/>
      <c r="O460" s="8" t="n"/>
      <c r="P460" s="8" t="n"/>
      <c r="Q460" s="8" t="n"/>
      <c r="R460" s="8" t="n"/>
      <c r="S460" s="8" t="n"/>
      <c r="T460" s="7" t="inlineStr">
        <is>
          <t>SEM COTAÇÃO</t>
        </is>
      </c>
      <c r="U460" s="8" t="n"/>
      <c r="V460" s="14" t="n"/>
      <c r="W460" s="14" t="n"/>
      <c r="X460" s="7" t="inlineStr"/>
      <c r="Y460" s="7" t="inlineStr"/>
    </row>
    <row r="461">
      <c r="A461" s="7" t="n">
        <v>595151</v>
      </c>
      <c r="B461" s="12" t="inlineStr">
        <is>
          <t>78930230</t>
        </is>
      </c>
      <c r="C461" s="7" t="inlineStr">
        <is>
          <t>BATON BASTAO RECHEADO LEITE 16G</t>
        </is>
      </c>
      <c r="D461" s="7" t="inlineStr">
        <is>
          <t>CONVENIENCIA</t>
        </is>
      </c>
      <c r="E461" s="7" t="inlineStr">
        <is>
          <t>B</t>
        </is>
      </c>
      <c r="F461" s="13" t="n">
        <v>1</v>
      </c>
      <c r="G461" s="13" t="n">
        <v>24</v>
      </c>
      <c r="H461" s="8" t="n">
        <v>1.4757</v>
      </c>
      <c r="I461" s="8" t="n">
        <v>1.4323</v>
      </c>
      <c r="J461" s="8" t="n">
        <v>1.4421</v>
      </c>
      <c r="K461" s="8" t="n"/>
      <c r="L461" s="8" t="n"/>
      <c r="M461" s="8" t="n"/>
      <c r="N461" s="8" t="n"/>
      <c r="O461" s="8" t="n"/>
      <c r="P461" s="8" t="n"/>
      <c r="Q461" s="8" t="n"/>
      <c r="R461" s="8" t="n"/>
      <c r="S461" s="8" t="n"/>
      <c r="T461" s="7" t="inlineStr">
        <is>
          <t>SEM COTAÇÃO</t>
        </is>
      </c>
      <c r="U461" s="8" t="n"/>
      <c r="V461" s="14" t="n"/>
      <c r="W461" s="14" t="n"/>
      <c r="X461" s="7" t="inlineStr"/>
      <c r="Y461" s="7" t="inlineStr"/>
    </row>
    <row r="462">
      <c r="A462" s="7" t="n">
        <v>599421</v>
      </c>
      <c r="B462" s="12" t="inlineStr">
        <is>
          <t>78939363</t>
        </is>
      </c>
      <c r="C462" s="7" t="inlineStr">
        <is>
          <t>BATON EXTRA MILK 32 16G</t>
        </is>
      </c>
      <c r="D462" s="7" t="inlineStr">
        <is>
          <t>CONVENIENCIA</t>
        </is>
      </c>
      <c r="E462" s="7" t="inlineStr">
        <is>
          <t>C</t>
        </is>
      </c>
      <c r="F462" s="13" t="n">
        <v>1</v>
      </c>
      <c r="G462" s="13" t="n">
        <v>18</v>
      </c>
      <c r="H462" s="8" t="n">
        <v>1.4757</v>
      </c>
      <c r="I462" s="8" t="n">
        <v>1.4323</v>
      </c>
      <c r="J462" s="8" t="n">
        <v>1.4421</v>
      </c>
      <c r="K462" s="8" t="n"/>
      <c r="L462" s="8" t="n"/>
      <c r="M462" s="8" t="n"/>
      <c r="N462" s="8" t="n"/>
      <c r="O462" s="8" t="n"/>
      <c r="P462" s="8" t="n"/>
      <c r="Q462" s="8" t="n"/>
      <c r="R462" s="8" t="n"/>
      <c r="S462" s="8" t="n"/>
      <c r="T462" s="7" t="inlineStr">
        <is>
          <t>SEM COTAÇÃO</t>
        </is>
      </c>
      <c r="U462" s="8" t="n"/>
      <c r="V462" s="14" t="n"/>
      <c r="W462" s="14" t="n"/>
      <c r="X462" s="7" t="inlineStr"/>
      <c r="Y462" s="7" t="inlineStr"/>
    </row>
    <row r="463">
      <c r="A463" s="7" t="n">
        <v>542781</v>
      </c>
      <c r="B463" s="12" t="inlineStr">
        <is>
          <t>78912366</t>
        </is>
      </c>
      <c r="C463" s="7" t="inlineStr">
        <is>
          <t>BATON GAROTO CHOC BRA 16G UN</t>
        </is>
      </c>
      <c r="D463" s="7" t="inlineStr">
        <is>
          <t>CHOCOLATES</t>
        </is>
      </c>
      <c r="E463" s="7" t="inlineStr">
        <is>
          <t>B</t>
        </is>
      </c>
      <c r="F463" s="13" t="n">
        <v>3</v>
      </c>
      <c r="G463" s="13" t="n">
        <v>65</v>
      </c>
      <c r="H463" s="8" t="n">
        <v>1.4757</v>
      </c>
      <c r="I463" s="8" t="n">
        <v>1.4323</v>
      </c>
      <c r="J463" s="8" t="n">
        <v>1.4419</v>
      </c>
      <c r="K463" s="8" t="n"/>
      <c r="L463" s="8" t="n"/>
      <c r="M463" s="8" t="n"/>
      <c r="N463" s="8" t="n"/>
      <c r="O463" s="8" t="n"/>
      <c r="P463" s="8" t="n"/>
      <c r="Q463" s="8" t="n"/>
      <c r="R463" s="8" t="n"/>
      <c r="S463" s="8" t="n"/>
      <c r="T463" s="7" t="inlineStr">
        <is>
          <t>SEM COTAÇÃO</t>
        </is>
      </c>
      <c r="U463" s="8" t="n"/>
      <c r="V463" s="14" t="n"/>
      <c r="W463" s="14" t="n"/>
      <c r="X463" s="7" t="inlineStr"/>
      <c r="Y463" s="7" t="inlineStr"/>
    </row>
    <row r="464">
      <c r="A464" s="7" t="n">
        <v>554801</v>
      </c>
      <c r="B464" s="12" t="inlineStr">
        <is>
          <t>78930193</t>
        </is>
      </c>
      <c r="C464" s="7" t="inlineStr">
        <is>
          <t>BATON GAROTO DUO BRA 16G UN</t>
        </is>
      </c>
      <c r="D464" s="7" t="inlineStr">
        <is>
          <t>CHOCOLATES</t>
        </is>
      </c>
      <c r="E464" s="7" t="inlineStr">
        <is>
          <t>B</t>
        </is>
      </c>
      <c r="F464" s="13" t="n">
        <v>2</v>
      </c>
      <c r="G464" s="13" t="n">
        <v>41</v>
      </c>
      <c r="H464" s="8" t="n">
        <v>1.4757</v>
      </c>
      <c r="I464" s="8" t="n">
        <v>1.4323</v>
      </c>
      <c r="J464" s="8" t="n">
        <v>1.4419</v>
      </c>
      <c r="K464" s="8" t="n"/>
      <c r="L464" s="8" t="n"/>
      <c r="M464" s="8" t="n"/>
      <c r="N464" s="8" t="n"/>
      <c r="O464" s="8" t="n"/>
      <c r="P464" s="8" t="n"/>
      <c r="Q464" s="8" t="n"/>
      <c r="R464" s="8" t="n"/>
      <c r="S464" s="8" t="n"/>
      <c r="T464" s="7" t="inlineStr">
        <is>
          <t>SEM COTAÇÃO</t>
        </is>
      </c>
      <c r="U464" s="8" t="n"/>
      <c r="V464" s="14" t="n"/>
      <c r="W464" s="14" t="n"/>
      <c r="X464" s="7" t="inlineStr"/>
      <c r="Y464" s="7" t="inlineStr"/>
    </row>
    <row r="465">
      <c r="A465" s="7" t="n">
        <v>590701</v>
      </c>
      <c r="B465" s="12" t="inlineStr">
        <is>
          <t>7898031310075</t>
        </is>
      </c>
      <c r="C465" s="7" t="inlineStr">
        <is>
          <t>BAZELIN 10G UN</t>
        </is>
      </c>
      <c r="D465" s="7" t="inlineStr">
        <is>
          <t>SIMILAR</t>
        </is>
      </c>
      <c r="E465" s="7" t="inlineStr">
        <is>
          <t>B</t>
        </is>
      </c>
      <c r="F465" s="13" t="n">
        <v>1</v>
      </c>
      <c r="G465" s="13" t="n">
        <v>9</v>
      </c>
      <c r="H465" s="8" t="n">
        <v>3.79</v>
      </c>
      <c r="I465" s="8" t="n">
        <v>3.79</v>
      </c>
      <c r="J465" s="8" t="n">
        <v>3.79</v>
      </c>
      <c r="K465" s="15" t="n">
        <v>3.81</v>
      </c>
      <c r="L465" s="8" t="n"/>
      <c r="M465" s="8" t="n"/>
      <c r="N465" s="8" t="n">
        <v>4.075</v>
      </c>
      <c r="O465" s="8" t="n"/>
      <c r="P465" s="8" t="n"/>
      <c r="Q465" s="8" t="n"/>
      <c r="R465" s="8" t="n"/>
      <c r="S465" s="8" t="n"/>
      <c r="T465" s="7" t="inlineStr">
        <is>
          <t>DIMEC</t>
        </is>
      </c>
      <c r="U465" s="8" t="n">
        <v>3.81</v>
      </c>
      <c r="V465" s="14">
        <f>U465/J465-1</f>
        <v/>
      </c>
      <c r="W465" s="14">
        <f>U465/H465-1</f>
        <v/>
      </c>
      <c r="X465" s="16" t="inlineStr">
        <is>
          <t>ACIMA +0.5%</t>
        </is>
      </c>
      <c r="Y465" s="7" t="inlineStr">
        <is>
          <t>CENTROFARMA: 1 emb = 12 un</t>
        </is>
      </c>
    </row>
    <row r="466">
      <c r="A466" s="7" t="n">
        <v>639381</v>
      </c>
      <c r="B466" s="12" t="inlineStr">
        <is>
          <t>7896342900640</t>
        </is>
      </c>
      <c r="C466" s="7" t="inlineStr">
        <is>
          <t>BC0014-BO BOLSA PARA AGUA QUENTE GRANDE BORDO MERCUR</t>
        </is>
      </c>
      <c r="D466" s="7" t="inlineStr">
        <is>
          <t>ORTOPEDICO</t>
        </is>
      </c>
      <c r="E466" s="7" t="inlineStr">
        <is>
          <t>C</t>
        </is>
      </c>
      <c r="F466" s="13" t="n">
        <v>1</v>
      </c>
      <c r="G466" s="13" t="n">
        <v>1</v>
      </c>
      <c r="H466" s="8" t="n">
        <v>35.47</v>
      </c>
      <c r="I466" s="8" t="n">
        <v>35.47</v>
      </c>
      <c r="J466" s="8" t="n">
        <v>35.47</v>
      </c>
      <c r="K466" s="8" t="n"/>
      <c r="L466" s="8" t="n"/>
      <c r="M466" s="8" t="n"/>
      <c r="N466" s="8" t="n"/>
      <c r="O466" s="8" t="n"/>
      <c r="P466" s="8" t="n"/>
      <c r="Q466" s="8" t="n"/>
      <c r="R466" s="8" t="n"/>
      <c r="S466" s="8" t="n"/>
      <c r="T466" s="7" t="inlineStr">
        <is>
          <t>SEM COTAÇÃO</t>
        </is>
      </c>
      <c r="U466" s="8" t="n"/>
      <c r="V466" s="14" t="n"/>
      <c r="W466" s="14" t="n"/>
      <c r="X466" s="7" t="inlineStr"/>
      <c r="Y466" s="7" t="inlineStr"/>
    </row>
    <row r="467">
      <c r="A467" s="7" t="n">
        <v>639401</v>
      </c>
      <c r="B467" s="12" t="inlineStr">
        <is>
          <t>7896342412471</t>
        </is>
      </c>
      <c r="C467" s="7" t="inlineStr">
        <is>
          <t>BC0021 BOLSA MERCUR PARA GELO GRANDE</t>
        </is>
      </c>
      <c r="D467" s="7" t="inlineStr">
        <is>
          <t>ORTOPEDICO</t>
        </is>
      </c>
      <c r="E467" s="7" t="inlineStr">
        <is>
          <t>C</t>
        </is>
      </c>
      <c r="F467" s="13" t="n">
        <v>1</v>
      </c>
      <c r="G467" s="13" t="n">
        <v>1</v>
      </c>
      <c r="H467" s="8" t="n">
        <v>41.67</v>
      </c>
      <c r="I467" s="8" t="n">
        <v>41.67</v>
      </c>
      <c r="J467" s="8" t="n">
        <v>41.67</v>
      </c>
      <c r="K467" s="8" t="n"/>
      <c r="L467" s="8" t="n"/>
      <c r="M467" s="8" t="n"/>
      <c r="N467" s="8" t="n"/>
      <c r="O467" s="8" t="n"/>
      <c r="P467" s="8" t="n"/>
      <c r="Q467" s="8" t="n"/>
      <c r="R467" s="8" t="n"/>
      <c r="S467" s="8" t="n"/>
      <c r="T467" s="7" t="inlineStr">
        <is>
          <t>SEM COTAÇÃO</t>
        </is>
      </c>
      <c r="U467" s="8" t="n"/>
      <c r="V467" s="14" t="n"/>
      <c r="W467" s="14" t="n"/>
      <c r="X467" s="7" t="inlineStr"/>
      <c r="Y467" s="7" t="inlineStr"/>
    </row>
    <row r="468">
      <c r="A468" s="7" t="n">
        <v>639411</v>
      </c>
      <c r="B468" s="12" t="inlineStr">
        <is>
          <t>7896342450282</t>
        </is>
      </c>
      <c r="C468" s="7" t="inlineStr">
        <is>
          <t>BC0035-AS JOELHEIRA MERCUR ESPORTE PRETO P</t>
        </is>
      </c>
      <c r="D468" s="7" t="inlineStr">
        <is>
          <t>ORTOPEDICO</t>
        </is>
      </c>
      <c r="E468" s="7" t="inlineStr">
        <is>
          <t>C</t>
        </is>
      </c>
      <c r="F468" s="13" t="n">
        <v>1</v>
      </c>
      <c r="G468" s="13" t="n">
        <v>1</v>
      </c>
      <c r="H468" s="8" t="n">
        <v>32.88</v>
      </c>
      <c r="I468" s="8" t="n">
        <v>32.88</v>
      </c>
      <c r="J468" s="8" t="n">
        <v>32.88</v>
      </c>
      <c r="K468" s="8" t="n"/>
      <c r="L468" s="8" t="n"/>
      <c r="M468" s="8" t="n"/>
      <c r="N468" s="8" t="n"/>
      <c r="O468" s="8" t="n"/>
      <c r="P468" s="8" t="n"/>
      <c r="Q468" s="8" t="n"/>
      <c r="R468" s="8" t="n"/>
      <c r="S468" s="8" t="n"/>
      <c r="T468" s="7" t="inlineStr">
        <is>
          <t>SEM COTAÇÃO</t>
        </is>
      </c>
      <c r="U468" s="8" t="n"/>
      <c r="V468" s="14" t="n"/>
      <c r="W468" s="14" t="n"/>
      <c r="X468" s="7" t="inlineStr"/>
      <c r="Y468" s="7" t="inlineStr"/>
    </row>
    <row r="469">
      <c r="A469" s="7" t="n">
        <v>639431</v>
      </c>
      <c r="B469" s="12" t="inlineStr">
        <is>
          <t>7896342450305</t>
        </is>
      </c>
      <c r="C469" s="7" t="inlineStr">
        <is>
          <t>BC0035-CS JOELHEIRA MERCUR ESPORTE PRETO G</t>
        </is>
      </c>
      <c r="D469" s="7" t="inlineStr">
        <is>
          <t>ORTOPEDICO</t>
        </is>
      </c>
      <c r="E469" s="7" t="inlineStr">
        <is>
          <t>C</t>
        </is>
      </c>
      <c r="F469" s="13" t="n">
        <v>1</v>
      </c>
      <c r="G469" s="13" t="n">
        <v>1</v>
      </c>
      <c r="H469" s="8" t="n">
        <v>24.39</v>
      </c>
      <c r="I469" s="8" t="n">
        <v>24.39</v>
      </c>
      <c r="J469" s="8" t="n">
        <v>24.39</v>
      </c>
      <c r="K469" s="8" t="n"/>
      <c r="L469" s="8" t="n"/>
      <c r="M469" s="8" t="n"/>
      <c r="N469" s="8" t="n"/>
      <c r="O469" s="8" t="n"/>
      <c r="P469" s="8" t="n"/>
      <c r="Q469" s="8" t="n"/>
      <c r="R469" s="8" t="n"/>
      <c r="S469" s="8" t="n"/>
      <c r="T469" s="7" t="inlineStr">
        <is>
          <t>SEM COTAÇÃO</t>
        </is>
      </c>
      <c r="U469" s="8" t="n"/>
      <c r="V469" s="14" t="n"/>
      <c r="W469" s="14" t="n"/>
      <c r="X469" s="7" t="inlineStr"/>
      <c r="Y469" s="7" t="inlineStr"/>
    </row>
    <row r="470">
      <c r="A470" s="7" t="n">
        <v>639441</v>
      </c>
      <c r="B470" s="12" t="inlineStr">
        <is>
          <t>7896342450312</t>
        </is>
      </c>
      <c r="C470" s="7" t="inlineStr">
        <is>
          <t>BC0036-AS JOELHEIRA MERCUR ESPORTE ORIFICIO PRETO P</t>
        </is>
      </c>
      <c r="D470" s="7" t="inlineStr">
        <is>
          <t>ORTOPEDICO</t>
        </is>
      </c>
      <c r="E470" s="7" t="inlineStr">
        <is>
          <t>C</t>
        </is>
      </c>
      <c r="F470" s="13" t="n">
        <v>1</v>
      </c>
      <c r="G470" s="13" t="n">
        <v>1</v>
      </c>
      <c r="H470" s="8" t="n">
        <v>25.57</v>
      </c>
      <c r="I470" s="8" t="n">
        <v>25.57</v>
      </c>
      <c r="J470" s="8" t="n">
        <v>25.57</v>
      </c>
      <c r="K470" s="8" t="n"/>
      <c r="L470" s="8" t="n"/>
      <c r="M470" s="8" t="n"/>
      <c r="N470" s="8" t="n"/>
      <c r="O470" s="8" t="n"/>
      <c r="P470" s="8" t="n"/>
      <c r="Q470" s="8" t="n"/>
      <c r="R470" s="8" t="n"/>
      <c r="S470" s="8" t="n"/>
      <c r="T470" s="7" t="inlineStr">
        <is>
          <t>SEM COTAÇÃO</t>
        </is>
      </c>
      <c r="U470" s="8" t="n"/>
      <c r="V470" s="14" t="n"/>
      <c r="W470" s="14" t="n"/>
      <c r="X470" s="7" t="inlineStr"/>
      <c r="Y470" s="7" t="inlineStr"/>
    </row>
    <row r="471">
      <c r="A471" s="7" t="n">
        <v>639451</v>
      </c>
      <c r="B471" s="12" t="inlineStr">
        <is>
          <t>7896342450329</t>
        </is>
      </c>
      <c r="C471" s="7" t="inlineStr">
        <is>
          <t>BC0036BS JOELHEIRA MERCUR ESPORTE ORIFICIO PRETO M</t>
        </is>
      </c>
      <c r="D471" s="7" t="inlineStr">
        <is>
          <t>ORTOPEDICO</t>
        </is>
      </c>
      <c r="E471" s="7" t="inlineStr">
        <is>
          <t>C</t>
        </is>
      </c>
      <c r="F471" s="13" t="n">
        <v>1</v>
      </c>
      <c r="G471" s="13" t="n">
        <v>1</v>
      </c>
      <c r="H471" s="8" t="n">
        <v>25.57</v>
      </c>
      <c r="I471" s="8" t="n">
        <v>25.57</v>
      </c>
      <c r="J471" s="8" t="n">
        <v>25.57</v>
      </c>
      <c r="K471" s="8" t="n"/>
      <c r="L471" s="8" t="n"/>
      <c r="M471" s="8" t="n"/>
      <c r="N471" s="8" t="n"/>
      <c r="O471" s="8" t="n"/>
      <c r="P471" s="8" t="n"/>
      <c r="Q471" s="8" t="n"/>
      <c r="R471" s="8" t="n"/>
      <c r="S471" s="8" t="n"/>
      <c r="T471" s="7" t="inlineStr">
        <is>
          <t>SEM COTAÇÃO</t>
        </is>
      </c>
      <c r="U471" s="8" t="n"/>
      <c r="V471" s="14" t="n"/>
      <c r="W471" s="14" t="n"/>
      <c r="X471" s="7" t="inlineStr"/>
      <c r="Y471" s="7" t="inlineStr"/>
    </row>
    <row r="472">
      <c r="A472" s="7" t="n">
        <v>639461</v>
      </c>
      <c r="B472" s="12" t="inlineStr">
        <is>
          <t>7896342450336</t>
        </is>
      </c>
      <c r="C472" s="7" t="inlineStr">
        <is>
          <t>BC0036CS JOELHEIRA MERCUR ESPORTE ORIFICIO PRETO G</t>
        </is>
      </c>
      <c r="D472" s="7" t="inlineStr">
        <is>
          <t>ORTOPEDICO</t>
        </is>
      </c>
      <c r="E472" s="7" t="inlineStr">
        <is>
          <t>C</t>
        </is>
      </c>
      <c r="F472" s="13" t="n">
        <v>1</v>
      </c>
      <c r="G472" s="13" t="n">
        <v>1</v>
      </c>
      <c r="H472" s="8" t="n">
        <v>24.39</v>
      </c>
      <c r="I472" s="8" t="n">
        <v>24.39</v>
      </c>
      <c r="J472" s="8" t="n">
        <v>24.39</v>
      </c>
      <c r="K472" s="8" t="n"/>
      <c r="L472" s="8" t="n"/>
      <c r="M472" s="8" t="n"/>
      <c r="N472" s="8" t="n"/>
      <c r="O472" s="8" t="n"/>
      <c r="P472" s="8" t="n"/>
      <c r="Q472" s="8" t="n"/>
      <c r="R472" s="8" t="n"/>
      <c r="S472" s="8" t="n"/>
      <c r="T472" s="7" t="inlineStr">
        <is>
          <t>SEM COTAÇÃO</t>
        </is>
      </c>
      <c r="U472" s="8" t="n"/>
      <c r="V472" s="14" t="n"/>
      <c r="W472" s="14" t="n"/>
      <c r="X472" s="7" t="inlineStr"/>
      <c r="Y472" s="7" t="inlineStr"/>
    </row>
    <row r="473">
      <c r="A473" s="7" t="n">
        <v>639471</v>
      </c>
      <c r="B473" s="12" t="inlineStr">
        <is>
          <t>7896342450374</t>
        </is>
      </c>
      <c r="C473" s="7" t="inlineStr">
        <is>
          <t>BC0045-AS TORNOZELEIRA MERCUR ESPORTE P</t>
        </is>
      </c>
      <c r="D473" s="7" t="inlineStr">
        <is>
          <t>ORTOPEDICO</t>
        </is>
      </c>
      <c r="E473" s="7" t="inlineStr">
        <is>
          <t>C</t>
        </is>
      </c>
      <c r="F473" s="13" t="n">
        <v>1</v>
      </c>
      <c r="G473" s="13" t="n">
        <v>1</v>
      </c>
      <c r="H473" s="8" t="n">
        <v>21.84</v>
      </c>
      <c r="I473" s="8" t="n">
        <v>21.84</v>
      </c>
      <c r="J473" s="8" t="n">
        <v>21.84</v>
      </c>
      <c r="K473" s="8" t="n"/>
      <c r="L473" s="8" t="n"/>
      <c r="M473" s="8" t="n"/>
      <c r="N473" s="8" t="n"/>
      <c r="O473" s="8" t="n"/>
      <c r="P473" s="8" t="n"/>
      <c r="Q473" s="8" t="n"/>
      <c r="R473" s="8" t="n"/>
      <c r="S473" s="8" t="n"/>
      <c r="T473" s="7" t="inlineStr">
        <is>
          <t>SEM COTAÇÃO</t>
        </is>
      </c>
      <c r="U473" s="8" t="n"/>
      <c r="V473" s="14" t="n"/>
      <c r="W473" s="14" t="n"/>
      <c r="X473" s="7" t="inlineStr"/>
      <c r="Y473" s="7" t="inlineStr"/>
    </row>
    <row r="474">
      <c r="A474" s="7" t="n">
        <v>639491</v>
      </c>
      <c r="B474" s="12" t="inlineStr">
        <is>
          <t>7896342450398</t>
        </is>
      </c>
      <c r="C474" s="7" t="inlineStr">
        <is>
          <t>BC0045-CS TORNOZELEIRA MERCUR ESPORTE G</t>
        </is>
      </c>
      <c r="D474" s="7" t="inlineStr">
        <is>
          <t>ORTOPEDICO</t>
        </is>
      </c>
      <c r="E474" s="7" t="inlineStr">
        <is>
          <t>C</t>
        </is>
      </c>
      <c r="F474" s="13" t="n">
        <v>1</v>
      </c>
      <c r="G474" s="13" t="n">
        <v>1</v>
      </c>
      <c r="H474" s="8" t="n">
        <v>21.84</v>
      </c>
      <c r="I474" s="8" t="n">
        <v>21.84</v>
      </c>
      <c r="J474" s="8" t="n">
        <v>21.84</v>
      </c>
      <c r="K474" s="8" t="n"/>
      <c r="L474" s="8" t="n"/>
      <c r="M474" s="8" t="n"/>
      <c r="N474" s="8" t="n"/>
      <c r="O474" s="8" t="n"/>
      <c r="P474" s="8" t="n"/>
      <c r="Q474" s="8" t="n"/>
      <c r="R474" s="8" t="n"/>
      <c r="S474" s="8" t="n"/>
      <c r="T474" s="7" t="inlineStr">
        <is>
          <t>SEM COTAÇÃO</t>
        </is>
      </c>
      <c r="U474" s="8" t="n"/>
      <c r="V474" s="14" t="n"/>
      <c r="W474" s="14" t="n"/>
      <c r="X474" s="7" t="inlineStr"/>
      <c r="Y474" s="7" t="inlineStr"/>
    </row>
    <row r="475">
      <c r="A475" s="7" t="n">
        <v>639511</v>
      </c>
      <c r="B475" s="12" t="inlineStr">
        <is>
          <t>7896342452217</t>
        </is>
      </c>
      <c r="C475" s="7" t="inlineStr">
        <is>
          <t>BC0069-REB TIPOIA ESTABILIZADORA VELPEAU COM ORIFICIO MERCUR AZ M</t>
        </is>
      </c>
      <c r="D475" s="7" t="inlineStr">
        <is>
          <t>ORTOPEDICO</t>
        </is>
      </c>
      <c r="E475" s="7" t="inlineStr">
        <is>
          <t>C</t>
        </is>
      </c>
      <c r="F475" s="13" t="n">
        <v>1</v>
      </c>
      <c r="G475" s="13" t="n">
        <v>1</v>
      </c>
      <c r="H475" s="8" t="n">
        <v>36.57</v>
      </c>
      <c r="I475" s="8" t="n">
        <v>36.57</v>
      </c>
      <c r="J475" s="8" t="n">
        <v>36.57</v>
      </c>
      <c r="K475" s="8" t="n"/>
      <c r="L475" s="8" t="n"/>
      <c r="M475" s="8" t="n"/>
      <c r="N475" s="8" t="n"/>
      <c r="O475" s="8" t="n"/>
      <c r="P475" s="8" t="n"/>
      <c r="Q475" s="8" t="n"/>
      <c r="R475" s="8" t="n"/>
      <c r="S475" s="8" t="n"/>
      <c r="T475" s="7" t="inlineStr">
        <is>
          <t>SEM COTAÇÃO</t>
        </is>
      </c>
      <c r="U475" s="8" t="n"/>
      <c r="V475" s="14" t="n"/>
      <c r="W475" s="14" t="n"/>
      <c r="X475" s="7" t="inlineStr"/>
      <c r="Y475" s="7" t="inlineStr"/>
    </row>
    <row r="476">
      <c r="A476" s="7" t="n">
        <v>639521</v>
      </c>
      <c r="B476" s="12" t="inlineStr">
        <is>
          <t>7896342452224</t>
        </is>
      </c>
      <c r="C476" s="7" t="inlineStr">
        <is>
          <t>BC0069-REC TIPOIA ESTABILIZADORA VELPEAU COM ORIFICIO MERCUR AZ G</t>
        </is>
      </c>
      <c r="D476" s="7" t="inlineStr">
        <is>
          <t>ORTOPEDICO</t>
        </is>
      </c>
      <c r="E476" s="7" t="inlineStr">
        <is>
          <t>C</t>
        </is>
      </c>
      <c r="F476" s="13" t="n">
        <v>1</v>
      </c>
      <c r="G476" s="13" t="n">
        <v>1</v>
      </c>
      <c r="H476" s="8" t="n">
        <v>36.57</v>
      </c>
      <c r="I476" s="8" t="n">
        <v>36.57</v>
      </c>
      <c r="J476" s="8" t="n">
        <v>36.57</v>
      </c>
      <c r="K476" s="8" t="n"/>
      <c r="L476" s="8" t="n"/>
      <c r="M476" s="8" t="n"/>
      <c r="N476" s="8" t="n"/>
      <c r="O476" s="8" t="n"/>
      <c r="P476" s="8" t="n"/>
      <c r="Q476" s="8" t="n"/>
      <c r="R476" s="8" t="n"/>
      <c r="S476" s="8" t="n"/>
      <c r="T476" s="7" t="inlineStr">
        <is>
          <t>SEM COTAÇÃO</t>
        </is>
      </c>
      <c r="U476" s="8" t="n"/>
      <c r="V476" s="14" t="n"/>
      <c r="W476" s="14" t="n"/>
      <c r="X476" s="7" t="inlineStr"/>
      <c r="Y476" s="7" t="inlineStr"/>
    </row>
    <row r="477">
      <c r="A477" s="7" t="n">
        <v>639531</v>
      </c>
      <c r="B477" s="12" t="inlineStr">
        <is>
          <t>7896342452248</t>
        </is>
      </c>
      <c r="C477" s="7" t="inlineStr">
        <is>
          <t>BC0069-SIA TIPOIA ORTOPEDICA MERCUR AZUL P</t>
        </is>
      </c>
      <c r="D477" s="7" t="inlineStr">
        <is>
          <t>ORTOPEDICO</t>
        </is>
      </c>
      <c r="E477" s="7" t="inlineStr">
        <is>
          <t>C</t>
        </is>
      </c>
      <c r="F477" s="13" t="n">
        <v>1</v>
      </c>
      <c r="G477" s="13" t="n">
        <v>1</v>
      </c>
      <c r="H477" s="8" t="n">
        <v>24.87</v>
      </c>
      <c r="I477" s="8" t="n">
        <v>24.87</v>
      </c>
      <c r="J477" s="8" t="n">
        <v>24.87</v>
      </c>
      <c r="K477" s="8" t="n"/>
      <c r="L477" s="8" t="n"/>
      <c r="M477" s="8" t="n"/>
      <c r="N477" s="8" t="n"/>
      <c r="O477" s="8" t="n"/>
      <c r="P477" s="8" t="n"/>
      <c r="Q477" s="8" t="n"/>
      <c r="R477" s="8" t="n"/>
      <c r="S477" s="8" t="n"/>
      <c r="T477" s="7" t="inlineStr">
        <is>
          <t>SEM COTAÇÃO</t>
        </is>
      </c>
      <c r="U477" s="8" t="n"/>
      <c r="V477" s="14" t="n"/>
      <c r="W477" s="14" t="n"/>
      <c r="X477" s="7" t="inlineStr"/>
      <c r="Y477" s="7" t="inlineStr"/>
    </row>
    <row r="478">
      <c r="A478" s="7" t="n">
        <v>639541</v>
      </c>
      <c r="B478" s="12" t="inlineStr">
        <is>
          <t>7896342452255</t>
        </is>
      </c>
      <c r="C478" s="7" t="inlineStr">
        <is>
          <t>BC0069-SIB TIPOIA ORTOPEDICA MERCUR AZUL M</t>
        </is>
      </c>
      <c r="D478" s="7" t="inlineStr">
        <is>
          <t>ORTOPEDICO</t>
        </is>
      </c>
      <c r="E478" s="7" t="inlineStr">
        <is>
          <t>C</t>
        </is>
      </c>
      <c r="F478" s="13" t="n">
        <v>1</v>
      </c>
      <c r="G478" s="13" t="n">
        <v>1</v>
      </c>
      <c r="H478" s="8" t="n">
        <v>26.09</v>
      </c>
      <c r="I478" s="8" t="n">
        <v>26.09</v>
      </c>
      <c r="J478" s="8" t="n">
        <v>26.09</v>
      </c>
      <c r="K478" s="8" t="n"/>
      <c r="L478" s="8" t="n"/>
      <c r="M478" s="8" t="n"/>
      <c r="N478" s="8" t="n"/>
      <c r="O478" s="8" t="n"/>
      <c r="P478" s="8" t="n"/>
      <c r="Q478" s="8" t="n"/>
      <c r="R478" s="8" t="n"/>
      <c r="S478" s="8" t="n"/>
      <c r="T478" s="7" t="inlineStr">
        <is>
          <t>SEM COTAÇÃO</t>
        </is>
      </c>
      <c r="U478" s="8" t="n"/>
      <c r="V478" s="14" t="n"/>
      <c r="W478" s="14" t="n"/>
      <c r="X478" s="7" t="inlineStr"/>
      <c r="Y478" s="7" t="inlineStr"/>
    </row>
    <row r="479">
      <c r="A479" s="7" t="n">
        <v>639551</v>
      </c>
      <c r="B479" s="12" t="inlineStr">
        <is>
          <t>7896342452262</t>
        </is>
      </c>
      <c r="C479" s="7" t="inlineStr">
        <is>
          <t>BC0069-SIC TIPOIA ORTOPEDICA MERCUR AZUL G</t>
        </is>
      </c>
      <c r="D479" s="7" t="inlineStr">
        <is>
          <t>ORTOPEDICO</t>
        </is>
      </c>
      <c r="E479" s="7" t="inlineStr">
        <is>
          <t>C</t>
        </is>
      </c>
      <c r="F479" s="13" t="n">
        <v>1</v>
      </c>
      <c r="G479" s="13" t="n">
        <v>1</v>
      </c>
      <c r="H479" s="8" t="n">
        <v>24.87</v>
      </c>
      <c r="I479" s="8" t="n">
        <v>24.87</v>
      </c>
      <c r="J479" s="8" t="n">
        <v>24.87</v>
      </c>
      <c r="K479" s="8" t="n"/>
      <c r="L479" s="8" t="n"/>
      <c r="M479" s="8" t="n"/>
      <c r="N479" s="8" t="n"/>
      <c r="O479" s="8" t="n"/>
      <c r="P479" s="8" t="n"/>
      <c r="Q479" s="8" t="n"/>
      <c r="R479" s="8" t="n"/>
      <c r="S479" s="8" t="n"/>
      <c r="T479" s="7" t="inlineStr">
        <is>
          <t>SEM COTAÇÃO</t>
        </is>
      </c>
      <c r="U479" s="8" t="n"/>
      <c r="V479" s="14" t="n"/>
      <c r="W479" s="14" t="n"/>
      <c r="X479" s="7" t="inlineStr"/>
      <c r="Y479" s="7" t="inlineStr"/>
    </row>
    <row r="480">
      <c r="A480" s="7" t="n">
        <v>639581</v>
      </c>
      <c r="B480" s="12" t="inlineStr">
        <is>
          <t>7896342412372</t>
        </is>
      </c>
      <c r="C480" s="7" t="inlineStr">
        <is>
          <t>BC0401 DUCHA PARA HIGIENE INTIMA N12 PVC MERCUR CX 1PC</t>
        </is>
      </c>
      <c r="D480" s="7" t="inlineStr">
        <is>
          <t>ORTOPEDICO</t>
        </is>
      </c>
      <c r="E480" s="7" t="inlineStr">
        <is>
          <t>C</t>
        </is>
      </c>
      <c r="F480" s="13" t="n">
        <v>1</v>
      </c>
      <c r="G480" s="13" t="n">
        <v>1</v>
      </c>
      <c r="H480" s="8" t="n">
        <v>37.65</v>
      </c>
      <c r="I480" s="8" t="n">
        <v>37.65</v>
      </c>
      <c r="J480" s="8" t="n">
        <v>37.65</v>
      </c>
      <c r="K480" s="8" t="n"/>
      <c r="L480" s="8" t="n"/>
      <c r="M480" s="8" t="n"/>
      <c r="N480" s="8" t="n"/>
      <c r="O480" s="8" t="n"/>
      <c r="P480" s="8" t="n"/>
      <c r="Q480" s="8" t="n"/>
      <c r="R480" s="8" t="n"/>
      <c r="S480" s="8" t="n"/>
      <c r="T480" s="7" t="inlineStr">
        <is>
          <t>SEM COTAÇÃO</t>
        </is>
      </c>
      <c r="U480" s="8" t="n"/>
      <c r="V480" s="14" t="n"/>
      <c r="W480" s="14" t="n"/>
      <c r="X480" s="7" t="inlineStr"/>
      <c r="Y480" s="7" t="inlineStr"/>
    </row>
    <row r="481">
      <c r="A481" s="7" t="n">
        <v>639481</v>
      </c>
      <c r="B481" s="12" t="inlineStr">
        <is>
          <t>7896342450381</t>
        </is>
      </c>
      <c r="C481" s="7" t="inlineStr">
        <is>
          <t>BC045-BS TORNOZELEIRA MERCUR ESPORTE M</t>
        </is>
      </c>
      <c r="D481" s="7" t="inlineStr">
        <is>
          <t>ORTOPEDICO</t>
        </is>
      </c>
      <c r="E481" s="7" t="inlineStr">
        <is>
          <t>C</t>
        </is>
      </c>
      <c r="F481" s="13" t="n">
        <v>1</v>
      </c>
      <c r="G481" s="13" t="n">
        <v>1</v>
      </c>
      <c r="H481" s="8" t="n">
        <v>21.84</v>
      </c>
      <c r="I481" s="8" t="n">
        <v>21.84</v>
      </c>
      <c r="J481" s="8" t="n">
        <v>21.84</v>
      </c>
      <c r="K481" s="8" t="n"/>
      <c r="L481" s="8" t="n"/>
      <c r="M481" s="8" t="n"/>
      <c r="N481" s="8" t="n"/>
      <c r="O481" s="8" t="n"/>
      <c r="P481" s="8" t="n"/>
      <c r="Q481" s="8" t="n"/>
      <c r="R481" s="8" t="n"/>
      <c r="S481" s="8" t="n"/>
      <c r="T481" s="7" t="inlineStr">
        <is>
          <t>SEM COTAÇÃO</t>
        </is>
      </c>
      <c r="U481" s="8" t="n"/>
      <c r="V481" s="14" t="n"/>
      <c r="W481" s="14" t="n"/>
      <c r="X481" s="7" t="inlineStr"/>
      <c r="Y481" s="7" t="inlineStr"/>
    </row>
    <row r="482">
      <c r="A482" s="7" t="n">
        <v>639591</v>
      </c>
      <c r="B482" s="12" t="inlineStr">
        <is>
          <t>7896342415670</t>
        </is>
      </c>
      <c r="C482" s="7" t="inlineStr">
        <is>
          <t>BC0500R TIRA LEITE MATERNO MERCUR ROSA</t>
        </is>
      </c>
      <c r="D482" s="7" t="inlineStr">
        <is>
          <t>ORTOPEDICO</t>
        </is>
      </c>
      <c r="E482" s="7" t="inlineStr">
        <is>
          <t>C</t>
        </is>
      </c>
      <c r="F482" s="13" t="n">
        <v>1</v>
      </c>
      <c r="G482" s="13" t="n">
        <v>1</v>
      </c>
      <c r="H482" s="8" t="n">
        <v>16.45</v>
      </c>
      <c r="I482" s="8" t="n">
        <v>16.45</v>
      </c>
      <c r="J482" s="8" t="n">
        <v>16.45</v>
      </c>
      <c r="K482" s="8" t="n"/>
      <c r="L482" s="8" t="n"/>
      <c r="M482" s="8" t="n"/>
      <c r="N482" s="8" t="n"/>
      <c r="O482" s="8" t="n"/>
      <c r="P482" s="8" t="n"/>
      <c r="Q482" s="8" t="n"/>
      <c r="R482" s="8" t="n"/>
      <c r="S482" s="8" t="n"/>
      <c r="T482" s="7" t="inlineStr">
        <is>
          <t>SEM COTAÇÃO</t>
        </is>
      </c>
      <c r="U482" s="8" t="n"/>
      <c r="V482" s="14" t="n"/>
      <c r="W482" s="14" t="n"/>
      <c r="X482" s="7" t="inlineStr"/>
      <c r="Y482" s="7" t="inlineStr"/>
    </row>
    <row r="483">
      <c r="A483" s="7" t="n">
        <v>639601</v>
      </c>
      <c r="B483" s="12" t="inlineStr">
        <is>
          <t>7896342415687</t>
        </is>
      </c>
      <c r="C483" s="7" t="inlineStr">
        <is>
          <t>BC0500Z TIRA LEITE MATERNO MERCUR AZUL</t>
        </is>
      </c>
      <c r="D483" s="7" t="inlineStr">
        <is>
          <t>BABY/KIDS</t>
        </is>
      </c>
      <c r="E483" s="7" t="inlineStr">
        <is>
          <t>C</t>
        </is>
      </c>
      <c r="F483" s="13" t="n">
        <v>1</v>
      </c>
      <c r="G483" s="13" t="n">
        <v>1</v>
      </c>
      <c r="H483" s="8" t="n">
        <v>16.45</v>
      </c>
      <c r="I483" s="8" t="n">
        <v>16.45</v>
      </c>
      <c r="J483" s="8" t="n">
        <v>16.45</v>
      </c>
      <c r="K483" s="8" t="n"/>
      <c r="L483" s="8" t="n"/>
      <c r="M483" s="8" t="n"/>
      <c r="N483" s="8" t="n"/>
      <c r="O483" s="8" t="n"/>
      <c r="P483" s="8" t="n"/>
      <c r="Q483" s="8" t="n"/>
      <c r="R483" s="8" t="n"/>
      <c r="S483" s="8" t="n"/>
      <c r="T483" s="7" t="inlineStr">
        <is>
          <t>SEM COTAÇÃO</t>
        </is>
      </c>
      <c r="U483" s="8" t="n"/>
      <c r="V483" s="14" t="n"/>
      <c r="W483" s="14" t="n"/>
      <c r="X483" s="7" t="inlineStr"/>
      <c r="Y483" s="7" t="inlineStr"/>
    </row>
    <row r="484">
      <c r="A484" s="7" t="n">
        <v>639611</v>
      </c>
      <c r="B484" s="12" t="inlineStr">
        <is>
          <t>7896342452859</t>
        </is>
      </c>
      <c r="C484" s="7" t="inlineStr">
        <is>
          <t>BC0633-AP JOELHEIRA ELASTICA MERCUR PRETO P</t>
        </is>
      </c>
      <c r="D484" s="7" t="inlineStr">
        <is>
          <t>ORTOPEDICO</t>
        </is>
      </c>
      <c r="E484" s="7" t="inlineStr">
        <is>
          <t>C</t>
        </is>
      </c>
      <c r="F484" s="13" t="n">
        <v>1</v>
      </c>
      <c r="G484" s="13" t="n">
        <v>1</v>
      </c>
      <c r="H484" s="8" t="n">
        <v>27.76</v>
      </c>
      <c r="I484" s="8" t="n">
        <v>27.76</v>
      </c>
      <c r="J484" s="8" t="n">
        <v>27.76</v>
      </c>
      <c r="K484" s="8" t="n"/>
      <c r="L484" s="8" t="n"/>
      <c r="M484" s="8" t="n"/>
      <c r="N484" s="8" t="n"/>
      <c r="O484" s="8" t="n"/>
      <c r="P484" s="8" t="n"/>
      <c r="Q484" s="8" t="n"/>
      <c r="R484" s="8" t="n"/>
      <c r="S484" s="8" t="n"/>
      <c r="T484" s="7" t="inlineStr">
        <is>
          <t>SEM COTAÇÃO</t>
        </is>
      </c>
      <c r="U484" s="8" t="n"/>
      <c r="V484" s="14" t="n"/>
      <c r="W484" s="14" t="n"/>
      <c r="X484" s="7" t="inlineStr"/>
      <c r="Y484" s="7" t="inlineStr"/>
    </row>
    <row r="485">
      <c r="A485" s="7" t="n">
        <v>639621</v>
      </c>
      <c r="B485" s="12" t="inlineStr">
        <is>
          <t>7896342452866</t>
        </is>
      </c>
      <c r="C485" s="7" t="inlineStr">
        <is>
          <t>BC0633-BP JOELHEIRA ELASTICA MERCUR PRETO M</t>
        </is>
      </c>
      <c r="D485" s="7" t="inlineStr">
        <is>
          <t>ORTOPEDICO</t>
        </is>
      </c>
      <c r="E485" s="7" t="inlineStr">
        <is>
          <t>C</t>
        </is>
      </c>
      <c r="F485" s="13" t="n">
        <v>1</v>
      </c>
      <c r="G485" s="13" t="n">
        <v>1</v>
      </c>
      <c r="H485" s="8" t="n">
        <v>27.76</v>
      </c>
      <c r="I485" s="8" t="n">
        <v>27.76</v>
      </c>
      <c r="J485" s="8" t="n">
        <v>27.76</v>
      </c>
      <c r="K485" s="8" t="n"/>
      <c r="L485" s="8" t="n"/>
      <c r="M485" s="8" t="n"/>
      <c r="N485" s="8" t="n"/>
      <c r="O485" s="8" t="n"/>
      <c r="P485" s="8" t="n"/>
      <c r="Q485" s="8" t="n"/>
      <c r="R485" s="8" t="n"/>
      <c r="S485" s="8" t="n"/>
      <c r="T485" s="7" t="inlineStr">
        <is>
          <t>SEM COTAÇÃO</t>
        </is>
      </c>
      <c r="U485" s="8" t="n"/>
      <c r="V485" s="14" t="n"/>
      <c r="W485" s="14" t="n"/>
      <c r="X485" s="7" t="inlineStr"/>
      <c r="Y485" s="7" t="inlineStr"/>
    </row>
    <row r="486">
      <c r="A486" s="7" t="n">
        <v>639631</v>
      </c>
      <c r="B486" s="12" t="inlineStr">
        <is>
          <t>7896342452873</t>
        </is>
      </c>
      <c r="C486" s="7" t="inlineStr">
        <is>
          <t>BC0633-CP JOELHEIRA ELASTICA MERCUR PRETO G</t>
        </is>
      </c>
      <c r="D486" s="7" t="inlineStr">
        <is>
          <t>ORTOPEDICO</t>
        </is>
      </c>
      <c r="E486" s="7" t="inlineStr">
        <is>
          <t>C</t>
        </is>
      </c>
      <c r="F486" s="13" t="n">
        <v>1</v>
      </c>
      <c r="G486" s="13" t="n">
        <v>1</v>
      </c>
      <c r="H486" s="8" t="n">
        <v>27.76</v>
      </c>
      <c r="I486" s="8" t="n">
        <v>27.76</v>
      </c>
      <c r="J486" s="8" t="n">
        <v>27.76</v>
      </c>
      <c r="K486" s="8" t="n"/>
      <c r="L486" s="8" t="n"/>
      <c r="M486" s="8" t="n"/>
      <c r="N486" s="8" t="n"/>
      <c r="O486" s="8" t="n"/>
      <c r="P486" s="8" t="n"/>
      <c r="Q486" s="8" t="n"/>
      <c r="R486" s="8" t="n"/>
      <c r="S486" s="8" t="n"/>
      <c r="T486" s="7" t="inlineStr">
        <is>
          <t>SEM COTAÇÃO</t>
        </is>
      </c>
      <c r="U486" s="8" t="n"/>
      <c r="V486" s="14" t="n"/>
      <c r="W486" s="14" t="n"/>
      <c r="X486" s="7" t="inlineStr"/>
      <c r="Y486" s="7" t="inlineStr"/>
    </row>
    <row r="487">
      <c r="A487" s="7" t="n">
        <v>639641</v>
      </c>
      <c r="B487" s="12" t="inlineStr">
        <is>
          <t>7896342452941</t>
        </is>
      </c>
      <c r="C487" s="7" t="inlineStr">
        <is>
          <t>BC0647-AP TORNOZELEIRA ELASTICA MERCUR PRETO P</t>
        </is>
      </c>
      <c r="D487" s="7" t="inlineStr">
        <is>
          <t>ORTOPEDICO</t>
        </is>
      </c>
      <c r="E487" s="7" t="inlineStr">
        <is>
          <t>C</t>
        </is>
      </c>
      <c r="F487" s="13" t="n">
        <v>1</v>
      </c>
      <c r="G487" s="13" t="n">
        <v>1</v>
      </c>
      <c r="H487" s="8" t="n">
        <v>26.45</v>
      </c>
      <c r="I487" s="8" t="n">
        <v>26.45</v>
      </c>
      <c r="J487" s="8" t="n">
        <v>26.45</v>
      </c>
      <c r="K487" s="8" t="n"/>
      <c r="L487" s="8" t="n"/>
      <c r="M487" s="8" t="n"/>
      <c r="N487" s="8" t="n"/>
      <c r="O487" s="8" t="n"/>
      <c r="P487" s="8" t="n"/>
      <c r="Q487" s="8" t="n"/>
      <c r="R487" s="8" t="n"/>
      <c r="S487" s="8" t="n"/>
      <c r="T487" s="7" t="inlineStr">
        <is>
          <t>SEM COTAÇÃO</t>
        </is>
      </c>
      <c r="U487" s="8" t="n"/>
      <c r="V487" s="14" t="n"/>
      <c r="W487" s="14" t="n"/>
      <c r="X487" s="7" t="inlineStr"/>
      <c r="Y487" s="7" t="inlineStr"/>
    </row>
    <row r="488">
      <c r="A488" s="7" t="n">
        <v>639651</v>
      </c>
      <c r="B488" s="12" t="inlineStr">
        <is>
          <t>7896342452958</t>
        </is>
      </c>
      <c r="C488" s="7" t="inlineStr">
        <is>
          <t>BC0647-BP TORNOZELEIRA ELASTICA MERCUR PRETO M</t>
        </is>
      </c>
      <c r="D488" s="7" t="inlineStr">
        <is>
          <t>ORTOPEDICO</t>
        </is>
      </c>
      <c r="E488" s="7" t="inlineStr">
        <is>
          <t>C</t>
        </is>
      </c>
      <c r="F488" s="13" t="n">
        <v>1</v>
      </c>
      <c r="G488" s="13" t="n">
        <v>1</v>
      </c>
      <c r="H488" s="8" t="n">
        <v>19.49</v>
      </c>
      <c r="I488" s="8" t="n">
        <v>19.49</v>
      </c>
      <c r="J488" s="8" t="n">
        <v>19.49</v>
      </c>
      <c r="K488" s="8" t="n"/>
      <c r="L488" s="8" t="n"/>
      <c r="M488" s="8" t="n"/>
      <c r="N488" s="8" t="n"/>
      <c r="O488" s="8" t="n"/>
      <c r="P488" s="8" t="n"/>
      <c r="Q488" s="8" t="n"/>
      <c r="R488" s="8" t="n"/>
      <c r="S488" s="8" t="n"/>
      <c r="T488" s="7" t="inlineStr">
        <is>
          <t>SEM COTAÇÃO</t>
        </is>
      </c>
      <c r="U488" s="8" t="n"/>
      <c r="V488" s="14" t="n"/>
      <c r="W488" s="14" t="n"/>
      <c r="X488" s="7" t="inlineStr"/>
      <c r="Y488" s="7" t="inlineStr"/>
    </row>
    <row r="489">
      <c r="A489" s="7" t="n">
        <v>639661</v>
      </c>
      <c r="B489" s="12" t="inlineStr">
        <is>
          <t>7896342452965</t>
        </is>
      </c>
      <c r="C489" s="7" t="inlineStr">
        <is>
          <t>BC0647-CP TORNOZELEIRA ELASTICA MERCUR PRETO G</t>
        </is>
      </c>
      <c r="D489" s="7" t="inlineStr">
        <is>
          <t>ORTOPEDICO</t>
        </is>
      </c>
      <c r="E489" s="7" t="inlineStr">
        <is>
          <t>C</t>
        </is>
      </c>
      <c r="F489" s="13" t="n">
        <v>1</v>
      </c>
      <c r="G489" s="13" t="n">
        <v>1</v>
      </c>
      <c r="H489" s="8" t="n">
        <v>19.49</v>
      </c>
      <c r="I489" s="8" t="n">
        <v>19.49</v>
      </c>
      <c r="J489" s="8" t="n">
        <v>19.49</v>
      </c>
      <c r="K489" s="8" t="n"/>
      <c r="L489" s="8" t="n"/>
      <c r="M489" s="8" t="n"/>
      <c r="N489" s="8" t="n"/>
      <c r="O489" s="8" t="n"/>
      <c r="P489" s="8" t="n"/>
      <c r="Q489" s="8" t="n"/>
      <c r="R489" s="8" t="n"/>
      <c r="S489" s="8" t="n"/>
      <c r="T489" s="7" t="inlineStr">
        <is>
          <t>SEM COTAÇÃO</t>
        </is>
      </c>
      <c r="U489" s="8" t="n"/>
      <c r="V489" s="14" t="n"/>
      <c r="W489" s="14" t="n"/>
      <c r="X489" s="7" t="inlineStr"/>
      <c r="Y489" s="7" t="inlineStr"/>
    </row>
    <row r="490">
      <c r="A490" s="7" t="n">
        <v>639671</v>
      </c>
      <c r="B490" s="12" t="inlineStr">
        <is>
          <t>7896342452170</t>
        </is>
      </c>
      <c r="C490" s="7" t="inlineStr">
        <is>
          <t>BC0656-AP TALA CURTA PARA PUNHO BILATERAL PRETO MERCUR P</t>
        </is>
      </c>
      <c r="D490" s="7" t="inlineStr">
        <is>
          <t>ORTOPEDICO</t>
        </is>
      </c>
      <c r="E490" s="7" t="inlineStr">
        <is>
          <t>C</t>
        </is>
      </c>
      <c r="F490" s="13" t="n">
        <v>1</v>
      </c>
      <c r="G490" s="13" t="n">
        <v>1</v>
      </c>
      <c r="H490" s="8" t="n">
        <v>33.22</v>
      </c>
      <c r="I490" s="8" t="n">
        <v>33.22</v>
      </c>
      <c r="J490" s="8" t="n">
        <v>33.22</v>
      </c>
      <c r="K490" s="8" t="n"/>
      <c r="L490" s="8" t="n"/>
      <c r="M490" s="8" t="n"/>
      <c r="N490" s="8" t="n"/>
      <c r="O490" s="8" t="n"/>
      <c r="P490" s="8" t="n"/>
      <c r="Q490" s="8" t="n"/>
      <c r="R490" s="8" t="n"/>
      <c r="S490" s="8" t="n"/>
      <c r="T490" s="7" t="inlineStr">
        <is>
          <t>SEM COTAÇÃO</t>
        </is>
      </c>
      <c r="U490" s="8" t="n"/>
      <c r="V490" s="14" t="n"/>
      <c r="W490" s="14" t="n"/>
      <c r="X490" s="7" t="inlineStr"/>
      <c r="Y490" s="7" t="inlineStr"/>
    </row>
    <row r="491">
      <c r="A491" s="7" t="n">
        <v>639681</v>
      </c>
      <c r="B491" s="12" t="inlineStr">
        <is>
          <t>7896342452187</t>
        </is>
      </c>
      <c r="C491" s="7" t="inlineStr">
        <is>
          <t>BC0656-BP TALA CURTA PARA PUNHO BILATERAL PRETO MERCUR M</t>
        </is>
      </c>
      <c r="D491" s="7" t="inlineStr">
        <is>
          <t>ORTOPEDICO</t>
        </is>
      </c>
      <c r="E491" s="7" t="inlineStr">
        <is>
          <t>C</t>
        </is>
      </c>
      <c r="F491" s="13" t="n">
        <v>1</v>
      </c>
      <c r="G491" s="13" t="n">
        <v>1</v>
      </c>
      <c r="H491" s="8" t="n">
        <v>29.03</v>
      </c>
      <c r="I491" s="8" t="n">
        <v>29.03</v>
      </c>
      <c r="J491" s="8" t="n">
        <v>29.03</v>
      </c>
      <c r="K491" s="8" t="n"/>
      <c r="L491" s="8" t="n"/>
      <c r="M491" s="8" t="n"/>
      <c r="N491" s="8" t="n"/>
      <c r="O491" s="8" t="n"/>
      <c r="P491" s="8" t="n"/>
      <c r="Q491" s="8" t="n"/>
      <c r="R491" s="8" t="n"/>
      <c r="S491" s="8" t="n"/>
      <c r="T491" s="7" t="inlineStr">
        <is>
          <t>SEM COTAÇÃO</t>
        </is>
      </c>
      <c r="U491" s="8" t="n"/>
      <c r="V491" s="14" t="n"/>
      <c r="W491" s="14" t="n"/>
      <c r="X491" s="7" t="inlineStr"/>
      <c r="Y491" s="7" t="inlineStr"/>
    </row>
    <row r="492">
      <c r="A492" s="7" t="n">
        <v>639691</v>
      </c>
      <c r="B492" s="12" t="inlineStr">
        <is>
          <t>7896342452194</t>
        </is>
      </c>
      <c r="C492" s="7" t="inlineStr">
        <is>
          <t>BC0656-CP TALA CURTA PARA PUNHO BILATERAL PRETO MERCUR G</t>
        </is>
      </c>
      <c r="D492" s="7" t="inlineStr">
        <is>
          <t>ORTOPEDICO</t>
        </is>
      </c>
      <c r="E492" s="7" t="inlineStr">
        <is>
          <t>C</t>
        </is>
      </c>
      <c r="F492" s="13" t="n">
        <v>1</v>
      </c>
      <c r="G492" s="13" t="n">
        <v>1</v>
      </c>
      <c r="H492" s="8" t="n">
        <v>29.03</v>
      </c>
      <c r="I492" s="8" t="n">
        <v>29.03</v>
      </c>
      <c r="J492" s="8" t="n">
        <v>29.03</v>
      </c>
      <c r="K492" s="8" t="n"/>
      <c r="L492" s="8" t="n"/>
      <c r="M492" s="8" t="n"/>
      <c r="N492" s="8" t="n"/>
      <c r="O492" s="8" t="n"/>
      <c r="P492" s="8" t="n"/>
      <c r="Q492" s="8" t="n"/>
      <c r="R492" s="8" t="n"/>
      <c r="S492" s="8" t="n"/>
      <c r="T492" s="7" t="inlineStr">
        <is>
          <t>SEM COTAÇÃO</t>
        </is>
      </c>
      <c r="U492" s="8" t="n"/>
      <c r="V492" s="14" t="n"/>
      <c r="W492" s="14" t="n"/>
      <c r="X492" s="7" t="inlineStr"/>
      <c r="Y492" s="7" t="inlineStr"/>
    </row>
    <row r="493">
      <c r="A493" s="7" t="n">
        <v>639701</v>
      </c>
      <c r="B493" s="12" t="inlineStr">
        <is>
          <t>7896342916283</t>
        </is>
      </c>
      <c r="C493" s="7" t="inlineStr">
        <is>
          <t>BC1560-LE MULETA CANADENSE MERCUR LILAS ESCURO 1 PAR</t>
        </is>
      </c>
      <c r="D493" s="7" t="inlineStr">
        <is>
          <t>ORTOPEDICO</t>
        </is>
      </c>
      <c r="E493" s="7" t="inlineStr">
        <is>
          <t>B</t>
        </is>
      </c>
      <c r="F493" s="13" t="n">
        <v>2</v>
      </c>
      <c r="G493" s="13" t="n">
        <v>2</v>
      </c>
      <c r="H493" s="8" t="n">
        <v>89.05</v>
      </c>
      <c r="I493" s="8" t="n">
        <v>89.05</v>
      </c>
      <c r="J493" s="8" t="n">
        <v>89.05</v>
      </c>
      <c r="K493" s="8" t="n"/>
      <c r="L493" s="8" t="n"/>
      <c r="M493" s="8" t="n"/>
      <c r="N493" s="8" t="n"/>
      <c r="O493" s="8" t="n"/>
      <c r="P493" s="8" t="n"/>
      <c r="Q493" s="8" t="n"/>
      <c r="R493" s="8" t="n"/>
      <c r="S493" s="8" t="n"/>
      <c r="T493" s="7" t="inlineStr">
        <is>
          <t>SEM COTAÇÃO</t>
        </is>
      </c>
      <c r="U493" s="8" t="n"/>
      <c r="V493" s="14" t="n"/>
      <c r="W493" s="14" t="n"/>
      <c r="X493" s="7" t="inlineStr"/>
      <c r="Y493" s="7" t="inlineStr"/>
    </row>
    <row r="494">
      <c r="A494" s="7" t="n">
        <v>639711</v>
      </c>
      <c r="B494" s="12" t="inlineStr">
        <is>
          <t>7896342915866</t>
        </is>
      </c>
      <c r="C494" s="7" t="inlineStr">
        <is>
          <t>BC1560-PR MULETA CANADENSE MERCUR PRETA 1 PAR</t>
        </is>
      </c>
      <c r="D494" s="7" t="inlineStr">
        <is>
          <t>ORTOPEDICO</t>
        </is>
      </c>
      <c r="E494" s="7" t="inlineStr">
        <is>
          <t>B</t>
        </is>
      </c>
      <c r="F494" s="13" t="n">
        <v>1</v>
      </c>
      <c r="G494" s="13" t="n">
        <v>1</v>
      </c>
      <c r="H494" s="8" t="n">
        <v>89.05</v>
      </c>
      <c r="I494" s="8" t="n">
        <v>89.05</v>
      </c>
      <c r="J494" s="8" t="n">
        <v>89.05</v>
      </c>
      <c r="K494" s="8" t="n"/>
      <c r="L494" s="8" t="n"/>
      <c r="M494" s="8" t="n"/>
      <c r="N494" s="8" t="n"/>
      <c r="O494" s="8" t="n"/>
      <c r="P494" s="8" t="n"/>
      <c r="Q494" s="8" t="n"/>
      <c r="R494" s="8" t="n"/>
      <c r="S494" s="8" t="n"/>
      <c r="T494" s="7" t="inlineStr">
        <is>
          <t>SEM COTAÇÃO</t>
        </is>
      </c>
      <c r="U494" s="8" t="n"/>
      <c r="V494" s="14" t="n"/>
      <c r="W494" s="14" t="n"/>
      <c r="X494" s="7" t="inlineStr"/>
      <c r="Y494" s="7" t="inlineStr"/>
    </row>
    <row r="495">
      <c r="A495" s="7" t="n">
        <v>597661</v>
      </c>
      <c r="B495" s="12" t="inlineStr">
        <is>
          <t>7898944775053</t>
        </is>
      </c>
      <c r="C495" s="7" t="inlineStr">
        <is>
          <t>BCAA 2400 MAX TITANIUM 60 CAPS</t>
        </is>
      </c>
      <c r="D495" s="7" t="inlineStr">
        <is>
          <t>SUPLEMENTO</t>
        </is>
      </c>
      <c r="E495" s="7" t="inlineStr">
        <is>
          <t>C</t>
        </is>
      </c>
      <c r="F495" s="13" t="n">
        <v>1</v>
      </c>
      <c r="G495" s="13" t="n">
        <v>1</v>
      </c>
      <c r="H495" s="8" t="n">
        <v>26.95</v>
      </c>
      <c r="I495" s="8" t="n">
        <v>26.68</v>
      </c>
      <c r="J495" s="8" t="n">
        <v>26.68</v>
      </c>
      <c r="K495" s="8" t="n"/>
      <c r="L495" s="8" t="n"/>
      <c r="M495" s="8" t="n"/>
      <c r="N495" s="15" t="n">
        <v>37.75</v>
      </c>
      <c r="O495" s="8" t="n"/>
      <c r="P495" s="8" t="n"/>
      <c r="Q495" s="8" t="n"/>
      <c r="R495" s="8" t="n"/>
      <c r="S495" s="8" t="n">
        <v>44</v>
      </c>
      <c r="T495" s="7" t="inlineStr">
        <is>
          <t>CENTROFARMA</t>
        </is>
      </c>
      <c r="U495" s="8" t="n">
        <v>37.75</v>
      </c>
      <c r="V495" s="14">
        <f>U495/J495-1</f>
        <v/>
      </c>
      <c r="W495" s="14">
        <f>U495/H495-1</f>
        <v/>
      </c>
      <c r="X495" s="16" t="inlineStr">
        <is>
          <t>ACIMA +40.1%</t>
        </is>
      </c>
      <c r="Y495" s="7" t="inlineStr"/>
    </row>
    <row r="496">
      <c r="A496" s="7" t="n">
        <v>9703</v>
      </c>
      <c r="B496" s="12" t="inlineStr">
        <is>
          <t>7898920041592</t>
        </is>
      </c>
      <c r="C496" s="7" t="inlineStr">
        <is>
          <t>BCAA 2400MG MAX TITANIUM 100 CAPS</t>
        </is>
      </c>
      <c r="D496" s="7" t="inlineStr">
        <is>
          <t>SUPLEMENTO</t>
        </is>
      </c>
      <c r="E496" s="7" t="inlineStr">
        <is>
          <t>B</t>
        </is>
      </c>
      <c r="F496" s="13" t="n">
        <v>1</v>
      </c>
      <c r="G496" s="13" t="n">
        <v>1</v>
      </c>
      <c r="H496" s="8" t="n">
        <v>48.7</v>
      </c>
      <c r="I496" s="8" t="n">
        <v>42.64</v>
      </c>
      <c r="J496" s="8" t="n">
        <v>44.66</v>
      </c>
      <c r="K496" s="8" t="n"/>
      <c r="L496" s="8" t="n"/>
      <c r="M496" s="8" t="n"/>
      <c r="N496" s="8" t="n"/>
      <c r="O496" s="8" t="n"/>
      <c r="P496" s="8" t="n"/>
      <c r="Q496" s="8" t="n"/>
      <c r="R496" s="8" t="n"/>
      <c r="S496" s="15" t="n">
        <v>48</v>
      </c>
      <c r="T496" s="7" t="inlineStr">
        <is>
          <t>AT_SUPLEMENTOS</t>
        </is>
      </c>
      <c r="U496" s="8" t="n">
        <v>48</v>
      </c>
      <c r="V496" s="14">
        <f>U496/J496-1</f>
        <v/>
      </c>
      <c r="W496" s="14">
        <f>U496/H496-1</f>
        <v/>
      </c>
      <c r="X496" s="17" t="inlineStr">
        <is>
          <t>OK (≤ últ. compra)</t>
        </is>
      </c>
      <c r="Y496" s="7" t="inlineStr"/>
    </row>
    <row r="497">
      <c r="A497" s="7" t="n">
        <v>613321</v>
      </c>
      <c r="B497" s="12" t="inlineStr">
        <is>
          <t>7894321722016</t>
        </is>
      </c>
      <c r="C497" s="7" t="inlineStr">
        <is>
          <t>BEB LACTEA TODDYNHO CHOCOLATE</t>
        </is>
      </c>
      <c r="D497" s="7" t="inlineStr">
        <is>
          <t>BEBIDAS GERAL</t>
        </is>
      </c>
      <c r="E497" s="7" t="inlineStr">
        <is>
          <t>A</t>
        </is>
      </c>
      <c r="F497" s="13" t="n">
        <v>53</v>
      </c>
      <c r="G497" s="13" t="n">
        <v>53</v>
      </c>
      <c r="H497" s="8" t="n">
        <v>2.7667</v>
      </c>
      <c r="I497" s="8" t="n">
        <v>2.59</v>
      </c>
      <c r="J497" s="8" t="n">
        <v>2.7078</v>
      </c>
      <c r="K497" s="8" t="n"/>
      <c r="L497" s="8" t="n"/>
      <c r="M497" s="8" t="n"/>
      <c r="N497" s="8" t="n"/>
      <c r="O497" s="8" t="n"/>
      <c r="P497" s="8" t="n"/>
      <c r="Q497" s="8" t="n"/>
      <c r="R497" s="8" t="n"/>
      <c r="S497" s="8" t="n"/>
      <c r="T497" s="7" t="inlineStr">
        <is>
          <t>SEM COTAÇÃO</t>
        </is>
      </c>
      <c r="U497" s="8" t="n"/>
      <c r="V497" s="14" t="n"/>
      <c r="W497" s="14" t="n"/>
      <c r="X497" s="7" t="inlineStr"/>
      <c r="Y497" s="7" t="inlineStr"/>
    </row>
    <row r="498">
      <c r="A498" s="7" t="n">
        <v>559121</v>
      </c>
      <c r="B498" s="12" t="inlineStr">
        <is>
          <t>7898639301987</t>
        </is>
      </c>
      <c r="C498" s="7" t="inlineStr">
        <is>
          <t>BEBE LOVE SAB LIQUIDO 240ML(CABECA AOS PES SUAVE NEUTRO) FR</t>
        </is>
      </c>
      <c r="D498" s="7" t="inlineStr">
        <is>
          <t>PERF/COSME</t>
        </is>
      </c>
      <c r="E498" s="7" t="inlineStr">
        <is>
          <t>B</t>
        </is>
      </c>
      <c r="F498" s="13" t="n">
        <v>4</v>
      </c>
      <c r="G498" s="13" t="n">
        <v>4</v>
      </c>
      <c r="H498" s="8" t="n">
        <v>8.85</v>
      </c>
      <c r="I498" s="8" t="n">
        <v>8.85</v>
      </c>
      <c r="J498" s="8" t="n">
        <v>8.85</v>
      </c>
      <c r="K498" s="8" t="n"/>
      <c r="L498" s="8" t="n"/>
      <c r="M498" s="8" t="n"/>
      <c r="N498" s="8" t="n"/>
      <c r="O498" s="8" t="n"/>
      <c r="P498" s="8" t="n"/>
      <c r="Q498" s="8" t="n"/>
      <c r="R498" s="8" t="n"/>
      <c r="S498" s="8" t="n"/>
      <c r="T498" s="7" t="inlineStr">
        <is>
          <t>SEM COTAÇÃO</t>
        </is>
      </c>
      <c r="U498" s="8" t="n"/>
      <c r="V498" s="14" t="n"/>
      <c r="W498" s="14" t="n"/>
      <c r="X498" s="7" t="inlineStr"/>
      <c r="Y498" s="7" t="inlineStr"/>
    </row>
    <row r="499">
      <c r="A499" s="7" t="n">
        <v>590381</v>
      </c>
      <c r="B499" s="12" t="inlineStr">
        <is>
          <t>7891000359822</t>
        </is>
      </c>
      <c r="C499" s="7" t="inlineStr">
        <is>
          <t>BEBIDA LACTEA NESCAU 180ML</t>
        </is>
      </c>
      <c r="D499" s="7" t="inlineStr">
        <is>
          <t>BEBIDAS GERAL</t>
        </is>
      </c>
      <c r="E499" s="7" t="inlineStr">
        <is>
          <t>C</t>
        </is>
      </c>
      <c r="F499" s="13" t="n">
        <v>19</v>
      </c>
      <c r="G499" s="13" t="n">
        <v>19</v>
      </c>
      <c r="H499" s="8" t="n">
        <v>2.045</v>
      </c>
      <c r="I499" s="8" t="n">
        <v>1.7841</v>
      </c>
      <c r="J499" s="8" t="n">
        <v>1.871066666666667</v>
      </c>
      <c r="K499" s="8" t="n"/>
      <c r="L499" s="8" t="n"/>
      <c r="M499" s="8" t="n"/>
      <c r="N499" s="8" t="n"/>
      <c r="O499" s="8" t="n"/>
      <c r="P499" s="8" t="n"/>
      <c r="Q499" s="8" t="n"/>
      <c r="R499" s="8" t="n"/>
      <c r="S499" s="8" t="n"/>
      <c r="T499" s="7" t="inlineStr">
        <is>
          <t>SEM COTAÇÃO</t>
        </is>
      </c>
      <c r="U499" s="8" t="n"/>
      <c r="V499" s="14" t="n"/>
      <c r="W499" s="14" t="n"/>
      <c r="X499" s="7" t="inlineStr"/>
      <c r="Y499" s="7" t="inlineStr"/>
    </row>
    <row r="500">
      <c r="A500" s="7" t="n">
        <v>596541</v>
      </c>
      <c r="B500" s="12" t="inlineStr">
        <is>
          <t>7891317026554</t>
        </is>
      </c>
      <c r="C500" s="7" t="inlineStr">
        <is>
          <t>BEDOZE 5MG/ML SOL INJ 2 AMP X 1ML</t>
        </is>
      </c>
      <c r="D500" s="7" t="inlineStr">
        <is>
          <t>RX</t>
        </is>
      </c>
      <c r="E500" s="7" t="inlineStr">
        <is>
          <t>A</t>
        </is>
      </c>
      <c r="F500" s="13" t="n">
        <v>1</v>
      </c>
      <c r="G500" s="13" t="n">
        <v>1</v>
      </c>
      <c r="H500" s="8" t="n">
        <v>32.8</v>
      </c>
      <c r="I500" s="8" t="n">
        <v>30.2</v>
      </c>
      <c r="J500" s="8" t="n">
        <v>31.56</v>
      </c>
      <c r="K500" s="8" t="n"/>
      <c r="L500" s="8" t="n"/>
      <c r="M500" s="8" t="n">
        <v>32.8</v>
      </c>
      <c r="N500" s="8" t="n"/>
      <c r="O500" s="15" t="n">
        <v>31.9</v>
      </c>
      <c r="P500" s="8" t="n">
        <v>33.2612</v>
      </c>
      <c r="Q500" s="8" t="n"/>
      <c r="R500" s="8" t="n"/>
      <c r="S500" s="8" t="n"/>
      <c r="T500" s="7" t="inlineStr">
        <is>
          <t>TAPAJOS</t>
        </is>
      </c>
      <c r="U500" s="8" t="n">
        <v>31.9</v>
      </c>
      <c r="V500" s="14">
        <f>U500/J500-1</f>
        <v/>
      </c>
      <c r="W500" s="14">
        <f>U500/H500-1</f>
        <v/>
      </c>
      <c r="X500" s="17" t="inlineStr">
        <is>
          <t>OK (≤ últ. compra)</t>
        </is>
      </c>
      <c r="Y500" s="7" t="inlineStr"/>
    </row>
    <row r="501">
      <c r="A501" s="7" t="n">
        <v>351581</v>
      </c>
      <c r="B501" s="12" t="inlineStr">
        <is>
          <t>7897917000338</t>
        </is>
      </c>
      <c r="C501" s="7" t="inlineStr">
        <is>
          <t>BELCOMPLEX B FR 50 COMP</t>
        </is>
      </c>
      <c r="D501" s="7" t="inlineStr">
        <is>
          <t>SIMILAR</t>
        </is>
      </c>
      <c r="E501" s="7" t="inlineStr">
        <is>
          <t>C</t>
        </is>
      </c>
      <c r="F501" s="13" t="n">
        <v>2</v>
      </c>
      <c r="G501" s="13" t="n">
        <v>2</v>
      </c>
      <c r="H501" s="8" t="n">
        <v>4.96</v>
      </c>
      <c r="I501" s="8" t="n">
        <v>4.96</v>
      </c>
      <c r="J501" s="8" t="n">
        <v>4.96</v>
      </c>
      <c r="K501" s="8" t="n"/>
      <c r="L501" s="8" t="n"/>
      <c r="M501" s="8" t="n"/>
      <c r="N501" s="8" t="n"/>
      <c r="O501" s="8" t="n"/>
      <c r="P501" s="8" t="n"/>
      <c r="Q501" s="8" t="n"/>
      <c r="R501" s="8" t="n"/>
      <c r="S501" s="8" t="n"/>
      <c r="T501" s="7" t="inlineStr">
        <is>
          <t>SEM COTAÇÃO</t>
        </is>
      </c>
      <c r="U501" s="8" t="n"/>
      <c r="V501" s="14" t="n"/>
      <c r="W501" s="14" t="n"/>
      <c r="X501" s="7" t="inlineStr"/>
      <c r="Y501" s="7" t="inlineStr"/>
    </row>
    <row r="502">
      <c r="A502" s="7" t="n">
        <v>446981</v>
      </c>
      <c r="B502" s="12" t="inlineStr">
        <is>
          <t>7897917000260</t>
        </is>
      </c>
      <c r="C502" s="7" t="inlineStr">
        <is>
          <t>BELFACTRIM 400+80MG CX 20 COMP</t>
        </is>
      </c>
      <c r="D502" s="7" t="inlineStr">
        <is>
          <t>SIMILAR - ATB</t>
        </is>
      </c>
      <c r="E502" s="7" t="inlineStr">
        <is>
          <t>A</t>
        </is>
      </c>
      <c r="F502" s="13" t="n">
        <v>2</v>
      </c>
      <c r="G502" s="13" t="n">
        <v>2</v>
      </c>
      <c r="H502" s="8" t="n">
        <v>5.42</v>
      </c>
      <c r="I502" s="8" t="n">
        <v>5.42</v>
      </c>
      <c r="J502" s="8" t="n">
        <v>5.419999999999999</v>
      </c>
      <c r="K502" s="8" t="n">
        <v>6.3</v>
      </c>
      <c r="L502" s="8" t="n"/>
      <c r="M502" s="8" t="n"/>
      <c r="N502" s="15" t="n">
        <v>5.11</v>
      </c>
      <c r="O502" s="8" t="n"/>
      <c r="P502" s="8" t="n"/>
      <c r="Q502" s="8" t="n"/>
      <c r="R502" s="8" t="n"/>
      <c r="S502" s="8" t="n"/>
      <c r="T502" s="7" t="inlineStr">
        <is>
          <t>CENTROFARMA</t>
        </is>
      </c>
      <c r="U502" s="8" t="n">
        <v>5.11</v>
      </c>
      <c r="V502" s="14">
        <f>U502/J502-1</f>
        <v/>
      </c>
      <c r="W502" s="14">
        <f>U502/H502-1</f>
        <v/>
      </c>
      <c r="X502" s="17" t="inlineStr">
        <is>
          <t>OK (≤ menor hist.)</t>
        </is>
      </c>
      <c r="Y502" s="7" t="inlineStr"/>
    </row>
    <row r="503">
      <c r="A503" s="7" t="n">
        <v>470461</v>
      </c>
      <c r="B503" s="12" t="inlineStr">
        <is>
          <t>7897917001694</t>
        </is>
      </c>
      <c r="C503" s="7" t="inlineStr">
        <is>
          <t>BELFACTRIM 800+160MG CX 10 COMP</t>
        </is>
      </c>
      <c r="D503" s="7" t="inlineStr">
        <is>
          <t>SIMILAR - ATB</t>
        </is>
      </c>
      <c r="E503" s="7" t="inlineStr">
        <is>
          <t>A</t>
        </is>
      </c>
      <c r="F503" s="13" t="n">
        <v>14</v>
      </c>
      <c r="G503" s="13" t="n">
        <v>14</v>
      </c>
      <c r="H503" s="8" t="n">
        <v>5.7</v>
      </c>
      <c r="I503" s="8" t="n">
        <v>5.7</v>
      </c>
      <c r="J503" s="8" t="n">
        <v>5.7</v>
      </c>
      <c r="K503" s="8" t="n"/>
      <c r="L503" s="8" t="n"/>
      <c r="M503" s="8" t="n"/>
      <c r="N503" s="8" t="n"/>
      <c r="O503" s="8" t="n"/>
      <c r="P503" s="8" t="n"/>
      <c r="Q503" s="8" t="n"/>
      <c r="R503" s="8" t="n"/>
      <c r="S503" s="8" t="n"/>
      <c r="T503" s="7" t="inlineStr">
        <is>
          <t>SEM COTAÇÃO</t>
        </is>
      </c>
      <c r="U503" s="8" t="n"/>
      <c r="V503" s="14" t="n"/>
      <c r="W503" s="14" t="n"/>
      <c r="X503" s="7" t="inlineStr"/>
      <c r="Y503" s="7" t="inlineStr"/>
    </row>
    <row r="504">
      <c r="A504" s="7" t="n">
        <v>212581</v>
      </c>
      <c r="B504" s="12" t="inlineStr">
        <is>
          <t>7897917001762</t>
        </is>
      </c>
      <c r="C504" s="7" t="inlineStr">
        <is>
          <t>BELFAREN 10MG GEL BG 60G</t>
        </is>
      </c>
      <c r="D504" s="7" t="inlineStr">
        <is>
          <t>SIMILAR</t>
        </is>
      </c>
      <c r="E504" s="7" t="inlineStr">
        <is>
          <t>C</t>
        </is>
      </c>
      <c r="F504" s="13" t="n">
        <v>2</v>
      </c>
      <c r="G504" s="13" t="n">
        <v>2</v>
      </c>
      <c r="H504" s="8" t="n">
        <v>5.53</v>
      </c>
      <c r="I504" s="8" t="n">
        <v>5.53</v>
      </c>
      <c r="J504" s="8" t="n">
        <v>5.53</v>
      </c>
      <c r="K504" s="8" t="n"/>
      <c r="L504" s="8" t="n"/>
      <c r="M504" s="8" t="n"/>
      <c r="N504" s="8" t="n"/>
      <c r="O504" s="8" t="n"/>
      <c r="P504" s="8" t="n"/>
      <c r="Q504" s="8" t="n"/>
      <c r="R504" s="8" t="n"/>
      <c r="S504" s="8" t="n"/>
      <c r="T504" s="7" t="inlineStr">
        <is>
          <t>SEM COTAÇÃO</t>
        </is>
      </c>
      <c r="U504" s="8" t="n"/>
      <c r="V504" s="14" t="n"/>
      <c r="W504" s="14" t="n"/>
      <c r="X504" s="7" t="inlineStr"/>
      <c r="Y504" s="7" t="inlineStr"/>
    </row>
    <row r="505">
      <c r="A505" s="7" t="n">
        <v>212561</v>
      </c>
      <c r="B505" s="12" t="inlineStr">
        <is>
          <t>7897917001465</t>
        </is>
      </c>
      <c r="C505" s="7" t="inlineStr">
        <is>
          <t>BELFAREN 50MG CX 20 COMP</t>
        </is>
      </c>
      <c r="D505" s="7" t="inlineStr">
        <is>
          <t>SIMILAR</t>
        </is>
      </c>
      <c r="E505" s="7" t="inlineStr">
        <is>
          <t>B</t>
        </is>
      </c>
      <c r="F505" s="13" t="n">
        <v>2</v>
      </c>
      <c r="G505" s="13" t="n">
        <v>2</v>
      </c>
      <c r="H505" s="8" t="n">
        <v>1.62</v>
      </c>
      <c r="I505" s="8" t="n">
        <v>1.62</v>
      </c>
      <c r="J505" s="8" t="n">
        <v>1.62</v>
      </c>
      <c r="K505" s="15" t="n">
        <v>1.78</v>
      </c>
      <c r="L505" s="8" t="n"/>
      <c r="M505" s="8" t="n"/>
      <c r="N505" s="8" t="n">
        <v>2.08</v>
      </c>
      <c r="O505" s="8" t="n"/>
      <c r="P505" s="8" t="n"/>
      <c r="Q505" s="8" t="n"/>
      <c r="R505" s="8" t="n"/>
      <c r="S505" s="8" t="n"/>
      <c r="T505" s="7" t="inlineStr">
        <is>
          <t>DIMEC</t>
        </is>
      </c>
      <c r="U505" s="8" t="n">
        <v>1.78</v>
      </c>
      <c r="V505" s="14">
        <f>U505/J505-1</f>
        <v/>
      </c>
      <c r="W505" s="14">
        <f>U505/H505-1</f>
        <v/>
      </c>
      <c r="X505" s="16" t="inlineStr">
        <is>
          <t>ACIMA +9.9%</t>
        </is>
      </c>
      <c r="Y505" s="7" t="inlineStr"/>
    </row>
    <row r="506">
      <c r="A506" s="7" t="n">
        <v>629261</v>
      </c>
      <c r="B506" s="12" t="inlineStr"/>
      <c r="C506" s="7" t="inlineStr">
        <is>
          <t>BELLIZ FIO DENTAL KESS 100MT BASIC</t>
        </is>
      </c>
      <c r="D506" s="7" t="inlineStr">
        <is>
          <t>PERF/COSME</t>
        </is>
      </c>
      <c r="E506" s="7" t="inlineStr">
        <is>
          <t>B</t>
        </is>
      </c>
      <c r="F506" s="13" t="n">
        <v>1</v>
      </c>
      <c r="G506" s="13" t="n">
        <v>1</v>
      </c>
      <c r="H506" s="8" t="n">
        <v>6.99</v>
      </c>
      <c r="I506" s="8" t="n">
        <v>6.99</v>
      </c>
      <c r="J506" s="8" t="n">
        <v>6.989999999999999</v>
      </c>
      <c r="K506" s="8" t="n"/>
      <c r="L506" s="8" t="n"/>
      <c r="M506" s="8" t="n"/>
      <c r="N506" s="8" t="n"/>
      <c r="O506" s="8" t="n"/>
      <c r="P506" s="8" t="n"/>
      <c r="Q506" s="8" t="n"/>
      <c r="R506" s="8" t="n"/>
      <c r="S506" s="8" t="n"/>
      <c r="T506" s="7" t="inlineStr">
        <is>
          <t>SEM COTAÇÃO</t>
        </is>
      </c>
      <c r="U506" s="8" t="n"/>
      <c r="V506" s="14" t="n"/>
      <c r="W506" s="14" t="n"/>
      <c r="X506" s="7" t="inlineStr"/>
      <c r="Y506" s="7" t="inlineStr"/>
    </row>
    <row r="507">
      <c r="A507" s="7" t="n">
        <v>337401</v>
      </c>
      <c r="B507" s="12" t="inlineStr">
        <is>
          <t>7897917000031</t>
        </is>
      </c>
      <c r="C507" s="7" t="inlineStr">
        <is>
          <t>BELMIRAX 100MG CX 6 COMP</t>
        </is>
      </c>
      <c r="D507" s="7" t="inlineStr">
        <is>
          <t>SIMILAR</t>
        </is>
      </c>
      <c r="E507" s="7" t="inlineStr">
        <is>
          <t>C</t>
        </is>
      </c>
      <c r="F507" s="13" t="n">
        <v>12</v>
      </c>
      <c r="G507" s="13" t="n">
        <v>12</v>
      </c>
      <c r="H507" s="8" t="n">
        <v>2.41</v>
      </c>
      <c r="I507" s="8" t="n">
        <v>1.55</v>
      </c>
      <c r="J507" s="8" t="n">
        <v>2.123333333333334</v>
      </c>
      <c r="K507" s="8" t="n"/>
      <c r="L507" s="8" t="n"/>
      <c r="M507" s="8" t="n"/>
      <c r="N507" s="15" t="n">
        <v>2.54</v>
      </c>
      <c r="O507" s="8" t="n"/>
      <c r="P507" s="8" t="n"/>
      <c r="Q507" s="8" t="n"/>
      <c r="R507" s="8" t="n"/>
      <c r="S507" s="8" t="n"/>
      <c r="T507" s="7" t="inlineStr">
        <is>
          <t>CENTROFARMA</t>
        </is>
      </c>
      <c r="U507" s="8" t="n">
        <v>2.54</v>
      </c>
      <c r="V507" s="14">
        <f>U507/J507-1</f>
        <v/>
      </c>
      <c r="W507" s="14">
        <f>U507/H507-1</f>
        <v/>
      </c>
      <c r="X507" s="16" t="inlineStr">
        <is>
          <t>ACIMA +5.4%</t>
        </is>
      </c>
      <c r="Y507" s="7" t="inlineStr"/>
    </row>
    <row r="508">
      <c r="A508" s="7" t="n">
        <v>337421</v>
      </c>
      <c r="B508" s="12" t="inlineStr"/>
      <c r="C508" s="7" t="inlineStr">
        <is>
          <t>BELMIRAX 20MG SUS OR FR 30ML</t>
        </is>
      </c>
      <c r="D508" s="7" t="inlineStr">
        <is>
          <t>SIMILAR</t>
        </is>
      </c>
      <c r="E508" s="7" t="inlineStr">
        <is>
          <t>C</t>
        </is>
      </c>
      <c r="F508" s="13" t="n">
        <v>1</v>
      </c>
      <c r="G508" s="13" t="n">
        <v>1</v>
      </c>
      <c r="H508" s="8" t="n">
        <v>2.63</v>
      </c>
      <c r="I508" s="8" t="n">
        <v>2.22</v>
      </c>
      <c r="J508" s="8" t="n">
        <v>2.493333333333334</v>
      </c>
      <c r="K508" s="8" t="n"/>
      <c r="L508" s="8" t="n"/>
      <c r="M508" s="8" t="n"/>
      <c r="N508" s="8" t="n"/>
      <c r="O508" s="8" t="n"/>
      <c r="P508" s="8" t="n"/>
      <c r="Q508" s="8" t="n"/>
      <c r="R508" s="8" t="n"/>
      <c r="S508" s="8" t="n"/>
      <c r="T508" s="7" t="inlineStr">
        <is>
          <t>SEM COTAÇÃO</t>
        </is>
      </c>
      <c r="U508" s="8" t="n"/>
      <c r="V508" s="14" t="n"/>
      <c r="W508" s="14" t="n"/>
      <c r="X508" s="7" t="inlineStr"/>
      <c r="Y508" s="7" t="inlineStr"/>
    </row>
    <row r="509">
      <c r="A509" s="7" t="n">
        <v>618981</v>
      </c>
      <c r="B509" s="12" t="inlineStr">
        <is>
          <t>7898719040317</t>
        </is>
      </c>
      <c r="C509" s="7" t="inlineStr">
        <is>
          <t>BEMRUB BABY 12G BALSAMO  (VICK)</t>
        </is>
      </c>
      <c r="D509" s="7" t="inlineStr">
        <is>
          <t>SIMILAR</t>
        </is>
      </c>
      <c r="E509" s="7" t="inlineStr">
        <is>
          <t>B</t>
        </is>
      </c>
      <c r="F509" s="13" t="n">
        <v>7</v>
      </c>
      <c r="G509" s="13" t="n">
        <v>7</v>
      </c>
      <c r="H509" s="8" t="n">
        <v>5.76</v>
      </c>
      <c r="I509" s="8" t="n">
        <v>5.76</v>
      </c>
      <c r="J509" s="8" t="n">
        <v>5.760000000000001</v>
      </c>
      <c r="K509" s="8" t="n"/>
      <c r="L509" s="8" t="n"/>
      <c r="M509" s="8" t="n"/>
      <c r="N509" s="8" t="n"/>
      <c r="O509" s="8" t="n"/>
      <c r="P509" s="8" t="n"/>
      <c r="Q509" s="8" t="n"/>
      <c r="R509" s="8" t="n"/>
      <c r="S509" s="8" t="n"/>
      <c r="T509" s="7" t="inlineStr">
        <is>
          <t>SEM COTAÇÃO</t>
        </is>
      </c>
      <c r="U509" s="8" t="n"/>
      <c r="V509" s="14" t="n"/>
      <c r="W509" s="14" t="n"/>
      <c r="X509" s="7" t="inlineStr"/>
      <c r="Y509" s="7" t="inlineStr"/>
    </row>
    <row r="510">
      <c r="A510" s="7" t="n">
        <v>648211</v>
      </c>
      <c r="B510" s="12" t="inlineStr">
        <is>
          <t>7898719040799</t>
        </is>
      </c>
      <c r="C510" s="7" t="inlineStr">
        <is>
          <t>BEMRUB UNGUENTO 12G DIA E NOITE</t>
        </is>
      </c>
      <c r="D510" s="7" t="inlineStr">
        <is>
          <t>SIMILAR</t>
        </is>
      </c>
      <c r="E510" s="7" t="inlineStr">
        <is>
          <t>C</t>
        </is>
      </c>
      <c r="F510" s="13" t="n">
        <v>9</v>
      </c>
      <c r="G510" s="13" t="n">
        <v>9</v>
      </c>
      <c r="H510" s="8" t="n">
        <v>3.56</v>
      </c>
      <c r="I510" s="8" t="n">
        <v>3</v>
      </c>
      <c r="J510" s="8" t="n">
        <v>3</v>
      </c>
      <c r="K510" s="8" t="n"/>
      <c r="L510" s="8" t="n"/>
      <c r="M510" s="8" t="n"/>
      <c r="N510" s="8" t="n"/>
      <c r="O510" s="8" t="n"/>
      <c r="P510" s="8" t="n"/>
      <c r="Q510" s="8" t="n"/>
      <c r="R510" s="8" t="n"/>
      <c r="S510" s="8" t="n"/>
      <c r="T510" s="7" t="inlineStr">
        <is>
          <t>SEM COTAÇÃO</t>
        </is>
      </c>
      <c r="U510" s="8" t="n"/>
      <c r="V510" s="14" t="n"/>
      <c r="W510" s="14" t="n"/>
      <c r="X510" s="7" t="inlineStr"/>
      <c r="Y510" s="7" t="inlineStr"/>
    </row>
    <row r="511">
      <c r="A511" s="7" t="n">
        <v>114701</v>
      </c>
      <c r="B511" s="12" t="inlineStr">
        <is>
          <t>7891010974923</t>
        </is>
      </c>
      <c r="C511" s="7" t="inlineStr">
        <is>
          <t>BENALET 5+50+10MG PASTILHA CARTELA MEL/LIMAO C/ 4UN</t>
        </is>
      </c>
      <c r="D511" s="7" t="inlineStr">
        <is>
          <t>RX</t>
        </is>
      </c>
      <c r="E511" s="7" t="inlineStr">
        <is>
          <t>A</t>
        </is>
      </c>
      <c r="F511" s="13" t="n">
        <v>1</v>
      </c>
      <c r="G511" s="13" t="n">
        <v>9</v>
      </c>
      <c r="H511" s="8" t="n">
        <v>10.6191</v>
      </c>
      <c r="I511" s="8" t="n">
        <v>10.1792</v>
      </c>
      <c r="J511" s="8" t="n">
        <v>10.47246666666667</v>
      </c>
      <c r="K511" s="8" t="n"/>
      <c r="L511" s="8" t="n"/>
      <c r="M511" s="8" t="n"/>
      <c r="N511" s="8" t="n"/>
      <c r="O511" s="8" t="n"/>
      <c r="P511" s="15" t="n">
        <v>12.49538461538462</v>
      </c>
      <c r="Q511" s="8" t="n"/>
      <c r="R511" s="8" t="n"/>
      <c r="S511" s="8" t="n"/>
      <c r="T511" s="7" t="inlineStr">
        <is>
          <t>NAZARIA</t>
        </is>
      </c>
      <c r="U511" s="8" t="n">
        <v>12.49538461538462</v>
      </c>
      <c r="V511" s="14">
        <f>U511/J511-1</f>
        <v/>
      </c>
      <c r="W511" s="14">
        <f>U511/H511-1</f>
        <v/>
      </c>
      <c r="X511" s="16" t="inlineStr">
        <is>
          <t>ACIMA +17.7%</t>
        </is>
      </c>
      <c r="Y511" s="7" t="inlineStr">
        <is>
          <t>NAZARIA: 1 emb = 13 un</t>
        </is>
      </c>
    </row>
    <row r="512">
      <c r="A512" s="7" t="n">
        <v>497121</v>
      </c>
      <c r="B512" s="12" t="inlineStr">
        <is>
          <t>7891268402025</t>
        </is>
      </c>
      <c r="C512" s="7" t="inlineStr">
        <is>
          <t>BENALET 5+50+10MG PASTILHA SB MEL E LIMAO CX C/ 12UN</t>
        </is>
      </c>
      <c r="D512" s="7" t="inlineStr">
        <is>
          <t>RX - OTC</t>
        </is>
      </c>
      <c r="E512" s="7" t="inlineStr">
        <is>
          <t>C</t>
        </is>
      </c>
      <c r="F512" s="13" t="n">
        <v>3</v>
      </c>
      <c r="G512" s="13" t="n">
        <v>3</v>
      </c>
      <c r="H512" s="8" t="n">
        <v>9.5167</v>
      </c>
      <c r="I512" s="8" t="n">
        <v>9.5167</v>
      </c>
      <c r="J512" s="8" t="n">
        <v>9.5167</v>
      </c>
      <c r="K512" s="8" t="n"/>
      <c r="L512" s="8" t="n"/>
      <c r="M512" s="8" t="n"/>
      <c r="N512" s="8" t="n"/>
      <c r="O512" s="8" t="n"/>
      <c r="P512" s="8" t="n"/>
      <c r="Q512" s="8" t="n"/>
      <c r="R512" s="8" t="n"/>
      <c r="S512" s="8" t="n"/>
      <c r="T512" s="7" t="inlineStr">
        <is>
          <t>SEM COTAÇÃO</t>
        </is>
      </c>
      <c r="U512" s="8" t="n"/>
      <c r="V512" s="14" t="n"/>
      <c r="W512" s="14" t="n"/>
      <c r="X512" s="7" t="inlineStr"/>
      <c r="Y512" s="7" t="inlineStr"/>
    </row>
    <row r="513">
      <c r="A513" s="7" t="n">
        <v>114681</v>
      </c>
      <c r="B513" s="12" t="inlineStr">
        <is>
          <t>7891010974930</t>
        </is>
      </c>
      <c r="C513" s="7" t="inlineStr">
        <is>
          <t>BENALET 5+50+10MG PASTILHA SB MENTA CX C/ 12UN</t>
        </is>
      </c>
      <c r="D513" s="7" t="inlineStr">
        <is>
          <t>RX</t>
        </is>
      </c>
      <c r="E513" s="7" t="inlineStr">
        <is>
          <t>C</t>
        </is>
      </c>
      <c r="F513" s="13" t="n">
        <v>1</v>
      </c>
      <c r="G513" s="13" t="n">
        <v>1</v>
      </c>
      <c r="H513" s="8" t="n">
        <v>24.88</v>
      </c>
      <c r="I513" s="8" t="n">
        <v>24.88</v>
      </c>
      <c r="J513" s="8" t="n">
        <v>24.88</v>
      </c>
      <c r="K513" s="8" t="n"/>
      <c r="L513" s="8" t="n"/>
      <c r="M513" s="8" t="n"/>
      <c r="N513" s="8" t="n"/>
      <c r="O513" s="8" t="n"/>
      <c r="P513" s="8" t="n"/>
      <c r="Q513" s="8" t="n"/>
      <c r="R513" s="8" t="n"/>
      <c r="S513" s="8" t="n"/>
      <c r="T513" s="7" t="inlineStr">
        <is>
          <t>SEM COTAÇÃO</t>
        </is>
      </c>
      <c r="U513" s="8" t="n"/>
      <c r="V513" s="14" t="n"/>
      <c r="W513" s="14" t="n"/>
      <c r="X513" s="7" t="inlineStr"/>
      <c r="Y513" s="7" t="inlineStr"/>
    </row>
    <row r="514">
      <c r="A514" s="7" t="n">
        <v>470701</v>
      </c>
      <c r="B514" s="12" t="inlineStr">
        <is>
          <t>7896004810065</t>
        </is>
      </c>
      <c r="C514" s="7" t="inlineStr">
        <is>
          <t>BENECTRIN F CX 10 COMP</t>
        </is>
      </c>
      <c r="D514" s="7" t="inlineStr">
        <is>
          <t>SIMILAR - ATB</t>
        </is>
      </c>
      <c r="E514" s="7" t="inlineStr">
        <is>
          <t>A</t>
        </is>
      </c>
      <c r="F514" s="13" t="n">
        <v>9</v>
      </c>
      <c r="G514" s="13" t="n">
        <v>9</v>
      </c>
      <c r="H514" s="8" t="n">
        <v>5.33</v>
      </c>
      <c r="I514" s="8" t="n">
        <v>5.19</v>
      </c>
      <c r="J514" s="8" t="n">
        <v>5.283333333333334</v>
      </c>
      <c r="K514" s="8" t="n"/>
      <c r="L514" s="8" t="n"/>
      <c r="M514" s="8" t="n"/>
      <c r="N514" s="8" t="n"/>
      <c r="O514" s="8" t="n"/>
      <c r="P514" s="8" t="n"/>
      <c r="Q514" s="8" t="n"/>
      <c r="R514" s="8" t="n"/>
      <c r="S514" s="8" t="n"/>
      <c r="T514" s="7" t="inlineStr">
        <is>
          <t>SEM COTAÇÃO</t>
        </is>
      </c>
      <c r="U514" s="8" t="n"/>
      <c r="V514" s="14" t="n"/>
      <c r="W514" s="14" t="n"/>
      <c r="X514" s="7" t="inlineStr"/>
      <c r="Y514" s="7" t="inlineStr"/>
    </row>
    <row r="515">
      <c r="A515" s="7" t="n">
        <v>180661</v>
      </c>
      <c r="B515" s="12" t="inlineStr">
        <is>
          <t>7893454714325</t>
        </is>
      </c>
      <c r="C515" s="7" t="inlineStr">
        <is>
          <t>BENERVA 300MG CX 30 COMP REV</t>
        </is>
      </c>
      <c r="D515" s="7" t="inlineStr">
        <is>
          <t>RX</t>
        </is>
      </c>
      <c r="E515" s="7" t="inlineStr">
        <is>
          <t>A</t>
        </is>
      </c>
      <c r="F515" s="13" t="n">
        <v>2</v>
      </c>
      <c r="G515" s="13" t="n">
        <v>2</v>
      </c>
      <c r="H515" s="8" t="n">
        <v>25.98</v>
      </c>
      <c r="I515" s="8" t="n">
        <v>24.1833</v>
      </c>
      <c r="J515" s="8" t="n">
        <v>24.7822</v>
      </c>
      <c r="K515" s="8" t="n"/>
      <c r="L515" s="8" t="n"/>
      <c r="M515" s="8" t="n"/>
      <c r="N515" s="8" t="n"/>
      <c r="O515" s="8" t="n"/>
      <c r="P515" s="15" t="n">
        <v>25.5265</v>
      </c>
      <c r="Q515" s="8" t="n"/>
      <c r="R515" s="8" t="n"/>
      <c r="S515" s="8" t="n"/>
      <c r="T515" s="7" t="inlineStr">
        <is>
          <t>NAZARIA</t>
        </is>
      </c>
      <c r="U515" s="8" t="n">
        <v>25.5265</v>
      </c>
      <c r="V515" s="14">
        <f>U515/J515-1</f>
        <v/>
      </c>
      <c r="W515" s="14">
        <f>U515/H515-1</f>
        <v/>
      </c>
      <c r="X515" s="17" t="inlineStr">
        <is>
          <t>OK (≤ últ. compra)</t>
        </is>
      </c>
      <c r="Y515" s="7" t="inlineStr"/>
    </row>
    <row r="516">
      <c r="A516" s="7" t="n">
        <v>210461</v>
      </c>
      <c r="B516" s="12" t="inlineStr">
        <is>
          <t>7896004800400</t>
        </is>
      </c>
      <c r="C516" s="7" t="inlineStr">
        <is>
          <t>BENEVRAN CX 20 DRG</t>
        </is>
      </c>
      <c r="D516" s="7" t="inlineStr">
        <is>
          <t>SIMILAR</t>
        </is>
      </c>
      <c r="E516" s="7" t="inlineStr">
        <is>
          <t>B</t>
        </is>
      </c>
      <c r="F516" s="13" t="n">
        <v>31</v>
      </c>
      <c r="G516" s="13" t="n">
        <v>31</v>
      </c>
      <c r="H516" s="8" t="n">
        <v>2.34</v>
      </c>
      <c r="I516" s="8" t="n">
        <v>2.34</v>
      </c>
      <c r="J516" s="8" t="n">
        <v>2.34</v>
      </c>
      <c r="K516" s="15" t="n">
        <v>2.34</v>
      </c>
      <c r="L516" s="8" t="n"/>
      <c r="M516" s="8" t="n"/>
      <c r="N516" s="8" t="n"/>
      <c r="O516" s="8" t="n"/>
      <c r="P516" s="8" t="n"/>
      <c r="Q516" s="8" t="n">
        <v>2.39</v>
      </c>
      <c r="R516" s="8" t="n">
        <v>2.36</v>
      </c>
      <c r="S516" s="8" t="n"/>
      <c r="T516" s="7" t="inlineStr">
        <is>
          <t>DIMEC</t>
        </is>
      </c>
      <c r="U516" s="8" t="n">
        <v>2.34</v>
      </c>
      <c r="V516" s="14">
        <f>U516/J516-1</f>
        <v/>
      </c>
      <c r="W516" s="14">
        <f>U516/H516-1</f>
        <v/>
      </c>
      <c r="X516" s="17" t="inlineStr">
        <is>
          <t>OK (≤ menor hist.)</t>
        </is>
      </c>
      <c r="Y516" s="7" t="inlineStr"/>
    </row>
    <row r="517">
      <c r="A517" s="7" t="n">
        <v>54421</v>
      </c>
      <c r="B517" s="12" t="inlineStr">
        <is>
          <t>7897411611023</t>
        </is>
      </c>
      <c r="C517" s="7" t="inlineStr">
        <is>
          <t>BENICAR ANLO 40+5MG CX 30 COMP REV</t>
        </is>
      </c>
      <c r="D517" s="7" t="inlineStr">
        <is>
          <t>RX</t>
        </is>
      </c>
      <c r="E517" s="7" t="inlineStr">
        <is>
          <t>A</t>
        </is>
      </c>
      <c r="F517" s="13" t="n">
        <v>4</v>
      </c>
      <c r="G517" s="13" t="n">
        <v>4</v>
      </c>
      <c r="H517" s="8" t="n">
        <v>76.89</v>
      </c>
      <c r="I517" s="8" t="n">
        <v>68.45999999999999</v>
      </c>
      <c r="J517" s="8" t="n">
        <v>72.54000000000001</v>
      </c>
      <c r="K517" s="8" t="n"/>
      <c r="L517" s="8" t="n"/>
      <c r="M517" s="8" t="n">
        <v>76.89</v>
      </c>
      <c r="N517" s="8" t="n"/>
      <c r="O517" s="8" t="n"/>
      <c r="P517" s="15" t="n">
        <v>74.7552</v>
      </c>
      <c r="Q517" s="8" t="n"/>
      <c r="R517" s="8" t="n"/>
      <c r="S517" s="8" t="n"/>
      <c r="T517" s="7" t="inlineStr">
        <is>
          <t>NAZARIA</t>
        </is>
      </c>
      <c r="U517" s="8" t="n">
        <v>74.7552</v>
      </c>
      <c r="V517" s="14">
        <f>U517/J517-1</f>
        <v/>
      </c>
      <c r="W517" s="14">
        <f>U517/H517-1</f>
        <v/>
      </c>
      <c r="X517" s="17" t="inlineStr">
        <is>
          <t>OK (≤ últ. compra)</t>
        </is>
      </c>
      <c r="Y517" s="7" t="inlineStr"/>
    </row>
    <row r="518">
      <c r="A518" s="7" t="n">
        <v>49061</v>
      </c>
      <c r="B518" s="12" t="inlineStr">
        <is>
          <t>7891317496241</t>
        </is>
      </c>
      <c r="C518" s="7" t="inlineStr">
        <is>
          <t>BENZETACIL 300.000U/ML SUS INJ 1FA X 4ML</t>
        </is>
      </c>
      <c r="D518" s="7" t="inlineStr">
        <is>
          <t>RX - REFERENCIA - ATB</t>
        </is>
      </c>
      <c r="E518" s="7" t="inlineStr">
        <is>
          <t>A</t>
        </is>
      </c>
      <c r="F518" s="13" t="n">
        <v>3</v>
      </c>
      <c r="G518" s="13" t="n">
        <v>3</v>
      </c>
      <c r="H518" s="8" t="n">
        <v>15.69</v>
      </c>
      <c r="I518" s="8" t="n">
        <v>14.3625</v>
      </c>
      <c r="J518" s="8" t="n">
        <v>15.08466666666667</v>
      </c>
      <c r="K518" s="8" t="n"/>
      <c r="L518" s="8" t="n"/>
      <c r="M518" s="8" t="n"/>
      <c r="N518" s="8" t="n"/>
      <c r="O518" s="8" t="n"/>
      <c r="P518" s="15" t="n">
        <v>15.582</v>
      </c>
      <c r="Q518" s="8" t="n"/>
      <c r="R518" s="8" t="n"/>
      <c r="S518" s="8" t="n"/>
      <c r="T518" s="7" t="inlineStr">
        <is>
          <t>NAZARIA</t>
        </is>
      </c>
      <c r="U518" s="8" t="n">
        <v>15.582</v>
      </c>
      <c r="V518" s="14">
        <f>U518/J518-1</f>
        <v/>
      </c>
      <c r="W518" s="14">
        <f>U518/H518-1</f>
        <v/>
      </c>
      <c r="X518" s="17" t="inlineStr">
        <is>
          <t>OK (≤ últ. compra)</t>
        </is>
      </c>
      <c r="Y518" s="7" t="inlineStr"/>
    </row>
    <row r="519">
      <c r="A519" s="7" t="n">
        <v>527641</v>
      </c>
      <c r="B519" s="12" t="inlineStr">
        <is>
          <t>7896004729770</t>
        </is>
      </c>
      <c r="C519" s="7" t="inlineStr">
        <is>
          <t>BENZIFLEX 10MG CX 15 COMP REV</t>
        </is>
      </c>
      <c r="D519" s="7" t="inlineStr">
        <is>
          <t>SIMILAR</t>
        </is>
      </c>
      <c r="E519" s="7" t="inlineStr">
        <is>
          <t>C</t>
        </is>
      </c>
      <c r="F519" s="13" t="n">
        <v>1</v>
      </c>
      <c r="G519" s="13" t="n">
        <v>1</v>
      </c>
      <c r="H519" s="8" t="n">
        <v>6.32</v>
      </c>
      <c r="I519" s="8" t="n">
        <v>6.32</v>
      </c>
      <c r="J519" s="8" t="n">
        <v>6.32</v>
      </c>
      <c r="K519" s="8" t="n"/>
      <c r="L519" s="15" t="n">
        <v>6.68</v>
      </c>
      <c r="M519" s="8" t="n"/>
      <c r="N519" s="8" t="n"/>
      <c r="O519" s="8" t="n"/>
      <c r="P519" s="8" t="n">
        <v>19.35</v>
      </c>
      <c r="Q519" s="8" t="n"/>
      <c r="R519" s="8" t="n"/>
      <c r="S519" s="8" t="n"/>
      <c r="T519" s="7" t="inlineStr">
        <is>
          <t>PLUSFARMA</t>
        </is>
      </c>
      <c r="U519" s="8" t="n">
        <v>6.68</v>
      </c>
      <c r="V519" s="14">
        <f>U519/J519-1</f>
        <v/>
      </c>
      <c r="W519" s="14">
        <f>U519/H519-1</f>
        <v/>
      </c>
      <c r="X519" s="16" t="inlineStr">
        <is>
          <t>ACIMA +5.7%</t>
        </is>
      </c>
      <c r="Y519" s="7" t="inlineStr">
        <is>
          <t>NAZARIA: conferir emb.</t>
        </is>
      </c>
    </row>
    <row r="520">
      <c r="A520" s="7" t="n">
        <v>49701</v>
      </c>
      <c r="B520" s="12" t="inlineStr"/>
      <c r="C520" s="7" t="inlineStr">
        <is>
          <t>BENZIN 0,1G/G SAB 60G</t>
        </is>
      </c>
      <c r="D520" s="7" t="inlineStr">
        <is>
          <t>SIMILAR</t>
        </is>
      </c>
      <c r="E520" s="7" t="inlineStr">
        <is>
          <t>A</t>
        </is>
      </c>
      <c r="F520" s="13" t="n">
        <v>4</v>
      </c>
      <c r="G520" s="13" t="n">
        <v>4</v>
      </c>
      <c r="H520" s="8" t="n">
        <v>5.33</v>
      </c>
      <c r="I520" s="8" t="n">
        <v>5.33</v>
      </c>
      <c r="J520" s="8" t="n">
        <v>5.33</v>
      </c>
      <c r="K520" s="8" t="n"/>
      <c r="L520" s="8" t="n"/>
      <c r="M520" s="8" t="n"/>
      <c r="N520" s="8" t="n"/>
      <c r="O520" s="8" t="n"/>
      <c r="P520" s="8" t="n"/>
      <c r="Q520" s="8" t="n"/>
      <c r="R520" s="8" t="n"/>
      <c r="S520" s="8" t="n"/>
      <c r="T520" s="7" t="inlineStr">
        <is>
          <t>SEM COTAÇÃO</t>
        </is>
      </c>
      <c r="U520" s="8" t="n"/>
      <c r="V520" s="14" t="n"/>
      <c r="W520" s="14" t="n"/>
      <c r="X520" s="7" t="inlineStr"/>
      <c r="Y520" s="7" t="inlineStr"/>
    </row>
    <row r="521">
      <c r="A521" s="7" t="n">
        <v>49581</v>
      </c>
      <c r="B521" s="12" t="inlineStr">
        <is>
          <t>7898014560077</t>
        </is>
      </c>
      <c r="C521" s="7" t="inlineStr">
        <is>
          <t>BENZODERM 100 MG/G SAB CT FIL PP X 60 G</t>
        </is>
      </c>
      <c r="D521" s="7" t="inlineStr">
        <is>
          <t>SIMILAR</t>
        </is>
      </c>
      <c r="E521" s="7" t="inlineStr">
        <is>
          <t>C</t>
        </is>
      </c>
      <c r="F521" s="13" t="n">
        <v>1</v>
      </c>
      <c r="G521" s="13" t="n">
        <v>1</v>
      </c>
      <c r="H521" s="8" t="n">
        <v>6.59</v>
      </c>
      <c r="I521" s="8" t="n">
        <v>6.59</v>
      </c>
      <c r="J521" s="8" t="n">
        <v>6.59</v>
      </c>
      <c r="K521" s="15" t="n">
        <v>6.59</v>
      </c>
      <c r="L521" s="8" t="n"/>
      <c r="M521" s="8" t="n"/>
      <c r="N521" s="8" t="n">
        <v>8.18</v>
      </c>
      <c r="O521" s="8" t="n"/>
      <c r="P521" s="8" t="n"/>
      <c r="Q521" s="8" t="n">
        <v>9.050000000000001</v>
      </c>
      <c r="R521" s="8" t="n"/>
      <c r="S521" s="8" t="n"/>
      <c r="T521" s="7" t="inlineStr">
        <is>
          <t>DIMEC</t>
        </is>
      </c>
      <c r="U521" s="8" t="n">
        <v>6.59</v>
      </c>
      <c r="V521" s="14">
        <f>U521/J521-1</f>
        <v/>
      </c>
      <c r="W521" s="14">
        <f>U521/H521-1</f>
        <v/>
      </c>
      <c r="X521" s="17" t="inlineStr">
        <is>
          <t>OK (≤ menor hist.)</t>
        </is>
      </c>
      <c r="Y521" s="7" t="inlineStr"/>
    </row>
    <row r="522">
      <c r="A522" s="7" t="n">
        <v>50061</v>
      </c>
      <c r="B522" s="12" t="inlineStr">
        <is>
          <t>7897917000994</t>
        </is>
      </c>
      <c r="C522" s="7" t="inlineStr">
        <is>
          <t>BENZOILMETRONIDAZOL 40MG/ML SUS OR FR 100ML+COP MED</t>
        </is>
      </c>
      <c r="D522" s="7" t="inlineStr">
        <is>
          <t>GENERICO - ATB</t>
        </is>
      </c>
      <c r="E522" s="7" t="inlineStr">
        <is>
          <t>A</t>
        </is>
      </c>
      <c r="F522" s="13" t="n">
        <v>10</v>
      </c>
      <c r="G522" s="13" t="n">
        <v>10</v>
      </c>
      <c r="H522" s="8" t="n">
        <v>8.84</v>
      </c>
      <c r="I522" s="8" t="n">
        <v>8.84</v>
      </c>
      <c r="J522" s="8" t="n">
        <v>8.84</v>
      </c>
      <c r="K522" s="15" t="n">
        <v>9.83</v>
      </c>
      <c r="L522" s="8" t="n"/>
      <c r="M522" s="8" t="n"/>
      <c r="N522" s="8" t="n"/>
      <c r="O522" s="8" t="n"/>
      <c r="P522" s="8" t="n"/>
      <c r="Q522" s="8" t="n"/>
      <c r="R522" s="8" t="n"/>
      <c r="S522" s="8" t="n"/>
      <c r="T522" s="7" t="inlineStr">
        <is>
          <t>DIMEC</t>
        </is>
      </c>
      <c r="U522" s="8" t="n">
        <v>9.83</v>
      </c>
      <c r="V522" s="14">
        <f>U522/J522-1</f>
        <v/>
      </c>
      <c r="W522" s="14">
        <f>U522/H522-1</f>
        <v/>
      </c>
      <c r="X522" s="16" t="inlineStr">
        <is>
          <t>ACIMA +11.2%</t>
        </is>
      </c>
      <c r="Y522" s="7" t="inlineStr"/>
    </row>
    <row r="523">
      <c r="A523" s="7" t="n">
        <v>588821</v>
      </c>
      <c r="B523" s="12" t="inlineStr">
        <is>
          <t>7891106912167</t>
        </is>
      </c>
      <c r="C523" s="7" t="inlineStr">
        <is>
          <t>BEPANTOL BABY 30+15G</t>
        </is>
      </c>
      <c r="D523" s="7" t="inlineStr">
        <is>
          <t>RX</t>
        </is>
      </c>
      <c r="E523" s="7" t="inlineStr">
        <is>
          <t>A</t>
        </is>
      </c>
      <c r="F523" s="13" t="n">
        <v>13</v>
      </c>
      <c r="G523" s="13" t="n">
        <v>13</v>
      </c>
      <c r="H523" s="8" t="n">
        <v>14.36</v>
      </c>
      <c r="I523" s="8" t="n">
        <v>12.9012</v>
      </c>
      <c r="J523" s="8" t="n">
        <v>13.7404</v>
      </c>
      <c r="K523" s="8" t="n"/>
      <c r="L523" s="8" t="n"/>
      <c r="M523" s="8" t="n"/>
      <c r="N523" s="8" t="n"/>
      <c r="O523" s="15" t="n">
        <v>14.83</v>
      </c>
      <c r="P523" s="8" t="n">
        <v>20.273</v>
      </c>
      <c r="Q523" s="8" t="n"/>
      <c r="R523" s="8" t="n"/>
      <c r="S523" s="8" t="n"/>
      <c r="T523" s="7" t="inlineStr">
        <is>
          <t>TAPAJOS</t>
        </is>
      </c>
      <c r="U523" s="8" t="n">
        <v>14.83</v>
      </c>
      <c r="V523" s="14">
        <f>U523/J523-1</f>
        <v/>
      </c>
      <c r="W523" s="14">
        <f>U523/H523-1</f>
        <v/>
      </c>
      <c r="X523" s="16" t="inlineStr">
        <is>
          <t>ACIMA +3.3%</t>
        </is>
      </c>
      <c r="Y523" s="7" t="inlineStr"/>
    </row>
    <row r="524">
      <c r="A524" s="7" t="n">
        <v>550701</v>
      </c>
      <c r="B524" s="12" t="inlineStr"/>
      <c r="C524" s="7" t="inlineStr">
        <is>
          <t>BEPANTOL DERMA CR 20GR</t>
        </is>
      </c>
      <c r="D524" s="7" t="inlineStr">
        <is>
          <t>RX - DERMO</t>
        </is>
      </c>
      <c r="E524" s="7" t="inlineStr">
        <is>
          <t>A</t>
        </is>
      </c>
      <c r="F524" s="13" t="n">
        <v>5</v>
      </c>
      <c r="G524" s="13" t="n">
        <v>5</v>
      </c>
      <c r="H524" s="8" t="n">
        <v>23.83</v>
      </c>
      <c r="I524" s="8" t="n">
        <v>23.4233</v>
      </c>
      <c r="J524" s="8" t="n">
        <v>23.69443333333333</v>
      </c>
      <c r="K524" s="8" t="n"/>
      <c r="L524" s="8" t="n"/>
      <c r="M524" s="8" t="n"/>
      <c r="N524" s="8" t="n"/>
      <c r="O524" s="8" t="n"/>
      <c r="P524" s="8" t="n"/>
      <c r="Q524" s="8" t="n"/>
      <c r="R524" s="8" t="n"/>
      <c r="S524" s="8" t="n"/>
      <c r="T524" s="7" t="inlineStr">
        <is>
          <t>SEM COTAÇÃO</t>
        </is>
      </c>
      <c r="U524" s="8" t="n"/>
      <c r="V524" s="14" t="n"/>
      <c r="W524" s="14" t="n"/>
      <c r="X524" s="7" t="inlineStr"/>
      <c r="Y524" s="7" t="inlineStr"/>
    </row>
    <row r="525">
      <c r="A525" s="7" t="n">
        <v>666671</v>
      </c>
      <c r="B525" s="12" t="inlineStr">
        <is>
          <t>7891106914628</t>
        </is>
      </c>
      <c r="C525" s="7" t="inlineStr">
        <is>
          <t>BEPANTOL DERMA REGENERADOR 200ML-DEMAIS PROD</t>
        </is>
      </c>
      <c r="D525" s="7" t="inlineStr">
        <is>
          <t>RX</t>
        </is>
      </c>
      <c r="E525" s="7" t="inlineStr">
        <is>
          <t>C</t>
        </is>
      </c>
      <c r="F525" s="13" t="n">
        <v>1</v>
      </c>
      <c r="G525" s="13" t="n">
        <v>1</v>
      </c>
      <c r="H525" s="8" t="n">
        <v>59.3</v>
      </c>
      <c r="I525" s="8" t="n">
        <v>59.3</v>
      </c>
      <c r="J525" s="8" t="n">
        <v>59.29999999999999</v>
      </c>
      <c r="K525" s="8" t="n"/>
      <c r="L525" s="8" t="n"/>
      <c r="M525" s="8" t="n"/>
      <c r="N525" s="8" t="n"/>
      <c r="O525" s="15" t="n">
        <v>46.5</v>
      </c>
      <c r="P525" s="8" t="n"/>
      <c r="Q525" s="8" t="n"/>
      <c r="R525" s="8" t="n"/>
      <c r="S525" s="8" t="n"/>
      <c r="T525" s="7" t="inlineStr">
        <is>
          <t>TAPAJOS</t>
        </is>
      </c>
      <c r="U525" s="8" t="n">
        <v>46.5</v>
      </c>
      <c r="V525" s="14">
        <f>U525/J525-1</f>
        <v/>
      </c>
      <c r="W525" s="14">
        <f>U525/H525-1</f>
        <v/>
      </c>
      <c r="X525" s="17" t="inlineStr">
        <is>
          <t>OK (≤ menor hist.)</t>
        </is>
      </c>
      <c r="Y525" s="7" t="inlineStr"/>
    </row>
    <row r="526">
      <c r="A526" s="7" t="n">
        <v>632681</v>
      </c>
      <c r="B526" s="12" t="inlineStr"/>
      <c r="C526" s="7" t="inlineStr">
        <is>
          <t>BEPANTOL DERMA TOQUE SECO CR 30G</t>
        </is>
      </c>
      <c r="D526" s="7" t="inlineStr">
        <is>
          <t>RX - DERMO</t>
        </is>
      </c>
      <c r="E526" s="7" t="inlineStr">
        <is>
          <t>A</t>
        </is>
      </c>
      <c r="F526" s="13" t="n">
        <v>1</v>
      </c>
      <c r="G526" s="13" t="n">
        <v>1</v>
      </c>
      <c r="H526" s="8" t="n">
        <v>30.24</v>
      </c>
      <c r="I526" s="8" t="n">
        <v>28.6</v>
      </c>
      <c r="J526" s="8" t="n">
        <v>28.90666666666667</v>
      </c>
      <c r="K526" s="8" t="n"/>
      <c r="L526" s="8" t="n"/>
      <c r="M526" s="8" t="n"/>
      <c r="N526" s="8" t="n"/>
      <c r="O526" s="8" t="n"/>
      <c r="P526" s="8" t="n"/>
      <c r="Q526" s="8" t="n"/>
      <c r="R526" s="8" t="n"/>
      <c r="S526" s="8" t="n"/>
      <c r="T526" s="7" t="inlineStr">
        <is>
          <t>SEM COTAÇÃO</t>
        </is>
      </c>
      <c r="U526" s="8" t="n"/>
      <c r="V526" s="14" t="n"/>
      <c r="W526" s="14" t="n"/>
      <c r="X526" s="7" t="inlineStr"/>
      <c r="Y526" s="7" t="inlineStr"/>
    </row>
    <row r="527">
      <c r="A527" s="7" t="n">
        <v>666701</v>
      </c>
      <c r="B527" s="12" t="inlineStr">
        <is>
          <t>7891106916288</t>
        </is>
      </c>
      <c r="C527" s="7" t="inlineStr">
        <is>
          <t>BEPANTOL LENCOS UMED BIO 48UN-DEMAIS PROD</t>
        </is>
      </c>
      <c r="D527" s="7" t="inlineStr">
        <is>
          <t>RX</t>
        </is>
      </c>
      <c r="E527" s="7" t="inlineStr">
        <is>
          <t>C</t>
        </is>
      </c>
      <c r="F527" s="13" t="n">
        <v>2</v>
      </c>
      <c r="G527" s="13" t="n">
        <v>2</v>
      </c>
      <c r="H527" s="8" t="n">
        <v>15.26</v>
      </c>
      <c r="I527" s="8" t="n">
        <v>13.89</v>
      </c>
      <c r="J527" s="8" t="n">
        <v>14.80333333333333</v>
      </c>
      <c r="K527" s="8" t="n"/>
      <c r="L527" s="8" t="n"/>
      <c r="M527" s="8" t="n"/>
      <c r="N527" s="8" t="n"/>
      <c r="O527" s="8" t="n"/>
      <c r="P527" s="8" t="n"/>
      <c r="Q527" s="8" t="n"/>
      <c r="R527" s="8" t="n"/>
      <c r="S527" s="8" t="n"/>
      <c r="T527" s="7" t="inlineStr">
        <is>
          <t>SEM COTAÇÃO</t>
        </is>
      </c>
      <c r="U527" s="8" t="n"/>
      <c r="V527" s="14" t="n"/>
      <c r="W527" s="14" t="n"/>
      <c r="X527" s="7" t="inlineStr"/>
      <c r="Y527" s="7" t="inlineStr"/>
    </row>
    <row r="528">
      <c r="A528" s="7" t="n">
        <v>666691</v>
      </c>
      <c r="B528" s="12" t="inlineStr">
        <is>
          <t>7891106916516</t>
        </is>
      </c>
      <c r="C528" s="7" t="inlineStr">
        <is>
          <t>BEPANTOL TATTOO CR RESTAURA 30G-DEMAIS PROD</t>
        </is>
      </c>
      <c r="D528" s="7" t="inlineStr">
        <is>
          <t>RX</t>
        </is>
      </c>
      <c r="E528" s="7" t="inlineStr">
        <is>
          <t>B</t>
        </is>
      </c>
      <c r="F528" s="13" t="n">
        <v>2</v>
      </c>
      <c r="G528" s="13" t="n">
        <v>2</v>
      </c>
      <c r="H528" s="8" t="n">
        <v>26.77</v>
      </c>
      <c r="I528" s="8" t="n">
        <v>22.445</v>
      </c>
      <c r="J528" s="8" t="n">
        <v>22.445</v>
      </c>
      <c r="K528" s="8" t="n"/>
      <c r="L528" s="8" t="n"/>
      <c r="M528" s="8" t="n">
        <v>25.25</v>
      </c>
      <c r="N528" s="8" t="n"/>
      <c r="O528" s="15" t="n">
        <v>28.44</v>
      </c>
      <c r="P528" s="8" t="n">
        <v>39.6633</v>
      </c>
      <c r="Q528" s="8" t="n"/>
      <c r="R528" s="8" t="n"/>
      <c r="S528" s="8" t="n"/>
      <c r="T528" s="7" t="inlineStr">
        <is>
          <t>TAPAJOS</t>
        </is>
      </c>
      <c r="U528" s="8" t="n">
        <v>28.44</v>
      </c>
      <c r="V528" s="14">
        <f>U528/J528-1</f>
        <v/>
      </c>
      <c r="W528" s="14">
        <f>U528/H528-1</f>
        <v/>
      </c>
      <c r="X528" s="16" t="inlineStr">
        <is>
          <t>ACIMA +6.2%</t>
        </is>
      </c>
      <c r="Y528" s="7" t="inlineStr">
        <is>
          <t>EPAN: sem estoque</t>
        </is>
      </c>
    </row>
    <row r="529">
      <c r="A529" s="7" t="n">
        <v>208141</v>
      </c>
      <c r="B529" s="12" t="inlineStr">
        <is>
          <t>7896523210797</t>
        </is>
      </c>
      <c r="C529" s="7" t="inlineStr">
        <is>
          <t>BEPANTRIZ 50MG/G POM DERM BG 30G</t>
        </is>
      </c>
      <c r="D529" s="7" t="inlineStr">
        <is>
          <t>SIMILAR</t>
        </is>
      </c>
      <c r="E529" s="7" t="inlineStr">
        <is>
          <t>A</t>
        </is>
      </c>
      <c r="F529" s="13" t="n">
        <v>9</v>
      </c>
      <c r="G529" s="13" t="n">
        <v>9</v>
      </c>
      <c r="H529" s="8" t="n">
        <v>6.49</v>
      </c>
      <c r="I529" s="8" t="n">
        <v>6.49</v>
      </c>
      <c r="J529" s="8" t="n">
        <v>6.489999999999999</v>
      </c>
      <c r="K529" s="15" t="n">
        <v>7.43</v>
      </c>
      <c r="L529" s="8" t="n"/>
      <c r="M529" s="8" t="n"/>
      <c r="N529" s="8" t="n"/>
      <c r="O529" s="8" t="n"/>
      <c r="P529" s="8" t="n">
        <v>21.44</v>
      </c>
      <c r="Q529" s="8" t="n"/>
      <c r="R529" s="8" t="n"/>
      <c r="S529" s="8" t="n"/>
      <c r="T529" s="7" t="inlineStr">
        <is>
          <t>DIMEC</t>
        </is>
      </c>
      <c r="U529" s="8" t="n">
        <v>7.43</v>
      </c>
      <c r="V529" s="14">
        <f>U529/J529-1</f>
        <v/>
      </c>
      <c r="W529" s="14">
        <f>U529/H529-1</f>
        <v/>
      </c>
      <c r="X529" s="16" t="inlineStr">
        <is>
          <t>ACIMA +14.5%</t>
        </is>
      </c>
      <c r="Y529" s="7" t="inlineStr">
        <is>
          <t>NAZARIA: conferir emb.</t>
        </is>
      </c>
    </row>
    <row r="530">
      <c r="A530" s="7" t="n">
        <v>605681</v>
      </c>
      <c r="B530" s="12" t="inlineStr">
        <is>
          <t>7897947612365</t>
        </is>
      </c>
      <c r="C530" s="7" t="inlineStr">
        <is>
          <t>BEPANTRIZ DERMA CREM LAB BG 7,5 ML</t>
        </is>
      </c>
      <c r="D530" s="7" t="inlineStr">
        <is>
          <t>SIMILAR</t>
        </is>
      </c>
      <c r="E530" s="7" t="inlineStr">
        <is>
          <t>B</t>
        </is>
      </c>
      <c r="F530" s="13" t="n">
        <v>2</v>
      </c>
      <c r="G530" s="13" t="n">
        <v>2</v>
      </c>
      <c r="H530" s="8" t="n">
        <v>10.64</v>
      </c>
      <c r="I530" s="8" t="n">
        <v>10.64</v>
      </c>
      <c r="J530" s="8" t="n">
        <v>10.64</v>
      </c>
      <c r="K530" s="8" t="n"/>
      <c r="L530" s="8" t="n"/>
      <c r="M530" s="8" t="n"/>
      <c r="N530" s="8" t="n"/>
      <c r="O530" s="8" t="n"/>
      <c r="P530" s="15" t="n">
        <v>12.48</v>
      </c>
      <c r="Q530" s="8" t="n"/>
      <c r="R530" s="8" t="n"/>
      <c r="S530" s="8" t="n"/>
      <c r="T530" s="7" t="inlineStr">
        <is>
          <t>NAZARIA</t>
        </is>
      </c>
      <c r="U530" s="8" t="n">
        <v>12.48</v>
      </c>
      <c r="V530" s="14">
        <f>U530/J530-1</f>
        <v/>
      </c>
      <c r="W530" s="14">
        <f>U530/H530-1</f>
        <v/>
      </c>
      <c r="X530" s="16" t="inlineStr">
        <is>
          <t>ACIMA +17.3%</t>
        </is>
      </c>
      <c r="Y530" s="7" t="inlineStr"/>
    </row>
    <row r="531">
      <c r="A531" s="7" t="n">
        <v>557101</v>
      </c>
      <c r="B531" s="12" t="inlineStr"/>
      <c r="C531" s="7" t="inlineStr">
        <is>
          <t>BEPANTRIZ TATTOO CREM BG 20G</t>
        </is>
      </c>
      <c r="D531" s="7" t="inlineStr">
        <is>
          <t>SIMILAR</t>
        </is>
      </c>
      <c r="E531" s="7" t="inlineStr">
        <is>
          <t>A</t>
        </is>
      </c>
      <c r="F531" s="13" t="n">
        <v>8</v>
      </c>
      <c r="G531" s="13" t="n">
        <v>8</v>
      </c>
      <c r="H531" s="8" t="n">
        <v>12.55</v>
      </c>
      <c r="I531" s="8" t="n">
        <v>11.59</v>
      </c>
      <c r="J531" s="8" t="n">
        <v>12.21</v>
      </c>
      <c r="K531" s="8" t="n"/>
      <c r="L531" s="8" t="n"/>
      <c r="M531" s="8" t="n"/>
      <c r="N531" s="8" t="n"/>
      <c r="O531" s="8" t="n"/>
      <c r="P531" s="8" t="n"/>
      <c r="Q531" s="8" t="n"/>
      <c r="R531" s="8" t="n"/>
      <c r="S531" s="8" t="n"/>
      <c r="T531" s="7" t="inlineStr">
        <is>
          <t>SEM COTAÇÃO</t>
        </is>
      </c>
      <c r="U531" s="8" t="n"/>
      <c r="V531" s="14" t="n"/>
      <c r="W531" s="14" t="n"/>
      <c r="X531" s="7" t="inlineStr"/>
      <c r="Y531" s="7" t="inlineStr"/>
    </row>
    <row r="532">
      <c r="A532" s="7" t="n">
        <v>82401</v>
      </c>
      <c r="B532" s="12" t="inlineStr">
        <is>
          <t>7896026171182</t>
        </is>
      </c>
      <c r="C532" s="7" t="inlineStr">
        <is>
          <t>BESEROL 300+125+50+30MG CX 12 COMP</t>
        </is>
      </c>
      <c r="D532" s="7" t="inlineStr">
        <is>
          <t>RX</t>
        </is>
      </c>
      <c r="E532" s="7" t="inlineStr">
        <is>
          <t>A</t>
        </is>
      </c>
      <c r="F532" s="13" t="n">
        <v>4</v>
      </c>
      <c r="G532" s="13" t="n">
        <v>4</v>
      </c>
      <c r="H532" s="8" t="n">
        <v>18.3167</v>
      </c>
      <c r="I532" s="8" t="n">
        <v>11.71</v>
      </c>
      <c r="J532" s="8" t="n">
        <v>12.97953333333333</v>
      </c>
      <c r="K532" s="8" t="n"/>
      <c r="L532" s="8" t="n"/>
      <c r="M532" s="15" t="n">
        <v>14.43</v>
      </c>
      <c r="N532" s="8" t="n"/>
      <c r="O532" s="8" t="n"/>
      <c r="P532" s="8" t="n">
        <v>19.056</v>
      </c>
      <c r="Q532" s="8" t="n"/>
      <c r="R532" s="8" t="n"/>
      <c r="S532" s="8" t="n"/>
      <c r="T532" s="7" t="inlineStr">
        <is>
          <t>EPAN</t>
        </is>
      </c>
      <c r="U532" s="8" t="n">
        <v>14.43</v>
      </c>
      <c r="V532" s="14">
        <f>U532/J532-1</f>
        <v/>
      </c>
      <c r="W532" s="14">
        <f>U532/H532-1</f>
        <v/>
      </c>
      <c r="X532" s="17" t="inlineStr">
        <is>
          <t>OK (≤ últ. compra)</t>
        </is>
      </c>
      <c r="Y532" s="7" t="inlineStr">
        <is>
          <t>NAZARIA: sem estoque</t>
        </is>
      </c>
    </row>
    <row r="533">
      <c r="A533" s="7" t="n">
        <v>82381</v>
      </c>
      <c r="B533" s="12" t="inlineStr"/>
      <c r="C533" s="7" t="inlineStr">
        <is>
          <t>BESEROL 300+125+50+30MG CX 4 COMP</t>
        </is>
      </c>
      <c r="D533" s="7" t="inlineStr">
        <is>
          <t>RX</t>
        </is>
      </c>
      <c r="E533" s="7" t="inlineStr">
        <is>
          <t>B</t>
        </is>
      </c>
      <c r="F533" s="13" t="n">
        <v>1</v>
      </c>
      <c r="G533" s="13" t="n">
        <v>1</v>
      </c>
      <c r="H533" s="8" t="n">
        <v>4.6556</v>
      </c>
      <c r="I533" s="8" t="n">
        <v>3.84</v>
      </c>
      <c r="J533" s="8" t="n">
        <v>4.208533333333333</v>
      </c>
      <c r="K533" s="8" t="n"/>
      <c r="L533" s="8" t="n"/>
      <c r="M533" s="8" t="n"/>
      <c r="N533" s="8" t="n"/>
      <c r="O533" s="8" t="n"/>
      <c r="P533" s="8" t="n"/>
      <c r="Q533" s="8" t="n"/>
      <c r="R533" s="8" t="n"/>
      <c r="S533" s="8" t="n"/>
      <c r="T533" s="7" t="inlineStr">
        <is>
          <t>SEM COTAÇÃO</t>
        </is>
      </c>
      <c r="U533" s="8" t="n"/>
      <c r="V533" s="14" t="n"/>
      <c r="W533" s="14" t="n"/>
      <c r="X533" s="7" t="inlineStr"/>
      <c r="Y533" s="7" t="inlineStr"/>
    </row>
    <row r="534">
      <c r="A534" s="7" t="n">
        <v>52641</v>
      </c>
      <c r="B534" s="12" t="inlineStr"/>
      <c r="C534" s="7" t="inlineStr">
        <is>
          <t>BESILATO DE ANLODIPINO 10MG CX 30 COMP</t>
        </is>
      </c>
      <c r="D534" s="7" t="inlineStr">
        <is>
          <t>GENERICO</t>
        </is>
      </c>
      <c r="E534" s="7" t="inlineStr">
        <is>
          <t>A</t>
        </is>
      </c>
      <c r="F534" s="13" t="n">
        <v>2</v>
      </c>
      <c r="G534" s="13" t="n">
        <v>2</v>
      </c>
      <c r="H534" s="8" t="n">
        <v>2.19</v>
      </c>
      <c r="I534" s="8" t="n">
        <v>2.11</v>
      </c>
      <c r="J534" s="8" t="n">
        <v>2.136666666666667</v>
      </c>
      <c r="K534" s="8" t="n"/>
      <c r="L534" s="8" t="n"/>
      <c r="M534" s="8" t="n"/>
      <c r="N534" s="8" t="n"/>
      <c r="O534" s="8" t="n"/>
      <c r="P534" s="8" t="n"/>
      <c r="Q534" s="8" t="n"/>
      <c r="R534" s="8" t="n"/>
      <c r="S534" s="8" t="n"/>
      <c r="T534" s="7" t="inlineStr">
        <is>
          <t>SEM COTAÇÃO</t>
        </is>
      </c>
      <c r="U534" s="8" t="n"/>
      <c r="V534" s="14" t="n"/>
      <c r="W534" s="14" t="n"/>
      <c r="X534" s="7" t="inlineStr"/>
      <c r="Y534" s="7" t="inlineStr"/>
    </row>
    <row r="535">
      <c r="A535" s="7" t="n">
        <v>50641</v>
      </c>
      <c r="B535" s="12" t="inlineStr">
        <is>
          <t>7895296415019</t>
        </is>
      </c>
      <c r="C535" s="7" t="inlineStr">
        <is>
          <t>BESILATO DE ANLODIPINO 5MG CX 30 COMP</t>
        </is>
      </c>
      <c r="D535" s="7" t="inlineStr">
        <is>
          <t>GENERICO</t>
        </is>
      </c>
      <c r="E535" s="7" t="inlineStr">
        <is>
          <t>C</t>
        </is>
      </c>
      <c r="F535" s="13" t="n">
        <v>5</v>
      </c>
      <c r="G535" s="13" t="n">
        <v>5</v>
      </c>
      <c r="H535" s="8" t="n">
        <v>1.8254</v>
      </c>
      <c r="I535" s="8" t="n">
        <v>1.8254</v>
      </c>
      <c r="J535" s="8" t="n">
        <v>1.8254</v>
      </c>
      <c r="K535" s="8" t="n"/>
      <c r="L535" s="8" t="n"/>
      <c r="M535" s="8" t="n"/>
      <c r="N535" s="8" t="n"/>
      <c r="O535" s="8" t="n"/>
      <c r="P535" s="8" t="n"/>
      <c r="Q535" s="8" t="n"/>
      <c r="R535" s="8" t="n"/>
      <c r="S535" s="8" t="n"/>
      <c r="T535" s="7" t="inlineStr">
        <is>
          <t>SEM COTAÇÃO</t>
        </is>
      </c>
      <c r="U535" s="8" t="n"/>
      <c r="V535" s="14" t="n"/>
      <c r="W535" s="14" t="n"/>
      <c r="X535" s="7" t="inlineStr"/>
      <c r="Y535" s="7" t="inlineStr"/>
    </row>
    <row r="536">
      <c r="A536" s="7" t="n">
        <v>583821</v>
      </c>
      <c r="B536" s="12" t="inlineStr">
        <is>
          <t>7897917004688</t>
        </is>
      </c>
      <c r="C536" s="7" t="inlineStr">
        <is>
          <t>BETACORTAZOL 20+0,64+2,5 MG/G CREM DERM BG 30G</t>
        </is>
      </c>
      <c r="D536" s="7" t="inlineStr">
        <is>
          <t>SIMILAR</t>
        </is>
      </c>
      <c r="E536" s="7" t="inlineStr">
        <is>
          <t>A</t>
        </is>
      </c>
      <c r="F536" s="13" t="n">
        <v>105</v>
      </c>
      <c r="G536" s="13" t="n">
        <v>105</v>
      </c>
      <c r="H536" s="8" t="n">
        <v>6.04</v>
      </c>
      <c r="I536" s="8" t="n">
        <v>6.04</v>
      </c>
      <c r="J536" s="8" t="n">
        <v>6.04</v>
      </c>
      <c r="K536" s="8" t="n"/>
      <c r="L536" s="8" t="n"/>
      <c r="M536" s="8" t="n"/>
      <c r="N536" s="8" t="n"/>
      <c r="O536" s="8" t="n"/>
      <c r="P536" s="8" t="n"/>
      <c r="Q536" s="8" t="n"/>
      <c r="R536" s="8" t="n"/>
      <c r="S536" s="8" t="n"/>
      <c r="T536" s="7" t="inlineStr">
        <is>
          <t>SEM COTAÇÃO</t>
        </is>
      </c>
      <c r="U536" s="8" t="n"/>
      <c r="V536" s="14" t="n"/>
      <c r="W536" s="14" t="n"/>
      <c r="X536" s="7" t="inlineStr"/>
      <c r="Y536" s="7" t="inlineStr"/>
    </row>
    <row r="537">
      <c r="A537" s="7" t="n">
        <v>3763</v>
      </c>
      <c r="B537" s="12" t="inlineStr">
        <is>
          <t>7897917001960</t>
        </is>
      </c>
      <c r="C537" s="7" t="inlineStr">
        <is>
          <t>BETACORTAZOL SHAMPOO 100ML BELFAR(BETACOR</t>
        </is>
      </c>
      <c r="D537" s="7" t="inlineStr">
        <is>
          <t>SIMILAR</t>
        </is>
      </c>
      <c r="E537" s="7" t="inlineStr">
        <is>
          <t>B</t>
        </is>
      </c>
      <c r="F537" s="13" t="n">
        <v>6</v>
      </c>
      <c r="G537" s="13" t="n">
        <v>6</v>
      </c>
      <c r="H537" s="8" t="n">
        <v>6.75</v>
      </c>
      <c r="I537" s="8" t="n">
        <v>6.75</v>
      </c>
      <c r="J537" s="8" t="n">
        <v>6.75</v>
      </c>
      <c r="K537" s="8" t="n"/>
      <c r="L537" s="8" t="n"/>
      <c r="M537" s="8" t="n"/>
      <c r="N537" s="8" t="n"/>
      <c r="O537" s="8" t="n"/>
      <c r="P537" s="8" t="n"/>
      <c r="Q537" s="8" t="n"/>
      <c r="R537" s="8" t="n"/>
      <c r="S537" s="8" t="n"/>
      <c r="T537" s="7" t="inlineStr">
        <is>
          <t>SEM COTAÇÃO</t>
        </is>
      </c>
      <c r="U537" s="8" t="n"/>
      <c r="V537" s="14" t="n"/>
      <c r="W537" s="14" t="n"/>
      <c r="X537" s="7" t="inlineStr"/>
      <c r="Y537" s="7" t="inlineStr"/>
    </row>
    <row r="538">
      <c r="A538" s="7" t="n">
        <v>31103</v>
      </c>
      <c r="B538" s="12" t="inlineStr">
        <is>
          <t>7896714296418</t>
        </is>
      </c>
      <c r="C538" s="7" t="inlineStr">
        <is>
          <t>BETAM+DIPR FOS 5MG/ML C/1APX1ML (NQG)</t>
        </is>
      </c>
      <c r="D538" s="7" t="inlineStr">
        <is>
          <t>GENERICO</t>
        </is>
      </c>
      <c r="E538" s="7" t="inlineStr">
        <is>
          <t>C</t>
        </is>
      </c>
      <c r="F538" s="13" t="n">
        <v>9</v>
      </c>
      <c r="G538" s="13" t="n">
        <v>9</v>
      </c>
      <c r="H538" s="8" t="n">
        <v>6.37</v>
      </c>
      <c r="I538" s="8" t="n">
        <v>5.76</v>
      </c>
      <c r="J538" s="8" t="n">
        <v>5.760000000000001</v>
      </c>
      <c r="K538" s="8" t="n"/>
      <c r="L538" s="8" t="n"/>
      <c r="M538" s="8" t="n"/>
      <c r="N538" s="8" t="n"/>
      <c r="O538" s="15" t="n">
        <v>5.76</v>
      </c>
      <c r="P538" s="8" t="n"/>
      <c r="Q538" s="8" t="n">
        <v>6.12</v>
      </c>
      <c r="R538" s="8" t="n"/>
      <c r="S538" s="8" t="n"/>
      <c r="T538" s="7" t="inlineStr">
        <is>
          <t>TAPAJOS</t>
        </is>
      </c>
      <c r="U538" s="8" t="n">
        <v>5.76</v>
      </c>
      <c r="V538" s="14">
        <f>U538/J538-1</f>
        <v/>
      </c>
      <c r="W538" s="14">
        <f>U538/H538-1</f>
        <v/>
      </c>
      <c r="X538" s="17" t="inlineStr">
        <is>
          <t>OK (≤ menor hist.)</t>
        </is>
      </c>
      <c r="Y538" s="7" t="inlineStr"/>
    </row>
    <row r="539">
      <c r="A539" s="7" t="n">
        <v>254101</v>
      </c>
      <c r="B539" s="12" t="inlineStr">
        <is>
          <t>7891317103323</t>
        </is>
      </c>
      <c r="C539" s="7" t="inlineStr">
        <is>
          <t>BETATRINTA 5+2MG/ML SUS INJ AMP X 1ML+SER SIST</t>
        </is>
      </c>
      <c r="D539" s="7" t="inlineStr">
        <is>
          <t>RX</t>
        </is>
      </c>
      <c r="E539" s="7" t="inlineStr">
        <is>
          <t>A</t>
        </is>
      </c>
      <c r="F539" s="13" t="n">
        <v>70</v>
      </c>
      <c r="G539" s="13" t="n">
        <v>70</v>
      </c>
      <c r="H539" s="8" t="n">
        <v>22.91</v>
      </c>
      <c r="I539" s="8" t="n">
        <v>20.871</v>
      </c>
      <c r="J539" s="8" t="n">
        <v>22.147</v>
      </c>
      <c r="K539" s="8" t="n"/>
      <c r="L539" s="8" t="n"/>
      <c r="M539" s="8" t="n"/>
      <c r="N539" s="8" t="n"/>
      <c r="O539" s="15" t="n">
        <v>22.91</v>
      </c>
      <c r="P539" s="8" t="n">
        <v>23.8826</v>
      </c>
      <c r="Q539" s="8" t="n"/>
      <c r="R539" s="8" t="n"/>
      <c r="S539" s="8" t="n"/>
      <c r="T539" s="7" t="inlineStr">
        <is>
          <t>TAPAJOS</t>
        </is>
      </c>
      <c r="U539" s="8" t="n">
        <v>22.91</v>
      </c>
      <c r="V539" s="14">
        <f>U539/J539-1</f>
        <v/>
      </c>
      <c r="W539" s="14">
        <f>U539/H539-1</f>
        <v/>
      </c>
      <c r="X539" s="17" t="inlineStr">
        <is>
          <t>OK (≤ últ. compra)</t>
        </is>
      </c>
      <c r="Y539" s="7" t="inlineStr"/>
    </row>
    <row r="540">
      <c r="A540" s="7" t="n">
        <v>128081</v>
      </c>
      <c r="B540" s="12" t="inlineStr">
        <is>
          <t>7891317478964</t>
        </is>
      </c>
      <c r="C540" s="7" t="inlineStr">
        <is>
          <t>BETINA 24MG CX 30 COMP</t>
        </is>
      </c>
      <c r="D540" s="7" t="inlineStr">
        <is>
          <t>RX</t>
        </is>
      </c>
      <c r="E540" s="7" t="inlineStr">
        <is>
          <t>B</t>
        </is>
      </c>
      <c r="F540" s="13" t="n">
        <v>3</v>
      </c>
      <c r="G540" s="13" t="n">
        <v>3</v>
      </c>
      <c r="H540" s="8" t="n">
        <v>29.58</v>
      </c>
      <c r="I540" s="8" t="n">
        <v>26.87</v>
      </c>
      <c r="J540" s="8" t="n">
        <v>28.17333333333333</v>
      </c>
      <c r="K540" s="8" t="n"/>
      <c r="L540" s="8" t="n"/>
      <c r="M540" s="8" t="n">
        <v>29.58</v>
      </c>
      <c r="N540" s="8" t="n"/>
      <c r="O540" s="15" t="n">
        <v>28.76</v>
      </c>
      <c r="P540" s="8" t="n">
        <v>29.988</v>
      </c>
      <c r="Q540" s="8" t="n"/>
      <c r="R540" s="8" t="n"/>
      <c r="S540" s="8" t="n"/>
      <c r="T540" s="7" t="inlineStr">
        <is>
          <t>TAPAJOS</t>
        </is>
      </c>
      <c r="U540" s="8" t="n">
        <v>28.76</v>
      </c>
      <c r="V540" s="14">
        <f>U540/J540-1</f>
        <v/>
      </c>
      <c r="W540" s="14">
        <f>U540/H540-1</f>
        <v/>
      </c>
      <c r="X540" s="17" t="inlineStr">
        <is>
          <t>OK (≤ últ. compra)</t>
        </is>
      </c>
      <c r="Y540" s="7" t="inlineStr"/>
    </row>
    <row r="541">
      <c r="A541" s="7" t="n">
        <v>593551</v>
      </c>
      <c r="B541" s="12" t="inlineStr"/>
      <c r="C541" s="7" t="inlineStr">
        <is>
          <t>BEXAI 35MG CX 10 CAP</t>
        </is>
      </c>
      <c r="D541" s="7" t="inlineStr">
        <is>
          <t>RX</t>
        </is>
      </c>
      <c r="E541" s="7" t="inlineStr">
        <is>
          <t>A</t>
        </is>
      </c>
      <c r="F541" s="13" t="n">
        <v>2</v>
      </c>
      <c r="G541" s="13" t="n">
        <v>2</v>
      </c>
      <c r="H541" s="8" t="n">
        <v>48.14</v>
      </c>
      <c r="I541" s="8" t="n">
        <v>45.3867</v>
      </c>
      <c r="J541" s="8" t="n">
        <v>45.3867</v>
      </c>
      <c r="K541" s="8" t="n"/>
      <c r="L541" s="8" t="n"/>
      <c r="M541" s="8" t="n"/>
      <c r="N541" s="8" t="n"/>
      <c r="O541" s="8" t="n"/>
      <c r="P541" s="8" t="n"/>
      <c r="Q541" s="8" t="n"/>
      <c r="R541" s="8" t="n"/>
      <c r="S541" s="8" t="n"/>
      <c r="T541" s="7" t="inlineStr">
        <is>
          <t>SEM COTAÇÃO</t>
        </is>
      </c>
      <c r="U541" s="8" t="n"/>
      <c r="V541" s="14" t="n"/>
      <c r="W541" s="14" t="n"/>
      <c r="X541" s="7" t="inlineStr"/>
      <c r="Y541" s="7" t="inlineStr"/>
    </row>
    <row r="542">
      <c r="A542" s="7" t="n">
        <v>538061</v>
      </c>
      <c r="B542" s="12" t="inlineStr">
        <is>
          <t>7898031310303</t>
        </is>
      </c>
      <c r="C542" s="7" t="inlineStr">
        <is>
          <t>BICARBONATO DE SODIO 100G</t>
        </is>
      </c>
      <c r="D542" s="7" t="inlineStr">
        <is>
          <t>SIMILAR</t>
        </is>
      </c>
      <c r="E542" s="7" t="inlineStr">
        <is>
          <t>B</t>
        </is>
      </c>
      <c r="F542" s="13" t="n">
        <v>24</v>
      </c>
      <c r="G542" s="13" t="n">
        <v>24</v>
      </c>
      <c r="H542" s="8" t="n">
        <v>3.05</v>
      </c>
      <c r="I542" s="8" t="n">
        <v>3.05</v>
      </c>
      <c r="J542" s="8" t="n">
        <v>3.049999999999999</v>
      </c>
      <c r="K542" s="15" t="n">
        <v>3.23</v>
      </c>
      <c r="L542" s="8" t="n"/>
      <c r="M542" s="8" t="n"/>
      <c r="N542" s="8" t="n"/>
      <c r="O542" s="8" t="n"/>
      <c r="P542" s="8" t="n">
        <v>3.43</v>
      </c>
      <c r="Q542" s="8" t="n"/>
      <c r="R542" s="8" t="n"/>
      <c r="S542" s="8" t="n"/>
      <c r="T542" s="7" t="inlineStr">
        <is>
          <t>DIMEC</t>
        </is>
      </c>
      <c r="U542" s="8" t="n">
        <v>3.23</v>
      </c>
      <c r="V542" s="14">
        <f>U542/J542-1</f>
        <v/>
      </c>
      <c r="W542" s="14">
        <f>U542/H542-1</f>
        <v/>
      </c>
      <c r="X542" s="16" t="inlineStr">
        <is>
          <t>ACIMA +5.9%</t>
        </is>
      </c>
      <c r="Y542" s="7" t="inlineStr"/>
    </row>
    <row r="543">
      <c r="A543" s="7" t="n">
        <v>538081</v>
      </c>
      <c r="B543" s="12" t="inlineStr">
        <is>
          <t>7898031311232</t>
        </is>
      </c>
      <c r="C543" s="7" t="inlineStr">
        <is>
          <t>BICARBONATO DE SODIO 50G</t>
        </is>
      </c>
      <c r="D543" s="7" t="inlineStr">
        <is>
          <t>SIMILAR</t>
        </is>
      </c>
      <c r="E543" s="7" t="inlineStr">
        <is>
          <t>B</t>
        </is>
      </c>
      <c r="F543" s="13" t="n">
        <v>13</v>
      </c>
      <c r="G543" s="13" t="n">
        <v>13</v>
      </c>
      <c r="H543" s="8" t="n">
        <v>2.29</v>
      </c>
      <c r="I543" s="8" t="n">
        <v>2.0758</v>
      </c>
      <c r="J543" s="8" t="n">
        <v>2.2186</v>
      </c>
      <c r="K543" s="8" t="n"/>
      <c r="L543" s="8" t="n"/>
      <c r="M543" s="8" t="n"/>
      <c r="N543" s="8" t="n"/>
      <c r="O543" s="8" t="n"/>
      <c r="P543" s="15" t="n">
        <v>2.55</v>
      </c>
      <c r="Q543" s="8" t="n"/>
      <c r="R543" s="8" t="n"/>
      <c r="S543" s="8" t="n"/>
      <c r="T543" s="7" t="inlineStr">
        <is>
          <t>NAZARIA</t>
        </is>
      </c>
      <c r="U543" s="8" t="n">
        <v>2.55</v>
      </c>
      <c r="V543" s="14">
        <f>U543/J543-1</f>
        <v/>
      </c>
      <c r="W543" s="14">
        <f>U543/H543-1</f>
        <v/>
      </c>
      <c r="X543" s="16" t="inlineStr">
        <is>
          <t>ACIMA +11.4%</t>
        </is>
      </c>
      <c r="Y543" s="7" t="inlineStr"/>
    </row>
    <row r="544">
      <c r="A544" s="7" t="n">
        <v>550721</v>
      </c>
      <c r="B544" s="12" t="inlineStr">
        <is>
          <t>7891317001964</t>
        </is>
      </c>
      <c r="C544" s="7" t="inlineStr">
        <is>
          <t>BICERTO 150MG CX 10 COMP LIB PROL</t>
        </is>
      </c>
      <c r="D544" s="7" t="inlineStr">
        <is>
          <t>RX</t>
        </is>
      </c>
      <c r="E544" s="7" t="inlineStr">
        <is>
          <t>A</t>
        </is>
      </c>
      <c r="F544" s="13" t="n">
        <v>3</v>
      </c>
      <c r="G544" s="13" t="n">
        <v>3</v>
      </c>
      <c r="H544" s="8" t="n">
        <v>41.2</v>
      </c>
      <c r="I544" s="8" t="n">
        <v>36.52</v>
      </c>
      <c r="J544" s="8" t="n">
        <v>38.74666666666667</v>
      </c>
      <c r="K544" s="8" t="n"/>
      <c r="L544" s="8" t="n"/>
      <c r="M544" s="8" t="n"/>
      <c r="N544" s="8" t="n"/>
      <c r="O544" s="15" t="n">
        <v>40.07</v>
      </c>
      <c r="P544" s="8" t="n">
        <v>41.7872</v>
      </c>
      <c r="Q544" s="8" t="n"/>
      <c r="R544" s="8" t="n"/>
      <c r="S544" s="8" t="n"/>
      <c r="T544" s="7" t="inlineStr">
        <is>
          <t>TAPAJOS</t>
        </is>
      </c>
      <c r="U544" s="8" t="n">
        <v>40.07</v>
      </c>
      <c r="V544" s="14">
        <f>U544/J544-1</f>
        <v/>
      </c>
      <c r="W544" s="14">
        <f>U544/H544-1</f>
        <v/>
      </c>
      <c r="X544" s="17" t="inlineStr">
        <is>
          <t>OK (≤ últ. compra)</t>
        </is>
      </c>
      <c r="Y544" s="7" t="inlineStr"/>
    </row>
    <row r="545">
      <c r="A545" s="7" t="n">
        <v>610631</v>
      </c>
      <c r="B545" s="12" t="inlineStr">
        <is>
          <t>7896699011617</t>
        </is>
      </c>
      <c r="C545" s="7" t="inlineStr">
        <is>
          <t>BICO MAMAD SIL BIG REDONDO</t>
        </is>
      </c>
      <c r="D545" s="7" t="inlineStr">
        <is>
          <t>BABY/KIDS</t>
        </is>
      </c>
      <c r="E545" s="7" t="inlineStr">
        <is>
          <t>C</t>
        </is>
      </c>
      <c r="F545" s="13" t="n">
        <v>2</v>
      </c>
      <c r="G545" s="13" t="n">
        <v>2</v>
      </c>
      <c r="H545" s="8" t="n">
        <v>7.51</v>
      </c>
      <c r="I545" s="8" t="n">
        <v>7.51</v>
      </c>
      <c r="J545" s="8" t="n">
        <v>7.510000000000001</v>
      </c>
      <c r="K545" s="8" t="n"/>
      <c r="L545" s="8" t="n"/>
      <c r="M545" s="8" t="n"/>
      <c r="N545" s="8" t="n"/>
      <c r="O545" s="8" t="n"/>
      <c r="P545" s="8" t="n"/>
      <c r="Q545" s="8" t="n"/>
      <c r="R545" s="8" t="n"/>
      <c r="S545" s="8" t="n"/>
      <c r="T545" s="7" t="inlineStr">
        <is>
          <t>SEM COTAÇÃO</t>
        </is>
      </c>
      <c r="U545" s="8" t="n"/>
      <c r="V545" s="14" t="n"/>
      <c r="W545" s="14" t="n"/>
      <c r="X545" s="7" t="inlineStr"/>
      <c r="Y545" s="7" t="inlineStr"/>
    </row>
    <row r="546">
      <c r="A546" s="7" t="n">
        <v>619101</v>
      </c>
      <c r="B546" s="12" t="inlineStr">
        <is>
          <t>7898953484243</t>
        </is>
      </c>
      <c r="C546" s="7" t="inlineStr">
        <is>
          <t>BICO P/ SERINGA DE LAVAGEN NASAL C/2</t>
        </is>
      </c>
      <c r="D546" s="7" t="inlineStr">
        <is>
          <t>BABY/KIDS</t>
        </is>
      </c>
      <c r="E546" s="7" t="inlineStr">
        <is>
          <t>B</t>
        </is>
      </c>
      <c r="F546" s="13" t="n">
        <v>7</v>
      </c>
      <c r="G546" s="13" t="n">
        <v>7</v>
      </c>
      <c r="H546" s="8" t="n">
        <v>4.3</v>
      </c>
      <c r="I546" s="8" t="n">
        <v>4.3</v>
      </c>
      <c r="J546" s="8" t="n">
        <v>4.3</v>
      </c>
      <c r="K546" s="15" t="n">
        <v>4.3</v>
      </c>
      <c r="L546" s="8" t="n"/>
      <c r="M546" s="8" t="n"/>
      <c r="N546" s="8" t="n">
        <v>4.57</v>
      </c>
      <c r="O546" s="8" t="n"/>
      <c r="P546" s="8" t="n"/>
      <c r="Q546" s="8" t="n"/>
      <c r="R546" s="8" t="n"/>
      <c r="S546" s="8" t="n"/>
      <c r="T546" s="7" t="inlineStr">
        <is>
          <t>DIMEC</t>
        </is>
      </c>
      <c r="U546" s="8" t="n">
        <v>4.3</v>
      </c>
      <c r="V546" s="14">
        <f>U546/J546-1</f>
        <v/>
      </c>
      <c r="W546" s="14">
        <f>U546/H546-1</f>
        <v/>
      </c>
      <c r="X546" s="17" t="inlineStr">
        <is>
          <t>OK (≤ menor hist.)</t>
        </is>
      </c>
      <c r="Y546" s="7" t="inlineStr"/>
    </row>
    <row r="547">
      <c r="A547" s="7" t="n">
        <v>538021</v>
      </c>
      <c r="B547" s="12" t="inlineStr">
        <is>
          <t>7896012880265</t>
        </is>
      </c>
      <c r="C547" s="7" t="inlineStr">
        <is>
          <t>BIG FRAL M 8 UN</t>
        </is>
      </c>
      <c r="D547" s="7" t="inlineStr">
        <is>
          <t>FRALDAS GERIATRICAS</t>
        </is>
      </c>
      <c r="E547" s="7" t="inlineStr">
        <is>
          <t>C</t>
        </is>
      </c>
      <c r="F547" s="13" t="n">
        <v>1</v>
      </c>
      <c r="G547" s="13" t="n">
        <v>1</v>
      </c>
      <c r="H547" s="8" t="n">
        <v>23.99</v>
      </c>
      <c r="I547" s="8" t="n">
        <v>23.99</v>
      </c>
      <c r="J547" s="8" t="n">
        <v>23.99</v>
      </c>
      <c r="K547" s="8" t="n"/>
      <c r="L547" s="8" t="n"/>
      <c r="M547" s="8" t="n"/>
      <c r="N547" s="8" t="n"/>
      <c r="O547" s="8" t="n"/>
      <c r="P547" s="8" t="n"/>
      <c r="Q547" s="8" t="n"/>
      <c r="R547" s="8" t="n"/>
      <c r="S547" s="8" t="n"/>
      <c r="T547" s="7" t="inlineStr">
        <is>
          <t>SEM COTAÇÃO</t>
        </is>
      </c>
      <c r="U547" s="8" t="n"/>
      <c r="V547" s="14" t="n"/>
      <c r="W547" s="14" t="n"/>
      <c r="X547" s="7" t="inlineStr"/>
      <c r="Y547" s="7" t="inlineStr"/>
    </row>
    <row r="548">
      <c r="A548" s="7" t="n">
        <v>637791</v>
      </c>
      <c r="B548" s="12" t="inlineStr">
        <is>
          <t>7898126407574</t>
        </is>
      </c>
      <c r="C548" s="7" t="inlineStr">
        <is>
          <t>BIO EXTRATUS MASCARA FORCA PIMENTA 90ML</t>
        </is>
      </c>
      <c r="D548" s="7" t="inlineStr">
        <is>
          <t>COND/SHAM/CREM/SIMILARES</t>
        </is>
      </c>
      <c r="E548" s="7" t="inlineStr">
        <is>
          <t>C</t>
        </is>
      </c>
      <c r="F548" s="13" t="n">
        <v>1</v>
      </c>
      <c r="G548" s="13" t="n">
        <v>1</v>
      </c>
      <c r="H548" s="8" t="n">
        <v>17.13</v>
      </c>
      <c r="I548" s="8" t="n">
        <v>17.13</v>
      </c>
      <c r="J548" s="8" t="n">
        <v>17.13</v>
      </c>
      <c r="K548" s="8" t="n"/>
      <c r="L548" s="8" t="n"/>
      <c r="M548" s="8" t="n"/>
      <c r="N548" s="8" t="n"/>
      <c r="O548" s="8" t="n"/>
      <c r="P548" s="8" t="n"/>
      <c r="Q548" s="8" t="n"/>
      <c r="R548" s="8" t="n"/>
      <c r="S548" s="8" t="n"/>
      <c r="T548" s="7" t="inlineStr">
        <is>
          <t>SEM COTAÇÃO</t>
        </is>
      </c>
      <c r="U548" s="8" t="n"/>
      <c r="V548" s="14" t="n"/>
      <c r="W548" s="14" t="n"/>
      <c r="X548" s="7" t="inlineStr"/>
      <c r="Y548" s="7" t="inlineStr"/>
    </row>
    <row r="549">
      <c r="A549" s="7" t="n">
        <v>114841</v>
      </c>
      <c r="B549" s="12" t="inlineStr">
        <is>
          <t>7892953003527</t>
        </is>
      </c>
      <c r="C549" s="7" t="inlineStr">
        <is>
          <t>BIO-VAGIN 62,5+1,25MG+25.000UI/G CREM VAG BG 40G+10APL</t>
        </is>
      </c>
      <c r="D549" s="7" t="inlineStr">
        <is>
          <t>RX - REFERENCIA - ATB</t>
        </is>
      </c>
      <c r="E549" s="7" t="inlineStr">
        <is>
          <t>B</t>
        </is>
      </c>
      <c r="F549" s="13" t="n">
        <v>1</v>
      </c>
      <c r="G549" s="13" t="n">
        <v>1</v>
      </c>
      <c r="H549" s="8" t="n">
        <v>61.69</v>
      </c>
      <c r="I549" s="8" t="n">
        <v>54.79</v>
      </c>
      <c r="J549" s="8" t="n">
        <v>58.31</v>
      </c>
      <c r="K549" s="8" t="n"/>
      <c r="L549" s="8" t="n"/>
      <c r="M549" s="8" t="n"/>
      <c r="N549" s="8" t="n"/>
      <c r="O549" s="15" t="n">
        <v>58.74</v>
      </c>
      <c r="P549" s="8" t="n">
        <v>61.2402</v>
      </c>
      <c r="Q549" s="8" t="n"/>
      <c r="R549" s="8" t="n"/>
      <c r="S549" s="8" t="n"/>
      <c r="T549" s="7" t="inlineStr">
        <is>
          <t>TAPAJOS</t>
        </is>
      </c>
      <c r="U549" s="8" t="n">
        <v>58.74</v>
      </c>
      <c r="V549" s="14">
        <f>U549/J549-1</f>
        <v/>
      </c>
      <c r="W549" s="14">
        <f>U549/H549-1</f>
        <v/>
      </c>
      <c r="X549" s="17" t="inlineStr">
        <is>
          <t>OK (≤ últ. compra)</t>
        </is>
      </c>
      <c r="Y549" s="7" t="inlineStr"/>
    </row>
    <row r="550">
      <c r="A550" s="7" t="n">
        <v>4743</v>
      </c>
      <c r="B550" s="12" t="inlineStr">
        <is>
          <t>7898656168143</t>
        </is>
      </c>
      <c r="C550" s="7" t="inlineStr">
        <is>
          <t>BIOCALCIO B12 KIDS 240ML</t>
        </is>
      </c>
      <c r="D550" s="7" t="inlineStr">
        <is>
          <t>VITAMINA E SIMILARES</t>
        </is>
      </c>
      <c r="E550" s="7" t="inlineStr">
        <is>
          <t>B</t>
        </is>
      </c>
      <c r="F550" s="13" t="n">
        <v>2</v>
      </c>
      <c r="G550" s="13" t="n">
        <v>2</v>
      </c>
      <c r="H550" s="8" t="n"/>
      <c r="I550" s="8" t="n"/>
      <c r="J550" s="8" t="n"/>
      <c r="K550" s="8" t="n"/>
      <c r="L550" s="8" t="n"/>
      <c r="M550" s="8" t="n"/>
      <c r="N550" s="8" t="n"/>
      <c r="O550" s="8" t="n"/>
      <c r="P550" s="8" t="n"/>
      <c r="Q550" s="8" t="n"/>
      <c r="R550" s="8" t="n"/>
      <c r="S550" s="8" t="n"/>
      <c r="T550" s="7" t="inlineStr">
        <is>
          <t>SEM COTAÇÃO</t>
        </is>
      </c>
      <c r="U550" s="8" t="n"/>
      <c r="V550" s="14" t="n"/>
      <c r="W550" s="14" t="n"/>
      <c r="X550" s="7" t="inlineStr"/>
      <c r="Y550" s="7" t="inlineStr"/>
    </row>
    <row r="551">
      <c r="A551" s="7" t="n">
        <v>210861</v>
      </c>
      <c r="B551" s="12" t="inlineStr">
        <is>
          <t>7896658014321</t>
        </is>
      </c>
      <c r="C551" s="7" t="inlineStr">
        <is>
          <t>BIOFENAC 11,6MG/G SOL SER TB 60G</t>
        </is>
      </c>
      <c r="D551" s="7" t="inlineStr">
        <is>
          <t>RX - OTC</t>
        </is>
      </c>
      <c r="E551" s="7" t="inlineStr">
        <is>
          <t>A</t>
        </is>
      </c>
      <c r="F551" s="13" t="n">
        <v>6</v>
      </c>
      <c r="G551" s="13" t="n">
        <v>6</v>
      </c>
      <c r="H551" s="8" t="n">
        <v>25.4536</v>
      </c>
      <c r="I551" s="8" t="n">
        <v>24.008</v>
      </c>
      <c r="J551" s="8" t="n">
        <v>24.652</v>
      </c>
      <c r="K551" s="8" t="n"/>
      <c r="L551" s="8" t="n"/>
      <c r="M551" s="8" t="n">
        <v>31.4</v>
      </c>
      <c r="N551" s="8" t="n"/>
      <c r="O551" s="15" t="n">
        <v>29.9</v>
      </c>
      <c r="P551" s="8" t="n">
        <v>31.1738</v>
      </c>
      <c r="Q551" s="8" t="n"/>
      <c r="R551" s="8" t="n"/>
      <c r="S551" s="8" t="n"/>
      <c r="T551" s="7" t="inlineStr">
        <is>
          <t>TAPAJOS</t>
        </is>
      </c>
      <c r="U551" s="8" t="n">
        <v>29.9</v>
      </c>
      <c r="V551" s="14">
        <f>U551/J551-1</f>
        <v/>
      </c>
      <c r="W551" s="14">
        <f>U551/H551-1</f>
        <v/>
      </c>
      <c r="X551" s="16" t="inlineStr">
        <is>
          <t>ACIMA +17.5%</t>
        </is>
      </c>
      <c r="Y551" s="7" t="inlineStr"/>
    </row>
    <row r="552">
      <c r="A552" s="7" t="n">
        <v>211061</v>
      </c>
      <c r="B552" s="12" t="inlineStr">
        <is>
          <t>7896004726045</t>
        </is>
      </c>
      <c r="C552" s="7" t="inlineStr">
        <is>
          <t>BIOFLADEX FR 60G</t>
        </is>
      </c>
      <c r="D552" s="7" t="inlineStr">
        <is>
          <t>SIMILAR</t>
        </is>
      </c>
      <c r="E552" s="7" t="inlineStr">
        <is>
          <t>C</t>
        </is>
      </c>
      <c r="F552" s="13" t="n">
        <v>1</v>
      </c>
      <c r="G552" s="13" t="n">
        <v>1</v>
      </c>
      <c r="H552" s="8" t="n">
        <v>15.66</v>
      </c>
      <c r="I552" s="8" t="n">
        <v>15.66</v>
      </c>
      <c r="J552" s="8" t="n">
        <v>15.66</v>
      </c>
      <c r="K552" s="8" t="n"/>
      <c r="L552" s="15" t="n">
        <v>16.29</v>
      </c>
      <c r="M552" s="8" t="n"/>
      <c r="N552" s="8" t="n"/>
      <c r="O552" s="8" t="n"/>
      <c r="P552" s="8" t="n"/>
      <c r="Q552" s="8" t="n"/>
      <c r="R552" s="8" t="n"/>
      <c r="S552" s="8" t="n"/>
      <c r="T552" s="7" t="inlineStr">
        <is>
          <t>PLUSFARMA</t>
        </is>
      </c>
      <c r="U552" s="8" t="n">
        <v>16.29</v>
      </c>
      <c r="V552" s="14">
        <f>U552/J552-1</f>
        <v/>
      </c>
      <c r="W552" s="14">
        <f>U552/H552-1</f>
        <v/>
      </c>
      <c r="X552" s="16" t="inlineStr">
        <is>
          <t>ACIMA +4.0%</t>
        </is>
      </c>
      <c r="Y552" s="7" t="inlineStr"/>
    </row>
    <row r="553">
      <c r="A553" s="7" t="n">
        <v>672761</v>
      </c>
      <c r="B553" s="12" t="inlineStr">
        <is>
          <t>7894164010622</t>
        </is>
      </c>
      <c r="C553" s="7" t="inlineStr">
        <is>
          <t>BIOFOR C + ARGININA C/16COM EFEV (120)</t>
        </is>
      </c>
      <c r="D553" s="7" t="inlineStr">
        <is>
          <t>SIMILAR</t>
        </is>
      </c>
      <c r="E553" s="7" t="inlineStr">
        <is>
          <t>C</t>
        </is>
      </c>
      <c r="F553" s="13" t="n">
        <v>4</v>
      </c>
      <c r="G553" s="13" t="n">
        <v>4</v>
      </c>
      <c r="H553" s="8" t="n"/>
      <c r="I553" s="8" t="n"/>
      <c r="J553" s="8" t="n"/>
      <c r="K553" s="8" t="n"/>
      <c r="L553" s="8" t="n"/>
      <c r="M553" s="8" t="n"/>
      <c r="N553" s="8" t="n"/>
      <c r="O553" s="8" t="n"/>
      <c r="P553" s="8" t="n"/>
      <c r="Q553" s="8" t="n"/>
      <c r="R553" s="8" t="n"/>
      <c r="S553" s="8" t="n"/>
      <c r="T553" s="7" t="inlineStr">
        <is>
          <t>SEM COTAÇÃO</t>
        </is>
      </c>
      <c r="U553" s="8" t="n"/>
      <c r="V553" s="14" t="n"/>
      <c r="W553" s="14" t="n"/>
      <c r="X553" s="7" t="inlineStr"/>
      <c r="Y553" s="7" t="inlineStr"/>
    </row>
    <row r="554">
      <c r="A554" s="7" t="n">
        <v>203</v>
      </c>
      <c r="B554" s="12" t="inlineStr">
        <is>
          <t>7898126402876</t>
        </is>
      </c>
      <c r="C554" s="7" t="inlineStr">
        <is>
          <t>BIOTTANO UMIDIFIC ATIV CACHOS 150GR</t>
        </is>
      </c>
      <c r="D554" s="7" t="inlineStr">
        <is>
          <t>COND/SHAM/CREM/SIMILARES</t>
        </is>
      </c>
      <c r="E554" s="7" t="inlineStr">
        <is>
          <t>C</t>
        </is>
      </c>
      <c r="F554" s="13" t="n">
        <v>1</v>
      </c>
      <c r="G554" s="13" t="n">
        <v>1</v>
      </c>
      <c r="H554" s="8" t="n">
        <v>24.08</v>
      </c>
      <c r="I554" s="8" t="n">
        <v>24.08</v>
      </c>
      <c r="J554" s="8" t="n">
        <v>24.08</v>
      </c>
      <c r="K554" s="8" t="n"/>
      <c r="L554" s="8" t="n"/>
      <c r="M554" s="8" t="n"/>
      <c r="N554" s="8" t="n"/>
      <c r="O554" s="8" t="n"/>
      <c r="P554" s="8" t="n"/>
      <c r="Q554" s="8" t="n"/>
      <c r="R554" s="8" t="n"/>
      <c r="S554" s="8" t="n"/>
      <c r="T554" s="7" t="inlineStr">
        <is>
          <t>SEM COTAÇÃO</t>
        </is>
      </c>
      <c r="U554" s="8" t="n"/>
      <c r="V554" s="14" t="n"/>
      <c r="W554" s="14" t="n"/>
      <c r="X554" s="7" t="inlineStr"/>
      <c r="Y554" s="7" t="inlineStr"/>
    </row>
    <row r="555">
      <c r="A555" s="7" t="n">
        <v>48321</v>
      </c>
      <c r="B555" s="12" t="inlineStr">
        <is>
          <t>7898100268290</t>
        </is>
      </c>
      <c r="C555" s="7" t="inlineStr">
        <is>
          <t>BIOVICERIN  END/ML SUS OR 2 FLAC X 5ML</t>
        </is>
      </c>
      <c r="D555" s="7" t="inlineStr">
        <is>
          <t>RX - OTC</t>
        </is>
      </c>
      <c r="E555" s="7" t="inlineStr">
        <is>
          <t>A</t>
        </is>
      </c>
      <c r="F555" s="13" t="n">
        <v>9</v>
      </c>
      <c r="G555" s="13" t="n">
        <v>9</v>
      </c>
      <c r="H555" s="8" t="n">
        <v>11.36</v>
      </c>
      <c r="I555" s="8" t="n">
        <v>8.533300000000001</v>
      </c>
      <c r="J555" s="8" t="n">
        <v>8.757766666666667</v>
      </c>
      <c r="K555" s="8" t="n"/>
      <c r="L555" s="8" t="n"/>
      <c r="M555" s="15" t="n">
        <v>9.65</v>
      </c>
      <c r="N555" s="8" t="n"/>
      <c r="O555" s="8" t="n"/>
      <c r="P555" s="8" t="n">
        <v>12.048</v>
      </c>
      <c r="Q555" s="8" t="n"/>
      <c r="R555" s="8" t="n"/>
      <c r="S555" s="8" t="n"/>
      <c r="T555" s="7" t="inlineStr">
        <is>
          <t>EPAN</t>
        </is>
      </c>
      <c r="U555" s="8" t="n">
        <v>9.65</v>
      </c>
      <c r="V555" s="14">
        <f>U555/J555-1</f>
        <v/>
      </c>
      <c r="W555" s="14">
        <f>U555/H555-1</f>
        <v/>
      </c>
      <c r="X555" s="17" t="inlineStr">
        <is>
          <t>OK (≤ últ. compra)</t>
        </is>
      </c>
      <c r="Y555" s="7" t="inlineStr"/>
    </row>
    <row r="556">
      <c r="A556" s="7" t="n">
        <v>658391</v>
      </c>
      <c r="B556" s="12" t="inlineStr">
        <is>
          <t>7622202280689</t>
        </is>
      </c>
      <c r="C556" s="7" t="inlineStr">
        <is>
          <t>BIS LAKA FLOWPACK 63G</t>
        </is>
      </c>
      <c r="D556" s="7" t="inlineStr">
        <is>
          <t>CHOCOLATES</t>
        </is>
      </c>
      <c r="E556" s="7" t="inlineStr">
        <is>
          <t>C</t>
        </is>
      </c>
      <c r="F556" s="13" t="n">
        <v>19</v>
      </c>
      <c r="G556" s="13" t="n">
        <v>19</v>
      </c>
      <c r="H556" s="8" t="n">
        <v>3.69</v>
      </c>
      <c r="I556" s="8" t="n">
        <v>3.69</v>
      </c>
      <c r="J556" s="8" t="n">
        <v>3.69</v>
      </c>
      <c r="K556" s="8" t="n"/>
      <c r="L556" s="8" t="n"/>
      <c r="M556" s="8" t="n"/>
      <c r="N556" s="8" t="n"/>
      <c r="O556" s="8" t="n"/>
      <c r="P556" s="8" t="n"/>
      <c r="Q556" s="8" t="n"/>
      <c r="R556" s="8" t="n"/>
      <c r="S556" s="8" t="n"/>
      <c r="T556" s="7" t="inlineStr">
        <is>
          <t>SEM COTAÇÃO</t>
        </is>
      </c>
      <c r="U556" s="8" t="n"/>
      <c r="V556" s="14" t="n"/>
      <c r="W556" s="14" t="n"/>
      <c r="X556" s="7" t="inlineStr"/>
      <c r="Y556" s="7" t="inlineStr"/>
    </row>
    <row r="557">
      <c r="A557" s="7" t="n">
        <v>652471</v>
      </c>
      <c r="B557" s="12" t="inlineStr">
        <is>
          <t>7622210535016</t>
        </is>
      </c>
      <c r="C557" s="7" t="inlineStr">
        <is>
          <t>BIS LIMAO FLOWPACK 100,8G</t>
        </is>
      </c>
      <c r="D557" s="7" t="inlineStr">
        <is>
          <t>CHOCOLATES</t>
        </is>
      </c>
      <c r="E557" s="7" t="inlineStr">
        <is>
          <t>C</t>
        </is>
      </c>
      <c r="F557" s="13" t="n">
        <v>2</v>
      </c>
      <c r="G557" s="13" t="n">
        <v>2</v>
      </c>
      <c r="H557" s="8" t="n">
        <v>6.99</v>
      </c>
      <c r="I557" s="8" t="n">
        <v>6.7</v>
      </c>
      <c r="J557" s="8" t="n">
        <v>6.893333333333334</v>
      </c>
      <c r="K557" s="8" t="n"/>
      <c r="L557" s="8" t="n"/>
      <c r="M557" s="8" t="n"/>
      <c r="N557" s="8" t="n"/>
      <c r="O557" s="8" t="n"/>
      <c r="P557" s="8" t="n"/>
      <c r="Q557" s="8" t="n"/>
      <c r="R557" s="8" t="n"/>
      <c r="S557" s="8" t="n"/>
      <c r="T557" s="7" t="inlineStr">
        <is>
          <t>SEM COTAÇÃO</t>
        </is>
      </c>
      <c r="U557" s="8" t="n"/>
      <c r="V557" s="14" t="n"/>
      <c r="W557" s="14" t="n"/>
      <c r="X557" s="7" t="inlineStr"/>
      <c r="Y557" s="7" t="inlineStr"/>
    </row>
    <row r="558">
      <c r="A558" s="7" t="n">
        <v>562921</v>
      </c>
      <c r="B558" s="12" t="inlineStr">
        <is>
          <t>7622300989316</t>
        </is>
      </c>
      <c r="C558" s="7" t="inlineStr">
        <is>
          <t>BIS OREO100,8G UN</t>
        </is>
      </c>
      <c r="D558" s="7" t="inlineStr">
        <is>
          <t>CONVENIENCIA</t>
        </is>
      </c>
      <c r="E558" s="7" t="inlineStr">
        <is>
          <t>A</t>
        </is>
      </c>
      <c r="F558" s="13" t="n">
        <v>10</v>
      </c>
      <c r="G558" s="13" t="n">
        <v>10</v>
      </c>
      <c r="H558" s="8" t="n">
        <v>6.99</v>
      </c>
      <c r="I558" s="8" t="n">
        <v>6.7</v>
      </c>
      <c r="J558" s="8" t="n">
        <v>6.893333333333334</v>
      </c>
      <c r="K558" s="8" t="n"/>
      <c r="L558" s="8" t="n"/>
      <c r="M558" s="8" t="n"/>
      <c r="N558" s="8" t="n"/>
      <c r="O558" s="8" t="n"/>
      <c r="P558" s="8" t="n"/>
      <c r="Q558" s="8" t="n"/>
      <c r="R558" s="8" t="n"/>
      <c r="S558" s="8" t="n"/>
      <c r="T558" s="7" t="inlineStr">
        <is>
          <t>SEM COTAÇÃO</t>
        </is>
      </c>
      <c r="U558" s="8" t="n"/>
      <c r="V558" s="14" t="n"/>
      <c r="W558" s="14" t="n"/>
      <c r="X558" s="7" t="inlineStr"/>
      <c r="Y558" s="7" t="inlineStr"/>
    </row>
    <row r="559">
      <c r="A559" s="7" t="n">
        <v>658371</v>
      </c>
      <c r="B559" s="12" t="inlineStr">
        <is>
          <t>7622202280665</t>
        </is>
      </c>
      <c r="C559" s="7" t="inlineStr">
        <is>
          <t>BIS ORIG FLOWPACK 63G</t>
        </is>
      </c>
      <c r="D559" s="7" t="inlineStr">
        <is>
          <t>CHOCOLATES</t>
        </is>
      </c>
      <c r="E559" s="7" t="inlineStr">
        <is>
          <t>C</t>
        </is>
      </c>
      <c r="F559" s="13" t="n">
        <v>16</v>
      </c>
      <c r="G559" s="13" t="n">
        <v>16</v>
      </c>
      <c r="H559" s="8" t="n">
        <v>3.69</v>
      </c>
      <c r="I559" s="8" t="n">
        <v>3.69</v>
      </c>
      <c r="J559" s="8" t="n">
        <v>3.69</v>
      </c>
      <c r="K559" s="8" t="n"/>
      <c r="L559" s="8" t="n"/>
      <c r="M559" s="8" t="n"/>
      <c r="N559" s="8" t="n"/>
      <c r="O559" s="8" t="n"/>
      <c r="P559" s="8" t="n"/>
      <c r="Q559" s="8" t="n"/>
      <c r="R559" s="8" t="n"/>
      <c r="S559" s="8" t="n"/>
      <c r="T559" s="7" t="inlineStr">
        <is>
          <t>SEM COTAÇÃO</t>
        </is>
      </c>
      <c r="U559" s="8" t="n"/>
      <c r="V559" s="14" t="n"/>
      <c r="W559" s="14" t="n"/>
      <c r="X559" s="7" t="inlineStr"/>
      <c r="Y559" s="7" t="inlineStr"/>
    </row>
    <row r="560">
      <c r="A560" s="7" t="n">
        <v>652551</v>
      </c>
      <c r="B560" s="12" t="inlineStr">
        <is>
          <t>7622210534576</t>
        </is>
      </c>
      <c r="C560" s="7" t="inlineStr">
        <is>
          <t>BIS XTRA LAKA</t>
        </is>
      </c>
      <c r="D560" s="7" t="inlineStr">
        <is>
          <t>CHOCOLATES</t>
        </is>
      </c>
      <c r="E560" s="7" t="inlineStr">
        <is>
          <t>B</t>
        </is>
      </c>
      <c r="F560" s="13" t="n">
        <v>19</v>
      </c>
      <c r="G560" s="13" t="n">
        <v>19</v>
      </c>
      <c r="H560" s="8" t="n">
        <v>3.89</v>
      </c>
      <c r="I560" s="8" t="n">
        <v>3.59</v>
      </c>
      <c r="J560" s="8" t="n">
        <v>3.79</v>
      </c>
      <c r="K560" s="8" t="n"/>
      <c r="L560" s="8" t="n"/>
      <c r="M560" s="8" t="n"/>
      <c r="N560" s="8" t="n"/>
      <c r="O560" s="8" t="n"/>
      <c r="P560" s="8" t="n"/>
      <c r="Q560" s="8" t="n"/>
      <c r="R560" s="8" t="n"/>
      <c r="S560" s="8" t="n"/>
      <c r="T560" s="7" t="inlineStr">
        <is>
          <t>SEM COTAÇÃO</t>
        </is>
      </c>
      <c r="U560" s="8" t="n"/>
      <c r="V560" s="14" t="n"/>
      <c r="W560" s="14" t="n"/>
      <c r="X560" s="7" t="inlineStr"/>
      <c r="Y560" s="7" t="inlineStr"/>
    </row>
    <row r="561">
      <c r="A561" s="7" t="n">
        <v>58941</v>
      </c>
      <c r="B561" s="12" t="inlineStr">
        <is>
          <t>7896006257950</t>
        </is>
      </c>
      <c r="C561" s="7" t="inlineStr">
        <is>
          <t>BISALAX 5MG CX 150 DRG</t>
        </is>
      </c>
      <c r="D561" s="7" t="inlineStr">
        <is>
          <t>SIMILAR</t>
        </is>
      </c>
      <c r="E561" s="7" t="inlineStr">
        <is>
          <t>B</t>
        </is>
      </c>
      <c r="F561" s="13" t="n">
        <v>2</v>
      </c>
      <c r="G561" s="13" t="n">
        <v>27</v>
      </c>
      <c r="H561" s="8" t="n">
        <v>1.8142</v>
      </c>
      <c r="I561" s="8" t="n">
        <v>1.8142</v>
      </c>
      <c r="J561" s="8" t="n">
        <v>1.8142</v>
      </c>
      <c r="K561" s="8" t="n"/>
      <c r="L561" s="8" t="n"/>
      <c r="M561" s="8" t="n"/>
      <c r="N561" s="8" t="n"/>
      <c r="O561" s="8" t="n"/>
      <c r="P561" s="8" t="n"/>
      <c r="Q561" s="8" t="n"/>
      <c r="R561" s="8" t="n"/>
      <c r="S561" s="8" t="n"/>
      <c r="T561" s="7" t="inlineStr">
        <is>
          <t>SEM COTAÇÃO</t>
        </is>
      </c>
      <c r="U561" s="8" t="n"/>
      <c r="V561" s="14" t="n"/>
      <c r="W561" s="14" t="n"/>
      <c r="X561" s="7" t="inlineStr"/>
      <c r="Y561" s="7" t="inlineStr"/>
    </row>
    <row r="562">
      <c r="A562" s="7" t="n">
        <v>651951</v>
      </c>
      <c r="B562" s="12" t="inlineStr">
        <is>
          <t>7891962056500</t>
        </is>
      </c>
      <c r="C562" s="7" t="inlineStr">
        <is>
          <t>BISC BAUD CHOCOBISCUIT AO LEITE 80G</t>
        </is>
      </c>
      <c r="D562" s="7" t="inlineStr">
        <is>
          <t>BISCOITOS/SALGADOS</t>
        </is>
      </c>
      <c r="E562" s="7" t="inlineStr">
        <is>
          <t>A</t>
        </is>
      </c>
      <c r="F562" s="13" t="n">
        <v>9</v>
      </c>
      <c r="G562" s="13" t="n">
        <v>9</v>
      </c>
      <c r="H562" s="8" t="n">
        <v>6.9158</v>
      </c>
      <c r="I562" s="8" t="n">
        <v>6.5517</v>
      </c>
      <c r="J562" s="8" t="n">
        <v>6.673066666666667</v>
      </c>
      <c r="K562" s="8" t="n"/>
      <c r="L562" s="8" t="n"/>
      <c r="M562" s="8" t="n"/>
      <c r="N562" s="8" t="n"/>
      <c r="O562" s="8" t="n"/>
      <c r="P562" s="8" t="n"/>
      <c r="Q562" s="8" t="n"/>
      <c r="R562" s="8" t="n"/>
      <c r="S562" s="8" t="n"/>
      <c r="T562" s="7" t="inlineStr">
        <is>
          <t>SEM COTAÇÃO</t>
        </is>
      </c>
      <c r="U562" s="8" t="n"/>
      <c r="V562" s="14" t="n"/>
      <c r="W562" s="14" t="n"/>
      <c r="X562" s="7" t="inlineStr"/>
      <c r="Y562" s="7" t="inlineStr"/>
    </row>
    <row r="563">
      <c r="A563" s="7" t="n">
        <v>631931</v>
      </c>
      <c r="B563" s="12" t="inlineStr">
        <is>
          <t>7891962060484</t>
        </is>
      </c>
      <c r="C563" s="7" t="inlineStr">
        <is>
          <t>BISC BAUD CHOCOBISCUIT LEITE 36G</t>
        </is>
      </c>
      <c r="D563" s="7" t="inlineStr">
        <is>
          <t>CONVENIENCIA</t>
        </is>
      </c>
      <c r="E563" s="7" t="inlineStr">
        <is>
          <t>C</t>
        </is>
      </c>
      <c r="F563" s="13" t="n">
        <v>3</v>
      </c>
      <c r="G563" s="13" t="n">
        <v>3</v>
      </c>
      <c r="H563" s="8" t="n">
        <v>2.81</v>
      </c>
      <c r="I563" s="8" t="n">
        <v>2.81</v>
      </c>
      <c r="J563" s="8" t="n">
        <v>2.81</v>
      </c>
      <c r="K563" s="8" t="n"/>
      <c r="L563" s="8" t="n"/>
      <c r="M563" s="8" t="n"/>
      <c r="N563" s="8" t="n"/>
      <c r="O563" s="8" t="n"/>
      <c r="P563" s="8" t="n"/>
      <c r="Q563" s="8" t="n"/>
      <c r="R563" s="8" t="n"/>
      <c r="S563" s="8" t="n"/>
      <c r="T563" s="7" t="inlineStr">
        <is>
          <t>SEM COTAÇÃO</t>
        </is>
      </c>
      <c r="U563" s="8" t="n"/>
      <c r="V563" s="14" t="n"/>
      <c r="W563" s="14" t="n"/>
      <c r="X563" s="7" t="inlineStr"/>
      <c r="Y563" s="7" t="inlineStr"/>
    </row>
    <row r="564">
      <c r="A564" s="7" t="n">
        <v>631951</v>
      </c>
      <c r="B564" s="12" t="inlineStr">
        <is>
          <t>7891962071732</t>
        </is>
      </c>
      <c r="C564" s="7" t="inlineStr">
        <is>
          <t>BISC BAUD WAFER CHOCOLATE 70G</t>
        </is>
      </c>
      <c r="D564" s="7" t="inlineStr">
        <is>
          <t>CONVENIENCIA</t>
        </is>
      </c>
      <c r="E564" s="7" t="inlineStr">
        <is>
          <t>C</t>
        </is>
      </c>
      <c r="F564" s="13" t="n">
        <v>8</v>
      </c>
      <c r="G564" s="13" t="n">
        <v>8</v>
      </c>
      <c r="H564" s="8" t="n">
        <v>2.5</v>
      </c>
      <c r="I564" s="8" t="n">
        <v>2.35</v>
      </c>
      <c r="J564" s="8" t="n">
        <v>2.45</v>
      </c>
      <c r="K564" s="8" t="n"/>
      <c r="L564" s="8" t="n"/>
      <c r="M564" s="8" t="n"/>
      <c r="N564" s="8" t="n"/>
      <c r="O564" s="8" t="n"/>
      <c r="P564" s="8" t="n"/>
      <c r="Q564" s="8" t="n"/>
      <c r="R564" s="8" t="n"/>
      <c r="S564" s="8" t="n"/>
      <c r="T564" s="7" t="inlineStr">
        <is>
          <t>SEM COTAÇÃO</t>
        </is>
      </c>
      <c r="U564" s="8" t="n"/>
      <c r="V564" s="14" t="n"/>
      <c r="W564" s="14" t="n"/>
      <c r="X564" s="7" t="inlineStr"/>
      <c r="Y564" s="7" t="inlineStr"/>
    </row>
    <row r="565">
      <c r="A565" s="7" t="n">
        <v>631961</v>
      </c>
      <c r="B565" s="12" t="inlineStr">
        <is>
          <t>7891962071749</t>
        </is>
      </c>
      <c r="C565" s="7" t="inlineStr">
        <is>
          <t>BISC BAUD WAFER MORANGO 70G</t>
        </is>
      </c>
      <c r="D565" s="7" t="inlineStr">
        <is>
          <t>CONVENIENCIA</t>
        </is>
      </c>
      <c r="E565" s="7" t="inlineStr">
        <is>
          <t>C</t>
        </is>
      </c>
      <c r="F565" s="13" t="n">
        <v>6</v>
      </c>
      <c r="G565" s="13" t="n">
        <v>6</v>
      </c>
      <c r="H565" s="8" t="n">
        <v>2.5</v>
      </c>
      <c r="I565" s="8" t="n">
        <v>2.35</v>
      </c>
      <c r="J565" s="8" t="n">
        <v>2.45</v>
      </c>
      <c r="K565" s="8" t="n"/>
      <c r="L565" s="8" t="n"/>
      <c r="M565" s="8" t="n"/>
      <c r="N565" s="8" t="n"/>
      <c r="O565" s="8" t="n"/>
      <c r="P565" s="8" t="n"/>
      <c r="Q565" s="8" t="n"/>
      <c r="R565" s="8" t="n"/>
      <c r="S565" s="8" t="n"/>
      <c r="T565" s="7" t="inlineStr">
        <is>
          <t>SEM COTAÇÃO</t>
        </is>
      </c>
      <c r="U565" s="8" t="n"/>
      <c r="V565" s="14" t="n"/>
      <c r="W565" s="14" t="n"/>
      <c r="X565" s="7" t="inlineStr"/>
      <c r="Y565" s="7" t="inlineStr"/>
    </row>
    <row r="566">
      <c r="A566" s="7" t="n">
        <v>625451</v>
      </c>
      <c r="B566" s="12" t="inlineStr">
        <is>
          <t>7622300990701</t>
        </is>
      </c>
      <c r="C566" s="7" t="inlineStr">
        <is>
          <t>BISC C SOCIAL SABOR ORIGINAL 144GR UN</t>
        </is>
      </c>
      <c r="D566" s="7" t="inlineStr">
        <is>
          <t>CONVENIENCIA</t>
        </is>
      </c>
      <c r="E566" s="7" t="inlineStr">
        <is>
          <t>C</t>
        </is>
      </c>
      <c r="F566" s="13" t="n">
        <v>10</v>
      </c>
      <c r="G566" s="13" t="n">
        <v>10</v>
      </c>
      <c r="H566" s="8" t="n">
        <v>4.85</v>
      </c>
      <c r="I566" s="8" t="n">
        <v>4.69</v>
      </c>
      <c r="J566" s="8" t="n">
        <v>4.796666666666667</v>
      </c>
      <c r="K566" s="8" t="n"/>
      <c r="L566" s="8" t="n"/>
      <c r="M566" s="8" t="n"/>
      <c r="N566" s="8" t="n"/>
      <c r="O566" s="8" t="n"/>
      <c r="P566" s="8" t="n"/>
      <c r="Q566" s="8" t="n"/>
      <c r="R566" s="8" t="n"/>
      <c r="S566" s="8" t="n"/>
      <c r="T566" s="7" t="inlineStr">
        <is>
          <t>SEM COTAÇÃO</t>
        </is>
      </c>
      <c r="U566" s="8" t="n"/>
      <c r="V566" s="14" t="n"/>
      <c r="W566" s="14" t="n"/>
      <c r="X566" s="7" t="inlineStr"/>
      <c r="Y566" s="7" t="inlineStr"/>
    </row>
    <row r="567">
      <c r="A567" s="7" t="n">
        <v>642421</v>
      </c>
      <c r="B567" s="12" t="inlineStr">
        <is>
          <t>7622210661609</t>
        </is>
      </c>
      <c r="C567" s="7" t="inlineStr">
        <is>
          <t>BISC CLUB SOCIAL RECH QJO/TOM 106G</t>
        </is>
      </c>
      <c r="D567" s="7" t="inlineStr">
        <is>
          <t>BISCOITOS/SALGADOS</t>
        </is>
      </c>
      <c r="E567" s="7" t="inlineStr">
        <is>
          <t>B</t>
        </is>
      </c>
      <c r="F567" s="13" t="n">
        <v>4</v>
      </c>
      <c r="G567" s="13" t="n">
        <v>4</v>
      </c>
      <c r="H567" s="8" t="n">
        <v>4.85</v>
      </c>
      <c r="I567" s="8" t="n">
        <v>4.69</v>
      </c>
      <c r="J567" s="8" t="n">
        <v>4.796666666666667</v>
      </c>
      <c r="K567" s="8" t="n"/>
      <c r="L567" s="8" t="n"/>
      <c r="M567" s="8" t="n"/>
      <c r="N567" s="8" t="n"/>
      <c r="O567" s="8" t="n"/>
      <c r="P567" s="8" t="n"/>
      <c r="Q567" s="8" t="n"/>
      <c r="R567" s="8" t="n"/>
      <c r="S567" s="8" t="n"/>
      <c r="T567" s="7" t="inlineStr">
        <is>
          <t>SEM COTAÇÃO</t>
        </is>
      </c>
      <c r="U567" s="8" t="n"/>
      <c r="V567" s="14" t="n"/>
      <c r="W567" s="14" t="n"/>
      <c r="X567" s="7" t="inlineStr"/>
      <c r="Y567" s="7" t="inlineStr"/>
    </row>
    <row r="568">
      <c r="A568" s="7" t="n">
        <v>660611</v>
      </c>
      <c r="B568" s="12" t="inlineStr">
        <is>
          <t>7622210661661</t>
        </is>
      </c>
      <c r="C568" s="7" t="inlineStr">
        <is>
          <t>BISC CLUB SOCIAL RECH REQUEIJAO 106G</t>
        </is>
      </c>
      <c r="D568" s="7" t="inlineStr">
        <is>
          <t>BISCOITOS/SALGADOS</t>
        </is>
      </c>
      <c r="E568" s="7" t="inlineStr">
        <is>
          <t>C</t>
        </is>
      </c>
      <c r="F568" s="13" t="n">
        <v>5</v>
      </c>
      <c r="G568" s="13" t="n">
        <v>5</v>
      </c>
      <c r="H568" s="8" t="n">
        <v>4.69</v>
      </c>
      <c r="I568" s="8" t="n">
        <v>4.69</v>
      </c>
      <c r="J568" s="8" t="n">
        <v>4.69</v>
      </c>
      <c r="K568" s="8" t="n"/>
      <c r="L568" s="8" t="n"/>
      <c r="M568" s="8" t="n"/>
      <c r="N568" s="8" t="n"/>
      <c r="O568" s="8" t="n"/>
      <c r="P568" s="8" t="n"/>
      <c r="Q568" s="8" t="n"/>
      <c r="R568" s="8" t="n"/>
      <c r="S568" s="8" t="n"/>
      <c r="T568" s="7" t="inlineStr">
        <is>
          <t>SEM COTAÇÃO</t>
        </is>
      </c>
      <c r="U568" s="8" t="n"/>
      <c r="V568" s="14" t="n"/>
      <c r="W568" s="14" t="n"/>
      <c r="X568" s="7" t="inlineStr"/>
      <c r="Y568" s="7" t="inlineStr"/>
    </row>
    <row r="569">
      <c r="A569" s="7" t="n">
        <v>625471</v>
      </c>
      <c r="B569" s="12" t="inlineStr">
        <is>
          <t>7622210754813</t>
        </is>
      </c>
      <c r="C569" s="7" t="inlineStr">
        <is>
          <t>BISC COOKIES LACTA AO LEITE 80GR UN</t>
        </is>
      </c>
      <c r="D569" s="7" t="inlineStr">
        <is>
          <t>CONVENIENCIA</t>
        </is>
      </c>
      <c r="E569" s="7" t="inlineStr">
        <is>
          <t>C</t>
        </is>
      </c>
      <c r="F569" s="13" t="n">
        <v>3</v>
      </c>
      <c r="G569" s="13" t="n">
        <v>3</v>
      </c>
      <c r="H569" s="8" t="n">
        <v>5.25</v>
      </c>
      <c r="I569" s="8" t="n">
        <v>5.25</v>
      </c>
      <c r="J569" s="8" t="n">
        <v>5.25</v>
      </c>
      <c r="K569" s="8" t="n"/>
      <c r="L569" s="8" t="n"/>
      <c r="M569" s="8" t="n"/>
      <c r="N569" s="8" t="n"/>
      <c r="O569" s="8" t="n"/>
      <c r="P569" s="8" t="n"/>
      <c r="Q569" s="8" t="n"/>
      <c r="R569" s="8" t="n"/>
      <c r="S569" s="8" t="n"/>
      <c r="T569" s="7" t="inlineStr">
        <is>
          <t>SEM COTAÇÃO</t>
        </is>
      </c>
      <c r="U569" s="8" t="n"/>
      <c r="V569" s="14" t="n"/>
      <c r="W569" s="14" t="n"/>
      <c r="X569" s="7" t="inlineStr"/>
      <c r="Y569" s="7" t="inlineStr"/>
    </row>
    <row r="570">
      <c r="A570" s="7" t="n">
        <v>610421</v>
      </c>
      <c r="B570" s="12" t="inlineStr">
        <is>
          <t>7622210575999</t>
        </is>
      </c>
      <c r="C570" s="7" t="inlineStr">
        <is>
          <t>BISC LACTA W BIS LAKA 100,8G</t>
        </is>
      </c>
      <c r="D570" s="7" t="inlineStr">
        <is>
          <t>CONVENIENCIA</t>
        </is>
      </c>
      <c r="E570" s="7" t="inlineStr">
        <is>
          <t>B</t>
        </is>
      </c>
      <c r="F570" s="13" t="n">
        <v>1</v>
      </c>
      <c r="G570" s="13" t="n">
        <v>1</v>
      </c>
      <c r="H570" s="8" t="n">
        <v>6.99</v>
      </c>
      <c r="I570" s="8" t="n">
        <v>6.99</v>
      </c>
      <c r="J570" s="8" t="n">
        <v>6.989999999999999</v>
      </c>
      <c r="K570" s="8" t="n"/>
      <c r="L570" s="8" t="n"/>
      <c r="M570" s="8" t="n"/>
      <c r="N570" s="8" t="n"/>
      <c r="O570" s="8" t="n"/>
      <c r="P570" s="8" t="n"/>
      <c r="Q570" s="8" t="n"/>
      <c r="R570" s="8" t="n"/>
      <c r="S570" s="8" t="n"/>
      <c r="T570" s="7" t="inlineStr">
        <is>
          <t>SEM COTAÇÃO</t>
        </is>
      </c>
      <c r="U570" s="8" t="n"/>
      <c r="V570" s="14" t="n"/>
      <c r="W570" s="14" t="n"/>
      <c r="X570" s="7" t="inlineStr"/>
      <c r="Y570" s="7" t="inlineStr"/>
    </row>
    <row r="571">
      <c r="A571" s="7" t="n">
        <v>571181</v>
      </c>
      <c r="B571" s="12" t="inlineStr">
        <is>
          <t>7622300988470</t>
        </is>
      </c>
      <c r="C571" s="7" t="inlineStr">
        <is>
          <t>BISC LACTA W.BIS XT LEIT 45G</t>
        </is>
      </c>
      <c r="D571" s="7" t="inlineStr">
        <is>
          <t>CONVENIENCIA</t>
        </is>
      </c>
      <c r="E571" s="7" t="inlineStr">
        <is>
          <t>A</t>
        </is>
      </c>
      <c r="F571" s="13" t="n">
        <v>10</v>
      </c>
      <c r="G571" s="13" t="n">
        <v>10</v>
      </c>
      <c r="H571" s="8" t="n">
        <v>3.89</v>
      </c>
      <c r="I571" s="8" t="n">
        <v>3.59</v>
      </c>
      <c r="J571" s="8" t="n">
        <v>3.79</v>
      </c>
      <c r="K571" s="8" t="n"/>
      <c r="L571" s="8" t="n"/>
      <c r="M571" s="8" t="n"/>
      <c r="N571" s="8" t="n"/>
      <c r="O571" s="8" t="n"/>
      <c r="P571" s="8" t="n"/>
      <c r="Q571" s="8" t="n"/>
      <c r="R571" s="8" t="n"/>
      <c r="S571" s="8" t="n"/>
      <c r="T571" s="7" t="inlineStr">
        <is>
          <t>SEM COTAÇÃO</t>
        </is>
      </c>
      <c r="U571" s="8" t="n"/>
      <c r="V571" s="14" t="n"/>
      <c r="W571" s="14" t="n"/>
      <c r="X571" s="7" t="inlineStr"/>
      <c r="Y571" s="7" t="inlineStr"/>
    </row>
    <row r="572">
      <c r="A572" s="7" t="n">
        <v>571201</v>
      </c>
      <c r="B572" s="12" t="inlineStr">
        <is>
          <t>7622300988517</t>
        </is>
      </c>
      <c r="C572" s="7" t="inlineStr">
        <is>
          <t>BISC LACTA W.BIS XTRA OR 45G</t>
        </is>
      </c>
      <c r="D572" s="7" t="inlineStr">
        <is>
          <t>CONVENIENCIA</t>
        </is>
      </c>
      <c r="E572" s="7" t="inlineStr">
        <is>
          <t>A</t>
        </is>
      </c>
      <c r="F572" s="13" t="n">
        <v>2</v>
      </c>
      <c r="G572" s="13" t="n">
        <v>2</v>
      </c>
      <c r="H572" s="8" t="n">
        <v>3.89</v>
      </c>
      <c r="I572" s="8" t="n">
        <v>3.59</v>
      </c>
      <c r="J572" s="8" t="n">
        <v>3.79</v>
      </c>
      <c r="K572" s="8" t="n"/>
      <c r="L572" s="8" t="n"/>
      <c r="M572" s="8" t="n"/>
      <c r="N572" s="8" t="n"/>
      <c r="O572" s="8" t="n"/>
      <c r="P572" s="8" t="n"/>
      <c r="Q572" s="8" t="n"/>
      <c r="R572" s="8" t="n"/>
      <c r="S572" s="8" t="n"/>
      <c r="T572" s="7" t="inlineStr">
        <is>
          <t>SEM COTAÇÃO</t>
        </is>
      </c>
      <c r="U572" s="8" t="n"/>
      <c r="V572" s="14" t="n"/>
      <c r="W572" s="14" t="n"/>
      <c r="X572" s="7" t="inlineStr"/>
      <c r="Y572" s="7" t="inlineStr"/>
    </row>
    <row r="573">
      <c r="A573" s="7" t="n">
        <v>625511</v>
      </c>
      <c r="B573" s="12" t="inlineStr">
        <is>
          <t>7622300873455</t>
        </is>
      </c>
      <c r="C573" s="7" t="inlineStr">
        <is>
          <t>BISC OREO CHOCOLATE 36GR CR</t>
        </is>
      </c>
      <c r="D573" s="7" t="inlineStr">
        <is>
          <t>CONVENIENCIA</t>
        </is>
      </c>
      <c r="E573" s="7" t="inlineStr">
        <is>
          <t>C</t>
        </is>
      </c>
      <c r="F573" s="13" t="n">
        <v>1</v>
      </c>
      <c r="G573" s="13" t="n">
        <v>1</v>
      </c>
      <c r="H573" s="8" t="n">
        <v>1.3965</v>
      </c>
      <c r="I573" s="8" t="n">
        <v>1.3965</v>
      </c>
      <c r="J573" s="8" t="n">
        <v>1.3965</v>
      </c>
      <c r="K573" s="8" t="n"/>
      <c r="L573" s="8" t="n"/>
      <c r="M573" s="8" t="n"/>
      <c r="N573" s="8" t="n"/>
      <c r="O573" s="8" t="n"/>
      <c r="P573" s="8" t="n"/>
      <c r="Q573" s="8" t="n"/>
      <c r="R573" s="8" t="n"/>
      <c r="S573" s="8" t="n"/>
      <c r="T573" s="7" t="inlineStr">
        <is>
          <t>SEM COTAÇÃO</t>
        </is>
      </c>
      <c r="U573" s="8" t="n"/>
      <c r="V573" s="14" t="n"/>
      <c r="W573" s="14" t="n"/>
      <c r="X573" s="7" t="inlineStr"/>
      <c r="Y573" s="7" t="inlineStr"/>
    </row>
    <row r="574">
      <c r="A574" s="7" t="n">
        <v>650181</v>
      </c>
      <c r="B574" s="12" t="inlineStr">
        <is>
          <t>7622300873554</t>
        </is>
      </c>
      <c r="C574" s="7" t="inlineStr">
        <is>
          <t>BISC OREO CHOCOLATE 48X90G</t>
        </is>
      </c>
      <c r="D574" s="7" t="inlineStr">
        <is>
          <t>CHOCOLATES</t>
        </is>
      </c>
      <c r="E574" s="7" t="inlineStr">
        <is>
          <t>C</t>
        </is>
      </c>
      <c r="F574" s="13" t="n">
        <v>4</v>
      </c>
      <c r="G574" s="13" t="n">
        <v>4</v>
      </c>
      <c r="H574" s="8" t="n">
        <v>3.49</v>
      </c>
      <c r="I574" s="8" t="n">
        <v>3.25</v>
      </c>
      <c r="J574" s="8" t="n">
        <v>3.41</v>
      </c>
      <c r="K574" s="8" t="n"/>
      <c r="L574" s="8" t="n"/>
      <c r="M574" s="8" t="n"/>
      <c r="N574" s="8" t="n"/>
      <c r="O574" s="8" t="n"/>
      <c r="P574" s="8" t="n"/>
      <c r="Q574" s="8" t="n"/>
      <c r="R574" s="8" t="n"/>
      <c r="S574" s="8" t="n"/>
      <c r="T574" s="7" t="inlineStr">
        <is>
          <t>SEM COTAÇÃO</t>
        </is>
      </c>
      <c r="U574" s="8" t="n"/>
      <c r="V574" s="14" t="n"/>
      <c r="W574" s="14" t="n"/>
      <c r="X574" s="7" t="inlineStr"/>
      <c r="Y574" s="7" t="inlineStr"/>
    </row>
    <row r="575">
      <c r="A575" s="7" t="n">
        <v>652571</v>
      </c>
      <c r="B575" s="12" t="inlineStr">
        <is>
          <t>7622300989408</t>
        </is>
      </c>
      <c r="C575" s="7" t="inlineStr">
        <is>
          <t>BISC OREO MILK MORANGO 48X90G</t>
        </is>
      </c>
      <c r="D575" s="7" t="inlineStr">
        <is>
          <t>BISCOITOS/SALGADOS</t>
        </is>
      </c>
      <c r="E575" s="7" t="inlineStr">
        <is>
          <t>C</t>
        </is>
      </c>
      <c r="F575" s="13" t="n">
        <v>2</v>
      </c>
      <c r="G575" s="13" t="n">
        <v>2</v>
      </c>
      <c r="H575" s="8" t="n">
        <v>3.49</v>
      </c>
      <c r="I575" s="8" t="n">
        <v>3.25</v>
      </c>
      <c r="J575" s="8" t="n">
        <v>3.41</v>
      </c>
      <c r="K575" s="8" t="n"/>
      <c r="L575" s="8" t="n"/>
      <c r="M575" s="8" t="n"/>
      <c r="N575" s="8" t="n"/>
      <c r="O575" s="8" t="n"/>
      <c r="P575" s="8" t="n"/>
      <c r="Q575" s="8" t="n"/>
      <c r="R575" s="8" t="n"/>
      <c r="S575" s="8" t="n"/>
      <c r="T575" s="7" t="inlineStr">
        <is>
          <t>SEM COTAÇÃO</t>
        </is>
      </c>
      <c r="U575" s="8" t="n"/>
      <c r="V575" s="14" t="n"/>
      <c r="W575" s="14" t="n"/>
      <c r="X575" s="7" t="inlineStr"/>
      <c r="Y575" s="7" t="inlineStr"/>
    </row>
    <row r="576">
      <c r="A576" s="7" t="n">
        <v>671401</v>
      </c>
      <c r="B576" s="12" t="inlineStr">
        <is>
          <t>7622210933461</t>
        </is>
      </c>
      <c r="C576" s="7" t="inlineStr">
        <is>
          <t>BISC.MINI OREO 35G</t>
        </is>
      </c>
      <c r="D576" s="7" t="inlineStr">
        <is>
          <t>BISCOITOS/SALGADOS</t>
        </is>
      </c>
      <c r="E576" s="7" t="inlineStr">
        <is>
          <t>B</t>
        </is>
      </c>
      <c r="F576" s="13" t="n">
        <v>12</v>
      </c>
      <c r="G576" s="13" t="n">
        <v>12</v>
      </c>
      <c r="H576" s="8" t="n">
        <v>2.75</v>
      </c>
      <c r="I576" s="8" t="n">
        <v>2.278</v>
      </c>
      <c r="J576" s="8" t="n">
        <v>2.592666666666667</v>
      </c>
      <c r="K576" s="8" t="n"/>
      <c r="L576" s="8" t="n"/>
      <c r="M576" s="8" t="n"/>
      <c r="N576" s="8" t="n"/>
      <c r="O576" s="8" t="n"/>
      <c r="P576" s="8" t="n"/>
      <c r="Q576" s="8" t="n"/>
      <c r="R576" s="8" t="n"/>
      <c r="S576" s="8" t="n"/>
      <c r="T576" s="7" t="inlineStr">
        <is>
          <t>SEM COTAÇÃO</t>
        </is>
      </c>
      <c r="U576" s="8" t="n"/>
      <c r="V576" s="14" t="n"/>
      <c r="W576" s="14" t="n"/>
      <c r="X576" s="7" t="inlineStr"/>
      <c r="Y576" s="7" t="inlineStr"/>
    </row>
    <row r="577">
      <c r="A577" s="7" t="n">
        <v>671421</v>
      </c>
      <c r="B577" s="12" t="inlineStr">
        <is>
          <t>17622300830172</t>
        </is>
      </c>
      <c r="C577" s="7" t="inlineStr">
        <is>
          <t>BISC.OREO ORIGINAL 90G</t>
        </is>
      </c>
      <c r="D577" s="7" t="inlineStr">
        <is>
          <t>BISCOITOS/SALGADOS</t>
        </is>
      </c>
      <c r="E577" s="7" t="inlineStr">
        <is>
          <t>C</t>
        </is>
      </c>
      <c r="F577" s="13" t="n">
        <v>4</v>
      </c>
      <c r="G577" s="13" t="n">
        <v>4</v>
      </c>
      <c r="H577" s="8" t="n">
        <v>3.49</v>
      </c>
      <c r="I577" s="8" t="n">
        <v>2.9398</v>
      </c>
      <c r="J577" s="8" t="n">
        <v>3.3066</v>
      </c>
      <c r="K577" s="8" t="n"/>
      <c r="L577" s="8" t="n"/>
      <c r="M577" s="8" t="n"/>
      <c r="N577" s="8" t="n"/>
      <c r="O577" s="8" t="n"/>
      <c r="P577" s="8" t="n"/>
      <c r="Q577" s="8" t="n"/>
      <c r="R577" s="8" t="n"/>
      <c r="S577" s="8" t="n"/>
      <c r="T577" s="7" t="inlineStr">
        <is>
          <t>SEM COTAÇÃO</t>
        </is>
      </c>
      <c r="U577" s="8" t="n"/>
      <c r="V577" s="14" t="n"/>
      <c r="W577" s="14" t="n"/>
      <c r="X577" s="7" t="inlineStr"/>
      <c r="Y577" s="7" t="inlineStr"/>
    </row>
    <row r="578">
      <c r="A578" s="7" t="n">
        <v>671431</v>
      </c>
      <c r="B578" s="12" t="inlineStr">
        <is>
          <t>7622210530066</t>
        </is>
      </c>
      <c r="C578" s="7" t="inlineStr">
        <is>
          <t>BISC.OREO ORIGINAL BAUN.18G</t>
        </is>
      </c>
      <c r="D578" s="7" t="inlineStr">
        <is>
          <t>BISCOITOS/SALGADOS</t>
        </is>
      </c>
      <c r="E578" s="7" t="inlineStr">
        <is>
          <t>C</t>
        </is>
      </c>
      <c r="F578" s="13" t="n">
        <v>1</v>
      </c>
      <c r="G578" s="13" t="n">
        <v>10</v>
      </c>
      <c r="H578" s="8" t="n">
        <v>0.585</v>
      </c>
      <c r="I578" s="8" t="n">
        <v>0.585</v>
      </c>
      <c r="J578" s="8" t="n">
        <v>0.585</v>
      </c>
      <c r="K578" s="8" t="n"/>
      <c r="L578" s="8" t="n"/>
      <c r="M578" s="8" t="n"/>
      <c r="N578" s="8" t="n"/>
      <c r="O578" s="8" t="n"/>
      <c r="P578" s="8" t="n"/>
      <c r="Q578" s="8" t="n"/>
      <c r="R578" s="8" t="n"/>
      <c r="S578" s="8" t="n"/>
      <c r="T578" s="7" t="inlineStr">
        <is>
          <t>SEM COTAÇÃO</t>
        </is>
      </c>
      <c r="U578" s="8" t="n"/>
      <c r="V578" s="14" t="n"/>
      <c r="W578" s="14" t="n"/>
      <c r="X578" s="7" t="inlineStr"/>
      <c r="Y578" s="7" t="inlineStr"/>
    </row>
    <row r="579">
      <c r="A579" s="7" t="n">
        <v>671821</v>
      </c>
      <c r="B579" s="12" t="inlineStr">
        <is>
          <t>7622300830120</t>
        </is>
      </c>
      <c r="C579" s="7" t="inlineStr">
        <is>
          <t>BISCOITO OREO ORIGINAL BAUMILHA 36G</t>
        </is>
      </c>
      <c r="D579" s="7" t="inlineStr">
        <is>
          <t>CONVENIENCIA</t>
        </is>
      </c>
      <c r="E579" s="7" t="inlineStr">
        <is>
          <t>C</t>
        </is>
      </c>
      <c r="F579" s="13" t="n">
        <v>1</v>
      </c>
      <c r="G579" s="13" t="n">
        <v>3</v>
      </c>
      <c r="H579" s="8" t="n">
        <v>1.4025</v>
      </c>
      <c r="I579" s="8" t="n">
        <v>1.4025</v>
      </c>
      <c r="J579" s="8" t="n">
        <v>1.4025</v>
      </c>
      <c r="K579" s="8" t="n"/>
      <c r="L579" s="8" t="n"/>
      <c r="M579" s="8" t="n"/>
      <c r="N579" s="8" t="n"/>
      <c r="O579" s="8" t="n"/>
      <c r="P579" s="8" t="n"/>
      <c r="Q579" s="8" t="n"/>
      <c r="R579" s="8" t="n"/>
      <c r="S579" s="8" t="n"/>
      <c r="T579" s="7" t="inlineStr">
        <is>
          <t>SEM COTAÇÃO</t>
        </is>
      </c>
      <c r="U579" s="8" t="n"/>
      <c r="V579" s="14" t="n"/>
      <c r="W579" s="14" t="n"/>
      <c r="X579" s="7" t="inlineStr"/>
      <c r="Y579" s="7" t="inlineStr"/>
    </row>
    <row r="580">
      <c r="A580" s="7" t="n">
        <v>653931</v>
      </c>
      <c r="B580" s="12" t="inlineStr">
        <is>
          <t>7896236300129</t>
        </is>
      </c>
      <c r="C580" s="7" t="inlineStr">
        <is>
          <t>BISCOITO POLVILHO TRADICIONAL CX/45X100G UN</t>
        </is>
      </c>
      <c r="D580" s="7" t="inlineStr">
        <is>
          <t>BISCOITOS/SALGADOS</t>
        </is>
      </c>
      <c r="E580" s="7" t="inlineStr">
        <is>
          <t>C</t>
        </is>
      </c>
      <c r="F580" s="13" t="n">
        <v>2</v>
      </c>
      <c r="G580" s="13" t="n">
        <v>2</v>
      </c>
      <c r="H580" s="8" t="n">
        <v>5.56</v>
      </c>
      <c r="I580" s="8" t="n">
        <v>5.56</v>
      </c>
      <c r="J580" s="8" t="n">
        <v>5.56</v>
      </c>
      <c r="K580" s="8" t="n"/>
      <c r="L580" s="8" t="n"/>
      <c r="M580" s="8" t="n"/>
      <c r="N580" s="8" t="n"/>
      <c r="O580" s="8" t="n"/>
      <c r="P580" s="8" t="n"/>
      <c r="Q580" s="8" t="n"/>
      <c r="R580" s="8" t="n"/>
      <c r="S580" s="8" t="n"/>
      <c r="T580" s="7" t="inlineStr">
        <is>
          <t>SEM COTAÇÃO</t>
        </is>
      </c>
      <c r="U580" s="8" t="n"/>
      <c r="V580" s="14" t="n"/>
      <c r="W580" s="14" t="n"/>
      <c r="X580" s="7" t="inlineStr"/>
      <c r="Y580" s="7" t="inlineStr"/>
    </row>
    <row r="581">
      <c r="A581" s="7" t="n">
        <v>457961</v>
      </c>
      <c r="B581" s="12" t="inlineStr">
        <is>
          <t>7896004810140</t>
        </is>
      </c>
      <c r="C581" s="7" t="inlineStr">
        <is>
          <t>BISMU-JET SOL FR GTS 20ML</t>
        </is>
      </c>
      <c r="D581" s="7" t="inlineStr">
        <is>
          <t>RX - REFERENCIA - ATB</t>
        </is>
      </c>
      <c r="E581" s="7" t="inlineStr">
        <is>
          <t>A</t>
        </is>
      </c>
      <c r="F581" s="13" t="n">
        <v>7</v>
      </c>
      <c r="G581" s="13" t="n">
        <v>7</v>
      </c>
      <c r="H581" s="8" t="n">
        <v>16.56</v>
      </c>
      <c r="I581" s="8" t="n">
        <v>14.3</v>
      </c>
      <c r="J581" s="8" t="n">
        <v>14.67833333333333</v>
      </c>
      <c r="K581" s="8" t="n"/>
      <c r="L581" s="8" t="n"/>
      <c r="M581" s="8" t="n"/>
      <c r="N581" s="8" t="n">
        <v>16.94</v>
      </c>
      <c r="O581" s="8" t="n">
        <v>16.56</v>
      </c>
      <c r="P581" s="8" t="n">
        <v>33.03</v>
      </c>
      <c r="Q581" s="15" t="n">
        <v>15.34</v>
      </c>
      <c r="R581" s="8" t="n">
        <v>15.98</v>
      </c>
      <c r="S581" s="8" t="n"/>
      <c r="T581" s="7" t="inlineStr">
        <is>
          <t>MEDCENTRO</t>
        </is>
      </c>
      <c r="U581" s="8" t="n">
        <v>15.34</v>
      </c>
      <c r="V581" s="14">
        <f>U581/J581-1</f>
        <v/>
      </c>
      <c r="W581" s="14">
        <f>U581/H581-1</f>
        <v/>
      </c>
      <c r="X581" s="17" t="inlineStr">
        <is>
          <t>OK (≤ últ. compra)</t>
        </is>
      </c>
      <c r="Y581" s="7" t="inlineStr"/>
    </row>
    <row r="582">
      <c r="A582" s="7" t="n">
        <v>17803</v>
      </c>
      <c r="B582" s="12" t="inlineStr">
        <is>
          <t>7908512702784</t>
        </is>
      </c>
      <c r="C582" s="7" t="inlineStr">
        <is>
          <t>BODY SPLASH BIO INSTINTO 130ML B.ROSE</t>
        </is>
      </c>
      <c r="D582" s="7" t="inlineStr">
        <is>
          <t>PERF/COSME</t>
        </is>
      </c>
      <c r="E582" s="7" t="inlineStr">
        <is>
          <t>B</t>
        </is>
      </c>
      <c r="F582" s="13" t="n">
        <v>2</v>
      </c>
      <c r="G582" s="13" t="n">
        <v>2</v>
      </c>
      <c r="H582" s="8" t="n">
        <v>5.55</v>
      </c>
      <c r="I582" s="8" t="n">
        <v>5.49</v>
      </c>
      <c r="J582" s="8" t="n">
        <v>5.510000000000001</v>
      </c>
      <c r="K582" s="8" t="n"/>
      <c r="L582" s="8" t="n"/>
      <c r="M582" s="8" t="n"/>
      <c r="N582" s="8" t="n"/>
      <c r="O582" s="8" t="n"/>
      <c r="P582" s="8" t="n"/>
      <c r="Q582" s="8" t="n"/>
      <c r="R582" s="8" t="n"/>
      <c r="S582" s="8" t="n"/>
      <c r="T582" s="7" t="inlineStr">
        <is>
          <t>SEM COTAÇÃO</t>
        </is>
      </c>
      <c r="U582" s="8" t="n"/>
      <c r="V582" s="14" t="n"/>
      <c r="W582" s="14" t="n"/>
      <c r="X582" s="7" t="inlineStr"/>
      <c r="Y582" s="7" t="inlineStr"/>
    </row>
    <row r="583">
      <c r="A583" s="7" t="n">
        <v>17903</v>
      </c>
      <c r="B583" s="12" t="inlineStr">
        <is>
          <t>7908512702791</t>
        </is>
      </c>
      <c r="C583" s="7" t="inlineStr">
        <is>
          <t>BODY SPLASH BIO INSTINTO 130ML B.VANILLA</t>
        </is>
      </c>
      <c r="D583" s="7" t="inlineStr">
        <is>
          <t>PERF/COSME</t>
        </is>
      </c>
      <c r="E583" s="7" t="inlineStr">
        <is>
          <t>C</t>
        </is>
      </c>
      <c r="F583" s="13" t="n">
        <v>2</v>
      </c>
      <c r="G583" s="13" t="n">
        <v>2</v>
      </c>
      <c r="H583" s="8" t="n">
        <v>5.55</v>
      </c>
      <c r="I583" s="8" t="n">
        <v>5.49</v>
      </c>
      <c r="J583" s="8" t="n">
        <v>5.510000000000001</v>
      </c>
      <c r="K583" s="8" t="n"/>
      <c r="L583" s="8" t="n"/>
      <c r="M583" s="8" t="n"/>
      <c r="N583" s="8" t="n"/>
      <c r="O583" s="8" t="n"/>
      <c r="P583" s="8" t="n"/>
      <c r="Q583" s="8" t="n"/>
      <c r="R583" s="8" t="n"/>
      <c r="S583" s="8" t="n"/>
      <c r="T583" s="7" t="inlineStr">
        <is>
          <t>SEM COTAÇÃO</t>
        </is>
      </c>
      <c r="U583" s="8" t="n"/>
      <c r="V583" s="14" t="n"/>
      <c r="W583" s="14" t="n"/>
      <c r="X583" s="7" t="inlineStr"/>
      <c r="Y583" s="7" t="inlineStr"/>
    </row>
    <row r="584">
      <c r="A584" s="7" t="n">
        <v>18103</v>
      </c>
      <c r="B584" s="12" t="inlineStr">
        <is>
          <t>7908512704184</t>
        </is>
      </c>
      <c r="C584" s="7" t="inlineStr">
        <is>
          <t>BODY SPLASH BIO INSTINTO 130ML LAV.BABY</t>
        </is>
      </c>
      <c r="D584" s="7" t="inlineStr">
        <is>
          <t>PERF/COSME</t>
        </is>
      </c>
      <c r="E584" s="7" t="inlineStr">
        <is>
          <t>B</t>
        </is>
      </c>
      <c r="F584" s="13" t="n">
        <v>6</v>
      </c>
      <c r="G584" s="13" t="n">
        <v>6</v>
      </c>
      <c r="H584" s="8" t="n">
        <v>5.55</v>
      </c>
      <c r="I584" s="8" t="n">
        <v>5.49</v>
      </c>
      <c r="J584" s="8" t="n">
        <v>5.510000000000001</v>
      </c>
      <c r="K584" s="8" t="n"/>
      <c r="L584" s="8" t="n"/>
      <c r="M584" s="8" t="n"/>
      <c r="N584" s="8" t="n"/>
      <c r="O584" s="8" t="n"/>
      <c r="P584" s="8" t="n"/>
      <c r="Q584" s="8" t="n"/>
      <c r="R584" s="8" t="n"/>
      <c r="S584" s="8" t="n"/>
      <c r="T584" s="7" t="inlineStr">
        <is>
          <t>SEM COTAÇÃO</t>
        </is>
      </c>
      <c r="U584" s="8" t="n"/>
      <c r="V584" s="14" t="n"/>
      <c r="W584" s="14" t="n"/>
      <c r="X584" s="7" t="inlineStr"/>
      <c r="Y584" s="7" t="inlineStr"/>
    </row>
    <row r="585">
      <c r="A585" s="7" t="n">
        <v>18203</v>
      </c>
      <c r="B585" s="12" t="inlineStr">
        <is>
          <t>7908512702807</t>
        </is>
      </c>
      <c r="C585" s="7" t="inlineStr">
        <is>
          <t>BODY SPLASH BIO INSTINTO 130ML MOR/CHAMP</t>
        </is>
      </c>
      <c r="D585" s="7" t="inlineStr">
        <is>
          <t>PERF/COSME</t>
        </is>
      </c>
      <c r="E585" s="7" t="inlineStr">
        <is>
          <t>B</t>
        </is>
      </c>
      <c r="F585" s="13" t="n">
        <v>2</v>
      </c>
      <c r="G585" s="13" t="n">
        <v>2</v>
      </c>
      <c r="H585" s="8" t="n">
        <v>5.55</v>
      </c>
      <c r="I585" s="8" t="n">
        <v>5.49</v>
      </c>
      <c r="J585" s="8" t="n">
        <v>5.510000000000001</v>
      </c>
      <c r="K585" s="8" t="n"/>
      <c r="L585" s="8" t="n"/>
      <c r="M585" s="8" t="n"/>
      <c r="N585" s="8" t="n"/>
      <c r="O585" s="8" t="n"/>
      <c r="P585" s="8" t="n"/>
      <c r="Q585" s="8" t="n"/>
      <c r="R585" s="8" t="n"/>
      <c r="S585" s="8" t="n"/>
      <c r="T585" s="7" t="inlineStr">
        <is>
          <t>SEM COTAÇÃO</t>
        </is>
      </c>
      <c r="U585" s="8" t="n"/>
      <c r="V585" s="14" t="n"/>
      <c r="W585" s="14" t="n"/>
      <c r="X585" s="7" t="inlineStr"/>
      <c r="Y585" s="7" t="inlineStr"/>
    </row>
    <row r="586">
      <c r="A586" s="7" t="n">
        <v>18303</v>
      </c>
      <c r="B586" s="12" t="inlineStr">
        <is>
          <t>7908512704191</t>
        </is>
      </c>
      <c r="C586" s="7" t="inlineStr">
        <is>
          <t>BODY SPLASH BIO INSTINTO 130ML SECRETS</t>
        </is>
      </c>
      <c r="D586" s="7" t="inlineStr">
        <is>
          <t>PERF/COSME</t>
        </is>
      </c>
      <c r="E586" s="7" t="inlineStr">
        <is>
          <t>B</t>
        </is>
      </c>
      <c r="F586" s="13" t="n">
        <v>1</v>
      </c>
      <c r="G586" s="13" t="n">
        <v>1</v>
      </c>
      <c r="H586" s="8" t="n">
        <v>5.55</v>
      </c>
      <c r="I586" s="8" t="n">
        <v>5.49</v>
      </c>
      <c r="J586" s="8" t="n">
        <v>5.510000000000001</v>
      </c>
      <c r="K586" s="8" t="n"/>
      <c r="L586" s="8" t="n"/>
      <c r="M586" s="8" t="n"/>
      <c r="N586" s="8" t="n"/>
      <c r="O586" s="8" t="n"/>
      <c r="P586" s="8" t="n"/>
      <c r="Q586" s="8" t="n"/>
      <c r="R586" s="8" t="n"/>
      <c r="S586" s="8" t="n"/>
      <c r="T586" s="7" t="inlineStr">
        <is>
          <t>SEM COTAÇÃO</t>
        </is>
      </c>
      <c r="U586" s="8" t="n"/>
      <c r="V586" s="14" t="n"/>
      <c r="W586" s="14" t="n"/>
      <c r="X586" s="7" t="inlineStr"/>
      <c r="Y586" s="7" t="inlineStr"/>
    </row>
    <row r="587">
      <c r="A587" s="7" t="n">
        <v>657111</v>
      </c>
      <c r="B587" s="12" t="inlineStr">
        <is>
          <t>7898975292796</t>
        </is>
      </c>
      <c r="C587" s="7" t="inlineStr">
        <is>
          <t>BODY SPLASH DESEJO JUPXT - FACE BEAUTIFUL</t>
        </is>
      </c>
      <c r="D587" s="7" t="inlineStr">
        <is>
          <t>PERF/COSME</t>
        </is>
      </c>
      <c r="E587" s="7" t="inlineStr">
        <is>
          <t>C</t>
        </is>
      </c>
      <c r="F587" s="13" t="n">
        <v>1</v>
      </c>
      <c r="G587" s="13" t="n">
        <v>1</v>
      </c>
      <c r="H587" s="8" t="n">
        <v>22.24</v>
      </c>
      <c r="I587" s="8" t="n">
        <v>22.24</v>
      </c>
      <c r="J587" s="8" t="n">
        <v>22.24</v>
      </c>
      <c r="K587" s="8" t="n"/>
      <c r="L587" s="8" t="n"/>
      <c r="M587" s="8" t="n"/>
      <c r="N587" s="8" t="n"/>
      <c r="O587" s="8" t="n"/>
      <c r="P587" s="8" t="n"/>
      <c r="Q587" s="8" t="n"/>
      <c r="R587" s="8" t="n"/>
      <c r="S587" s="8" t="n"/>
      <c r="T587" s="7" t="inlineStr">
        <is>
          <t>SEM COTAÇÃO</t>
        </is>
      </c>
      <c r="U587" s="8" t="n"/>
      <c r="V587" s="14" t="n"/>
      <c r="W587" s="14" t="n"/>
      <c r="X587" s="7" t="inlineStr"/>
      <c r="Y587" s="7" t="inlineStr"/>
    </row>
    <row r="588">
      <c r="A588" s="7" t="n">
        <v>657121</v>
      </c>
      <c r="B588" s="12" t="inlineStr">
        <is>
          <t>7898975292772</t>
        </is>
      </c>
      <c r="C588" s="7" t="inlineStr">
        <is>
          <t>BODY SPLASH INTENSE JUPXT - FACE BEAUTIFUL</t>
        </is>
      </c>
      <c r="D588" s="7" t="inlineStr">
        <is>
          <t>PERF/COSME</t>
        </is>
      </c>
      <c r="E588" s="7" t="inlineStr">
        <is>
          <t>C</t>
        </is>
      </c>
      <c r="F588" s="13" t="n">
        <v>1</v>
      </c>
      <c r="G588" s="13" t="n">
        <v>1</v>
      </c>
      <c r="H588" s="8" t="n">
        <v>22.24</v>
      </c>
      <c r="I588" s="8" t="n">
        <v>22.24</v>
      </c>
      <c r="J588" s="8" t="n">
        <v>22.24</v>
      </c>
      <c r="K588" s="8" t="n"/>
      <c r="L588" s="8" t="n"/>
      <c r="M588" s="8" t="n"/>
      <c r="N588" s="8" t="n"/>
      <c r="O588" s="8" t="n"/>
      <c r="P588" s="8" t="n"/>
      <c r="Q588" s="8" t="n"/>
      <c r="R588" s="8" t="n"/>
      <c r="S588" s="8" t="n"/>
      <c r="T588" s="7" t="inlineStr">
        <is>
          <t>SEM COTAÇÃO</t>
        </is>
      </c>
      <c r="U588" s="8" t="n"/>
      <c r="V588" s="14" t="n"/>
      <c r="W588" s="14" t="n"/>
      <c r="X588" s="7" t="inlineStr"/>
      <c r="Y588" s="7" t="inlineStr"/>
    </row>
    <row r="589">
      <c r="A589" s="7" t="n">
        <v>643441</v>
      </c>
      <c r="B589" s="12" t="inlineStr">
        <is>
          <t>7898755180329</t>
        </is>
      </c>
      <c r="C589" s="7" t="inlineStr">
        <is>
          <t>BOLD BAR BANOFFEE 60G D/12 UN</t>
        </is>
      </c>
      <c r="D589" s="7" t="inlineStr">
        <is>
          <t>SUPLEMENTO</t>
        </is>
      </c>
      <c r="E589" s="7" t="inlineStr">
        <is>
          <t>C</t>
        </is>
      </c>
      <c r="F589" s="13" t="n">
        <v>2</v>
      </c>
      <c r="G589" s="13" t="n">
        <v>2</v>
      </c>
      <c r="H589" s="8" t="n">
        <v>11.5</v>
      </c>
      <c r="I589" s="8" t="n">
        <v>11.5</v>
      </c>
      <c r="J589" s="8" t="n">
        <v>11.5</v>
      </c>
      <c r="K589" s="8" t="n"/>
      <c r="L589" s="8" t="n"/>
      <c r="M589" s="8" t="n"/>
      <c r="N589" s="8" t="n"/>
      <c r="O589" s="8" t="n"/>
      <c r="P589" s="8" t="n"/>
      <c r="Q589" s="8" t="n"/>
      <c r="R589" s="8" t="n"/>
      <c r="S589" s="8" t="n"/>
      <c r="T589" s="7" t="inlineStr">
        <is>
          <t>SEM COTAÇÃO</t>
        </is>
      </c>
      <c r="U589" s="8" t="n"/>
      <c r="V589" s="14" t="n"/>
      <c r="W589" s="14" t="n"/>
      <c r="X589" s="7" t="inlineStr"/>
      <c r="Y589" s="7" t="inlineStr"/>
    </row>
    <row r="590">
      <c r="A590" s="7" t="n">
        <v>666601</v>
      </c>
      <c r="B590" s="12" t="inlineStr">
        <is>
          <t>7898755180336</t>
        </is>
      </c>
      <c r="C590" s="7" t="inlineStr">
        <is>
          <t>BOLD BAR BANOFFEE D/12 UN 60G CX C/12</t>
        </is>
      </c>
      <c r="D590" s="7" t="inlineStr">
        <is>
          <t>SUPLEMENTO</t>
        </is>
      </c>
      <c r="E590" s="7" t="inlineStr">
        <is>
          <t>C</t>
        </is>
      </c>
      <c r="F590" s="13" t="n">
        <v>1</v>
      </c>
      <c r="G590" s="13" t="n">
        <v>1</v>
      </c>
      <c r="H590" s="8" t="n">
        <v>141.12</v>
      </c>
      <c r="I590" s="8" t="n">
        <v>141.12</v>
      </c>
      <c r="J590" s="8" t="n">
        <v>141.12</v>
      </c>
      <c r="K590" s="8" t="n"/>
      <c r="L590" s="8" t="n"/>
      <c r="M590" s="8" t="n"/>
      <c r="N590" s="8" t="n"/>
      <c r="O590" s="8" t="n"/>
      <c r="P590" s="8" t="n"/>
      <c r="Q590" s="8" t="n"/>
      <c r="R590" s="8" t="n"/>
      <c r="S590" s="15" t="n">
        <v>11.35</v>
      </c>
      <c r="T590" s="7" t="inlineStr">
        <is>
          <t>AT_SUPLEMENTOS</t>
        </is>
      </c>
      <c r="U590" s="8" t="n">
        <v>11.35</v>
      </c>
      <c r="V590" s="14">
        <f>U590/J590-1</f>
        <v/>
      </c>
      <c r="W590" s="14">
        <f>U590/H590-1</f>
        <v/>
      </c>
      <c r="X590" s="17" t="inlineStr">
        <is>
          <t>OK (≤ menor hist.)</t>
        </is>
      </c>
      <c r="Y590" s="7" t="inlineStr">
        <is>
          <t>AT_SUPLEMENTOS: conferir emb.</t>
        </is>
      </c>
    </row>
    <row r="591">
      <c r="A591" s="7" t="n">
        <v>673261</v>
      </c>
      <c r="B591" s="12" t="inlineStr">
        <is>
          <t>7898755180961</t>
        </is>
      </c>
      <c r="C591" s="7" t="inlineStr">
        <is>
          <t>BOLD BAR BOMBOM CROCANTE 40G</t>
        </is>
      </c>
      <c r="D591" s="7" t="inlineStr">
        <is>
          <t>SUPLEMENTO</t>
        </is>
      </c>
      <c r="E591" s="7" t="inlineStr">
        <is>
          <t>C</t>
        </is>
      </c>
      <c r="F591" s="13" t="n">
        <v>2</v>
      </c>
      <c r="G591" s="13" t="n">
        <v>2</v>
      </c>
      <c r="H591" s="8" t="n">
        <v>7.3</v>
      </c>
      <c r="I591" s="8" t="n">
        <v>7.3</v>
      </c>
      <c r="J591" s="8" t="n">
        <v>7.3</v>
      </c>
      <c r="K591" s="8" t="n"/>
      <c r="L591" s="8" t="n"/>
      <c r="M591" s="8" t="n"/>
      <c r="N591" s="8" t="n"/>
      <c r="O591" s="8" t="n"/>
      <c r="P591" s="8" t="n"/>
      <c r="Q591" s="8" t="n"/>
      <c r="R591" s="8" t="n"/>
      <c r="S591" s="8" t="n"/>
      <c r="T591" s="7" t="inlineStr">
        <is>
          <t>SEM COTAÇÃO</t>
        </is>
      </c>
      <c r="U591" s="8" t="n"/>
      <c r="V591" s="14" t="n"/>
      <c r="W591" s="14" t="n"/>
      <c r="X591" s="7" t="inlineStr"/>
      <c r="Y591" s="7" t="inlineStr"/>
    </row>
    <row r="592">
      <c r="A592" s="7" t="n">
        <v>643431</v>
      </c>
      <c r="B592" s="12" t="inlineStr">
        <is>
          <t>609963966301</t>
        </is>
      </c>
      <c r="C592" s="7" t="inlineStr">
        <is>
          <t>BOLD BAR THIN BOMBOM DE COCO 40G D/12</t>
        </is>
      </c>
      <c r="D592" s="7" t="inlineStr">
        <is>
          <t>DESATIVADO</t>
        </is>
      </c>
      <c r="E592" s="7" t="inlineStr">
        <is>
          <t>C</t>
        </is>
      </c>
      <c r="F592" s="13" t="n">
        <v>1</v>
      </c>
      <c r="G592" s="13" t="n">
        <v>1</v>
      </c>
      <c r="H592" s="8" t="n">
        <v>7.99</v>
      </c>
      <c r="I592" s="8" t="n">
        <v>7.99</v>
      </c>
      <c r="J592" s="8" t="n">
        <v>7.989999999999999</v>
      </c>
      <c r="K592" s="8" t="n"/>
      <c r="L592" s="8" t="n"/>
      <c r="M592" s="8" t="n"/>
      <c r="N592" s="8" t="n"/>
      <c r="O592" s="8" t="n"/>
      <c r="P592" s="8" t="n"/>
      <c r="Q592" s="8" t="n"/>
      <c r="R592" s="8" t="n"/>
      <c r="S592" s="8" t="n"/>
      <c r="T592" s="7" t="inlineStr">
        <is>
          <t>SEM COTAÇÃO</t>
        </is>
      </c>
      <c r="U592" s="8" t="n"/>
      <c r="V592" s="14" t="n"/>
      <c r="W592" s="14" t="n"/>
      <c r="X592" s="7" t="inlineStr"/>
      <c r="Y592" s="7" t="inlineStr"/>
    </row>
    <row r="593">
      <c r="A593" s="7" t="n">
        <v>609311</v>
      </c>
      <c r="B593" s="12" t="inlineStr">
        <is>
          <t>609963966240</t>
        </is>
      </c>
      <c r="C593" s="7" t="inlineStr">
        <is>
          <t>BOLD BAR THIN COOKIES CREAM 40G</t>
        </is>
      </c>
      <c r="D593" s="7" t="inlineStr">
        <is>
          <t>SUPLEMENTO</t>
        </is>
      </c>
      <c r="E593" s="7" t="inlineStr">
        <is>
          <t>C</t>
        </is>
      </c>
      <c r="F593" s="13" t="n">
        <v>1</v>
      </c>
      <c r="G593" s="13" t="n">
        <v>1</v>
      </c>
      <c r="H593" s="8" t="n">
        <v>7.59</v>
      </c>
      <c r="I593" s="8" t="n">
        <v>7.59</v>
      </c>
      <c r="J593" s="8" t="n">
        <v>7.59</v>
      </c>
      <c r="K593" s="8" t="n"/>
      <c r="L593" s="8" t="n"/>
      <c r="M593" s="8" t="n"/>
      <c r="N593" s="8" t="n"/>
      <c r="O593" s="8" t="n"/>
      <c r="P593" s="8" t="n"/>
      <c r="Q593" s="8" t="n"/>
      <c r="R593" s="8" t="n"/>
      <c r="S593" s="15" t="n">
        <v>7.65</v>
      </c>
      <c r="T593" s="7" t="inlineStr">
        <is>
          <t>AT_SUPLEMENTOS</t>
        </is>
      </c>
      <c r="U593" s="8" t="n">
        <v>7.65</v>
      </c>
      <c r="V593" s="14">
        <f>U593/J593-1</f>
        <v/>
      </c>
      <c r="W593" s="14">
        <f>U593/H593-1</f>
        <v/>
      </c>
      <c r="X593" s="16" t="inlineStr">
        <is>
          <t>ACIMA +0.8%</t>
        </is>
      </c>
      <c r="Y593" s="7" t="inlineStr"/>
    </row>
    <row r="594">
      <c r="A594" s="7" t="n">
        <v>673271</v>
      </c>
      <c r="B594" s="12" t="inlineStr">
        <is>
          <t>7898755180220</t>
        </is>
      </c>
      <c r="C594" s="7" t="inlineStr">
        <is>
          <t>BOLD BAR THIN COOKIES E CREAM 40G</t>
        </is>
      </c>
      <c r="D594" s="7" t="inlineStr">
        <is>
          <t>SUPLEMENTO</t>
        </is>
      </c>
      <c r="E594" s="7" t="inlineStr">
        <is>
          <t>C</t>
        </is>
      </c>
      <c r="F594" s="13" t="n">
        <v>2</v>
      </c>
      <c r="G594" s="13" t="n">
        <v>2</v>
      </c>
      <c r="H594" s="8" t="n">
        <v>7.76</v>
      </c>
      <c r="I594" s="8" t="n">
        <v>7.76</v>
      </c>
      <c r="J594" s="8" t="n">
        <v>7.760000000000001</v>
      </c>
      <c r="K594" s="8" t="n"/>
      <c r="L594" s="8" t="n"/>
      <c r="M594" s="8" t="n"/>
      <c r="N594" s="8" t="n"/>
      <c r="O594" s="8" t="n"/>
      <c r="P594" s="8" t="n"/>
      <c r="Q594" s="8" t="n"/>
      <c r="R594" s="8" t="n"/>
      <c r="S594" s="8" t="n"/>
      <c r="T594" s="7" t="inlineStr">
        <is>
          <t>SEM COTAÇÃO</t>
        </is>
      </c>
      <c r="U594" s="8" t="n"/>
      <c r="V594" s="14" t="n"/>
      <c r="W594" s="14" t="n"/>
      <c r="X594" s="7" t="inlineStr"/>
      <c r="Y594" s="7" t="inlineStr"/>
    </row>
    <row r="595">
      <c r="A595" s="7" t="n">
        <v>673281</v>
      </c>
      <c r="B595" s="12" t="inlineStr">
        <is>
          <t>7898755180268</t>
        </is>
      </c>
      <c r="C595" s="7" t="inlineStr">
        <is>
          <t>BOLD BAR THIN TRUFA DE MORANGO 40G</t>
        </is>
      </c>
      <c r="D595" s="7" t="inlineStr">
        <is>
          <t>SUPLEMENTO</t>
        </is>
      </c>
      <c r="E595" s="7" t="inlineStr">
        <is>
          <t>C</t>
        </is>
      </c>
      <c r="F595" s="13" t="n">
        <v>2</v>
      </c>
      <c r="G595" s="13" t="n">
        <v>2</v>
      </c>
      <c r="H595" s="8" t="n">
        <v>7.76</v>
      </c>
      <c r="I595" s="8" t="n">
        <v>7.76</v>
      </c>
      <c r="J595" s="8" t="n">
        <v>7.760000000000001</v>
      </c>
      <c r="K595" s="8" t="n"/>
      <c r="L595" s="8" t="n"/>
      <c r="M595" s="8" t="n"/>
      <c r="N595" s="8" t="n"/>
      <c r="O595" s="8" t="n"/>
      <c r="P595" s="8" t="n"/>
      <c r="Q595" s="8" t="n"/>
      <c r="R595" s="8" t="n"/>
      <c r="S595" s="8" t="n"/>
      <c r="T595" s="7" t="inlineStr">
        <is>
          <t>SEM COTAÇÃO</t>
        </is>
      </c>
      <c r="U595" s="8" t="n"/>
      <c r="V595" s="14" t="n"/>
      <c r="W595" s="14" t="n"/>
      <c r="X595" s="7" t="inlineStr"/>
      <c r="Y595" s="7" t="inlineStr"/>
    </row>
    <row r="596">
      <c r="A596" s="7" t="n">
        <v>609321</v>
      </c>
      <c r="B596" s="12" t="inlineStr">
        <is>
          <t>609963966288</t>
        </is>
      </c>
      <c r="C596" s="7" t="inlineStr">
        <is>
          <t>BOLD BAR THIN TRUFA DE MORANGO 40G D/12</t>
        </is>
      </c>
      <c r="D596" s="7" t="inlineStr">
        <is>
          <t>SUPLEMENTO</t>
        </is>
      </c>
      <c r="E596" s="7" t="inlineStr">
        <is>
          <t>C</t>
        </is>
      </c>
      <c r="F596" s="13" t="n">
        <v>1</v>
      </c>
      <c r="G596" s="13" t="n">
        <v>1</v>
      </c>
      <c r="H596" s="8" t="n">
        <v>7.59</v>
      </c>
      <c r="I596" s="8" t="n">
        <v>7.59</v>
      </c>
      <c r="J596" s="8" t="n">
        <v>7.59</v>
      </c>
      <c r="K596" s="8" t="n"/>
      <c r="L596" s="8" t="n"/>
      <c r="M596" s="8" t="n"/>
      <c r="N596" s="8" t="n"/>
      <c r="O596" s="8" t="n"/>
      <c r="P596" s="8" t="n"/>
      <c r="Q596" s="8" t="n"/>
      <c r="R596" s="8" t="n"/>
      <c r="S596" s="15" t="n">
        <v>7.65</v>
      </c>
      <c r="T596" s="7" t="inlineStr">
        <is>
          <t>AT_SUPLEMENTOS</t>
        </is>
      </c>
      <c r="U596" s="8" t="n">
        <v>7.65</v>
      </c>
      <c r="V596" s="14">
        <f>U596/J596-1</f>
        <v/>
      </c>
      <c r="W596" s="14">
        <f>U596/H596-1</f>
        <v/>
      </c>
      <c r="X596" s="16" t="inlineStr">
        <is>
          <t>ACIMA +0.8%</t>
        </is>
      </c>
      <c r="Y596" s="7" t="inlineStr"/>
    </row>
    <row r="597">
      <c r="A597" s="7" t="n">
        <v>4753</v>
      </c>
      <c r="B597" s="12" t="inlineStr">
        <is>
          <t>7898958556624</t>
        </is>
      </c>
      <c r="C597" s="7" t="inlineStr">
        <is>
          <t>BOLDE-CLERFLACONETES 10ML</t>
        </is>
      </c>
      <c r="D597" s="7" t="inlineStr">
        <is>
          <t>VITAMINA E SIMILARES</t>
        </is>
      </c>
      <c r="E597" s="7" t="inlineStr">
        <is>
          <t>C</t>
        </is>
      </c>
      <c r="F597" s="13" t="n">
        <v>1</v>
      </c>
      <c r="G597" s="13" t="n">
        <v>19</v>
      </c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  <c r="Q597" s="8" t="n"/>
      <c r="R597" s="8" t="n"/>
      <c r="S597" s="8" t="n"/>
      <c r="T597" s="7" t="inlineStr">
        <is>
          <t>SEM COTAÇÃO</t>
        </is>
      </c>
      <c r="U597" s="8" t="n"/>
      <c r="V597" s="14" t="n"/>
      <c r="W597" s="14" t="n"/>
      <c r="X597" s="7" t="inlineStr"/>
      <c r="Y597" s="7" t="inlineStr"/>
    </row>
    <row r="598">
      <c r="A598" s="7" t="n">
        <v>661051</v>
      </c>
      <c r="B598" s="12" t="inlineStr">
        <is>
          <t>7891962067315</t>
        </is>
      </c>
      <c r="C598" s="7" t="inlineStr">
        <is>
          <t>BOLINHO BAUD BAUNILHA C/CHOCO 40G</t>
        </is>
      </c>
      <c r="D598" s="7" t="inlineStr">
        <is>
          <t>BISCOITOS/SALGADOS</t>
        </is>
      </c>
      <c r="E598" s="7" t="inlineStr">
        <is>
          <t>C</t>
        </is>
      </c>
      <c r="F598" s="13" t="n">
        <v>6</v>
      </c>
      <c r="G598" s="13" t="n">
        <v>6</v>
      </c>
      <c r="H598" s="8" t="n">
        <v>2.3</v>
      </c>
      <c r="I598" s="8" t="n">
        <v>2.07</v>
      </c>
      <c r="J598" s="8" t="n">
        <v>2.146666666666667</v>
      </c>
      <c r="K598" s="8" t="n"/>
      <c r="L598" s="8" t="n"/>
      <c r="M598" s="8" t="n"/>
      <c r="N598" s="8" t="n"/>
      <c r="O598" s="8" t="n"/>
      <c r="P598" s="8" t="n"/>
      <c r="Q598" s="8" t="n"/>
      <c r="R598" s="8" t="n"/>
      <c r="S598" s="8" t="n"/>
      <c r="T598" s="7" t="inlineStr">
        <is>
          <t>SEM COTAÇÃO</t>
        </is>
      </c>
      <c r="U598" s="8" t="n"/>
      <c r="V598" s="14" t="n"/>
      <c r="W598" s="14" t="n"/>
      <c r="X598" s="7" t="inlineStr"/>
      <c r="Y598" s="7" t="inlineStr"/>
    </row>
    <row r="599">
      <c r="A599" s="7" t="n">
        <v>631971</v>
      </c>
      <c r="B599" s="12" t="inlineStr">
        <is>
          <t>7891962067469</t>
        </is>
      </c>
      <c r="C599" s="7" t="inlineStr">
        <is>
          <t>BOLINHO BAUD CHOC DUPLO 40G</t>
        </is>
      </c>
      <c r="D599" s="7" t="inlineStr">
        <is>
          <t>CONVENIENCIA</t>
        </is>
      </c>
      <c r="E599" s="7" t="inlineStr">
        <is>
          <t>C</t>
        </is>
      </c>
      <c r="F599" s="13" t="n">
        <v>7</v>
      </c>
      <c r="G599" s="13" t="n">
        <v>7</v>
      </c>
      <c r="H599" s="8" t="n">
        <v>2.3</v>
      </c>
      <c r="I599" s="8" t="n">
        <v>2.07</v>
      </c>
      <c r="J599" s="8" t="n">
        <v>2.223333333333333</v>
      </c>
      <c r="K599" s="8" t="n"/>
      <c r="L599" s="8" t="n"/>
      <c r="M599" s="8" t="n"/>
      <c r="N599" s="8" t="n"/>
      <c r="O599" s="8" t="n"/>
      <c r="P599" s="8" t="n"/>
      <c r="Q599" s="8" t="n"/>
      <c r="R599" s="8" t="n"/>
      <c r="S599" s="8" t="n"/>
      <c r="T599" s="7" t="inlineStr">
        <is>
          <t>SEM COTAÇÃO</t>
        </is>
      </c>
      <c r="U599" s="8" t="n"/>
      <c r="V599" s="14" t="n"/>
      <c r="W599" s="14" t="n"/>
      <c r="X599" s="7" t="inlineStr"/>
      <c r="Y599" s="7" t="inlineStr"/>
    </row>
    <row r="600">
      <c r="A600" s="7" t="n">
        <v>661041</v>
      </c>
      <c r="B600" s="12" t="inlineStr">
        <is>
          <t>7891962067346</t>
        </is>
      </c>
      <c r="C600" s="7" t="inlineStr">
        <is>
          <t>BOLINHO BAUD CHOCOLATE C/BAUN 40G</t>
        </is>
      </c>
      <c r="D600" s="7" t="inlineStr">
        <is>
          <t>BISCOITOS/SALGADOS</t>
        </is>
      </c>
      <c r="E600" s="7" t="inlineStr">
        <is>
          <t>C</t>
        </is>
      </c>
      <c r="F600" s="13" t="n">
        <v>4</v>
      </c>
      <c r="G600" s="13" t="n">
        <v>4</v>
      </c>
      <c r="H600" s="8" t="n">
        <v>2.07</v>
      </c>
      <c r="I600" s="8" t="n">
        <v>2.07</v>
      </c>
      <c r="J600" s="8" t="n">
        <v>2.07</v>
      </c>
      <c r="K600" s="8" t="n"/>
      <c r="L600" s="8" t="n"/>
      <c r="M600" s="8" t="n"/>
      <c r="N600" s="8" t="n"/>
      <c r="O600" s="8" t="n"/>
      <c r="P600" s="8" t="n"/>
      <c r="Q600" s="8" t="n"/>
      <c r="R600" s="8" t="n"/>
      <c r="S600" s="8" t="n"/>
      <c r="T600" s="7" t="inlineStr">
        <is>
          <t>SEM COTAÇÃO</t>
        </is>
      </c>
      <c r="U600" s="8" t="n"/>
      <c r="V600" s="14" t="n"/>
      <c r="W600" s="14" t="n"/>
      <c r="X600" s="7" t="inlineStr"/>
      <c r="Y600" s="7" t="inlineStr"/>
    </row>
    <row r="601">
      <c r="A601" s="7" t="n">
        <v>661081</v>
      </c>
      <c r="B601" s="12" t="inlineStr">
        <is>
          <t>7891962067308</t>
        </is>
      </c>
      <c r="C601" s="7" t="inlineStr">
        <is>
          <t>BOLINHO BAUD MORANGO 40G</t>
        </is>
      </c>
      <c r="D601" s="7" t="inlineStr">
        <is>
          <t>BISCOITOS/SALGADOS</t>
        </is>
      </c>
      <c r="E601" s="7" t="inlineStr">
        <is>
          <t>C</t>
        </is>
      </c>
      <c r="F601" s="13" t="n">
        <v>6</v>
      </c>
      <c r="G601" s="13" t="n">
        <v>6</v>
      </c>
      <c r="H601" s="8" t="n">
        <v>2.07</v>
      </c>
      <c r="I601" s="8" t="n">
        <v>2.07</v>
      </c>
      <c r="J601" s="8" t="n">
        <v>2.07</v>
      </c>
      <c r="K601" s="8" t="n"/>
      <c r="L601" s="8" t="n"/>
      <c r="M601" s="8" t="n"/>
      <c r="N601" s="8" t="n"/>
      <c r="O601" s="8" t="n"/>
      <c r="P601" s="8" t="n"/>
      <c r="Q601" s="8" t="n"/>
      <c r="R601" s="8" t="n"/>
      <c r="S601" s="8" t="n"/>
      <c r="T601" s="7" t="inlineStr">
        <is>
          <t>SEM COTAÇÃO</t>
        </is>
      </c>
      <c r="U601" s="8" t="n"/>
      <c r="V601" s="14" t="n"/>
      <c r="W601" s="14" t="n"/>
      <c r="X601" s="7" t="inlineStr"/>
      <c r="Y601" s="7" t="inlineStr"/>
    </row>
    <row r="602">
      <c r="A602" s="7" t="n">
        <v>650051</v>
      </c>
      <c r="B602" s="12" t="inlineStr">
        <is>
          <t>7891962051567</t>
        </is>
      </c>
      <c r="C602" s="7" t="inlineStr">
        <is>
          <t>BOLINHO BAUD ROLL CHOCOLATE 34G</t>
        </is>
      </c>
      <c r="D602" s="7" t="inlineStr">
        <is>
          <t>CONVENIENCIA</t>
        </is>
      </c>
      <c r="E602" s="7" t="inlineStr">
        <is>
          <t>C</t>
        </is>
      </c>
      <c r="F602" s="13" t="n">
        <v>2</v>
      </c>
      <c r="G602" s="13" t="n">
        <v>2</v>
      </c>
      <c r="H602" s="8" t="n">
        <v>2.07</v>
      </c>
      <c r="I602" s="8" t="n">
        <v>2.07</v>
      </c>
      <c r="J602" s="8" t="n">
        <v>2.07</v>
      </c>
      <c r="K602" s="8" t="n"/>
      <c r="L602" s="8" t="n"/>
      <c r="M602" s="8" t="n"/>
      <c r="N602" s="8" t="n"/>
      <c r="O602" s="8" t="n"/>
      <c r="P602" s="8" t="n"/>
      <c r="Q602" s="8" t="n"/>
      <c r="R602" s="8" t="n"/>
      <c r="S602" s="8" t="n"/>
      <c r="T602" s="7" t="inlineStr">
        <is>
          <t>SEM COTAÇÃO</t>
        </is>
      </c>
      <c r="U602" s="8" t="n"/>
      <c r="V602" s="14" t="n"/>
      <c r="W602" s="14" t="n"/>
      <c r="X602" s="7" t="inlineStr"/>
      <c r="Y602" s="7" t="inlineStr"/>
    </row>
    <row r="603">
      <c r="A603" s="7" t="n">
        <v>639371</v>
      </c>
      <c r="B603" s="12" t="inlineStr">
        <is>
          <t>7896342452712</t>
        </is>
      </c>
      <c r="C603" s="7" t="inlineStr">
        <is>
          <t>BOLSA PARA AGUA QUENTE MEDIA BORDO - BC0013-BO  MERCUR</t>
        </is>
      </c>
      <c r="D603" s="7" t="inlineStr">
        <is>
          <t>ORTOPEDICO</t>
        </is>
      </c>
      <c r="E603" s="7" t="inlineStr">
        <is>
          <t>C</t>
        </is>
      </c>
      <c r="F603" s="13" t="n">
        <v>1</v>
      </c>
      <c r="G603" s="13" t="n">
        <v>1</v>
      </c>
      <c r="H603" s="8" t="n">
        <v>40.47</v>
      </c>
      <c r="I603" s="8" t="n">
        <v>40.47</v>
      </c>
      <c r="J603" s="8" t="n">
        <v>40.47</v>
      </c>
      <c r="K603" s="8" t="n"/>
      <c r="L603" s="8" t="n"/>
      <c r="M603" s="8" t="n"/>
      <c r="N603" s="8" t="n"/>
      <c r="O603" s="8" t="n"/>
      <c r="P603" s="8" t="n"/>
      <c r="Q603" s="8" t="n"/>
      <c r="R603" s="8" t="n"/>
      <c r="S603" s="8" t="n"/>
      <c r="T603" s="7" t="inlineStr">
        <is>
          <t>SEM COTAÇÃO</t>
        </is>
      </c>
      <c r="U603" s="8" t="n"/>
      <c r="V603" s="14" t="n"/>
      <c r="W603" s="14" t="n"/>
      <c r="X603" s="7" t="inlineStr"/>
      <c r="Y603" s="7" t="inlineStr"/>
    </row>
    <row r="604">
      <c r="A604" s="7" t="n">
        <v>639361</v>
      </c>
      <c r="B604" s="12" t="inlineStr">
        <is>
          <t>7896342900626</t>
        </is>
      </c>
      <c r="C604" s="7" t="inlineStr">
        <is>
          <t>BOLSA PARA AGUA QUENTE PEQUENA BORDO - BC0010-BO MERCUR</t>
        </is>
      </c>
      <c r="D604" s="7" t="inlineStr">
        <is>
          <t>ORTOPEDICO</t>
        </is>
      </c>
      <c r="E604" s="7" t="inlineStr">
        <is>
          <t>C</t>
        </is>
      </c>
      <c r="F604" s="13" t="n">
        <v>1</v>
      </c>
      <c r="G604" s="13" t="n">
        <v>1</v>
      </c>
      <c r="H604" s="8" t="n">
        <v>32.65</v>
      </c>
      <c r="I604" s="8" t="n">
        <v>32.65</v>
      </c>
      <c r="J604" s="8" t="n">
        <v>32.65</v>
      </c>
      <c r="K604" s="8" t="n"/>
      <c r="L604" s="8" t="n"/>
      <c r="M604" s="8" t="n"/>
      <c r="N604" s="8" t="n"/>
      <c r="O604" s="8" t="n"/>
      <c r="P604" s="8" t="n"/>
      <c r="Q604" s="8" t="n"/>
      <c r="R604" s="8" t="n"/>
      <c r="S604" s="8" t="n"/>
      <c r="T604" s="7" t="inlineStr">
        <is>
          <t>SEM COTAÇÃO</t>
        </is>
      </c>
      <c r="U604" s="8" t="n"/>
      <c r="V604" s="14" t="n"/>
      <c r="W604" s="14" t="n"/>
      <c r="X604" s="7" t="inlineStr"/>
      <c r="Y604" s="7" t="inlineStr"/>
    </row>
    <row r="605">
      <c r="A605" s="7" t="n">
        <v>3893</v>
      </c>
      <c r="B605" s="12" t="inlineStr">
        <is>
          <t>7908414448933</t>
        </is>
      </c>
      <c r="C605" s="7" t="inlineStr">
        <is>
          <t>BOLSA TERMICA GEL AZUL HC353</t>
        </is>
      </c>
      <c r="D605" s="7" t="inlineStr">
        <is>
          <t>SIMILAR</t>
        </is>
      </c>
      <c r="E605" s="7" t="inlineStr">
        <is>
          <t>C</t>
        </is>
      </c>
      <c r="F605" s="13" t="n">
        <v>6</v>
      </c>
      <c r="G605" s="13" t="n">
        <v>6</v>
      </c>
      <c r="H605" s="8" t="n">
        <v>12.92</v>
      </c>
      <c r="I605" s="8" t="n">
        <v>12.92</v>
      </c>
      <c r="J605" s="8" t="n">
        <v>12.92</v>
      </c>
      <c r="K605" s="15" t="n">
        <v>12.92</v>
      </c>
      <c r="L605" s="8" t="n"/>
      <c r="M605" s="8" t="n"/>
      <c r="N605" s="8" t="n"/>
      <c r="O605" s="8" t="n"/>
      <c r="P605" s="8" t="n"/>
      <c r="Q605" s="8" t="n"/>
      <c r="R605" s="8" t="n"/>
      <c r="S605" s="8" t="n"/>
      <c r="T605" s="7" t="inlineStr">
        <is>
          <t>DIMEC</t>
        </is>
      </c>
      <c r="U605" s="8" t="n">
        <v>12.92</v>
      </c>
      <c r="V605" s="14">
        <f>U605/J605-1</f>
        <v/>
      </c>
      <c r="W605" s="14">
        <f>U605/H605-1</f>
        <v/>
      </c>
      <c r="X605" s="17" t="inlineStr">
        <is>
          <t>OK (≤ menor hist.)</t>
        </is>
      </c>
      <c r="Y605" s="7" t="inlineStr"/>
    </row>
    <row r="606">
      <c r="A606" s="7" t="n">
        <v>639571</v>
      </c>
      <c r="B606" s="12" t="inlineStr">
        <is>
          <t>7896342900831</t>
        </is>
      </c>
      <c r="C606" s="7" t="inlineStr">
        <is>
          <t>BOLSA TERMICA GEL PEQUENA MERCUR BC0130-P20</t>
        </is>
      </c>
      <c r="D606" s="7" t="inlineStr">
        <is>
          <t>ORTOPEDICO</t>
        </is>
      </c>
      <c r="E606" s="7" t="inlineStr">
        <is>
          <t>C</t>
        </is>
      </c>
      <c r="F606" s="13" t="n">
        <v>1</v>
      </c>
      <c r="G606" s="13" t="n">
        <v>4</v>
      </c>
      <c r="H606" s="8" t="n">
        <v>6.4635</v>
      </c>
      <c r="I606" s="8" t="n">
        <v>6.4635</v>
      </c>
      <c r="J606" s="8" t="n">
        <v>6.4635</v>
      </c>
      <c r="K606" s="8" t="n"/>
      <c r="L606" s="8" t="n"/>
      <c r="M606" s="8" t="n"/>
      <c r="N606" s="8" t="n"/>
      <c r="O606" s="8" t="n"/>
      <c r="P606" s="8" t="n"/>
      <c r="Q606" s="8" t="n"/>
      <c r="R606" s="8" t="n"/>
      <c r="S606" s="8" t="n"/>
      <c r="T606" s="7" t="inlineStr">
        <is>
          <t>SEM COTAÇÃO</t>
        </is>
      </c>
      <c r="U606" s="8" t="n"/>
      <c r="V606" s="14" t="n"/>
      <c r="W606" s="14" t="n"/>
      <c r="X606" s="7" t="inlineStr"/>
      <c r="Y606" s="7" t="inlineStr"/>
    </row>
    <row r="607">
      <c r="A607" s="7" t="n">
        <v>674321</v>
      </c>
      <c r="B607" s="12" t="inlineStr">
        <is>
          <t>7898975719040</t>
        </is>
      </c>
      <c r="C607" s="7" t="inlineStr">
        <is>
          <t>BOLSA TERMICA GEL QUENTE OU FRIO GRANDE</t>
        </is>
      </c>
      <c r="D607" s="7" t="inlineStr">
        <is>
          <t>UTENSILIOS</t>
        </is>
      </c>
      <c r="E607" s="7" t="inlineStr">
        <is>
          <t>C</t>
        </is>
      </c>
      <c r="F607" s="13" t="n">
        <v>1</v>
      </c>
      <c r="G607" s="13" t="n">
        <v>1</v>
      </c>
      <c r="H607" s="8" t="n">
        <v>10.63</v>
      </c>
      <c r="I607" s="8" t="n">
        <v>10.63</v>
      </c>
      <c r="J607" s="8" t="n">
        <v>10.63</v>
      </c>
      <c r="K607" s="15" t="n">
        <v>10.63</v>
      </c>
      <c r="L607" s="8" t="n"/>
      <c r="M607" s="8" t="n"/>
      <c r="N607" s="8" t="n">
        <v>11.37</v>
      </c>
      <c r="O607" s="8" t="n"/>
      <c r="P607" s="8" t="n"/>
      <c r="Q607" s="8" t="n"/>
      <c r="R607" s="8" t="n"/>
      <c r="S607" s="8" t="n"/>
      <c r="T607" s="7" t="inlineStr">
        <is>
          <t>DIMEC</t>
        </is>
      </c>
      <c r="U607" s="8" t="n">
        <v>10.63</v>
      </c>
      <c r="V607" s="14">
        <f>U607/J607-1</f>
        <v/>
      </c>
      <c r="W607" s="14">
        <f>U607/H607-1</f>
        <v/>
      </c>
      <c r="X607" s="17" t="inlineStr">
        <is>
          <t>OK (≤ menor hist.)</t>
        </is>
      </c>
      <c r="Y607" s="7" t="inlineStr"/>
    </row>
    <row r="608">
      <c r="A608" s="7" t="n">
        <v>670271</v>
      </c>
      <c r="B608" s="12" t="inlineStr">
        <is>
          <t>7896033295192</t>
        </is>
      </c>
      <c r="C608" s="7" t="inlineStr">
        <is>
          <t>BOMBA MANUAL P/TIRAR LEITE MAMY 629501</t>
        </is>
      </c>
      <c r="D608" s="7" t="inlineStr">
        <is>
          <t>UTENSILIOS</t>
        </is>
      </c>
      <c r="E608" s="7" t="inlineStr">
        <is>
          <t>A</t>
        </is>
      </c>
      <c r="F608" s="13" t="n">
        <v>2</v>
      </c>
      <c r="G608" s="13" t="n">
        <v>2</v>
      </c>
      <c r="H608" s="8" t="n">
        <v>49.25</v>
      </c>
      <c r="I608" s="8" t="n">
        <v>49.25</v>
      </c>
      <c r="J608" s="8" t="n">
        <v>49.25</v>
      </c>
      <c r="K608" s="8" t="n"/>
      <c r="L608" s="8" t="n"/>
      <c r="M608" s="8" t="n"/>
      <c r="N608" s="8" t="n"/>
      <c r="O608" s="8" t="n"/>
      <c r="P608" s="8" t="n"/>
      <c r="Q608" s="8" t="n"/>
      <c r="R608" s="8" t="n"/>
      <c r="S608" s="8" t="n"/>
      <c r="T608" s="7" t="inlineStr">
        <is>
          <t>SEM COTAÇÃO</t>
        </is>
      </c>
      <c r="U608" s="8" t="n"/>
      <c r="V608" s="14" t="n"/>
      <c r="W608" s="14" t="n"/>
      <c r="X608" s="7" t="inlineStr"/>
      <c r="Y608" s="7" t="inlineStr"/>
    </row>
    <row r="609">
      <c r="A609" s="7" t="n">
        <v>563101</v>
      </c>
      <c r="B609" s="12" t="inlineStr">
        <is>
          <t>7896451911582</t>
        </is>
      </c>
      <c r="C609" s="7" t="inlineStr">
        <is>
          <t>BOMBOM DOCILE DOCIGOMA</t>
        </is>
      </c>
      <c r="D609" s="7" t="inlineStr">
        <is>
          <t>CONVENIENCIA</t>
        </is>
      </c>
      <c r="E609" s="7" t="inlineStr">
        <is>
          <t>C</t>
        </is>
      </c>
      <c r="F609" s="13" t="n">
        <v>1</v>
      </c>
      <c r="G609" s="13" t="n">
        <v>1</v>
      </c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  <c r="Q609" s="8" t="n"/>
      <c r="R609" s="8" t="n"/>
      <c r="S609" s="8" t="n"/>
      <c r="T609" s="7" t="inlineStr">
        <is>
          <t>SEM COTAÇÃO</t>
        </is>
      </c>
      <c r="U609" s="8" t="n"/>
      <c r="V609" s="14" t="n"/>
      <c r="W609" s="14" t="n"/>
      <c r="X609" s="7" t="inlineStr"/>
      <c r="Y609" s="7" t="inlineStr"/>
    </row>
    <row r="610">
      <c r="A610" s="7" t="n">
        <v>584281</v>
      </c>
      <c r="B610" s="12" t="inlineStr">
        <is>
          <t>7891008121193</t>
        </is>
      </c>
      <c r="C610" s="7" t="inlineStr">
        <is>
          <t>BOMBOM GAROTO CARIBE PACOTE 28G</t>
        </is>
      </c>
      <c r="D610" s="7" t="inlineStr">
        <is>
          <t>CHOCOLATES</t>
        </is>
      </c>
      <c r="E610" s="7" t="inlineStr">
        <is>
          <t>C</t>
        </is>
      </c>
      <c r="F610" s="13" t="n">
        <v>1</v>
      </c>
      <c r="G610" s="13" t="n">
        <v>26</v>
      </c>
      <c r="H610" s="8" t="n">
        <v>2.6317</v>
      </c>
      <c r="I610" s="8" t="n">
        <v>2.6317</v>
      </c>
      <c r="J610" s="8" t="n">
        <v>2.6317</v>
      </c>
      <c r="K610" s="8" t="n"/>
      <c r="L610" s="8" t="n"/>
      <c r="M610" s="8" t="n"/>
      <c r="N610" s="8" t="n"/>
      <c r="O610" s="8" t="n"/>
      <c r="P610" s="8" t="n"/>
      <c r="Q610" s="8" t="n"/>
      <c r="R610" s="8" t="n"/>
      <c r="S610" s="8" t="n"/>
      <c r="T610" s="7" t="inlineStr">
        <is>
          <t>SEM COTAÇÃO</t>
        </is>
      </c>
      <c r="U610" s="8" t="n"/>
      <c r="V610" s="14" t="n"/>
      <c r="W610" s="14" t="n"/>
      <c r="X610" s="7" t="inlineStr"/>
      <c r="Y610" s="7" t="inlineStr"/>
    </row>
    <row r="611">
      <c r="A611" s="7" t="n">
        <v>533301</v>
      </c>
      <c r="B611" s="12" t="inlineStr">
        <is>
          <t>7891008116632</t>
        </is>
      </c>
      <c r="C611" s="7" t="inlineStr">
        <is>
          <t>BOMBOM GAROTO GAROTICES CAIXA 250G 17 UNIDADES</t>
        </is>
      </c>
      <c r="D611" s="7" t="inlineStr">
        <is>
          <t>CHOCOLATES</t>
        </is>
      </c>
      <c r="E611" s="7" t="inlineStr">
        <is>
          <t>C</t>
        </is>
      </c>
      <c r="F611" s="13" t="n">
        <v>1</v>
      </c>
      <c r="G611" s="13" t="n">
        <v>26</v>
      </c>
      <c r="H611" s="8" t="n">
        <v>13.3991</v>
      </c>
      <c r="I611" s="8" t="n">
        <v>12.17</v>
      </c>
      <c r="J611" s="8" t="n">
        <v>12.17</v>
      </c>
      <c r="K611" s="8" t="n"/>
      <c r="L611" s="8" t="n"/>
      <c r="M611" s="8" t="n"/>
      <c r="N611" s="8" t="n"/>
      <c r="O611" s="8" t="n"/>
      <c r="P611" s="8" t="n"/>
      <c r="Q611" s="8" t="n"/>
      <c r="R611" s="8" t="n"/>
      <c r="S611" s="8" t="n"/>
      <c r="T611" s="7" t="inlineStr">
        <is>
          <t>SEM COTAÇÃO</t>
        </is>
      </c>
      <c r="U611" s="8" t="n"/>
      <c r="V611" s="14" t="n"/>
      <c r="W611" s="14" t="n"/>
      <c r="X611" s="7" t="inlineStr"/>
      <c r="Y611" s="7" t="inlineStr"/>
    </row>
    <row r="612">
      <c r="A612" s="7" t="n">
        <v>625531</v>
      </c>
      <c r="B612" s="12" t="inlineStr">
        <is>
          <t>78939318</t>
        </is>
      </c>
      <c r="C612" s="7" t="inlineStr">
        <is>
          <t>BOMBOM OURO BRANCO UNID</t>
        </is>
      </c>
      <c r="D612" s="7" t="inlineStr">
        <is>
          <t>CONVENIENCIA</t>
        </is>
      </c>
      <c r="E612" s="7" t="inlineStr">
        <is>
          <t>C</t>
        </is>
      </c>
      <c r="F612" s="13" t="n">
        <v>14</v>
      </c>
      <c r="G612" s="13" t="n">
        <v>14</v>
      </c>
      <c r="H612" s="8" t="n">
        <v>1.02</v>
      </c>
      <c r="I612" s="8" t="n">
        <v>1.02</v>
      </c>
      <c r="J612" s="8" t="n">
        <v>1.02</v>
      </c>
      <c r="K612" s="8" t="n"/>
      <c r="L612" s="8" t="n"/>
      <c r="M612" s="8" t="n"/>
      <c r="N612" s="8" t="n"/>
      <c r="O612" s="8" t="n"/>
      <c r="P612" s="8" t="n"/>
      <c r="Q612" s="8" t="n"/>
      <c r="R612" s="8" t="n"/>
      <c r="S612" s="8" t="n"/>
      <c r="T612" s="7" t="inlineStr">
        <is>
          <t>SEM COTAÇÃO</t>
        </is>
      </c>
      <c r="U612" s="8" t="n"/>
      <c r="V612" s="14" t="n"/>
      <c r="W612" s="14" t="n"/>
      <c r="X612" s="7" t="inlineStr"/>
      <c r="Y612" s="7" t="inlineStr"/>
    </row>
    <row r="613">
      <c r="A613" s="7" t="n">
        <v>579981</v>
      </c>
      <c r="B613" s="12" t="inlineStr">
        <is>
          <t>7891008414127</t>
        </is>
      </c>
      <c r="C613" s="7" t="inlineStr">
        <is>
          <t>BOMBOM SERENATA DE AMOR 16,5G</t>
        </is>
      </c>
      <c r="D613" s="7" t="inlineStr">
        <is>
          <t>CONVENIENCIA</t>
        </is>
      </c>
      <c r="E613" s="7" t="inlineStr">
        <is>
          <t>C</t>
        </is>
      </c>
      <c r="F613" s="13" t="n">
        <v>51</v>
      </c>
      <c r="G613" s="13" t="n">
        <v>51</v>
      </c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  <c r="Q613" s="8" t="n"/>
      <c r="R613" s="8" t="n"/>
      <c r="S613" s="8" t="n"/>
      <c r="T613" s="7" t="inlineStr">
        <is>
          <t>SEM COTAÇÃO</t>
        </is>
      </c>
      <c r="U613" s="8" t="n"/>
      <c r="V613" s="14" t="n"/>
      <c r="W613" s="14" t="n"/>
      <c r="X613" s="7" t="inlineStr"/>
      <c r="Y613" s="7" t="inlineStr"/>
    </row>
    <row r="614">
      <c r="A614" s="7" t="n">
        <v>639221</v>
      </c>
      <c r="B614" s="12" t="inlineStr">
        <is>
          <t>7898142865044</t>
        </is>
      </c>
      <c r="C614" s="7" t="inlineStr">
        <is>
          <t>BOMBOM TORTUGUITA CHOCOLATE SABOR BAUNILHA 15G</t>
        </is>
      </c>
      <c r="D614" s="7" t="inlineStr">
        <is>
          <t>CONVENIENCIA</t>
        </is>
      </c>
      <c r="E614" s="7" t="inlineStr">
        <is>
          <t>B</t>
        </is>
      </c>
      <c r="F614" s="13" t="n">
        <v>1</v>
      </c>
      <c r="G614" s="13" t="n">
        <v>10</v>
      </c>
      <c r="H614" s="8" t="n">
        <v>1.6392</v>
      </c>
      <c r="I614" s="8" t="n">
        <v>1.4768</v>
      </c>
      <c r="J614" s="8" t="n">
        <v>1.530933333333333</v>
      </c>
      <c r="K614" s="8" t="n"/>
      <c r="L614" s="8" t="n"/>
      <c r="M614" s="8" t="n"/>
      <c r="N614" s="8" t="n"/>
      <c r="O614" s="8" t="n"/>
      <c r="P614" s="8" t="n"/>
      <c r="Q614" s="8" t="n"/>
      <c r="R614" s="8" t="n"/>
      <c r="S614" s="8" t="n"/>
      <c r="T614" s="7" t="inlineStr">
        <is>
          <t>SEM COTAÇÃO</t>
        </is>
      </c>
      <c r="U614" s="8" t="n"/>
      <c r="V614" s="14" t="n"/>
      <c r="W614" s="14" t="n"/>
      <c r="X614" s="7" t="inlineStr"/>
      <c r="Y614" s="7" t="inlineStr"/>
    </row>
    <row r="615">
      <c r="A615" s="7" t="n">
        <v>538001</v>
      </c>
      <c r="B615" s="12" t="inlineStr">
        <is>
          <t>99999999999999</t>
        </is>
      </c>
      <c r="C615" s="7" t="inlineStr">
        <is>
          <t>BOMBOM UNIT</t>
        </is>
      </c>
      <c r="D615" s="7" t="inlineStr">
        <is>
          <t>USO INTERNO</t>
        </is>
      </c>
      <c r="E615" s="7" t="inlineStr">
        <is>
          <t>C</t>
        </is>
      </c>
      <c r="F615" s="13" t="n">
        <v>277</v>
      </c>
      <c r="G615" s="13" t="n">
        <v>554</v>
      </c>
      <c r="H615" s="8" t="n"/>
      <c r="I615" s="8" t="n"/>
      <c r="J615" s="8" t="n"/>
      <c r="K615" s="8" t="n"/>
      <c r="L615" s="8" t="n"/>
      <c r="M615" s="8" t="n"/>
      <c r="N615" s="8" t="n"/>
      <c r="O615" s="8" t="n"/>
      <c r="P615" s="8" t="n"/>
      <c r="Q615" s="8" t="n"/>
      <c r="R615" s="8" t="n"/>
      <c r="S615" s="8" t="n"/>
      <c r="T615" s="7" t="inlineStr">
        <is>
          <t>SEM COTAÇÃO</t>
        </is>
      </c>
      <c r="U615" s="8" t="n"/>
      <c r="V615" s="14" t="n"/>
      <c r="W615" s="14" t="n"/>
      <c r="X615" s="7" t="inlineStr"/>
      <c r="Y615" s="7" t="inlineStr"/>
    </row>
    <row r="616">
      <c r="A616" s="7" t="n">
        <v>1014</v>
      </c>
      <c r="B616" s="12" t="inlineStr"/>
      <c r="C616" s="7" t="inlineStr">
        <is>
          <t>BOMBONS UND</t>
        </is>
      </c>
      <c r="D616" s="7" t="inlineStr">
        <is>
          <t>SORVETE E PICOLES</t>
        </is>
      </c>
      <c r="E616" s="7" t="inlineStr">
        <is>
          <t>C</t>
        </is>
      </c>
      <c r="F616" s="13" t="n">
        <v>1</v>
      </c>
      <c r="G616" s="13" t="n">
        <v>1</v>
      </c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  <c r="Q616" s="8" t="n"/>
      <c r="R616" s="8" t="n"/>
      <c r="S616" s="8" t="n"/>
      <c r="T616" s="7" t="inlineStr">
        <is>
          <t>SEM COTAÇÃO</t>
        </is>
      </c>
      <c r="U616" s="8" t="n"/>
      <c r="V616" s="14" t="n"/>
      <c r="W616" s="14" t="n"/>
      <c r="X616" s="7" t="inlineStr"/>
      <c r="Y616" s="7" t="inlineStr"/>
    </row>
    <row r="617">
      <c r="A617" s="7" t="n">
        <v>623401</v>
      </c>
      <c r="B617" s="12" t="inlineStr">
        <is>
          <t>7891000376959</t>
        </is>
      </c>
      <c r="C617" s="7" t="inlineStr">
        <is>
          <t>BONO MORANGO 66X90G BR</t>
        </is>
      </c>
      <c r="D617" s="7" t="inlineStr">
        <is>
          <t>CONVENIENCIA</t>
        </is>
      </c>
      <c r="E617" s="7" t="inlineStr">
        <is>
          <t>C</t>
        </is>
      </c>
      <c r="F617" s="13" t="n">
        <v>14</v>
      </c>
      <c r="G617" s="13" t="n">
        <v>14</v>
      </c>
      <c r="H617" s="8" t="n">
        <v>1.6327</v>
      </c>
      <c r="I617" s="8" t="n">
        <v>1.6327</v>
      </c>
      <c r="J617" s="8" t="n">
        <v>1.6327</v>
      </c>
      <c r="K617" s="8" t="n"/>
      <c r="L617" s="8" t="n"/>
      <c r="M617" s="8" t="n"/>
      <c r="N617" s="8" t="n"/>
      <c r="O617" s="8" t="n"/>
      <c r="P617" s="8" t="n"/>
      <c r="Q617" s="8" t="n"/>
      <c r="R617" s="8" t="n"/>
      <c r="S617" s="8" t="n"/>
      <c r="T617" s="7" t="inlineStr">
        <is>
          <t>SEM COTAÇÃO</t>
        </is>
      </c>
      <c r="U617" s="8" t="n"/>
      <c r="V617" s="14" t="n"/>
      <c r="W617" s="14" t="n"/>
      <c r="X617" s="7" t="inlineStr"/>
      <c r="Y617" s="7" t="inlineStr"/>
    </row>
    <row r="618">
      <c r="A618" s="7" t="n">
        <v>623381</v>
      </c>
      <c r="B618" s="12" t="inlineStr">
        <is>
          <t>7891000372586</t>
        </is>
      </c>
      <c r="C618" s="7" t="inlineStr">
        <is>
          <t>BONO WAFER CHOCOLATE 48X110G BR</t>
        </is>
      </c>
      <c r="D618" s="7" t="inlineStr">
        <is>
          <t>CONVENIENCIA</t>
        </is>
      </c>
      <c r="E618" s="7" t="inlineStr">
        <is>
          <t>B</t>
        </is>
      </c>
      <c r="F618" s="13" t="n">
        <v>4</v>
      </c>
      <c r="G618" s="13" t="n">
        <v>11</v>
      </c>
      <c r="H618" s="8" t="n">
        <v>11.0531</v>
      </c>
      <c r="I618" s="8" t="n">
        <v>3.6119</v>
      </c>
      <c r="J618" s="8" t="n">
        <v>3.6119</v>
      </c>
      <c r="K618" s="8" t="n"/>
      <c r="L618" s="8" t="n"/>
      <c r="M618" s="8" t="n"/>
      <c r="N618" s="8" t="n"/>
      <c r="O618" s="8" t="n"/>
      <c r="P618" s="8" t="n"/>
      <c r="Q618" s="8" t="n"/>
      <c r="R618" s="8" t="n"/>
      <c r="S618" s="8" t="n"/>
      <c r="T618" s="7" t="inlineStr">
        <is>
          <t>SEM COTAÇÃO</t>
        </is>
      </c>
      <c r="U618" s="8" t="n"/>
      <c r="V618" s="14" t="n"/>
      <c r="W618" s="14" t="n"/>
      <c r="X618" s="7" t="inlineStr"/>
      <c r="Y618" s="7" t="inlineStr"/>
    </row>
    <row r="619">
      <c r="A619" s="7" t="n">
        <v>600281</v>
      </c>
      <c r="B619" s="12" t="inlineStr">
        <is>
          <t>7891350011043</t>
        </is>
      </c>
      <c r="C619" s="7" t="inlineStr">
        <is>
          <t>BOZZANO CR BARB TUBO 65G HIDRATACAO</t>
        </is>
      </c>
      <c r="D619" s="7" t="inlineStr">
        <is>
          <t>PERF/COSME</t>
        </is>
      </c>
      <c r="E619" s="7" t="inlineStr">
        <is>
          <t>C</t>
        </is>
      </c>
      <c r="F619" s="13" t="n">
        <v>1</v>
      </c>
      <c r="G619" s="13" t="n">
        <v>1</v>
      </c>
      <c r="H619" s="8" t="n">
        <v>5.555</v>
      </c>
      <c r="I619" s="8" t="n">
        <v>5.555</v>
      </c>
      <c r="J619" s="8" t="n">
        <v>5.555</v>
      </c>
      <c r="K619" s="8" t="n"/>
      <c r="L619" s="8" t="n"/>
      <c r="M619" s="8" t="n"/>
      <c r="N619" s="8" t="n"/>
      <c r="O619" s="8" t="n"/>
      <c r="P619" s="8" t="n"/>
      <c r="Q619" s="8" t="n"/>
      <c r="R619" s="8" t="n"/>
      <c r="S619" s="8" t="n"/>
      <c r="T619" s="7" t="inlineStr">
        <is>
          <t>SEM COTAÇÃO</t>
        </is>
      </c>
      <c r="U619" s="8" t="n"/>
      <c r="V619" s="14" t="n"/>
      <c r="W619" s="14" t="n"/>
      <c r="X619" s="7" t="inlineStr"/>
      <c r="Y619" s="7" t="inlineStr"/>
    </row>
    <row r="620">
      <c r="A620" s="7" t="n">
        <v>478041</v>
      </c>
      <c r="B620" s="12" t="inlineStr"/>
      <c r="C620" s="7" t="inlineStr">
        <is>
          <t>BRASART HCT 320+12,5MG CX 30 COMP REV</t>
        </is>
      </c>
      <c r="D620" s="7" t="inlineStr">
        <is>
          <t>RX</t>
        </is>
      </c>
      <c r="E620" s="7" t="inlineStr">
        <is>
          <t>B</t>
        </is>
      </c>
      <c r="F620" s="13" t="n">
        <v>1</v>
      </c>
      <c r="G620" s="13" t="n">
        <v>1</v>
      </c>
      <c r="H620" s="8" t="n">
        <v>82.04000000000001</v>
      </c>
      <c r="I620" s="8" t="n">
        <v>74</v>
      </c>
      <c r="J620" s="8" t="n">
        <v>79.36</v>
      </c>
      <c r="K620" s="8" t="n"/>
      <c r="L620" s="8" t="n"/>
      <c r="M620" s="8" t="n"/>
      <c r="N620" s="8" t="n"/>
      <c r="O620" s="8" t="n"/>
      <c r="P620" s="8" t="n"/>
      <c r="Q620" s="8" t="n"/>
      <c r="R620" s="8" t="n"/>
      <c r="S620" s="8" t="n"/>
      <c r="T620" s="7" t="inlineStr">
        <is>
          <t>SEM COTAÇÃO</t>
        </is>
      </c>
      <c r="U620" s="8" t="n"/>
      <c r="V620" s="14" t="n"/>
      <c r="W620" s="14" t="n"/>
      <c r="X620" s="7" t="inlineStr"/>
      <c r="Y620" s="7" t="inlineStr"/>
    </row>
    <row r="621">
      <c r="A621" s="7" t="n">
        <v>477961</v>
      </c>
      <c r="B621" s="12" t="inlineStr">
        <is>
          <t>7894916508377</t>
        </is>
      </c>
      <c r="C621" s="7" t="inlineStr">
        <is>
          <t>BRASART HCT 320+25MG CX 30 COMP REV</t>
        </is>
      </c>
      <c r="D621" s="7" t="inlineStr">
        <is>
          <t>RX</t>
        </is>
      </c>
      <c r="E621" s="7" t="inlineStr">
        <is>
          <t>A</t>
        </is>
      </c>
      <c r="F621" s="13" t="n">
        <v>1</v>
      </c>
      <c r="G621" s="13" t="n">
        <v>1</v>
      </c>
      <c r="H621" s="8" t="n">
        <v>89.44</v>
      </c>
      <c r="I621" s="8" t="n">
        <v>79.81999999999999</v>
      </c>
      <c r="J621" s="8" t="n">
        <v>84.42666666666666</v>
      </c>
      <c r="K621" s="8" t="n"/>
      <c r="L621" s="8" t="n"/>
      <c r="M621" s="8" t="n">
        <v>89.44</v>
      </c>
      <c r="N621" s="8" t="n"/>
      <c r="O621" s="8" t="n"/>
      <c r="P621" s="15" t="n">
        <v>88.33499999999999</v>
      </c>
      <c r="Q621" s="8" t="n"/>
      <c r="R621" s="8" t="n"/>
      <c r="S621" s="8" t="n"/>
      <c r="T621" s="7" t="inlineStr">
        <is>
          <t>NAZARIA</t>
        </is>
      </c>
      <c r="U621" s="8" t="n">
        <v>88.33499999999999</v>
      </c>
      <c r="V621" s="14">
        <f>U621/J621-1</f>
        <v/>
      </c>
      <c r="W621" s="14">
        <f>U621/H621-1</f>
        <v/>
      </c>
      <c r="X621" s="17" t="inlineStr">
        <is>
          <t>OK (≤ últ. compra)</t>
        </is>
      </c>
      <c r="Y621" s="7" t="inlineStr"/>
    </row>
    <row r="622">
      <c r="A622" s="7" t="n">
        <v>477941</v>
      </c>
      <c r="B622" s="12" t="inlineStr">
        <is>
          <t>7894916508346</t>
        </is>
      </c>
      <c r="C622" s="7" t="inlineStr">
        <is>
          <t>BRASART HCT 80+12,5MG CX 30 COMP REV</t>
        </is>
      </c>
      <c r="D622" s="7" t="inlineStr">
        <is>
          <t>RX</t>
        </is>
      </c>
      <c r="E622" s="7" t="inlineStr">
        <is>
          <t>A</t>
        </is>
      </c>
      <c r="F622" s="13" t="n">
        <v>1</v>
      </c>
      <c r="G622" s="13" t="n">
        <v>1</v>
      </c>
      <c r="H622" s="8" t="n">
        <v>76.45</v>
      </c>
      <c r="I622" s="8" t="n">
        <v>70.33</v>
      </c>
      <c r="J622" s="8" t="n">
        <v>74.14333333333333</v>
      </c>
      <c r="K622" s="8" t="n"/>
      <c r="L622" s="8" t="n"/>
      <c r="M622" s="8" t="n"/>
      <c r="N622" s="8" t="n"/>
      <c r="O622" s="8" t="n"/>
      <c r="P622" s="15" t="n">
        <v>75.50399999999999</v>
      </c>
      <c r="Q622" s="8" t="n"/>
      <c r="R622" s="8" t="n"/>
      <c r="S622" s="8" t="n"/>
      <c r="T622" s="7" t="inlineStr">
        <is>
          <t>NAZARIA</t>
        </is>
      </c>
      <c r="U622" s="8" t="n">
        <v>75.50399999999999</v>
      </c>
      <c r="V622" s="14">
        <f>U622/J622-1</f>
        <v/>
      </c>
      <c r="W622" s="14">
        <f>U622/H622-1</f>
        <v/>
      </c>
      <c r="X622" s="17" t="inlineStr">
        <is>
          <t>OK (≤ últ. compra)</t>
        </is>
      </c>
      <c r="Y622" s="7" t="inlineStr"/>
    </row>
    <row r="623">
      <c r="A623" s="7" t="n">
        <v>194</v>
      </c>
      <c r="B623" s="12" t="inlineStr">
        <is>
          <t>7894164010264</t>
        </is>
      </c>
      <c r="C623" s="7" t="inlineStr">
        <is>
          <t>BROMOPRIDA 4MG/ML 20ML</t>
        </is>
      </c>
      <c r="D623" s="7" t="inlineStr">
        <is>
          <t>GENERICO</t>
        </is>
      </c>
      <c r="E623" s="7" t="inlineStr">
        <is>
          <t>C</t>
        </is>
      </c>
      <c r="F623" s="13" t="n">
        <v>2</v>
      </c>
      <c r="G623" s="13" t="n">
        <v>2</v>
      </c>
      <c r="H623" s="8" t="n">
        <v>3.58</v>
      </c>
      <c r="I623" s="8" t="n">
        <v>3.58</v>
      </c>
      <c r="J623" s="8" t="n">
        <v>3.58</v>
      </c>
      <c r="K623" s="15" t="n">
        <v>3.58</v>
      </c>
      <c r="L623" s="8" t="n"/>
      <c r="M623" s="8" t="n"/>
      <c r="N623" s="8" t="n">
        <v>3.99</v>
      </c>
      <c r="O623" s="8" t="n"/>
      <c r="P623" s="8" t="n"/>
      <c r="Q623" s="8" t="n"/>
      <c r="R623" s="8" t="n"/>
      <c r="S623" s="8" t="n"/>
      <c r="T623" s="7" t="inlineStr">
        <is>
          <t>DIMEC</t>
        </is>
      </c>
      <c r="U623" s="8" t="n">
        <v>3.58</v>
      </c>
      <c r="V623" s="14">
        <f>U623/J623-1</f>
        <v/>
      </c>
      <c r="W623" s="14">
        <f>U623/H623-1</f>
        <v/>
      </c>
      <c r="X623" s="17" t="inlineStr">
        <is>
          <t>OK (≤ menor hist.)</t>
        </is>
      </c>
      <c r="Y623" s="7" t="inlineStr"/>
    </row>
    <row r="624">
      <c r="A624" s="7" t="n">
        <v>705901</v>
      </c>
      <c r="B624" s="12" t="inlineStr">
        <is>
          <t>7891000476475</t>
        </is>
      </c>
      <c r="C624" s="7" t="inlineStr">
        <is>
          <t>BTN CHOCOSTICK CARIBE 24G</t>
        </is>
      </c>
      <c r="D624" s="7" t="inlineStr">
        <is>
          <t>CHOCOLATES</t>
        </is>
      </c>
      <c r="E624" s="7" t="inlineStr">
        <is>
          <t>C</t>
        </is>
      </c>
      <c r="F624" s="13" t="n">
        <v>2</v>
      </c>
      <c r="G624" s="13" t="n">
        <v>20</v>
      </c>
      <c r="H624" s="8" t="n">
        <v>2.0075</v>
      </c>
      <c r="I624" s="8" t="n">
        <v>2.0075</v>
      </c>
      <c r="J624" s="8" t="n">
        <v>2.0075</v>
      </c>
      <c r="K624" s="8" t="n"/>
      <c r="L624" s="8" t="n"/>
      <c r="M624" s="8" t="n"/>
      <c r="N624" s="8" t="n"/>
      <c r="O624" s="8" t="n"/>
      <c r="P624" s="8" t="n"/>
      <c r="Q624" s="8" t="n"/>
      <c r="R624" s="8" t="n"/>
      <c r="S624" s="8" t="n"/>
      <c r="T624" s="7" t="inlineStr">
        <is>
          <t>SEM COTAÇÃO</t>
        </is>
      </c>
      <c r="U624" s="8" t="n"/>
      <c r="V624" s="14" t="n"/>
      <c r="W624" s="14" t="n"/>
      <c r="X624" s="7" t="inlineStr"/>
      <c r="Y624" s="7" t="inlineStr"/>
    </row>
    <row r="625">
      <c r="A625" s="7" t="n">
        <v>706101</v>
      </c>
      <c r="B625" s="12" t="inlineStr">
        <is>
          <t>7891000477366</t>
        </is>
      </c>
      <c r="C625" s="7" t="inlineStr">
        <is>
          <t>BTN CHOCOSTICKCOOKIES&amp;CREAM 26G</t>
        </is>
      </c>
      <c r="D625" s="7" t="inlineStr">
        <is>
          <t>CHOCOLATES</t>
        </is>
      </c>
      <c r="E625" s="7" t="inlineStr">
        <is>
          <t>C</t>
        </is>
      </c>
      <c r="F625" s="13" t="n">
        <v>1</v>
      </c>
      <c r="G625" s="13" t="n">
        <v>2</v>
      </c>
      <c r="H625" s="8" t="n">
        <v>2.0075</v>
      </c>
      <c r="I625" s="8" t="n">
        <v>2.0075</v>
      </c>
      <c r="J625" s="8" t="n">
        <v>2.0075</v>
      </c>
      <c r="K625" s="8" t="n"/>
      <c r="L625" s="8" t="n"/>
      <c r="M625" s="8" t="n"/>
      <c r="N625" s="8" t="n"/>
      <c r="O625" s="8" t="n"/>
      <c r="P625" s="8" t="n"/>
      <c r="Q625" s="8" t="n"/>
      <c r="R625" s="8" t="n"/>
      <c r="S625" s="8" t="n"/>
      <c r="T625" s="7" t="inlineStr">
        <is>
          <t>SEM COTAÇÃO</t>
        </is>
      </c>
      <c r="U625" s="8" t="n"/>
      <c r="V625" s="14" t="n"/>
      <c r="W625" s="14" t="n"/>
      <c r="X625" s="7" t="inlineStr"/>
      <c r="Y625" s="7" t="inlineStr"/>
    </row>
    <row r="626">
      <c r="A626" s="7" t="n">
        <v>294981</v>
      </c>
      <c r="B626" s="12" t="inlineStr">
        <is>
          <t>7896472513284</t>
        </is>
      </c>
      <c r="C626" s="7" t="inlineStr">
        <is>
          <t>BUPROVIL 300MG CX 20 COMP</t>
        </is>
      </c>
      <c r="D626" s="7" t="inlineStr">
        <is>
          <t>SIMILAR</t>
        </is>
      </c>
      <c r="E626" s="7" t="inlineStr">
        <is>
          <t>C</t>
        </is>
      </c>
      <c r="F626" s="13" t="n">
        <v>1</v>
      </c>
      <c r="G626" s="13" t="n">
        <v>1</v>
      </c>
      <c r="H626" s="8" t="n">
        <v>5.63</v>
      </c>
      <c r="I626" s="8" t="n">
        <v>5.63</v>
      </c>
      <c r="J626" s="8" t="n">
        <v>5.63</v>
      </c>
      <c r="K626" s="15" t="n">
        <v>5.63</v>
      </c>
      <c r="L626" s="8" t="n"/>
      <c r="M626" s="8" t="n"/>
      <c r="N626" s="8" t="n"/>
      <c r="O626" s="8" t="n"/>
      <c r="P626" s="8" t="n"/>
      <c r="Q626" s="8" t="n"/>
      <c r="R626" s="8" t="n"/>
      <c r="S626" s="8" t="n"/>
      <c r="T626" s="7" t="inlineStr">
        <is>
          <t>DIMEC</t>
        </is>
      </c>
      <c r="U626" s="8" t="n">
        <v>5.63</v>
      </c>
      <c r="V626" s="14">
        <f>U626/J626-1</f>
        <v/>
      </c>
      <c r="W626" s="14">
        <f>U626/H626-1</f>
        <v/>
      </c>
      <c r="X626" s="17" t="inlineStr">
        <is>
          <t>OK (≤ menor hist.)</t>
        </is>
      </c>
      <c r="Y626" s="7" t="inlineStr"/>
    </row>
    <row r="627">
      <c r="A627" s="7" t="n">
        <v>704101</v>
      </c>
      <c r="B627" s="12" t="inlineStr">
        <is>
          <t>7891118027187</t>
        </is>
      </c>
      <c r="C627" s="7" t="inlineStr">
        <is>
          <t>BUTTER TOFFEER BALA AO LEITE 30X90G</t>
        </is>
      </c>
      <c r="D627" s="7" t="inlineStr">
        <is>
          <t>CONVENIENCIA</t>
        </is>
      </c>
      <c r="E627" s="7" t="inlineStr">
        <is>
          <t>C</t>
        </is>
      </c>
      <c r="F627" s="13" t="n">
        <v>1</v>
      </c>
      <c r="G627" s="13" t="n">
        <v>1</v>
      </c>
      <c r="H627" s="8" t="n">
        <v>4.585</v>
      </c>
      <c r="I627" s="8" t="n">
        <v>4.585</v>
      </c>
      <c r="J627" s="8" t="n">
        <v>4.585</v>
      </c>
      <c r="K627" s="8" t="n"/>
      <c r="L627" s="8" t="n"/>
      <c r="M627" s="8" t="n"/>
      <c r="N627" s="8" t="n"/>
      <c r="O627" s="8" t="n"/>
      <c r="P627" s="8" t="n"/>
      <c r="Q627" s="8" t="n"/>
      <c r="R627" s="8" t="n"/>
      <c r="S627" s="8" t="n"/>
      <c r="T627" s="7" t="inlineStr">
        <is>
          <t>SEM COTAÇÃO</t>
        </is>
      </c>
      <c r="U627" s="8" t="n"/>
      <c r="V627" s="14" t="n"/>
      <c r="W627" s="14" t="n"/>
      <c r="X627" s="7" t="inlineStr"/>
      <c r="Y627" s="7" t="inlineStr"/>
    </row>
    <row r="628">
      <c r="A628" s="7" t="n">
        <v>584321</v>
      </c>
      <c r="B628" s="12" t="inlineStr"/>
      <c r="C628" s="7" t="inlineStr">
        <is>
          <t>BYE BYE FEVER PARA BEBES C/2UN(HSM)</t>
        </is>
      </c>
      <c r="D628" s="7" t="inlineStr">
        <is>
          <t>RX - OTC</t>
        </is>
      </c>
      <c r="E628" s="7" t="inlineStr">
        <is>
          <t>A</t>
        </is>
      </c>
      <c r="F628" s="13" t="n">
        <v>7</v>
      </c>
      <c r="G628" s="13" t="n">
        <v>7</v>
      </c>
      <c r="H628" s="8" t="n">
        <v>11.0709</v>
      </c>
      <c r="I628" s="8" t="n">
        <v>8.776199999999999</v>
      </c>
      <c r="J628" s="8" t="n">
        <v>10.3054</v>
      </c>
      <c r="K628" s="8" t="n"/>
      <c r="L628" s="8" t="n"/>
      <c r="M628" s="8" t="n"/>
      <c r="N628" s="8" t="n"/>
      <c r="O628" s="8" t="n"/>
      <c r="P628" s="8" t="n"/>
      <c r="Q628" s="8" t="n"/>
      <c r="R628" s="8" t="n"/>
      <c r="S628" s="8" t="n"/>
      <c r="T628" s="7" t="inlineStr">
        <is>
          <t>SEM COTAÇÃO</t>
        </is>
      </c>
      <c r="U628" s="8" t="n"/>
      <c r="V628" s="14" t="n"/>
      <c r="W628" s="14" t="n"/>
      <c r="X628" s="7" t="inlineStr"/>
      <c r="Y628" s="7" t="inlineStr"/>
    </row>
    <row r="629">
      <c r="A629" s="7" t="n">
        <v>584301</v>
      </c>
      <c r="B629" s="12" t="inlineStr">
        <is>
          <t>4987188568729</t>
        </is>
      </c>
      <c r="C629" s="7" t="inlineStr">
        <is>
          <t>BYE BYE FEVER PARA CRIANCAS C/2UN(HSM)</t>
        </is>
      </c>
      <c r="D629" s="7" t="inlineStr">
        <is>
          <t>RX - OTC</t>
        </is>
      </c>
      <c r="E629" s="7" t="inlineStr">
        <is>
          <t>A</t>
        </is>
      </c>
      <c r="F629" s="13" t="n">
        <v>8</v>
      </c>
      <c r="G629" s="13" t="n">
        <v>8</v>
      </c>
      <c r="H629" s="8" t="n">
        <v>11.07</v>
      </c>
      <c r="I629" s="8" t="n">
        <v>8.99</v>
      </c>
      <c r="J629" s="8" t="n">
        <v>10.37666666666667</v>
      </c>
      <c r="K629" s="8" t="n"/>
      <c r="L629" s="8" t="n"/>
      <c r="M629" s="15" t="n">
        <v>9.58</v>
      </c>
      <c r="N629" s="8" t="n"/>
      <c r="O629" s="8" t="n"/>
      <c r="P629" s="8" t="n">
        <v>11.53</v>
      </c>
      <c r="Q629" s="8" t="n"/>
      <c r="R629" s="8" t="n"/>
      <c r="S629" s="8" t="n"/>
      <c r="T629" s="7" t="inlineStr">
        <is>
          <t>EPAN</t>
        </is>
      </c>
      <c r="U629" s="8" t="n">
        <v>9.58</v>
      </c>
      <c r="V629" s="14">
        <f>U629/J629-1</f>
        <v/>
      </c>
      <c r="W629" s="14">
        <f>U629/H629-1</f>
        <v/>
      </c>
      <c r="X629" s="17" t="inlineStr">
        <is>
          <t>OK (≤ últ. compra)</t>
        </is>
      </c>
      <c r="Y629" s="7" t="inlineStr"/>
    </row>
    <row r="630">
      <c r="A630" s="7" t="n">
        <v>71481</v>
      </c>
      <c r="B630" s="12" t="inlineStr">
        <is>
          <t>7895296211024</t>
        </is>
      </c>
      <c r="C630" s="7" t="inlineStr">
        <is>
          <t>CABERGOLINA 0,5 MG CX 8 COMP</t>
        </is>
      </c>
      <c r="D630" s="7" t="inlineStr">
        <is>
          <t>GENERICO</t>
        </is>
      </c>
      <c r="E630" s="7" t="inlineStr">
        <is>
          <t>C</t>
        </is>
      </c>
      <c r="F630" s="13" t="n">
        <v>1</v>
      </c>
      <c r="G630" s="13" t="n">
        <v>1</v>
      </c>
      <c r="H630" s="8" t="n">
        <v>50.565</v>
      </c>
      <c r="I630" s="8" t="n">
        <v>50.565</v>
      </c>
      <c r="J630" s="8" t="n">
        <v>50.565</v>
      </c>
      <c r="K630" s="8" t="n">
        <v>62.18</v>
      </c>
      <c r="L630" s="15" t="n">
        <v>61.3</v>
      </c>
      <c r="M630" s="8" t="n"/>
      <c r="N630" s="8" t="n"/>
      <c r="O630" s="8" t="n"/>
      <c r="P630" s="8" t="n"/>
      <c r="Q630" s="8" t="n"/>
      <c r="R630" s="8" t="n"/>
      <c r="S630" s="8" t="n"/>
      <c r="T630" s="7" t="inlineStr">
        <is>
          <t>PLUSFARMA</t>
        </is>
      </c>
      <c r="U630" s="8" t="n">
        <v>61.3</v>
      </c>
      <c r="V630" s="14">
        <f>U630/J630-1</f>
        <v/>
      </c>
      <c r="W630" s="14">
        <f>U630/H630-1</f>
        <v/>
      </c>
      <c r="X630" s="16" t="inlineStr">
        <is>
          <t>ACIMA +21.2%</t>
        </is>
      </c>
      <c r="Y630" s="7" t="inlineStr"/>
    </row>
    <row r="631">
      <c r="A631" s="7" t="n">
        <v>705401</v>
      </c>
      <c r="B631" s="12" t="inlineStr"/>
      <c r="C631" s="7" t="inlineStr">
        <is>
          <t>CABO PARA CARREGADOR TIPO-C</t>
        </is>
      </c>
      <c r="D631" s="7" t="inlineStr">
        <is>
          <t>UTENSILIOS</t>
        </is>
      </c>
      <c r="E631" s="7" t="inlineStr">
        <is>
          <t>B</t>
        </is>
      </c>
      <c r="F631" s="13" t="n">
        <v>1</v>
      </c>
      <c r="G631" s="13" t="n">
        <v>2</v>
      </c>
      <c r="H631" s="8" t="n"/>
      <c r="I631" s="8" t="n"/>
      <c r="J631" s="8" t="n"/>
      <c r="K631" s="8" t="n"/>
      <c r="L631" s="8" t="n"/>
      <c r="M631" s="8" t="n"/>
      <c r="N631" s="8" t="n"/>
      <c r="O631" s="8" t="n"/>
      <c r="P631" s="8" t="n"/>
      <c r="Q631" s="8" t="n"/>
      <c r="R631" s="8" t="n"/>
      <c r="S631" s="8" t="n"/>
      <c r="T631" s="7" t="inlineStr">
        <is>
          <t>SEM COTAÇÃO</t>
        </is>
      </c>
      <c r="U631" s="8" t="n"/>
      <c r="V631" s="14" t="n"/>
      <c r="W631" s="14" t="n"/>
      <c r="X631" s="7" t="inlineStr"/>
      <c r="Y631" s="7" t="inlineStr"/>
    </row>
    <row r="632">
      <c r="A632" s="7" t="n">
        <v>606351</v>
      </c>
      <c r="B632" s="12" t="inlineStr">
        <is>
          <t>7896004780078</t>
        </is>
      </c>
      <c r="C632" s="7" t="inlineStr">
        <is>
          <t>CALADRYL POS SOL CR 28G</t>
        </is>
      </c>
      <c r="D632" s="7" t="inlineStr">
        <is>
          <t>RX</t>
        </is>
      </c>
      <c r="E632" s="7" t="inlineStr">
        <is>
          <t>B</t>
        </is>
      </c>
      <c r="F632" s="13" t="n">
        <v>2</v>
      </c>
      <c r="G632" s="13" t="n">
        <v>2</v>
      </c>
      <c r="H632" s="8" t="n">
        <v>18.74</v>
      </c>
      <c r="I632" s="8" t="n">
        <v>14.1583</v>
      </c>
      <c r="J632" s="8" t="n">
        <v>17.21276666666667</v>
      </c>
      <c r="K632" s="8" t="n"/>
      <c r="L632" s="8" t="n"/>
      <c r="M632" s="15" t="n">
        <v>21.21</v>
      </c>
      <c r="N632" s="8" t="n"/>
      <c r="O632" s="8" t="n"/>
      <c r="P632" s="8" t="n">
        <v>23.27</v>
      </c>
      <c r="Q632" s="8" t="n"/>
      <c r="R632" s="8" t="n"/>
      <c r="S632" s="8" t="n"/>
      <c r="T632" s="7" t="inlineStr">
        <is>
          <t>EPAN</t>
        </is>
      </c>
      <c r="U632" s="8" t="n">
        <v>21.21</v>
      </c>
      <c r="V632" s="14">
        <f>U632/J632-1</f>
        <v/>
      </c>
      <c r="W632" s="14">
        <f>U632/H632-1</f>
        <v/>
      </c>
      <c r="X632" s="16" t="inlineStr">
        <is>
          <t>ACIMA +13.2%</t>
        </is>
      </c>
      <c r="Y632" s="7" t="inlineStr"/>
    </row>
    <row r="633">
      <c r="A633" s="7" t="n">
        <v>603911</v>
      </c>
      <c r="B633" s="12" t="inlineStr">
        <is>
          <t>7896004780061</t>
        </is>
      </c>
      <c r="C633" s="7" t="inlineStr">
        <is>
          <t>CALADRYL POS SOL LOC 100ML</t>
        </is>
      </c>
      <c r="D633" s="7" t="inlineStr">
        <is>
          <t>RX - DERMO</t>
        </is>
      </c>
      <c r="E633" s="7" t="inlineStr">
        <is>
          <t>B</t>
        </is>
      </c>
      <c r="F633" s="13" t="n">
        <v>2</v>
      </c>
      <c r="G633" s="13" t="n">
        <v>2</v>
      </c>
      <c r="H633" s="8" t="n">
        <v>30.52</v>
      </c>
      <c r="I633" s="8" t="n">
        <v>16.4217</v>
      </c>
      <c r="J633" s="8" t="n">
        <v>25.82056666666667</v>
      </c>
      <c r="K633" s="8" t="n"/>
      <c r="L633" s="8" t="n"/>
      <c r="M633" s="8" t="n">
        <v>24.13</v>
      </c>
      <c r="N633" s="8" t="n"/>
      <c r="O633" s="8" t="n"/>
      <c r="P633" s="8" t="n">
        <v>30.52</v>
      </c>
      <c r="Q633" s="8" t="n"/>
      <c r="R633" s="8" t="n"/>
      <c r="S633" s="8" t="n"/>
      <c r="T633" s="7" t="inlineStr">
        <is>
          <t>SEM COTAÇÃO</t>
        </is>
      </c>
      <c r="U633" s="8" t="n"/>
      <c r="V633" s="14" t="n"/>
      <c r="W633" s="14" t="n"/>
      <c r="X633" s="7" t="inlineStr"/>
      <c r="Y633" s="7" t="inlineStr">
        <is>
          <t>EPAN: sem estoque; NAZARIA: sem estoque</t>
        </is>
      </c>
    </row>
    <row r="634">
      <c r="A634" s="7" t="n">
        <v>560341</v>
      </c>
      <c r="B634" s="12" t="inlineStr">
        <is>
          <t>7897947604582</t>
        </is>
      </c>
      <c r="C634" s="7" t="inlineStr">
        <is>
          <t>CALAMED 80 MG + 1 MG LOC FR 100ML</t>
        </is>
      </c>
      <c r="D634" s="7" t="inlineStr">
        <is>
          <t>SIMILAR</t>
        </is>
      </c>
      <c r="E634" s="7" t="inlineStr">
        <is>
          <t>B</t>
        </is>
      </c>
      <c r="F634" s="13" t="n">
        <v>3</v>
      </c>
      <c r="G634" s="13" t="n">
        <v>3</v>
      </c>
      <c r="H634" s="8" t="n">
        <v>8.99</v>
      </c>
      <c r="I634" s="8" t="n">
        <v>8.99</v>
      </c>
      <c r="J634" s="8" t="n">
        <v>8.99</v>
      </c>
      <c r="K634" s="8" t="n"/>
      <c r="L634" s="8" t="n"/>
      <c r="M634" s="8" t="n"/>
      <c r="N634" s="8" t="n"/>
      <c r="O634" s="8" t="n"/>
      <c r="P634" s="8" t="n"/>
      <c r="Q634" s="8" t="n"/>
      <c r="R634" s="8" t="n"/>
      <c r="S634" s="8" t="n"/>
      <c r="T634" s="7" t="inlineStr">
        <is>
          <t>SEM COTAÇÃO</t>
        </is>
      </c>
      <c r="U634" s="8" t="n"/>
      <c r="V634" s="14" t="n"/>
      <c r="W634" s="14" t="n"/>
      <c r="X634" s="7" t="inlineStr"/>
      <c r="Y634" s="7" t="inlineStr"/>
    </row>
    <row r="635">
      <c r="A635" s="7" t="n">
        <v>5103</v>
      </c>
      <c r="B635" s="12" t="inlineStr">
        <is>
          <t>7902778329754</t>
        </is>
      </c>
      <c r="C635" s="7" t="inlineStr">
        <is>
          <t>CALCIDEX MDK2 C/60 CPR</t>
        </is>
      </c>
      <c r="D635" s="7" t="inlineStr">
        <is>
          <t>VITAMINA E SIMILARES</t>
        </is>
      </c>
      <c r="E635" s="7" t="inlineStr">
        <is>
          <t>C</t>
        </is>
      </c>
      <c r="F635" s="13" t="n">
        <v>1</v>
      </c>
      <c r="G635" s="13" t="n">
        <v>1</v>
      </c>
      <c r="H635" s="8" t="n">
        <v>13.49</v>
      </c>
      <c r="I635" s="8" t="n">
        <v>13.49</v>
      </c>
      <c r="J635" s="8" t="n">
        <v>13.49</v>
      </c>
      <c r="K635" s="8" t="n"/>
      <c r="L635" s="8" t="n"/>
      <c r="M635" s="8" t="n"/>
      <c r="N635" s="8" t="n"/>
      <c r="O635" s="8" t="n"/>
      <c r="P635" s="8" t="n"/>
      <c r="Q635" s="8" t="n"/>
      <c r="R635" s="8" t="n"/>
      <c r="S635" s="8" t="n"/>
      <c r="T635" s="7" t="inlineStr">
        <is>
          <t>SEM COTAÇÃO</t>
        </is>
      </c>
      <c r="U635" s="8" t="n"/>
      <c r="V635" s="14" t="n"/>
      <c r="W635" s="14" t="n"/>
      <c r="X635" s="7" t="inlineStr"/>
      <c r="Y635" s="7" t="inlineStr"/>
    </row>
    <row r="636">
      <c r="A636" s="7" t="n">
        <v>647231</v>
      </c>
      <c r="B636" s="12" t="inlineStr">
        <is>
          <t>7896023706554</t>
        </is>
      </c>
      <c r="C636" s="7" t="inlineStr">
        <is>
          <t>CALCIO 600 + VIT D3 + K2 C/60 (CALKADE)</t>
        </is>
      </c>
      <c r="D636" s="7" t="inlineStr">
        <is>
          <t>SIMILAR</t>
        </is>
      </c>
      <c r="E636" s="7" t="inlineStr">
        <is>
          <t>C</t>
        </is>
      </c>
      <c r="F636" s="13" t="n">
        <v>1</v>
      </c>
      <c r="G636" s="13" t="n">
        <v>1</v>
      </c>
      <c r="H636" s="8" t="n">
        <v>14.99</v>
      </c>
      <c r="I636" s="8" t="n">
        <v>14.99</v>
      </c>
      <c r="J636" s="8" t="n">
        <v>14.99</v>
      </c>
      <c r="K636" s="8" t="n"/>
      <c r="L636" s="8" t="n"/>
      <c r="M636" s="8" t="n"/>
      <c r="N636" s="15" t="n">
        <v>37.15</v>
      </c>
      <c r="O636" s="8" t="n"/>
      <c r="P636" s="8" t="n"/>
      <c r="Q636" s="8" t="n"/>
      <c r="R636" s="8" t="n"/>
      <c r="S636" s="8" t="n"/>
      <c r="T636" s="7" t="inlineStr">
        <is>
          <t>CENTROFARMA</t>
        </is>
      </c>
      <c r="U636" s="8" t="n">
        <v>37.15</v>
      </c>
      <c r="V636" s="14">
        <f>U636/J636-1</f>
        <v/>
      </c>
      <c r="W636" s="14">
        <f>U636/H636-1</f>
        <v/>
      </c>
      <c r="X636" s="16" t="inlineStr">
        <is>
          <t>ACIMA +147.8%</t>
        </is>
      </c>
      <c r="Y636" s="7" t="inlineStr">
        <is>
          <t>CENTROFARMA: conferir emb.</t>
        </is>
      </c>
    </row>
    <row r="637">
      <c r="A637" s="7" t="n">
        <v>654621</v>
      </c>
      <c r="B637" s="12" t="inlineStr">
        <is>
          <t>7908041911428</t>
        </is>
      </c>
      <c r="C637" s="7" t="inlineStr">
        <is>
          <t>CALCIO DE OSTRA 800MG 60 CAPS CX/15 - FLORA NATIVA</t>
        </is>
      </c>
      <c r="D637" s="7" t="inlineStr">
        <is>
          <t>VITAMINA E SIMILARES</t>
        </is>
      </c>
      <c r="E637" s="7" t="inlineStr">
        <is>
          <t>C</t>
        </is>
      </c>
      <c r="F637" s="13" t="n">
        <v>1</v>
      </c>
      <c r="G637" s="13" t="n">
        <v>1</v>
      </c>
      <c r="H637" s="8" t="n">
        <v>17.15</v>
      </c>
      <c r="I637" s="8" t="n">
        <v>17.15</v>
      </c>
      <c r="J637" s="8" t="n">
        <v>17.15</v>
      </c>
      <c r="K637" s="8" t="n"/>
      <c r="L637" s="8" t="n"/>
      <c r="M637" s="8" t="n"/>
      <c r="N637" s="8" t="n"/>
      <c r="O637" s="8" t="n"/>
      <c r="P637" s="8" t="n"/>
      <c r="Q637" s="8" t="n"/>
      <c r="R637" s="8" t="n"/>
      <c r="S637" s="8" t="n"/>
      <c r="T637" s="7" t="inlineStr">
        <is>
          <t>SEM COTAÇÃO</t>
        </is>
      </c>
      <c r="U637" s="8" t="n"/>
      <c r="V637" s="14" t="n"/>
      <c r="W637" s="14" t="n"/>
      <c r="X637" s="7" t="inlineStr"/>
      <c r="Y637" s="7" t="inlineStr"/>
    </row>
    <row r="638">
      <c r="A638" s="7" t="n">
        <v>600551</v>
      </c>
      <c r="B638" s="12" t="inlineStr">
        <is>
          <t>7898040329761</t>
        </is>
      </c>
      <c r="C638" s="7" t="inlineStr">
        <is>
          <t>CALCITRAN B12 SUSP FR 150ML</t>
        </is>
      </c>
      <c r="D638" s="7" t="inlineStr">
        <is>
          <t>RX - OTC</t>
        </is>
      </c>
      <c r="E638" s="7" t="inlineStr">
        <is>
          <t>B</t>
        </is>
      </c>
      <c r="F638" s="13" t="n">
        <v>1</v>
      </c>
      <c r="G638" s="13" t="n">
        <v>1</v>
      </c>
      <c r="H638" s="8" t="n">
        <v>34.35</v>
      </c>
      <c r="I638" s="8" t="n">
        <v>31.035</v>
      </c>
      <c r="J638" s="8" t="n">
        <v>32.35386666666667</v>
      </c>
      <c r="K638" s="8" t="n"/>
      <c r="L638" s="8" t="n"/>
      <c r="M638" s="15" t="n">
        <v>32.31</v>
      </c>
      <c r="N638" s="8" t="n"/>
      <c r="O638" s="8" t="n">
        <v>35.48</v>
      </c>
      <c r="P638" s="8" t="n">
        <v>34.1922</v>
      </c>
      <c r="Q638" s="8" t="n"/>
      <c r="R638" s="8" t="n"/>
      <c r="S638" s="8" t="n"/>
      <c r="T638" s="7" t="inlineStr">
        <is>
          <t>EPAN</t>
        </is>
      </c>
      <c r="U638" s="8" t="n">
        <v>32.31</v>
      </c>
      <c r="V638" s="14">
        <f>U638/J638-1</f>
        <v/>
      </c>
      <c r="W638" s="14">
        <f>U638/H638-1</f>
        <v/>
      </c>
      <c r="X638" s="17" t="inlineStr">
        <is>
          <t>OK (≤ últ. compra)</t>
        </is>
      </c>
      <c r="Y638" s="7" t="inlineStr"/>
    </row>
    <row r="639">
      <c r="A639" s="7" t="n">
        <v>539701</v>
      </c>
      <c r="B639" s="12" t="inlineStr">
        <is>
          <t>7898414850891</t>
        </is>
      </c>
      <c r="C639" s="7" t="inlineStr">
        <is>
          <t>CALCITRAN D3 CX 30 COMP</t>
        </is>
      </c>
      <c r="D639" s="7" t="inlineStr">
        <is>
          <t>RX - OTC</t>
        </is>
      </c>
      <c r="E639" s="7" t="inlineStr">
        <is>
          <t>A</t>
        </is>
      </c>
      <c r="F639" s="13" t="n">
        <v>4</v>
      </c>
      <c r="G639" s="13" t="n">
        <v>4</v>
      </c>
      <c r="H639" s="8" t="n">
        <v>36.48</v>
      </c>
      <c r="I639" s="8" t="n">
        <v>30.8</v>
      </c>
      <c r="J639" s="8" t="n">
        <v>34.51666666666667</v>
      </c>
      <c r="K639" s="8" t="n"/>
      <c r="L639" s="8" t="n"/>
      <c r="M639" s="15" t="n">
        <v>36.55</v>
      </c>
      <c r="N639" s="8" t="n"/>
      <c r="O639" s="8" t="n">
        <v>37.66</v>
      </c>
      <c r="P639" s="8" t="n">
        <v>39.98399999999999</v>
      </c>
      <c r="Q639" s="8" t="n"/>
      <c r="R639" s="8" t="n"/>
      <c r="S639" s="8" t="n"/>
      <c r="T639" s="7" t="inlineStr">
        <is>
          <t>EPAN</t>
        </is>
      </c>
      <c r="U639" s="8" t="n">
        <v>36.55</v>
      </c>
      <c r="V639" s="14">
        <f>U639/J639-1</f>
        <v/>
      </c>
      <c r="W639" s="14">
        <f>U639/H639-1</f>
        <v/>
      </c>
      <c r="X639" s="16" t="inlineStr">
        <is>
          <t>ACIMA +0.2%</t>
        </is>
      </c>
      <c r="Y639" s="7" t="inlineStr"/>
    </row>
    <row r="640">
      <c r="A640" s="7" t="n">
        <v>594131</v>
      </c>
      <c r="B640" s="12" t="inlineStr">
        <is>
          <t>7898040329464</t>
        </is>
      </c>
      <c r="C640" s="7" t="inlineStr">
        <is>
          <t>CALCITRAN MDK CX 30 COMP</t>
        </is>
      </c>
      <c r="D640" s="7" t="inlineStr">
        <is>
          <t>RX - OTC</t>
        </is>
      </c>
      <c r="E640" s="7" t="inlineStr">
        <is>
          <t>A</t>
        </is>
      </c>
      <c r="F640" s="13" t="n">
        <v>9</v>
      </c>
      <c r="G640" s="13" t="n">
        <v>9</v>
      </c>
      <c r="H640" s="8" t="n">
        <v>53.72</v>
      </c>
      <c r="I640" s="8" t="n">
        <v>42.77</v>
      </c>
      <c r="J640" s="8" t="n">
        <v>49.83333333333334</v>
      </c>
      <c r="K640" s="8" t="n"/>
      <c r="L640" s="8" t="n"/>
      <c r="M640" s="15" t="n">
        <v>53.87</v>
      </c>
      <c r="N640" s="8" t="n"/>
      <c r="O640" s="8" t="n">
        <v>55.46</v>
      </c>
      <c r="P640" s="8" t="n">
        <v>58.8882</v>
      </c>
      <c r="Q640" s="8" t="n"/>
      <c r="R640" s="8" t="n"/>
      <c r="S640" s="8" t="n"/>
      <c r="T640" s="7" t="inlineStr">
        <is>
          <t>EPAN</t>
        </is>
      </c>
      <c r="U640" s="8" t="n">
        <v>53.87</v>
      </c>
      <c r="V640" s="14">
        <f>U640/J640-1</f>
        <v/>
      </c>
      <c r="W640" s="14">
        <f>U640/H640-1</f>
        <v/>
      </c>
      <c r="X640" s="16" t="inlineStr">
        <is>
          <t>ACIMA +0.3%</t>
        </is>
      </c>
      <c r="Y640" s="7" t="inlineStr"/>
    </row>
    <row r="641">
      <c r="A641" s="7" t="n">
        <v>630551</v>
      </c>
      <c r="B641" s="12" t="inlineStr">
        <is>
          <t>7908020506621</t>
        </is>
      </c>
      <c r="C641" s="7" t="inlineStr">
        <is>
          <t>CALMASYN 900MG C/20 CPR MARACUJA</t>
        </is>
      </c>
      <c r="D641" s="7" t="inlineStr">
        <is>
          <t>SIMILAR</t>
        </is>
      </c>
      <c r="E641" s="7" t="inlineStr">
        <is>
          <t>C</t>
        </is>
      </c>
      <c r="F641" s="13" t="n">
        <v>3</v>
      </c>
      <c r="G641" s="13" t="n">
        <v>3</v>
      </c>
      <c r="H641" s="8" t="n">
        <v>25.82</v>
      </c>
      <c r="I641" s="8" t="n">
        <v>25.82</v>
      </c>
      <c r="J641" s="8" t="n">
        <v>25.82</v>
      </c>
      <c r="K641" s="8" t="n"/>
      <c r="L641" s="8" t="n"/>
      <c r="M641" s="8" t="n"/>
      <c r="N641" s="8" t="n"/>
      <c r="O641" s="8" t="n"/>
      <c r="P641" s="8" t="n"/>
      <c r="Q641" s="8" t="n"/>
      <c r="R641" s="8" t="n"/>
      <c r="S641" s="8" t="n"/>
      <c r="T641" s="7" t="inlineStr">
        <is>
          <t>SEM COTAÇÃO</t>
        </is>
      </c>
      <c r="U641" s="8" t="n"/>
      <c r="V641" s="14" t="n"/>
      <c r="W641" s="14" t="n"/>
      <c r="X641" s="7" t="inlineStr"/>
      <c r="Y641" s="7" t="inlineStr"/>
    </row>
    <row r="642">
      <c r="A642" s="7" t="n">
        <v>596481</v>
      </c>
      <c r="B642" s="12" t="inlineStr">
        <is>
          <t>7894164005260</t>
        </is>
      </c>
      <c r="C642" s="7" t="inlineStr">
        <is>
          <t>CALOFIM 5ML SOL (AIRELA)</t>
        </is>
      </c>
      <c r="D642" s="7" t="inlineStr">
        <is>
          <t>SIMILAR</t>
        </is>
      </c>
      <c r="E642" s="7" t="inlineStr">
        <is>
          <t>B</t>
        </is>
      </c>
      <c r="F642" s="13" t="n">
        <v>8</v>
      </c>
      <c r="G642" s="13" t="n">
        <v>8</v>
      </c>
      <c r="H642" s="8" t="n">
        <v>8.56</v>
      </c>
      <c r="I642" s="8" t="n">
        <v>8.48</v>
      </c>
      <c r="J642" s="8" t="n">
        <v>8.533333333333333</v>
      </c>
      <c r="K642" s="8" t="n">
        <v>8.9</v>
      </c>
      <c r="L642" s="8" t="n"/>
      <c r="M642" s="8" t="n"/>
      <c r="N642" s="8" t="n">
        <v>9.01</v>
      </c>
      <c r="O642" s="8" t="n"/>
      <c r="P642" s="8" t="n"/>
      <c r="Q642" s="8" t="n">
        <v>9.68</v>
      </c>
      <c r="R642" s="15" t="n">
        <v>8.5</v>
      </c>
      <c r="S642" s="8" t="n"/>
      <c r="T642" s="7" t="inlineStr">
        <is>
          <t>BRASFARMA</t>
        </is>
      </c>
      <c r="U642" s="8" t="n">
        <v>8.5</v>
      </c>
      <c r="V642" s="14">
        <f>U642/J642-1</f>
        <v/>
      </c>
      <c r="W642" s="14">
        <f>U642/H642-1</f>
        <v/>
      </c>
      <c r="X642" s="17" t="inlineStr">
        <is>
          <t>OK (≤ últ. compra)</t>
        </is>
      </c>
      <c r="Y642" s="7" t="inlineStr"/>
    </row>
    <row r="643">
      <c r="A643" s="7" t="n">
        <v>603521</v>
      </c>
      <c r="B643" s="12" t="inlineStr">
        <is>
          <t>7896033233736</t>
        </is>
      </c>
      <c r="C643" s="7" t="inlineStr">
        <is>
          <t>CANECA LILLO AP S 150ML MENINA</t>
        </is>
      </c>
      <c r="D643" s="7" t="inlineStr">
        <is>
          <t>BABY/KIDS</t>
        </is>
      </c>
      <c r="E643" s="7" t="inlineStr">
        <is>
          <t>C</t>
        </is>
      </c>
      <c r="F643" s="13" t="n">
        <v>1</v>
      </c>
      <c r="G643" s="13" t="n">
        <v>1</v>
      </c>
      <c r="H643" s="8" t="n">
        <v>25.77</v>
      </c>
      <c r="I643" s="8" t="n">
        <v>25.77</v>
      </c>
      <c r="J643" s="8" t="n">
        <v>25.77</v>
      </c>
      <c r="K643" s="8" t="n"/>
      <c r="L643" s="8" t="n"/>
      <c r="M643" s="8" t="n"/>
      <c r="N643" s="8" t="n"/>
      <c r="O643" s="8" t="n"/>
      <c r="P643" s="8" t="n"/>
      <c r="Q643" s="8" t="n"/>
      <c r="R643" s="8" t="n"/>
      <c r="S643" s="8" t="n"/>
      <c r="T643" s="7" t="inlineStr">
        <is>
          <t>SEM COTAÇÃO</t>
        </is>
      </c>
      <c r="U643" s="8" t="n"/>
      <c r="V643" s="14" t="n"/>
      <c r="W643" s="14" t="n"/>
      <c r="X643" s="7" t="inlineStr"/>
      <c r="Y643" s="7" t="inlineStr"/>
    </row>
    <row r="644">
      <c r="A644" s="7" t="n">
        <v>603531</v>
      </c>
      <c r="B644" s="12" t="inlineStr">
        <is>
          <t>7896033233729</t>
        </is>
      </c>
      <c r="C644" s="7" t="inlineStr">
        <is>
          <t>CANECA LILLO AP S 150ML MENINO</t>
        </is>
      </c>
      <c r="D644" s="7" t="inlineStr">
        <is>
          <t>BABY/KIDS</t>
        </is>
      </c>
      <c r="E644" s="7" t="inlineStr">
        <is>
          <t>C</t>
        </is>
      </c>
      <c r="F644" s="13" t="n">
        <v>1</v>
      </c>
      <c r="G644" s="13" t="n">
        <v>1</v>
      </c>
      <c r="H644" s="8" t="n">
        <v>25.77</v>
      </c>
      <c r="I644" s="8" t="n">
        <v>25.77</v>
      </c>
      <c r="J644" s="8" t="n">
        <v>25.77</v>
      </c>
      <c r="K644" s="8" t="n"/>
      <c r="L644" s="8" t="n"/>
      <c r="M644" s="8" t="n"/>
      <c r="N644" s="8" t="n"/>
      <c r="O644" s="8" t="n"/>
      <c r="P644" s="8" t="n"/>
      <c r="Q644" s="8" t="n"/>
      <c r="R644" s="8" t="n"/>
      <c r="S644" s="8" t="n"/>
      <c r="T644" s="7" t="inlineStr">
        <is>
          <t>SEM COTAÇÃO</t>
        </is>
      </c>
      <c r="U644" s="8" t="n"/>
      <c r="V644" s="14" t="n"/>
      <c r="W644" s="14" t="n"/>
      <c r="X644" s="7" t="inlineStr"/>
      <c r="Y644" s="7" t="inlineStr"/>
    </row>
    <row r="645">
      <c r="A645" s="7" t="n">
        <v>643401</v>
      </c>
      <c r="B645" s="12" t="inlineStr">
        <is>
          <t>7898963783909</t>
        </is>
      </c>
      <c r="C645" s="7" t="inlineStr">
        <is>
          <t>CANIBAL MASS CANIBALINC MORANGO 3KG</t>
        </is>
      </c>
      <c r="D645" s="7" t="inlineStr">
        <is>
          <t>SUPLEMENTO</t>
        </is>
      </c>
      <c r="E645" s="7" t="inlineStr">
        <is>
          <t>C</t>
        </is>
      </c>
      <c r="F645" s="13" t="n">
        <v>1</v>
      </c>
      <c r="G645" s="13" t="n">
        <v>1</v>
      </c>
      <c r="H645" s="8" t="n">
        <v>81.90000000000001</v>
      </c>
      <c r="I645" s="8" t="n">
        <v>81.90000000000001</v>
      </c>
      <c r="J645" s="8" t="n">
        <v>81.90000000000001</v>
      </c>
      <c r="K645" s="8" t="n"/>
      <c r="L645" s="8" t="n"/>
      <c r="M645" s="8" t="n"/>
      <c r="N645" s="8" t="n"/>
      <c r="O645" s="8" t="n"/>
      <c r="P645" s="8" t="n"/>
      <c r="Q645" s="8" t="n"/>
      <c r="R645" s="8" t="n"/>
      <c r="S645" s="8" t="n"/>
      <c r="T645" s="7" t="inlineStr">
        <is>
          <t>SEM COTAÇÃO</t>
        </is>
      </c>
      <c r="U645" s="8" t="n"/>
      <c r="V645" s="14" t="n"/>
      <c r="W645" s="14" t="n"/>
      <c r="X645" s="7" t="inlineStr"/>
      <c r="Y645" s="7" t="inlineStr"/>
    </row>
    <row r="646">
      <c r="A646" s="7" t="n">
        <v>643391</v>
      </c>
      <c r="B646" s="12" t="inlineStr">
        <is>
          <t>7898970844044</t>
        </is>
      </c>
      <c r="C646" s="7" t="inlineStr">
        <is>
          <t>CANIBLEND CANIBALINC BAUNILHA 900G</t>
        </is>
      </c>
      <c r="D646" s="7" t="inlineStr">
        <is>
          <t>SUPLEMENTO</t>
        </is>
      </c>
      <c r="E646" s="7" t="inlineStr">
        <is>
          <t>C</t>
        </is>
      </c>
      <c r="F646" s="13" t="n">
        <v>1</v>
      </c>
      <c r="G646" s="13" t="n">
        <v>1</v>
      </c>
      <c r="H646" s="8" t="n">
        <v>70.405</v>
      </c>
      <c r="I646" s="8" t="n">
        <v>70.405</v>
      </c>
      <c r="J646" s="8" t="n">
        <v>70.405</v>
      </c>
      <c r="K646" s="8" t="n"/>
      <c r="L646" s="8" t="n"/>
      <c r="M646" s="8" t="n"/>
      <c r="N646" s="8" t="n"/>
      <c r="O646" s="8" t="n"/>
      <c r="P646" s="8" t="n"/>
      <c r="Q646" s="8" t="n"/>
      <c r="R646" s="8" t="n"/>
      <c r="S646" s="8" t="n"/>
      <c r="T646" s="7" t="inlineStr">
        <is>
          <t>SEM COTAÇÃO</t>
        </is>
      </c>
      <c r="U646" s="8" t="n"/>
      <c r="V646" s="14" t="n"/>
      <c r="W646" s="14" t="n"/>
      <c r="X646" s="7" t="inlineStr"/>
      <c r="Y646" s="7" t="inlineStr"/>
    </row>
    <row r="647">
      <c r="A647" s="7" t="n">
        <v>643381</v>
      </c>
      <c r="B647" s="12" t="inlineStr">
        <is>
          <t>7898963783268</t>
        </is>
      </c>
      <c r="C647" s="7" t="inlineStr">
        <is>
          <t>CANIBLEND CANIBALINC CHOCOLATE 900G</t>
        </is>
      </c>
      <c r="D647" s="7" t="inlineStr">
        <is>
          <t>SUPLEMENTO</t>
        </is>
      </c>
      <c r="E647" s="7" t="inlineStr">
        <is>
          <t>C</t>
        </is>
      </c>
      <c r="F647" s="13" t="n">
        <v>1</v>
      </c>
      <c r="G647" s="13" t="n">
        <v>1</v>
      </c>
      <c r="H647" s="8" t="n">
        <v>70.405</v>
      </c>
      <c r="I647" s="8" t="n">
        <v>70.405</v>
      </c>
      <c r="J647" s="8" t="n">
        <v>70.405</v>
      </c>
      <c r="K647" s="8" t="n"/>
      <c r="L647" s="8" t="n"/>
      <c r="M647" s="8" t="n"/>
      <c r="N647" s="8" t="n"/>
      <c r="O647" s="8" t="n"/>
      <c r="P647" s="8" t="n"/>
      <c r="Q647" s="8" t="n"/>
      <c r="R647" s="8" t="n"/>
      <c r="S647" s="8" t="n"/>
      <c r="T647" s="7" t="inlineStr">
        <is>
          <t>SEM COTAÇÃO</t>
        </is>
      </c>
      <c r="U647" s="8" t="n"/>
      <c r="V647" s="14" t="n"/>
      <c r="W647" s="14" t="n"/>
      <c r="X647" s="7" t="inlineStr"/>
      <c r="Y647" s="7" t="inlineStr"/>
    </row>
    <row r="648">
      <c r="A648" s="7" t="n">
        <v>76701</v>
      </c>
      <c r="B648" s="12" t="inlineStr">
        <is>
          <t>7896523209845</t>
        </is>
      </c>
      <c r="C648" s="7" t="inlineStr">
        <is>
          <t>CAPTOPRIL 25MG CX 30 COMP</t>
        </is>
      </c>
      <c r="D648" s="7" t="inlineStr">
        <is>
          <t>GENERICO</t>
        </is>
      </c>
      <c r="E648" s="7" t="inlineStr">
        <is>
          <t>C</t>
        </is>
      </c>
      <c r="F648" s="13" t="n">
        <v>6</v>
      </c>
      <c r="G648" s="13" t="n">
        <v>6</v>
      </c>
      <c r="H648" s="8" t="n">
        <v>1.45</v>
      </c>
      <c r="I648" s="8" t="n">
        <v>1.34</v>
      </c>
      <c r="J648" s="8" t="n">
        <v>1.34</v>
      </c>
      <c r="K648" s="8" t="n"/>
      <c r="L648" s="8" t="n"/>
      <c r="M648" s="8" t="n"/>
      <c r="N648" s="8" t="n"/>
      <c r="O648" s="8" t="n"/>
      <c r="P648" s="15" t="n">
        <v>12.06</v>
      </c>
      <c r="Q648" s="8" t="n"/>
      <c r="R648" s="8" t="n"/>
      <c r="S648" s="8" t="n"/>
      <c r="T648" s="7" t="inlineStr">
        <is>
          <t>NAZARIA</t>
        </is>
      </c>
      <c r="U648" s="8" t="n">
        <v>12.06</v>
      </c>
      <c r="V648" s="14">
        <f>U648/J648-1</f>
        <v/>
      </c>
      <c r="W648" s="14">
        <f>U648/H648-1</f>
        <v/>
      </c>
      <c r="X648" s="16" t="inlineStr">
        <is>
          <t>ACIMA +731.7%</t>
        </is>
      </c>
      <c r="Y648" s="7" t="inlineStr">
        <is>
          <t>NAZARIA: conferir emb.</t>
        </is>
      </c>
    </row>
    <row r="649">
      <c r="A649" s="7" t="n">
        <v>76421</v>
      </c>
      <c r="B649" s="12" t="inlineStr">
        <is>
          <t>7896422503709</t>
        </is>
      </c>
      <c r="C649" s="7" t="inlineStr">
        <is>
          <t>CAPTOPRIL 25MG CX 30 COMP</t>
        </is>
      </c>
      <c r="D649" s="7" t="inlineStr">
        <is>
          <t>GENERICO</t>
        </is>
      </c>
      <c r="E649" s="7" t="inlineStr">
        <is>
          <t>C</t>
        </is>
      </c>
      <c r="F649" s="13" t="n">
        <v>1</v>
      </c>
      <c r="G649" s="13" t="n">
        <v>1</v>
      </c>
      <c r="H649" s="8" t="n">
        <v>2.69</v>
      </c>
      <c r="I649" s="8" t="n">
        <v>2.47</v>
      </c>
      <c r="J649" s="8" t="n">
        <v>2.616666666666667</v>
      </c>
      <c r="K649" s="8" t="n"/>
      <c r="L649" s="8" t="n"/>
      <c r="M649" s="8" t="n"/>
      <c r="N649" s="8" t="n"/>
      <c r="O649" s="8" t="n"/>
      <c r="P649" s="15" t="n">
        <v>5.9313</v>
      </c>
      <c r="Q649" s="8" t="n"/>
      <c r="R649" s="8" t="n"/>
      <c r="S649" s="8" t="n"/>
      <c r="T649" s="7" t="inlineStr">
        <is>
          <t>NAZARIA</t>
        </is>
      </c>
      <c r="U649" s="8" t="n">
        <v>5.9313</v>
      </c>
      <c r="V649" s="14">
        <f>U649/J649-1</f>
        <v/>
      </c>
      <c r="W649" s="14">
        <f>U649/H649-1</f>
        <v/>
      </c>
      <c r="X649" s="16" t="inlineStr">
        <is>
          <t>ACIMA +120.5%</t>
        </is>
      </c>
      <c r="Y649" s="7" t="inlineStr">
        <is>
          <t>NAZARIA: conferir emb.</t>
        </is>
      </c>
    </row>
    <row r="650">
      <c r="A650" s="7" t="n">
        <v>74721</v>
      </c>
      <c r="B650" s="12" t="inlineStr">
        <is>
          <t>7899620910164</t>
        </is>
      </c>
      <c r="C650" s="7" t="inlineStr">
        <is>
          <t>CAPTOPRIL 50MG CX 30 COMP</t>
        </is>
      </c>
      <c r="D650" s="7" t="inlineStr">
        <is>
          <t>GENERICO</t>
        </is>
      </c>
      <c r="E650" s="7" t="inlineStr">
        <is>
          <t>C</t>
        </is>
      </c>
      <c r="F650" s="13" t="n">
        <v>3</v>
      </c>
      <c r="G650" s="13" t="n">
        <v>3</v>
      </c>
      <c r="H650" s="8" t="n">
        <v>4.04</v>
      </c>
      <c r="I650" s="8" t="n">
        <v>4.04</v>
      </c>
      <c r="J650" s="8" t="n">
        <v>4.04</v>
      </c>
      <c r="K650" s="15" t="n">
        <v>4.04</v>
      </c>
      <c r="L650" s="8" t="n"/>
      <c r="M650" s="8" t="n"/>
      <c r="N650" s="8" t="n">
        <v>4.34</v>
      </c>
      <c r="O650" s="8" t="n"/>
      <c r="P650" s="8" t="n"/>
      <c r="Q650" s="8" t="n"/>
      <c r="R650" s="8" t="n"/>
      <c r="S650" s="8" t="n"/>
      <c r="T650" s="7" t="inlineStr">
        <is>
          <t>DIMEC</t>
        </is>
      </c>
      <c r="U650" s="8" t="n">
        <v>4.04</v>
      </c>
      <c r="V650" s="14">
        <f>U650/J650-1</f>
        <v/>
      </c>
      <c r="W650" s="14">
        <f>U650/H650-1</f>
        <v/>
      </c>
      <c r="X650" s="17" t="inlineStr">
        <is>
          <t>OK (≤ menor hist.)</t>
        </is>
      </c>
      <c r="Y650" s="7" t="inlineStr"/>
    </row>
    <row r="651">
      <c r="A651" s="7" t="n">
        <v>84261</v>
      </c>
      <c r="B651" s="12" t="inlineStr">
        <is>
          <t>7895296261012</t>
        </is>
      </c>
      <c r="C651" s="7" t="inlineStr">
        <is>
          <t>CARDBET 12,5MG CX 30 COMP</t>
        </is>
      </c>
      <c r="D651" s="7" t="inlineStr">
        <is>
          <t>SIMILAR</t>
        </is>
      </c>
      <c r="E651" s="7" t="inlineStr">
        <is>
          <t>C</t>
        </is>
      </c>
      <c r="F651" s="13" t="n">
        <v>2</v>
      </c>
      <c r="G651" s="13" t="n">
        <v>2</v>
      </c>
      <c r="H651" s="8" t="n">
        <v>4.6</v>
      </c>
      <c r="I651" s="8" t="n">
        <v>4.6</v>
      </c>
      <c r="J651" s="8" t="n">
        <v>4.6</v>
      </c>
      <c r="K651" s="8" t="n"/>
      <c r="L651" s="8" t="n"/>
      <c r="M651" s="8" t="n"/>
      <c r="N651" s="8" t="n">
        <v>5.3</v>
      </c>
      <c r="O651" s="8" t="n"/>
      <c r="P651" s="8" t="n"/>
      <c r="Q651" s="8" t="n"/>
      <c r="R651" s="15" t="n">
        <v>5.29</v>
      </c>
      <c r="S651" s="8" t="n"/>
      <c r="T651" s="7" t="inlineStr">
        <is>
          <t>BRASFARMA</t>
        </is>
      </c>
      <c r="U651" s="8" t="n">
        <v>5.29</v>
      </c>
      <c r="V651" s="14">
        <f>U651/J651-1</f>
        <v/>
      </c>
      <c r="W651" s="14">
        <f>U651/H651-1</f>
        <v/>
      </c>
      <c r="X651" s="16" t="inlineStr">
        <is>
          <t>ACIMA +15.0%</t>
        </is>
      </c>
      <c r="Y651" s="7" t="inlineStr"/>
    </row>
    <row r="652">
      <c r="A652" s="7" t="n">
        <v>84281</v>
      </c>
      <c r="B652" s="12" t="inlineStr">
        <is>
          <t>7895296261036</t>
        </is>
      </c>
      <c r="C652" s="7" t="inlineStr">
        <is>
          <t>CARDBET 3,125MG CX 30 COMP</t>
        </is>
      </c>
      <c r="D652" s="7" t="inlineStr">
        <is>
          <t>SIMILAR</t>
        </is>
      </c>
      <c r="E652" s="7" t="inlineStr">
        <is>
          <t>C</t>
        </is>
      </c>
      <c r="F652" s="13" t="n">
        <v>3</v>
      </c>
      <c r="G652" s="13" t="n">
        <v>3</v>
      </c>
      <c r="H652" s="8" t="n">
        <v>3</v>
      </c>
      <c r="I652" s="8" t="n">
        <v>3</v>
      </c>
      <c r="J652" s="8" t="n">
        <v>3</v>
      </c>
      <c r="K652" s="8" t="n">
        <v>3.62</v>
      </c>
      <c r="L652" s="8" t="n"/>
      <c r="M652" s="8" t="n"/>
      <c r="N652" s="8" t="n">
        <v>3.84</v>
      </c>
      <c r="O652" s="8" t="n"/>
      <c r="P652" s="8" t="n"/>
      <c r="Q652" s="8" t="n">
        <v>4.02</v>
      </c>
      <c r="R652" s="15" t="n">
        <v>3.62</v>
      </c>
      <c r="S652" s="8" t="n"/>
      <c r="T652" s="7" t="inlineStr">
        <is>
          <t>BRASFARMA</t>
        </is>
      </c>
      <c r="U652" s="8" t="n">
        <v>3.62</v>
      </c>
      <c r="V652" s="14">
        <f>U652/J652-1</f>
        <v/>
      </c>
      <c r="W652" s="14">
        <f>U652/H652-1</f>
        <v/>
      </c>
      <c r="X652" s="16" t="inlineStr">
        <is>
          <t>ACIMA +20.7%</t>
        </is>
      </c>
      <c r="Y652" s="7" t="inlineStr"/>
    </row>
    <row r="653">
      <c r="A653" s="7" t="n">
        <v>551981</v>
      </c>
      <c r="B653" s="12" t="inlineStr">
        <is>
          <t>047400179240</t>
        </is>
      </c>
      <c r="C653" s="7" t="inlineStr">
        <is>
          <t>CARGA DE AP.PARA BARBEAR GILLETTE MACH3 2 UNIDADES</t>
        </is>
      </c>
      <c r="D653" s="7" t="inlineStr">
        <is>
          <t>PERF/COSME</t>
        </is>
      </c>
      <c r="E653" s="7" t="inlineStr">
        <is>
          <t>C</t>
        </is>
      </c>
      <c r="F653" s="13" t="n">
        <v>1</v>
      </c>
      <c r="G653" s="13" t="n">
        <v>1</v>
      </c>
      <c r="H653" s="8" t="n">
        <v>25</v>
      </c>
      <c r="I653" s="8" t="n">
        <v>25</v>
      </c>
      <c r="J653" s="8" t="n">
        <v>25</v>
      </c>
      <c r="K653" s="8" t="n"/>
      <c r="L653" s="8" t="n"/>
      <c r="M653" s="8" t="n"/>
      <c r="N653" s="8" t="n"/>
      <c r="O653" s="8" t="n"/>
      <c r="P653" s="8" t="n"/>
      <c r="Q653" s="8" t="n"/>
      <c r="R653" s="8" t="n"/>
      <c r="S653" s="8" t="n"/>
      <c r="T653" s="7" t="inlineStr">
        <is>
          <t>SEM COTAÇÃO</t>
        </is>
      </c>
      <c r="U653" s="8" t="n"/>
      <c r="V653" s="14" t="n"/>
      <c r="W653" s="14" t="n"/>
      <c r="X653" s="7" t="inlineStr"/>
      <c r="Y653" s="7" t="inlineStr"/>
    </row>
    <row r="654">
      <c r="A654" s="7" t="n">
        <v>565741</v>
      </c>
      <c r="B654" s="12" t="inlineStr">
        <is>
          <t>7702018037865</t>
        </is>
      </c>
      <c r="C654" s="7" t="inlineStr">
        <is>
          <t>CARGA MACH3 GILLETTE SENSITIVE 2X1</t>
        </is>
      </c>
      <c r="D654" s="7" t="inlineStr">
        <is>
          <t>PERF/COSME</t>
        </is>
      </c>
      <c r="E654" s="7" t="inlineStr">
        <is>
          <t>C</t>
        </is>
      </c>
      <c r="F654" s="13" t="n">
        <v>1</v>
      </c>
      <c r="G654" s="13" t="n">
        <v>1</v>
      </c>
      <c r="H654" s="8" t="n">
        <v>26.92</v>
      </c>
      <c r="I654" s="8" t="n">
        <v>26.92</v>
      </c>
      <c r="J654" s="8" t="n">
        <v>26.92</v>
      </c>
      <c r="K654" s="8" t="n"/>
      <c r="L654" s="8" t="n"/>
      <c r="M654" s="8" t="n"/>
      <c r="N654" s="8" t="n"/>
      <c r="O654" s="8" t="n"/>
      <c r="P654" s="8" t="n"/>
      <c r="Q654" s="8" t="n"/>
      <c r="R654" s="8" t="n"/>
      <c r="S654" s="8" t="n"/>
      <c r="T654" s="7" t="inlineStr">
        <is>
          <t>SEM COTAÇÃO</t>
        </is>
      </c>
      <c r="U654" s="8" t="n"/>
      <c r="V654" s="14" t="n"/>
      <c r="W654" s="14" t="n"/>
      <c r="X654" s="7" t="inlineStr"/>
      <c r="Y654" s="7" t="inlineStr"/>
    </row>
    <row r="655">
      <c r="A655" s="7" t="n">
        <v>653061</v>
      </c>
      <c r="B655" s="12" t="inlineStr">
        <is>
          <t>7897947620520</t>
        </is>
      </c>
      <c r="C655" s="7" t="inlineStr">
        <is>
          <t>CARMED ENXAG BUC FR 250ML SBR BEIJOS</t>
        </is>
      </c>
      <c r="D655" s="7" t="inlineStr">
        <is>
          <t>PERF/COSME</t>
        </is>
      </c>
      <c r="E655" s="7" t="inlineStr">
        <is>
          <t>C</t>
        </is>
      </c>
      <c r="F655" s="13" t="n">
        <v>2</v>
      </c>
      <c r="G655" s="13" t="n">
        <v>2</v>
      </c>
      <c r="H655" s="8" t="n"/>
      <c r="I655" s="8" t="n"/>
      <c r="J655" s="8" t="n"/>
      <c r="K655" s="8" t="n"/>
      <c r="L655" s="8" t="n"/>
      <c r="M655" s="8" t="n"/>
      <c r="N655" s="8" t="n"/>
      <c r="O655" s="8" t="n"/>
      <c r="P655" s="15" t="n">
        <v>19.56</v>
      </c>
      <c r="Q655" s="8" t="n"/>
      <c r="R655" s="8" t="n"/>
      <c r="S655" s="8" t="n"/>
      <c r="T655" s="7" t="inlineStr">
        <is>
          <t>NAZARIA</t>
        </is>
      </c>
      <c r="U655" s="8" t="n">
        <v>19.56</v>
      </c>
      <c r="V655" s="14" t="n"/>
      <c r="W655" s="14" t="n"/>
      <c r="X655" s="7" t="inlineStr">
        <is>
          <t>SEM HISTÓRICO</t>
        </is>
      </c>
      <c r="Y655" s="7" t="inlineStr"/>
    </row>
    <row r="656">
      <c r="A656" s="7" t="n">
        <v>662881</v>
      </c>
      <c r="B656" s="12" t="inlineStr">
        <is>
          <t>7897947620605</t>
        </is>
      </c>
      <c r="C656" s="7" t="inlineStr">
        <is>
          <t>CARMED GLITTER BG 10G 3 EM 1</t>
        </is>
      </c>
      <c r="D656" s="7" t="inlineStr">
        <is>
          <t>DERMATOLOGICO</t>
        </is>
      </c>
      <c r="E656" s="7" t="inlineStr">
        <is>
          <t>C</t>
        </is>
      </c>
      <c r="F656" s="13" t="n">
        <v>1</v>
      </c>
      <c r="G656" s="13" t="n">
        <v>1</v>
      </c>
      <c r="H656" s="8" t="n"/>
      <c r="I656" s="8" t="n"/>
      <c r="J656" s="8" t="n"/>
      <c r="K656" s="8" t="n"/>
      <c r="L656" s="8" t="n"/>
      <c r="M656" s="8" t="n"/>
      <c r="N656" s="8" t="n"/>
      <c r="O656" s="8" t="n"/>
      <c r="P656" s="15" t="n">
        <v>27.24</v>
      </c>
      <c r="Q656" s="8" t="n"/>
      <c r="R656" s="8" t="n"/>
      <c r="S656" s="8" t="n"/>
      <c r="T656" s="7" t="inlineStr">
        <is>
          <t>NAZARIA</t>
        </is>
      </c>
      <c r="U656" s="8" t="n">
        <v>27.24</v>
      </c>
      <c r="V656" s="14" t="n"/>
      <c r="W656" s="14" t="n"/>
      <c r="X656" s="7" t="inlineStr">
        <is>
          <t>SEM HISTÓRICO</t>
        </is>
      </c>
      <c r="Y656" s="7" t="inlineStr"/>
    </row>
    <row r="657">
      <c r="A657" s="7" t="n">
        <v>655461</v>
      </c>
      <c r="B657" s="12" t="inlineStr">
        <is>
          <t>7897947620445</t>
        </is>
      </c>
      <c r="C657" s="7" t="inlineStr">
        <is>
          <t>CARMED HID LAB BG 10G ACAI</t>
        </is>
      </c>
      <c r="D657" s="7" t="inlineStr">
        <is>
          <t>VITAMINA E SIMILARES</t>
        </is>
      </c>
      <c r="E657" s="7" t="inlineStr">
        <is>
          <t>C</t>
        </is>
      </c>
      <c r="F657" s="13" t="n">
        <v>1</v>
      </c>
      <c r="G657" s="13" t="n">
        <v>1</v>
      </c>
      <c r="H657" s="8" t="n">
        <v>13.9</v>
      </c>
      <c r="I657" s="8" t="n">
        <v>13.9</v>
      </c>
      <c r="J657" s="8" t="n">
        <v>13.9</v>
      </c>
      <c r="K657" s="8" t="n"/>
      <c r="L657" s="8" t="n"/>
      <c r="M657" s="8" t="n"/>
      <c r="N657" s="8" t="n"/>
      <c r="O657" s="8" t="n"/>
      <c r="P657" s="8" t="n"/>
      <c r="Q657" s="8" t="n"/>
      <c r="R657" s="8" t="n"/>
      <c r="S657" s="8" t="n"/>
      <c r="T657" s="7" t="inlineStr">
        <is>
          <t>SEM COTAÇÃO</t>
        </is>
      </c>
      <c r="U657" s="8" t="n"/>
      <c r="V657" s="14" t="n"/>
      <c r="W657" s="14" t="n"/>
      <c r="X657" s="7" t="inlineStr"/>
      <c r="Y657" s="7" t="inlineStr"/>
    </row>
    <row r="658">
      <c r="A658" s="7" t="n">
        <v>658111</v>
      </c>
      <c r="B658" s="12" t="inlineStr">
        <is>
          <t>7897947619579</t>
        </is>
      </c>
      <c r="C658" s="7" t="inlineStr">
        <is>
          <t>CARMED HID LAB BG 10G AMORA CLARO</t>
        </is>
      </c>
      <c r="D658" s="7" t="inlineStr">
        <is>
          <t>DERMOCOSMETICOS/COSMETICOS</t>
        </is>
      </c>
      <c r="E658" s="7" t="inlineStr">
        <is>
          <t>C</t>
        </is>
      </c>
      <c r="F658" s="13" t="n">
        <v>1</v>
      </c>
      <c r="G658" s="13" t="n">
        <v>1</v>
      </c>
      <c r="H658" s="8" t="n">
        <v>14.99</v>
      </c>
      <c r="I658" s="8" t="n">
        <v>14.99</v>
      </c>
      <c r="J658" s="8" t="n">
        <v>14.99</v>
      </c>
      <c r="K658" s="8" t="n"/>
      <c r="L658" s="8" t="n"/>
      <c r="M658" s="8" t="n"/>
      <c r="N658" s="8" t="n"/>
      <c r="O658" s="8" t="n"/>
      <c r="P658" s="15" t="n">
        <v>22.39</v>
      </c>
      <c r="Q658" s="8" t="n"/>
      <c r="R658" s="8" t="n"/>
      <c r="S658" s="8" t="n"/>
      <c r="T658" s="7" t="inlineStr">
        <is>
          <t>NAZARIA</t>
        </is>
      </c>
      <c r="U658" s="8" t="n">
        <v>22.39</v>
      </c>
      <c r="V658" s="14">
        <f>U658/J658-1</f>
        <v/>
      </c>
      <c r="W658" s="14">
        <f>U658/H658-1</f>
        <v/>
      </c>
      <c r="X658" s="16" t="inlineStr">
        <is>
          <t>ACIMA +49.4%</t>
        </is>
      </c>
      <c r="Y658" s="7" t="inlineStr"/>
    </row>
    <row r="659">
      <c r="A659" s="7" t="n">
        <v>640131</v>
      </c>
      <c r="B659" s="12" t="inlineStr">
        <is>
          <t>7897947617971</t>
        </is>
      </c>
      <c r="C659" s="7" t="inlineStr">
        <is>
          <t>CARMED HID LAB BG 10G LEITE CONDE</t>
        </is>
      </c>
      <c r="D659" s="7" t="inlineStr">
        <is>
          <t>DERMOCOSMETICOS/COSMETICOS</t>
        </is>
      </c>
      <c r="E659" s="7" t="inlineStr">
        <is>
          <t>C</t>
        </is>
      </c>
      <c r="F659" s="13" t="n">
        <v>1</v>
      </c>
      <c r="G659" s="13" t="n">
        <v>1</v>
      </c>
      <c r="H659" s="8" t="n">
        <v>16.9042</v>
      </c>
      <c r="I659" s="8" t="n">
        <v>16.9042</v>
      </c>
      <c r="J659" s="8" t="n">
        <v>16.9042</v>
      </c>
      <c r="K659" s="8" t="n"/>
      <c r="L659" s="8" t="n"/>
      <c r="M659" s="8" t="n"/>
      <c r="N659" s="8" t="n"/>
      <c r="O659" s="8" t="n"/>
      <c r="P659" s="8" t="n"/>
      <c r="Q659" s="8" t="n"/>
      <c r="R659" s="8" t="n"/>
      <c r="S659" s="8" t="n"/>
      <c r="T659" s="7" t="inlineStr">
        <is>
          <t>SEM COTAÇÃO</t>
        </is>
      </c>
      <c r="U659" s="8" t="n"/>
      <c r="V659" s="14" t="n"/>
      <c r="W659" s="14" t="n"/>
      <c r="X659" s="7" t="inlineStr"/>
      <c r="Y659" s="7" t="inlineStr"/>
    </row>
    <row r="660">
      <c r="A660" s="7" t="n">
        <v>660441</v>
      </c>
      <c r="B660" s="12" t="inlineStr">
        <is>
          <t>7897947621176</t>
        </is>
      </c>
      <c r="C660" s="7" t="inlineStr">
        <is>
          <t>CARMED HID LAB BG 10G SMURFS</t>
        </is>
      </c>
      <c r="D660" s="7" t="inlineStr">
        <is>
          <t>DERMOCOSMETICOS/COSMETICOS</t>
        </is>
      </c>
      <c r="E660" s="7" t="inlineStr">
        <is>
          <t>C</t>
        </is>
      </c>
      <c r="F660" s="13" t="n">
        <v>1</v>
      </c>
      <c r="G660" s="13" t="n">
        <v>1</v>
      </c>
      <c r="H660" s="8" t="n"/>
      <c r="I660" s="8" t="n"/>
      <c r="J660" s="8" t="n"/>
      <c r="K660" s="8" t="n"/>
      <c r="L660" s="8" t="n"/>
      <c r="M660" s="8" t="n"/>
      <c r="N660" s="8" t="n"/>
      <c r="O660" s="8" t="n"/>
      <c r="P660" s="8" t="n"/>
      <c r="Q660" s="8" t="n"/>
      <c r="R660" s="8" t="n"/>
      <c r="S660" s="8" t="n"/>
      <c r="T660" s="7" t="inlineStr">
        <is>
          <t>SEM COTAÇÃO</t>
        </is>
      </c>
      <c r="U660" s="8" t="n"/>
      <c r="V660" s="14" t="n"/>
      <c r="W660" s="14" t="n"/>
      <c r="X660" s="7" t="inlineStr"/>
      <c r="Y660" s="7" t="inlineStr"/>
    </row>
    <row r="661">
      <c r="A661" s="7" t="n">
        <v>653371</v>
      </c>
      <c r="B661" s="12" t="inlineStr">
        <is>
          <t>7897947601680</t>
        </is>
      </c>
      <c r="C661" s="7" t="inlineStr">
        <is>
          <t>CARMED PROT LABIAL FPS 30 BG 10G AG COCO</t>
        </is>
      </c>
      <c r="D661" s="7" t="inlineStr">
        <is>
          <t>DESATIVADO</t>
        </is>
      </c>
      <c r="E661" s="7" t="inlineStr">
        <is>
          <t>C</t>
        </is>
      </c>
      <c r="F661" s="13" t="n">
        <v>1</v>
      </c>
      <c r="G661" s="13" t="n">
        <v>1</v>
      </c>
      <c r="H661" s="8" t="n">
        <v>14.9</v>
      </c>
      <c r="I661" s="8" t="n">
        <v>14.9</v>
      </c>
      <c r="J661" s="8" t="n">
        <v>14.9</v>
      </c>
      <c r="K661" s="8" t="n"/>
      <c r="L661" s="8" t="n"/>
      <c r="M661" s="8" t="n"/>
      <c r="N661" s="8" t="n"/>
      <c r="O661" s="8" t="n"/>
      <c r="P661" s="8" t="n"/>
      <c r="Q661" s="8" t="n"/>
      <c r="R661" s="8" t="n"/>
      <c r="S661" s="8" t="n"/>
      <c r="T661" s="7" t="inlineStr">
        <is>
          <t>SEM COTAÇÃO</t>
        </is>
      </c>
      <c r="U661" s="8" t="n"/>
      <c r="V661" s="14" t="n"/>
      <c r="W661" s="14" t="n"/>
      <c r="X661" s="7" t="inlineStr"/>
      <c r="Y661" s="7" t="inlineStr"/>
    </row>
    <row r="662">
      <c r="A662" s="7" t="n">
        <v>1123</v>
      </c>
      <c r="B662" s="12" t="inlineStr">
        <is>
          <t>7897947601277</t>
        </is>
      </c>
      <c r="C662" s="7" t="inlineStr">
        <is>
          <t>CARMED PROTETOR LABIAL FPS 30 BG 10G</t>
        </is>
      </c>
      <c r="D662" s="7" t="inlineStr">
        <is>
          <t>DESATIVADO</t>
        </is>
      </c>
      <c r="E662" s="7" t="inlineStr">
        <is>
          <t>C</t>
        </is>
      </c>
      <c r="F662" s="13" t="n">
        <v>1</v>
      </c>
      <c r="G662" s="13" t="n">
        <v>1</v>
      </c>
      <c r="H662" s="8" t="n"/>
      <c r="I662" s="8" t="n"/>
      <c r="J662" s="8" t="n"/>
      <c r="K662" s="8" t="n"/>
      <c r="L662" s="8" t="n"/>
      <c r="M662" s="8" t="n"/>
      <c r="N662" s="8" t="n"/>
      <c r="O662" s="8" t="n"/>
      <c r="P662" s="8" t="n"/>
      <c r="Q662" s="8" t="n"/>
      <c r="R662" s="8" t="n"/>
      <c r="S662" s="8" t="n"/>
      <c r="T662" s="7" t="inlineStr">
        <is>
          <t>SEM COTAÇÃO</t>
        </is>
      </c>
      <c r="U662" s="8" t="n"/>
      <c r="V662" s="14" t="n"/>
      <c r="W662" s="14" t="n"/>
      <c r="X662" s="7" t="inlineStr"/>
      <c r="Y662" s="7" t="inlineStr"/>
    </row>
    <row r="663">
      <c r="A663" s="7" t="n">
        <v>705301</v>
      </c>
      <c r="B663" s="12" t="inlineStr">
        <is>
          <t>190198889966</t>
        </is>
      </c>
      <c r="C663" s="7" t="inlineStr">
        <is>
          <t>CARREGADOR C/CABO USB-C 20W IPHONE</t>
        </is>
      </c>
      <c r="D663" s="7" t="inlineStr">
        <is>
          <t>ACESSORIO</t>
        </is>
      </c>
      <c r="E663" s="7" t="inlineStr">
        <is>
          <t>A</t>
        </is>
      </c>
      <c r="F663" s="13" t="n">
        <v>5</v>
      </c>
      <c r="G663" s="13" t="n">
        <v>5</v>
      </c>
      <c r="H663" s="8" t="n"/>
      <c r="I663" s="8" t="n"/>
      <c r="J663" s="8" t="n"/>
      <c r="K663" s="8" t="n"/>
      <c r="L663" s="8" t="n"/>
      <c r="M663" s="8" t="n"/>
      <c r="N663" s="8" t="n"/>
      <c r="O663" s="8" t="n"/>
      <c r="P663" s="8" t="n"/>
      <c r="Q663" s="8" t="n"/>
      <c r="R663" s="8" t="n"/>
      <c r="S663" s="8" t="n"/>
      <c r="T663" s="7" t="inlineStr">
        <is>
          <t>SEM COTAÇÃO</t>
        </is>
      </c>
      <c r="U663" s="8" t="n"/>
      <c r="V663" s="14" t="n"/>
      <c r="W663" s="14" t="n"/>
      <c r="X663" s="7" t="inlineStr"/>
      <c r="Y663" s="7" t="inlineStr"/>
    </row>
    <row r="664">
      <c r="A664" s="7" t="n">
        <v>83221</v>
      </c>
      <c r="B664" s="12" t="inlineStr">
        <is>
          <t>7896523227528</t>
        </is>
      </c>
      <c r="C664" s="7" t="inlineStr">
        <is>
          <t>CARVEDILOL 12,5MG CX 30 COMP</t>
        </is>
      </c>
      <c r="D664" s="7" t="inlineStr">
        <is>
          <t>GENERICO</t>
        </is>
      </c>
      <c r="E664" s="7" t="inlineStr">
        <is>
          <t>B</t>
        </is>
      </c>
      <c r="F664" s="13" t="n">
        <v>11</v>
      </c>
      <c r="G664" s="13" t="n">
        <v>11</v>
      </c>
      <c r="H664" s="8" t="n">
        <v>3.49</v>
      </c>
      <c r="I664" s="8" t="n">
        <v>3.13</v>
      </c>
      <c r="J664" s="8" t="n">
        <v>3.25</v>
      </c>
      <c r="K664" s="8" t="n"/>
      <c r="L664" s="8" t="n"/>
      <c r="M664" s="8" t="n"/>
      <c r="N664" s="8" t="n"/>
      <c r="O664" s="8" t="n"/>
      <c r="P664" s="8" t="n"/>
      <c r="Q664" s="8" t="n"/>
      <c r="R664" s="8" t="n"/>
      <c r="S664" s="8" t="n"/>
      <c r="T664" s="7" t="inlineStr">
        <is>
          <t>SEM COTAÇÃO</t>
        </is>
      </c>
      <c r="U664" s="8" t="n"/>
      <c r="V664" s="14" t="n"/>
      <c r="W664" s="14" t="n"/>
      <c r="X664" s="7" t="inlineStr"/>
      <c r="Y664" s="7" t="inlineStr"/>
    </row>
    <row r="665">
      <c r="A665" s="7" t="n">
        <v>85541</v>
      </c>
      <c r="B665" s="12" t="inlineStr">
        <is>
          <t>7896422519373</t>
        </is>
      </c>
      <c r="C665" s="7" t="inlineStr">
        <is>
          <t>CARVEDILOL 12,5MG CX 30 COMP</t>
        </is>
      </c>
      <c r="D665" s="7" t="inlineStr">
        <is>
          <t>GENERICO</t>
        </is>
      </c>
      <c r="E665" s="7" t="inlineStr">
        <is>
          <t>C</t>
        </is>
      </c>
      <c r="F665" s="13" t="n">
        <v>1</v>
      </c>
      <c r="G665" s="13" t="n">
        <v>1</v>
      </c>
      <c r="H665" s="8" t="n">
        <v>6.29</v>
      </c>
      <c r="I665" s="8" t="n">
        <v>6.29</v>
      </c>
      <c r="J665" s="8" t="n">
        <v>6.29</v>
      </c>
      <c r="K665" s="8" t="n"/>
      <c r="L665" s="8" t="n"/>
      <c r="M665" s="8" t="n"/>
      <c r="N665" s="8" t="n"/>
      <c r="O665" s="8" t="n"/>
      <c r="P665" s="15" t="n">
        <v>19.469983</v>
      </c>
      <c r="Q665" s="8" t="n"/>
      <c r="R665" s="8" t="n"/>
      <c r="S665" s="8" t="n"/>
      <c r="T665" s="7" t="inlineStr">
        <is>
          <t>NAZARIA</t>
        </is>
      </c>
      <c r="U665" s="8" t="n">
        <v>19.469983</v>
      </c>
      <c r="V665" s="14">
        <f>U665/J665-1</f>
        <v/>
      </c>
      <c r="W665" s="14">
        <f>U665/H665-1</f>
        <v/>
      </c>
      <c r="X665" s="16" t="inlineStr">
        <is>
          <t>ACIMA +209.5%</t>
        </is>
      </c>
      <c r="Y665" s="7" t="inlineStr">
        <is>
          <t>NAZARIA: conferir emb.</t>
        </is>
      </c>
    </row>
    <row r="666">
      <c r="A666" s="7" t="n">
        <v>83241</v>
      </c>
      <c r="B666" s="12" t="inlineStr">
        <is>
          <t>7896523227535</t>
        </is>
      </c>
      <c r="C666" s="7" t="inlineStr">
        <is>
          <t>CARVEDILOL 25MG CX 30 COMP</t>
        </is>
      </c>
      <c r="D666" s="7" t="inlineStr">
        <is>
          <t>GENERICO</t>
        </is>
      </c>
      <c r="E666" s="7" t="inlineStr">
        <is>
          <t>C</t>
        </is>
      </c>
      <c r="F666" s="13" t="n">
        <v>2</v>
      </c>
      <c r="G666" s="13" t="n">
        <v>2</v>
      </c>
      <c r="H666" s="8" t="n">
        <v>5.11</v>
      </c>
      <c r="I666" s="8" t="n">
        <v>5.11</v>
      </c>
      <c r="J666" s="8" t="n">
        <v>5.11</v>
      </c>
      <c r="K666" s="8" t="n"/>
      <c r="L666" s="8" t="n"/>
      <c r="M666" s="8" t="n"/>
      <c r="N666" s="8" t="n"/>
      <c r="O666" s="8" t="n"/>
      <c r="P666" s="8" t="n"/>
      <c r="Q666" s="8" t="n"/>
      <c r="R666" s="8" t="n"/>
      <c r="S666" s="8" t="n"/>
      <c r="T666" s="7" t="inlineStr">
        <is>
          <t>SEM COTAÇÃO</t>
        </is>
      </c>
      <c r="U666" s="8" t="n"/>
      <c r="V666" s="14" t="n"/>
      <c r="W666" s="14" t="n"/>
      <c r="X666" s="7" t="inlineStr"/>
      <c r="Y666" s="7" t="inlineStr"/>
    </row>
    <row r="667">
      <c r="A667" s="7" t="n">
        <v>83701</v>
      </c>
      <c r="B667" s="12" t="inlineStr">
        <is>
          <t>7895296092302</t>
        </is>
      </c>
      <c r="C667" s="7" t="inlineStr">
        <is>
          <t>CARVEDILOL 25MG CX 30 COMP</t>
        </is>
      </c>
      <c r="D667" s="7" t="inlineStr">
        <is>
          <t>GENERICO</t>
        </is>
      </c>
      <c r="E667" s="7" t="inlineStr">
        <is>
          <t>C</t>
        </is>
      </c>
      <c r="F667" s="13" t="n">
        <v>1</v>
      </c>
      <c r="G667" s="13" t="n">
        <v>1</v>
      </c>
      <c r="H667" s="8" t="n">
        <v>12.07</v>
      </c>
      <c r="I667" s="8" t="n">
        <v>12.07</v>
      </c>
      <c r="J667" s="8" t="n">
        <v>12.07</v>
      </c>
      <c r="K667" s="8" t="n"/>
      <c r="L667" s="8" t="n"/>
      <c r="M667" s="8" t="n"/>
      <c r="N667" s="8" t="n"/>
      <c r="O667" s="8" t="n"/>
      <c r="P667" s="8" t="n">
        <v>91.27</v>
      </c>
      <c r="Q667" s="8" t="n"/>
      <c r="R667" s="8" t="n"/>
      <c r="S667" s="8" t="n"/>
      <c r="T667" s="7" t="inlineStr">
        <is>
          <t>SEM COTAÇÃO</t>
        </is>
      </c>
      <c r="U667" s="8" t="n"/>
      <c r="V667" s="14" t="n"/>
      <c r="W667" s="14" t="n"/>
      <c r="X667" s="7" t="inlineStr"/>
      <c r="Y667" s="7" t="inlineStr">
        <is>
          <t>NAZARIA: sem estoque; conferir emb.</t>
        </is>
      </c>
    </row>
    <row r="668">
      <c r="A668" s="7" t="n">
        <v>83341</v>
      </c>
      <c r="B668" s="12" t="inlineStr">
        <is>
          <t>8902220108141</t>
        </is>
      </c>
      <c r="C668" s="7" t="inlineStr">
        <is>
          <t>CARVEDILOL 6,25MG CX 30 COMP</t>
        </is>
      </c>
      <c r="D668" s="7" t="inlineStr">
        <is>
          <t>GENERICO</t>
        </is>
      </c>
      <c r="E668" s="7" t="inlineStr">
        <is>
          <t>C</t>
        </is>
      </c>
      <c r="F668" s="13" t="n">
        <v>1</v>
      </c>
      <c r="G668" s="13" t="n">
        <v>1</v>
      </c>
      <c r="H668" s="8" t="n">
        <v>7.2967</v>
      </c>
      <c r="I668" s="8" t="n">
        <v>7.2967</v>
      </c>
      <c r="J668" s="8" t="n">
        <v>7.2967</v>
      </c>
      <c r="K668" s="8" t="n"/>
      <c r="L668" s="8" t="n"/>
      <c r="M668" s="8" t="n"/>
      <c r="N668" s="8" t="n"/>
      <c r="O668" s="8" t="n"/>
      <c r="P668" s="15" t="n">
        <v>36.46</v>
      </c>
      <c r="Q668" s="8" t="n"/>
      <c r="R668" s="8" t="n"/>
      <c r="S668" s="8" t="n"/>
      <c r="T668" s="7" t="inlineStr">
        <is>
          <t>NAZARIA</t>
        </is>
      </c>
      <c r="U668" s="8" t="n">
        <v>36.46</v>
      </c>
      <c r="V668" s="14">
        <f>U668/J668-1</f>
        <v/>
      </c>
      <c r="W668" s="14">
        <f>U668/H668-1</f>
        <v/>
      </c>
      <c r="X668" s="16" t="inlineStr">
        <is>
          <t>ACIMA +399.7%</t>
        </is>
      </c>
      <c r="Y668" s="7" t="inlineStr">
        <is>
          <t>NAZARIA: conferir emb.</t>
        </is>
      </c>
    </row>
    <row r="669">
      <c r="A669" s="7" t="n">
        <v>20981</v>
      </c>
      <c r="B669" s="12" t="inlineStr">
        <is>
          <t>7897917002295</t>
        </is>
      </c>
      <c r="C669" s="7" t="inlineStr">
        <is>
          <t>CASTANHA DA INDIA 100MG CX 30 COMP REV</t>
        </is>
      </c>
      <c r="D669" s="7" t="inlineStr">
        <is>
          <t>FITOTERAPICO</t>
        </is>
      </c>
      <c r="E669" s="7" t="inlineStr">
        <is>
          <t>C</t>
        </is>
      </c>
      <c r="F669" s="13" t="n">
        <v>3</v>
      </c>
      <c r="G669" s="13" t="n">
        <v>3</v>
      </c>
      <c r="H669" s="8" t="n">
        <v>8.720000000000001</v>
      </c>
      <c r="I669" s="8" t="n">
        <v>8.720000000000001</v>
      </c>
      <c r="J669" s="8" t="n">
        <v>8.720000000000001</v>
      </c>
      <c r="K669" s="8" t="n"/>
      <c r="L669" s="8" t="n"/>
      <c r="M669" s="8" t="n"/>
      <c r="N669" s="8" t="n"/>
      <c r="O669" s="8" t="n"/>
      <c r="P669" s="8" t="n"/>
      <c r="Q669" s="8" t="n"/>
      <c r="R669" s="8" t="n"/>
      <c r="S669" s="8" t="n"/>
      <c r="T669" s="7" t="inlineStr">
        <is>
          <t>SEM COTAÇÃO</t>
        </is>
      </c>
      <c r="U669" s="8" t="n"/>
      <c r="V669" s="14" t="n"/>
      <c r="W669" s="14" t="n"/>
      <c r="X669" s="7" t="inlineStr"/>
      <c r="Y669" s="7" t="inlineStr"/>
    </row>
    <row r="670">
      <c r="A670" s="7" t="n">
        <v>20941</v>
      </c>
      <c r="B670" s="12" t="inlineStr">
        <is>
          <t>7899620913127</t>
        </is>
      </c>
      <c r="C670" s="7" t="inlineStr">
        <is>
          <t>CASTANHA DA INDIA 100MG CX 30 COMP REV</t>
        </is>
      </c>
      <c r="D670" s="7" t="inlineStr">
        <is>
          <t>FITOTERAPICO</t>
        </is>
      </c>
      <c r="E670" s="7" t="inlineStr">
        <is>
          <t>C</t>
        </is>
      </c>
      <c r="F670" s="13" t="n">
        <v>1</v>
      </c>
      <c r="G670" s="13" t="n">
        <v>1</v>
      </c>
      <c r="H670" s="8" t="n">
        <v>8.73</v>
      </c>
      <c r="I670" s="8" t="n">
        <v>8.73</v>
      </c>
      <c r="J670" s="8" t="n">
        <v>8.73</v>
      </c>
      <c r="K670" s="8" t="n"/>
      <c r="L670" s="8" t="n"/>
      <c r="M670" s="8" t="n"/>
      <c r="N670" s="8" t="n"/>
      <c r="O670" s="8" t="n"/>
      <c r="P670" s="8" t="n"/>
      <c r="Q670" s="8" t="n"/>
      <c r="R670" s="8" t="n"/>
      <c r="S670" s="8" t="n"/>
      <c r="T670" s="7" t="inlineStr">
        <is>
          <t>SEM COTAÇÃO</t>
        </is>
      </c>
      <c r="U670" s="8" t="n"/>
      <c r="V670" s="14" t="n"/>
      <c r="W670" s="14" t="n"/>
      <c r="X670" s="7" t="inlineStr"/>
      <c r="Y670" s="7" t="inlineStr"/>
    </row>
    <row r="671">
      <c r="A671" s="7" t="n">
        <v>210221</v>
      </c>
      <c r="B671" s="12" t="inlineStr">
        <is>
          <t>7896261013490</t>
        </is>
      </c>
      <c r="C671" s="7" t="inlineStr">
        <is>
          <t>CATAFLAM 50MG CX 10 DRG</t>
        </is>
      </c>
      <c r="D671" s="7" t="inlineStr">
        <is>
          <t>RX</t>
        </is>
      </c>
      <c r="E671" s="7" t="inlineStr">
        <is>
          <t>A</t>
        </is>
      </c>
      <c r="F671" s="13" t="n">
        <v>3</v>
      </c>
      <c r="G671" s="13" t="n">
        <v>3</v>
      </c>
      <c r="H671" s="8" t="n">
        <v>17.03</v>
      </c>
      <c r="I671" s="8" t="n">
        <v>16.38</v>
      </c>
      <c r="J671" s="8" t="n">
        <v>16.595</v>
      </c>
      <c r="K671" s="8" t="n"/>
      <c r="L671" s="8" t="n"/>
      <c r="M671" s="15" t="n">
        <v>17.03</v>
      </c>
      <c r="N671" s="8" t="n"/>
      <c r="O671" s="8" t="n">
        <v>20.27</v>
      </c>
      <c r="P671" s="8" t="n">
        <v>20.688</v>
      </c>
      <c r="Q671" s="8" t="n"/>
      <c r="R671" s="8" t="n"/>
      <c r="S671" s="8" t="n"/>
      <c r="T671" s="7" t="inlineStr">
        <is>
          <t>EPAN</t>
        </is>
      </c>
      <c r="U671" s="8" t="n">
        <v>17.03</v>
      </c>
      <c r="V671" s="14">
        <f>U671/J671-1</f>
        <v/>
      </c>
      <c r="W671" s="14">
        <f>U671/H671-1</f>
        <v/>
      </c>
      <c r="X671" s="17" t="inlineStr">
        <is>
          <t>OK (≤ últ. compra)</t>
        </is>
      </c>
      <c r="Y671" s="7" t="inlineStr"/>
    </row>
    <row r="672">
      <c r="A672" s="7" t="n">
        <v>600501</v>
      </c>
      <c r="B672" s="12" t="inlineStr">
        <is>
          <t>7898158693617</t>
        </is>
      </c>
      <c r="C672" s="7" t="inlineStr">
        <is>
          <t>CATAFLEXYM 10MG/G GEL BG 60G</t>
        </is>
      </c>
      <c r="D672" s="7" t="inlineStr">
        <is>
          <t>SIMILAR</t>
        </is>
      </c>
      <c r="E672" s="7" t="inlineStr">
        <is>
          <t>C</t>
        </is>
      </c>
      <c r="F672" s="13" t="n">
        <v>2</v>
      </c>
      <c r="G672" s="13" t="n">
        <v>2</v>
      </c>
      <c r="H672" s="8" t="n">
        <v>7.61</v>
      </c>
      <c r="I672" s="8" t="n">
        <v>7.61</v>
      </c>
      <c r="J672" s="8" t="n">
        <v>7.61</v>
      </c>
      <c r="K672" s="8" t="n"/>
      <c r="L672" s="8" t="n"/>
      <c r="M672" s="8" t="n"/>
      <c r="N672" s="8" t="n"/>
      <c r="O672" s="8" t="n"/>
      <c r="P672" s="8" t="n"/>
      <c r="Q672" s="8" t="n"/>
      <c r="R672" s="8" t="n"/>
      <c r="S672" s="8" t="n"/>
      <c r="T672" s="7" t="inlineStr">
        <is>
          <t>SEM COTAÇÃO</t>
        </is>
      </c>
      <c r="U672" s="8" t="n"/>
      <c r="V672" s="14" t="n"/>
      <c r="W672" s="14" t="n"/>
      <c r="X672" s="7" t="inlineStr"/>
      <c r="Y672" s="7" t="inlineStr"/>
    </row>
    <row r="673">
      <c r="A673" s="7" t="n">
        <v>638841</v>
      </c>
      <c r="B673" s="12" t="inlineStr">
        <is>
          <t>7899780106148</t>
        </is>
      </c>
      <c r="C673" s="7" t="inlineStr">
        <is>
          <t>CATETER INTRAVENOSO 18G POLYMED</t>
        </is>
      </c>
      <c r="D673" s="7" t="inlineStr">
        <is>
          <t>UTENSILIOS</t>
        </is>
      </c>
      <c r="E673" s="7" t="inlineStr">
        <is>
          <t>C</t>
        </is>
      </c>
      <c r="F673" s="13" t="n">
        <v>1</v>
      </c>
      <c r="G673" s="13" t="n">
        <v>1</v>
      </c>
      <c r="H673" s="8" t="n">
        <v>0.9</v>
      </c>
      <c r="I673" s="8" t="n">
        <v>0.9</v>
      </c>
      <c r="J673" s="8" t="n">
        <v>0.9</v>
      </c>
      <c r="K673" s="8" t="n"/>
      <c r="L673" s="8" t="n"/>
      <c r="M673" s="8" t="n"/>
      <c r="N673" s="8" t="n"/>
      <c r="O673" s="8" t="n"/>
      <c r="P673" s="8" t="n"/>
      <c r="Q673" s="8" t="n"/>
      <c r="R673" s="8" t="n"/>
      <c r="S673" s="8" t="n"/>
      <c r="T673" s="7" t="inlineStr">
        <is>
          <t>SEM COTAÇÃO</t>
        </is>
      </c>
      <c r="U673" s="8" t="n"/>
      <c r="V673" s="14" t="n"/>
      <c r="W673" s="14" t="n"/>
      <c r="X673" s="7" t="inlineStr"/>
      <c r="Y673" s="7" t="inlineStr"/>
    </row>
    <row r="674">
      <c r="A674" s="7" t="n">
        <v>54</v>
      </c>
      <c r="B674" s="12" t="inlineStr">
        <is>
          <t>7898283816844</t>
        </is>
      </c>
      <c r="C674" s="7" t="inlineStr">
        <is>
          <t>CATETER Nª16</t>
        </is>
      </c>
      <c r="D674" s="7" t="inlineStr">
        <is>
          <t>UTENSILIOS</t>
        </is>
      </c>
      <c r="E674" s="7" t="inlineStr">
        <is>
          <t>C</t>
        </is>
      </c>
      <c r="F674" s="13" t="n">
        <v>1</v>
      </c>
      <c r="G674" s="13" t="n">
        <v>1</v>
      </c>
      <c r="H674" s="8" t="n"/>
      <c r="I674" s="8" t="n"/>
      <c r="J674" s="8" t="n"/>
      <c r="K674" s="8" t="n"/>
      <c r="L674" s="8" t="n"/>
      <c r="M674" s="8" t="n"/>
      <c r="N674" s="8" t="n"/>
      <c r="O674" s="8" t="n"/>
      <c r="P674" s="8" t="n"/>
      <c r="Q674" s="8" t="n"/>
      <c r="R674" s="8" t="n"/>
      <c r="S674" s="8" t="n"/>
      <c r="T674" s="7" t="inlineStr">
        <is>
          <t>SEM COTAÇÃO</t>
        </is>
      </c>
      <c r="U674" s="8" t="n"/>
      <c r="V674" s="14" t="n"/>
      <c r="W674" s="14" t="n"/>
      <c r="X674" s="7" t="inlineStr"/>
      <c r="Y674" s="7" t="inlineStr"/>
    </row>
    <row r="675">
      <c r="A675" s="7" t="n">
        <v>593191</v>
      </c>
      <c r="B675" s="12" t="inlineStr">
        <is>
          <t>7500435118514</t>
        </is>
      </c>
      <c r="C675" s="7" t="inlineStr">
        <is>
          <t>CCP PANTENE CACHOS HIDRA CRESPO 240ML</t>
        </is>
      </c>
      <c r="D675" s="7" t="inlineStr">
        <is>
          <t>COND/SHAM/CREM/SIMILARES</t>
        </is>
      </c>
      <c r="E675" s="7" t="inlineStr">
        <is>
          <t>C</t>
        </is>
      </c>
      <c r="F675" s="13" t="n">
        <v>1</v>
      </c>
      <c r="G675" s="13" t="n">
        <v>1</v>
      </c>
      <c r="H675" s="8" t="n">
        <v>13.69</v>
      </c>
      <c r="I675" s="8" t="n">
        <v>13.69</v>
      </c>
      <c r="J675" s="8" t="n">
        <v>13.69</v>
      </c>
      <c r="K675" s="8" t="n"/>
      <c r="L675" s="8" t="n"/>
      <c r="M675" s="8" t="n"/>
      <c r="N675" s="8" t="n"/>
      <c r="O675" s="8" t="n"/>
      <c r="P675" s="8" t="n"/>
      <c r="Q675" s="8" t="n"/>
      <c r="R675" s="8" t="n"/>
      <c r="S675" s="8" t="n"/>
      <c r="T675" s="7" t="inlineStr">
        <is>
          <t>SEM COTAÇÃO</t>
        </is>
      </c>
      <c r="U675" s="8" t="n"/>
      <c r="V675" s="14" t="n"/>
      <c r="W675" s="14" t="n"/>
      <c r="X675" s="7" t="inlineStr"/>
      <c r="Y675" s="7" t="inlineStr"/>
    </row>
    <row r="676">
      <c r="A676" s="7" t="n">
        <v>574941</v>
      </c>
      <c r="B676" s="12" t="inlineStr">
        <is>
          <t>7891037744509</t>
        </is>
      </c>
      <c r="C676" s="7" t="inlineStr">
        <is>
          <t>CD CLOSEUP LIQ 100G FRESH</t>
        </is>
      </c>
      <c r="D676" s="7" t="inlineStr">
        <is>
          <t>PERF/COSME</t>
        </is>
      </c>
      <c r="E676" s="7" t="inlineStr">
        <is>
          <t>B</t>
        </is>
      </c>
      <c r="F676" s="13" t="n">
        <v>9</v>
      </c>
      <c r="G676" s="13" t="n">
        <v>9</v>
      </c>
      <c r="H676" s="8" t="n">
        <v>4.7917</v>
      </c>
      <c r="I676" s="8" t="n">
        <v>3.9492</v>
      </c>
      <c r="J676" s="8" t="n">
        <v>4.510866666666666</v>
      </c>
      <c r="K676" s="8" t="n"/>
      <c r="L676" s="8" t="n"/>
      <c r="M676" s="8" t="n"/>
      <c r="N676" s="8" t="n"/>
      <c r="O676" s="8" t="n"/>
      <c r="P676" s="15" t="n">
        <v>4.92</v>
      </c>
      <c r="Q676" s="8" t="n"/>
      <c r="R676" s="8" t="n"/>
      <c r="S676" s="8" t="n"/>
      <c r="T676" s="7" t="inlineStr">
        <is>
          <t>NAZARIA</t>
        </is>
      </c>
      <c r="U676" s="8" t="n">
        <v>4.92</v>
      </c>
      <c r="V676" s="14">
        <f>U676/J676-1</f>
        <v/>
      </c>
      <c r="W676" s="14">
        <f>U676/H676-1</f>
        <v/>
      </c>
      <c r="X676" s="16" t="inlineStr">
        <is>
          <t>ACIMA +2.7%</t>
        </is>
      </c>
      <c r="Y676" s="7" t="inlineStr"/>
    </row>
    <row r="677">
      <c r="A677" s="7" t="n">
        <v>575241</v>
      </c>
      <c r="B677" s="12" t="inlineStr">
        <is>
          <t>7891150063075</t>
        </is>
      </c>
      <c r="C677" s="7" t="inlineStr">
        <is>
          <t>CD CLOSEUP LIQ 100G FRESH RED HOT</t>
        </is>
      </c>
      <c r="D677" s="7" t="inlineStr">
        <is>
          <t>PERF/COSME</t>
        </is>
      </c>
      <c r="E677" s="7" t="inlineStr">
        <is>
          <t>C</t>
        </is>
      </c>
      <c r="F677" s="13" t="n">
        <v>5</v>
      </c>
      <c r="G677" s="13" t="n">
        <v>5</v>
      </c>
      <c r="H677" s="8" t="n">
        <v>4.8717</v>
      </c>
      <c r="I677" s="8" t="n">
        <v>4.8717</v>
      </c>
      <c r="J677" s="8" t="n">
        <v>4.8717</v>
      </c>
      <c r="K677" s="8" t="n"/>
      <c r="L677" s="8" t="n"/>
      <c r="M677" s="8" t="n"/>
      <c r="N677" s="8" t="n"/>
      <c r="O677" s="8" t="n"/>
      <c r="P677" s="15" t="n">
        <v>4.92</v>
      </c>
      <c r="Q677" s="8" t="n"/>
      <c r="R677" s="8" t="n"/>
      <c r="S677" s="8" t="n"/>
      <c r="T677" s="7" t="inlineStr">
        <is>
          <t>NAZARIA</t>
        </is>
      </c>
      <c r="U677" s="8" t="n">
        <v>4.92</v>
      </c>
      <c r="V677" s="14">
        <f>U677/J677-1</f>
        <v/>
      </c>
      <c r="W677" s="14">
        <f>U677/H677-1</f>
        <v/>
      </c>
      <c r="X677" s="16" t="inlineStr">
        <is>
          <t>ACIMA +1.0%</t>
        </is>
      </c>
      <c r="Y677" s="7" t="inlineStr"/>
    </row>
    <row r="678">
      <c r="A678" s="7" t="n">
        <v>625091</v>
      </c>
      <c r="B678" s="12" t="inlineStr">
        <is>
          <t>7891037744356</t>
        </is>
      </c>
      <c r="C678" s="7" t="inlineStr">
        <is>
          <t>CD CLOSEUP RED HOT 90G</t>
        </is>
      </c>
      <c r="D678" s="7" t="inlineStr">
        <is>
          <t>PERF/COSME</t>
        </is>
      </c>
      <c r="E678" s="7" t="inlineStr">
        <is>
          <t>C</t>
        </is>
      </c>
      <c r="F678" s="13" t="n">
        <v>2</v>
      </c>
      <c r="G678" s="13" t="n">
        <v>2</v>
      </c>
      <c r="H678" s="8" t="n">
        <v>4.03</v>
      </c>
      <c r="I678" s="8" t="n">
        <v>4</v>
      </c>
      <c r="J678" s="8" t="n">
        <v>4.02</v>
      </c>
      <c r="K678" s="8" t="n"/>
      <c r="L678" s="8" t="n"/>
      <c r="M678" s="8" t="n"/>
      <c r="N678" s="8" t="n"/>
      <c r="O678" s="8" t="n"/>
      <c r="P678" s="15" t="n">
        <v>4.27</v>
      </c>
      <c r="Q678" s="8" t="n"/>
      <c r="R678" s="8" t="n"/>
      <c r="S678" s="8" t="n"/>
      <c r="T678" s="7" t="inlineStr">
        <is>
          <t>NAZARIA</t>
        </is>
      </c>
      <c r="U678" s="8" t="n">
        <v>4.27</v>
      </c>
      <c r="V678" s="14">
        <f>U678/J678-1</f>
        <v/>
      </c>
      <c r="W678" s="14">
        <f>U678/H678-1</f>
        <v/>
      </c>
      <c r="X678" s="16" t="inlineStr">
        <is>
          <t>ACIMA +6.0%</t>
        </is>
      </c>
      <c r="Y678" s="7" t="inlineStr"/>
    </row>
    <row r="679">
      <c r="A679" s="7" t="n">
        <v>625111</v>
      </c>
      <c r="B679" s="12" t="inlineStr">
        <is>
          <t>7891150049871</t>
        </is>
      </c>
      <c r="C679" s="7" t="inlineStr">
        <is>
          <t>CD CLOSEUP TRIPLE 70G</t>
        </is>
      </c>
      <c r="D679" s="7" t="inlineStr">
        <is>
          <t>PERF/COSME</t>
        </is>
      </c>
      <c r="E679" s="7" t="inlineStr">
        <is>
          <t>C</t>
        </is>
      </c>
      <c r="F679" s="13" t="n">
        <v>4</v>
      </c>
      <c r="G679" s="13" t="n">
        <v>4</v>
      </c>
      <c r="H679" s="8" t="n">
        <v>2.53</v>
      </c>
      <c r="I679" s="8" t="n">
        <v>2.5033</v>
      </c>
      <c r="J679" s="8" t="n">
        <v>2.5211</v>
      </c>
      <c r="K679" s="8" t="n"/>
      <c r="L679" s="8" t="n"/>
      <c r="M679" s="8" t="n"/>
      <c r="N679" s="8" t="n"/>
      <c r="O679" s="8" t="n"/>
      <c r="P679" s="15" t="n">
        <v>2.57</v>
      </c>
      <c r="Q679" s="8" t="n"/>
      <c r="R679" s="8" t="n"/>
      <c r="S679" s="8" t="n"/>
      <c r="T679" s="7" t="inlineStr">
        <is>
          <t>NAZARIA</t>
        </is>
      </c>
      <c r="U679" s="8" t="n">
        <v>2.57</v>
      </c>
      <c r="V679" s="14">
        <f>U679/J679-1</f>
        <v/>
      </c>
      <c r="W679" s="14">
        <f>U679/H679-1</f>
        <v/>
      </c>
      <c r="X679" s="16" t="inlineStr">
        <is>
          <t>ACIMA +1.6%</t>
        </is>
      </c>
      <c r="Y679" s="7" t="inlineStr"/>
    </row>
    <row r="680">
      <c r="A680" s="7" t="n">
        <v>638861</v>
      </c>
      <c r="B680" s="12" t="inlineStr">
        <is>
          <t>7908615055169</t>
        </is>
      </c>
      <c r="C680" s="7" t="inlineStr">
        <is>
          <t>CD ELSEVE 400ML GLYCOLIC GLOSS</t>
        </is>
      </c>
      <c r="D680" s="7" t="inlineStr">
        <is>
          <t>COND/SHAM/CREM/SIMILARES</t>
        </is>
      </c>
      <c r="E680" s="7" t="inlineStr">
        <is>
          <t>C</t>
        </is>
      </c>
      <c r="F680" s="13" t="n">
        <v>1</v>
      </c>
      <c r="G680" s="13" t="n">
        <v>1</v>
      </c>
      <c r="H680" s="8" t="n">
        <v>21.8583</v>
      </c>
      <c r="I680" s="8" t="n">
        <v>21.8583</v>
      </c>
      <c r="J680" s="8" t="n">
        <v>21.8583</v>
      </c>
      <c r="K680" s="8" t="n"/>
      <c r="L680" s="8" t="n"/>
      <c r="M680" s="8" t="n"/>
      <c r="N680" s="8" t="n"/>
      <c r="O680" s="8" t="n"/>
      <c r="P680" s="15" t="n">
        <v>27.95</v>
      </c>
      <c r="Q680" s="8" t="n"/>
      <c r="R680" s="8" t="n"/>
      <c r="S680" s="8" t="n"/>
      <c r="T680" s="7" t="inlineStr">
        <is>
          <t>NAZARIA</t>
        </is>
      </c>
      <c r="U680" s="8" t="n">
        <v>27.95</v>
      </c>
      <c r="V680" s="14">
        <f>U680/J680-1</f>
        <v/>
      </c>
      <c r="W680" s="14">
        <f>U680/H680-1</f>
        <v/>
      </c>
      <c r="X680" s="16" t="inlineStr">
        <is>
          <t>ACIMA +27.9%</t>
        </is>
      </c>
      <c r="Y680" s="7" t="inlineStr"/>
    </row>
    <row r="681">
      <c r="A681" s="7" t="n">
        <v>595941</v>
      </c>
      <c r="B681" s="12" t="inlineStr">
        <is>
          <t>7896013104216</t>
        </is>
      </c>
      <c r="C681" s="7" t="inlineStr">
        <is>
          <t>CD EVEN 50G GEL BABY S/FLUOR TUT FRU M12</t>
        </is>
      </c>
      <c r="D681" s="7" t="inlineStr">
        <is>
          <t>PERF/COSME</t>
        </is>
      </c>
      <c r="E681" s="7" t="inlineStr">
        <is>
          <t>C</t>
        </is>
      </c>
      <c r="F681" s="13" t="n">
        <v>2</v>
      </c>
      <c r="G681" s="13" t="n">
        <v>2</v>
      </c>
      <c r="H681" s="8" t="n">
        <v>8.92</v>
      </c>
      <c r="I681" s="8" t="n">
        <v>8.92</v>
      </c>
      <c r="J681" s="8" t="n">
        <v>8.92</v>
      </c>
      <c r="K681" s="8" t="n"/>
      <c r="L681" s="8" t="n"/>
      <c r="M681" s="8" t="n"/>
      <c r="N681" s="8" t="n"/>
      <c r="O681" s="8" t="n"/>
      <c r="P681" s="8" t="n"/>
      <c r="Q681" s="8" t="n"/>
      <c r="R681" s="8" t="n"/>
      <c r="S681" s="8" t="n"/>
      <c r="T681" s="7" t="inlineStr">
        <is>
          <t>SEM COTAÇÃO</t>
        </is>
      </c>
      <c r="U681" s="8" t="n"/>
      <c r="V681" s="14" t="n"/>
      <c r="W681" s="14" t="n"/>
      <c r="X681" s="7" t="inlineStr"/>
      <c r="Y681" s="7" t="inlineStr"/>
    </row>
    <row r="682">
      <c r="A682" s="7" t="n">
        <v>633321</v>
      </c>
      <c r="B682" s="12" t="inlineStr">
        <is>
          <t>7896018750845</t>
        </is>
      </c>
      <c r="C682" s="7" t="inlineStr">
        <is>
          <t>CD INF HUGGIES KIDS 360ML BRILHO MAGICO</t>
        </is>
      </c>
      <c r="D682" s="7" t="inlineStr">
        <is>
          <t>PERF/COSME</t>
        </is>
      </c>
      <c r="E682" s="7" t="inlineStr">
        <is>
          <t>C</t>
        </is>
      </c>
      <c r="F682" s="13" t="n">
        <v>5</v>
      </c>
      <c r="G682" s="13" t="n">
        <v>5</v>
      </c>
      <c r="H682" s="8" t="n">
        <v>12.2375</v>
      </c>
      <c r="I682" s="8" t="n">
        <v>12.2375</v>
      </c>
      <c r="J682" s="8" t="n">
        <v>12.2375</v>
      </c>
      <c r="K682" s="8" t="n"/>
      <c r="L682" s="8" t="n"/>
      <c r="M682" s="8" t="n"/>
      <c r="N682" s="8" t="n"/>
      <c r="O682" s="8" t="n"/>
      <c r="P682" s="8" t="n">
        <v>25.18</v>
      </c>
      <c r="Q682" s="8" t="n"/>
      <c r="R682" s="8" t="n"/>
      <c r="S682" s="8" t="n"/>
      <c r="T682" s="7" t="inlineStr">
        <is>
          <t>SEM COTAÇÃO</t>
        </is>
      </c>
      <c r="U682" s="8" t="n"/>
      <c r="V682" s="14" t="n"/>
      <c r="W682" s="14" t="n"/>
      <c r="X682" s="7" t="inlineStr"/>
      <c r="Y682" s="7" t="inlineStr">
        <is>
          <t>NAZARIA: sem estoque; conferir emb.</t>
        </is>
      </c>
    </row>
    <row r="683">
      <c r="A683" s="7" t="n">
        <v>633311</v>
      </c>
      <c r="B683" s="12" t="inlineStr">
        <is>
          <t>7896018750814</t>
        </is>
      </c>
      <c r="C683" s="7" t="inlineStr">
        <is>
          <t>CD INF HUGGIES KIDS 360ML CACHINHO PODER</t>
        </is>
      </c>
      <c r="D683" s="7" t="inlineStr">
        <is>
          <t>PERF/COSME</t>
        </is>
      </c>
      <c r="E683" s="7" t="inlineStr">
        <is>
          <t>C</t>
        </is>
      </c>
      <c r="F683" s="13" t="n">
        <v>2</v>
      </c>
      <c r="G683" s="13" t="n">
        <v>2</v>
      </c>
      <c r="H683" s="8" t="n">
        <v>12.2375</v>
      </c>
      <c r="I683" s="8" t="n">
        <v>12.2375</v>
      </c>
      <c r="J683" s="8" t="n">
        <v>12.2375</v>
      </c>
      <c r="K683" s="8" t="n"/>
      <c r="L683" s="8" t="n"/>
      <c r="M683" s="8" t="n"/>
      <c r="N683" s="8" t="n"/>
      <c r="O683" s="8" t="n"/>
      <c r="P683" s="15" t="n">
        <v>25.18</v>
      </c>
      <c r="Q683" s="8" t="n"/>
      <c r="R683" s="8" t="n"/>
      <c r="S683" s="8" t="n"/>
      <c r="T683" s="7" t="inlineStr">
        <is>
          <t>NAZARIA</t>
        </is>
      </c>
      <c r="U683" s="8" t="n">
        <v>25.18</v>
      </c>
      <c r="V683" s="14">
        <f>U683/J683-1</f>
        <v/>
      </c>
      <c r="W683" s="14">
        <f>U683/H683-1</f>
        <v/>
      </c>
      <c r="X683" s="16" t="inlineStr">
        <is>
          <t>ACIMA +105.8%</t>
        </is>
      </c>
      <c r="Y683" s="7" t="inlineStr">
        <is>
          <t>NAZARIA: conferir emb.</t>
        </is>
      </c>
    </row>
    <row r="684">
      <c r="A684" s="7" t="n">
        <v>633301</v>
      </c>
      <c r="B684" s="12" t="inlineStr">
        <is>
          <t>7896018750876</t>
        </is>
      </c>
      <c r="C684" s="7" t="inlineStr">
        <is>
          <t>CD INF HUGGIES KIDS 360ML NUTRICAO/FORCA</t>
        </is>
      </c>
      <c r="D684" s="7" t="inlineStr">
        <is>
          <t>PERF/COSME</t>
        </is>
      </c>
      <c r="E684" s="7" t="inlineStr">
        <is>
          <t>C</t>
        </is>
      </c>
      <c r="F684" s="13" t="n">
        <v>1</v>
      </c>
      <c r="G684" s="13" t="n">
        <v>1</v>
      </c>
      <c r="H684" s="8" t="n">
        <v>12.655</v>
      </c>
      <c r="I684" s="8" t="n">
        <v>12.655</v>
      </c>
      <c r="J684" s="8" t="n">
        <v>12.655</v>
      </c>
      <c r="K684" s="8" t="n"/>
      <c r="L684" s="8" t="n"/>
      <c r="M684" s="8" t="n"/>
      <c r="N684" s="8" t="n"/>
      <c r="O684" s="8" t="n"/>
      <c r="P684" s="8" t="n">
        <v>25.18</v>
      </c>
      <c r="Q684" s="8" t="n"/>
      <c r="R684" s="8" t="n"/>
      <c r="S684" s="8" t="n"/>
      <c r="T684" s="7" t="inlineStr">
        <is>
          <t>SEM COTAÇÃO</t>
        </is>
      </c>
      <c r="U684" s="8" t="n"/>
      <c r="V684" s="14" t="n"/>
      <c r="W684" s="14" t="n"/>
      <c r="X684" s="7" t="inlineStr"/>
      <c r="Y684" s="7" t="inlineStr">
        <is>
          <t>NAZARIA: sem estoque</t>
        </is>
      </c>
    </row>
    <row r="685">
      <c r="A685" s="7" t="n">
        <v>651721</v>
      </c>
      <c r="B685" s="12" t="inlineStr">
        <is>
          <t>7896227690314</t>
        </is>
      </c>
      <c r="C685" s="7" t="inlineStr">
        <is>
          <t>CD INF SNOOPY 200ML ALGODAO</t>
        </is>
      </c>
      <c r="D685" s="7" t="inlineStr">
        <is>
          <t>DESATIVADO</t>
        </is>
      </c>
      <c r="E685" s="7" t="inlineStr">
        <is>
          <t>C</t>
        </is>
      </c>
      <c r="F685" s="13" t="n">
        <v>1</v>
      </c>
      <c r="G685" s="13" t="n">
        <v>1</v>
      </c>
      <c r="H685" s="8" t="n">
        <v>10.39</v>
      </c>
      <c r="I685" s="8" t="n">
        <v>10.39</v>
      </c>
      <c r="J685" s="8" t="n">
        <v>10.39</v>
      </c>
      <c r="K685" s="8" t="n"/>
      <c r="L685" s="8" t="n"/>
      <c r="M685" s="8" t="n"/>
      <c r="N685" s="8" t="n"/>
      <c r="O685" s="8" t="n"/>
      <c r="P685" s="8" t="n"/>
      <c r="Q685" s="8" t="n"/>
      <c r="R685" s="8" t="n"/>
      <c r="S685" s="8" t="n"/>
      <c r="T685" s="7" t="inlineStr">
        <is>
          <t>SEM COTAÇÃO</t>
        </is>
      </c>
      <c r="U685" s="8" t="n"/>
      <c r="V685" s="14" t="n"/>
      <c r="W685" s="14" t="n"/>
      <c r="X685" s="7" t="inlineStr"/>
      <c r="Y685" s="7" t="inlineStr"/>
    </row>
    <row r="686">
      <c r="A686" s="7" t="n">
        <v>600621</v>
      </c>
      <c r="B686" s="12" t="inlineStr">
        <is>
          <t>7506339363883</t>
        </is>
      </c>
      <c r="C686" s="7" t="inlineStr">
        <is>
          <t>CD ORAL B 123 MENTA SUAVE 70G</t>
        </is>
      </c>
      <c r="D686" s="7" t="inlineStr">
        <is>
          <t>PERF/COSME</t>
        </is>
      </c>
      <c r="E686" s="7" t="inlineStr">
        <is>
          <t>C</t>
        </is>
      </c>
      <c r="F686" s="13" t="n">
        <v>5</v>
      </c>
      <c r="G686" s="13" t="n">
        <v>5</v>
      </c>
      <c r="H686" s="8" t="n">
        <v>3.76</v>
      </c>
      <c r="I686" s="8" t="n">
        <v>3.76</v>
      </c>
      <c r="J686" s="8" t="n">
        <v>3.76</v>
      </c>
      <c r="K686" s="8" t="n"/>
      <c r="L686" s="8" t="n"/>
      <c r="M686" s="8" t="n"/>
      <c r="N686" s="8" t="n"/>
      <c r="O686" s="8" t="n"/>
      <c r="P686" s="8" t="n"/>
      <c r="Q686" s="8" t="n"/>
      <c r="R686" s="8" t="n"/>
      <c r="S686" s="8" t="n"/>
      <c r="T686" s="7" t="inlineStr">
        <is>
          <t>SEM COTAÇÃO</t>
        </is>
      </c>
      <c r="U686" s="8" t="n"/>
      <c r="V686" s="14" t="n"/>
      <c r="W686" s="14" t="n"/>
      <c r="X686" s="7" t="inlineStr"/>
      <c r="Y686" s="7" t="inlineStr"/>
    </row>
    <row r="687">
      <c r="A687" s="7" t="n">
        <v>617091</v>
      </c>
      <c r="B687" s="12" t="inlineStr"/>
      <c r="C687" s="7" t="inlineStr">
        <is>
          <t>CD ORAL B 3D WHITE 70G</t>
        </is>
      </c>
      <c r="D687" s="7" t="inlineStr">
        <is>
          <t>PERF/COSME</t>
        </is>
      </c>
      <c r="E687" s="7" t="inlineStr">
        <is>
          <t>A</t>
        </is>
      </c>
      <c r="F687" s="13" t="n">
        <v>2</v>
      </c>
      <c r="G687" s="13" t="n">
        <v>4</v>
      </c>
      <c r="H687" s="8" t="n">
        <v>2.9633</v>
      </c>
      <c r="I687" s="8" t="n">
        <v>2.9633</v>
      </c>
      <c r="J687" s="8" t="n">
        <v>2.9633</v>
      </c>
      <c r="K687" s="8" t="n"/>
      <c r="L687" s="8" t="n"/>
      <c r="M687" s="8" t="n"/>
      <c r="N687" s="8" t="n"/>
      <c r="O687" s="8" t="n"/>
      <c r="P687" s="8" t="n"/>
      <c r="Q687" s="8" t="n"/>
      <c r="R687" s="8" t="n"/>
      <c r="S687" s="8" t="n"/>
      <c r="T687" s="7" t="inlineStr">
        <is>
          <t>SEM COTAÇÃO</t>
        </is>
      </c>
      <c r="U687" s="8" t="n"/>
      <c r="V687" s="14" t="n"/>
      <c r="W687" s="14" t="n"/>
      <c r="X687" s="7" t="inlineStr"/>
      <c r="Y687" s="7" t="inlineStr"/>
    </row>
    <row r="688">
      <c r="A688" s="7" t="n">
        <v>594581</v>
      </c>
      <c r="B688" s="12" t="inlineStr">
        <is>
          <t>7500435176972</t>
        </is>
      </c>
      <c r="C688" s="7" t="inlineStr">
        <is>
          <t>CD ORAL B BICARBONATO DE SODIO 70G</t>
        </is>
      </c>
      <c r="D688" s="7" t="inlineStr">
        <is>
          <t>PERF/COSME</t>
        </is>
      </c>
      <c r="E688" s="7" t="inlineStr">
        <is>
          <t>C</t>
        </is>
      </c>
      <c r="F688" s="13" t="n">
        <v>1</v>
      </c>
      <c r="G688" s="13" t="n">
        <v>1</v>
      </c>
      <c r="H688" s="8" t="n">
        <v>7.65</v>
      </c>
      <c r="I688" s="8" t="n">
        <v>7.65</v>
      </c>
      <c r="J688" s="8" t="n">
        <v>7.650000000000001</v>
      </c>
      <c r="K688" s="8" t="n"/>
      <c r="L688" s="8" t="n"/>
      <c r="M688" s="8" t="n"/>
      <c r="N688" s="8" t="n"/>
      <c r="O688" s="8" t="n"/>
      <c r="P688" s="8" t="n"/>
      <c r="Q688" s="8" t="n"/>
      <c r="R688" s="8" t="n"/>
      <c r="S688" s="8" t="n"/>
      <c r="T688" s="7" t="inlineStr">
        <is>
          <t>SEM COTAÇÃO</t>
        </is>
      </c>
      <c r="U688" s="8" t="n"/>
      <c r="V688" s="14" t="n"/>
      <c r="W688" s="14" t="n"/>
      <c r="X688" s="7" t="inlineStr"/>
      <c r="Y688" s="7" t="inlineStr"/>
    </row>
    <row r="689">
      <c r="A689" s="7" t="n">
        <v>626701</v>
      </c>
      <c r="B689" s="12" t="inlineStr">
        <is>
          <t>7500435150286</t>
        </is>
      </c>
      <c r="C689" s="7" t="inlineStr">
        <is>
          <t>CD ORAL B ESCUDO ANTIACUCAR L3P2</t>
        </is>
      </c>
      <c r="D689" s="7" t="inlineStr">
        <is>
          <t>PERF/COSME</t>
        </is>
      </c>
      <c r="E689" s="7" t="inlineStr">
        <is>
          <t>C</t>
        </is>
      </c>
      <c r="F689" s="13" t="n">
        <v>1</v>
      </c>
      <c r="G689" s="13" t="n">
        <v>1</v>
      </c>
      <c r="H689" s="8" t="n">
        <v>11.6</v>
      </c>
      <c r="I689" s="8" t="n">
        <v>11.6</v>
      </c>
      <c r="J689" s="8" t="n">
        <v>11.6</v>
      </c>
      <c r="K689" s="8" t="n"/>
      <c r="L689" s="8" t="n"/>
      <c r="M689" s="8" t="n"/>
      <c r="N689" s="8" t="n"/>
      <c r="O689" s="8" t="n"/>
      <c r="P689" s="8" t="n"/>
      <c r="Q689" s="8" t="n"/>
      <c r="R689" s="8" t="n"/>
      <c r="S689" s="8" t="n"/>
      <c r="T689" s="7" t="inlineStr">
        <is>
          <t>SEM COTAÇÃO</t>
        </is>
      </c>
      <c r="U689" s="8" t="n"/>
      <c r="V689" s="14" t="n"/>
      <c r="W689" s="14" t="n"/>
      <c r="X689" s="7" t="inlineStr"/>
      <c r="Y689" s="7" t="inlineStr"/>
    </row>
    <row r="690">
      <c r="A690" s="7" t="n">
        <v>593341</v>
      </c>
      <c r="B690" s="12" t="inlineStr">
        <is>
          <t>7500435127363</t>
        </is>
      </c>
      <c r="C690" s="7" t="inlineStr">
        <is>
          <t>CD ORAL B KIDS MICKEY 50G</t>
        </is>
      </c>
      <c r="D690" s="7" t="inlineStr">
        <is>
          <t>BABY/KIDS</t>
        </is>
      </c>
      <c r="E690" s="7" t="inlineStr">
        <is>
          <t>C</t>
        </is>
      </c>
      <c r="F690" s="13" t="n">
        <v>1</v>
      </c>
      <c r="G690" s="13" t="n">
        <v>1</v>
      </c>
      <c r="H690" s="8" t="n">
        <v>7.58</v>
      </c>
      <c r="I690" s="8" t="n">
        <v>7.58</v>
      </c>
      <c r="J690" s="8" t="n">
        <v>7.580000000000001</v>
      </c>
      <c r="K690" s="8" t="n"/>
      <c r="L690" s="8" t="n"/>
      <c r="M690" s="8" t="n"/>
      <c r="N690" s="8" t="n"/>
      <c r="O690" s="8" t="n"/>
      <c r="P690" s="8" t="n"/>
      <c r="Q690" s="8" t="n"/>
      <c r="R690" s="8" t="n"/>
      <c r="S690" s="8" t="n"/>
      <c r="T690" s="7" t="inlineStr">
        <is>
          <t>SEM COTAÇÃO</t>
        </is>
      </c>
      <c r="U690" s="8" t="n"/>
      <c r="V690" s="14" t="n"/>
      <c r="W690" s="14" t="n"/>
      <c r="X690" s="7" t="inlineStr"/>
      <c r="Y690" s="7" t="inlineStr"/>
    </row>
    <row r="691">
      <c r="A691" s="7" t="n">
        <v>593501</v>
      </c>
      <c r="B691" s="12" t="inlineStr">
        <is>
          <t>7500435145152</t>
        </is>
      </c>
      <c r="C691" s="7" t="inlineStr">
        <is>
          <t>CD ORAL B KIDS SPIDERMAN 50G</t>
        </is>
      </c>
      <c r="D691" s="7" t="inlineStr">
        <is>
          <t>PERF/COSME</t>
        </is>
      </c>
      <c r="E691" s="7" t="inlineStr">
        <is>
          <t>C</t>
        </is>
      </c>
      <c r="F691" s="13" t="n">
        <v>3</v>
      </c>
      <c r="G691" s="13" t="n">
        <v>3</v>
      </c>
      <c r="H691" s="8" t="n">
        <v>8.59</v>
      </c>
      <c r="I691" s="8" t="n">
        <v>8.529999999999999</v>
      </c>
      <c r="J691" s="8" t="n">
        <v>8.57</v>
      </c>
      <c r="K691" s="8" t="n"/>
      <c r="L691" s="8" t="n"/>
      <c r="M691" s="8" t="n"/>
      <c r="N691" s="8" t="n"/>
      <c r="O691" s="8" t="n"/>
      <c r="P691" s="8" t="n"/>
      <c r="Q691" s="8" t="n"/>
      <c r="R691" s="8" t="n"/>
      <c r="S691" s="8" t="n"/>
      <c r="T691" s="7" t="inlineStr">
        <is>
          <t>SEM COTAÇÃO</t>
        </is>
      </c>
      <c r="U691" s="8" t="n"/>
      <c r="V691" s="14" t="n"/>
      <c r="W691" s="14" t="n"/>
      <c r="X691" s="7" t="inlineStr"/>
      <c r="Y691" s="7" t="inlineStr"/>
    </row>
    <row r="692">
      <c r="A692" s="7" t="n">
        <v>2443</v>
      </c>
      <c r="B692" s="12" t="inlineStr">
        <is>
          <t>7896916782276</t>
        </is>
      </c>
      <c r="C692" s="7" t="inlineStr">
        <is>
          <t>CD OX 200ML LISOS</t>
        </is>
      </c>
      <c r="D692" s="7" t="inlineStr">
        <is>
          <t>PERF/COSME</t>
        </is>
      </c>
      <c r="E692" s="7" t="inlineStr">
        <is>
          <t>B</t>
        </is>
      </c>
      <c r="F692" s="13" t="n">
        <v>1</v>
      </c>
      <c r="G692" s="13" t="n">
        <v>1</v>
      </c>
      <c r="H692" s="8" t="n">
        <v>14.95</v>
      </c>
      <c r="I692" s="8" t="n">
        <v>14.95</v>
      </c>
      <c r="J692" s="8" t="n">
        <v>14.95</v>
      </c>
      <c r="K692" s="8" t="n"/>
      <c r="L692" s="8" t="n"/>
      <c r="M692" s="8" t="n"/>
      <c r="N692" s="8" t="n"/>
      <c r="O692" s="8" t="n"/>
      <c r="P692" s="8" t="n"/>
      <c r="Q692" s="8" t="n"/>
      <c r="R692" s="8" t="n"/>
      <c r="S692" s="8" t="n"/>
      <c r="T692" s="7" t="inlineStr">
        <is>
          <t>SEM COTAÇÃO</t>
        </is>
      </c>
      <c r="U692" s="8" t="n"/>
      <c r="V692" s="14" t="n"/>
      <c r="W692" s="14" t="n"/>
      <c r="X692" s="7" t="inlineStr"/>
      <c r="Y692" s="7" t="inlineStr"/>
    </row>
    <row r="693">
      <c r="A693" s="7" t="n">
        <v>649541</v>
      </c>
      <c r="B693" s="12" t="inlineStr">
        <is>
          <t>7897664168244</t>
        </is>
      </c>
      <c r="C693" s="7" t="inlineStr">
        <is>
          <t>CD OX 400ML NUTRE</t>
        </is>
      </c>
      <c r="D693" s="7" t="inlineStr">
        <is>
          <t>COND/SHAM/CREM/SIMILARES</t>
        </is>
      </c>
      <c r="E693" s="7" t="inlineStr">
        <is>
          <t>B</t>
        </is>
      </c>
      <c r="F693" s="13" t="n">
        <v>1</v>
      </c>
      <c r="G693" s="13" t="n">
        <v>1</v>
      </c>
      <c r="H693" s="8" t="n">
        <v>24.36</v>
      </c>
      <c r="I693" s="8" t="n">
        <v>24.35</v>
      </c>
      <c r="J693" s="8" t="n">
        <v>24.35666666666667</v>
      </c>
      <c r="K693" s="8" t="n"/>
      <c r="L693" s="8" t="n"/>
      <c r="M693" s="8" t="n"/>
      <c r="N693" s="8" t="n"/>
      <c r="O693" s="8" t="n"/>
      <c r="P693" s="8" t="n"/>
      <c r="Q693" s="8" t="n"/>
      <c r="R693" s="8" t="n"/>
      <c r="S693" s="8" t="n"/>
      <c r="T693" s="7" t="inlineStr">
        <is>
          <t>SEM COTAÇÃO</t>
        </is>
      </c>
      <c r="U693" s="8" t="n"/>
      <c r="V693" s="14" t="n"/>
      <c r="W693" s="14" t="n"/>
      <c r="X693" s="7" t="inlineStr"/>
      <c r="Y693" s="7" t="inlineStr"/>
    </row>
    <row r="694">
      <c r="A694" s="7" t="n">
        <v>611171</v>
      </c>
      <c r="B694" s="12" t="inlineStr">
        <is>
          <t>7891528038025</t>
        </is>
      </c>
      <c r="C694" s="7" t="inlineStr">
        <is>
          <t>CD SORRISO 50G DENTES BRANCOS M12</t>
        </is>
      </c>
      <c r="D694" s="7" t="inlineStr">
        <is>
          <t>PERF/COSME</t>
        </is>
      </c>
      <c r="E694" s="7" t="inlineStr">
        <is>
          <t>C</t>
        </is>
      </c>
      <c r="F694" s="13" t="n">
        <v>1</v>
      </c>
      <c r="G694" s="13" t="n">
        <v>1</v>
      </c>
      <c r="H694" s="8" t="n">
        <v>2.67</v>
      </c>
      <c r="I694" s="8" t="n">
        <v>2.67</v>
      </c>
      <c r="J694" s="8" t="n">
        <v>2.67</v>
      </c>
      <c r="K694" s="8" t="n"/>
      <c r="L694" s="8" t="n"/>
      <c r="M694" s="8" t="n"/>
      <c r="N694" s="8" t="n"/>
      <c r="O694" s="8" t="n"/>
      <c r="P694" s="8" t="n"/>
      <c r="Q694" s="8" t="n"/>
      <c r="R694" s="8" t="n"/>
      <c r="S694" s="8" t="n"/>
      <c r="T694" s="7" t="inlineStr">
        <is>
          <t>SEM COTAÇÃO</t>
        </is>
      </c>
      <c r="U694" s="8" t="n"/>
      <c r="V694" s="14" t="n"/>
      <c r="W694" s="14" t="n"/>
      <c r="X694" s="7" t="inlineStr"/>
      <c r="Y694" s="7" t="inlineStr"/>
    </row>
    <row r="695">
      <c r="A695" s="7" t="n">
        <v>612041</v>
      </c>
      <c r="B695" s="12" t="inlineStr">
        <is>
          <t>7509546675121</t>
        </is>
      </c>
      <c r="C695" s="7" t="inlineStr">
        <is>
          <t>CD SORRISO CARVAO ATIV 60G</t>
        </is>
      </c>
      <c r="D695" s="7" t="inlineStr">
        <is>
          <t>PERF/COSME</t>
        </is>
      </c>
      <c r="E695" s="7" t="inlineStr">
        <is>
          <t>C</t>
        </is>
      </c>
      <c r="F695" s="13" t="n">
        <v>3</v>
      </c>
      <c r="G695" s="13" t="n">
        <v>3</v>
      </c>
      <c r="H695" s="8" t="n">
        <v>4.74</v>
      </c>
      <c r="I695" s="8" t="n">
        <v>4.74</v>
      </c>
      <c r="J695" s="8" t="n">
        <v>4.74</v>
      </c>
      <c r="K695" s="8" t="n"/>
      <c r="L695" s="8" t="n"/>
      <c r="M695" s="8" t="n"/>
      <c r="N695" s="8" t="n"/>
      <c r="O695" s="8" t="n"/>
      <c r="P695" s="8" t="n"/>
      <c r="Q695" s="8" t="n"/>
      <c r="R695" s="8" t="n"/>
      <c r="S695" s="8" t="n"/>
      <c r="T695" s="7" t="inlineStr">
        <is>
          <t>SEM COTAÇÃO</t>
        </is>
      </c>
      <c r="U695" s="8" t="n"/>
      <c r="V695" s="14" t="n"/>
      <c r="W695" s="14" t="n"/>
      <c r="X695" s="7" t="inlineStr"/>
      <c r="Y695" s="7" t="inlineStr"/>
    </row>
    <row r="696">
      <c r="A696" s="7" t="n">
        <v>653981</v>
      </c>
      <c r="B696" s="12" t="inlineStr">
        <is>
          <t>7500435231510</t>
        </is>
      </c>
      <c r="C696" s="7" t="inlineStr">
        <is>
          <t>CEBION EFV 1G C/10 COMP-DEMAIS PROD</t>
        </is>
      </c>
      <c r="D696" s="7" t="inlineStr">
        <is>
          <t>RX - OTC</t>
        </is>
      </c>
      <c r="E696" s="7" t="inlineStr">
        <is>
          <t>C</t>
        </is>
      </c>
      <c r="F696" s="13" t="n">
        <v>1</v>
      </c>
      <c r="G696" s="13" t="n">
        <v>1</v>
      </c>
      <c r="H696" s="8" t="n">
        <v>14.32</v>
      </c>
      <c r="I696" s="8" t="n">
        <v>10.775</v>
      </c>
      <c r="J696" s="8" t="n">
        <v>13.13833333333333</v>
      </c>
      <c r="K696" s="8" t="n"/>
      <c r="L696" s="8" t="n"/>
      <c r="M696" s="15" t="n">
        <v>12.03</v>
      </c>
      <c r="N696" s="8" t="n"/>
      <c r="O696" s="8" t="n"/>
      <c r="P696" s="8" t="n">
        <v>14.82</v>
      </c>
      <c r="Q696" s="8" t="n"/>
      <c r="R696" s="8" t="n"/>
      <c r="S696" s="8" t="n"/>
      <c r="T696" s="7" t="inlineStr">
        <is>
          <t>EPAN</t>
        </is>
      </c>
      <c r="U696" s="8" t="n">
        <v>12.03</v>
      </c>
      <c r="V696" s="14">
        <f>U696/J696-1</f>
        <v/>
      </c>
      <c r="W696" s="14">
        <f>U696/H696-1</f>
        <v/>
      </c>
      <c r="X696" s="17" t="inlineStr">
        <is>
          <t>OK (≤ últ. compra)</t>
        </is>
      </c>
      <c r="Y696" s="7" t="inlineStr"/>
    </row>
    <row r="697">
      <c r="A697" s="7" t="n">
        <v>13203</v>
      </c>
      <c r="B697" s="12" t="inlineStr">
        <is>
          <t>7892840825126</t>
        </is>
      </c>
      <c r="C697" s="7" t="inlineStr">
        <is>
          <t>CEBOLITOS 35GR UN 1X35GR QTD. 10.00 UN</t>
        </is>
      </c>
      <c r="D697" s="7" t="inlineStr">
        <is>
          <t>CONVENIENCIA</t>
        </is>
      </c>
      <c r="E697" s="7" t="inlineStr">
        <is>
          <t>B</t>
        </is>
      </c>
      <c r="F697" s="13" t="n">
        <v>14</v>
      </c>
      <c r="G697" s="13" t="n">
        <v>14</v>
      </c>
      <c r="H697" s="8" t="n">
        <v>4.08</v>
      </c>
      <c r="I697" s="8" t="n">
        <v>4.08</v>
      </c>
      <c r="J697" s="8" t="n">
        <v>4.08</v>
      </c>
      <c r="K697" s="8" t="n"/>
      <c r="L697" s="8" t="n"/>
      <c r="M697" s="8" t="n"/>
      <c r="N697" s="8" t="n"/>
      <c r="O697" s="8" t="n"/>
      <c r="P697" s="8" t="n"/>
      <c r="Q697" s="8" t="n"/>
      <c r="R697" s="8" t="n"/>
      <c r="S697" s="8" t="n"/>
      <c r="T697" s="7" t="inlineStr">
        <is>
          <t>SEM COTAÇÃO</t>
        </is>
      </c>
      <c r="U697" s="8" t="n"/>
      <c r="V697" s="14" t="n"/>
      <c r="W697" s="14" t="n"/>
      <c r="X697" s="7" t="inlineStr"/>
      <c r="Y697" s="7" t="inlineStr"/>
    </row>
    <row r="698">
      <c r="A698" s="7" t="n">
        <v>86481</v>
      </c>
      <c r="B698" s="12" t="inlineStr">
        <is>
          <t>7896004718309</t>
        </is>
      </c>
      <c r="C698" s="7" t="inlineStr">
        <is>
          <t>CEDROXIL 500MG CX 8 CAP</t>
        </is>
      </c>
      <c r="D698" s="7" t="inlineStr">
        <is>
          <t>SIMILAR - ATB</t>
        </is>
      </c>
      <c r="E698" s="7" t="inlineStr">
        <is>
          <t>A</t>
        </is>
      </c>
      <c r="F698" s="13" t="n">
        <v>1</v>
      </c>
      <c r="G698" s="13" t="n">
        <v>1</v>
      </c>
      <c r="H698" s="8" t="n">
        <v>9.4</v>
      </c>
      <c r="I698" s="8" t="n">
        <v>9.35</v>
      </c>
      <c r="J698" s="8" t="n">
        <v>9.35</v>
      </c>
      <c r="K698" s="15" t="n">
        <v>9.789999999999999</v>
      </c>
      <c r="L698" s="8" t="n"/>
      <c r="M698" s="8" t="n"/>
      <c r="N698" s="8" t="n">
        <v>9.890000000000001</v>
      </c>
      <c r="O698" s="8" t="n"/>
      <c r="P698" s="8" t="n">
        <v>56.47</v>
      </c>
      <c r="Q698" s="8" t="n">
        <v>10.1</v>
      </c>
      <c r="R698" s="8" t="n">
        <v>9.82</v>
      </c>
      <c r="S698" s="8" t="n"/>
      <c r="T698" s="7" t="inlineStr">
        <is>
          <t>DIMEC</t>
        </is>
      </c>
      <c r="U698" s="8" t="n">
        <v>9.789999999999999</v>
      </c>
      <c r="V698" s="14">
        <f>U698/J698-1</f>
        <v/>
      </c>
      <c r="W698" s="14">
        <f>U698/H698-1</f>
        <v/>
      </c>
      <c r="X698" s="16" t="inlineStr">
        <is>
          <t>ACIMA +4.1%</t>
        </is>
      </c>
      <c r="Y698" s="7" t="inlineStr">
        <is>
          <t>NAZARIA: conferir emb.</t>
        </is>
      </c>
    </row>
    <row r="699">
      <c r="A699" s="7" t="n">
        <v>565021</v>
      </c>
      <c r="B699" s="12" t="inlineStr"/>
      <c r="C699" s="7" t="inlineStr">
        <is>
          <t>CENEVIT 1G 10CP EFERV LARANJA ZERO AC.</t>
        </is>
      </c>
      <c r="D699" s="7" t="inlineStr">
        <is>
          <t>SIMILAR</t>
        </is>
      </c>
      <c r="E699" s="7" t="inlineStr">
        <is>
          <t>B</t>
        </is>
      </c>
      <c r="F699" s="13" t="n">
        <v>9</v>
      </c>
      <c r="G699" s="13" t="n">
        <v>9</v>
      </c>
      <c r="H699" s="8" t="n">
        <v>1.484</v>
      </c>
      <c r="I699" s="8" t="n">
        <v>1.484</v>
      </c>
      <c r="J699" s="8" t="n">
        <v>1.484</v>
      </c>
      <c r="K699" s="8" t="n"/>
      <c r="L699" s="8" t="n"/>
      <c r="M699" s="8" t="n"/>
      <c r="N699" s="8" t="n"/>
      <c r="O699" s="8" t="n"/>
      <c r="P699" s="8" t="n"/>
      <c r="Q699" s="8" t="n"/>
      <c r="R699" s="8" t="n"/>
      <c r="S699" s="8" t="n"/>
      <c r="T699" s="7" t="inlineStr">
        <is>
          <t>SEM COTAÇÃO</t>
        </is>
      </c>
      <c r="U699" s="8" t="n"/>
      <c r="V699" s="14" t="n"/>
      <c r="W699" s="14" t="n"/>
      <c r="X699" s="7" t="inlineStr"/>
      <c r="Y699" s="7" t="inlineStr"/>
    </row>
    <row r="700">
      <c r="A700" s="7" t="n">
        <v>567441</v>
      </c>
      <c r="B700" s="12" t="inlineStr">
        <is>
          <t>7896004774237</t>
        </is>
      </c>
      <c r="C700" s="7" t="inlineStr">
        <is>
          <t>CENEVIT ZINCO 10CP EFERV LARANJA (ACIDO</t>
        </is>
      </c>
      <c r="D700" s="7" t="inlineStr">
        <is>
          <t>VITAMINA E SIMILARES</t>
        </is>
      </c>
      <c r="E700" s="7" t="inlineStr">
        <is>
          <t>B</t>
        </is>
      </c>
      <c r="F700" s="13" t="n">
        <v>9</v>
      </c>
      <c r="G700" s="13" t="n">
        <v>9</v>
      </c>
      <c r="H700" s="8" t="n">
        <v>2.002</v>
      </c>
      <c r="I700" s="8" t="n">
        <v>2.002</v>
      </c>
      <c r="J700" s="8" t="n">
        <v>2.002</v>
      </c>
      <c r="K700" s="8" t="n"/>
      <c r="L700" s="8" t="n"/>
      <c r="M700" s="8" t="n"/>
      <c r="N700" s="8" t="n"/>
      <c r="O700" s="15" t="n">
        <v>5.12</v>
      </c>
      <c r="P700" s="8" t="n">
        <v>6.35</v>
      </c>
      <c r="Q700" s="8" t="n">
        <v>5.83</v>
      </c>
      <c r="R700" s="8" t="n">
        <v>6.42</v>
      </c>
      <c r="S700" s="8" t="n"/>
      <c r="T700" s="7" t="inlineStr">
        <is>
          <t>TAPAJOS</t>
        </is>
      </c>
      <c r="U700" s="8" t="n">
        <v>5.12</v>
      </c>
      <c r="V700" s="14">
        <f>U700/J700-1</f>
        <v/>
      </c>
      <c r="W700" s="14">
        <f>U700/H700-1</f>
        <v/>
      </c>
      <c r="X700" s="16" t="inlineStr">
        <is>
          <t>ACIMA +155.7%</t>
        </is>
      </c>
      <c r="Y700" s="7" t="inlineStr">
        <is>
          <t>TAPAJOS: conferir emb.; NAZARIA: sem estoque; conferir emb.; MEDCENTRO: conferir emb.; BRASFARMA: conferir emb.</t>
        </is>
      </c>
    </row>
    <row r="701">
      <c r="A701" s="7" t="n">
        <v>629481</v>
      </c>
      <c r="B701" s="12" t="inlineStr">
        <is>
          <t>7898920633353</t>
        </is>
      </c>
      <c r="C701" s="7" t="inlineStr">
        <is>
          <t>CENTRIX GEST 60 CPR (VITAMINAS+MINERAIS)</t>
        </is>
      </c>
      <c r="D701" s="7" t="inlineStr">
        <is>
          <t>VITAMINA E SIMILARES</t>
        </is>
      </c>
      <c r="E701" s="7" t="inlineStr">
        <is>
          <t>C</t>
        </is>
      </c>
      <c r="F701" s="13" t="n">
        <v>1</v>
      </c>
      <c r="G701" s="13" t="n">
        <v>1</v>
      </c>
      <c r="H701" s="8" t="n">
        <v>19.87</v>
      </c>
      <c r="I701" s="8" t="n">
        <v>19.87</v>
      </c>
      <c r="J701" s="8" t="n">
        <v>19.87</v>
      </c>
      <c r="K701" s="8" t="n"/>
      <c r="L701" s="8" t="n"/>
      <c r="M701" s="8" t="n"/>
      <c r="N701" s="8" t="n"/>
      <c r="O701" s="8" t="n"/>
      <c r="P701" s="8" t="n"/>
      <c r="Q701" s="8" t="n"/>
      <c r="R701" s="8" t="n"/>
      <c r="S701" s="8" t="n"/>
      <c r="T701" s="7" t="inlineStr">
        <is>
          <t>SEM COTAÇÃO</t>
        </is>
      </c>
      <c r="U701" s="8" t="n"/>
      <c r="V701" s="14" t="n"/>
      <c r="W701" s="14" t="n"/>
      <c r="X701" s="7" t="inlineStr"/>
      <c r="Y701" s="7" t="inlineStr"/>
    </row>
    <row r="702">
      <c r="A702" s="7" t="n">
        <v>629511</v>
      </c>
      <c r="B702" s="12" t="inlineStr">
        <is>
          <t>7898920630406</t>
        </is>
      </c>
      <c r="C702" s="7" t="inlineStr">
        <is>
          <t>CENTRIX ZINCO 29,59MG 60 CPR</t>
        </is>
      </c>
      <c r="D702" s="7" t="inlineStr">
        <is>
          <t>DESATIVADO</t>
        </is>
      </c>
      <c r="E702" s="7" t="inlineStr">
        <is>
          <t>C</t>
        </is>
      </c>
      <c r="F702" s="13" t="n">
        <v>1</v>
      </c>
      <c r="G702" s="13" t="n">
        <v>1</v>
      </c>
      <c r="H702" s="8" t="n">
        <v>16.9</v>
      </c>
      <c r="I702" s="8" t="n">
        <v>16.9</v>
      </c>
      <c r="J702" s="8" t="n">
        <v>16.9</v>
      </c>
      <c r="K702" s="8" t="n"/>
      <c r="L702" s="8" t="n"/>
      <c r="M702" s="8" t="n"/>
      <c r="N702" s="8" t="n"/>
      <c r="O702" s="8" t="n"/>
      <c r="P702" s="8" t="n"/>
      <c r="Q702" s="15" t="n">
        <v>15.48</v>
      </c>
      <c r="R702" s="8" t="n"/>
      <c r="S702" s="8" t="n"/>
      <c r="T702" s="7" t="inlineStr">
        <is>
          <t>MEDCENTRO</t>
        </is>
      </c>
      <c r="U702" s="8" t="n">
        <v>15.48</v>
      </c>
      <c r="V702" s="14">
        <f>U702/J702-1</f>
        <v/>
      </c>
      <c r="W702" s="14">
        <f>U702/H702-1</f>
        <v/>
      </c>
      <c r="X702" s="17" t="inlineStr">
        <is>
          <t>OK (≤ menor hist.)</t>
        </is>
      </c>
      <c r="Y702" s="7" t="inlineStr"/>
    </row>
    <row r="703">
      <c r="A703" s="7" t="n">
        <v>664091</v>
      </c>
      <c r="B703" s="12" t="inlineStr">
        <is>
          <t>7894913002083</t>
        </is>
      </c>
      <c r="C703" s="7" t="inlineStr">
        <is>
          <t>CENTROLIV HOMEM + 50 C/30 CPR</t>
        </is>
      </c>
      <c r="D703" s="7" t="inlineStr">
        <is>
          <t>VITAMINA E SIMILARES</t>
        </is>
      </c>
      <c r="E703" s="7" t="inlineStr">
        <is>
          <t>C</t>
        </is>
      </c>
      <c r="F703" s="13" t="n">
        <v>1</v>
      </c>
      <c r="G703" s="13" t="n">
        <v>1</v>
      </c>
      <c r="H703" s="8" t="n">
        <v>41.76</v>
      </c>
      <c r="I703" s="8" t="n">
        <v>41.76</v>
      </c>
      <c r="J703" s="8" t="n">
        <v>41.76</v>
      </c>
      <c r="K703" s="8" t="n"/>
      <c r="L703" s="8" t="n"/>
      <c r="M703" s="8" t="n"/>
      <c r="N703" s="15" t="n">
        <v>36.84</v>
      </c>
      <c r="O703" s="8" t="n"/>
      <c r="P703" s="8" t="n"/>
      <c r="Q703" s="8" t="n"/>
      <c r="R703" s="8" t="n"/>
      <c r="S703" s="8" t="n"/>
      <c r="T703" s="7" t="inlineStr">
        <is>
          <t>CENTROFARMA</t>
        </is>
      </c>
      <c r="U703" s="8" t="n">
        <v>36.84</v>
      </c>
      <c r="V703" s="14">
        <f>U703/J703-1</f>
        <v/>
      </c>
      <c r="W703" s="14">
        <f>U703/H703-1</f>
        <v/>
      </c>
      <c r="X703" s="17" t="inlineStr">
        <is>
          <t>OK (≤ menor hist.)</t>
        </is>
      </c>
      <c r="Y703" s="7" t="inlineStr"/>
    </row>
    <row r="704">
      <c r="A704" s="7" t="n">
        <v>664141</v>
      </c>
      <c r="B704" s="12" t="inlineStr">
        <is>
          <t>7894913002069</t>
        </is>
      </c>
      <c r="C704" s="7" t="inlineStr">
        <is>
          <t>CENTROLIV HOMEM C/30 CPR</t>
        </is>
      </c>
      <c r="D704" s="7" t="inlineStr">
        <is>
          <t>VITAMINA E SIMILARES</t>
        </is>
      </c>
      <c r="E704" s="7" t="inlineStr">
        <is>
          <t>C</t>
        </is>
      </c>
      <c r="F704" s="13" t="n">
        <v>1</v>
      </c>
      <c r="G704" s="13" t="n">
        <v>1</v>
      </c>
      <c r="H704" s="8" t="n">
        <v>24.35</v>
      </c>
      <c r="I704" s="8" t="n">
        <v>24.35</v>
      </c>
      <c r="J704" s="8" t="n">
        <v>24.35</v>
      </c>
      <c r="K704" s="8" t="n"/>
      <c r="L704" s="8" t="n"/>
      <c r="M704" s="8" t="n"/>
      <c r="N704" s="15" t="n">
        <v>27.11</v>
      </c>
      <c r="O704" s="8" t="n"/>
      <c r="P704" s="8" t="n"/>
      <c r="Q704" s="8" t="n"/>
      <c r="R704" s="8" t="n"/>
      <c r="S704" s="8" t="n"/>
      <c r="T704" s="7" t="inlineStr">
        <is>
          <t>CENTROFARMA</t>
        </is>
      </c>
      <c r="U704" s="8" t="n">
        <v>27.11</v>
      </c>
      <c r="V704" s="14">
        <f>U704/J704-1</f>
        <v/>
      </c>
      <c r="W704" s="14">
        <f>U704/H704-1</f>
        <v/>
      </c>
      <c r="X704" s="16" t="inlineStr">
        <is>
          <t>ACIMA +11.3%</t>
        </is>
      </c>
      <c r="Y704" s="7" t="inlineStr"/>
    </row>
    <row r="705">
      <c r="A705" s="7" t="n">
        <v>630661</v>
      </c>
      <c r="B705" s="12" t="inlineStr">
        <is>
          <t>7896920304556</t>
        </is>
      </c>
      <c r="C705" s="7" t="inlineStr">
        <is>
          <t>CENTROMAX A Z 60 CAPS</t>
        </is>
      </c>
      <c r="D705" s="7" t="inlineStr">
        <is>
          <t>VITAMINA E SIMILARES</t>
        </is>
      </c>
      <c r="E705" s="7" t="inlineStr">
        <is>
          <t>C</t>
        </is>
      </c>
      <c r="F705" s="13" t="n">
        <v>1</v>
      </c>
      <c r="G705" s="13" t="n">
        <v>1</v>
      </c>
      <c r="H705" s="8" t="n">
        <v>26.85</v>
      </c>
      <c r="I705" s="8" t="n">
        <v>26.85</v>
      </c>
      <c r="J705" s="8" t="n">
        <v>26.85</v>
      </c>
      <c r="K705" s="15" t="n">
        <v>28.48981</v>
      </c>
      <c r="L705" s="8" t="n"/>
      <c r="M705" s="8" t="n"/>
      <c r="N705" s="8" t="n"/>
      <c r="O705" s="8" t="n"/>
      <c r="P705" s="8" t="n"/>
      <c r="Q705" s="8" t="n"/>
      <c r="R705" s="8" t="n"/>
      <c r="S705" s="8" t="n"/>
      <c r="T705" s="7" t="inlineStr">
        <is>
          <t>DIMEC</t>
        </is>
      </c>
      <c r="U705" s="8" t="n">
        <v>28.48981</v>
      </c>
      <c r="V705" s="14">
        <f>U705/J705-1</f>
        <v/>
      </c>
      <c r="W705" s="14">
        <f>U705/H705-1</f>
        <v/>
      </c>
      <c r="X705" s="16" t="inlineStr">
        <is>
          <t>ACIMA +6.1%</t>
        </is>
      </c>
      <c r="Y705" s="7" t="inlineStr"/>
    </row>
    <row r="706">
      <c r="A706" s="7" t="n">
        <v>562141</v>
      </c>
      <c r="B706" s="12" t="inlineStr">
        <is>
          <t>7898522372001</t>
        </is>
      </c>
      <c r="C706" s="7" t="inlineStr">
        <is>
          <t>CERA DEPILATORIA DEPILFLAX 100 NATURAL 250G</t>
        </is>
      </c>
      <c r="D706" s="7" t="inlineStr">
        <is>
          <t>PERF/COSME</t>
        </is>
      </c>
      <c r="E706" s="7" t="inlineStr">
        <is>
          <t>C</t>
        </is>
      </c>
      <c r="F706" s="13" t="n">
        <v>1</v>
      </c>
      <c r="G706" s="13" t="n">
        <v>1</v>
      </c>
      <c r="H706" s="8" t="n"/>
      <c r="I706" s="8" t="n"/>
      <c r="J706" s="8" t="n"/>
      <c r="K706" s="8" t="n"/>
      <c r="L706" s="8" t="n"/>
      <c r="M706" s="8" t="n"/>
      <c r="N706" s="8" t="n"/>
      <c r="O706" s="8" t="n"/>
      <c r="P706" s="8" t="n"/>
      <c r="Q706" s="8" t="n"/>
      <c r="R706" s="8" t="n"/>
      <c r="S706" s="8" t="n"/>
      <c r="T706" s="7" t="inlineStr">
        <is>
          <t>SEM COTAÇÃO</t>
        </is>
      </c>
      <c r="U706" s="8" t="n"/>
      <c r="V706" s="14" t="n"/>
      <c r="W706" s="14" t="n"/>
      <c r="X706" s="7" t="inlineStr"/>
      <c r="Y706" s="7" t="inlineStr"/>
    </row>
    <row r="707">
      <c r="A707" s="7" t="n">
        <v>599521</v>
      </c>
      <c r="B707" s="12" t="inlineStr">
        <is>
          <t>7898522372100</t>
        </is>
      </c>
      <c r="C707" s="7" t="inlineStr">
        <is>
          <t>CERA DEPILATORIA EM TABLETES  ROSAS 250G</t>
        </is>
      </c>
      <c r="D707" s="7" t="inlineStr">
        <is>
          <t>PERF/COSME</t>
        </is>
      </c>
      <c r="E707" s="7" t="inlineStr">
        <is>
          <t>C</t>
        </is>
      </c>
      <c r="F707" s="13" t="n">
        <v>1</v>
      </c>
      <c r="G707" s="13" t="n">
        <v>1</v>
      </c>
      <c r="H707" s="8" t="n"/>
      <c r="I707" s="8" t="n"/>
      <c r="J707" s="8" t="n"/>
      <c r="K707" s="8" t="n"/>
      <c r="L707" s="8" t="n"/>
      <c r="M707" s="8" t="n"/>
      <c r="N707" s="8" t="n"/>
      <c r="O707" s="8" t="n"/>
      <c r="P707" s="8" t="n"/>
      <c r="Q707" s="8" t="n"/>
      <c r="R707" s="8" t="n"/>
      <c r="S707" s="8" t="n"/>
      <c r="T707" s="7" t="inlineStr">
        <is>
          <t>SEM COTAÇÃO</t>
        </is>
      </c>
      <c r="U707" s="8" t="n"/>
      <c r="V707" s="14" t="n"/>
      <c r="W707" s="14" t="n"/>
      <c r="X707" s="7" t="inlineStr"/>
      <c r="Y707" s="7" t="inlineStr"/>
    </row>
    <row r="708">
      <c r="A708" s="7" t="n">
        <v>599451</v>
      </c>
      <c r="B708" s="12" t="inlineStr">
        <is>
          <t>7898522372124</t>
        </is>
      </c>
      <c r="C708" s="7" t="inlineStr">
        <is>
          <t>CERA DEPILATORIA EM TABLETES DEPILFLAX 500G</t>
        </is>
      </c>
      <c r="D708" s="7" t="inlineStr">
        <is>
          <t>PERF/COSME</t>
        </is>
      </c>
      <c r="E708" s="7" t="inlineStr">
        <is>
          <t>C</t>
        </is>
      </c>
      <c r="F708" s="13" t="n">
        <v>1</v>
      </c>
      <c r="G708" s="13" t="n">
        <v>1</v>
      </c>
      <c r="H708" s="8" t="n"/>
      <c r="I708" s="8" t="n"/>
      <c r="J708" s="8" t="n"/>
      <c r="K708" s="8" t="n"/>
      <c r="L708" s="8" t="n"/>
      <c r="M708" s="8" t="n"/>
      <c r="N708" s="8" t="n"/>
      <c r="O708" s="8" t="n"/>
      <c r="P708" s="8" t="n"/>
      <c r="Q708" s="8" t="n"/>
      <c r="R708" s="8" t="n"/>
      <c r="S708" s="8" t="n"/>
      <c r="T708" s="7" t="inlineStr">
        <is>
          <t>SEM COTAÇÃO</t>
        </is>
      </c>
      <c r="U708" s="8" t="n"/>
      <c r="V708" s="14" t="n"/>
      <c r="W708" s="14" t="n"/>
      <c r="X708" s="7" t="inlineStr"/>
      <c r="Y708" s="7" t="inlineStr"/>
    </row>
    <row r="709">
      <c r="A709" s="7" t="n">
        <v>599531</v>
      </c>
      <c r="B709" s="12" t="inlineStr">
        <is>
          <t>7898522372025</t>
        </is>
      </c>
      <c r="C709" s="7" t="inlineStr">
        <is>
          <t>CERA DEPILATORIA EM TABLETES NEGRA 250G</t>
        </is>
      </c>
      <c r="D709" s="7" t="inlineStr">
        <is>
          <t>PERF/COSME</t>
        </is>
      </c>
      <c r="E709" s="7" t="inlineStr">
        <is>
          <t>C</t>
        </is>
      </c>
      <c r="F709" s="13" t="n">
        <v>1</v>
      </c>
      <c r="G709" s="13" t="n">
        <v>1</v>
      </c>
      <c r="H709" s="8" t="n"/>
      <c r="I709" s="8" t="n"/>
      <c r="J709" s="8" t="n"/>
      <c r="K709" s="8" t="n"/>
      <c r="L709" s="8" t="n"/>
      <c r="M709" s="8" t="n"/>
      <c r="N709" s="8" t="n"/>
      <c r="O709" s="8" t="n"/>
      <c r="P709" s="8" t="n"/>
      <c r="Q709" s="8" t="n"/>
      <c r="R709" s="8" t="n"/>
      <c r="S709" s="8" t="n"/>
      <c r="T709" s="7" t="inlineStr">
        <is>
          <t>SEM COTAÇÃO</t>
        </is>
      </c>
      <c r="U709" s="8" t="n"/>
      <c r="V709" s="14" t="n"/>
      <c r="W709" s="14" t="n"/>
      <c r="X709" s="7" t="inlineStr"/>
      <c r="Y709" s="7" t="inlineStr"/>
    </row>
    <row r="710">
      <c r="A710" s="7" t="n">
        <v>599511</v>
      </c>
      <c r="B710" s="12" t="inlineStr">
        <is>
          <t>7898522372179</t>
        </is>
      </c>
      <c r="C710" s="7" t="inlineStr">
        <is>
          <t>CERA DEPILATORIA MICRO-ONDAS NATURAL 100G</t>
        </is>
      </c>
      <c r="D710" s="7" t="inlineStr">
        <is>
          <t>PERF/COSME</t>
        </is>
      </c>
      <c r="E710" s="7" t="inlineStr">
        <is>
          <t>C</t>
        </is>
      </c>
      <c r="F710" s="13" t="n">
        <v>1</v>
      </c>
      <c r="G710" s="13" t="n">
        <v>1</v>
      </c>
      <c r="H710" s="8" t="n"/>
      <c r="I710" s="8" t="n"/>
      <c r="J710" s="8" t="n"/>
      <c r="K710" s="8" t="n"/>
      <c r="L710" s="8" t="n"/>
      <c r="M710" s="8" t="n"/>
      <c r="N710" s="8" t="n"/>
      <c r="O710" s="8" t="n"/>
      <c r="P710" s="8" t="n"/>
      <c r="Q710" s="8" t="n"/>
      <c r="R710" s="8" t="n"/>
      <c r="S710" s="8" t="n"/>
      <c r="T710" s="7" t="inlineStr">
        <is>
          <t>SEM COTAÇÃO</t>
        </is>
      </c>
      <c r="U710" s="8" t="n"/>
      <c r="V710" s="14" t="n"/>
      <c r="W710" s="14" t="n"/>
      <c r="X710" s="7" t="inlineStr"/>
      <c r="Y710" s="7" t="inlineStr"/>
    </row>
    <row r="711">
      <c r="A711" s="7" t="n">
        <v>599491</v>
      </c>
      <c r="B711" s="12" t="inlineStr">
        <is>
          <t>7898522372186</t>
        </is>
      </c>
      <c r="C711" s="7" t="inlineStr">
        <is>
          <t>CERA DEPILATORIA MICRO-ONDAS ROSAS 100G</t>
        </is>
      </c>
      <c r="D711" s="7" t="inlineStr">
        <is>
          <t>PERF/COSME</t>
        </is>
      </c>
      <c r="E711" s="7" t="inlineStr">
        <is>
          <t>C</t>
        </is>
      </c>
      <c r="F711" s="13" t="n">
        <v>1</v>
      </c>
      <c r="G711" s="13" t="n">
        <v>1</v>
      </c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  <c r="Q711" s="8" t="n"/>
      <c r="R711" s="8" t="n"/>
      <c r="S711" s="8" t="n"/>
      <c r="T711" s="7" t="inlineStr">
        <is>
          <t>SEM COTAÇÃO</t>
        </is>
      </c>
      <c r="U711" s="8" t="n"/>
      <c r="V711" s="14" t="n"/>
      <c r="W711" s="14" t="n"/>
      <c r="X711" s="7" t="inlineStr"/>
      <c r="Y711" s="7" t="inlineStr"/>
    </row>
    <row r="712">
      <c r="A712" s="7" t="n">
        <v>595011</v>
      </c>
      <c r="B712" s="12" t="inlineStr">
        <is>
          <t>7898212281736</t>
        </is>
      </c>
      <c r="C712" s="7" t="inlineStr">
        <is>
          <t>CERA DEPILATÓRIA DEPIL BELL HOMEM 100G</t>
        </is>
      </c>
      <c r="D712" s="7" t="inlineStr">
        <is>
          <t>PERF/COSME</t>
        </is>
      </c>
      <c r="E712" s="7" t="inlineStr">
        <is>
          <t>C</t>
        </is>
      </c>
      <c r="F712" s="13" t="n">
        <v>1</v>
      </c>
      <c r="G712" s="13" t="n">
        <v>1</v>
      </c>
      <c r="H712" s="8" t="n">
        <v>4.45</v>
      </c>
      <c r="I712" s="8" t="n">
        <v>4.45</v>
      </c>
      <c r="J712" s="8" t="n">
        <v>4.45</v>
      </c>
      <c r="K712" s="8" t="n"/>
      <c r="L712" s="8" t="n"/>
      <c r="M712" s="8" t="n"/>
      <c r="N712" s="8" t="n"/>
      <c r="O712" s="8" t="n"/>
      <c r="P712" s="8" t="n"/>
      <c r="Q712" s="8" t="n"/>
      <c r="R712" s="8" t="n"/>
      <c r="S712" s="8" t="n"/>
      <c r="T712" s="7" t="inlineStr">
        <is>
          <t>SEM COTAÇÃO</t>
        </is>
      </c>
      <c r="U712" s="8" t="n"/>
      <c r="V712" s="14" t="n"/>
      <c r="W712" s="14" t="n"/>
      <c r="X712" s="7" t="inlineStr"/>
      <c r="Y712" s="7" t="inlineStr"/>
    </row>
    <row r="713">
      <c r="A713" s="7" t="n">
        <v>595001</v>
      </c>
      <c r="B713" s="12" t="inlineStr">
        <is>
          <t>7794728001915</t>
        </is>
      </c>
      <c r="C713" s="7" t="inlineStr">
        <is>
          <t>CERA DEPILATÓRIA DEPIL MEL CLASSICA 100G</t>
        </is>
      </c>
      <c r="D713" s="7" t="inlineStr">
        <is>
          <t>PERF/COSME</t>
        </is>
      </c>
      <c r="E713" s="7" t="inlineStr">
        <is>
          <t>C</t>
        </is>
      </c>
      <c r="F713" s="13" t="n">
        <v>1</v>
      </c>
      <c r="G713" s="13" t="n">
        <v>1</v>
      </c>
      <c r="H713" s="8" t="n">
        <v>7.05</v>
      </c>
      <c r="I713" s="8" t="n">
        <v>7.05</v>
      </c>
      <c r="J713" s="8" t="n">
        <v>7.05</v>
      </c>
      <c r="K713" s="8" t="n"/>
      <c r="L713" s="8" t="n"/>
      <c r="M713" s="8" t="n"/>
      <c r="N713" s="8" t="n"/>
      <c r="O713" s="8" t="n"/>
      <c r="P713" s="8" t="n"/>
      <c r="Q713" s="8" t="n"/>
      <c r="R713" s="8" t="n"/>
      <c r="S713" s="8" t="n"/>
      <c r="T713" s="7" t="inlineStr">
        <is>
          <t>SEM COTAÇÃO</t>
        </is>
      </c>
      <c r="U713" s="8" t="n"/>
      <c r="V713" s="14" t="n"/>
      <c r="W713" s="14" t="n"/>
      <c r="X713" s="7" t="inlineStr"/>
      <c r="Y713" s="7" t="inlineStr"/>
    </row>
    <row r="714">
      <c r="A714" s="7" t="n">
        <v>637421</v>
      </c>
      <c r="B714" s="12" t="inlineStr">
        <is>
          <t>7794728001472</t>
        </is>
      </c>
      <c r="C714" s="7" t="inlineStr">
        <is>
          <t>CERA DEPIMIEL 200G P/MICROONDAS VEGETAL</t>
        </is>
      </c>
      <c r="D714" s="7" t="inlineStr">
        <is>
          <t>PERF/COSME</t>
        </is>
      </c>
      <c r="E714" s="7" t="inlineStr">
        <is>
          <t>C</t>
        </is>
      </c>
      <c r="F714" s="13" t="n">
        <v>1</v>
      </c>
      <c r="G714" s="13" t="n">
        <v>1</v>
      </c>
      <c r="H714" s="8" t="n">
        <v>18.22</v>
      </c>
      <c r="I714" s="8" t="n">
        <v>18.22</v>
      </c>
      <c r="J714" s="8" t="n">
        <v>18.22</v>
      </c>
      <c r="K714" s="8" t="n"/>
      <c r="L714" s="8" t="n"/>
      <c r="M714" s="8" t="n"/>
      <c r="N714" s="8" t="n"/>
      <c r="O714" s="8" t="n"/>
      <c r="P714" s="8" t="n"/>
      <c r="Q714" s="8" t="n"/>
      <c r="R714" s="8" t="n"/>
      <c r="S714" s="8" t="n"/>
      <c r="T714" s="7" t="inlineStr">
        <is>
          <t>SEM COTAÇÃO</t>
        </is>
      </c>
      <c r="U714" s="8" t="n"/>
      <c r="V714" s="14" t="n"/>
      <c r="W714" s="14" t="n"/>
      <c r="X714" s="7" t="inlineStr"/>
      <c r="Y714" s="7" t="inlineStr"/>
    </row>
    <row r="715">
      <c r="A715" s="7" t="n">
        <v>626121</v>
      </c>
      <c r="B715" s="12" t="inlineStr">
        <is>
          <t>070942507240</t>
        </is>
      </c>
      <c r="C715" s="7" t="inlineStr">
        <is>
          <t>CERA GUM ORTODONTICA MENTA</t>
        </is>
      </c>
      <c r="D715" s="7" t="inlineStr">
        <is>
          <t>ORTODONTICO</t>
        </is>
      </c>
      <c r="E715" s="7" t="inlineStr">
        <is>
          <t>C</t>
        </is>
      </c>
      <c r="F715" s="13" t="n">
        <v>1</v>
      </c>
      <c r="G715" s="13" t="n">
        <v>1</v>
      </c>
      <c r="H715" s="8" t="n">
        <v>10.94</v>
      </c>
      <c r="I715" s="8" t="n">
        <v>10.94</v>
      </c>
      <c r="J715" s="8" t="n">
        <v>10.94</v>
      </c>
      <c r="K715" s="8" t="n"/>
      <c r="L715" s="8" t="n"/>
      <c r="M715" s="8" t="n"/>
      <c r="N715" s="8" t="n"/>
      <c r="O715" s="8" t="n"/>
      <c r="P715" s="8" t="n">
        <v>11.1264</v>
      </c>
      <c r="Q715" s="8" t="n"/>
      <c r="R715" s="8" t="n"/>
      <c r="S715" s="8" t="n"/>
      <c r="T715" s="7" t="inlineStr">
        <is>
          <t>SEM COTAÇÃO</t>
        </is>
      </c>
      <c r="U715" s="8" t="n"/>
      <c r="V715" s="14" t="n"/>
      <c r="W715" s="14" t="n"/>
      <c r="X715" s="7" t="inlineStr"/>
      <c r="Y715" s="7" t="inlineStr">
        <is>
          <t>NAZARIA: sem estoque</t>
        </is>
      </c>
    </row>
    <row r="716">
      <c r="A716" s="7" t="n">
        <v>617281</v>
      </c>
      <c r="B716" s="12" t="inlineStr">
        <is>
          <t>7896512914231</t>
        </is>
      </c>
      <c r="C716" s="7" t="inlineStr">
        <is>
          <t>CERA NUTRITIVA PINK 7GR</t>
        </is>
      </c>
      <c r="D716" s="7" t="inlineStr">
        <is>
          <t>PERF/COSME</t>
        </is>
      </c>
      <c r="E716" s="7" t="inlineStr">
        <is>
          <t>B</t>
        </is>
      </c>
      <c r="F716" s="13" t="n">
        <v>2</v>
      </c>
      <c r="G716" s="13" t="n">
        <v>2</v>
      </c>
      <c r="H716" s="8" t="n">
        <v>18.88</v>
      </c>
      <c r="I716" s="8" t="n">
        <v>18.88</v>
      </c>
      <c r="J716" s="8" t="n">
        <v>18.88</v>
      </c>
      <c r="K716" s="8" t="n"/>
      <c r="L716" s="8" t="n"/>
      <c r="M716" s="8" t="n"/>
      <c r="N716" s="8" t="n"/>
      <c r="O716" s="8" t="n"/>
      <c r="P716" s="15" t="n">
        <v>24.14</v>
      </c>
      <c r="Q716" s="8" t="n"/>
      <c r="R716" s="8" t="n"/>
      <c r="S716" s="8" t="n"/>
      <c r="T716" s="7" t="inlineStr">
        <is>
          <t>NAZARIA</t>
        </is>
      </c>
      <c r="U716" s="8" t="n">
        <v>24.14</v>
      </c>
      <c r="V716" s="14">
        <f>U716/J716-1</f>
        <v/>
      </c>
      <c r="W716" s="14">
        <f>U716/H716-1</f>
        <v/>
      </c>
      <c r="X716" s="16" t="inlineStr">
        <is>
          <t>ACIMA +27.9%</t>
        </is>
      </c>
      <c r="Y716" s="7" t="inlineStr"/>
    </row>
    <row r="717">
      <c r="A717" s="7" t="n">
        <v>619111</v>
      </c>
      <c r="B717" s="12" t="inlineStr">
        <is>
          <t>7896444210821</t>
        </is>
      </c>
      <c r="C717" s="7" t="inlineStr">
        <is>
          <t>CERA ORTODONTICA C/5</t>
        </is>
      </c>
      <c r="D717" s="7" t="inlineStr">
        <is>
          <t>PERF/COSME</t>
        </is>
      </c>
      <c r="E717" s="7" t="inlineStr">
        <is>
          <t>C</t>
        </is>
      </c>
      <c r="F717" s="13" t="n">
        <v>2</v>
      </c>
      <c r="G717" s="13" t="n">
        <v>2</v>
      </c>
      <c r="H717" s="8" t="n">
        <v>5.05</v>
      </c>
      <c r="I717" s="8" t="n">
        <v>5.03</v>
      </c>
      <c r="J717" s="8" t="n">
        <v>5.043333333333333</v>
      </c>
      <c r="K717" s="8" t="n"/>
      <c r="L717" s="8" t="n"/>
      <c r="M717" s="8" t="n"/>
      <c r="N717" s="8" t="n"/>
      <c r="O717" s="8" t="n"/>
      <c r="P717" s="8" t="n"/>
      <c r="Q717" s="8" t="n"/>
      <c r="R717" s="8" t="n"/>
      <c r="S717" s="8" t="n"/>
      <c r="T717" s="7" t="inlineStr">
        <is>
          <t>SEM COTAÇÃO</t>
        </is>
      </c>
      <c r="U717" s="8" t="n"/>
      <c r="V717" s="14" t="n"/>
      <c r="W717" s="14" t="n"/>
      <c r="X717" s="7" t="inlineStr"/>
      <c r="Y717" s="7" t="inlineStr"/>
    </row>
    <row r="718">
      <c r="A718" s="7" t="n">
        <v>603141</v>
      </c>
      <c r="B718" s="12" t="inlineStr">
        <is>
          <t>7898395844124</t>
        </is>
      </c>
      <c r="C718" s="7" t="inlineStr">
        <is>
          <t>CERA ORTODONTICA DENTRAT 5BARRAS</t>
        </is>
      </c>
      <c r="D718" s="7" t="inlineStr">
        <is>
          <t>ORTODONTICO</t>
        </is>
      </c>
      <c r="E718" s="7" t="inlineStr">
        <is>
          <t>C</t>
        </is>
      </c>
      <c r="F718" s="13" t="n">
        <v>5</v>
      </c>
      <c r="G718" s="13" t="n">
        <v>5</v>
      </c>
      <c r="H718" s="8" t="n">
        <v>5.95</v>
      </c>
      <c r="I718" s="8" t="n">
        <v>5.95</v>
      </c>
      <c r="J718" s="8" t="n">
        <v>5.95</v>
      </c>
      <c r="K718" s="8" t="n"/>
      <c r="L718" s="8" t="n"/>
      <c r="M718" s="8" t="n"/>
      <c r="N718" s="8" t="n"/>
      <c r="O718" s="8" t="n"/>
      <c r="P718" s="8" t="n"/>
      <c r="Q718" s="8" t="n"/>
      <c r="R718" s="8" t="n"/>
      <c r="S718" s="8" t="n"/>
      <c r="T718" s="7" t="inlineStr">
        <is>
          <t>SEM COTAÇÃO</t>
        </is>
      </c>
      <c r="U718" s="8" t="n"/>
      <c r="V718" s="14" t="n"/>
      <c r="W718" s="14" t="n"/>
      <c r="X718" s="7" t="inlineStr"/>
      <c r="Y718" s="7" t="inlineStr"/>
    </row>
    <row r="719">
      <c r="A719" s="7" t="n">
        <v>647471</v>
      </c>
      <c r="B719" s="12" t="inlineStr">
        <is>
          <t>7898378621285</t>
        </is>
      </c>
      <c r="C719" s="7" t="inlineStr">
        <is>
          <t>CERA QUENTE ALGAS 200GR - NEEZ DEPIL</t>
        </is>
      </c>
      <c r="D719" s="7" t="inlineStr">
        <is>
          <t>PERF/COSME</t>
        </is>
      </c>
      <c r="E719" s="7" t="inlineStr">
        <is>
          <t>C</t>
        </is>
      </c>
      <c r="F719" s="13" t="n">
        <v>1</v>
      </c>
      <c r="G719" s="13" t="n">
        <v>1</v>
      </c>
      <c r="H719" s="8" t="n">
        <v>13.4</v>
      </c>
      <c r="I719" s="8" t="n">
        <v>13.4</v>
      </c>
      <c r="J719" s="8" t="n">
        <v>13.4</v>
      </c>
      <c r="K719" s="8" t="n"/>
      <c r="L719" s="8" t="n"/>
      <c r="M719" s="8" t="n"/>
      <c r="N719" s="8" t="n"/>
      <c r="O719" s="8" t="n"/>
      <c r="P719" s="8" t="n"/>
      <c r="Q719" s="8" t="n"/>
      <c r="R719" s="8" t="n"/>
      <c r="S719" s="8" t="n"/>
      <c r="T719" s="7" t="inlineStr">
        <is>
          <t>SEM COTAÇÃO</t>
        </is>
      </c>
      <c r="U719" s="8" t="n"/>
      <c r="V719" s="14" t="n"/>
      <c r="W719" s="14" t="n"/>
      <c r="X719" s="7" t="inlineStr"/>
      <c r="Y719" s="7" t="inlineStr"/>
    </row>
    <row r="720">
      <c r="A720" s="7" t="n">
        <v>647441</v>
      </c>
      <c r="B720" s="12" t="inlineStr">
        <is>
          <t>7898378622121</t>
        </is>
      </c>
      <c r="C720" s="7" t="inlineStr">
        <is>
          <t>CERA QUENTE ALGAS 900G - NEEZ DEPIL</t>
        </is>
      </c>
      <c r="D720" s="7" t="inlineStr">
        <is>
          <t>PERF/COSME</t>
        </is>
      </c>
      <c r="E720" s="7" t="inlineStr">
        <is>
          <t>C</t>
        </is>
      </c>
      <c r="F720" s="13" t="n">
        <v>1</v>
      </c>
      <c r="G720" s="13" t="n">
        <v>1</v>
      </c>
      <c r="H720" s="8" t="n">
        <v>26.6</v>
      </c>
      <c r="I720" s="8" t="n">
        <v>26.6</v>
      </c>
      <c r="J720" s="8" t="n">
        <v>26.6</v>
      </c>
      <c r="K720" s="8" t="n"/>
      <c r="L720" s="8" t="n"/>
      <c r="M720" s="8" t="n"/>
      <c r="N720" s="8" t="n"/>
      <c r="O720" s="8" t="n"/>
      <c r="P720" s="8" t="n"/>
      <c r="Q720" s="8" t="n"/>
      <c r="R720" s="8" t="n"/>
      <c r="S720" s="8" t="n"/>
      <c r="T720" s="7" t="inlineStr">
        <is>
          <t>SEM COTAÇÃO</t>
        </is>
      </c>
      <c r="U720" s="8" t="n"/>
      <c r="V720" s="14" t="n"/>
      <c r="W720" s="14" t="n"/>
      <c r="X720" s="7" t="inlineStr"/>
      <c r="Y720" s="7" t="inlineStr"/>
    </row>
    <row r="721">
      <c r="A721" s="7" t="n">
        <v>647461</v>
      </c>
      <c r="B721" s="12" t="inlineStr">
        <is>
          <t>7898378621278</t>
        </is>
      </c>
      <c r="C721" s="7" t="inlineStr">
        <is>
          <t>CERA QUENTE MEL 200GR - NEEZ DEPIL</t>
        </is>
      </c>
      <c r="D721" s="7" t="inlineStr">
        <is>
          <t>PERF/COSME</t>
        </is>
      </c>
      <c r="E721" s="7" t="inlineStr">
        <is>
          <t>C</t>
        </is>
      </c>
      <c r="F721" s="13" t="n">
        <v>1</v>
      </c>
      <c r="G721" s="13" t="n">
        <v>1</v>
      </c>
      <c r="H721" s="8" t="n">
        <v>13.4</v>
      </c>
      <c r="I721" s="8" t="n">
        <v>13.4</v>
      </c>
      <c r="J721" s="8" t="n">
        <v>13.4</v>
      </c>
      <c r="K721" s="8" t="n"/>
      <c r="L721" s="8" t="n"/>
      <c r="M721" s="8" t="n"/>
      <c r="N721" s="8" t="n"/>
      <c r="O721" s="8" t="n"/>
      <c r="P721" s="8" t="n"/>
      <c r="Q721" s="8" t="n"/>
      <c r="R721" s="8" t="n"/>
      <c r="S721" s="8" t="n"/>
      <c r="T721" s="7" t="inlineStr">
        <is>
          <t>SEM COTAÇÃO</t>
        </is>
      </c>
      <c r="U721" s="8" t="n"/>
      <c r="V721" s="14" t="n"/>
      <c r="W721" s="14" t="n"/>
      <c r="X721" s="7" t="inlineStr"/>
      <c r="Y721" s="7" t="inlineStr"/>
    </row>
    <row r="722">
      <c r="A722" s="7" t="n">
        <v>647431</v>
      </c>
      <c r="B722" s="12" t="inlineStr">
        <is>
          <t>7898378622114</t>
        </is>
      </c>
      <c r="C722" s="7" t="inlineStr">
        <is>
          <t>CERA QUENTE MEL 900G - NEEZ DEPIL</t>
        </is>
      </c>
      <c r="D722" s="7" t="inlineStr">
        <is>
          <t>PERF/COSME</t>
        </is>
      </c>
      <c r="E722" s="7" t="inlineStr">
        <is>
          <t>C</t>
        </is>
      </c>
      <c r="F722" s="13" t="n">
        <v>1</v>
      </c>
      <c r="G722" s="13" t="n">
        <v>1</v>
      </c>
      <c r="H722" s="8" t="n">
        <v>26.6</v>
      </c>
      <c r="I722" s="8" t="n">
        <v>26.6</v>
      </c>
      <c r="J722" s="8" t="n">
        <v>26.6</v>
      </c>
      <c r="K722" s="8" t="n"/>
      <c r="L722" s="8" t="n"/>
      <c r="M722" s="8" t="n"/>
      <c r="N722" s="8" t="n"/>
      <c r="O722" s="8" t="n"/>
      <c r="P722" s="8" t="n"/>
      <c r="Q722" s="8" t="n"/>
      <c r="R722" s="8" t="n"/>
      <c r="S722" s="8" t="n"/>
      <c r="T722" s="7" t="inlineStr">
        <is>
          <t>SEM COTAÇÃO</t>
        </is>
      </c>
      <c r="U722" s="8" t="n"/>
      <c r="V722" s="14" t="n"/>
      <c r="W722" s="14" t="n"/>
      <c r="X722" s="7" t="inlineStr"/>
      <c r="Y722" s="7" t="inlineStr"/>
    </row>
    <row r="723">
      <c r="A723" s="7" t="n">
        <v>647481</v>
      </c>
      <c r="B723" s="12" t="inlineStr">
        <is>
          <t>7898378621292</t>
        </is>
      </c>
      <c r="C723" s="7" t="inlineStr">
        <is>
          <t>CERA QUENTE NEGRA 200GR - NEEZ DEPIL</t>
        </is>
      </c>
      <c r="D723" s="7" t="inlineStr">
        <is>
          <t>PERF/COSME</t>
        </is>
      </c>
      <c r="E723" s="7" t="inlineStr">
        <is>
          <t>C</t>
        </is>
      </c>
      <c r="F723" s="13" t="n">
        <v>1</v>
      </c>
      <c r="G723" s="13" t="n">
        <v>1</v>
      </c>
      <c r="H723" s="8" t="n">
        <v>13.4</v>
      </c>
      <c r="I723" s="8" t="n">
        <v>13.4</v>
      </c>
      <c r="J723" s="8" t="n">
        <v>13.4</v>
      </c>
      <c r="K723" s="8" t="n"/>
      <c r="L723" s="8" t="n"/>
      <c r="M723" s="8" t="n"/>
      <c r="N723" s="8" t="n"/>
      <c r="O723" s="8" t="n"/>
      <c r="P723" s="8" t="n"/>
      <c r="Q723" s="8" t="n"/>
      <c r="R723" s="8" t="n"/>
      <c r="S723" s="8" t="n"/>
      <c r="T723" s="7" t="inlineStr">
        <is>
          <t>SEM COTAÇÃO</t>
        </is>
      </c>
      <c r="U723" s="8" t="n"/>
      <c r="V723" s="14" t="n"/>
      <c r="W723" s="14" t="n"/>
      <c r="X723" s="7" t="inlineStr"/>
      <c r="Y723" s="7" t="inlineStr"/>
    </row>
    <row r="724">
      <c r="A724" s="7" t="n">
        <v>647451</v>
      </c>
      <c r="B724" s="12" t="inlineStr">
        <is>
          <t>7898378622145</t>
        </is>
      </c>
      <c r="C724" s="7" t="inlineStr">
        <is>
          <t>CERA QUENTE NEGRA 900G - NEEZ DEPIL</t>
        </is>
      </c>
      <c r="D724" s="7" t="inlineStr">
        <is>
          <t>PERF/COSME</t>
        </is>
      </c>
      <c r="E724" s="7" t="inlineStr">
        <is>
          <t>C</t>
        </is>
      </c>
      <c r="F724" s="13" t="n">
        <v>1</v>
      </c>
      <c r="G724" s="13" t="n">
        <v>1</v>
      </c>
      <c r="H724" s="8" t="n">
        <v>26.6</v>
      </c>
      <c r="I724" s="8" t="n">
        <v>26.6</v>
      </c>
      <c r="J724" s="8" t="n">
        <v>26.6</v>
      </c>
      <c r="K724" s="8" t="n"/>
      <c r="L724" s="8" t="n"/>
      <c r="M724" s="8" t="n"/>
      <c r="N724" s="8" t="n"/>
      <c r="O724" s="8" t="n"/>
      <c r="P724" s="8" t="n"/>
      <c r="Q724" s="8" t="n"/>
      <c r="R724" s="8" t="n"/>
      <c r="S724" s="8" t="n"/>
      <c r="T724" s="7" t="inlineStr">
        <is>
          <t>SEM COTAÇÃO</t>
        </is>
      </c>
      <c r="U724" s="8" t="n"/>
      <c r="V724" s="14" t="n"/>
      <c r="W724" s="14" t="n"/>
      <c r="X724" s="7" t="inlineStr"/>
      <c r="Y724" s="7" t="inlineStr"/>
    </row>
    <row r="725">
      <c r="A725" s="7" t="n">
        <v>636021</v>
      </c>
      <c r="B725" s="12" t="inlineStr">
        <is>
          <t>7899706192057</t>
        </is>
      </c>
      <c r="C725" s="7" t="inlineStr">
        <is>
          <t>CERAVE CR OLHOS 15G</t>
        </is>
      </c>
      <c r="D725" s="7" t="inlineStr">
        <is>
          <t>RX - DERMO</t>
        </is>
      </c>
      <c r="E725" s="7" t="inlineStr">
        <is>
          <t>B</t>
        </is>
      </c>
      <c r="F725" s="13" t="n">
        <v>1</v>
      </c>
      <c r="G725" s="13" t="n">
        <v>1</v>
      </c>
      <c r="H725" s="8" t="n">
        <v>87.33</v>
      </c>
      <c r="I725" s="8" t="n">
        <v>87.33</v>
      </c>
      <c r="J725" s="8" t="n">
        <v>87.33</v>
      </c>
      <c r="K725" s="8" t="n"/>
      <c r="L725" s="8" t="n"/>
      <c r="M725" s="8" t="n">
        <v>78.95999999999999</v>
      </c>
      <c r="N725" s="8" t="n"/>
      <c r="O725" s="8" t="n"/>
      <c r="P725" s="15" t="n">
        <v>114.54</v>
      </c>
      <c r="Q725" s="8" t="n"/>
      <c r="R725" s="8" t="n"/>
      <c r="S725" s="8" t="n"/>
      <c r="T725" s="7" t="inlineStr">
        <is>
          <t>NAZARIA</t>
        </is>
      </c>
      <c r="U725" s="8" t="n">
        <v>114.54</v>
      </c>
      <c r="V725" s="14">
        <f>U725/J725-1</f>
        <v/>
      </c>
      <c r="W725" s="14">
        <f>U725/H725-1</f>
        <v/>
      </c>
      <c r="X725" s="16" t="inlineStr">
        <is>
          <t>ACIMA +31.2%</t>
        </is>
      </c>
      <c r="Y725" s="7" t="inlineStr">
        <is>
          <t>EPAN: sem estoque</t>
        </is>
      </c>
    </row>
    <row r="726">
      <c r="A726" s="7" t="n">
        <v>669751</v>
      </c>
      <c r="B726" s="12" t="inlineStr">
        <is>
          <t>7899706159197</t>
        </is>
      </c>
      <c r="C726" s="7" t="inlineStr">
        <is>
          <t>CERAVE CREME HIDRATANTE 454G-DEMAIS PROD</t>
        </is>
      </c>
      <c r="D726" s="7" t="inlineStr">
        <is>
          <t>RX - DERMO</t>
        </is>
      </c>
      <c r="E726" s="7" t="inlineStr">
        <is>
          <t>B</t>
        </is>
      </c>
      <c r="F726" s="13" t="n">
        <v>2</v>
      </c>
      <c r="G726" s="13" t="n">
        <v>2</v>
      </c>
      <c r="H726" s="8" t="n">
        <v>93.34</v>
      </c>
      <c r="I726" s="8" t="n">
        <v>88.84999999999999</v>
      </c>
      <c r="J726" s="8" t="n">
        <v>91.84333333333332</v>
      </c>
      <c r="K726" s="8" t="n"/>
      <c r="L726" s="8" t="n"/>
      <c r="M726" s="8" t="n"/>
      <c r="N726" s="8" t="n"/>
      <c r="O726" s="8" t="n"/>
      <c r="P726" s="15" t="n">
        <v>113.43</v>
      </c>
      <c r="Q726" s="8" t="n"/>
      <c r="R726" s="8" t="n"/>
      <c r="S726" s="8" t="n"/>
      <c r="T726" s="7" t="inlineStr">
        <is>
          <t>NAZARIA</t>
        </is>
      </c>
      <c r="U726" s="8" t="n">
        <v>113.43</v>
      </c>
      <c r="V726" s="14">
        <f>U726/J726-1</f>
        <v/>
      </c>
      <c r="W726" s="14">
        <f>U726/H726-1</f>
        <v/>
      </c>
      <c r="X726" s="16" t="inlineStr">
        <is>
          <t>ACIMA +21.5%</t>
        </is>
      </c>
      <c r="Y726" s="7" t="inlineStr"/>
    </row>
    <row r="727">
      <c r="A727" s="7" t="n">
        <v>631111</v>
      </c>
      <c r="B727" s="12" t="inlineStr">
        <is>
          <t>7899706172707</t>
        </is>
      </c>
      <c r="C727" s="7" t="inlineStr">
        <is>
          <t>CERAVE GEL LIMPEZA 60G</t>
        </is>
      </c>
      <c r="D727" s="7" t="inlineStr">
        <is>
          <t>RX - DERMO</t>
        </is>
      </c>
      <c r="E727" s="7" t="inlineStr">
        <is>
          <t>C</t>
        </is>
      </c>
      <c r="F727" s="13" t="n">
        <v>1</v>
      </c>
      <c r="G727" s="13" t="n">
        <v>1</v>
      </c>
      <c r="H727" s="8" t="n">
        <v>36.69</v>
      </c>
      <c r="I727" s="8" t="n">
        <v>36.69</v>
      </c>
      <c r="J727" s="8" t="n">
        <v>36.69</v>
      </c>
      <c r="K727" s="8" t="n"/>
      <c r="L727" s="8" t="n"/>
      <c r="M727" s="8" t="n">
        <v>35.88</v>
      </c>
      <c r="N727" s="8" t="n"/>
      <c r="O727" s="8" t="n"/>
      <c r="P727" s="8" t="n">
        <v>45.77</v>
      </c>
      <c r="Q727" s="8" t="n"/>
      <c r="R727" s="8" t="n"/>
      <c r="S727" s="8" t="n"/>
      <c r="T727" s="7" t="inlineStr">
        <is>
          <t>SEM COTAÇÃO</t>
        </is>
      </c>
      <c r="U727" s="8" t="n"/>
      <c r="V727" s="14" t="n"/>
      <c r="W727" s="14" t="n"/>
      <c r="X727" s="7" t="inlineStr"/>
      <c r="Y727" s="7" t="inlineStr">
        <is>
          <t>EPAN: sem estoque; NAZARIA: sem estoque</t>
        </is>
      </c>
    </row>
    <row r="728">
      <c r="A728" s="7" t="n">
        <v>653331</v>
      </c>
      <c r="B728" s="12" t="inlineStr">
        <is>
          <t>7908615086309</t>
        </is>
      </c>
      <c r="C728" s="7" t="inlineStr">
        <is>
          <t>CERAVE LOCAO HIDRATANTE 340ML-DEMAIS PROD</t>
        </is>
      </c>
      <c r="D728" s="7" t="inlineStr">
        <is>
          <t>RX - DERMO</t>
        </is>
      </c>
      <c r="E728" s="7" t="inlineStr">
        <is>
          <t>A</t>
        </is>
      </c>
      <c r="F728" s="13" t="n">
        <v>7</v>
      </c>
      <c r="G728" s="13" t="n">
        <v>7</v>
      </c>
      <c r="H728" s="8" t="n">
        <v>78.95999999999999</v>
      </c>
      <c r="I728" s="8" t="n">
        <v>66.325</v>
      </c>
      <c r="J728" s="8" t="n">
        <v>70.53666666666668</v>
      </c>
      <c r="K728" s="8" t="n"/>
      <c r="L728" s="8" t="n"/>
      <c r="M728" s="8" t="n">
        <v>69.48</v>
      </c>
      <c r="N728" s="8" t="n"/>
      <c r="O728" s="8" t="n"/>
      <c r="P728" s="15" t="n">
        <v>87.98</v>
      </c>
      <c r="Q728" s="8" t="n"/>
      <c r="R728" s="8" t="n"/>
      <c r="S728" s="8" t="n"/>
      <c r="T728" s="7" t="inlineStr">
        <is>
          <t>NAZARIA</t>
        </is>
      </c>
      <c r="U728" s="8" t="n">
        <v>87.98</v>
      </c>
      <c r="V728" s="14">
        <f>U728/J728-1</f>
        <v/>
      </c>
      <c r="W728" s="14">
        <f>U728/H728-1</f>
        <v/>
      </c>
      <c r="X728" s="16" t="inlineStr">
        <is>
          <t>ACIMA +11.4%</t>
        </is>
      </c>
      <c r="Y728" s="7" t="inlineStr">
        <is>
          <t>EPAN: sem estoque</t>
        </is>
      </c>
    </row>
    <row r="729">
      <c r="A729" s="7" t="n">
        <v>637261</v>
      </c>
      <c r="B729" s="12" t="inlineStr">
        <is>
          <t>7899706159272</t>
        </is>
      </c>
      <c r="C729" s="7" t="inlineStr">
        <is>
          <t>CERAVE LOCAO HIDRATANTE 473ML-DEMAIS PROD</t>
        </is>
      </c>
      <c r="D729" s="7" t="inlineStr">
        <is>
          <t>RX - DERMO</t>
        </is>
      </c>
      <c r="E729" s="7" t="inlineStr">
        <is>
          <t>B</t>
        </is>
      </c>
      <c r="F729" s="13" t="n">
        <v>2</v>
      </c>
      <c r="G729" s="13" t="n">
        <v>2</v>
      </c>
      <c r="H729" s="8" t="n">
        <v>103.71</v>
      </c>
      <c r="I729" s="8" t="n">
        <v>89.84</v>
      </c>
      <c r="J729" s="8" t="n">
        <v>99.08666666666666</v>
      </c>
      <c r="K729" s="8" t="n"/>
      <c r="L729" s="8" t="n"/>
      <c r="M729" s="8" t="n"/>
      <c r="N729" s="8" t="n"/>
      <c r="O729" s="8" t="n"/>
      <c r="P729" s="15" t="n">
        <v>113.43</v>
      </c>
      <c r="Q729" s="8" t="n"/>
      <c r="R729" s="8" t="n"/>
      <c r="S729" s="8" t="n"/>
      <c r="T729" s="7" t="inlineStr">
        <is>
          <t>NAZARIA</t>
        </is>
      </c>
      <c r="U729" s="8" t="n">
        <v>113.43</v>
      </c>
      <c r="V729" s="14">
        <f>U729/J729-1</f>
        <v/>
      </c>
      <c r="W729" s="14">
        <f>U729/H729-1</f>
        <v/>
      </c>
      <c r="X729" s="16" t="inlineStr">
        <is>
          <t>ACIMA +9.4%</t>
        </is>
      </c>
      <c r="Y729" s="7" t="inlineStr"/>
    </row>
    <row r="730">
      <c r="A730" s="7" t="n">
        <v>624291</v>
      </c>
      <c r="B730" s="12" t="inlineStr">
        <is>
          <t>7899706211178</t>
        </is>
      </c>
      <c r="C730" s="7" t="inlineStr">
        <is>
          <t>CERAVE SA GEL DE LIMPEZA RENOVA 150G</t>
        </is>
      </c>
      <c r="D730" s="7" t="inlineStr">
        <is>
          <t>RX - DERMO</t>
        </is>
      </c>
      <c r="E730" s="7" t="inlineStr">
        <is>
          <t>A</t>
        </is>
      </c>
      <c r="F730" s="13" t="n">
        <v>1</v>
      </c>
      <c r="G730" s="13" t="n">
        <v>1</v>
      </c>
      <c r="H730" s="8" t="n">
        <v>65.59</v>
      </c>
      <c r="I730" s="8" t="n">
        <v>65.59</v>
      </c>
      <c r="J730" s="8" t="n">
        <v>65.59</v>
      </c>
      <c r="K730" s="8" t="n"/>
      <c r="L730" s="8" t="n"/>
      <c r="M730" s="15" t="n">
        <v>53.04</v>
      </c>
      <c r="N730" s="8" t="n"/>
      <c r="O730" s="8" t="n"/>
      <c r="P730" s="8" t="n">
        <v>75.05</v>
      </c>
      <c r="Q730" s="8" t="n"/>
      <c r="R730" s="8" t="n"/>
      <c r="S730" s="8" t="n"/>
      <c r="T730" s="7" t="inlineStr">
        <is>
          <t>EPAN</t>
        </is>
      </c>
      <c r="U730" s="8" t="n">
        <v>53.04</v>
      </c>
      <c r="V730" s="14">
        <f>U730/J730-1</f>
        <v/>
      </c>
      <c r="W730" s="14">
        <f>U730/H730-1</f>
        <v/>
      </c>
      <c r="X730" s="17" t="inlineStr">
        <is>
          <t>OK (≤ menor hist.)</t>
        </is>
      </c>
      <c r="Y730" s="7" t="inlineStr">
        <is>
          <t>NAZARIA: sem estoque</t>
        </is>
      </c>
    </row>
    <row r="731">
      <c r="A731" s="7" t="n">
        <v>654251</v>
      </c>
      <c r="B731" s="12" t="inlineStr">
        <is>
          <t>7897337716215</t>
        </is>
      </c>
      <c r="C731" s="7" t="inlineStr">
        <is>
          <t>CERAZETTE 75MCG 28CPR</t>
        </is>
      </c>
      <c r="D731" s="7" t="inlineStr">
        <is>
          <t>RX</t>
        </is>
      </c>
      <c r="E731" s="7" t="inlineStr">
        <is>
          <t>A</t>
        </is>
      </c>
      <c r="F731" s="13" t="n">
        <v>4</v>
      </c>
      <c r="G731" s="13" t="n">
        <v>4</v>
      </c>
      <c r="H731" s="8" t="n">
        <v>37.81</v>
      </c>
      <c r="I731" s="8" t="n">
        <v>35.07</v>
      </c>
      <c r="J731" s="8" t="n">
        <v>36.89333333333334</v>
      </c>
      <c r="K731" s="8" t="n"/>
      <c r="L731" s="8" t="n"/>
      <c r="M731" s="15" t="n">
        <v>37.81</v>
      </c>
      <c r="N731" s="8" t="n"/>
      <c r="O731" s="8" t="n"/>
      <c r="P731" s="8" t="n">
        <v>45.5221</v>
      </c>
      <c r="Q731" s="8" t="n"/>
      <c r="R731" s="8" t="n"/>
      <c r="S731" s="8" t="n"/>
      <c r="T731" s="7" t="inlineStr">
        <is>
          <t>EPAN</t>
        </is>
      </c>
      <c r="U731" s="8" t="n">
        <v>37.81</v>
      </c>
      <c r="V731" s="14">
        <f>U731/J731-1</f>
        <v/>
      </c>
      <c r="W731" s="14">
        <f>U731/H731-1</f>
        <v/>
      </c>
      <c r="X731" s="17" t="inlineStr">
        <is>
          <t>OK (≤ últ. compra)</t>
        </is>
      </c>
      <c r="Y731" s="7" t="inlineStr"/>
    </row>
    <row r="732">
      <c r="A732" s="7" t="n">
        <v>590291</v>
      </c>
      <c r="B732" s="12" t="inlineStr">
        <is>
          <t>7891000275740</t>
        </is>
      </c>
      <c r="C732" s="7" t="inlineStr">
        <is>
          <t>CEREAL MUCILON SELEÇÃO DA NATUREZA 5 CEREAIS COM QUINOA INFANTIL 180G</t>
        </is>
      </c>
      <c r="D732" s="7" t="inlineStr">
        <is>
          <t>ALIMENTOS LACTEOS, DERIVADOS E SIMILARES</t>
        </is>
      </c>
      <c r="E732" s="7" t="inlineStr">
        <is>
          <t>C</t>
        </is>
      </c>
      <c r="F732" s="13" t="n">
        <v>1</v>
      </c>
      <c r="G732" s="13" t="n">
        <v>4</v>
      </c>
      <c r="H732" s="8" t="n">
        <v>5.6725</v>
      </c>
      <c r="I732" s="8" t="n">
        <v>5.6725</v>
      </c>
      <c r="J732" s="8" t="n">
        <v>5.6725</v>
      </c>
      <c r="K732" s="8" t="n"/>
      <c r="L732" s="8" t="n"/>
      <c r="M732" s="8" t="n"/>
      <c r="N732" s="8" t="n"/>
      <c r="O732" s="8" t="n"/>
      <c r="P732" s="8" t="n"/>
      <c r="Q732" s="8" t="n"/>
      <c r="R732" s="8" t="n"/>
      <c r="S732" s="8" t="n"/>
      <c r="T732" s="7" t="inlineStr">
        <is>
          <t>SEM COTAÇÃO</t>
        </is>
      </c>
      <c r="U732" s="8" t="n"/>
      <c r="V732" s="14" t="n"/>
      <c r="W732" s="14" t="n"/>
      <c r="X732" s="7" t="inlineStr"/>
      <c r="Y732" s="7" t="inlineStr"/>
    </row>
    <row r="733">
      <c r="A733" s="7" t="n">
        <v>662251</v>
      </c>
      <c r="B733" s="12" t="inlineStr">
        <is>
          <t>7898719040690</t>
        </is>
      </c>
      <c r="C733" s="7" t="inlineStr">
        <is>
          <t>CEROCASP 100ML SHAMPOO</t>
        </is>
      </c>
      <c r="D733" s="7" t="inlineStr">
        <is>
          <t>SIMILAR</t>
        </is>
      </c>
      <c r="E733" s="7" t="inlineStr">
        <is>
          <t>C</t>
        </is>
      </c>
      <c r="F733" s="13" t="n">
        <v>2</v>
      </c>
      <c r="G733" s="13" t="n">
        <v>2</v>
      </c>
      <c r="H733" s="8" t="n">
        <v>7.99</v>
      </c>
      <c r="I733" s="8" t="n">
        <v>7.99</v>
      </c>
      <c r="J733" s="8" t="n">
        <v>7.989999999999999</v>
      </c>
      <c r="K733" s="8" t="n"/>
      <c r="L733" s="8" t="n"/>
      <c r="M733" s="8" t="n"/>
      <c r="N733" s="8" t="n"/>
      <c r="O733" s="8" t="n"/>
      <c r="P733" s="8" t="n"/>
      <c r="Q733" s="8" t="n"/>
      <c r="R733" s="8" t="n"/>
      <c r="S733" s="8" t="n"/>
      <c r="T733" s="7" t="inlineStr">
        <is>
          <t>SEM COTAÇÃO</t>
        </is>
      </c>
      <c r="U733" s="8" t="n"/>
      <c r="V733" s="14" t="n"/>
      <c r="W733" s="14" t="n"/>
      <c r="X733" s="7" t="inlineStr"/>
      <c r="Y733" s="7" t="inlineStr"/>
    </row>
    <row r="734">
      <c r="A734" s="7" t="n">
        <v>293601</v>
      </c>
      <c r="B734" s="12" t="inlineStr">
        <is>
          <t>7896548140284</t>
        </is>
      </c>
      <c r="C734" s="7" t="inlineStr">
        <is>
          <t>CERUMIN 0,4+140MG SOL OTO FR GTS 8ML</t>
        </is>
      </c>
      <c r="D734" s="7" t="inlineStr">
        <is>
          <t>RX - OTC</t>
        </is>
      </c>
      <c r="E734" s="7" t="inlineStr">
        <is>
          <t>A</t>
        </is>
      </c>
      <c r="F734" s="13" t="n">
        <v>19</v>
      </c>
      <c r="G734" s="13" t="n">
        <v>19</v>
      </c>
      <c r="H734" s="8" t="n">
        <v>21.23</v>
      </c>
      <c r="I734" s="8" t="n">
        <v>13.7043</v>
      </c>
      <c r="J734" s="8" t="n">
        <v>17.67023333333333</v>
      </c>
      <c r="K734" s="8" t="n"/>
      <c r="L734" s="8" t="n"/>
      <c r="M734" s="8" t="n">
        <v>22.54</v>
      </c>
      <c r="N734" s="8" t="n"/>
      <c r="O734" s="15" t="n">
        <v>21.23</v>
      </c>
      <c r="P734" s="8" t="n">
        <v>21.6864</v>
      </c>
      <c r="Q734" s="8" t="n"/>
      <c r="R734" s="8" t="n"/>
      <c r="S734" s="8" t="n"/>
      <c r="T734" s="7" t="inlineStr">
        <is>
          <t>TAPAJOS</t>
        </is>
      </c>
      <c r="U734" s="8" t="n">
        <v>21.23</v>
      </c>
      <c r="V734" s="14">
        <f>U734/J734-1</f>
        <v/>
      </c>
      <c r="W734" s="14">
        <f>U734/H734-1</f>
        <v/>
      </c>
      <c r="X734" s="17" t="inlineStr">
        <is>
          <t>OK (≤ últ. compra)</t>
        </is>
      </c>
      <c r="Y734" s="7" t="inlineStr"/>
    </row>
    <row r="735">
      <c r="A735" s="7" t="n">
        <v>363</v>
      </c>
      <c r="B735" s="12" t="inlineStr">
        <is>
          <t>7897930777798</t>
        </is>
      </c>
      <c r="C735" s="7" t="inlineStr">
        <is>
          <t>CETAPHIL CR HIDRAT 453GR-DEMAIS PROD</t>
        </is>
      </c>
      <c r="D735" s="7" t="inlineStr">
        <is>
          <t>RX - DERMO</t>
        </is>
      </c>
      <c r="E735" s="7" t="inlineStr">
        <is>
          <t>A</t>
        </is>
      </c>
      <c r="F735" s="13" t="n">
        <v>1</v>
      </c>
      <c r="G735" s="13" t="n">
        <v>1</v>
      </c>
      <c r="H735" s="8" t="n">
        <v>90.42</v>
      </c>
      <c r="I735" s="8" t="n">
        <v>80.845</v>
      </c>
      <c r="J735" s="8" t="n">
        <v>87.22833333333334</v>
      </c>
      <c r="K735" s="8" t="n"/>
      <c r="L735" s="8" t="n"/>
      <c r="M735" s="15" t="n">
        <v>86.76000000000001</v>
      </c>
      <c r="N735" s="8" t="n"/>
      <c r="O735" s="8" t="n"/>
      <c r="P735" s="8" t="n">
        <v>113.9</v>
      </c>
      <c r="Q735" s="8" t="n"/>
      <c r="R735" s="8" t="n"/>
      <c r="S735" s="8" t="n"/>
      <c r="T735" s="7" t="inlineStr">
        <is>
          <t>EPAN</t>
        </is>
      </c>
      <c r="U735" s="8" t="n">
        <v>86.76000000000001</v>
      </c>
      <c r="V735" s="14">
        <f>U735/J735-1</f>
        <v/>
      </c>
      <c r="W735" s="14">
        <f>U735/H735-1</f>
        <v/>
      </c>
      <c r="X735" s="17" t="inlineStr">
        <is>
          <t>OK (≤ últ. compra)</t>
        </is>
      </c>
      <c r="Y735" s="7" t="inlineStr"/>
    </row>
    <row r="736">
      <c r="A736" s="7" t="n">
        <v>383</v>
      </c>
      <c r="B736" s="12" t="inlineStr">
        <is>
          <t>7897930777743</t>
        </is>
      </c>
      <c r="C736" s="7" t="inlineStr">
        <is>
          <t>CETAPHIL LOC HIDRATANTE 473ML</t>
        </is>
      </c>
      <c r="D736" s="7" t="inlineStr">
        <is>
          <t>RX - DERMO</t>
        </is>
      </c>
      <c r="E736" s="7" t="inlineStr">
        <is>
          <t>A</t>
        </is>
      </c>
      <c r="F736" s="13" t="n">
        <v>4</v>
      </c>
      <c r="G736" s="13" t="n">
        <v>4</v>
      </c>
      <c r="H736" s="8" t="n">
        <v>102.75</v>
      </c>
      <c r="I736" s="8" t="n">
        <v>85.77</v>
      </c>
      <c r="J736" s="8" t="n">
        <v>88.18333333333334</v>
      </c>
      <c r="K736" s="8" t="n"/>
      <c r="L736" s="8" t="n"/>
      <c r="M736" s="15" t="n">
        <v>85.77</v>
      </c>
      <c r="N736" s="8" t="n"/>
      <c r="O736" s="8" t="n"/>
      <c r="P736" s="8" t="n">
        <v>113.9</v>
      </c>
      <c r="Q736" s="8" t="n"/>
      <c r="R736" s="8" t="n"/>
      <c r="S736" s="8" t="n"/>
      <c r="T736" s="7" t="inlineStr">
        <is>
          <t>EPAN</t>
        </is>
      </c>
      <c r="U736" s="8" t="n">
        <v>85.77</v>
      </c>
      <c r="V736" s="14">
        <f>U736/J736-1</f>
        <v/>
      </c>
      <c r="W736" s="14">
        <f>U736/H736-1</f>
        <v/>
      </c>
      <c r="X736" s="17" t="inlineStr">
        <is>
          <t>OK (≤ menor hist.)</t>
        </is>
      </c>
      <c r="Y736" s="7" t="inlineStr"/>
    </row>
    <row r="737">
      <c r="A737" s="7" t="n">
        <v>1301</v>
      </c>
      <c r="B737" s="12" t="inlineStr">
        <is>
          <t>7893454100647</t>
        </is>
      </c>
      <c r="C737" s="7" t="inlineStr">
        <is>
          <t>CETOBETA 20+0,64+2,5MG/G POM BG 30G</t>
        </is>
      </c>
      <c r="D737" s="7" t="inlineStr">
        <is>
          <t>SIMILAR</t>
        </is>
      </c>
      <c r="E737" s="7" t="inlineStr">
        <is>
          <t>A</t>
        </is>
      </c>
      <c r="F737" s="13" t="n">
        <v>21</v>
      </c>
      <c r="G737" s="13" t="n">
        <v>21</v>
      </c>
      <c r="H737" s="8" t="n">
        <v>8</v>
      </c>
      <c r="I737" s="8" t="n">
        <v>7.69</v>
      </c>
      <c r="J737" s="8" t="n">
        <v>7.69</v>
      </c>
      <c r="K737" s="8" t="n">
        <v>8.76</v>
      </c>
      <c r="L737" s="8" t="n"/>
      <c r="M737" s="8" t="n"/>
      <c r="N737" s="8" t="n">
        <v>8.880000000000001</v>
      </c>
      <c r="O737" s="8" t="n">
        <v>9.109999999999999</v>
      </c>
      <c r="P737" s="8" t="n"/>
      <c r="Q737" s="8" t="n"/>
      <c r="R737" s="15" t="n">
        <v>8.369999999999999</v>
      </c>
      <c r="S737" s="8" t="n"/>
      <c r="T737" s="7" t="inlineStr">
        <is>
          <t>BRASFARMA</t>
        </is>
      </c>
      <c r="U737" s="8" t="n">
        <v>8.369999999999999</v>
      </c>
      <c r="V737" s="14">
        <f>U737/J737-1</f>
        <v/>
      </c>
      <c r="W737" s="14">
        <f>U737/H737-1</f>
        <v/>
      </c>
      <c r="X737" s="16" t="inlineStr">
        <is>
          <t>ACIMA +4.6%</t>
        </is>
      </c>
      <c r="Y737" s="7" t="inlineStr"/>
    </row>
    <row r="738">
      <c r="A738" s="7" t="n">
        <v>532281</v>
      </c>
      <c r="B738" s="12" t="inlineStr">
        <is>
          <t>7898031311782</t>
        </is>
      </c>
      <c r="C738" s="7" t="inlineStr">
        <is>
          <t>CETOCASP SHAMPOO 120ML</t>
        </is>
      </c>
      <c r="D738" s="7" t="inlineStr">
        <is>
          <t>SIMILAR</t>
        </is>
      </c>
      <c r="E738" s="7" t="inlineStr">
        <is>
          <t>C</t>
        </is>
      </c>
      <c r="F738" s="13" t="n">
        <v>3</v>
      </c>
      <c r="G738" s="13" t="n">
        <v>3</v>
      </c>
      <c r="H738" s="8" t="n">
        <v>8.640000000000001</v>
      </c>
      <c r="I738" s="8" t="n">
        <v>8.539999999999999</v>
      </c>
      <c r="J738" s="8" t="n">
        <v>8.606666666666667</v>
      </c>
      <c r="K738" s="8" t="n"/>
      <c r="L738" s="8" t="n"/>
      <c r="M738" s="8" t="n"/>
      <c r="N738" s="8" t="n"/>
      <c r="O738" s="8" t="n"/>
      <c r="P738" s="8" t="n"/>
      <c r="Q738" s="8" t="n"/>
      <c r="R738" s="8" t="n"/>
      <c r="S738" s="8" t="n"/>
      <c r="T738" s="7" t="inlineStr">
        <is>
          <t>SEM COTAÇÃO</t>
        </is>
      </c>
      <c r="U738" s="8" t="n"/>
      <c r="V738" s="14" t="n"/>
      <c r="W738" s="14" t="n"/>
      <c r="X738" s="7" t="inlineStr"/>
      <c r="Y738" s="7" t="inlineStr"/>
    </row>
    <row r="739">
      <c r="A739" s="7" t="n">
        <v>627811</v>
      </c>
      <c r="B739" s="12" t="inlineStr"/>
      <c r="C739" s="7" t="inlineStr">
        <is>
          <t>CETOCONAZOL 20 MG/G XAMP FR 100 MLL</t>
        </is>
      </c>
      <c r="D739" s="7" t="inlineStr">
        <is>
          <t>GENERICO</t>
        </is>
      </c>
      <c r="E739" s="7" t="inlineStr">
        <is>
          <t>A</t>
        </is>
      </c>
      <c r="F739" s="13" t="n">
        <v>48</v>
      </c>
      <c r="G739" s="13" t="n">
        <v>48</v>
      </c>
      <c r="H739" s="8" t="n">
        <v>8.390000000000001</v>
      </c>
      <c r="I739" s="8" t="n">
        <v>7.69</v>
      </c>
      <c r="J739" s="8" t="n">
        <v>7.923333333333335</v>
      </c>
      <c r="K739" s="8" t="n"/>
      <c r="L739" s="8" t="n"/>
      <c r="M739" s="8" t="n"/>
      <c r="N739" s="8" t="n"/>
      <c r="O739" s="8" t="n"/>
      <c r="P739" s="8" t="n"/>
      <c r="Q739" s="8" t="n"/>
      <c r="R739" s="8" t="n"/>
      <c r="S739" s="8" t="n"/>
      <c r="T739" s="7" t="inlineStr">
        <is>
          <t>SEM COTAÇÃO</t>
        </is>
      </c>
      <c r="U739" s="8" t="n"/>
      <c r="V739" s="14" t="n"/>
      <c r="W739" s="14" t="n"/>
      <c r="X739" s="7" t="inlineStr"/>
      <c r="Y739" s="7" t="inlineStr"/>
    </row>
    <row r="740">
      <c r="A740" s="7" t="n">
        <v>92221</v>
      </c>
      <c r="B740" s="12" t="inlineStr">
        <is>
          <t>7899620911352</t>
        </is>
      </c>
      <c r="C740" s="7" t="inlineStr">
        <is>
          <t>CETOCONAZOL 200MG CX 10 COMP</t>
        </is>
      </c>
      <c r="D740" s="7" t="inlineStr">
        <is>
          <t>GENERICO</t>
        </is>
      </c>
      <c r="E740" s="7" t="inlineStr">
        <is>
          <t>C</t>
        </is>
      </c>
      <c r="F740" s="13" t="n">
        <v>2</v>
      </c>
      <c r="G740" s="13" t="n">
        <v>2</v>
      </c>
      <c r="H740" s="8" t="n">
        <v>4.1</v>
      </c>
      <c r="I740" s="8" t="n">
        <v>4.1</v>
      </c>
      <c r="J740" s="8" t="n">
        <v>4.1</v>
      </c>
      <c r="K740" s="8" t="n">
        <v>4.28</v>
      </c>
      <c r="L740" s="8" t="n"/>
      <c r="M740" s="8" t="n"/>
      <c r="N740" s="8" t="n">
        <v>4.42</v>
      </c>
      <c r="O740" s="8" t="n"/>
      <c r="P740" s="8" t="n"/>
      <c r="Q740" s="8" t="n"/>
      <c r="R740" s="15" t="n">
        <v>4.21</v>
      </c>
      <c r="S740" s="8" t="n"/>
      <c r="T740" s="7" t="inlineStr">
        <is>
          <t>BRASFARMA</t>
        </is>
      </c>
      <c r="U740" s="8" t="n">
        <v>4.21</v>
      </c>
      <c r="V740" s="14">
        <f>U740/J740-1</f>
        <v/>
      </c>
      <c r="W740" s="14">
        <f>U740/H740-1</f>
        <v/>
      </c>
      <c r="X740" s="16" t="inlineStr">
        <is>
          <t>ACIMA +2.7%</t>
        </is>
      </c>
      <c r="Y740" s="7" t="inlineStr"/>
    </row>
    <row r="741">
      <c r="A741" s="7" t="n">
        <v>92021</v>
      </c>
      <c r="B741" s="12" t="inlineStr">
        <is>
          <t>7898216367535</t>
        </is>
      </c>
      <c r="C741" s="7" t="inlineStr">
        <is>
          <t>CETOCONAZOL 200MG CX 10 COMP</t>
        </is>
      </c>
      <c r="D741" s="7" t="inlineStr">
        <is>
          <t>GENERICO</t>
        </is>
      </c>
      <c r="E741" s="7" t="inlineStr">
        <is>
          <t>B</t>
        </is>
      </c>
      <c r="F741" s="13" t="n">
        <v>4</v>
      </c>
      <c r="G741" s="13" t="n">
        <v>4</v>
      </c>
      <c r="H741" s="8" t="n">
        <v>4.81</v>
      </c>
      <c r="I741" s="8" t="n">
        <v>4.81</v>
      </c>
      <c r="J741" s="8" t="n">
        <v>4.81</v>
      </c>
      <c r="K741" s="8" t="n">
        <v>6.16</v>
      </c>
      <c r="L741" s="8" t="n"/>
      <c r="M741" s="8" t="n"/>
      <c r="N741" s="8" t="n">
        <v>6.24</v>
      </c>
      <c r="O741" s="8" t="n"/>
      <c r="P741" s="8" t="n"/>
      <c r="Q741" s="8" t="n">
        <v>6.67</v>
      </c>
      <c r="R741" s="15" t="n">
        <v>5.88</v>
      </c>
      <c r="S741" s="8" t="n"/>
      <c r="T741" s="7" t="inlineStr">
        <is>
          <t>BRASFARMA</t>
        </is>
      </c>
      <c r="U741" s="8" t="n">
        <v>5.88</v>
      </c>
      <c r="V741" s="14">
        <f>U741/J741-1</f>
        <v/>
      </c>
      <c r="W741" s="14">
        <f>U741/H741-1</f>
        <v/>
      </c>
      <c r="X741" s="16" t="inlineStr">
        <is>
          <t>ACIMA +22.2%</t>
        </is>
      </c>
      <c r="Y741" s="7" t="inlineStr"/>
    </row>
    <row r="742">
      <c r="A742" s="7" t="n">
        <v>451561</v>
      </c>
      <c r="B742" s="12" t="inlineStr">
        <is>
          <t>7896523208855</t>
        </is>
      </c>
      <c r="C742" s="7" t="inlineStr">
        <is>
          <t>CETOCONAZOL+BETAMETASONA+SULFATO DE NEOMICINA 20MG/G CREM DERM BG 30G</t>
        </is>
      </c>
      <c r="D742" s="7" t="inlineStr">
        <is>
          <t>GENERICO</t>
        </is>
      </c>
      <c r="E742" s="7" t="inlineStr">
        <is>
          <t>A</t>
        </is>
      </c>
      <c r="F742" s="13" t="n">
        <v>89</v>
      </c>
      <c r="G742" s="13" t="n">
        <v>89</v>
      </c>
      <c r="H742" s="8" t="n">
        <v>4.59</v>
      </c>
      <c r="I742" s="8" t="n">
        <v>4.4</v>
      </c>
      <c r="J742" s="8" t="n">
        <v>4.52</v>
      </c>
      <c r="K742" s="8" t="n"/>
      <c r="L742" s="8" t="n"/>
      <c r="M742" s="8" t="n"/>
      <c r="N742" s="8" t="n"/>
      <c r="O742" s="8" t="n"/>
      <c r="P742" s="15" t="n">
        <v>22.49</v>
      </c>
      <c r="Q742" s="8" t="n"/>
      <c r="R742" s="8" t="n"/>
      <c r="S742" s="8" t="n"/>
      <c r="T742" s="7" t="inlineStr">
        <is>
          <t>NAZARIA</t>
        </is>
      </c>
      <c r="U742" s="8" t="n">
        <v>22.49</v>
      </c>
      <c r="V742" s="14">
        <f>U742/J742-1</f>
        <v/>
      </c>
      <c r="W742" s="14">
        <f>U742/H742-1</f>
        <v/>
      </c>
      <c r="X742" s="16" t="inlineStr">
        <is>
          <t>ACIMA +390.0%</t>
        </is>
      </c>
      <c r="Y742" s="7" t="inlineStr">
        <is>
          <t>NAZARIA: conferir emb.</t>
        </is>
      </c>
    </row>
    <row r="743">
      <c r="A743" s="7" t="n">
        <v>96181</v>
      </c>
      <c r="B743" s="12" t="inlineStr">
        <is>
          <t>7896422507295</t>
        </is>
      </c>
      <c r="C743" s="7" t="inlineStr">
        <is>
          <t>CETOPROFENO 100MG CX 20 COMP</t>
        </is>
      </c>
      <c r="D743" s="7" t="inlineStr">
        <is>
          <t>GENERICO</t>
        </is>
      </c>
      <c r="E743" s="7" t="inlineStr">
        <is>
          <t>A</t>
        </is>
      </c>
      <c r="F743" s="13" t="n">
        <v>36</v>
      </c>
      <c r="G743" s="13" t="n">
        <v>36</v>
      </c>
      <c r="H743" s="8" t="n">
        <v>20.1267</v>
      </c>
      <c r="I743" s="8" t="n">
        <v>17.7656</v>
      </c>
      <c r="J743" s="8" t="n">
        <v>19.33833333333333</v>
      </c>
      <c r="K743" s="15" t="n">
        <v>22.49</v>
      </c>
      <c r="L743" s="8" t="n"/>
      <c r="M743" s="8" t="n"/>
      <c r="N743" s="8" t="n"/>
      <c r="O743" s="8" t="n"/>
      <c r="P743" s="8" t="n">
        <v>35.21</v>
      </c>
      <c r="Q743" s="8" t="n"/>
      <c r="R743" s="8" t="n"/>
      <c r="S743" s="8" t="n"/>
      <c r="T743" s="7" t="inlineStr">
        <is>
          <t>DIMEC</t>
        </is>
      </c>
      <c r="U743" s="8" t="n">
        <v>22.49</v>
      </c>
      <c r="V743" s="14">
        <f>U743/J743-1</f>
        <v/>
      </c>
      <c r="W743" s="14">
        <f>U743/H743-1</f>
        <v/>
      </c>
      <c r="X743" s="16" t="inlineStr">
        <is>
          <t>ACIMA +11.7%</t>
        </is>
      </c>
      <c r="Y743" s="7" t="inlineStr"/>
    </row>
    <row r="744">
      <c r="A744" s="7" t="n">
        <v>95101</v>
      </c>
      <c r="B744" s="12" t="inlineStr">
        <is>
          <t>7891058002961</t>
        </is>
      </c>
      <c r="C744" s="7" t="inlineStr">
        <is>
          <t>CETOPROFENO 150MG CX 10 COMP REV LIB PROL</t>
        </is>
      </c>
      <c r="D744" s="7" t="inlineStr">
        <is>
          <t>GENERICO</t>
        </is>
      </c>
      <c r="E744" s="7" t="inlineStr">
        <is>
          <t>A</t>
        </is>
      </c>
      <c r="F744" s="13" t="n">
        <v>153</v>
      </c>
      <c r="G744" s="13" t="n">
        <v>153</v>
      </c>
      <c r="H744" s="8" t="n">
        <v>5.1338</v>
      </c>
      <c r="I744" s="8" t="n">
        <v>5.1338</v>
      </c>
      <c r="J744" s="8" t="n">
        <v>5.1338</v>
      </c>
      <c r="K744" s="15" t="n">
        <v>5.99</v>
      </c>
      <c r="L744" s="8" t="n"/>
      <c r="M744" s="8" t="n"/>
      <c r="N744" s="8" t="n"/>
      <c r="O744" s="8" t="n"/>
      <c r="P744" s="8" t="n">
        <v>31.869032</v>
      </c>
      <c r="Q744" s="8" t="n"/>
      <c r="R744" s="8" t="n"/>
      <c r="S744" s="8" t="n"/>
      <c r="T744" s="7" t="inlineStr">
        <is>
          <t>DIMEC</t>
        </is>
      </c>
      <c r="U744" s="8" t="n">
        <v>5.99</v>
      </c>
      <c r="V744" s="14">
        <f>U744/J744-1</f>
        <v/>
      </c>
      <c r="W744" s="14">
        <f>U744/H744-1</f>
        <v/>
      </c>
      <c r="X744" s="16" t="inlineStr">
        <is>
          <t>ACIMA +16.7%</t>
        </is>
      </c>
      <c r="Y744" s="7" t="inlineStr">
        <is>
          <t>NAZARIA: conferir emb.</t>
        </is>
      </c>
    </row>
    <row r="745">
      <c r="A745" s="7" t="n">
        <v>95121</v>
      </c>
      <c r="B745" s="12" t="inlineStr">
        <is>
          <t>7896422507349</t>
        </is>
      </c>
      <c r="C745" s="7" t="inlineStr">
        <is>
          <t>CETOPROFENO 50MG CX 24 CAP</t>
        </is>
      </c>
      <c r="D745" s="7" t="inlineStr">
        <is>
          <t>GENERICO</t>
        </is>
      </c>
      <c r="E745" s="7" t="inlineStr">
        <is>
          <t>C</t>
        </is>
      </c>
      <c r="F745" s="13" t="n">
        <v>1</v>
      </c>
      <c r="G745" s="13" t="n">
        <v>1</v>
      </c>
      <c r="H745" s="8" t="n">
        <v>8.57</v>
      </c>
      <c r="I745" s="8" t="n">
        <v>7.375</v>
      </c>
      <c r="J745" s="8" t="n">
        <v>8.171666666666667</v>
      </c>
      <c r="K745" s="15" t="n">
        <v>10.49</v>
      </c>
      <c r="L745" s="8" t="n"/>
      <c r="M745" s="8" t="n"/>
      <c r="N745" s="8" t="n"/>
      <c r="O745" s="8" t="n"/>
      <c r="P745" s="8" t="n">
        <v>14.33695</v>
      </c>
      <c r="Q745" s="8" t="n"/>
      <c r="R745" s="8" t="n"/>
      <c r="S745" s="8" t="n"/>
      <c r="T745" s="7" t="inlineStr">
        <is>
          <t>DIMEC</t>
        </is>
      </c>
      <c r="U745" s="8" t="n">
        <v>10.49</v>
      </c>
      <c r="V745" s="14">
        <f>U745/J745-1</f>
        <v/>
      </c>
      <c r="W745" s="14">
        <f>U745/H745-1</f>
        <v/>
      </c>
      <c r="X745" s="16" t="inlineStr">
        <is>
          <t>ACIMA +22.4%</t>
        </is>
      </c>
      <c r="Y745" s="7" t="inlineStr"/>
    </row>
    <row r="746">
      <c r="A746" s="7" t="n">
        <v>35203</v>
      </c>
      <c r="B746" s="12" t="inlineStr">
        <is>
          <t>7896714292267</t>
        </is>
      </c>
      <c r="C746" s="7" t="inlineStr">
        <is>
          <t>CETOROLACO DE TROMETAMOL 10MG 10 CPR SUBL</t>
        </is>
      </c>
      <c r="D746" s="7" t="inlineStr">
        <is>
          <t>GENERICO</t>
        </is>
      </c>
      <c r="E746" s="7" t="inlineStr">
        <is>
          <t>C</t>
        </is>
      </c>
      <c r="F746" s="13" t="n">
        <v>2</v>
      </c>
      <c r="G746" s="13" t="n">
        <v>2</v>
      </c>
      <c r="H746" s="8" t="n">
        <v>12.97</v>
      </c>
      <c r="I746" s="8" t="n">
        <v>12.97</v>
      </c>
      <c r="J746" s="8" t="n">
        <v>12.97</v>
      </c>
      <c r="K746" s="8" t="n"/>
      <c r="L746" s="8" t="n"/>
      <c r="M746" s="8" t="n"/>
      <c r="N746" s="8" t="n"/>
      <c r="O746" s="8" t="n">
        <v>14.95</v>
      </c>
      <c r="P746" s="8" t="n"/>
      <c r="Q746" s="15" t="n">
        <v>12.97</v>
      </c>
      <c r="R746" s="8" t="n"/>
      <c r="S746" s="8" t="n"/>
      <c r="T746" s="7" t="inlineStr">
        <is>
          <t>MEDCENTRO</t>
        </is>
      </c>
      <c r="U746" s="8" t="n">
        <v>12.97</v>
      </c>
      <c r="V746" s="14">
        <f>U746/J746-1</f>
        <v/>
      </c>
      <c r="W746" s="14">
        <f>U746/H746-1</f>
        <v/>
      </c>
      <c r="X746" s="17" t="inlineStr">
        <is>
          <t>OK (≤ menor hist.)</t>
        </is>
      </c>
      <c r="Y746" s="7" t="inlineStr"/>
    </row>
    <row r="747">
      <c r="A747" s="7" t="n">
        <v>653431</v>
      </c>
      <c r="B747" s="12" t="inlineStr">
        <is>
          <t>7896699016896</t>
        </is>
      </c>
      <c r="C747" s="7" t="inlineStr">
        <is>
          <t>CH TIP SIL O T2 AZUL - LOLLY</t>
        </is>
      </c>
      <c r="D747" s="7" t="inlineStr">
        <is>
          <t>BABY/KIDS</t>
        </is>
      </c>
      <c r="E747" s="7" t="inlineStr">
        <is>
          <t>B</t>
        </is>
      </c>
      <c r="F747" s="13" t="n">
        <v>2</v>
      </c>
      <c r="G747" s="13" t="n">
        <v>2</v>
      </c>
      <c r="H747" s="8" t="n">
        <v>8.220000000000001</v>
      </c>
      <c r="I747" s="8" t="n">
        <v>8.220000000000001</v>
      </c>
      <c r="J747" s="8" t="n">
        <v>8.220000000000001</v>
      </c>
      <c r="K747" s="8" t="n"/>
      <c r="L747" s="8" t="n"/>
      <c r="M747" s="8" t="n"/>
      <c r="N747" s="8" t="n"/>
      <c r="O747" s="8" t="n"/>
      <c r="P747" s="8" t="n"/>
      <c r="Q747" s="8" t="n"/>
      <c r="R747" s="8" t="n"/>
      <c r="S747" s="8" t="n"/>
      <c r="T747" s="7" t="inlineStr">
        <is>
          <t>SEM COTAÇÃO</t>
        </is>
      </c>
      <c r="U747" s="8" t="n"/>
      <c r="V747" s="14" t="n"/>
      <c r="W747" s="14" t="n"/>
      <c r="X747" s="7" t="inlineStr"/>
      <c r="Y747" s="7" t="inlineStr"/>
    </row>
    <row r="748">
      <c r="A748" s="7" t="n">
        <v>592041</v>
      </c>
      <c r="B748" s="12" t="inlineStr">
        <is>
          <t>7891000464908</t>
        </is>
      </c>
      <c r="C748" s="7" t="inlineStr">
        <is>
          <t>CHARGE CHOCOLATE 40G</t>
        </is>
      </c>
      <c r="D748" s="7" t="inlineStr">
        <is>
          <t>CONVENIENCIA</t>
        </is>
      </c>
      <c r="E748" s="7" t="inlineStr">
        <is>
          <t>C</t>
        </is>
      </c>
      <c r="F748" s="13" t="n">
        <v>1</v>
      </c>
      <c r="G748" s="13" t="n">
        <v>14</v>
      </c>
      <c r="H748" s="8" t="n">
        <v>5.9067</v>
      </c>
      <c r="I748" s="8" t="n">
        <v>5.9067</v>
      </c>
      <c r="J748" s="8" t="n">
        <v>5.9067</v>
      </c>
      <c r="K748" s="8" t="n"/>
      <c r="L748" s="8" t="n"/>
      <c r="M748" s="8" t="n"/>
      <c r="N748" s="8" t="n"/>
      <c r="O748" s="8" t="n"/>
      <c r="P748" s="8" t="n"/>
      <c r="Q748" s="8" t="n"/>
      <c r="R748" s="8" t="n"/>
      <c r="S748" s="8" t="n"/>
      <c r="T748" s="7" t="inlineStr">
        <is>
          <t>SEM COTAÇÃO</t>
        </is>
      </c>
      <c r="U748" s="8" t="n"/>
      <c r="V748" s="14" t="n"/>
      <c r="W748" s="14" t="n"/>
      <c r="X748" s="7" t="inlineStr"/>
      <c r="Y748" s="7" t="inlineStr"/>
    </row>
    <row r="749">
      <c r="A749" s="7" t="n">
        <v>13103</v>
      </c>
      <c r="B749" s="12" t="inlineStr">
        <is>
          <t>7892840824976</t>
        </is>
      </c>
      <c r="C749" s="7" t="inlineStr">
        <is>
          <t>CHEETOS BOLA 33GR UN 1X33GR QTD. 10.00 UN</t>
        </is>
      </c>
      <c r="D749" s="7" t="inlineStr">
        <is>
          <t>CONVENIENCIA</t>
        </is>
      </c>
      <c r="E749" s="7" t="inlineStr">
        <is>
          <t>A</t>
        </is>
      </c>
      <c r="F749" s="13" t="n">
        <v>8</v>
      </c>
      <c r="G749" s="13" t="n">
        <v>8</v>
      </c>
      <c r="H749" s="8" t="n">
        <v>3.93</v>
      </c>
      <c r="I749" s="8" t="n">
        <v>3.93</v>
      </c>
      <c r="J749" s="8" t="n">
        <v>3.93</v>
      </c>
      <c r="K749" s="8" t="n"/>
      <c r="L749" s="8" t="n"/>
      <c r="M749" s="8" t="n"/>
      <c r="N749" s="8" t="n"/>
      <c r="O749" s="8" t="n"/>
      <c r="P749" s="8" t="n"/>
      <c r="Q749" s="8" t="n"/>
      <c r="R749" s="8" t="n"/>
      <c r="S749" s="8" t="n"/>
      <c r="T749" s="7" t="inlineStr">
        <is>
          <t>SEM COTAÇÃO</t>
        </is>
      </c>
      <c r="U749" s="8" t="n"/>
      <c r="V749" s="14" t="n"/>
      <c r="W749" s="14" t="n"/>
      <c r="X749" s="7" t="inlineStr"/>
      <c r="Y749" s="7" t="inlineStr"/>
    </row>
    <row r="750">
      <c r="A750" s="7" t="n">
        <v>34603</v>
      </c>
      <c r="B750" s="12" t="inlineStr">
        <is>
          <t>7892840824105</t>
        </is>
      </c>
      <c r="C750" s="7" t="inlineStr">
        <is>
          <t>CHEETOS CRUNCHY MCHEDDAR 48GR UN 1X48GR QTD. 6.00 UN</t>
        </is>
      </c>
      <c r="D750" s="7" t="inlineStr">
        <is>
          <t>CONVENIENCIA</t>
        </is>
      </c>
      <c r="E750" s="7" t="inlineStr">
        <is>
          <t>C</t>
        </is>
      </c>
      <c r="F750" s="13" t="n">
        <v>2</v>
      </c>
      <c r="G750" s="13" t="n">
        <v>2</v>
      </c>
      <c r="H750" s="8" t="n">
        <v>3.42</v>
      </c>
      <c r="I750" s="8" t="n">
        <v>3.42</v>
      </c>
      <c r="J750" s="8" t="n">
        <v>3.42</v>
      </c>
      <c r="K750" s="8" t="n"/>
      <c r="L750" s="8" t="n"/>
      <c r="M750" s="8" t="n"/>
      <c r="N750" s="8" t="n"/>
      <c r="O750" s="8" t="n"/>
      <c r="P750" s="8" t="n"/>
      <c r="Q750" s="8" t="n"/>
      <c r="R750" s="8" t="n"/>
      <c r="S750" s="8" t="n"/>
      <c r="T750" s="7" t="inlineStr">
        <is>
          <t>SEM COTAÇÃO</t>
        </is>
      </c>
      <c r="U750" s="8" t="n"/>
      <c r="V750" s="14" t="n"/>
      <c r="W750" s="14" t="n"/>
      <c r="X750" s="7" t="inlineStr"/>
      <c r="Y750" s="7" t="inlineStr"/>
    </row>
    <row r="751">
      <c r="A751" s="7" t="n">
        <v>609571</v>
      </c>
      <c r="B751" s="12" t="inlineStr">
        <is>
          <t>78927995</t>
        </is>
      </c>
      <c r="C751" s="7" t="inlineStr">
        <is>
          <t>CHICL ARCOR POOSH HORTELA</t>
        </is>
      </c>
      <c r="D751" s="7" t="inlineStr">
        <is>
          <t>CONVENIENCIA</t>
        </is>
      </c>
      <c r="E751" s="7" t="inlineStr">
        <is>
          <t>C</t>
        </is>
      </c>
      <c r="F751" s="13" t="n">
        <v>1</v>
      </c>
      <c r="G751" s="13" t="n">
        <v>1</v>
      </c>
      <c r="H751" s="8" t="n">
        <v>5.2</v>
      </c>
      <c r="I751" s="8" t="n">
        <v>5.2</v>
      </c>
      <c r="J751" s="8" t="n">
        <v>5.2</v>
      </c>
      <c r="K751" s="8" t="n"/>
      <c r="L751" s="8" t="n"/>
      <c r="M751" s="8" t="n"/>
      <c r="N751" s="8" t="n"/>
      <c r="O751" s="8" t="n"/>
      <c r="P751" s="8" t="n"/>
      <c r="Q751" s="8" t="n"/>
      <c r="R751" s="8" t="n"/>
      <c r="S751" s="8" t="n"/>
      <c r="T751" s="7" t="inlineStr">
        <is>
          <t>SEM COTAÇÃO</t>
        </is>
      </c>
      <c r="U751" s="8" t="n"/>
      <c r="V751" s="14" t="n"/>
      <c r="W751" s="14" t="n"/>
      <c r="X751" s="7" t="inlineStr"/>
      <c r="Y751" s="7" t="inlineStr"/>
    </row>
    <row r="752">
      <c r="A752" s="7" t="n">
        <v>334</v>
      </c>
      <c r="B752" s="12" t="inlineStr">
        <is>
          <t>7891118025923</t>
        </is>
      </c>
      <c r="C752" s="7" t="inlineStr">
        <is>
          <t>CHICLE BIG BIG MENTA</t>
        </is>
      </c>
      <c r="D752" s="7" t="inlineStr">
        <is>
          <t>CONVENIENCIA</t>
        </is>
      </c>
      <c r="E752" s="7" t="inlineStr">
        <is>
          <t>C</t>
        </is>
      </c>
      <c r="F752" s="13" t="n">
        <v>1</v>
      </c>
      <c r="G752" s="13" t="n">
        <v>71</v>
      </c>
      <c r="H752" s="8" t="n">
        <v>0.1003</v>
      </c>
      <c r="I752" s="8" t="n">
        <v>0.1003</v>
      </c>
      <c r="J752" s="8" t="n">
        <v>0.1003</v>
      </c>
      <c r="K752" s="8" t="n"/>
      <c r="L752" s="8" t="n"/>
      <c r="M752" s="8" t="n"/>
      <c r="N752" s="8" t="n"/>
      <c r="O752" s="8" t="n"/>
      <c r="P752" s="8" t="n"/>
      <c r="Q752" s="8" t="n"/>
      <c r="R752" s="8" t="n"/>
      <c r="S752" s="8" t="n"/>
      <c r="T752" s="7" t="inlineStr">
        <is>
          <t>SEM COTAÇÃO</t>
        </is>
      </c>
      <c r="U752" s="8" t="n"/>
      <c r="V752" s="14" t="n"/>
      <c r="W752" s="14" t="n"/>
      <c r="X752" s="7" t="inlineStr"/>
      <c r="Y752" s="7" t="inlineStr"/>
    </row>
    <row r="753">
      <c r="A753" s="7" t="n">
        <v>639211</v>
      </c>
      <c r="B753" s="12" t="inlineStr">
        <is>
          <t>7895800151426</t>
        </is>
      </c>
      <c r="C753" s="7" t="inlineStr">
        <is>
          <t>CHICLETE BUBBALOO MORANGO</t>
        </is>
      </c>
      <c r="D753" s="7" t="inlineStr">
        <is>
          <t>CONVENIENCIA</t>
        </is>
      </c>
      <c r="E753" s="7" t="inlineStr">
        <is>
          <t>C</t>
        </is>
      </c>
      <c r="F753" s="13" t="n">
        <v>1</v>
      </c>
      <c r="G753" s="13" t="n">
        <v>1</v>
      </c>
      <c r="H753" s="8" t="n">
        <v>0.5946</v>
      </c>
      <c r="I753" s="8" t="n">
        <v>0.5946</v>
      </c>
      <c r="J753" s="8" t="n">
        <v>0.5946</v>
      </c>
      <c r="K753" s="8" t="n"/>
      <c r="L753" s="8" t="n"/>
      <c r="M753" s="8" t="n"/>
      <c r="N753" s="8" t="n"/>
      <c r="O753" s="8" t="n"/>
      <c r="P753" s="8" t="n"/>
      <c r="Q753" s="8" t="n"/>
      <c r="R753" s="8" t="n"/>
      <c r="S753" s="8" t="n"/>
      <c r="T753" s="7" t="inlineStr">
        <is>
          <t>SEM COTAÇÃO</t>
        </is>
      </c>
      <c r="U753" s="8" t="n"/>
      <c r="V753" s="14" t="n"/>
      <c r="W753" s="14" t="n"/>
      <c r="X753" s="7" t="inlineStr"/>
      <c r="Y753" s="7" t="inlineStr"/>
    </row>
    <row r="754">
      <c r="A754" s="7" t="n">
        <v>639201</v>
      </c>
      <c r="B754" s="12" t="inlineStr">
        <is>
          <t>7895800151570</t>
        </is>
      </c>
      <c r="C754" s="7" t="inlineStr">
        <is>
          <t>CHICLETE BUBBALOO UVA</t>
        </is>
      </c>
      <c r="D754" s="7" t="inlineStr">
        <is>
          <t>CONVENIENCIA</t>
        </is>
      </c>
      <c r="E754" s="7" t="inlineStr">
        <is>
          <t>C</t>
        </is>
      </c>
      <c r="F754" s="13" t="n">
        <v>1</v>
      </c>
      <c r="G754" s="13" t="n">
        <v>1</v>
      </c>
      <c r="H754" s="8" t="n">
        <v>0.5946</v>
      </c>
      <c r="I754" s="8" t="n">
        <v>0.5946</v>
      </c>
      <c r="J754" s="8" t="n">
        <v>0.5946</v>
      </c>
      <c r="K754" s="8" t="n"/>
      <c r="L754" s="8" t="n"/>
      <c r="M754" s="8" t="n"/>
      <c r="N754" s="8" t="n"/>
      <c r="O754" s="8" t="n"/>
      <c r="P754" s="8" t="n"/>
      <c r="Q754" s="8" t="n"/>
      <c r="R754" s="8" t="n"/>
      <c r="S754" s="8" t="n"/>
      <c r="T754" s="7" t="inlineStr">
        <is>
          <t>SEM COTAÇÃO</t>
        </is>
      </c>
      <c r="U754" s="8" t="n"/>
      <c r="V754" s="14" t="n"/>
      <c r="W754" s="14" t="n"/>
      <c r="X754" s="7" t="inlineStr"/>
      <c r="Y754" s="7" t="inlineStr"/>
    </row>
    <row r="755">
      <c r="A755" s="7" t="n">
        <v>555121</v>
      </c>
      <c r="B755" s="12" t="inlineStr">
        <is>
          <t>78932609</t>
        </is>
      </c>
      <c r="C755" s="7" t="inlineStr">
        <is>
          <t>CHICLETS HORTELÃ 2,8G UNIT</t>
        </is>
      </c>
      <c r="D755" s="7" t="inlineStr">
        <is>
          <t>CONVENIENCIA</t>
        </is>
      </c>
      <c r="E755" s="7" t="inlineStr">
        <is>
          <t>C</t>
        </is>
      </c>
      <c r="F755" s="13" t="n">
        <v>1</v>
      </c>
      <c r="G755" s="13" t="n">
        <v>13</v>
      </c>
      <c r="H755" s="8" t="n">
        <v>0.28</v>
      </c>
      <c r="I755" s="8" t="n">
        <v>0.25</v>
      </c>
      <c r="J755" s="8" t="n">
        <v>0.27</v>
      </c>
      <c r="K755" s="8" t="n"/>
      <c r="L755" s="8" t="n"/>
      <c r="M755" s="8" t="n"/>
      <c r="N755" s="8" t="n"/>
      <c r="O755" s="8" t="n"/>
      <c r="P755" s="8" t="n"/>
      <c r="Q755" s="8" t="n"/>
      <c r="R755" s="8" t="n"/>
      <c r="S755" s="8" t="n"/>
      <c r="T755" s="7" t="inlineStr">
        <is>
          <t>SEM COTAÇÃO</t>
        </is>
      </c>
      <c r="U755" s="8" t="n"/>
      <c r="V755" s="14" t="n"/>
      <c r="W755" s="14" t="n"/>
      <c r="X755" s="7" t="inlineStr"/>
      <c r="Y755" s="7" t="inlineStr"/>
    </row>
    <row r="756">
      <c r="A756" s="7" t="n">
        <v>706001</v>
      </c>
      <c r="B756" s="12" t="inlineStr">
        <is>
          <t>7891000477274</t>
        </is>
      </c>
      <c r="C756" s="7" t="inlineStr">
        <is>
          <t>CHOC CHOCOSTICK TRIPLOCHOC 26G</t>
        </is>
      </c>
      <c r="D756" s="7" t="inlineStr">
        <is>
          <t>CHOCOLATES</t>
        </is>
      </c>
      <c r="E756" s="7" t="inlineStr">
        <is>
          <t>C</t>
        </is>
      </c>
      <c r="F756" s="13" t="n">
        <v>2</v>
      </c>
      <c r="G756" s="13" t="n">
        <v>21</v>
      </c>
      <c r="H756" s="8" t="n">
        <v>2.0075</v>
      </c>
      <c r="I756" s="8" t="n">
        <v>2.0075</v>
      </c>
      <c r="J756" s="8" t="n">
        <v>2.0075</v>
      </c>
      <c r="K756" s="8" t="n"/>
      <c r="L756" s="8" t="n"/>
      <c r="M756" s="8" t="n"/>
      <c r="N756" s="8" t="n"/>
      <c r="O756" s="8" t="n"/>
      <c r="P756" s="8" t="n"/>
      <c r="Q756" s="8" t="n"/>
      <c r="R756" s="8" t="n"/>
      <c r="S756" s="8" t="n"/>
      <c r="T756" s="7" t="inlineStr">
        <is>
          <t>SEM COTAÇÃO</t>
        </is>
      </c>
      <c r="U756" s="8" t="n"/>
      <c r="V756" s="14" t="n"/>
      <c r="W756" s="14" t="n"/>
      <c r="X756" s="7" t="inlineStr"/>
      <c r="Y756" s="7" t="inlineStr"/>
    </row>
    <row r="757">
      <c r="A757" s="7" t="n">
        <v>542801</v>
      </c>
      <c r="B757" s="12" t="inlineStr">
        <is>
          <t>78912359</t>
        </is>
      </c>
      <c r="C757" s="7" t="inlineStr">
        <is>
          <t>CHOC GAROTO BATON AO LEITE 16G</t>
        </is>
      </c>
      <c r="D757" s="7" t="inlineStr">
        <is>
          <t>CHOCOLATES</t>
        </is>
      </c>
      <c r="E757" s="7" t="inlineStr">
        <is>
          <t>B</t>
        </is>
      </c>
      <c r="F757" s="13" t="n">
        <v>3</v>
      </c>
      <c r="G757" s="13" t="n">
        <v>70</v>
      </c>
      <c r="H757" s="8" t="n">
        <v>1.4757</v>
      </c>
      <c r="I757" s="8" t="n">
        <v>1.103</v>
      </c>
      <c r="J757" s="8" t="n">
        <v>1.332133333333333</v>
      </c>
      <c r="K757" s="8" t="n"/>
      <c r="L757" s="8" t="n"/>
      <c r="M757" s="8" t="n"/>
      <c r="N757" s="8" t="n"/>
      <c r="O757" s="8" t="n"/>
      <c r="P757" s="8" t="n"/>
      <c r="Q757" s="8" t="n"/>
      <c r="R757" s="8" t="n"/>
      <c r="S757" s="8" t="n"/>
      <c r="T757" s="7" t="inlineStr">
        <is>
          <t>SEM COTAÇÃO</t>
        </is>
      </c>
      <c r="U757" s="8" t="n"/>
      <c r="V757" s="14" t="n"/>
      <c r="W757" s="14" t="n"/>
      <c r="X757" s="7" t="inlineStr"/>
      <c r="Y757" s="7" t="inlineStr"/>
    </row>
    <row r="758">
      <c r="A758" s="7" t="n">
        <v>705501</v>
      </c>
      <c r="B758" s="12" t="inlineStr">
        <is>
          <t>7622300862282</t>
        </is>
      </c>
      <c r="C758" s="7" t="inlineStr">
        <is>
          <t>CHOC LACTA 20X20G DIAM NEGRO</t>
        </is>
      </c>
      <c r="D758" s="7" t="inlineStr">
        <is>
          <t>CHOCOLATES</t>
        </is>
      </c>
      <c r="E758" s="7" t="inlineStr">
        <is>
          <t>B</t>
        </is>
      </c>
      <c r="F758" s="13" t="n">
        <v>7</v>
      </c>
      <c r="G758" s="13" t="n">
        <v>7</v>
      </c>
      <c r="H758" s="8" t="n">
        <v>2.99</v>
      </c>
      <c r="I758" s="8" t="n">
        <v>2.99</v>
      </c>
      <c r="J758" s="8" t="n">
        <v>2.99</v>
      </c>
      <c r="K758" s="8" t="n"/>
      <c r="L758" s="8" t="n"/>
      <c r="M758" s="8" t="n"/>
      <c r="N758" s="8" t="n"/>
      <c r="O758" s="8" t="n"/>
      <c r="P758" s="8" t="n"/>
      <c r="Q758" s="8" t="n"/>
      <c r="R758" s="8" t="n"/>
      <c r="S758" s="8" t="n"/>
      <c r="T758" s="7" t="inlineStr">
        <is>
          <t>SEM COTAÇÃO</t>
        </is>
      </c>
      <c r="U758" s="8" t="n"/>
      <c r="V758" s="14" t="n"/>
      <c r="W758" s="14" t="n"/>
      <c r="X758" s="7" t="inlineStr"/>
      <c r="Y758" s="7" t="inlineStr"/>
    </row>
    <row r="759">
      <c r="A759" s="7" t="n">
        <v>650211</v>
      </c>
      <c r="B759" s="12" t="inlineStr">
        <is>
          <t>7622300867119</t>
        </is>
      </c>
      <c r="C759" s="7" t="inlineStr">
        <is>
          <t>CHOC LACTA 5STAR 40G</t>
        </is>
      </c>
      <c r="D759" s="7" t="inlineStr">
        <is>
          <t>CHOCOLATES</t>
        </is>
      </c>
      <c r="E759" s="7" t="inlineStr">
        <is>
          <t>A</t>
        </is>
      </c>
      <c r="F759" s="13" t="n">
        <v>20</v>
      </c>
      <c r="G759" s="13" t="n">
        <v>20</v>
      </c>
      <c r="H759" s="8" t="n">
        <v>3.49</v>
      </c>
      <c r="I759" s="8" t="n">
        <v>3.49</v>
      </c>
      <c r="J759" s="8" t="n">
        <v>3.49</v>
      </c>
      <c r="K759" s="8" t="n"/>
      <c r="L759" s="8" t="n"/>
      <c r="M759" s="8" t="n"/>
      <c r="N759" s="8" t="n"/>
      <c r="O759" s="8" t="n"/>
      <c r="P759" s="8" t="n"/>
      <c r="Q759" s="8" t="n"/>
      <c r="R759" s="8" t="n"/>
      <c r="S759" s="8" t="n"/>
      <c r="T759" s="7" t="inlineStr">
        <is>
          <t>SEM COTAÇÃO</t>
        </is>
      </c>
      <c r="U759" s="8" t="n"/>
      <c r="V759" s="14" t="n"/>
      <c r="W759" s="14" t="n"/>
      <c r="X759" s="7" t="inlineStr"/>
      <c r="Y759" s="7" t="inlineStr"/>
    </row>
    <row r="760">
      <c r="A760" s="7" t="n">
        <v>656811</v>
      </c>
      <c r="B760" s="12" t="inlineStr">
        <is>
          <t>7622202258459</t>
        </is>
      </c>
      <c r="C760" s="7" t="inlineStr">
        <is>
          <t>CHOC LACTA AO LEITE 12X28G</t>
        </is>
      </c>
      <c r="D760" s="7" t="inlineStr">
        <is>
          <t>CHOCOLATES</t>
        </is>
      </c>
      <c r="E760" s="7" t="inlineStr">
        <is>
          <t>C</t>
        </is>
      </c>
      <c r="F760" s="13" t="n">
        <v>8</v>
      </c>
      <c r="G760" s="13" t="n">
        <v>8</v>
      </c>
      <c r="H760" s="8" t="n">
        <v>3.4</v>
      </c>
      <c r="I760" s="8" t="n">
        <v>3.4</v>
      </c>
      <c r="J760" s="8" t="n">
        <v>3.4</v>
      </c>
      <c r="K760" s="8" t="n"/>
      <c r="L760" s="8" t="n"/>
      <c r="M760" s="8" t="n"/>
      <c r="N760" s="8" t="n"/>
      <c r="O760" s="8" t="n"/>
      <c r="P760" s="8" t="n"/>
      <c r="Q760" s="8" t="n"/>
      <c r="R760" s="8" t="n"/>
      <c r="S760" s="8" t="n"/>
      <c r="T760" s="7" t="inlineStr">
        <is>
          <t>SEM COTAÇÃO</t>
        </is>
      </c>
      <c r="U760" s="8" t="n"/>
      <c r="V760" s="14" t="n"/>
      <c r="W760" s="14" t="n"/>
      <c r="X760" s="7" t="inlineStr"/>
      <c r="Y760" s="7" t="inlineStr"/>
    </row>
    <row r="761">
      <c r="A761" s="7" t="n">
        <v>656851</v>
      </c>
      <c r="B761" s="12" t="inlineStr">
        <is>
          <t>7622202256691</t>
        </is>
      </c>
      <c r="C761" s="7" t="inlineStr">
        <is>
          <t>CHOC LACTA DIAMANTE NEGRO 12X28G</t>
        </is>
      </c>
      <c r="D761" s="7" t="inlineStr">
        <is>
          <t>CHOCOLATES</t>
        </is>
      </c>
      <c r="E761" s="7" t="inlineStr">
        <is>
          <t>B</t>
        </is>
      </c>
      <c r="F761" s="13" t="n">
        <v>16</v>
      </c>
      <c r="G761" s="13" t="n">
        <v>16</v>
      </c>
      <c r="H761" s="8" t="n">
        <v>3.4</v>
      </c>
      <c r="I761" s="8" t="n">
        <v>3.4</v>
      </c>
      <c r="J761" s="8" t="n">
        <v>3.4</v>
      </c>
      <c r="K761" s="8" t="n"/>
      <c r="L761" s="8" t="n"/>
      <c r="M761" s="8" t="n"/>
      <c r="N761" s="8" t="n"/>
      <c r="O761" s="8" t="n"/>
      <c r="P761" s="8" t="n"/>
      <c r="Q761" s="8" t="n"/>
      <c r="R761" s="8" t="n"/>
      <c r="S761" s="8" t="n"/>
      <c r="T761" s="7" t="inlineStr">
        <is>
          <t>SEM COTAÇÃO</t>
        </is>
      </c>
      <c r="U761" s="8" t="n"/>
      <c r="V761" s="14" t="n"/>
      <c r="W761" s="14" t="n"/>
      <c r="X761" s="7" t="inlineStr"/>
      <c r="Y761" s="7" t="inlineStr"/>
    </row>
    <row r="762">
      <c r="A762" s="7" t="n">
        <v>658401</v>
      </c>
      <c r="B762" s="12" t="inlineStr">
        <is>
          <t>7622202256714</t>
        </is>
      </c>
      <c r="C762" s="7" t="inlineStr">
        <is>
          <t>CHOC LACTA LAKA 12X28G</t>
        </is>
      </c>
      <c r="D762" s="7" t="inlineStr">
        <is>
          <t>CHOCOLATES</t>
        </is>
      </c>
      <c r="E762" s="7" t="inlineStr">
        <is>
          <t>C</t>
        </is>
      </c>
      <c r="F762" s="13" t="n">
        <v>13</v>
      </c>
      <c r="G762" s="13" t="n">
        <v>13</v>
      </c>
      <c r="H762" s="8" t="n">
        <v>3.4</v>
      </c>
      <c r="I762" s="8" t="n">
        <v>3.4</v>
      </c>
      <c r="J762" s="8" t="n">
        <v>3.4</v>
      </c>
      <c r="K762" s="8" t="n"/>
      <c r="L762" s="8" t="n"/>
      <c r="M762" s="8" t="n"/>
      <c r="N762" s="8" t="n"/>
      <c r="O762" s="8" t="n"/>
      <c r="P762" s="8" t="n"/>
      <c r="Q762" s="8" t="n"/>
      <c r="R762" s="8" t="n"/>
      <c r="S762" s="8" t="n"/>
      <c r="T762" s="7" t="inlineStr">
        <is>
          <t>SEM COTAÇÃO</t>
        </is>
      </c>
      <c r="U762" s="8" t="n"/>
      <c r="V762" s="14" t="n"/>
      <c r="W762" s="14" t="n"/>
      <c r="X762" s="7" t="inlineStr"/>
      <c r="Y762" s="7" t="inlineStr"/>
    </row>
    <row r="763">
      <c r="A763" s="7" t="n">
        <v>650201</v>
      </c>
      <c r="B763" s="12" t="inlineStr">
        <is>
          <t>7622210573346</t>
        </is>
      </c>
      <c r="C763" s="7" t="inlineStr">
        <is>
          <t>CHOC LACTA LAKA 34G</t>
        </is>
      </c>
      <c r="D763" s="7" t="inlineStr">
        <is>
          <t>CHOCOLATES</t>
        </is>
      </c>
      <c r="E763" s="7" t="inlineStr">
        <is>
          <t>C</t>
        </is>
      </c>
      <c r="F763" s="13" t="n">
        <v>1</v>
      </c>
      <c r="G763" s="13" t="n">
        <v>1</v>
      </c>
      <c r="H763" s="8" t="n">
        <v>2.9908</v>
      </c>
      <c r="I763" s="8" t="n">
        <v>2.9908</v>
      </c>
      <c r="J763" s="8" t="n">
        <v>2.9908</v>
      </c>
      <c r="K763" s="8" t="n"/>
      <c r="L763" s="8" t="n"/>
      <c r="M763" s="8" t="n"/>
      <c r="N763" s="8" t="n"/>
      <c r="O763" s="8" t="n"/>
      <c r="P763" s="8" t="n"/>
      <c r="Q763" s="8" t="n"/>
      <c r="R763" s="8" t="n"/>
      <c r="S763" s="8" t="n"/>
      <c r="T763" s="7" t="inlineStr">
        <is>
          <t>SEM COTAÇÃO</t>
        </is>
      </c>
      <c r="U763" s="8" t="n"/>
      <c r="V763" s="14" t="n"/>
      <c r="W763" s="14" t="n"/>
      <c r="X763" s="7" t="inlineStr"/>
      <c r="Y763" s="7" t="inlineStr"/>
    </row>
    <row r="764">
      <c r="A764" s="7" t="n">
        <v>658411</v>
      </c>
      <c r="B764" s="12" t="inlineStr">
        <is>
          <t>7622202258046</t>
        </is>
      </c>
      <c r="C764" s="7" t="inlineStr">
        <is>
          <t>CHOC LACTA OREO 540G</t>
        </is>
      </c>
      <c r="D764" s="7" t="inlineStr">
        <is>
          <t>CHOCOLATES</t>
        </is>
      </c>
      <c r="E764" s="7" t="inlineStr">
        <is>
          <t>C</t>
        </is>
      </c>
      <c r="F764" s="13" t="n">
        <v>5</v>
      </c>
      <c r="G764" s="13" t="n">
        <v>5</v>
      </c>
      <c r="H764" s="8" t="n">
        <v>1.07</v>
      </c>
      <c r="I764" s="8" t="n">
        <v>1.07</v>
      </c>
      <c r="J764" s="8" t="n">
        <v>1.07</v>
      </c>
      <c r="K764" s="8" t="n"/>
      <c r="L764" s="8" t="n"/>
      <c r="M764" s="8" t="n"/>
      <c r="N764" s="8" t="n"/>
      <c r="O764" s="8" t="n"/>
      <c r="P764" s="8" t="n"/>
      <c r="Q764" s="8" t="n"/>
      <c r="R764" s="8" t="n"/>
      <c r="S764" s="8" t="n"/>
      <c r="T764" s="7" t="inlineStr">
        <is>
          <t>SEM COTAÇÃO</t>
        </is>
      </c>
      <c r="U764" s="8" t="n"/>
      <c r="V764" s="14" t="n"/>
      <c r="W764" s="14" t="n"/>
      <c r="X764" s="7" t="inlineStr"/>
      <c r="Y764" s="7" t="inlineStr"/>
    </row>
    <row r="765">
      <c r="A765" s="7" t="n">
        <v>652581</v>
      </c>
      <c r="B765" s="12" t="inlineStr">
        <is>
          <t>78939301</t>
        </is>
      </c>
      <c r="C765" s="7" t="inlineStr">
        <is>
          <t>CHOC LACTA SONHO VALSA 1KG</t>
        </is>
      </c>
      <c r="D765" s="7" t="inlineStr">
        <is>
          <t>CHOCOLATES</t>
        </is>
      </c>
      <c r="E765" s="7" t="inlineStr">
        <is>
          <t>B</t>
        </is>
      </c>
      <c r="F765" s="13" t="n">
        <v>2</v>
      </c>
      <c r="G765" s="13" t="n">
        <v>2</v>
      </c>
      <c r="H765" s="8" t="n">
        <v>1.1</v>
      </c>
      <c r="I765" s="8" t="n">
        <v>1.02</v>
      </c>
      <c r="J765" s="8" t="n">
        <v>1.066666666666667</v>
      </c>
      <c r="K765" s="8" t="n"/>
      <c r="L765" s="8" t="n"/>
      <c r="M765" s="8" t="n"/>
      <c r="N765" s="8" t="n"/>
      <c r="O765" s="8" t="n"/>
      <c r="P765" s="8" t="n"/>
      <c r="Q765" s="8" t="n"/>
      <c r="R765" s="8" t="n"/>
      <c r="S765" s="8" t="n"/>
      <c r="T765" s="7" t="inlineStr">
        <is>
          <t>SEM COTAÇÃO</t>
        </is>
      </c>
      <c r="U765" s="8" t="n"/>
      <c r="V765" s="14" t="n"/>
      <c r="W765" s="14" t="n"/>
      <c r="X765" s="7" t="inlineStr"/>
      <c r="Y765" s="7" t="inlineStr"/>
    </row>
    <row r="766">
      <c r="A766" s="7" t="n">
        <v>706201</v>
      </c>
      <c r="B766" s="12" t="inlineStr">
        <is>
          <t>7891000477410</t>
        </is>
      </c>
      <c r="C766" s="7" t="inlineStr">
        <is>
          <t>CHOC NEST CHOCOSTICK AVELA 26G</t>
        </is>
      </c>
      <c r="D766" s="7" t="inlineStr">
        <is>
          <t>CHOCOLATES</t>
        </is>
      </c>
      <c r="E766" s="7" t="inlineStr">
        <is>
          <t>B</t>
        </is>
      </c>
      <c r="F766" s="13" t="n">
        <v>3</v>
      </c>
      <c r="G766" s="13" t="n">
        <v>28</v>
      </c>
      <c r="H766" s="8" t="n">
        <v>2.0075</v>
      </c>
      <c r="I766" s="8" t="n">
        <v>2.0075</v>
      </c>
      <c r="J766" s="8" t="n">
        <v>2.0075</v>
      </c>
      <c r="K766" s="8" t="n"/>
      <c r="L766" s="8" t="n"/>
      <c r="M766" s="8" t="n"/>
      <c r="N766" s="8" t="n"/>
      <c r="O766" s="8" t="n"/>
      <c r="P766" s="8" t="n"/>
      <c r="Q766" s="8" t="n"/>
      <c r="R766" s="8" t="n"/>
      <c r="S766" s="8" t="n"/>
      <c r="T766" s="7" t="inlineStr">
        <is>
          <t>SEM COTAÇÃO</t>
        </is>
      </c>
      <c r="U766" s="8" t="n"/>
      <c r="V766" s="14" t="n"/>
      <c r="W766" s="14" t="n"/>
      <c r="X766" s="7" t="inlineStr"/>
      <c r="Y766" s="7" t="inlineStr"/>
    </row>
    <row r="767">
      <c r="A767" s="7" t="n">
        <v>353</v>
      </c>
      <c r="B767" s="12" t="inlineStr">
        <is>
          <t>7614500010013</t>
        </is>
      </c>
      <c r="C767" s="7" t="inlineStr">
        <is>
          <t>CHOC TOBLERONE AO LEITE MILK 100GR</t>
        </is>
      </c>
      <c r="D767" s="7" t="inlineStr">
        <is>
          <t>PERF/COSME</t>
        </is>
      </c>
      <c r="E767" s="7" t="inlineStr">
        <is>
          <t>C</t>
        </is>
      </c>
      <c r="F767" s="13" t="n">
        <v>1</v>
      </c>
      <c r="G767" s="13" t="n">
        <v>1</v>
      </c>
      <c r="H767" s="8" t="n"/>
      <c r="I767" s="8" t="n"/>
      <c r="J767" s="8" t="n"/>
      <c r="K767" s="8" t="n"/>
      <c r="L767" s="8" t="n"/>
      <c r="M767" s="8" t="n"/>
      <c r="N767" s="8" t="n"/>
      <c r="O767" s="8" t="n"/>
      <c r="P767" s="8" t="n"/>
      <c r="Q767" s="8" t="n"/>
      <c r="R767" s="8" t="n"/>
      <c r="S767" s="8" t="n"/>
      <c r="T767" s="7" t="inlineStr">
        <is>
          <t>SEM COTAÇÃO</t>
        </is>
      </c>
      <c r="U767" s="8" t="n"/>
      <c r="V767" s="14" t="n"/>
      <c r="W767" s="14" t="n"/>
      <c r="X767" s="7" t="inlineStr"/>
      <c r="Y767" s="7" t="inlineStr"/>
    </row>
    <row r="768">
      <c r="A768" s="7" t="n">
        <v>658811</v>
      </c>
      <c r="B768" s="12" t="inlineStr">
        <is>
          <t>7622300862367</t>
        </is>
      </c>
      <c r="C768" s="7" t="inlineStr">
        <is>
          <t>CHOC.LACTA AO LEITE 20X20G</t>
        </is>
      </c>
      <c r="D768" s="7" t="inlineStr">
        <is>
          <t>CHOCOLATES</t>
        </is>
      </c>
      <c r="E768" s="7" t="inlineStr">
        <is>
          <t>C</t>
        </is>
      </c>
      <c r="F768" s="13" t="n">
        <v>1</v>
      </c>
      <c r="G768" s="13" t="n">
        <v>3</v>
      </c>
      <c r="H768" s="8" t="n">
        <v>1.6215</v>
      </c>
      <c r="I768" s="8" t="n">
        <v>1.6215</v>
      </c>
      <c r="J768" s="8" t="n">
        <v>1.6215</v>
      </c>
      <c r="K768" s="8" t="n"/>
      <c r="L768" s="8" t="n"/>
      <c r="M768" s="8" t="n"/>
      <c r="N768" s="8" t="n"/>
      <c r="O768" s="8" t="n"/>
      <c r="P768" s="8" t="n"/>
      <c r="Q768" s="8" t="n"/>
      <c r="R768" s="8" t="n"/>
      <c r="S768" s="8" t="n"/>
      <c r="T768" s="7" t="inlineStr">
        <is>
          <t>SEM COTAÇÃO</t>
        </is>
      </c>
      <c r="U768" s="8" t="n"/>
      <c r="V768" s="14" t="n"/>
      <c r="W768" s="14" t="n"/>
      <c r="X768" s="7" t="inlineStr"/>
      <c r="Y768" s="7" t="inlineStr"/>
    </row>
    <row r="769">
      <c r="A769" s="7" t="n">
        <v>671831</v>
      </c>
      <c r="B769" s="12" t="inlineStr">
        <is>
          <t>7891000118597</t>
        </is>
      </c>
      <c r="C769" s="7" t="inlineStr">
        <is>
          <t>CHOC.NESTLE PREST.D.CH.30X33G</t>
        </is>
      </c>
      <c r="D769" s="7" t="inlineStr">
        <is>
          <t>CONVENIENCIA</t>
        </is>
      </c>
      <c r="E769" s="7" t="inlineStr">
        <is>
          <t>C</t>
        </is>
      </c>
      <c r="F769" s="13" t="n">
        <v>1</v>
      </c>
      <c r="G769" s="13" t="n">
        <v>7</v>
      </c>
      <c r="H769" s="8" t="n">
        <v>2.5257</v>
      </c>
      <c r="I769" s="8" t="n">
        <v>2.5257</v>
      </c>
      <c r="J769" s="8" t="n">
        <v>2.5257</v>
      </c>
      <c r="K769" s="8" t="n"/>
      <c r="L769" s="8" t="n"/>
      <c r="M769" s="8" t="n"/>
      <c r="N769" s="8" t="n"/>
      <c r="O769" s="8" t="n"/>
      <c r="P769" s="8" t="n"/>
      <c r="Q769" s="8" t="n"/>
      <c r="R769" s="8" t="n"/>
      <c r="S769" s="8" t="n"/>
      <c r="T769" s="7" t="inlineStr">
        <is>
          <t>SEM COTAÇÃO</t>
        </is>
      </c>
      <c r="U769" s="8" t="n"/>
      <c r="V769" s="14" t="n"/>
      <c r="W769" s="14" t="n"/>
      <c r="X769" s="7" t="inlineStr"/>
      <c r="Y769" s="7" t="inlineStr"/>
    </row>
    <row r="770">
      <c r="A770" s="7" t="n">
        <v>660051</v>
      </c>
      <c r="B770" s="12" t="inlineStr">
        <is>
          <t>7896699011983</t>
        </is>
      </c>
      <c r="C770" s="7" t="inlineStr">
        <is>
          <t>CHOCALHO INFANTIL N - LOLLY</t>
        </is>
      </c>
      <c r="D770" s="7" t="inlineStr">
        <is>
          <t>BABY/KIDS</t>
        </is>
      </c>
      <c r="E770" s="7" t="inlineStr">
        <is>
          <t>B</t>
        </is>
      </c>
      <c r="F770" s="13" t="n">
        <v>1</v>
      </c>
      <c r="G770" s="13" t="n">
        <v>1</v>
      </c>
      <c r="H770" s="8" t="n">
        <v>13.79</v>
      </c>
      <c r="I770" s="8" t="n">
        <v>13.27</v>
      </c>
      <c r="J770" s="8" t="n">
        <v>13.61666666666667</v>
      </c>
      <c r="K770" s="8" t="n"/>
      <c r="L770" s="8" t="n"/>
      <c r="M770" s="8" t="n"/>
      <c r="N770" s="8" t="n"/>
      <c r="O770" s="8" t="n"/>
      <c r="P770" s="8" t="n"/>
      <c r="Q770" s="8" t="n"/>
      <c r="R770" s="8" t="n"/>
      <c r="S770" s="8" t="n"/>
      <c r="T770" s="7" t="inlineStr">
        <is>
          <t>SEM COTAÇÃO</t>
        </is>
      </c>
      <c r="U770" s="8" t="n"/>
      <c r="V770" s="14" t="n"/>
      <c r="W770" s="14" t="n"/>
      <c r="X770" s="7" t="inlineStr"/>
      <c r="Y770" s="7" t="inlineStr"/>
    </row>
    <row r="771">
      <c r="A771" s="7" t="n">
        <v>629761</v>
      </c>
      <c r="B771" s="12" t="inlineStr">
        <is>
          <t>7896699015936</t>
        </is>
      </c>
      <c r="C771" s="7" t="inlineStr">
        <is>
          <t>CHOCALHO LOLLY AZUL</t>
        </is>
      </c>
      <c r="D771" s="7" t="inlineStr">
        <is>
          <t>BABY/KIDS</t>
        </is>
      </c>
      <c r="E771" s="7" t="inlineStr">
        <is>
          <t>C</t>
        </is>
      </c>
      <c r="F771" s="13" t="n">
        <v>1</v>
      </c>
      <c r="G771" s="13" t="n">
        <v>1</v>
      </c>
      <c r="H771" s="8" t="n">
        <v>14.97</v>
      </c>
      <c r="I771" s="8" t="n">
        <v>14.97</v>
      </c>
      <c r="J771" s="8" t="n">
        <v>14.97</v>
      </c>
      <c r="K771" s="8" t="n"/>
      <c r="L771" s="8" t="n"/>
      <c r="M771" s="8" t="n"/>
      <c r="N771" s="8" t="n"/>
      <c r="O771" s="8" t="n"/>
      <c r="P771" s="8" t="n"/>
      <c r="Q771" s="8" t="n"/>
      <c r="R771" s="8" t="n"/>
      <c r="S771" s="8" t="n"/>
      <c r="T771" s="7" t="inlineStr">
        <is>
          <t>SEM COTAÇÃO</t>
        </is>
      </c>
      <c r="U771" s="8" t="n"/>
      <c r="V771" s="14" t="n"/>
      <c r="W771" s="14" t="n"/>
      <c r="X771" s="7" t="inlineStr"/>
      <c r="Y771" s="7" t="inlineStr"/>
    </row>
    <row r="772">
      <c r="A772" s="7" t="n">
        <v>629771</v>
      </c>
      <c r="B772" s="12" t="inlineStr">
        <is>
          <t>7896699015950</t>
        </is>
      </c>
      <c r="C772" s="7" t="inlineStr">
        <is>
          <t>CHOCALHO LOLLY ROSA</t>
        </is>
      </c>
      <c r="D772" s="7" t="inlineStr">
        <is>
          <t>BABY/KIDS</t>
        </is>
      </c>
      <c r="E772" s="7" t="inlineStr">
        <is>
          <t>C</t>
        </is>
      </c>
      <c r="F772" s="13" t="n">
        <v>1</v>
      </c>
      <c r="G772" s="13" t="n">
        <v>1</v>
      </c>
      <c r="H772" s="8" t="n">
        <v>14.49</v>
      </c>
      <c r="I772" s="8" t="n">
        <v>14.49</v>
      </c>
      <c r="J772" s="8" t="n">
        <v>14.49</v>
      </c>
      <c r="K772" s="8" t="n"/>
      <c r="L772" s="8" t="n"/>
      <c r="M772" s="8" t="n"/>
      <c r="N772" s="8" t="n"/>
      <c r="O772" s="8" t="n"/>
      <c r="P772" s="8" t="n"/>
      <c r="Q772" s="8" t="n"/>
      <c r="R772" s="8" t="n"/>
      <c r="S772" s="8" t="n"/>
      <c r="T772" s="7" t="inlineStr">
        <is>
          <t>SEM COTAÇÃO</t>
        </is>
      </c>
      <c r="U772" s="8" t="n"/>
      <c r="V772" s="14" t="n"/>
      <c r="W772" s="14" t="n"/>
      <c r="X772" s="7" t="inlineStr"/>
      <c r="Y772" s="7" t="inlineStr"/>
    </row>
    <row r="773">
      <c r="A773" s="7" t="n">
        <v>580001</v>
      </c>
      <c r="B773" s="12" t="inlineStr">
        <is>
          <t>7891008124224</t>
        </is>
      </c>
      <c r="C773" s="7" t="inlineStr">
        <is>
          <t>CHOCOLATE AO LEITE COM PASTILHAS DE CHOCOLATE COLORIDAS GAROTO CORES PACOTE 80G</t>
        </is>
      </c>
      <c r="D773" s="7" t="inlineStr">
        <is>
          <t>CONVENIENCIA</t>
        </is>
      </c>
      <c r="E773" s="7" t="inlineStr">
        <is>
          <t>C</t>
        </is>
      </c>
      <c r="F773" s="13" t="n">
        <v>1</v>
      </c>
      <c r="G773" s="13" t="n">
        <v>1</v>
      </c>
      <c r="H773" s="8" t="n">
        <v>5.7692</v>
      </c>
      <c r="I773" s="8" t="n">
        <v>5.7692</v>
      </c>
      <c r="J773" s="8" t="n">
        <v>5.769200000000001</v>
      </c>
      <c r="K773" s="8" t="n"/>
      <c r="L773" s="8" t="n"/>
      <c r="M773" s="8" t="n"/>
      <c r="N773" s="8" t="n"/>
      <c r="O773" s="8" t="n"/>
      <c r="P773" s="8" t="n"/>
      <c r="Q773" s="8" t="n"/>
      <c r="R773" s="8" t="n"/>
      <c r="S773" s="8" t="n"/>
      <c r="T773" s="7" t="inlineStr">
        <is>
          <t>SEM COTAÇÃO</t>
        </is>
      </c>
      <c r="U773" s="8" t="n"/>
      <c r="V773" s="14" t="n"/>
      <c r="W773" s="14" t="n"/>
      <c r="X773" s="7" t="inlineStr"/>
      <c r="Y773" s="7" t="inlineStr"/>
    </row>
    <row r="774">
      <c r="A774" s="7" t="n">
        <v>625441</v>
      </c>
      <c r="B774" s="12" t="inlineStr">
        <is>
          <t>7622210575975</t>
        </is>
      </c>
      <c r="C774" s="7" t="inlineStr">
        <is>
          <t>CHOCOLATE BIS LEITE FLOWPACK 100,8G</t>
        </is>
      </c>
      <c r="D774" s="7" t="inlineStr">
        <is>
          <t>CONVENIENCIA</t>
        </is>
      </c>
      <c r="E774" s="7" t="inlineStr">
        <is>
          <t>A</t>
        </is>
      </c>
      <c r="F774" s="13" t="n">
        <v>11</v>
      </c>
      <c r="G774" s="13" t="n">
        <v>11</v>
      </c>
      <c r="H774" s="8" t="n">
        <v>6.99</v>
      </c>
      <c r="I774" s="8" t="n">
        <v>6.99</v>
      </c>
      <c r="J774" s="8" t="n">
        <v>6.989999999999999</v>
      </c>
      <c r="K774" s="8" t="n"/>
      <c r="L774" s="8" t="n"/>
      <c r="M774" s="8" t="n"/>
      <c r="N774" s="8" t="n"/>
      <c r="O774" s="8" t="n"/>
      <c r="P774" s="8" t="n"/>
      <c r="Q774" s="8" t="n"/>
      <c r="R774" s="8" t="n"/>
      <c r="S774" s="8" t="n"/>
      <c r="T774" s="7" t="inlineStr">
        <is>
          <t>SEM COTAÇÃO</t>
        </is>
      </c>
      <c r="U774" s="8" t="n"/>
      <c r="V774" s="14" t="n"/>
      <c r="W774" s="14" t="n"/>
      <c r="X774" s="7" t="inlineStr"/>
      <c r="Y774" s="7" t="inlineStr"/>
    </row>
    <row r="775">
      <c r="A775" s="7" t="n">
        <v>580021</v>
      </c>
      <c r="B775" s="12" t="inlineStr">
        <is>
          <t>7891008124477</t>
        </is>
      </c>
      <c r="C775" s="7" t="inlineStr">
        <is>
          <t>CHOCOLATE BRANCO COM BISCOITO NEGRESCO GAROTO PACOTE 80G</t>
        </is>
      </c>
      <c r="D775" s="7" t="inlineStr">
        <is>
          <t>CONVENIENCIA</t>
        </is>
      </c>
      <c r="E775" s="7" t="inlineStr">
        <is>
          <t>A</t>
        </is>
      </c>
      <c r="F775" s="13" t="n">
        <v>2</v>
      </c>
      <c r="G775" s="13" t="n">
        <v>19</v>
      </c>
      <c r="H775" s="8" t="n">
        <v>6.6956</v>
      </c>
      <c r="I775" s="8" t="n">
        <v>6.6956</v>
      </c>
      <c r="J775" s="8" t="n">
        <v>6.6956</v>
      </c>
      <c r="K775" s="8" t="n"/>
      <c r="L775" s="8" t="n"/>
      <c r="M775" s="8" t="n"/>
      <c r="N775" s="8" t="n"/>
      <c r="O775" s="8" t="n"/>
      <c r="P775" s="8" t="n"/>
      <c r="Q775" s="8" t="n"/>
      <c r="R775" s="8" t="n"/>
      <c r="S775" s="8" t="n"/>
      <c r="T775" s="7" t="inlineStr">
        <is>
          <t>SEM COTAÇÃO</t>
        </is>
      </c>
      <c r="U775" s="8" t="n"/>
      <c r="V775" s="14" t="n"/>
      <c r="W775" s="14" t="n"/>
      <c r="X775" s="7" t="inlineStr"/>
      <c r="Y775" s="7" t="inlineStr"/>
    </row>
    <row r="776">
      <c r="A776" s="7" t="n">
        <v>554961</v>
      </c>
      <c r="B776" s="12" t="inlineStr">
        <is>
          <t>7891000368626</t>
        </is>
      </c>
      <c r="C776" s="7" t="inlineStr">
        <is>
          <t>CHOCOLATE BRANCO GALAK PACOTE 90G</t>
        </is>
      </c>
      <c r="D776" s="7" t="inlineStr">
        <is>
          <t>CONVENIENCIA</t>
        </is>
      </c>
      <c r="E776" s="7" t="inlineStr">
        <is>
          <t>A</t>
        </is>
      </c>
      <c r="F776" s="13" t="n">
        <v>1</v>
      </c>
      <c r="G776" s="13" t="n">
        <v>2</v>
      </c>
      <c r="H776" s="8" t="n">
        <v>7.0688</v>
      </c>
      <c r="I776" s="8" t="n">
        <v>7.0688</v>
      </c>
      <c r="J776" s="8" t="n">
        <v>7.0688</v>
      </c>
      <c r="K776" s="8" t="n"/>
      <c r="L776" s="8" t="n"/>
      <c r="M776" s="8" t="n"/>
      <c r="N776" s="8" t="n"/>
      <c r="O776" s="8" t="n"/>
      <c r="P776" s="8" t="n"/>
      <c r="Q776" s="8" t="n"/>
      <c r="R776" s="8" t="n"/>
      <c r="S776" s="8" t="n"/>
      <c r="T776" s="7" t="inlineStr">
        <is>
          <t>SEM COTAÇÃO</t>
        </is>
      </c>
      <c r="U776" s="8" t="n"/>
      <c r="V776" s="14" t="n"/>
      <c r="W776" s="14" t="n"/>
      <c r="X776" s="7" t="inlineStr"/>
      <c r="Y776" s="7" t="inlineStr"/>
    </row>
    <row r="777">
      <c r="A777" s="7" t="n">
        <v>555041</v>
      </c>
      <c r="B777" s="12" t="inlineStr">
        <is>
          <t>7891008124071</t>
        </is>
      </c>
      <c r="C777" s="7" t="inlineStr">
        <is>
          <t>CHOCOLATE CROCANTE GAROTO PACOTE 90G</t>
        </is>
      </c>
      <c r="D777" s="7" t="inlineStr">
        <is>
          <t>CONVENIENCIA</t>
        </is>
      </c>
      <c r="E777" s="7" t="inlineStr">
        <is>
          <t>A</t>
        </is>
      </c>
      <c r="F777" s="13" t="n">
        <v>2</v>
      </c>
      <c r="G777" s="13" t="n">
        <v>23</v>
      </c>
      <c r="H777" s="8" t="n">
        <v>6.695</v>
      </c>
      <c r="I777" s="8" t="n">
        <v>6.5644</v>
      </c>
      <c r="J777" s="8" t="n">
        <v>6.5644</v>
      </c>
      <c r="K777" s="8" t="n"/>
      <c r="L777" s="8" t="n"/>
      <c r="M777" s="8" t="n"/>
      <c r="N777" s="8" t="n"/>
      <c r="O777" s="8" t="n"/>
      <c r="P777" s="8" t="n"/>
      <c r="Q777" s="8" t="n"/>
      <c r="R777" s="8" t="n"/>
      <c r="S777" s="8" t="n"/>
      <c r="T777" s="7" t="inlineStr">
        <is>
          <t>SEM COTAÇÃO</t>
        </is>
      </c>
      <c r="U777" s="8" t="n"/>
      <c r="V777" s="14" t="n"/>
      <c r="W777" s="14" t="n"/>
      <c r="X777" s="7" t="inlineStr"/>
      <c r="Y777" s="7" t="inlineStr"/>
    </row>
    <row r="778">
      <c r="A778" s="7" t="n">
        <v>605861</v>
      </c>
      <c r="B778" s="12" t="inlineStr">
        <is>
          <t>7622210674432</t>
        </is>
      </c>
      <c r="C778" s="7" t="inlineStr">
        <is>
          <t>CHOCOLATE LACTA 40 PC CACAU AMARO 80G</t>
        </is>
      </c>
      <c r="D778" s="7" t="inlineStr">
        <is>
          <t>CONVENIENCIA</t>
        </is>
      </c>
      <c r="E778" s="7" t="inlineStr">
        <is>
          <t>C</t>
        </is>
      </c>
      <c r="F778" s="13" t="n">
        <v>6</v>
      </c>
      <c r="G778" s="13" t="n">
        <v>6</v>
      </c>
      <c r="H778" s="8" t="n">
        <v>7.99</v>
      </c>
      <c r="I778" s="8" t="n">
        <v>7.99</v>
      </c>
      <c r="J778" s="8" t="n">
        <v>7.989999999999999</v>
      </c>
      <c r="K778" s="8" t="n"/>
      <c r="L778" s="8" t="n"/>
      <c r="M778" s="8" t="n"/>
      <c r="N778" s="8" t="n"/>
      <c r="O778" s="8" t="n"/>
      <c r="P778" s="8" t="n"/>
      <c r="Q778" s="8" t="n"/>
      <c r="R778" s="8" t="n"/>
      <c r="S778" s="8" t="n"/>
      <c r="T778" s="7" t="inlineStr">
        <is>
          <t>SEM COTAÇÃO</t>
        </is>
      </c>
      <c r="U778" s="8" t="n"/>
      <c r="V778" s="14" t="n"/>
      <c r="W778" s="14" t="n"/>
      <c r="X778" s="7" t="inlineStr"/>
      <c r="Y778" s="7" t="inlineStr"/>
    </row>
    <row r="779">
      <c r="A779" s="7" t="n">
        <v>643221</v>
      </c>
      <c r="B779" s="12" t="inlineStr">
        <is>
          <t>7622210833389</t>
        </is>
      </c>
      <c r="C779" s="7" t="inlineStr">
        <is>
          <t>CHOCOLATE LACTA BIS BLACK 100.8G</t>
        </is>
      </c>
      <c r="D779" s="7" t="inlineStr">
        <is>
          <t>CHOCOLATES</t>
        </is>
      </c>
      <c r="E779" s="7" t="inlineStr">
        <is>
          <t>B</t>
        </is>
      </c>
      <c r="F779" s="13" t="n">
        <v>12</v>
      </c>
      <c r="G779" s="13" t="n">
        <v>12</v>
      </c>
      <c r="H779" s="8" t="n">
        <v>6.99</v>
      </c>
      <c r="I779" s="8" t="n">
        <v>6.7</v>
      </c>
      <c r="J779" s="8" t="n">
        <v>6.893333333333334</v>
      </c>
      <c r="K779" s="8" t="n"/>
      <c r="L779" s="8" t="n"/>
      <c r="M779" s="8" t="n"/>
      <c r="N779" s="8" t="n"/>
      <c r="O779" s="8" t="n"/>
      <c r="P779" s="8" t="n"/>
      <c r="Q779" s="8" t="n"/>
      <c r="R779" s="8" t="n"/>
      <c r="S779" s="8" t="n"/>
      <c r="T779" s="7" t="inlineStr">
        <is>
          <t>SEM COTAÇÃO</t>
        </is>
      </c>
      <c r="U779" s="8" t="n"/>
      <c r="V779" s="14" t="n"/>
      <c r="W779" s="14" t="n"/>
      <c r="X779" s="7" t="inlineStr"/>
      <c r="Y779" s="7" t="inlineStr"/>
    </row>
    <row r="780">
      <c r="A780" s="7" t="n">
        <v>605841</v>
      </c>
      <c r="B780" s="12" t="inlineStr">
        <is>
          <t>7622210673831</t>
        </is>
      </c>
      <c r="C780" s="7" t="inlineStr">
        <is>
          <t>CHOCOLATE LACTA CHO AO LEI 80G</t>
        </is>
      </c>
      <c r="D780" s="7" t="inlineStr">
        <is>
          <t>CONVENIENCIA</t>
        </is>
      </c>
      <c r="E780" s="7" t="inlineStr">
        <is>
          <t>A</t>
        </is>
      </c>
      <c r="F780" s="13" t="n">
        <v>8</v>
      </c>
      <c r="G780" s="13" t="n">
        <v>8</v>
      </c>
      <c r="H780" s="8" t="n">
        <v>8.49</v>
      </c>
      <c r="I780" s="8" t="n">
        <v>7.99</v>
      </c>
      <c r="J780" s="8" t="n">
        <v>8.323333333333332</v>
      </c>
      <c r="K780" s="8" t="n"/>
      <c r="L780" s="8" t="n"/>
      <c r="M780" s="8" t="n"/>
      <c r="N780" s="8" t="n"/>
      <c r="O780" s="8" t="n"/>
      <c r="P780" s="8" t="n"/>
      <c r="Q780" s="8" t="n"/>
      <c r="R780" s="8" t="n"/>
      <c r="S780" s="8" t="n"/>
      <c r="T780" s="7" t="inlineStr">
        <is>
          <t>SEM COTAÇÃO</t>
        </is>
      </c>
      <c r="U780" s="8" t="n"/>
      <c r="V780" s="14" t="n"/>
      <c r="W780" s="14" t="n"/>
      <c r="X780" s="7" t="inlineStr"/>
      <c r="Y780" s="7" t="inlineStr"/>
    </row>
    <row r="781">
      <c r="A781" s="7" t="n">
        <v>605871</v>
      </c>
      <c r="B781" s="12" t="inlineStr">
        <is>
          <t>7622210575630</t>
        </is>
      </c>
      <c r="C781" s="7" t="inlineStr">
        <is>
          <t>CHOCOLATE LACTA DIAM NEGRO 80G</t>
        </is>
      </c>
      <c r="D781" s="7" t="inlineStr">
        <is>
          <t>CONVENIENCIA</t>
        </is>
      </c>
      <c r="E781" s="7" t="inlineStr">
        <is>
          <t>B</t>
        </is>
      </c>
      <c r="F781" s="13" t="n">
        <v>5</v>
      </c>
      <c r="G781" s="13" t="n">
        <v>5</v>
      </c>
      <c r="H781" s="8" t="n">
        <v>8.49</v>
      </c>
      <c r="I781" s="8" t="n">
        <v>7.99</v>
      </c>
      <c r="J781" s="8" t="n">
        <v>8.323333333333332</v>
      </c>
      <c r="K781" s="8" t="n"/>
      <c r="L781" s="8" t="n"/>
      <c r="M781" s="8" t="n"/>
      <c r="N781" s="8" t="n"/>
      <c r="O781" s="8" t="n"/>
      <c r="P781" s="8" t="n"/>
      <c r="Q781" s="8" t="n"/>
      <c r="R781" s="8" t="n"/>
      <c r="S781" s="8" t="n"/>
      <c r="T781" s="7" t="inlineStr">
        <is>
          <t>SEM COTAÇÃO</t>
        </is>
      </c>
      <c r="U781" s="8" t="n"/>
      <c r="V781" s="14" t="n"/>
      <c r="W781" s="14" t="n"/>
      <c r="X781" s="7" t="inlineStr"/>
      <c r="Y781" s="7" t="inlineStr"/>
    </row>
    <row r="782">
      <c r="A782" s="7" t="n">
        <v>583981</v>
      </c>
      <c r="B782" s="12" t="inlineStr">
        <is>
          <t>7622210567567</t>
        </is>
      </c>
      <c r="C782" s="7" t="inlineStr">
        <is>
          <t>CHOCOLATE LACTA OREO 90G</t>
        </is>
      </c>
      <c r="D782" s="7" t="inlineStr">
        <is>
          <t>CONVENIENCIA</t>
        </is>
      </c>
      <c r="E782" s="7" t="inlineStr">
        <is>
          <t>C</t>
        </is>
      </c>
      <c r="F782" s="13" t="n">
        <v>4</v>
      </c>
      <c r="G782" s="13" t="n">
        <v>4</v>
      </c>
      <c r="H782" s="8" t="n">
        <v>4.99</v>
      </c>
      <c r="I782" s="8" t="n">
        <v>4.99</v>
      </c>
      <c r="J782" s="8" t="n">
        <v>4.99</v>
      </c>
      <c r="K782" s="8" t="n"/>
      <c r="L782" s="8" t="n"/>
      <c r="M782" s="8" t="n"/>
      <c r="N782" s="8" t="n"/>
      <c r="O782" s="8" t="n"/>
      <c r="P782" s="8" t="n"/>
      <c r="Q782" s="8" t="n"/>
      <c r="R782" s="8" t="n"/>
      <c r="S782" s="8" t="n"/>
      <c r="T782" s="7" t="inlineStr">
        <is>
          <t>SEM COTAÇÃO</t>
        </is>
      </c>
      <c r="U782" s="8" t="n"/>
      <c r="V782" s="14" t="n"/>
      <c r="W782" s="14" t="n"/>
      <c r="X782" s="7" t="inlineStr"/>
      <c r="Y782" s="7" t="inlineStr"/>
    </row>
    <row r="783">
      <c r="A783" s="7" t="n">
        <v>671721</v>
      </c>
      <c r="B783" s="12" t="inlineStr">
        <is>
          <t>7891000377611</t>
        </is>
      </c>
      <c r="C783" s="7" t="inlineStr">
        <is>
          <t>CHOCOLATE NESTLE AO LEITE CHOCO TRIO 90G</t>
        </is>
      </c>
      <c r="D783" s="7" t="inlineStr">
        <is>
          <t>CHOCOLATES</t>
        </is>
      </c>
      <c r="E783" s="7" t="inlineStr">
        <is>
          <t>C</t>
        </is>
      </c>
      <c r="F783" s="13" t="n">
        <v>3</v>
      </c>
      <c r="G783" s="13" t="n">
        <v>5</v>
      </c>
      <c r="H783" s="8" t="n">
        <v>8.3408</v>
      </c>
      <c r="I783" s="8" t="n">
        <v>8.3408</v>
      </c>
      <c r="J783" s="8" t="n">
        <v>8.3408</v>
      </c>
      <c r="K783" s="8" t="n"/>
      <c r="L783" s="8" t="n"/>
      <c r="M783" s="8" t="n"/>
      <c r="N783" s="8" t="n"/>
      <c r="O783" s="8" t="n"/>
      <c r="P783" s="8" t="n"/>
      <c r="Q783" s="8" t="n"/>
      <c r="R783" s="8" t="n"/>
      <c r="S783" s="8" t="n"/>
      <c r="T783" s="7" t="inlineStr">
        <is>
          <t>SEM COTAÇÃO</t>
        </is>
      </c>
      <c r="U783" s="8" t="n"/>
      <c r="V783" s="14" t="n"/>
      <c r="W783" s="14" t="n"/>
      <c r="X783" s="7" t="inlineStr"/>
      <c r="Y783" s="7" t="inlineStr"/>
    </row>
    <row r="784">
      <c r="A784" s="7" t="n">
        <v>671741</v>
      </c>
      <c r="B784" s="12" t="inlineStr">
        <is>
          <t>7891000437841</t>
        </is>
      </c>
      <c r="C784" s="7" t="inlineStr">
        <is>
          <t>CHOCOLATE NESTLE GALAK 80G</t>
        </is>
      </c>
      <c r="D784" s="7" t="inlineStr">
        <is>
          <t>CHOCOLATES</t>
        </is>
      </c>
      <c r="E784" s="7" t="inlineStr">
        <is>
          <t>C</t>
        </is>
      </c>
      <c r="F784" s="13" t="n">
        <v>1</v>
      </c>
      <c r="G784" s="13" t="n">
        <v>4</v>
      </c>
      <c r="H784" s="8" t="n">
        <v>6.4994</v>
      </c>
      <c r="I784" s="8" t="n">
        <v>6.4994</v>
      </c>
      <c r="J784" s="8" t="n">
        <v>6.499399999999999</v>
      </c>
      <c r="K784" s="8" t="n"/>
      <c r="L784" s="8" t="n"/>
      <c r="M784" s="8" t="n"/>
      <c r="N784" s="8" t="n"/>
      <c r="O784" s="8" t="n"/>
      <c r="P784" s="8" t="n"/>
      <c r="Q784" s="8" t="n"/>
      <c r="R784" s="8" t="n"/>
      <c r="S784" s="8" t="n"/>
      <c r="T784" s="7" t="inlineStr">
        <is>
          <t>SEM COTAÇÃO</t>
        </is>
      </c>
      <c r="U784" s="8" t="n"/>
      <c r="V784" s="14" t="n"/>
      <c r="W784" s="14" t="n"/>
      <c r="X784" s="7" t="inlineStr"/>
      <c r="Y784" s="7" t="inlineStr"/>
    </row>
    <row r="785">
      <c r="A785" s="7" t="n">
        <v>545841</v>
      </c>
      <c r="B785" s="12" t="inlineStr">
        <is>
          <t>7896423420326</t>
        </is>
      </c>
      <c r="C785" s="7" t="inlineStr">
        <is>
          <t>CHOCOLATE SNICKERS PACOTE 78G 2UN</t>
        </is>
      </c>
      <c r="D785" s="7" t="inlineStr">
        <is>
          <t>CONVENIENCIA</t>
        </is>
      </c>
      <c r="E785" s="7" t="inlineStr">
        <is>
          <t>C</t>
        </is>
      </c>
      <c r="F785" s="13" t="n">
        <v>4</v>
      </c>
      <c r="G785" s="13" t="n">
        <v>4</v>
      </c>
      <c r="H785" s="8" t="n">
        <v>5.66</v>
      </c>
      <c r="I785" s="8" t="n">
        <v>5.66</v>
      </c>
      <c r="J785" s="8" t="n">
        <v>5.66</v>
      </c>
      <c r="K785" s="8" t="n"/>
      <c r="L785" s="8" t="n"/>
      <c r="M785" s="8" t="n"/>
      <c r="N785" s="8" t="n"/>
      <c r="O785" s="8" t="n"/>
      <c r="P785" s="8" t="n"/>
      <c r="Q785" s="8" t="n"/>
      <c r="R785" s="8" t="n"/>
      <c r="S785" s="8" t="n"/>
      <c r="T785" s="7" t="inlineStr">
        <is>
          <t>SEM COTAÇÃO</t>
        </is>
      </c>
      <c r="U785" s="8" t="n"/>
      <c r="V785" s="14" t="n"/>
      <c r="W785" s="14" t="n"/>
      <c r="X785" s="7" t="inlineStr"/>
      <c r="Y785" s="7" t="inlineStr"/>
    </row>
    <row r="786">
      <c r="A786" s="7" t="n">
        <v>592021</v>
      </c>
      <c r="B786" s="12" t="inlineStr">
        <is>
          <t>7891000462300</t>
        </is>
      </c>
      <c r="C786" s="7" t="inlineStr">
        <is>
          <t>CHOKITO CHOCOLATE 18(30X32G) BR</t>
        </is>
      </c>
      <c r="D786" s="7" t="inlineStr">
        <is>
          <t>CONVENIENCIA</t>
        </is>
      </c>
      <c r="E786" s="7" t="inlineStr">
        <is>
          <t>B</t>
        </is>
      </c>
      <c r="F786" s="13" t="n">
        <v>3</v>
      </c>
      <c r="G786" s="13" t="n">
        <v>62</v>
      </c>
      <c r="H786" s="8" t="n">
        <v>2.41</v>
      </c>
      <c r="I786" s="8" t="n">
        <v>2.3627</v>
      </c>
      <c r="J786" s="8" t="n">
        <v>2.3627</v>
      </c>
      <c r="K786" s="8" t="n"/>
      <c r="L786" s="8" t="n"/>
      <c r="M786" s="8" t="n"/>
      <c r="N786" s="8" t="n"/>
      <c r="O786" s="8" t="n"/>
      <c r="P786" s="8" t="n"/>
      <c r="Q786" s="8" t="n"/>
      <c r="R786" s="8" t="n"/>
      <c r="S786" s="8" t="n"/>
      <c r="T786" s="7" t="inlineStr">
        <is>
          <t>SEM COTAÇÃO</t>
        </is>
      </c>
      <c r="U786" s="8" t="n"/>
      <c r="V786" s="14" t="n"/>
      <c r="W786" s="14" t="n"/>
      <c r="X786" s="7" t="inlineStr"/>
      <c r="Y786" s="7" t="inlineStr"/>
    </row>
    <row r="787">
      <c r="A787" s="7" t="n">
        <v>655651</v>
      </c>
      <c r="B787" s="12" t="inlineStr">
        <is>
          <t>7891000258491</t>
        </is>
      </c>
      <c r="C787" s="7" t="inlineStr">
        <is>
          <t>CHOKITO FLOWPACK 30X114G BR</t>
        </is>
      </c>
      <c r="D787" s="7" t="inlineStr">
        <is>
          <t>CHOCOLATES</t>
        </is>
      </c>
      <c r="E787" s="7" t="inlineStr">
        <is>
          <t>C</t>
        </is>
      </c>
      <c r="F787" s="13" t="n">
        <v>6</v>
      </c>
      <c r="G787" s="13" t="n">
        <v>6</v>
      </c>
      <c r="H787" s="8" t="n">
        <v>10.21</v>
      </c>
      <c r="I787" s="8" t="n">
        <v>10.21</v>
      </c>
      <c r="J787" s="8" t="n">
        <v>10.21</v>
      </c>
      <c r="K787" s="8" t="n"/>
      <c r="L787" s="8" t="n"/>
      <c r="M787" s="8" t="n"/>
      <c r="N787" s="8" t="n"/>
      <c r="O787" s="8" t="n"/>
      <c r="P787" s="8" t="n"/>
      <c r="Q787" s="8" t="n"/>
      <c r="R787" s="8" t="n"/>
      <c r="S787" s="8" t="n"/>
      <c r="T787" s="7" t="inlineStr">
        <is>
          <t>SEM COTAÇÃO</t>
        </is>
      </c>
      <c r="U787" s="8" t="n"/>
      <c r="V787" s="14" t="n"/>
      <c r="W787" s="14" t="n"/>
      <c r="X787" s="7" t="inlineStr"/>
      <c r="Y787" s="7" t="inlineStr"/>
    </row>
    <row r="788">
      <c r="A788" s="7" t="n">
        <v>654631</v>
      </c>
      <c r="B788" s="12" t="inlineStr">
        <is>
          <t>7896699033503</t>
        </is>
      </c>
      <c r="C788" s="7" t="inlineStr">
        <is>
          <t>CHUPETA 100% SILICONE RT2 - LOLLY</t>
        </is>
      </c>
      <c r="D788" s="7" t="inlineStr">
        <is>
          <t>BABY/KIDS</t>
        </is>
      </c>
      <c r="E788" s="7" t="inlineStr">
        <is>
          <t>C</t>
        </is>
      </c>
      <c r="F788" s="13" t="n">
        <v>1</v>
      </c>
      <c r="G788" s="13" t="n">
        <v>1</v>
      </c>
      <c r="H788" s="8" t="n">
        <v>18.96</v>
      </c>
      <c r="I788" s="8" t="n">
        <v>18.96</v>
      </c>
      <c r="J788" s="8" t="n">
        <v>18.96</v>
      </c>
      <c r="K788" s="8" t="n"/>
      <c r="L788" s="8" t="n"/>
      <c r="M788" s="8" t="n"/>
      <c r="N788" s="8" t="n"/>
      <c r="O788" s="8" t="n"/>
      <c r="P788" s="8" t="n"/>
      <c r="Q788" s="8" t="n"/>
      <c r="R788" s="8" t="n"/>
      <c r="S788" s="8" t="n"/>
      <c r="T788" s="7" t="inlineStr">
        <is>
          <t>SEM COTAÇÃO</t>
        </is>
      </c>
      <c r="U788" s="8" t="n"/>
      <c r="V788" s="14" t="n"/>
      <c r="W788" s="14" t="n"/>
      <c r="X788" s="7" t="inlineStr"/>
      <c r="Y788" s="7" t="inlineStr"/>
    </row>
    <row r="789">
      <c r="A789" s="7" t="n">
        <v>663361</v>
      </c>
      <c r="B789" s="12" t="inlineStr">
        <is>
          <t>7896699021760</t>
        </is>
      </c>
      <c r="C789" s="7" t="inlineStr">
        <is>
          <t>CHUPETA BONA SIL R T1 F - LOLLY</t>
        </is>
      </c>
      <c r="D789" s="7" t="inlineStr">
        <is>
          <t>BABY/KIDS</t>
        </is>
      </c>
      <c r="E789" s="7" t="inlineStr">
        <is>
          <t>C</t>
        </is>
      </c>
      <c r="F789" s="13" t="n">
        <v>1</v>
      </c>
      <c r="G789" s="13" t="n">
        <v>1</v>
      </c>
      <c r="H789" s="8" t="n">
        <v>6.1</v>
      </c>
      <c r="I789" s="8" t="n">
        <v>6.1</v>
      </c>
      <c r="J789" s="8" t="n">
        <v>6.099999999999999</v>
      </c>
      <c r="K789" s="8" t="n"/>
      <c r="L789" s="8" t="n"/>
      <c r="M789" s="8" t="n"/>
      <c r="N789" s="8" t="n"/>
      <c r="O789" s="8" t="n"/>
      <c r="P789" s="8" t="n"/>
      <c r="Q789" s="8" t="n"/>
      <c r="R789" s="8" t="n"/>
      <c r="S789" s="8" t="n"/>
      <c r="T789" s="7" t="inlineStr">
        <is>
          <t>SEM COTAÇÃO</t>
        </is>
      </c>
      <c r="U789" s="8" t="n"/>
      <c r="V789" s="14" t="n"/>
      <c r="W789" s="14" t="n"/>
      <c r="X789" s="7" t="inlineStr"/>
      <c r="Y789" s="7" t="inlineStr"/>
    </row>
    <row r="790">
      <c r="A790" s="7" t="n">
        <v>663371</v>
      </c>
      <c r="B790" s="12" t="inlineStr">
        <is>
          <t>7896699021746</t>
        </is>
      </c>
      <c r="C790" s="7" t="inlineStr">
        <is>
          <t>CHUPETA BONA SIL R T1 M - LOLLY</t>
        </is>
      </c>
      <c r="D790" s="7" t="inlineStr">
        <is>
          <t>BABY/KIDS</t>
        </is>
      </c>
      <c r="E790" s="7" t="inlineStr">
        <is>
          <t>C</t>
        </is>
      </c>
      <c r="F790" s="13" t="n">
        <v>1</v>
      </c>
      <c r="G790" s="13" t="n">
        <v>1</v>
      </c>
      <c r="H790" s="8" t="n">
        <v>6.1</v>
      </c>
      <c r="I790" s="8" t="n">
        <v>6.1</v>
      </c>
      <c r="J790" s="8" t="n">
        <v>6.099999999999999</v>
      </c>
      <c r="K790" s="8" t="n"/>
      <c r="L790" s="8" t="n"/>
      <c r="M790" s="8" t="n"/>
      <c r="N790" s="8" t="n"/>
      <c r="O790" s="8" t="n"/>
      <c r="P790" s="8" t="n"/>
      <c r="Q790" s="8" t="n"/>
      <c r="R790" s="8" t="n"/>
      <c r="S790" s="8" t="n"/>
      <c r="T790" s="7" t="inlineStr">
        <is>
          <t>SEM COTAÇÃO</t>
        </is>
      </c>
      <c r="U790" s="8" t="n"/>
      <c r="V790" s="14" t="n"/>
      <c r="W790" s="14" t="n"/>
      <c r="X790" s="7" t="inlineStr"/>
      <c r="Y790" s="7" t="inlineStr"/>
    </row>
    <row r="791">
      <c r="A791" s="7" t="n">
        <v>663421</v>
      </c>
      <c r="B791" s="12" t="inlineStr">
        <is>
          <t>7896699025829</t>
        </is>
      </c>
      <c r="C791" s="7" t="inlineStr">
        <is>
          <t>CHUPETA DREAMS CAP SIL O T1 M LOLLY</t>
        </is>
      </c>
      <c r="D791" s="7" t="inlineStr">
        <is>
          <t>BABY/KIDS</t>
        </is>
      </c>
      <c r="E791" s="7" t="inlineStr">
        <is>
          <t>C</t>
        </is>
      </c>
      <c r="F791" s="13" t="n">
        <v>4</v>
      </c>
      <c r="G791" s="13" t="n">
        <v>4</v>
      </c>
      <c r="H791" s="8" t="n">
        <v>10.8</v>
      </c>
      <c r="I791" s="8" t="n">
        <v>10.8</v>
      </c>
      <c r="J791" s="8" t="n">
        <v>10.8</v>
      </c>
      <c r="K791" s="8" t="n"/>
      <c r="L791" s="8" t="n"/>
      <c r="M791" s="8" t="n"/>
      <c r="N791" s="8" t="n"/>
      <c r="O791" s="8" t="n"/>
      <c r="P791" s="8" t="n"/>
      <c r="Q791" s="8" t="n"/>
      <c r="R791" s="8" t="n"/>
      <c r="S791" s="8" t="n"/>
      <c r="T791" s="7" t="inlineStr">
        <is>
          <t>SEM COTAÇÃO</t>
        </is>
      </c>
      <c r="U791" s="8" t="n"/>
      <c r="V791" s="14" t="n"/>
      <c r="W791" s="14" t="n"/>
      <c r="X791" s="7" t="inlineStr"/>
      <c r="Y791" s="7" t="inlineStr"/>
    </row>
    <row r="792">
      <c r="A792" s="7" t="n">
        <v>524</v>
      </c>
      <c r="B792" s="12" t="inlineStr">
        <is>
          <t>7896000629074</t>
        </is>
      </c>
      <c r="C792" s="7" t="inlineStr">
        <is>
          <t>CHUPETA KUKA</t>
        </is>
      </c>
      <c r="D792" s="7" t="inlineStr">
        <is>
          <t>BABY/KIDS</t>
        </is>
      </c>
      <c r="E792" s="7" t="inlineStr">
        <is>
          <t>C</t>
        </is>
      </c>
      <c r="F792" s="13" t="n">
        <v>1</v>
      </c>
      <c r="G792" s="13" t="n">
        <v>1</v>
      </c>
      <c r="H792" s="8" t="n"/>
      <c r="I792" s="8" t="n"/>
      <c r="J792" s="8" t="n"/>
      <c r="K792" s="8" t="n"/>
      <c r="L792" s="8" t="n"/>
      <c r="M792" s="8" t="n"/>
      <c r="N792" s="8" t="n"/>
      <c r="O792" s="8" t="n"/>
      <c r="P792" s="8" t="n"/>
      <c r="Q792" s="8" t="n"/>
      <c r="R792" s="8" t="n"/>
      <c r="S792" s="8" t="n"/>
      <c r="T792" s="7" t="inlineStr">
        <is>
          <t>SEM COTAÇÃO</t>
        </is>
      </c>
      <c r="U792" s="8" t="n"/>
      <c r="V792" s="14" t="n"/>
      <c r="W792" s="14" t="n"/>
      <c r="X792" s="7" t="inlineStr"/>
      <c r="Y792" s="7" t="inlineStr"/>
    </row>
    <row r="793">
      <c r="A793" s="7" t="n">
        <v>654431</v>
      </c>
      <c r="B793" s="12" t="inlineStr">
        <is>
          <t>7896699016674</t>
        </is>
      </c>
      <c r="C793" s="7" t="inlineStr">
        <is>
          <t>CHUPETA LOLLY BABY TIP TAMANHO 1</t>
        </is>
      </c>
      <c r="D793" s="7" t="inlineStr">
        <is>
          <t>UTENSILIOS</t>
        </is>
      </c>
      <c r="E793" s="7" t="inlineStr">
        <is>
          <t>C</t>
        </is>
      </c>
      <c r="F793" s="13" t="n">
        <v>3</v>
      </c>
      <c r="G793" s="13" t="n">
        <v>3</v>
      </c>
      <c r="H793" s="8" t="n">
        <v>7.03</v>
      </c>
      <c r="I793" s="8" t="n">
        <v>6.76</v>
      </c>
      <c r="J793" s="8" t="n">
        <v>6.94</v>
      </c>
      <c r="K793" s="8" t="n"/>
      <c r="L793" s="8" t="n"/>
      <c r="M793" s="8" t="n"/>
      <c r="N793" s="8" t="n"/>
      <c r="O793" s="8" t="n"/>
      <c r="P793" s="8" t="n"/>
      <c r="Q793" s="8" t="n"/>
      <c r="R793" s="8" t="n"/>
      <c r="S793" s="8" t="n"/>
      <c r="T793" s="7" t="inlineStr">
        <is>
          <t>SEM COTAÇÃO</t>
        </is>
      </c>
      <c r="U793" s="8" t="n"/>
      <c r="V793" s="14" t="n"/>
      <c r="W793" s="14" t="n"/>
      <c r="X793" s="7" t="inlineStr"/>
      <c r="Y793" s="7" t="inlineStr"/>
    </row>
    <row r="794">
      <c r="A794" s="7" t="n">
        <v>654441</v>
      </c>
      <c r="B794" s="12" t="inlineStr"/>
      <c r="C794" s="7" t="inlineStr">
        <is>
          <t>CHUPETA LOLLY FASE 1 TIP SILICONE ORTO AZUL</t>
        </is>
      </c>
      <c r="D794" s="7" t="inlineStr">
        <is>
          <t>UTENSILIOS</t>
        </is>
      </c>
      <c r="E794" s="7" t="inlineStr">
        <is>
          <t>C</t>
        </is>
      </c>
      <c r="F794" s="13" t="n">
        <v>1</v>
      </c>
      <c r="G794" s="13" t="n">
        <v>1</v>
      </c>
      <c r="H794" s="8" t="n">
        <v>6.76</v>
      </c>
      <c r="I794" s="8" t="n">
        <v>6.76</v>
      </c>
      <c r="J794" s="8" t="n">
        <v>6.760000000000001</v>
      </c>
      <c r="K794" s="8" t="n"/>
      <c r="L794" s="8" t="n"/>
      <c r="M794" s="8" t="n"/>
      <c r="N794" s="8" t="n"/>
      <c r="O794" s="8" t="n"/>
      <c r="P794" s="8" t="n"/>
      <c r="Q794" s="8" t="n"/>
      <c r="R794" s="8" t="n"/>
      <c r="S794" s="8" t="n"/>
      <c r="T794" s="7" t="inlineStr">
        <is>
          <t>SEM COTAÇÃO</t>
        </is>
      </c>
      <c r="U794" s="8" t="n"/>
      <c r="V794" s="14" t="n"/>
      <c r="W794" s="14" t="n"/>
      <c r="X794" s="7" t="inlineStr"/>
      <c r="Y794" s="7" t="inlineStr"/>
    </row>
    <row r="795">
      <c r="A795" s="7" t="n">
        <v>663381</v>
      </c>
      <c r="B795" s="12" t="inlineStr">
        <is>
          <t>7896699022002</t>
        </is>
      </c>
      <c r="C795" s="7" t="inlineStr">
        <is>
          <t>CHUPETA ZOO BONA SIL O T1 ROSA CX/6 - LOLLY</t>
        </is>
      </c>
      <c r="D795" s="7" t="inlineStr">
        <is>
          <t>BABY/KIDS</t>
        </is>
      </c>
      <c r="E795" s="7" t="inlineStr">
        <is>
          <t>C</t>
        </is>
      </c>
      <c r="F795" s="13" t="n">
        <v>1</v>
      </c>
      <c r="G795" s="13" t="n">
        <v>1</v>
      </c>
      <c r="H795" s="8" t="n">
        <v>6.35</v>
      </c>
      <c r="I795" s="8" t="n">
        <v>6.35</v>
      </c>
      <c r="J795" s="8" t="n">
        <v>6.349999999999999</v>
      </c>
      <c r="K795" s="8" t="n"/>
      <c r="L795" s="8" t="n"/>
      <c r="M795" s="8" t="n"/>
      <c r="N795" s="8" t="n"/>
      <c r="O795" s="8" t="n"/>
      <c r="P795" s="8" t="n"/>
      <c r="Q795" s="8" t="n"/>
      <c r="R795" s="8" t="n"/>
      <c r="S795" s="8" t="n"/>
      <c r="T795" s="7" t="inlineStr">
        <is>
          <t>SEM COTAÇÃO</t>
        </is>
      </c>
      <c r="U795" s="8" t="n"/>
      <c r="V795" s="14" t="n"/>
      <c r="W795" s="14" t="n"/>
      <c r="X795" s="7" t="inlineStr"/>
      <c r="Y795" s="7" t="inlineStr"/>
    </row>
    <row r="796">
      <c r="A796" s="7" t="n">
        <v>539381</v>
      </c>
      <c r="B796" s="12" t="inlineStr">
        <is>
          <t>7896699017718</t>
        </is>
      </c>
      <c r="C796" s="7" t="inlineStr">
        <is>
          <t>CHUQUINHA LOLLY COM DESENHO SIL AZ</t>
        </is>
      </c>
      <c r="D796" s="7" t="inlineStr">
        <is>
          <t>BABY/KIDS</t>
        </is>
      </c>
      <c r="E796" s="7" t="inlineStr">
        <is>
          <t>B</t>
        </is>
      </c>
      <c r="F796" s="13" t="n">
        <v>1</v>
      </c>
      <c r="G796" s="13" t="n">
        <v>1</v>
      </c>
      <c r="H796" s="8" t="n">
        <v>12.47</v>
      </c>
      <c r="I796" s="8" t="n">
        <v>12.47</v>
      </c>
      <c r="J796" s="8" t="n">
        <v>12.47</v>
      </c>
      <c r="K796" s="8" t="n"/>
      <c r="L796" s="8" t="n"/>
      <c r="M796" s="8" t="n"/>
      <c r="N796" s="8" t="n"/>
      <c r="O796" s="8" t="n"/>
      <c r="P796" s="8" t="n"/>
      <c r="Q796" s="8" t="n"/>
      <c r="R796" s="8" t="n"/>
      <c r="S796" s="8" t="n"/>
      <c r="T796" s="7" t="inlineStr">
        <is>
          <t>SEM COTAÇÃO</t>
        </is>
      </c>
      <c r="U796" s="8" t="n"/>
      <c r="V796" s="14" t="n"/>
      <c r="W796" s="14" t="n"/>
      <c r="X796" s="7" t="inlineStr"/>
      <c r="Y796" s="7" t="inlineStr"/>
    </row>
    <row r="797">
      <c r="A797" s="7" t="n">
        <v>654501</v>
      </c>
      <c r="B797" s="12" t="inlineStr">
        <is>
          <t>7896699017732</t>
        </is>
      </c>
      <c r="C797" s="7" t="inlineStr">
        <is>
          <t>CHUQUINHA LOLLY COM DESENHO SIL ROSA</t>
        </is>
      </c>
      <c r="D797" s="7" t="inlineStr">
        <is>
          <t>BABY/KIDS</t>
        </is>
      </c>
      <c r="E797" s="7" t="inlineStr">
        <is>
          <t>B</t>
        </is>
      </c>
      <c r="F797" s="13" t="n">
        <v>1</v>
      </c>
      <c r="G797" s="13" t="n">
        <v>1</v>
      </c>
      <c r="H797" s="8" t="n">
        <v>10.73</v>
      </c>
      <c r="I797" s="8" t="n">
        <v>10.73</v>
      </c>
      <c r="J797" s="8" t="n">
        <v>10.73</v>
      </c>
      <c r="K797" s="8" t="n"/>
      <c r="L797" s="8" t="n"/>
      <c r="M797" s="8" t="n"/>
      <c r="N797" s="8" t="n"/>
      <c r="O797" s="8" t="n"/>
      <c r="P797" s="8" t="n"/>
      <c r="Q797" s="8" t="n"/>
      <c r="R797" s="8" t="n"/>
      <c r="S797" s="8" t="n"/>
      <c r="T797" s="7" t="inlineStr">
        <is>
          <t>SEM COTAÇÃO</t>
        </is>
      </c>
      <c r="U797" s="8" t="n"/>
      <c r="V797" s="14" t="n"/>
      <c r="W797" s="14" t="n"/>
      <c r="X797" s="7" t="inlineStr"/>
      <c r="Y797" s="7" t="inlineStr"/>
    </row>
    <row r="798">
      <c r="A798" s="7" t="n">
        <v>963</v>
      </c>
      <c r="B798" s="12" t="inlineStr"/>
      <c r="C798" s="7" t="inlineStr">
        <is>
          <t>CICAPLAST B5 PLUS 20ML-DEMAIS PROD</t>
        </is>
      </c>
      <c r="D798" s="7" t="inlineStr">
        <is>
          <t>RX - DERMO</t>
        </is>
      </c>
      <c r="E798" s="7" t="inlineStr">
        <is>
          <t>A</t>
        </is>
      </c>
      <c r="F798" s="13" t="n">
        <v>5</v>
      </c>
      <c r="G798" s="13" t="n">
        <v>5</v>
      </c>
      <c r="H798" s="8" t="n">
        <v>44.74</v>
      </c>
      <c r="I798" s="8" t="n">
        <v>35.88</v>
      </c>
      <c r="J798" s="8" t="n">
        <v>39.4</v>
      </c>
      <c r="K798" s="8" t="n"/>
      <c r="L798" s="8" t="n"/>
      <c r="M798" s="8" t="n"/>
      <c r="N798" s="8" t="n"/>
      <c r="O798" s="8" t="n"/>
      <c r="P798" s="8" t="n"/>
      <c r="Q798" s="8" t="n"/>
      <c r="R798" s="8" t="n"/>
      <c r="S798" s="8" t="n"/>
      <c r="T798" s="7" t="inlineStr">
        <is>
          <t>SEM COTAÇÃO</t>
        </is>
      </c>
      <c r="U798" s="8" t="n"/>
      <c r="V798" s="14" t="n"/>
      <c r="W798" s="14" t="n"/>
      <c r="X798" s="7" t="inlineStr"/>
      <c r="Y798" s="7" t="inlineStr"/>
    </row>
    <row r="799">
      <c r="A799" s="7" t="n">
        <v>632071</v>
      </c>
      <c r="B799" s="12" t="inlineStr">
        <is>
          <t>7908615000244</t>
        </is>
      </c>
      <c r="C799" s="7" t="inlineStr">
        <is>
          <t>CICAPLAST LRP B5 PLUS 40ML</t>
        </is>
      </c>
      <c r="D799" s="7" t="inlineStr">
        <is>
          <t>RX - DERMO</t>
        </is>
      </c>
      <c r="E799" s="7" t="inlineStr">
        <is>
          <t>A</t>
        </is>
      </c>
      <c r="F799" s="13" t="n">
        <v>1</v>
      </c>
      <c r="G799" s="13" t="n">
        <v>1</v>
      </c>
      <c r="H799" s="8" t="n">
        <v>83.09</v>
      </c>
      <c r="I799" s="8" t="n">
        <v>76.59</v>
      </c>
      <c r="J799" s="8" t="n">
        <v>78.98443333333334</v>
      </c>
      <c r="K799" s="8" t="n"/>
      <c r="L799" s="8" t="n"/>
      <c r="M799" s="15" t="n">
        <v>71.06999999999999</v>
      </c>
      <c r="N799" s="8" t="n"/>
      <c r="O799" s="8" t="n"/>
      <c r="P799" s="8" t="n">
        <v>86.68000000000001</v>
      </c>
      <c r="Q799" s="8" t="n"/>
      <c r="R799" s="8" t="n"/>
      <c r="S799" s="8" t="n"/>
      <c r="T799" s="7" t="inlineStr">
        <is>
          <t>EPAN</t>
        </is>
      </c>
      <c r="U799" s="8" t="n">
        <v>71.06999999999999</v>
      </c>
      <c r="V799" s="14">
        <f>U799/J799-1</f>
        <v/>
      </c>
      <c r="W799" s="14">
        <f>U799/H799-1</f>
        <v/>
      </c>
      <c r="X799" s="17" t="inlineStr">
        <is>
          <t>OK (≤ menor hist.)</t>
        </is>
      </c>
      <c r="Y799" s="7" t="inlineStr"/>
    </row>
    <row r="800">
      <c r="A800" s="7" t="n">
        <v>628631</v>
      </c>
      <c r="B800" s="12" t="inlineStr">
        <is>
          <t>7898636191802</t>
        </is>
      </c>
      <c r="C800" s="7" t="inlineStr">
        <is>
          <t>CICATRICURE AGUA MICELAR 380ML</t>
        </is>
      </c>
      <c r="D800" s="7" t="inlineStr">
        <is>
          <t>RX - DERMO</t>
        </is>
      </c>
      <c r="E800" s="7" t="inlineStr">
        <is>
          <t>C</t>
        </is>
      </c>
      <c r="F800" s="13" t="n">
        <v>1</v>
      </c>
      <c r="G800" s="13" t="n">
        <v>1</v>
      </c>
      <c r="H800" s="8" t="n">
        <v>28.13</v>
      </c>
      <c r="I800" s="8" t="n">
        <v>28.13</v>
      </c>
      <c r="J800" s="8" t="n">
        <v>28.13</v>
      </c>
      <c r="K800" s="8" t="n"/>
      <c r="L800" s="8" t="n"/>
      <c r="M800" s="8" t="n"/>
      <c r="N800" s="8" t="n"/>
      <c r="O800" s="8" t="n"/>
      <c r="P800" s="8" t="n">
        <v>30.76</v>
      </c>
      <c r="Q800" s="8" t="n"/>
      <c r="R800" s="8" t="n"/>
      <c r="S800" s="8" t="n"/>
      <c r="T800" s="7" t="inlineStr">
        <is>
          <t>SEM COTAÇÃO</t>
        </is>
      </c>
      <c r="U800" s="8" t="n"/>
      <c r="V800" s="14" t="n"/>
      <c r="W800" s="14" t="n"/>
      <c r="X800" s="7" t="inlineStr"/>
      <c r="Y800" s="7" t="inlineStr">
        <is>
          <t>NAZARIA: sem estoque</t>
        </is>
      </c>
    </row>
    <row r="801">
      <c r="A801" s="7" t="n">
        <v>594261</v>
      </c>
      <c r="B801" s="12" t="inlineStr"/>
      <c r="C801" s="7" t="inlineStr">
        <is>
          <t>CICATRICURE GEL CICATRIZ/ESTRIAS 30G</t>
        </is>
      </c>
      <c r="D801" s="7" t="inlineStr">
        <is>
          <t>RX - DERMO</t>
        </is>
      </c>
      <c r="E801" s="7" t="inlineStr">
        <is>
          <t>B</t>
        </is>
      </c>
      <c r="F801" s="13" t="n">
        <v>2</v>
      </c>
      <c r="G801" s="13" t="n">
        <v>2</v>
      </c>
      <c r="H801" s="8" t="n">
        <v>24.85</v>
      </c>
      <c r="I801" s="8" t="n">
        <v>16.73</v>
      </c>
      <c r="J801" s="8" t="n">
        <v>21.1</v>
      </c>
      <c r="K801" s="8" t="n"/>
      <c r="L801" s="8" t="n"/>
      <c r="M801" s="8" t="n"/>
      <c r="N801" s="8" t="n"/>
      <c r="O801" s="8" t="n"/>
      <c r="P801" s="8" t="n"/>
      <c r="Q801" s="8" t="n"/>
      <c r="R801" s="8" t="n"/>
      <c r="S801" s="8" t="n"/>
      <c r="T801" s="7" t="inlineStr">
        <is>
          <t>SEM COTAÇÃO</t>
        </is>
      </c>
      <c r="U801" s="8" t="n"/>
      <c r="V801" s="14" t="n"/>
      <c r="W801" s="14" t="n"/>
      <c r="X801" s="7" t="inlineStr"/>
      <c r="Y801" s="7" t="inlineStr"/>
    </row>
    <row r="802">
      <c r="A802" s="7" t="n">
        <v>608901</v>
      </c>
      <c r="B802" s="12" t="inlineStr"/>
      <c r="C802" s="7" t="inlineStr">
        <is>
          <t>CICATRISAN CURATIVO 10UN</t>
        </is>
      </c>
      <c r="D802" s="7" t="inlineStr">
        <is>
          <t>CURATIVO</t>
        </is>
      </c>
      <c r="E802" s="7" t="inlineStr">
        <is>
          <t>B</t>
        </is>
      </c>
      <c r="F802" s="13" t="n">
        <v>11</v>
      </c>
      <c r="G802" s="13" t="n">
        <v>11</v>
      </c>
      <c r="H802" s="8" t="n">
        <v>1.75</v>
      </c>
      <c r="I802" s="8" t="n">
        <v>1.75</v>
      </c>
      <c r="J802" s="8" t="n">
        <v>1.75</v>
      </c>
      <c r="K802" s="8" t="n"/>
      <c r="L802" s="8" t="n"/>
      <c r="M802" s="8" t="n"/>
      <c r="N802" s="8" t="n"/>
      <c r="O802" s="8" t="n"/>
      <c r="P802" s="8" t="n"/>
      <c r="Q802" s="8" t="n"/>
      <c r="R802" s="8" t="n"/>
      <c r="S802" s="8" t="n"/>
      <c r="T802" s="7" t="inlineStr">
        <is>
          <t>SEM COTAÇÃO</t>
        </is>
      </c>
      <c r="U802" s="8" t="n"/>
      <c r="V802" s="14" t="n"/>
      <c r="W802" s="14" t="n"/>
      <c r="X802" s="7" t="inlineStr"/>
      <c r="Y802" s="7" t="inlineStr"/>
    </row>
    <row r="803">
      <c r="A803" s="7" t="n">
        <v>608881</v>
      </c>
      <c r="B803" s="12" t="inlineStr">
        <is>
          <t>7898108640678</t>
        </is>
      </c>
      <c r="C803" s="7" t="inlineStr">
        <is>
          <t>CICATRISAN CURATIVO 10UN MICROPOROSO</t>
        </is>
      </c>
      <c r="D803" s="7" t="inlineStr">
        <is>
          <t>CURATIVO</t>
        </is>
      </c>
      <c r="E803" s="7" t="inlineStr">
        <is>
          <t>C</t>
        </is>
      </c>
      <c r="F803" s="13" t="n">
        <v>7</v>
      </c>
      <c r="G803" s="13" t="n">
        <v>7</v>
      </c>
      <c r="H803" s="8" t="n">
        <v>1.96</v>
      </c>
      <c r="I803" s="8" t="n">
        <v>1.68</v>
      </c>
      <c r="J803" s="8" t="n">
        <v>1.773333333333333</v>
      </c>
      <c r="K803" s="8" t="n">
        <v>2.01</v>
      </c>
      <c r="L803" s="8" t="n"/>
      <c r="M803" s="8" t="n"/>
      <c r="N803" s="8" t="n"/>
      <c r="O803" s="8" t="n"/>
      <c r="P803" s="8" t="n">
        <v>2.0235</v>
      </c>
      <c r="Q803" s="8" t="n"/>
      <c r="R803" s="15" t="n">
        <v>1.89</v>
      </c>
      <c r="S803" s="8" t="n"/>
      <c r="T803" s="7" t="inlineStr">
        <is>
          <t>BRASFARMA</t>
        </is>
      </c>
      <c r="U803" s="8" t="n">
        <v>1.89</v>
      </c>
      <c r="V803" s="14">
        <f>U803/J803-1</f>
        <v/>
      </c>
      <c r="W803" s="14">
        <f>U803/H803-1</f>
        <v/>
      </c>
      <c r="X803" s="17" t="inlineStr">
        <is>
          <t>OK (≤ últ. compra)</t>
        </is>
      </c>
      <c r="Y803" s="7" t="inlineStr"/>
    </row>
    <row r="804">
      <c r="A804" s="7" t="n">
        <v>558961</v>
      </c>
      <c r="B804" s="12" t="inlineStr">
        <is>
          <t>7896004777757</t>
        </is>
      </c>
      <c r="C804" s="7" t="inlineStr">
        <is>
          <t>CICLATRY 500MG CX 2 BL X 7 COMP REV</t>
        </is>
      </c>
      <c r="D804" s="7" t="inlineStr">
        <is>
          <t>SIMILAR - ATB</t>
        </is>
      </c>
      <c r="E804" s="7" t="inlineStr">
        <is>
          <t>C</t>
        </is>
      </c>
      <c r="F804" s="13" t="n">
        <v>1</v>
      </c>
      <c r="G804" s="13" t="n">
        <v>1</v>
      </c>
      <c r="H804" s="8" t="n">
        <v>7.32</v>
      </c>
      <c r="I804" s="8" t="n">
        <v>7.32</v>
      </c>
      <c r="J804" s="8" t="n">
        <v>7.32</v>
      </c>
      <c r="K804" s="8" t="n"/>
      <c r="L804" s="8" t="n"/>
      <c r="M804" s="8" t="n"/>
      <c r="N804" s="8" t="n"/>
      <c r="O804" s="8" t="n"/>
      <c r="P804" s="8" t="n"/>
      <c r="Q804" s="8" t="n"/>
      <c r="R804" s="8" t="n"/>
      <c r="S804" s="8" t="n"/>
      <c r="T804" s="7" t="inlineStr">
        <is>
          <t>SEM COTAÇÃO</t>
        </is>
      </c>
      <c r="U804" s="8" t="n"/>
      <c r="V804" s="14" t="n"/>
      <c r="W804" s="14" t="n"/>
      <c r="X804" s="7" t="inlineStr"/>
      <c r="Y804" s="7" t="inlineStr"/>
    </row>
    <row r="805">
      <c r="A805" s="7" t="n">
        <v>98201</v>
      </c>
      <c r="B805" s="12" t="inlineStr">
        <is>
          <t>7896422512169</t>
        </is>
      </c>
      <c r="C805" s="7" t="inlineStr">
        <is>
          <t>CICLOPIROX OLAMINA 10MG CREME DERM BG 20G</t>
        </is>
      </c>
      <c r="D805" s="7" t="inlineStr">
        <is>
          <t>GENERICO</t>
        </is>
      </c>
      <c r="E805" s="7" t="inlineStr">
        <is>
          <t>C</t>
        </is>
      </c>
      <c r="F805" s="13" t="n">
        <v>1</v>
      </c>
      <c r="G805" s="13" t="n">
        <v>1</v>
      </c>
      <c r="H805" s="8" t="n">
        <v>9.56</v>
      </c>
      <c r="I805" s="8" t="n">
        <v>9.19</v>
      </c>
      <c r="J805" s="8" t="n">
        <v>9.436666666666667</v>
      </c>
      <c r="K805" s="15" t="n">
        <v>12.91</v>
      </c>
      <c r="L805" s="8" t="n"/>
      <c r="M805" s="8" t="n"/>
      <c r="N805" s="8" t="n"/>
      <c r="O805" s="8" t="n"/>
      <c r="P805" s="8" t="n">
        <v>15.6194</v>
      </c>
      <c r="Q805" s="8" t="n"/>
      <c r="R805" s="8" t="n"/>
      <c r="S805" s="8" t="n"/>
      <c r="T805" s="7" t="inlineStr">
        <is>
          <t>DIMEC</t>
        </is>
      </c>
      <c r="U805" s="8" t="n">
        <v>12.91</v>
      </c>
      <c r="V805" s="14">
        <f>U805/J805-1</f>
        <v/>
      </c>
      <c r="W805" s="14">
        <f>U805/H805-1</f>
        <v/>
      </c>
      <c r="X805" s="16" t="inlineStr">
        <is>
          <t>ACIMA +35.0%</t>
        </is>
      </c>
      <c r="Y805" s="7" t="inlineStr">
        <is>
          <t>NAZARIA: sem estoque</t>
        </is>
      </c>
    </row>
    <row r="806">
      <c r="A806" s="7" t="n">
        <v>98221</v>
      </c>
      <c r="B806" s="12" t="inlineStr">
        <is>
          <t>7896422512145</t>
        </is>
      </c>
      <c r="C806" s="7" t="inlineStr">
        <is>
          <t>CICLOPIROX OLAMINA 10MG SOL TOP FR GTS 15ML</t>
        </is>
      </c>
      <c r="D806" s="7" t="inlineStr">
        <is>
          <t>GENERICO</t>
        </is>
      </c>
      <c r="E806" s="7" t="inlineStr">
        <is>
          <t>C</t>
        </is>
      </c>
      <c r="F806" s="13" t="n">
        <v>5</v>
      </c>
      <c r="G806" s="13" t="n">
        <v>5</v>
      </c>
      <c r="H806" s="8" t="n">
        <v>7.1221</v>
      </c>
      <c r="I806" s="8" t="n">
        <v>7.1221</v>
      </c>
      <c r="J806" s="8" t="n">
        <v>7.1221</v>
      </c>
      <c r="K806" s="8" t="n"/>
      <c r="L806" s="8" t="n"/>
      <c r="M806" s="8" t="n"/>
      <c r="N806" s="8" t="n"/>
      <c r="O806" s="8" t="n"/>
      <c r="P806" s="15" t="n">
        <v>13.043869</v>
      </c>
      <c r="Q806" s="8" t="n"/>
      <c r="R806" s="8" t="n"/>
      <c r="S806" s="8" t="n"/>
      <c r="T806" s="7" t="inlineStr">
        <is>
          <t>NAZARIA</t>
        </is>
      </c>
      <c r="U806" s="8" t="n">
        <v>13.043869</v>
      </c>
      <c r="V806" s="14">
        <f>U806/J806-1</f>
        <v/>
      </c>
      <c r="W806" s="14">
        <f>U806/H806-1</f>
        <v/>
      </c>
      <c r="X806" s="16" t="inlineStr">
        <is>
          <t>ACIMA +83.1%</t>
        </is>
      </c>
      <c r="Y806" s="7" t="inlineStr"/>
    </row>
    <row r="807">
      <c r="A807" s="7" t="n">
        <v>98081</v>
      </c>
      <c r="B807" s="12" t="inlineStr">
        <is>
          <t>7898060132761</t>
        </is>
      </c>
      <c r="C807" s="7" t="inlineStr">
        <is>
          <t>CICLOPIROX OLAMINA 10MG/G CREME DERM BG 20G</t>
        </is>
      </c>
      <c r="D807" s="7" t="inlineStr">
        <is>
          <t>GENERICO</t>
        </is>
      </c>
      <c r="E807" s="7" t="inlineStr">
        <is>
          <t>C</t>
        </is>
      </c>
      <c r="F807" s="13" t="n">
        <v>1</v>
      </c>
      <c r="G807" s="13" t="n">
        <v>1</v>
      </c>
      <c r="H807" s="8" t="n">
        <v>7.94</v>
      </c>
      <c r="I807" s="8" t="n">
        <v>7.94</v>
      </c>
      <c r="J807" s="8" t="n">
        <v>7.94</v>
      </c>
      <c r="K807" s="8" t="n"/>
      <c r="L807" s="8" t="n"/>
      <c r="M807" s="8" t="n"/>
      <c r="N807" s="8" t="n"/>
      <c r="O807" s="8" t="n"/>
      <c r="P807" s="8" t="n"/>
      <c r="Q807" s="8" t="n"/>
      <c r="R807" s="8" t="n"/>
      <c r="S807" s="8" t="n"/>
      <c r="T807" s="7" t="inlineStr">
        <is>
          <t>SEM COTAÇÃO</t>
        </is>
      </c>
      <c r="U807" s="8" t="n"/>
      <c r="V807" s="14" t="n"/>
      <c r="W807" s="14" t="n"/>
      <c r="X807" s="7" t="inlineStr"/>
      <c r="Y807" s="7" t="inlineStr"/>
    </row>
    <row r="808">
      <c r="A808" s="7" t="n">
        <v>127341</v>
      </c>
      <c r="B808" s="12" t="inlineStr"/>
      <c r="C808" s="7" t="inlineStr">
        <is>
          <t>CIFLOGEX 1,5MG/ML COLUT FR SPRAY 30ML SB MENTA</t>
        </is>
      </c>
      <c r="D808" s="7" t="inlineStr">
        <is>
          <t>SIMILAR</t>
        </is>
      </c>
      <c r="E808" s="7" t="inlineStr">
        <is>
          <t>A</t>
        </is>
      </c>
      <c r="F808" s="13" t="n">
        <v>5</v>
      </c>
      <c r="G808" s="13" t="n">
        <v>5</v>
      </c>
      <c r="H808" s="8" t="n">
        <v>7.49</v>
      </c>
      <c r="I808" s="8" t="n">
        <v>7.49</v>
      </c>
      <c r="J808" s="8" t="n">
        <v>7.489999999999999</v>
      </c>
      <c r="K808" s="8" t="n"/>
      <c r="L808" s="8" t="n"/>
      <c r="M808" s="8" t="n"/>
      <c r="N808" s="8" t="n"/>
      <c r="O808" s="8" t="n"/>
      <c r="P808" s="8" t="n"/>
      <c r="Q808" s="8" t="n"/>
      <c r="R808" s="8" t="n"/>
      <c r="S808" s="8" t="n"/>
      <c r="T808" s="7" t="inlineStr">
        <is>
          <t>SEM COTAÇÃO</t>
        </is>
      </c>
      <c r="U808" s="8" t="n"/>
      <c r="V808" s="14" t="n"/>
      <c r="W808" s="14" t="n"/>
      <c r="X808" s="7" t="inlineStr"/>
      <c r="Y808" s="7" t="inlineStr"/>
    </row>
    <row r="809">
      <c r="A809" s="7" t="n">
        <v>127321</v>
      </c>
      <c r="B809" s="12" t="inlineStr">
        <is>
          <t>7896523216454</t>
        </is>
      </c>
      <c r="C809" s="7" t="inlineStr">
        <is>
          <t>CIFLOGEX 3,0MG CX 12 PAST SB LARANJA</t>
        </is>
      </c>
      <c r="D809" s="7" t="inlineStr">
        <is>
          <t>SIMILAR</t>
        </is>
      </c>
      <c r="E809" s="7" t="inlineStr">
        <is>
          <t>A</t>
        </is>
      </c>
      <c r="F809" s="13" t="n">
        <v>7</v>
      </c>
      <c r="G809" s="13" t="n">
        <v>7</v>
      </c>
      <c r="H809" s="8" t="n">
        <v>7.49</v>
      </c>
      <c r="I809" s="8" t="n">
        <v>7.49</v>
      </c>
      <c r="J809" s="8" t="n">
        <v>7.489999999999999</v>
      </c>
      <c r="K809" s="15" t="n">
        <v>9.44</v>
      </c>
      <c r="L809" s="8" t="n"/>
      <c r="M809" s="8" t="n"/>
      <c r="N809" s="8" t="n"/>
      <c r="O809" s="8" t="n"/>
      <c r="P809" s="8" t="n">
        <v>17.73</v>
      </c>
      <c r="Q809" s="8" t="n"/>
      <c r="R809" s="8" t="n"/>
      <c r="S809" s="8" t="n"/>
      <c r="T809" s="7" t="inlineStr">
        <is>
          <t>DIMEC</t>
        </is>
      </c>
      <c r="U809" s="8" t="n">
        <v>9.44</v>
      </c>
      <c r="V809" s="14">
        <f>U809/J809-1</f>
        <v/>
      </c>
      <c r="W809" s="14">
        <f>U809/H809-1</f>
        <v/>
      </c>
      <c r="X809" s="16" t="inlineStr">
        <is>
          <t>ACIMA +26.0%</t>
        </is>
      </c>
      <c r="Y809" s="7" t="inlineStr">
        <is>
          <t>NAZARIA: conferir emb.</t>
        </is>
      </c>
    </row>
    <row r="810">
      <c r="A810" s="7" t="n">
        <v>452301</v>
      </c>
      <c r="B810" s="12" t="inlineStr"/>
      <c r="C810" s="7" t="inlineStr">
        <is>
          <t>CIMECORT 20+0,64+2,5MG/G CREME DERM BG 30G</t>
        </is>
      </c>
      <c r="D810" s="7" t="inlineStr">
        <is>
          <t>SIMILAR</t>
        </is>
      </c>
      <c r="E810" s="7" t="inlineStr">
        <is>
          <t>A</t>
        </is>
      </c>
      <c r="F810" s="13" t="n">
        <v>78</v>
      </c>
      <c r="G810" s="13" t="n">
        <v>78</v>
      </c>
      <c r="H810" s="8" t="n">
        <v>7.49</v>
      </c>
      <c r="I810" s="8" t="n">
        <v>6.99</v>
      </c>
      <c r="J810" s="8" t="n">
        <v>7.323333333333333</v>
      </c>
      <c r="K810" s="8" t="n"/>
      <c r="L810" s="8" t="n"/>
      <c r="M810" s="8" t="n"/>
      <c r="N810" s="8" t="n"/>
      <c r="O810" s="8" t="n"/>
      <c r="P810" s="8" t="n"/>
      <c r="Q810" s="8" t="n"/>
      <c r="R810" s="8" t="n"/>
      <c r="S810" s="8" t="n"/>
      <c r="T810" s="7" t="inlineStr">
        <is>
          <t>SEM COTAÇÃO</t>
        </is>
      </c>
      <c r="U810" s="8" t="n"/>
      <c r="V810" s="14" t="n"/>
      <c r="W810" s="14" t="n"/>
      <c r="X810" s="7" t="inlineStr"/>
      <c r="Y810" s="7" t="inlineStr"/>
    </row>
    <row r="811">
      <c r="A811" s="7" t="n">
        <v>508201</v>
      </c>
      <c r="B811" s="12" t="inlineStr">
        <is>
          <t>7896523210889</t>
        </is>
      </c>
      <c r="C811" s="7" t="inlineStr">
        <is>
          <t>CIMEGRIPE 400+4+4MG CX 10 CAP</t>
        </is>
      </c>
      <c r="D811" s="7" t="inlineStr">
        <is>
          <t>SIMILAR</t>
        </is>
      </c>
      <c r="E811" s="7" t="inlineStr">
        <is>
          <t>A</t>
        </is>
      </c>
      <c r="F811" s="13" t="n">
        <v>30</v>
      </c>
      <c r="G811" s="13" t="n">
        <v>30</v>
      </c>
      <c r="H811" s="8" t="n">
        <v>4.99</v>
      </c>
      <c r="I811" s="8" t="n">
        <v>4.99</v>
      </c>
      <c r="J811" s="8" t="n">
        <v>4.99</v>
      </c>
      <c r="K811" s="8" t="n"/>
      <c r="L811" s="8" t="n"/>
      <c r="M811" s="8" t="n"/>
      <c r="N811" s="8" t="n"/>
      <c r="O811" s="8" t="n"/>
      <c r="P811" s="8" t="n"/>
      <c r="Q811" s="8" t="n"/>
      <c r="R811" s="8" t="n"/>
      <c r="S811" s="8" t="n"/>
      <c r="T811" s="7" t="inlineStr">
        <is>
          <t>SEM COTAÇÃO</t>
        </is>
      </c>
      <c r="U811" s="8" t="n"/>
      <c r="V811" s="14" t="n"/>
      <c r="W811" s="14" t="n"/>
      <c r="X811" s="7" t="inlineStr"/>
      <c r="Y811" s="7" t="inlineStr"/>
    </row>
    <row r="812">
      <c r="A812" s="7" t="n">
        <v>507241</v>
      </c>
      <c r="B812" s="12" t="inlineStr">
        <is>
          <t>7896523200576</t>
        </is>
      </c>
      <c r="C812" s="7" t="inlineStr">
        <is>
          <t>CIMEGRIPE 400+4+4MG CX 20 CAP</t>
        </is>
      </c>
      <c r="D812" s="7" t="inlineStr">
        <is>
          <t>SIMILAR</t>
        </is>
      </c>
      <c r="E812" s="7" t="inlineStr">
        <is>
          <t>A</t>
        </is>
      </c>
      <c r="F812" s="13" t="n">
        <v>21</v>
      </c>
      <c r="G812" s="13" t="n">
        <v>21</v>
      </c>
      <c r="H812" s="8" t="n">
        <v>6.99</v>
      </c>
      <c r="I812" s="8" t="n">
        <v>6.99</v>
      </c>
      <c r="J812" s="8" t="n">
        <v>6.989999999999999</v>
      </c>
      <c r="K812" s="8" t="n"/>
      <c r="L812" s="8" t="n"/>
      <c r="M812" s="8" t="n"/>
      <c r="N812" s="8" t="n"/>
      <c r="O812" s="8" t="n"/>
      <c r="P812" s="15" t="n">
        <v>18.88</v>
      </c>
      <c r="Q812" s="8" t="n"/>
      <c r="R812" s="8" t="n"/>
      <c r="S812" s="8" t="n"/>
      <c r="T812" s="7" t="inlineStr">
        <is>
          <t>NAZARIA</t>
        </is>
      </c>
      <c r="U812" s="8" t="n">
        <v>18.88</v>
      </c>
      <c r="V812" s="14">
        <f>U812/J812-1</f>
        <v/>
      </c>
      <c r="W812" s="14">
        <f>U812/H812-1</f>
        <v/>
      </c>
      <c r="X812" s="16" t="inlineStr">
        <is>
          <t>ACIMA +170.1%</t>
        </is>
      </c>
      <c r="Y812" s="7" t="inlineStr">
        <is>
          <t>NAZARIA: conferir emb.</t>
        </is>
      </c>
    </row>
    <row r="813">
      <c r="A813" s="7" t="n">
        <v>565441</v>
      </c>
      <c r="B813" s="12" t="inlineStr">
        <is>
          <t>7897947600393</t>
        </is>
      </c>
      <c r="C813" s="7" t="inlineStr">
        <is>
          <t>CIMEGRIPE C+ZINCO LARANJA CX 10 COMP EFER</t>
        </is>
      </c>
      <c r="D813" s="7" t="inlineStr">
        <is>
          <t>VITAMINA E SIMILARES</t>
        </is>
      </c>
      <c r="E813" s="7" t="inlineStr">
        <is>
          <t>A</t>
        </is>
      </c>
      <c r="F813" s="13" t="n">
        <v>20</v>
      </c>
      <c r="G813" s="13" t="n">
        <v>20</v>
      </c>
      <c r="H813" s="8" t="n">
        <v>4.99</v>
      </c>
      <c r="I813" s="8" t="n">
        <v>4.99</v>
      </c>
      <c r="J813" s="8" t="n">
        <v>4.99</v>
      </c>
      <c r="K813" s="8" t="n"/>
      <c r="L813" s="8" t="n"/>
      <c r="M813" s="8" t="n"/>
      <c r="N813" s="8" t="n"/>
      <c r="O813" s="8" t="n"/>
      <c r="P813" s="15" t="n">
        <v>8.51</v>
      </c>
      <c r="Q813" s="8" t="n"/>
      <c r="R813" s="8" t="n"/>
      <c r="S813" s="8" t="n"/>
      <c r="T813" s="7" t="inlineStr">
        <is>
          <t>NAZARIA</t>
        </is>
      </c>
      <c r="U813" s="8" t="n">
        <v>8.51</v>
      </c>
      <c r="V813" s="14">
        <f>U813/J813-1</f>
        <v/>
      </c>
      <c r="W813" s="14">
        <f>U813/H813-1</f>
        <v/>
      </c>
      <c r="X813" s="16" t="inlineStr">
        <is>
          <t>ACIMA +70.5%</t>
        </is>
      </c>
      <c r="Y813" s="7" t="inlineStr"/>
    </row>
    <row r="814">
      <c r="A814" s="7" t="n">
        <v>398201</v>
      </c>
      <c r="B814" s="12" t="inlineStr">
        <is>
          <t>7896523226590</t>
        </is>
      </c>
      <c r="C814" s="7" t="inlineStr">
        <is>
          <t>CIMEGRIPE DIA 400+400+20MG BL 6 COMP BRANCO+6 COMP AMARELO</t>
        </is>
      </c>
      <c r="D814" s="7" t="inlineStr">
        <is>
          <t>SIMILAR</t>
        </is>
      </c>
      <c r="E814" s="7" t="inlineStr">
        <is>
          <t>C</t>
        </is>
      </c>
      <c r="F814" s="13" t="n">
        <v>8</v>
      </c>
      <c r="G814" s="13" t="n">
        <v>8</v>
      </c>
      <c r="H814" s="8" t="n">
        <v>9.99</v>
      </c>
      <c r="I814" s="8" t="n">
        <v>9.99</v>
      </c>
      <c r="J814" s="8" t="n">
        <v>9.99</v>
      </c>
      <c r="K814" s="8" t="n"/>
      <c r="L814" s="8" t="n"/>
      <c r="M814" s="8" t="n"/>
      <c r="N814" s="8" t="n"/>
      <c r="O814" s="8" t="n"/>
      <c r="P814" s="8" t="n"/>
      <c r="Q814" s="8" t="n"/>
      <c r="R814" s="8" t="n"/>
      <c r="S814" s="8" t="n"/>
      <c r="T814" s="7" t="inlineStr">
        <is>
          <t>SEM COTAÇÃO</t>
        </is>
      </c>
      <c r="U814" s="8" t="n"/>
      <c r="V814" s="14" t="n"/>
      <c r="W814" s="14" t="n"/>
      <c r="X814" s="7" t="inlineStr"/>
      <c r="Y814" s="7" t="inlineStr"/>
    </row>
    <row r="815">
      <c r="A815" s="7" t="n">
        <v>567801</v>
      </c>
      <c r="B815" s="12" t="inlineStr">
        <is>
          <t>7897947600911</t>
        </is>
      </c>
      <c r="C815" s="7" t="inlineStr">
        <is>
          <t>CIMEGRIPE IMUNE COMP EFEV 1 TBX16</t>
        </is>
      </c>
      <c r="D815" s="7" t="inlineStr">
        <is>
          <t>VITAMINA E SIMILARES</t>
        </is>
      </c>
      <c r="E815" s="7" t="inlineStr">
        <is>
          <t>C</t>
        </is>
      </c>
      <c r="F815" s="13" t="n">
        <v>3</v>
      </c>
      <c r="G815" s="13" t="n">
        <v>3</v>
      </c>
      <c r="H815" s="8" t="n">
        <v>15.39</v>
      </c>
      <c r="I815" s="8" t="n">
        <v>15.39</v>
      </c>
      <c r="J815" s="8" t="n">
        <v>15.39</v>
      </c>
      <c r="K815" s="8" t="n"/>
      <c r="L815" s="8" t="n"/>
      <c r="M815" s="8" t="n"/>
      <c r="N815" s="8" t="n"/>
      <c r="O815" s="8" t="n"/>
      <c r="P815" s="8" t="n"/>
      <c r="Q815" s="8" t="n"/>
      <c r="R815" s="8" t="n"/>
      <c r="S815" s="8" t="n"/>
      <c r="T815" s="7" t="inlineStr">
        <is>
          <t>SEM COTAÇÃO</t>
        </is>
      </c>
      <c r="U815" s="8" t="n"/>
      <c r="V815" s="14" t="n"/>
      <c r="W815" s="14" t="n"/>
      <c r="X815" s="7" t="inlineStr"/>
      <c r="Y815" s="7" t="inlineStr"/>
    </row>
    <row r="816">
      <c r="A816" s="7" t="n">
        <v>554881</v>
      </c>
      <c r="B816" s="12" t="inlineStr">
        <is>
          <t>7897947600157</t>
        </is>
      </c>
      <c r="C816" s="7" t="inlineStr">
        <is>
          <t>CIMEGRIPE RUB LATINHA C/12G</t>
        </is>
      </c>
      <c r="D816" s="7" t="inlineStr">
        <is>
          <t>SIMILAR</t>
        </is>
      </c>
      <c r="E816" s="7" t="inlineStr">
        <is>
          <t>A</t>
        </is>
      </c>
      <c r="F816" s="13" t="n">
        <v>2</v>
      </c>
      <c r="G816" s="13" t="n">
        <v>22</v>
      </c>
      <c r="H816" s="8" t="n">
        <v>3.4358</v>
      </c>
      <c r="I816" s="8" t="n">
        <v>3.4358</v>
      </c>
      <c r="J816" s="8" t="n">
        <v>3.4358</v>
      </c>
      <c r="K816" s="8" t="n"/>
      <c r="L816" s="8" t="n"/>
      <c r="M816" s="8" t="n"/>
      <c r="N816" s="8" t="n"/>
      <c r="O816" s="8" t="n"/>
      <c r="P816" s="15" t="n">
        <v>84.66</v>
      </c>
      <c r="Q816" s="8" t="n"/>
      <c r="R816" s="8" t="n"/>
      <c r="S816" s="8" t="n"/>
      <c r="T816" s="7" t="inlineStr">
        <is>
          <t>NAZARIA</t>
        </is>
      </c>
      <c r="U816" s="8" t="n">
        <v>84.66</v>
      </c>
      <c r="V816" s="14">
        <f>U816/J816-1</f>
        <v/>
      </c>
      <c r="W816" s="14">
        <f>U816/H816-1</f>
        <v/>
      </c>
      <c r="X816" s="16" t="inlineStr">
        <is>
          <t>ACIMA +2364.1%</t>
        </is>
      </c>
      <c r="Y816" s="7" t="inlineStr">
        <is>
          <t>NAZARIA: estoque parcial (6 un); conferir emb.</t>
        </is>
      </c>
    </row>
    <row r="817">
      <c r="A817" s="7" t="n">
        <v>583161</v>
      </c>
      <c r="B817" s="12" t="inlineStr">
        <is>
          <t>7898601065671</t>
        </is>
      </c>
      <c r="C817" s="7" t="inlineStr">
        <is>
          <t>CINTA MODELADORA PINK G REF.KSN062</t>
        </is>
      </c>
      <c r="D817" s="7" t="inlineStr">
        <is>
          <t>ORTOPEDICO</t>
        </is>
      </c>
      <c r="E817" s="7" t="inlineStr">
        <is>
          <t>C</t>
        </is>
      </c>
      <c r="F817" s="13" t="n">
        <v>1</v>
      </c>
      <c r="G817" s="13" t="n">
        <v>1</v>
      </c>
      <c r="H817" s="8" t="n"/>
      <c r="I817" s="8" t="n"/>
      <c r="J817" s="8" t="n"/>
      <c r="K817" s="8" t="n"/>
      <c r="L817" s="8" t="n"/>
      <c r="M817" s="8" t="n"/>
      <c r="N817" s="8" t="n"/>
      <c r="O817" s="8" t="n"/>
      <c r="P817" s="8" t="n"/>
      <c r="Q817" s="8" t="n"/>
      <c r="R817" s="8" t="n"/>
      <c r="S817" s="8" t="n"/>
      <c r="T817" s="7" t="inlineStr">
        <is>
          <t>SEM COTAÇÃO</t>
        </is>
      </c>
      <c r="U817" s="8" t="n"/>
      <c r="V817" s="14" t="n"/>
      <c r="W817" s="14" t="n"/>
      <c r="X817" s="7" t="inlineStr"/>
      <c r="Y817" s="7" t="inlineStr"/>
    </row>
    <row r="818">
      <c r="A818" s="7" t="n">
        <v>497001</v>
      </c>
      <c r="B818" s="12" t="inlineStr">
        <is>
          <t>7891058001612</t>
        </is>
      </c>
      <c r="C818" s="7" t="inlineStr">
        <is>
          <t>CIPROFIBRATO 100 MG COMP X 30</t>
        </is>
      </c>
      <c r="D818" s="7" t="inlineStr">
        <is>
          <t>GENERICO</t>
        </is>
      </c>
      <c r="E818" s="7" t="inlineStr">
        <is>
          <t>C</t>
        </is>
      </c>
      <c r="F818" s="13" t="n">
        <v>6</v>
      </c>
      <c r="G818" s="13" t="n">
        <v>6</v>
      </c>
      <c r="H818" s="8" t="n">
        <v>11.1433</v>
      </c>
      <c r="I818" s="8" t="n">
        <v>10.5133</v>
      </c>
      <c r="J818" s="8" t="n">
        <v>10.9333</v>
      </c>
      <c r="K818" s="8" t="n"/>
      <c r="L818" s="8" t="n"/>
      <c r="M818" s="8" t="n"/>
      <c r="N818" s="8" t="n"/>
      <c r="O818" s="8" t="n"/>
      <c r="P818" s="15" t="n">
        <v>33.628284</v>
      </c>
      <c r="Q818" s="8" t="n"/>
      <c r="R818" s="8" t="n"/>
      <c r="S818" s="8" t="n"/>
      <c r="T818" s="7" t="inlineStr">
        <is>
          <t>NAZARIA</t>
        </is>
      </c>
      <c r="U818" s="8" t="n">
        <v>33.628284</v>
      </c>
      <c r="V818" s="14">
        <f>U818/J818-1</f>
        <v/>
      </c>
      <c r="W818" s="14">
        <f>U818/H818-1</f>
        <v/>
      </c>
      <c r="X818" s="16" t="inlineStr">
        <is>
          <t>ACIMA +201.8%</t>
        </is>
      </c>
      <c r="Y818" s="7" t="inlineStr">
        <is>
          <t>NAZARIA: conferir emb.</t>
        </is>
      </c>
    </row>
    <row r="819">
      <c r="A819" s="7" t="n">
        <v>100221</v>
      </c>
      <c r="B819" s="12" t="inlineStr">
        <is>
          <t>7896523218946</t>
        </is>
      </c>
      <c r="C819" s="7" t="inlineStr">
        <is>
          <t>CIPROFIBRATO 100MG CX 30 COMP</t>
        </is>
      </c>
      <c r="D819" s="7" t="inlineStr">
        <is>
          <t>GENERICO</t>
        </is>
      </c>
      <c r="E819" s="7" t="inlineStr">
        <is>
          <t>C</t>
        </is>
      </c>
      <c r="F819" s="13" t="n">
        <v>17</v>
      </c>
      <c r="G819" s="13" t="n">
        <v>17</v>
      </c>
      <c r="H819" s="8" t="n">
        <v>9.49</v>
      </c>
      <c r="I819" s="8" t="n">
        <v>9.49</v>
      </c>
      <c r="J819" s="8" t="n">
        <v>9.49</v>
      </c>
      <c r="K819" s="8" t="n"/>
      <c r="L819" s="8" t="n"/>
      <c r="M819" s="8" t="n"/>
      <c r="N819" s="8" t="n"/>
      <c r="O819" s="8" t="n"/>
      <c r="P819" s="8" t="n"/>
      <c r="Q819" s="8" t="n"/>
      <c r="R819" s="8" t="n"/>
      <c r="S819" s="8" t="n"/>
      <c r="T819" s="7" t="inlineStr">
        <is>
          <t>SEM COTAÇÃO</t>
        </is>
      </c>
      <c r="U819" s="8" t="n"/>
      <c r="V819" s="14" t="n"/>
      <c r="W819" s="14" t="n"/>
      <c r="X819" s="7" t="inlineStr"/>
      <c r="Y819" s="7" t="inlineStr"/>
    </row>
    <row r="820">
      <c r="A820" s="7" t="n">
        <v>31303</v>
      </c>
      <c r="B820" s="12" t="inlineStr">
        <is>
          <t>7896658049132</t>
        </is>
      </c>
      <c r="C820" s="7" t="inlineStr">
        <is>
          <t>CIPROFIBRATO 100MG CX 60 COMP</t>
        </is>
      </c>
      <c r="D820" s="7" t="inlineStr">
        <is>
          <t>GENERICO</t>
        </is>
      </c>
      <c r="E820" s="7" t="inlineStr">
        <is>
          <t>C</t>
        </is>
      </c>
      <c r="F820" s="13" t="n">
        <v>2</v>
      </c>
      <c r="G820" s="13" t="n">
        <v>2</v>
      </c>
      <c r="H820" s="8" t="n">
        <v>28.9</v>
      </c>
      <c r="I820" s="8" t="n">
        <v>28.9</v>
      </c>
      <c r="J820" s="8" t="n">
        <v>28.9</v>
      </c>
      <c r="K820" s="8" t="n"/>
      <c r="L820" s="8" t="n"/>
      <c r="M820" s="8" t="n"/>
      <c r="N820" s="15" t="n">
        <v>26.34</v>
      </c>
      <c r="O820" s="8" t="n"/>
      <c r="P820" s="8" t="n">
        <v>27.9513</v>
      </c>
      <c r="Q820" s="8" t="n"/>
      <c r="R820" s="8" t="n"/>
      <c r="S820" s="8" t="n"/>
      <c r="T820" s="7" t="inlineStr">
        <is>
          <t>CENTROFARMA</t>
        </is>
      </c>
      <c r="U820" s="8" t="n">
        <v>26.34</v>
      </c>
      <c r="V820" s="14">
        <f>U820/J820-1</f>
        <v/>
      </c>
      <c r="W820" s="14">
        <f>U820/H820-1</f>
        <v/>
      </c>
      <c r="X820" s="17" t="inlineStr">
        <is>
          <t>OK (≤ menor hist.)</t>
        </is>
      </c>
      <c r="Y820" s="7" t="inlineStr"/>
    </row>
    <row r="821">
      <c r="A821" s="7" t="n">
        <v>632771</v>
      </c>
      <c r="B821" s="12" t="inlineStr"/>
      <c r="C821" s="7" t="inlineStr">
        <is>
          <t>CITONEURIN 5000 TAB 30 BRA</t>
        </is>
      </c>
      <c r="D821" s="7" t="inlineStr">
        <is>
          <t>RX</t>
        </is>
      </c>
      <c r="E821" s="7" t="inlineStr">
        <is>
          <t>A</t>
        </is>
      </c>
      <c r="F821" s="13" t="n">
        <v>2</v>
      </c>
      <c r="G821" s="13" t="n">
        <v>2</v>
      </c>
      <c r="H821" s="8" t="n">
        <v>67.45999999999999</v>
      </c>
      <c r="I821" s="8" t="n">
        <v>55.654</v>
      </c>
      <c r="J821" s="8" t="n">
        <v>62.98466666666667</v>
      </c>
      <c r="K821" s="8" t="n"/>
      <c r="L821" s="8" t="n"/>
      <c r="M821" s="8" t="n"/>
      <c r="N821" s="8" t="n"/>
      <c r="O821" s="8" t="n"/>
      <c r="P821" s="8" t="n"/>
      <c r="Q821" s="8" t="n"/>
      <c r="R821" s="8" t="n"/>
      <c r="S821" s="8" t="n"/>
      <c r="T821" s="7" t="inlineStr">
        <is>
          <t>SEM COTAÇÃO</t>
        </is>
      </c>
      <c r="U821" s="8" t="n"/>
      <c r="V821" s="14" t="n"/>
      <c r="W821" s="14" t="n"/>
      <c r="X821" s="7" t="inlineStr"/>
      <c r="Y821" s="7" t="inlineStr"/>
    </row>
    <row r="822">
      <c r="A822" s="7" t="n">
        <v>106721</v>
      </c>
      <c r="B822" s="12" t="inlineStr">
        <is>
          <t>7896422525237</t>
        </is>
      </c>
      <c r="C822" s="7" t="inlineStr">
        <is>
          <t>CITRATO DE SILDENAFILA 100MG CX 4 COMP REV</t>
        </is>
      </c>
      <c r="D822" s="7" t="inlineStr">
        <is>
          <t>GENERICO</t>
        </is>
      </c>
      <c r="E822" s="7" t="inlineStr">
        <is>
          <t>C</t>
        </is>
      </c>
      <c r="F822" s="13" t="n">
        <v>1</v>
      </c>
      <c r="G822" s="13" t="n">
        <v>1</v>
      </c>
      <c r="H822" s="8" t="n">
        <v>29.9</v>
      </c>
      <c r="I822" s="8" t="n">
        <v>29.9</v>
      </c>
      <c r="J822" s="8" t="n">
        <v>29.9</v>
      </c>
      <c r="K822" s="8" t="n"/>
      <c r="L822" s="8" t="n"/>
      <c r="M822" s="8" t="n"/>
      <c r="N822" s="8" t="n"/>
      <c r="O822" s="8" t="n"/>
      <c r="P822" s="15" t="n">
        <v>50.975001</v>
      </c>
      <c r="Q822" s="8" t="n"/>
      <c r="R822" s="8" t="n"/>
      <c r="S822" s="8" t="n"/>
      <c r="T822" s="7" t="inlineStr">
        <is>
          <t>NAZARIA</t>
        </is>
      </c>
      <c r="U822" s="8" t="n">
        <v>50.975001</v>
      </c>
      <c r="V822" s="14">
        <f>U822/J822-1</f>
        <v/>
      </c>
      <c r="W822" s="14">
        <f>U822/H822-1</f>
        <v/>
      </c>
      <c r="X822" s="16" t="inlineStr">
        <is>
          <t>ACIMA +70.5%</t>
        </is>
      </c>
      <c r="Y822" s="7" t="inlineStr"/>
    </row>
    <row r="823">
      <c r="A823" s="7" t="n">
        <v>106641</v>
      </c>
      <c r="B823" s="12" t="inlineStr"/>
      <c r="C823" s="7" t="inlineStr">
        <is>
          <t>CITRATO DE SILDENAFILA 50MG CX 4 COMP REV</t>
        </is>
      </c>
      <c r="D823" s="7" t="inlineStr">
        <is>
          <t>GENERICO</t>
        </is>
      </c>
      <c r="E823" s="7" t="inlineStr">
        <is>
          <t>C</t>
        </is>
      </c>
      <c r="F823" s="13" t="n">
        <v>1</v>
      </c>
      <c r="G823" s="13" t="n">
        <v>1</v>
      </c>
      <c r="H823" s="8" t="n">
        <v>3.04</v>
      </c>
      <c r="I823" s="8" t="n">
        <v>2.5</v>
      </c>
      <c r="J823" s="8" t="n">
        <v>2.86</v>
      </c>
      <c r="K823" s="8" t="n"/>
      <c r="L823" s="8" t="n"/>
      <c r="M823" s="8" t="n"/>
      <c r="N823" s="8" t="n"/>
      <c r="O823" s="8" t="n"/>
      <c r="P823" s="8" t="n"/>
      <c r="Q823" s="8" t="n"/>
      <c r="R823" s="8" t="n"/>
      <c r="S823" s="8" t="n"/>
      <c r="T823" s="7" t="inlineStr">
        <is>
          <t>SEM COTAÇÃO</t>
        </is>
      </c>
      <c r="U823" s="8" t="n"/>
      <c r="V823" s="14" t="n"/>
      <c r="W823" s="14" t="n"/>
      <c r="X823" s="7" t="inlineStr"/>
      <c r="Y823" s="7" t="inlineStr"/>
    </row>
    <row r="824">
      <c r="A824" s="7" t="n">
        <v>3863</v>
      </c>
      <c r="B824" s="12" t="inlineStr">
        <is>
          <t>7898495607902</t>
        </is>
      </c>
      <c r="C824" s="7" t="inlineStr">
        <is>
          <t>CLARICURE 30G GEL</t>
        </is>
      </c>
      <c r="D824" s="7" t="inlineStr">
        <is>
          <t>SIMILAR</t>
        </is>
      </c>
      <c r="E824" s="7" t="inlineStr">
        <is>
          <t>C</t>
        </is>
      </c>
      <c r="F824" s="13" t="n">
        <v>1</v>
      </c>
      <c r="G824" s="13" t="n">
        <v>1</v>
      </c>
      <c r="H824" s="8" t="n">
        <v>11.84</v>
      </c>
      <c r="I824" s="8" t="n">
        <v>11.84</v>
      </c>
      <c r="J824" s="8" t="n">
        <v>11.84</v>
      </c>
      <c r="K824" s="8" t="n"/>
      <c r="L824" s="8" t="n"/>
      <c r="M824" s="8" t="n"/>
      <c r="N824" s="8" t="n"/>
      <c r="O824" s="8" t="n"/>
      <c r="P824" s="8" t="n"/>
      <c r="Q824" s="8" t="n"/>
      <c r="R824" s="8" t="n"/>
      <c r="S824" s="8" t="n"/>
      <c r="T824" s="7" t="inlineStr">
        <is>
          <t>SEM COTAÇÃO</t>
        </is>
      </c>
      <c r="U824" s="8" t="n"/>
      <c r="V824" s="14" t="n"/>
      <c r="W824" s="14" t="n"/>
      <c r="X824" s="7" t="inlineStr"/>
      <c r="Y824" s="7" t="inlineStr"/>
    </row>
    <row r="825">
      <c r="A825" s="7" t="n">
        <v>161441</v>
      </c>
      <c r="B825" s="12" t="inlineStr">
        <is>
          <t>7896548113479</t>
        </is>
      </c>
      <c r="C825" s="7" t="inlineStr">
        <is>
          <t>CLARIL 0,25+3MG SOL FR OFT GTS 15ML</t>
        </is>
      </c>
      <c r="D825" s="7" t="inlineStr">
        <is>
          <t>RX - OTC</t>
        </is>
      </c>
      <c r="E825" s="7" t="inlineStr">
        <is>
          <t>A</t>
        </is>
      </c>
      <c r="F825" s="13" t="n">
        <v>6</v>
      </c>
      <c r="G825" s="13" t="n">
        <v>6</v>
      </c>
      <c r="H825" s="8" t="n">
        <v>21.37</v>
      </c>
      <c r="I825" s="8" t="n">
        <v>18.9119</v>
      </c>
      <c r="J825" s="8" t="n">
        <v>20.54843333333334</v>
      </c>
      <c r="K825" s="8" t="n"/>
      <c r="L825" s="8" t="n"/>
      <c r="M825" s="15" t="n">
        <v>21.37</v>
      </c>
      <c r="N825" s="8" t="n"/>
      <c r="O825" s="8" t="n">
        <v>22.74</v>
      </c>
      <c r="P825" s="8" t="n">
        <v>23.7062</v>
      </c>
      <c r="Q825" s="8" t="n"/>
      <c r="R825" s="8" t="n"/>
      <c r="S825" s="8" t="n"/>
      <c r="T825" s="7" t="inlineStr">
        <is>
          <t>EPAN</t>
        </is>
      </c>
      <c r="U825" s="8" t="n">
        <v>21.37</v>
      </c>
      <c r="V825" s="14">
        <f>U825/J825-1</f>
        <v/>
      </c>
      <c r="W825" s="14">
        <f>U825/H825-1</f>
        <v/>
      </c>
      <c r="X825" s="17" t="inlineStr">
        <is>
          <t>OK (≤ últ. compra)</t>
        </is>
      </c>
      <c r="Y825" s="7" t="inlineStr"/>
    </row>
    <row r="826">
      <c r="A826" s="7" t="n">
        <v>108901</v>
      </c>
      <c r="B826" s="12" t="inlineStr">
        <is>
          <t>7898216363445</t>
        </is>
      </c>
      <c r="C826" s="7" t="inlineStr">
        <is>
          <t>CLARITROMICINA 500MG CX 14 COMP REV</t>
        </is>
      </c>
      <c r="D826" s="7" t="inlineStr">
        <is>
          <t>GENERICO - ATB</t>
        </is>
      </c>
      <c r="E826" s="7" t="inlineStr">
        <is>
          <t>A</t>
        </is>
      </c>
      <c r="F826" s="13" t="n">
        <v>7</v>
      </c>
      <c r="G826" s="13" t="n">
        <v>7</v>
      </c>
      <c r="H826" s="8" t="n">
        <v>64.98999999999999</v>
      </c>
      <c r="I826" s="8" t="n">
        <v>43.94</v>
      </c>
      <c r="J826" s="8" t="n">
        <v>43.94</v>
      </c>
      <c r="K826" s="8" t="n">
        <v>45.8</v>
      </c>
      <c r="L826" s="8" t="n"/>
      <c r="M826" s="8" t="n"/>
      <c r="N826" s="8" t="n">
        <v>46.4</v>
      </c>
      <c r="O826" s="8" t="n">
        <v>45.57</v>
      </c>
      <c r="P826" s="8" t="n"/>
      <c r="Q826" s="8" t="n">
        <v>46.93</v>
      </c>
      <c r="R826" s="15" t="n">
        <v>43.78</v>
      </c>
      <c r="S826" s="8" t="n"/>
      <c r="T826" s="7" t="inlineStr">
        <is>
          <t>BRASFARMA</t>
        </is>
      </c>
      <c r="U826" s="8" t="n">
        <v>43.78</v>
      </c>
      <c r="V826" s="14">
        <f>U826/J826-1</f>
        <v/>
      </c>
      <c r="W826" s="14">
        <f>U826/H826-1</f>
        <v/>
      </c>
      <c r="X826" s="17" t="inlineStr">
        <is>
          <t>OK (≤ menor hist.)</t>
        </is>
      </c>
      <c r="Y826" s="7" t="inlineStr"/>
    </row>
    <row r="827">
      <c r="A827" s="7" t="n">
        <v>1103</v>
      </c>
      <c r="B827" s="12" t="inlineStr">
        <is>
          <t>7898216361267</t>
        </is>
      </c>
      <c r="C827" s="7" t="inlineStr">
        <is>
          <t>CLARITROMICINA 500MG CX 7 COMP REV</t>
        </is>
      </c>
      <c r="D827" s="7" t="inlineStr">
        <is>
          <t>GENERICO - ATB</t>
        </is>
      </c>
      <c r="E827" s="7" t="inlineStr">
        <is>
          <t>B</t>
        </is>
      </c>
      <c r="F827" s="13" t="n">
        <v>5</v>
      </c>
      <c r="G827" s="13" t="n">
        <v>5</v>
      </c>
      <c r="H827" s="8" t="n">
        <v>31.9</v>
      </c>
      <c r="I827" s="8" t="n">
        <v>23.13</v>
      </c>
      <c r="J827" s="8" t="n">
        <v>23.13</v>
      </c>
      <c r="K827" s="8" t="n">
        <v>25.38</v>
      </c>
      <c r="L827" s="8" t="n"/>
      <c r="M827" s="8" t="n"/>
      <c r="N827" s="8" t="n">
        <v>26.18</v>
      </c>
      <c r="O827" s="8" t="n"/>
      <c r="P827" s="8" t="n"/>
      <c r="Q827" s="8" t="n">
        <v>26.56</v>
      </c>
      <c r="R827" s="15" t="n">
        <v>24.32</v>
      </c>
      <c r="S827" s="8" t="n"/>
      <c r="T827" s="7" t="inlineStr">
        <is>
          <t>BRASFARMA</t>
        </is>
      </c>
      <c r="U827" s="8" t="n">
        <v>24.32</v>
      </c>
      <c r="V827" s="14">
        <f>U827/J827-1</f>
        <v/>
      </c>
      <c r="W827" s="14">
        <f>U827/H827-1</f>
        <v/>
      </c>
      <c r="X827" s="17" t="inlineStr">
        <is>
          <t>OK (≤ últ. compra)</t>
        </is>
      </c>
      <c r="Y827" s="7" t="inlineStr"/>
    </row>
    <row r="828">
      <c r="A828" s="7" t="n">
        <v>642321</v>
      </c>
      <c r="B828" s="12" t="inlineStr">
        <is>
          <t>7891000089194</t>
        </is>
      </c>
      <c r="C828" s="7" t="inlineStr">
        <is>
          <t>CLASSIC BISCOITO RECHEADO 60X140G BR</t>
        </is>
      </c>
      <c r="D828" s="7" t="inlineStr">
        <is>
          <t>BISCOITOS/SALGADOS</t>
        </is>
      </c>
      <c r="E828" s="7" t="inlineStr">
        <is>
          <t>B</t>
        </is>
      </c>
      <c r="F828" s="13" t="n">
        <v>7</v>
      </c>
      <c r="G828" s="13" t="n">
        <v>7</v>
      </c>
      <c r="H828" s="8" t="n">
        <v>3.504</v>
      </c>
      <c r="I828" s="8" t="n">
        <v>3.3733</v>
      </c>
      <c r="J828" s="8" t="n">
        <v>3.3733</v>
      </c>
      <c r="K828" s="8" t="n"/>
      <c r="L828" s="8" t="n"/>
      <c r="M828" s="8" t="n"/>
      <c r="N828" s="8" t="n"/>
      <c r="O828" s="8" t="n"/>
      <c r="P828" s="8" t="n"/>
      <c r="Q828" s="8" t="n"/>
      <c r="R828" s="8" t="n"/>
      <c r="S828" s="8" t="n"/>
      <c r="T828" s="7" t="inlineStr">
        <is>
          <t>SEM COTAÇÃO</t>
        </is>
      </c>
      <c r="U828" s="8" t="n"/>
      <c r="V828" s="14" t="n"/>
      <c r="W828" s="14" t="n"/>
      <c r="X828" s="7" t="inlineStr"/>
      <c r="Y828" s="7" t="inlineStr"/>
    </row>
    <row r="829">
      <c r="A829" s="7" t="n">
        <v>592351</v>
      </c>
      <c r="B829" s="12" t="inlineStr">
        <is>
          <t>7891000368572</t>
        </is>
      </c>
      <c r="C829" s="7" t="inlineStr">
        <is>
          <t>CLASSIC CHOCOLATE M AMGO 80G</t>
        </is>
      </c>
      <c r="D829" s="7" t="inlineStr">
        <is>
          <t>CONVENIENCIA</t>
        </is>
      </c>
      <c r="E829" s="7" t="inlineStr">
        <is>
          <t>A</t>
        </is>
      </c>
      <c r="F829" s="13" t="n">
        <v>1</v>
      </c>
      <c r="G829" s="13" t="n">
        <v>13</v>
      </c>
      <c r="H829" s="8" t="n">
        <v>7.3838</v>
      </c>
      <c r="I829" s="8" t="n">
        <v>7.3838</v>
      </c>
      <c r="J829" s="8" t="n">
        <v>7.3838</v>
      </c>
      <c r="K829" s="8" t="n"/>
      <c r="L829" s="8" t="n"/>
      <c r="M829" s="8" t="n"/>
      <c r="N829" s="8" t="n"/>
      <c r="O829" s="8" t="n"/>
      <c r="P829" s="8" t="n"/>
      <c r="Q829" s="8" t="n"/>
      <c r="R829" s="8" t="n"/>
      <c r="S829" s="8" t="n"/>
      <c r="T829" s="7" t="inlineStr">
        <is>
          <t>SEM COTAÇÃO</t>
        </is>
      </c>
      <c r="U829" s="8" t="n"/>
      <c r="V829" s="14" t="n"/>
      <c r="W829" s="14" t="n"/>
      <c r="X829" s="7" t="inlineStr"/>
      <c r="Y829" s="7" t="inlineStr"/>
    </row>
    <row r="830">
      <c r="A830" s="7" t="n">
        <v>292821</v>
      </c>
      <c r="B830" s="12" t="inlineStr">
        <is>
          <t>7896004725987</t>
        </is>
      </c>
      <c r="C830" s="7" t="inlineStr">
        <is>
          <t>CLEANKINOL 40MG GEL DERM BG 30G</t>
        </is>
      </c>
      <c r="D830" s="7" t="inlineStr">
        <is>
          <t>SIMILAR</t>
        </is>
      </c>
      <c r="E830" s="7" t="inlineStr">
        <is>
          <t>C</t>
        </is>
      </c>
      <c r="F830" s="13" t="n">
        <v>1</v>
      </c>
      <c r="G830" s="13" t="n">
        <v>1</v>
      </c>
      <c r="H830" s="8" t="n">
        <v>35.89</v>
      </c>
      <c r="I830" s="8" t="n">
        <v>35.89</v>
      </c>
      <c r="J830" s="8" t="n">
        <v>35.89</v>
      </c>
      <c r="K830" s="8" t="n"/>
      <c r="L830" s="8" t="n"/>
      <c r="M830" s="8" t="n"/>
      <c r="N830" s="8" t="n"/>
      <c r="O830" s="8" t="n"/>
      <c r="P830" s="15" t="n">
        <v>44.71</v>
      </c>
      <c r="Q830" s="8" t="n"/>
      <c r="R830" s="8" t="n"/>
      <c r="S830" s="8" t="n"/>
      <c r="T830" s="7" t="inlineStr">
        <is>
          <t>NAZARIA</t>
        </is>
      </c>
      <c r="U830" s="8" t="n">
        <v>44.71</v>
      </c>
      <c r="V830" s="14">
        <f>U830/J830-1</f>
        <v/>
      </c>
      <c r="W830" s="14">
        <f>U830/H830-1</f>
        <v/>
      </c>
      <c r="X830" s="16" t="inlineStr">
        <is>
          <t>ACIMA +24.6%</t>
        </is>
      </c>
      <c r="Y830" s="7" t="inlineStr"/>
    </row>
    <row r="831">
      <c r="A831" s="7" t="n">
        <v>614911</v>
      </c>
      <c r="B831" s="12" t="inlineStr">
        <is>
          <t>7891150014107</t>
        </is>
      </c>
      <c r="C831" s="7" t="inlineStr">
        <is>
          <t>CLEAR AT-C SH 200ML MEN CONTROLE COCE M3</t>
        </is>
      </c>
      <c r="D831" s="7" t="inlineStr">
        <is>
          <t>PERF/COSME</t>
        </is>
      </c>
      <c r="E831" s="7" t="inlineStr">
        <is>
          <t>A</t>
        </is>
      </c>
      <c r="F831" s="13" t="n">
        <v>6</v>
      </c>
      <c r="G831" s="13" t="n">
        <v>6</v>
      </c>
      <c r="H831" s="8" t="n">
        <v>14.107</v>
      </c>
      <c r="I831" s="8" t="n">
        <v>14.0517</v>
      </c>
      <c r="J831" s="8" t="n">
        <v>14.08856666666667</v>
      </c>
      <c r="K831" s="8" t="n"/>
      <c r="L831" s="8" t="n"/>
      <c r="M831" s="8" t="n"/>
      <c r="N831" s="8" t="n"/>
      <c r="O831" s="8" t="n"/>
      <c r="P831" s="15" t="n">
        <v>15.7</v>
      </c>
      <c r="Q831" s="8" t="n"/>
      <c r="R831" s="8" t="n"/>
      <c r="S831" s="8" t="n"/>
      <c r="T831" s="7" t="inlineStr">
        <is>
          <t>NAZARIA</t>
        </is>
      </c>
      <c r="U831" s="8" t="n">
        <v>15.7</v>
      </c>
      <c r="V831" s="14">
        <f>U831/J831-1</f>
        <v/>
      </c>
      <c r="W831" s="14">
        <f>U831/H831-1</f>
        <v/>
      </c>
      <c r="X831" s="16" t="inlineStr">
        <is>
          <t>ACIMA +11.3%</t>
        </is>
      </c>
      <c r="Y831" s="7" t="inlineStr"/>
    </row>
    <row r="832">
      <c r="A832" s="7" t="n">
        <v>614901</v>
      </c>
      <c r="B832" s="12" t="inlineStr">
        <is>
          <t>7891150001077</t>
        </is>
      </c>
      <c r="C832" s="7" t="inlineStr">
        <is>
          <t>CLEAR AT-C SH 200ML MEN QUEDA CONTROL M3</t>
        </is>
      </c>
      <c r="D832" s="7" t="inlineStr">
        <is>
          <t>PERF/COSME</t>
        </is>
      </c>
      <c r="E832" s="7" t="inlineStr">
        <is>
          <t>A</t>
        </is>
      </c>
      <c r="F832" s="13" t="n">
        <v>9</v>
      </c>
      <c r="G832" s="13" t="n">
        <v>9</v>
      </c>
      <c r="H832" s="8" t="n">
        <v>14.9942</v>
      </c>
      <c r="I832" s="8" t="n">
        <v>14.0525</v>
      </c>
      <c r="J832" s="8" t="n">
        <v>14.67223333333333</v>
      </c>
      <c r="K832" s="8" t="n"/>
      <c r="L832" s="8" t="n"/>
      <c r="M832" s="8" t="n"/>
      <c r="N832" s="8" t="n"/>
      <c r="O832" s="8" t="n"/>
      <c r="P832" s="15" t="n">
        <v>15.7</v>
      </c>
      <c r="Q832" s="8" t="n"/>
      <c r="R832" s="8" t="n"/>
      <c r="S832" s="8" t="n"/>
      <c r="T832" s="7" t="inlineStr">
        <is>
          <t>NAZARIA</t>
        </is>
      </c>
      <c r="U832" s="8" t="n">
        <v>15.7</v>
      </c>
      <c r="V832" s="14">
        <f>U832/J832-1</f>
        <v/>
      </c>
      <c r="W832" s="14">
        <f>U832/H832-1</f>
        <v/>
      </c>
      <c r="X832" s="16" t="inlineStr">
        <is>
          <t>ACIMA +4.7%</t>
        </is>
      </c>
      <c r="Y832" s="7" t="inlineStr"/>
    </row>
    <row r="833">
      <c r="A833" s="7" t="n">
        <v>102361</v>
      </c>
      <c r="B833" s="12" t="inlineStr"/>
      <c r="C833" s="7" t="inlineStr">
        <is>
          <t>CLOMID 50MG CX 10 COMP</t>
        </is>
      </c>
      <c r="D833" s="7" t="inlineStr">
        <is>
          <t>RX</t>
        </is>
      </c>
      <c r="E833" s="7" t="inlineStr">
        <is>
          <t>A</t>
        </is>
      </c>
      <c r="F833" s="13" t="n">
        <v>3</v>
      </c>
      <c r="G833" s="13" t="n">
        <v>3</v>
      </c>
      <c r="H833" s="8" t="n">
        <v>57.705</v>
      </c>
      <c r="I833" s="8" t="n">
        <v>54.26</v>
      </c>
      <c r="J833" s="8" t="n">
        <v>56.55666666666666</v>
      </c>
      <c r="K833" s="8" t="n"/>
      <c r="L833" s="8" t="n"/>
      <c r="M833" s="8" t="n"/>
      <c r="N833" s="8" t="n"/>
      <c r="O833" s="8" t="n"/>
      <c r="P833" s="8" t="n"/>
      <c r="Q833" s="8" t="n"/>
      <c r="R833" s="8" t="n"/>
      <c r="S833" s="8" t="n"/>
      <c r="T833" s="7" t="inlineStr">
        <is>
          <t>SEM COTAÇÃO</t>
        </is>
      </c>
      <c r="U833" s="8" t="n"/>
      <c r="V833" s="14" t="n"/>
      <c r="W833" s="14" t="n"/>
      <c r="X833" s="7" t="inlineStr"/>
      <c r="Y833" s="7" t="inlineStr"/>
    </row>
    <row r="834">
      <c r="A834" s="7" t="n">
        <v>112001</v>
      </c>
      <c r="B834" s="12" t="inlineStr">
        <is>
          <t>7896422514644</t>
        </is>
      </c>
      <c r="C834" s="7" t="inlineStr">
        <is>
          <t>CLONAZEPAM 0,5MG CX 30 COMP</t>
        </is>
      </c>
      <c r="D834" s="7" t="inlineStr">
        <is>
          <t>CONVENIENCIA</t>
        </is>
      </c>
      <c r="E834" s="7" t="inlineStr">
        <is>
          <t>C</t>
        </is>
      </c>
      <c r="F834" s="13" t="n">
        <v>1</v>
      </c>
      <c r="G834" s="13" t="n">
        <v>1</v>
      </c>
      <c r="H834" s="8" t="n">
        <v>2.12</v>
      </c>
      <c r="I834" s="8" t="n">
        <v>2.12</v>
      </c>
      <c r="J834" s="8" t="n">
        <v>2.12</v>
      </c>
      <c r="K834" s="8" t="n"/>
      <c r="L834" s="8" t="n"/>
      <c r="M834" s="8" t="n"/>
      <c r="N834" s="8" t="n"/>
      <c r="O834" s="8" t="n"/>
      <c r="P834" s="15" t="n">
        <v>3.916638</v>
      </c>
      <c r="Q834" s="8" t="n"/>
      <c r="R834" s="8" t="n"/>
      <c r="S834" s="8" t="n"/>
      <c r="T834" s="7" t="inlineStr">
        <is>
          <t>NAZARIA</t>
        </is>
      </c>
      <c r="U834" s="8" t="n">
        <v>3.916638</v>
      </c>
      <c r="V834" s="14">
        <f>U834/J834-1</f>
        <v/>
      </c>
      <c r="W834" s="14">
        <f>U834/H834-1</f>
        <v/>
      </c>
      <c r="X834" s="16" t="inlineStr">
        <is>
          <t>ACIMA +84.7%</t>
        </is>
      </c>
      <c r="Y834" s="7" t="inlineStr"/>
    </row>
    <row r="835">
      <c r="A835" s="7" t="n">
        <v>113481</v>
      </c>
      <c r="B835" s="12" t="inlineStr"/>
      <c r="C835" s="7" t="inlineStr">
        <is>
          <t>CLONAZEPAM 2,5MG SOL ORAL FR GTS 20ML</t>
        </is>
      </c>
      <c r="D835" s="7" t="inlineStr">
        <is>
          <t>GENERICO - CONTROLE</t>
        </is>
      </c>
      <c r="E835" s="7" t="inlineStr">
        <is>
          <t>C</t>
        </is>
      </c>
      <c r="F835" s="13" t="n">
        <v>2</v>
      </c>
      <c r="G835" s="13" t="n">
        <v>2</v>
      </c>
      <c r="H835" s="8" t="n">
        <v>3.8294</v>
      </c>
      <c r="I835" s="8" t="n">
        <v>3.8294</v>
      </c>
      <c r="J835" s="8" t="n">
        <v>3.8294</v>
      </c>
      <c r="K835" s="8" t="n"/>
      <c r="L835" s="8" t="n"/>
      <c r="M835" s="8" t="n"/>
      <c r="N835" s="8" t="n"/>
      <c r="O835" s="8" t="n"/>
      <c r="P835" s="8" t="n"/>
      <c r="Q835" s="8" t="n"/>
      <c r="R835" s="8" t="n"/>
      <c r="S835" s="8" t="n"/>
      <c r="T835" s="7" t="inlineStr">
        <is>
          <t>SEM COTAÇÃO</t>
        </is>
      </c>
      <c r="U835" s="8" t="n"/>
      <c r="V835" s="14" t="n"/>
      <c r="W835" s="14" t="n"/>
      <c r="X835" s="7" t="inlineStr"/>
      <c r="Y835" s="7" t="inlineStr"/>
    </row>
    <row r="836">
      <c r="A836" s="7" t="n">
        <v>631621</v>
      </c>
      <c r="B836" s="12" t="inlineStr">
        <is>
          <t>7895296449816</t>
        </is>
      </c>
      <c r="C836" s="7" t="inlineStr">
        <is>
          <t>CLOR. NARATRIPTANA 2,5 MG C/4 COM REV-NQ</t>
        </is>
      </c>
      <c r="D836" s="7" t="inlineStr">
        <is>
          <t>GENERICO</t>
        </is>
      </c>
      <c r="E836" s="7" t="inlineStr">
        <is>
          <t>B</t>
        </is>
      </c>
      <c r="F836" s="13" t="n">
        <v>7</v>
      </c>
      <c r="G836" s="13" t="n">
        <v>7</v>
      </c>
      <c r="H836" s="8" t="n">
        <v>7.78</v>
      </c>
      <c r="I836" s="8" t="n">
        <v>6.5788</v>
      </c>
      <c r="J836" s="8" t="n">
        <v>7.3796</v>
      </c>
      <c r="K836" s="8" t="n">
        <v>7.78</v>
      </c>
      <c r="L836" s="8" t="n">
        <v>7.69</v>
      </c>
      <c r="M836" s="8" t="n"/>
      <c r="N836" s="8" t="n"/>
      <c r="O836" s="8" t="n"/>
      <c r="P836" s="8" t="n">
        <v>13.72</v>
      </c>
      <c r="Q836" s="15" t="n">
        <v>6.98</v>
      </c>
      <c r="R836" s="8" t="n"/>
      <c r="S836" s="8" t="n"/>
      <c r="T836" s="7" t="inlineStr">
        <is>
          <t>MEDCENTRO</t>
        </is>
      </c>
      <c r="U836" s="8" t="n">
        <v>6.98</v>
      </c>
      <c r="V836" s="14">
        <f>U836/J836-1</f>
        <v/>
      </c>
      <c r="W836" s="14">
        <f>U836/H836-1</f>
        <v/>
      </c>
      <c r="X836" s="17" t="inlineStr">
        <is>
          <t>OK (≤ últ. compra)</t>
        </is>
      </c>
      <c r="Y836" s="7" t="inlineStr">
        <is>
          <t>NAZARIA: sem estoque</t>
        </is>
      </c>
    </row>
    <row r="837">
      <c r="A837" s="7" t="n">
        <v>146381</v>
      </c>
      <c r="B837" s="12" t="inlineStr">
        <is>
          <t>7895296447317</t>
        </is>
      </c>
      <c r="C837" s="7" t="inlineStr">
        <is>
          <t>CLOR.FEXOFENADINA 120MG 1BLX10COM REV-NQ</t>
        </is>
      </c>
      <c r="D837" s="7" t="inlineStr">
        <is>
          <t>GENERICO</t>
        </is>
      </c>
      <c r="E837" s="7" t="inlineStr">
        <is>
          <t>C</t>
        </is>
      </c>
      <c r="F837" s="13" t="n">
        <v>1</v>
      </c>
      <c r="G837" s="13" t="n">
        <v>1</v>
      </c>
      <c r="H837" s="8" t="n">
        <v>5.6</v>
      </c>
      <c r="I837" s="8" t="n">
        <v>5.6</v>
      </c>
      <c r="J837" s="8" t="n">
        <v>5.599999999999999</v>
      </c>
      <c r="K837" s="8" t="n">
        <v>7.45</v>
      </c>
      <c r="L837" s="15" t="n">
        <v>7.35</v>
      </c>
      <c r="M837" s="8" t="n"/>
      <c r="N837" s="8" t="n"/>
      <c r="O837" s="8" t="n"/>
      <c r="P837" s="8" t="n"/>
      <c r="Q837" s="8" t="n">
        <v>7.41</v>
      </c>
      <c r="R837" s="8" t="n">
        <v>7.47</v>
      </c>
      <c r="S837" s="8" t="n"/>
      <c r="T837" s="7" t="inlineStr">
        <is>
          <t>PLUSFARMA</t>
        </is>
      </c>
      <c r="U837" s="8" t="n">
        <v>7.35</v>
      </c>
      <c r="V837" s="14">
        <f>U837/J837-1</f>
        <v/>
      </c>
      <c r="W837" s="14">
        <f>U837/H837-1</f>
        <v/>
      </c>
      <c r="X837" s="16" t="inlineStr">
        <is>
          <t>ACIMA +31.2%</t>
        </is>
      </c>
      <c r="Y837" s="7" t="inlineStr"/>
    </row>
    <row r="838">
      <c r="A838" s="7" t="n">
        <v>646641</v>
      </c>
      <c r="B838" s="12" t="inlineStr">
        <is>
          <t>7898048690405</t>
        </is>
      </c>
      <c r="C838" s="7" t="inlineStr">
        <is>
          <t>CLORETO DE MAGNESIO P.A 600MG C/60 CPR</t>
        </is>
      </c>
      <c r="D838" s="7" t="inlineStr">
        <is>
          <t>VITAMINA E SIMILARES</t>
        </is>
      </c>
      <c r="E838" s="7" t="inlineStr">
        <is>
          <t>C</t>
        </is>
      </c>
      <c r="F838" s="13" t="n">
        <v>5</v>
      </c>
      <c r="G838" s="13" t="n">
        <v>5</v>
      </c>
      <c r="H838" s="8" t="n">
        <v>8.9</v>
      </c>
      <c r="I838" s="8" t="n">
        <v>8.9</v>
      </c>
      <c r="J838" s="8" t="n">
        <v>8.9</v>
      </c>
      <c r="K838" s="15" t="n">
        <v>9.18</v>
      </c>
      <c r="L838" s="8" t="n"/>
      <c r="M838" s="8" t="n"/>
      <c r="N838" s="8" t="n"/>
      <c r="O838" s="8" t="n"/>
      <c r="P838" s="8" t="n"/>
      <c r="Q838" s="8" t="n"/>
      <c r="R838" s="8" t="n"/>
      <c r="S838" s="8" t="n"/>
      <c r="T838" s="7" t="inlineStr">
        <is>
          <t>DIMEC</t>
        </is>
      </c>
      <c r="U838" s="8" t="n">
        <v>9.18</v>
      </c>
      <c r="V838" s="14">
        <f>U838/J838-1</f>
        <v/>
      </c>
      <c r="W838" s="14">
        <f>U838/H838-1</f>
        <v/>
      </c>
      <c r="X838" s="16" t="inlineStr">
        <is>
          <t>ACIMA +3.1%</t>
        </is>
      </c>
      <c r="Y838" s="7" t="inlineStr"/>
    </row>
    <row r="839">
      <c r="A839" s="7" t="n">
        <v>560161</v>
      </c>
      <c r="B839" s="12" t="inlineStr">
        <is>
          <t>7898031310365</t>
        </is>
      </c>
      <c r="C839" s="7" t="inlineStr">
        <is>
          <t>CLORETO DE MAGNESIO PA 33G</t>
        </is>
      </c>
      <c r="D839" s="7" t="inlineStr">
        <is>
          <t>SIMILAR</t>
        </is>
      </c>
      <c r="E839" s="7" t="inlineStr">
        <is>
          <t>C</t>
        </is>
      </c>
      <c r="F839" s="13" t="n">
        <v>1</v>
      </c>
      <c r="G839" s="13" t="n">
        <v>1</v>
      </c>
      <c r="H839" s="8" t="n">
        <v>4.93</v>
      </c>
      <c r="I839" s="8" t="n">
        <v>4.93</v>
      </c>
      <c r="J839" s="8" t="n">
        <v>4.93</v>
      </c>
      <c r="K839" s="15" t="n">
        <v>5.39</v>
      </c>
      <c r="L839" s="8" t="n"/>
      <c r="M839" s="8" t="n"/>
      <c r="N839" s="8" t="n">
        <v>5.73</v>
      </c>
      <c r="O839" s="8" t="n"/>
      <c r="P839" s="8" t="n">
        <v>7.26</v>
      </c>
      <c r="Q839" s="8" t="n">
        <v>6.44</v>
      </c>
      <c r="R839" s="8" t="n"/>
      <c r="S839" s="8" t="n"/>
      <c r="T839" s="7" t="inlineStr">
        <is>
          <t>DIMEC</t>
        </is>
      </c>
      <c r="U839" s="8" t="n">
        <v>5.39</v>
      </c>
      <c r="V839" s="14">
        <f>U839/J839-1</f>
        <v/>
      </c>
      <c r="W839" s="14">
        <f>U839/H839-1</f>
        <v/>
      </c>
      <c r="X839" s="16" t="inlineStr">
        <is>
          <t>ACIMA +9.3%</t>
        </is>
      </c>
      <c r="Y839" s="7" t="inlineStr"/>
    </row>
    <row r="840">
      <c r="A840" s="7" t="n">
        <v>619951</v>
      </c>
      <c r="B840" s="12" t="inlineStr">
        <is>
          <t>7898031310853</t>
        </is>
      </c>
      <c r="C840" s="7" t="inlineStr">
        <is>
          <t>CLORETO DE MAGNESIO PA 500MG C/60 CPS</t>
        </is>
      </c>
      <c r="D840" s="7" t="inlineStr">
        <is>
          <t>VITAMINA E SIMILARES</t>
        </is>
      </c>
      <c r="E840" s="7" t="inlineStr">
        <is>
          <t>C</t>
        </is>
      </c>
      <c r="F840" s="13" t="n">
        <v>6</v>
      </c>
      <c r="G840" s="13" t="n">
        <v>6</v>
      </c>
      <c r="H840" s="8" t="n">
        <v>13.61</v>
      </c>
      <c r="I840" s="8" t="n">
        <v>13.61</v>
      </c>
      <c r="J840" s="8" t="n">
        <v>13.61</v>
      </c>
      <c r="K840" s="15" t="n">
        <v>13.61</v>
      </c>
      <c r="L840" s="8" t="n"/>
      <c r="M840" s="8" t="n"/>
      <c r="N840" s="8" t="n">
        <v>14.48</v>
      </c>
      <c r="O840" s="8" t="n"/>
      <c r="P840" s="8" t="n">
        <v>18.18</v>
      </c>
      <c r="Q840" s="8" t="n">
        <v>15.63</v>
      </c>
      <c r="R840" s="8" t="n"/>
      <c r="S840" s="8" t="n"/>
      <c r="T840" s="7" t="inlineStr">
        <is>
          <t>DIMEC</t>
        </is>
      </c>
      <c r="U840" s="8" t="n">
        <v>13.61</v>
      </c>
      <c r="V840" s="14">
        <f>U840/J840-1</f>
        <v/>
      </c>
      <c r="W840" s="14">
        <f>U840/H840-1</f>
        <v/>
      </c>
      <c r="X840" s="17" t="inlineStr">
        <is>
          <t>OK (≤ menor hist.)</t>
        </is>
      </c>
      <c r="Y840" s="7" t="inlineStr"/>
    </row>
    <row r="841">
      <c r="A841" s="7" t="n">
        <v>118421</v>
      </c>
      <c r="B841" s="12" t="inlineStr">
        <is>
          <t>7896727841308</t>
        </is>
      </c>
      <c r="C841" s="7" t="inlineStr">
        <is>
          <t>CLORETO DE SODIO 9 MG/ML SOL INJ IV CX 50 BOLS PP TRANS SIST FECH X 250 ML</t>
        </is>
      </c>
      <c r="D841" s="7" t="inlineStr">
        <is>
          <t>HOSPITALAR</t>
        </is>
      </c>
      <c r="E841" s="7" t="inlineStr">
        <is>
          <t>C</t>
        </is>
      </c>
      <c r="F841" s="13" t="n">
        <v>1</v>
      </c>
      <c r="G841" s="13" t="n">
        <v>1</v>
      </c>
      <c r="H841" s="8" t="n">
        <v>7.91</v>
      </c>
      <c r="I841" s="8" t="n">
        <v>7.91</v>
      </c>
      <c r="J841" s="8" t="n">
        <v>7.91</v>
      </c>
      <c r="K841" s="8" t="n"/>
      <c r="L841" s="8" t="n"/>
      <c r="M841" s="8" t="n"/>
      <c r="N841" s="8" t="n"/>
      <c r="O841" s="8" t="n"/>
      <c r="P841" s="8" t="n"/>
      <c r="Q841" s="8" t="n"/>
      <c r="R841" s="8" t="n"/>
      <c r="S841" s="8" t="n"/>
      <c r="T841" s="7" t="inlineStr">
        <is>
          <t>SEM COTAÇÃO</t>
        </is>
      </c>
      <c r="U841" s="8" t="n"/>
      <c r="V841" s="14" t="n"/>
      <c r="W841" s="14" t="n"/>
      <c r="X841" s="7" t="inlineStr"/>
      <c r="Y841" s="7" t="inlineStr"/>
    </row>
    <row r="842">
      <c r="A842" s="7" t="n">
        <v>119981</v>
      </c>
      <c r="B842" s="12" t="inlineStr">
        <is>
          <t>7898007677157</t>
        </is>
      </c>
      <c r="C842" s="7" t="inlineStr">
        <is>
          <t>CLORETO DE SODIO EQUIPLEX INJETAVEL 100ML</t>
        </is>
      </c>
      <c r="D842" s="7" t="inlineStr">
        <is>
          <t>UTENSILIOS</t>
        </is>
      </c>
      <c r="E842" s="7" t="inlineStr">
        <is>
          <t>C</t>
        </is>
      </c>
      <c r="F842" s="13" t="n">
        <v>1</v>
      </c>
      <c r="G842" s="13" t="n">
        <v>1</v>
      </c>
      <c r="H842" s="8" t="n">
        <v>6.99</v>
      </c>
      <c r="I842" s="8" t="n">
        <v>6.99</v>
      </c>
      <c r="J842" s="8" t="n">
        <v>6.989999999999999</v>
      </c>
      <c r="K842" s="8" t="n"/>
      <c r="L842" s="8" t="n"/>
      <c r="M842" s="8" t="n"/>
      <c r="N842" s="8" t="n"/>
      <c r="O842" s="8" t="n"/>
      <c r="P842" s="8" t="n"/>
      <c r="Q842" s="8" t="n"/>
      <c r="R842" s="8" t="n"/>
      <c r="S842" s="8" t="n"/>
      <c r="T842" s="7" t="inlineStr">
        <is>
          <t>SEM COTAÇÃO</t>
        </is>
      </c>
      <c r="U842" s="8" t="n"/>
      <c r="V842" s="14" t="n"/>
      <c r="W842" s="14" t="n"/>
      <c r="X842" s="7" t="inlineStr"/>
      <c r="Y842" s="7" t="inlineStr"/>
    </row>
    <row r="843">
      <c r="A843" s="7" t="n">
        <v>630561</v>
      </c>
      <c r="B843" s="12" t="inlineStr">
        <is>
          <t>7894164010554</t>
        </is>
      </c>
      <c r="C843" s="7" t="inlineStr">
        <is>
          <t>CLORETO SOD 30ENV 2,16G REFIL NASONEWAR.</t>
        </is>
      </c>
      <c r="D843" s="7" t="inlineStr">
        <is>
          <t>SIMILAR</t>
        </is>
      </c>
      <c r="E843" s="7" t="inlineStr">
        <is>
          <t>B</t>
        </is>
      </c>
      <c r="F843" s="13" t="n">
        <v>1</v>
      </c>
      <c r="G843" s="13" t="n">
        <v>1</v>
      </c>
      <c r="H843" s="8" t="n">
        <v>21.59</v>
      </c>
      <c r="I843" s="8" t="n">
        <v>21.59</v>
      </c>
      <c r="J843" s="8" t="n">
        <v>21.59</v>
      </c>
      <c r="K843" s="8" t="n"/>
      <c r="L843" s="8" t="n"/>
      <c r="M843" s="8" t="n"/>
      <c r="N843" s="8" t="n"/>
      <c r="O843" s="8" t="n"/>
      <c r="P843" s="8" t="n"/>
      <c r="Q843" s="8" t="n"/>
      <c r="R843" s="8" t="n"/>
      <c r="S843" s="8" t="n"/>
      <c r="T843" s="7" t="inlineStr">
        <is>
          <t>SEM COTAÇÃO</t>
        </is>
      </c>
      <c r="U843" s="8" t="n"/>
      <c r="V843" s="14" t="n"/>
      <c r="W843" s="14" t="n"/>
      <c r="X843" s="7" t="inlineStr"/>
      <c r="Y843" s="7" t="inlineStr"/>
    </row>
    <row r="844">
      <c r="A844" s="7" t="n">
        <v>123581</v>
      </c>
      <c r="B844" s="12" t="inlineStr">
        <is>
          <t>7896523207636</t>
        </is>
      </c>
      <c r="C844" s="7" t="inlineStr">
        <is>
          <t>CLORIDRATO DE AMBROXOL 6MG/ML XPE FR 120ML+CM</t>
        </is>
      </c>
      <c r="D844" s="7" t="inlineStr">
        <is>
          <t>GENERICO</t>
        </is>
      </c>
      <c r="E844" s="7" t="inlineStr">
        <is>
          <t>A</t>
        </is>
      </c>
      <c r="F844" s="13" t="n">
        <v>7</v>
      </c>
      <c r="G844" s="13" t="n">
        <v>7</v>
      </c>
      <c r="H844" s="8" t="n">
        <v>4.99</v>
      </c>
      <c r="I844" s="8" t="n">
        <v>4.05</v>
      </c>
      <c r="J844" s="8" t="n">
        <v>4.37</v>
      </c>
      <c r="K844" s="8" t="n"/>
      <c r="L844" s="8" t="n"/>
      <c r="M844" s="8" t="n"/>
      <c r="N844" s="8" t="n"/>
      <c r="O844" s="8" t="n"/>
      <c r="P844" s="15" t="n">
        <v>26.38</v>
      </c>
      <c r="Q844" s="8" t="n"/>
      <c r="R844" s="8" t="n"/>
      <c r="S844" s="8" t="n"/>
      <c r="T844" s="7" t="inlineStr">
        <is>
          <t>NAZARIA</t>
        </is>
      </c>
      <c r="U844" s="8" t="n">
        <v>26.38</v>
      </c>
      <c r="V844" s="14">
        <f>U844/J844-1</f>
        <v/>
      </c>
      <c r="W844" s="14">
        <f>U844/H844-1</f>
        <v/>
      </c>
      <c r="X844" s="16" t="inlineStr">
        <is>
          <t>ACIMA +428.7%</t>
        </is>
      </c>
      <c r="Y844" s="7" t="inlineStr">
        <is>
          <t>NAZARIA: conferir emb.</t>
        </is>
      </c>
    </row>
    <row r="845">
      <c r="A845" s="7" t="n">
        <v>124681</v>
      </c>
      <c r="B845" s="12" t="inlineStr">
        <is>
          <t>7891058001681</t>
        </is>
      </c>
      <c r="C845" s="7" t="inlineStr">
        <is>
          <t>CLORIDRATO DE AMIODARONA 200MG CX 30 COMP</t>
        </is>
      </c>
      <c r="D845" s="7" t="inlineStr">
        <is>
          <t>GENERICO</t>
        </is>
      </c>
      <c r="E845" s="7" t="inlineStr">
        <is>
          <t>B</t>
        </is>
      </c>
      <c r="F845" s="13" t="n">
        <v>1</v>
      </c>
      <c r="G845" s="13" t="n">
        <v>1</v>
      </c>
      <c r="H845" s="8" t="n">
        <v>16.4233</v>
      </c>
      <c r="I845" s="8" t="n">
        <v>13.6767</v>
      </c>
      <c r="J845" s="8" t="n">
        <v>15.50776666666667</v>
      </c>
      <c r="K845" s="15" t="n">
        <v>20.44</v>
      </c>
      <c r="L845" s="8" t="n"/>
      <c r="M845" s="8" t="n"/>
      <c r="N845" s="8" t="n"/>
      <c r="O845" s="8" t="n"/>
      <c r="P845" s="8" t="n">
        <v>23.675648</v>
      </c>
      <c r="Q845" s="8" t="n"/>
      <c r="R845" s="8" t="n"/>
      <c r="S845" s="8" t="n"/>
      <c r="T845" s="7" t="inlineStr">
        <is>
          <t>DIMEC</t>
        </is>
      </c>
      <c r="U845" s="8" t="n">
        <v>20.44</v>
      </c>
      <c r="V845" s="14">
        <f>U845/J845-1</f>
        <v/>
      </c>
      <c r="W845" s="14">
        <f>U845/H845-1</f>
        <v/>
      </c>
      <c r="X845" s="16" t="inlineStr">
        <is>
          <t>ACIMA +24.5%</t>
        </is>
      </c>
      <c r="Y845" s="7" t="inlineStr"/>
    </row>
    <row r="846">
      <c r="A846" s="7" t="n">
        <v>129761</v>
      </c>
      <c r="B846" s="12" t="inlineStr"/>
      <c r="C846" s="7" t="inlineStr">
        <is>
          <t>CLORIDRATO DE BROMEXINA 1,6MG XPE FR 120ML+CM</t>
        </is>
      </c>
      <c r="D846" s="7" t="inlineStr">
        <is>
          <t>GENERICO</t>
        </is>
      </c>
      <c r="E846" s="7" t="inlineStr">
        <is>
          <t>B</t>
        </is>
      </c>
      <c r="F846" s="13" t="n">
        <v>4</v>
      </c>
      <c r="G846" s="13" t="n">
        <v>4</v>
      </c>
      <c r="H846" s="8" t="n">
        <v>6.74</v>
      </c>
      <c r="I846" s="8" t="n">
        <v>6.74</v>
      </c>
      <c r="J846" s="8" t="n">
        <v>6.739999999999999</v>
      </c>
      <c r="K846" s="8" t="n"/>
      <c r="L846" s="8" t="n"/>
      <c r="M846" s="8" t="n"/>
      <c r="N846" s="8" t="n"/>
      <c r="O846" s="8" t="n"/>
      <c r="P846" s="8" t="n"/>
      <c r="Q846" s="8" t="n"/>
      <c r="R846" s="15" t="n">
        <v>6.44</v>
      </c>
      <c r="S846" s="8" t="n"/>
      <c r="T846" s="7" t="inlineStr">
        <is>
          <t>BRASFARMA</t>
        </is>
      </c>
      <c r="U846" s="8" t="n">
        <v>6.44</v>
      </c>
      <c r="V846" s="14">
        <f>U846/J846-1</f>
        <v/>
      </c>
      <c r="W846" s="14">
        <f>U846/H846-1</f>
        <v/>
      </c>
      <c r="X846" s="17" t="inlineStr">
        <is>
          <t>OK (≤ menor hist.)</t>
        </is>
      </c>
      <c r="Y846" s="7" t="inlineStr"/>
    </row>
    <row r="847">
      <c r="A847" s="7" t="n">
        <v>132801</v>
      </c>
      <c r="B847" s="12" t="inlineStr">
        <is>
          <t>7896523214641</t>
        </is>
      </c>
      <c r="C847" s="7" t="inlineStr">
        <is>
          <t>CLORIDRATO DE CICLOBENZAPRINA 10MG CX 15 COMP REV</t>
        </is>
      </c>
      <c r="D847" s="7" t="inlineStr">
        <is>
          <t>GENERICO</t>
        </is>
      </c>
      <c r="E847" s="7" t="inlineStr">
        <is>
          <t>A</t>
        </is>
      </c>
      <c r="F847" s="13" t="n">
        <v>34</v>
      </c>
      <c r="G847" s="13" t="n">
        <v>34</v>
      </c>
      <c r="H847" s="8" t="n">
        <v>2.63</v>
      </c>
      <c r="I847" s="8" t="n">
        <v>2.49</v>
      </c>
      <c r="J847" s="8" t="n">
        <v>2.57</v>
      </c>
      <c r="K847" s="15" t="n">
        <v>2.63</v>
      </c>
      <c r="L847" s="8" t="n"/>
      <c r="M847" s="8" t="n"/>
      <c r="N847" s="8" t="n"/>
      <c r="O847" s="8" t="n"/>
      <c r="P847" s="8" t="n">
        <v>11.78</v>
      </c>
      <c r="Q847" s="8" t="n"/>
      <c r="R847" s="8" t="n"/>
      <c r="S847" s="8" t="n"/>
      <c r="T847" s="7" t="inlineStr">
        <is>
          <t>DIMEC</t>
        </is>
      </c>
      <c r="U847" s="8" t="n">
        <v>2.63</v>
      </c>
      <c r="V847" s="14">
        <f>U847/J847-1</f>
        <v/>
      </c>
      <c r="W847" s="14">
        <f>U847/H847-1</f>
        <v/>
      </c>
      <c r="X847" s="17" t="inlineStr">
        <is>
          <t>OK (≤ últ. compra)</t>
        </is>
      </c>
      <c r="Y847" s="7" t="inlineStr">
        <is>
          <t>NAZARIA: conferir emb.</t>
        </is>
      </c>
    </row>
    <row r="848">
      <c r="A848" s="7" t="n">
        <v>134641</v>
      </c>
      <c r="B848" s="12" t="inlineStr">
        <is>
          <t>7898060139944</t>
        </is>
      </c>
      <c r="C848" s="7" t="inlineStr">
        <is>
          <t>CLORIDRATO DE CICLOBENZAPRINA 10MG CX 15 COMP REV</t>
        </is>
      </c>
      <c r="D848" s="7" t="inlineStr">
        <is>
          <t>GENERICO</t>
        </is>
      </c>
      <c r="E848" s="7" t="inlineStr">
        <is>
          <t>C</t>
        </is>
      </c>
      <c r="F848" s="13" t="n">
        <v>13</v>
      </c>
      <c r="G848" s="13" t="n">
        <v>13</v>
      </c>
      <c r="H848" s="8" t="n">
        <v>3.71</v>
      </c>
      <c r="I848" s="8" t="n">
        <v>3.71</v>
      </c>
      <c r="J848" s="8" t="n">
        <v>3.71</v>
      </c>
      <c r="K848" s="8" t="n"/>
      <c r="L848" s="8" t="n"/>
      <c r="M848" s="8" t="n"/>
      <c r="N848" s="8" t="n"/>
      <c r="O848" s="8" t="n"/>
      <c r="P848" s="8" t="n"/>
      <c r="Q848" s="8" t="n"/>
      <c r="R848" s="8" t="n"/>
      <c r="S848" s="8" t="n"/>
      <c r="T848" s="7" t="inlineStr">
        <is>
          <t>SEM COTAÇÃO</t>
        </is>
      </c>
      <c r="U848" s="8" t="n"/>
      <c r="V848" s="14" t="n"/>
      <c r="W848" s="14" t="n"/>
      <c r="X848" s="7" t="inlineStr"/>
      <c r="Y848" s="7" t="inlineStr"/>
    </row>
    <row r="849">
      <c r="A849" s="7" t="n">
        <v>134601</v>
      </c>
      <c r="B849" s="12" t="inlineStr">
        <is>
          <t>7898060139951</t>
        </is>
      </c>
      <c r="C849" s="7" t="inlineStr">
        <is>
          <t>CLORIDRATO DE CICLOBENZAPRINA 10MG CX 30 COMP REV</t>
        </is>
      </c>
      <c r="D849" s="7" t="inlineStr">
        <is>
          <t>GENERICO</t>
        </is>
      </c>
      <c r="E849" s="7" t="inlineStr">
        <is>
          <t>C</t>
        </is>
      </c>
      <c r="F849" s="13" t="n">
        <v>4</v>
      </c>
      <c r="G849" s="13" t="n">
        <v>4</v>
      </c>
      <c r="H849" s="8" t="n">
        <v>5.48</v>
      </c>
      <c r="I849" s="8" t="n">
        <v>5.48</v>
      </c>
      <c r="J849" s="8" t="n">
        <v>5.48</v>
      </c>
      <c r="K849" s="8" t="n">
        <v>5.58</v>
      </c>
      <c r="L849" s="8" t="n"/>
      <c r="M849" s="8" t="n"/>
      <c r="N849" s="8" t="n"/>
      <c r="O849" s="8" t="n"/>
      <c r="P849" s="8" t="n"/>
      <c r="Q849" s="8" t="n"/>
      <c r="R849" s="15" t="n">
        <v>5.28</v>
      </c>
      <c r="S849" s="8" t="n"/>
      <c r="T849" s="7" t="inlineStr">
        <is>
          <t>BRASFARMA</t>
        </is>
      </c>
      <c r="U849" s="8" t="n">
        <v>5.28</v>
      </c>
      <c r="V849" s="14">
        <f>U849/J849-1</f>
        <v/>
      </c>
      <c r="W849" s="14">
        <f>U849/H849-1</f>
        <v/>
      </c>
      <c r="X849" s="17" t="inlineStr">
        <is>
          <t>OK (≤ menor hist.)</t>
        </is>
      </c>
      <c r="Y849" s="7" t="inlineStr"/>
    </row>
    <row r="850">
      <c r="A850" s="7" t="n">
        <v>4093</v>
      </c>
      <c r="B850" s="12" t="inlineStr">
        <is>
          <t>7899095204188</t>
        </is>
      </c>
      <c r="C850" s="7" t="inlineStr">
        <is>
          <t>CLORIDRATO DE CICLOBENZAPRINA 5MG C/15 CPR</t>
        </is>
      </c>
      <c r="D850" s="7" t="inlineStr">
        <is>
          <t>GENERICO</t>
        </is>
      </c>
      <c r="E850" s="7" t="inlineStr">
        <is>
          <t>C</t>
        </is>
      </c>
      <c r="F850" s="13" t="n">
        <v>2</v>
      </c>
      <c r="G850" s="13" t="n">
        <v>2</v>
      </c>
      <c r="H850" s="8" t="n">
        <v>3.36</v>
      </c>
      <c r="I850" s="8" t="n">
        <v>3.36</v>
      </c>
      <c r="J850" s="8" t="n">
        <v>3.36</v>
      </c>
      <c r="K850" s="8" t="n">
        <v>4.25</v>
      </c>
      <c r="L850" s="8" t="n"/>
      <c r="M850" s="8" t="n"/>
      <c r="N850" s="15" t="n">
        <v>4.14</v>
      </c>
      <c r="O850" s="8" t="n"/>
      <c r="P850" s="8" t="n"/>
      <c r="Q850" s="8" t="n">
        <v>4.39</v>
      </c>
      <c r="R850" s="8" t="n"/>
      <c r="S850" s="8" t="n"/>
      <c r="T850" s="7" t="inlineStr">
        <is>
          <t>CENTROFARMA</t>
        </is>
      </c>
      <c r="U850" s="8" t="n">
        <v>4.14</v>
      </c>
      <c r="V850" s="14">
        <f>U850/J850-1</f>
        <v/>
      </c>
      <c r="W850" s="14">
        <f>U850/H850-1</f>
        <v/>
      </c>
      <c r="X850" s="16" t="inlineStr">
        <is>
          <t>ACIMA +23.2%</t>
        </is>
      </c>
      <c r="Y850" s="7" t="inlineStr"/>
    </row>
    <row r="851">
      <c r="A851" s="7" t="n">
        <v>134661</v>
      </c>
      <c r="B851" s="12" t="inlineStr">
        <is>
          <t>7898060139913</t>
        </is>
      </c>
      <c r="C851" s="7" t="inlineStr">
        <is>
          <t>CLORIDRATO DE CICLOBENZAPRINA 5MG CX 15 COMP REV</t>
        </is>
      </c>
      <c r="D851" s="7" t="inlineStr">
        <is>
          <t>GENERICO</t>
        </is>
      </c>
      <c r="E851" s="7" t="inlineStr">
        <is>
          <t>C</t>
        </is>
      </c>
      <c r="F851" s="13" t="n">
        <v>1</v>
      </c>
      <c r="G851" s="13" t="n">
        <v>1</v>
      </c>
      <c r="H851" s="8" t="n">
        <v>2.53</v>
      </c>
      <c r="I851" s="8" t="n">
        <v>2.53</v>
      </c>
      <c r="J851" s="8" t="n">
        <v>2.53</v>
      </c>
      <c r="K851" s="8" t="n">
        <v>2.55</v>
      </c>
      <c r="L851" s="8" t="n"/>
      <c r="M851" s="8" t="n"/>
      <c r="N851" s="8" t="n"/>
      <c r="O851" s="8" t="n"/>
      <c r="P851" s="8" t="n"/>
      <c r="Q851" s="8" t="n"/>
      <c r="R851" s="15" t="n">
        <v>2.44</v>
      </c>
      <c r="S851" s="8" t="n"/>
      <c r="T851" s="7" t="inlineStr">
        <is>
          <t>BRASFARMA</t>
        </is>
      </c>
      <c r="U851" s="8" t="n">
        <v>2.44</v>
      </c>
      <c r="V851" s="14">
        <f>U851/J851-1</f>
        <v/>
      </c>
      <c r="W851" s="14">
        <f>U851/H851-1</f>
        <v/>
      </c>
      <c r="X851" s="17" t="inlineStr">
        <is>
          <t>OK (≤ menor hist.)</t>
        </is>
      </c>
      <c r="Y851" s="7" t="inlineStr"/>
    </row>
    <row r="852">
      <c r="A852" s="7" t="n">
        <v>132761</v>
      </c>
      <c r="B852" s="12" t="inlineStr">
        <is>
          <t>7896523214627</t>
        </is>
      </c>
      <c r="C852" s="7" t="inlineStr">
        <is>
          <t>CLORIDRATO DE CICLOBENZAPRINA 5MG CX 30 COMP REV</t>
        </is>
      </c>
      <c r="D852" s="7" t="inlineStr">
        <is>
          <t>GENERICO</t>
        </is>
      </c>
      <c r="E852" s="7" t="inlineStr">
        <is>
          <t>B</t>
        </is>
      </c>
      <c r="F852" s="13" t="n">
        <v>3</v>
      </c>
      <c r="G852" s="13" t="n">
        <v>3</v>
      </c>
      <c r="H852" s="8" t="n">
        <v>3.15</v>
      </c>
      <c r="I852" s="8" t="n">
        <v>2.99</v>
      </c>
      <c r="J852" s="8" t="n">
        <v>3.043333333333333</v>
      </c>
      <c r="K852" s="8" t="n"/>
      <c r="L852" s="8" t="n"/>
      <c r="M852" s="8" t="n"/>
      <c r="N852" s="8" t="n"/>
      <c r="O852" s="8" t="n"/>
      <c r="P852" s="8" t="n"/>
      <c r="Q852" s="8" t="n"/>
      <c r="R852" s="8" t="n"/>
      <c r="S852" s="8" t="n"/>
      <c r="T852" s="7" t="inlineStr">
        <is>
          <t>SEM COTAÇÃO</t>
        </is>
      </c>
      <c r="U852" s="8" t="n"/>
      <c r="V852" s="14" t="n"/>
      <c r="W852" s="14" t="n"/>
      <c r="X852" s="7" t="inlineStr"/>
      <c r="Y852" s="7" t="inlineStr"/>
    </row>
    <row r="853">
      <c r="A853" s="7" t="n">
        <v>134621</v>
      </c>
      <c r="B853" s="12" t="inlineStr">
        <is>
          <t>7898060139920</t>
        </is>
      </c>
      <c r="C853" s="7" t="inlineStr">
        <is>
          <t>CLORIDRATO DE CICLOBENZAPRINA 5MG CX 30 COMP REV</t>
        </is>
      </c>
      <c r="D853" s="7" t="inlineStr">
        <is>
          <t>GENERICO</t>
        </is>
      </c>
      <c r="E853" s="7" t="inlineStr">
        <is>
          <t>C</t>
        </is>
      </c>
      <c r="F853" s="13" t="n">
        <v>3</v>
      </c>
      <c r="G853" s="13" t="n">
        <v>3</v>
      </c>
      <c r="H853" s="8" t="n">
        <v>3.63</v>
      </c>
      <c r="I853" s="8" t="n">
        <v>3.63</v>
      </c>
      <c r="J853" s="8" t="n">
        <v>3.63</v>
      </c>
      <c r="K853" s="8" t="n"/>
      <c r="L853" s="8" t="n"/>
      <c r="M853" s="8" t="n"/>
      <c r="N853" s="8" t="n"/>
      <c r="O853" s="8" t="n"/>
      <c r="P853" s="8" t="n"/>
      <c r="Q853" s="8" t="n"/>
      <c r="R853" s="8" t="n"/>
      <c r="S853" s="8" t="n"/>
      <c r="T853" s="7" t="inlineStr">
        <is>
          <t>SEM COTAÇÃO</t>
        </is>
      </c>
      <c r="U853" s="8" t="n"/>
      <c r="V853" s="14" t="n"/>
      <c r="W853" s="14" t="n"/>
      <c r="X853" s="7" t="inlineStr"/>
      <c r="Y853" s="7" t="inlineStr"/>
    </row>
    <row r="854">
      <c r="A854" s="7" t="n">
        <v>135981</v>
      </c>
      <c r="B854" s="12" t="inlineStr">
        <is>
          <t>7898216360185</t>
        </is>
      </c>
      <c r="C854" s="7" t="inlineStr">
        <is>
          <t>CLORIDRATO DE CIPROFLOXACINO 500MG CX 14 COMP REV</t>
        </is>
      </c>
      <c r="D854" s="7" t="inlineStr">
        <is>
          <t>GENERICO</t>
        </is>
      </c>
      <c r="E854" s="7" t="inlineStr">
        <is>
          <t>B</t>
        </is>
      </c>
      <c r="F854" s="13" t="n">
        <v>14</v>
      </c>
      <c r="G854" s="13" t="n">
        <v>14</v>
      </c>
      <c r="H854" s="8" t="n">
        <v>6.19</v>
      </c>
      <c r="I854" s="8" t="n">
        <v>5.99</v>
      </c>
      <c r="J854" s="8" t="n">
        <v>6.116666666666667</v>
      </c>
      <c r="K854" s="8" t="n">
        <v>6.43</v>
      </c>
      <c r="L854" s="8" t="n"/>
      <c r="M854" s="8" t="n"/>
      <c r="N854" s="8" t="n">
        <v>6.51</v>
      </c>
      <c r="O854" s="8" t="n"/>
      <c r="P854" s="8" t="n"/>
      <c r="Q854" s="8" t="n">
        <v>6.44</v>
      </c>
      <c r="R854" s="15" t="n">
        <v>6.14</v>
      </c>
      <c r="S854" s="8" t="n"/>
      <c r="T854" s="7" t="inlineStr">
        <is>
          <t>BRASFARMA</t>
        </is>
      </c>
      <c r="U854" s="8" t="n">
        <v>6.14</v>
      </c>
      <c r="V854" s="14">
        <f>U854/J854-1</f>
        <v/>
      </c>
      <c r="W854" s="14">
        <f>U854/H854-1</f>
        <v/>
      </c>
      <c r="X854" s="17" t="inlineStr">
        <is>
          <t>OK (≤ últ. compra)</t>
        </is>
      </c>
      <c r="Y854" s="7" t="inlineStr"/>
    </row>
    <row r="855">
      <c r="A855" s="7" t="n">
        <v>136341</v>
      </c>
      <c r="B855" s="12" t="inlineStr">
        <is>
          <t>7896523209647</t>
        </is>
      </c>
      <c r="C855" s="7" t="inlineStr">
        <is>
          <t>CLORIDRATO DE CIPROFLOXACINO 500MG CX 14 COMP REV</t>
        </is>
      </c>
      <c r="D855" s="7" t="inlineStr">
        <is>
          <t>GENERICO - ATB</t>
        </is>
      </c>
      <c r="E855" s="7" t="inlineStr">
        <is>
          <t>C</t>
        </is>
      </c>
      <c r="F855" s="13" t="n">
        <v>2</v>
      </c>
      <c r="G855" s="13" t="n">
        <v>2</v>
      </c>
      <c r="H855" s="8" t="n">
        <v>5.29</v>
      </c>
      <c r="I855" s="8" t="n">
        <v>5.29</v>
      </c>
      <c r="J855" s="8" t="n">
        <v>5.29</v>
      </c>
      <c r="K855" s="8" t="n"/>
      <c r="L855" s="8" t="n"/>
      <c r="M855" s="8" t="n"/>
      <c r="N855" s="8" t="n"/>
      <c r="O855" s="8" t="n"/>
      <c r="P855" s="15" t="n">
        <v>37.57</v>
      </c>
      <c r="Q855" s="8" t="n"/>
      <c r="R855" s="8" t="n"/>
      <c r="S855" s="8" t="n"/>
      <c r="T855" s="7" t="inlineStr">
        <is>
          <t>NAZARIA</t>
        </is>
      </c>
      <c r="U855" s="8" t="n">
        <v>37.57</v>
      </c>
      <c r="V855" s="14">
        <f>U855/J855-1</f>
        <v/>
      </c>
      <c r="W855" s="14">
        <f>U855/H855-1</f>
        <v/>
      </c>
      <c r="X855" s="16" t="inlineStr">
        <is>
          <t>ACIMA +610.2%</t>
        </is>
      </c>
      <c r="Y855" s="7" t="inlineStr">
        <is>
          <t>NAZARIA: conferir emb.</t>
        </is>
      </c>
    </row>
    <row r="856">
      <c r="A856" s="7" t="n">
        <v>136261</v>
      </c>
      <c r="B856" s="12" t="inlineStr">
        <is>
          <t>7898060131399</t>
        </is>
      </c>
      <c r="C856" s="7" t="inlineStr">
        <is>
          <t>CLORIDRATO DE CIPROFLOXACINO 500MG CX 14 COMP REV</t>
        </is>
      </c>
      <c r="D856" s="7" t="inlineStr">
        <is>
          <t>GENERICO - ATB</t>
        </is>
      </c>
      <c r="E856" s="7" t="inlineStr">
        <is>
          <t>C</t>
        </is>
      </c>
      <c r="F856" s="13" t="n">
        <v>1</v>
      </c>
      <c r="G856" s="13" t="n">
        <v>1</v>
      </c>
      <c r="H856" s="8" t="n">
        <v>5.99</v>
      </c>
      <c r="I856" s="8" t="n">
        <v>5.99</v>
      </c>
      <c r="J856" s="8" t="n">
        <v>5.989999999999999</v>
      </c>
      <c r="K856" s="8" t="n">
        <v>7.42</v>
      </c>
      <c r="L856" s="8" t="n"/>
      <c r="M856" s="8" t="n"/>
      <c r="N856" s="15" t="n">
        <v>6.31</v>
      </c>
      <c r="O856" s="8" t="n"/>
      <c r="P856" s="8" t="n"/>
      <c r="Q856" s="8" t="n"/>
      <c r="R856" s="8" t="n"/>
      <c r="S856" s="8" t="n"/>
      <c r="T856" s="7" t="inlineStr">
        <is>
          <t>CENTROFARMA</t>
        </is>
      </c>
      <c r="U856" s="8" t="n">
        <v>6.31</v>
      </c>
      <c r="V856" s="14">
        <f>U856/J856-1</f>
        <v/>
      </c>
      <c r="W856" s="14">
        <f>U856/H856-1</f>
        <v/>
      </c>
      <c r="X856" s="16" t="inlineStr">
        <is>
          <t>ACIMA +5.3%</t>
        </is>
      </c>
      <c r="Y856" s="7" t="inlineStr"/>
    </row>
    <row r="857">
      <c r="A857" s="7" t="n">
        <v>142821</v>
      </c>
      <c r="B857" s="12" t="inlineStr">
        <is>
          <t>7895296186018</t>
        </is>
      </c>
      <c r="C857" s="7" t="inlineStr">
        <is>
          <t>CLORIDRATO DE DORZOLAMIDA 20MG/ML FR X 5ML</t>
        </is>
      </c>
      <c r="D857" s="7" t="inlineStr">
        <is>
          <t>GENERICO</t>
        </is>
      </c>
      <c r="E857" s="7" t="inlineStr">
        <is>
          <t>B</t>
        </is>
      </c>
      <c r="F857" s="13" t="n">
        <v>2</v>
      </c>
      <c r="G857" s="13" t="n">
        <v>2</v>
      </c>
      <c r="H857" s="8" t="n">
        <v>29.87</v>
      </c>
      <c r="I857" s="8" t="n">
        <v>29.87</v>
      </c>
      <c r="J857" s="8" t="n">
        <v>29.87</v>
      </c>
      <c r="K857" s="8" t="n">
        <v>46.94</v>
      </c>
      <c r="L857" s="8" t="n">
        <v>47.49</v>
      </c>
      <c r="M857" s="8" t="n">
        <v>29.87</v>
      </c>
      <c r="N857" s="8" t="n"/>
      <c r="O857" s="8" t="n"/>
      <c r="P857" s="8" t="n"/>
      <c r="Q857" s="8" t="n"/>
      <c r="R857" s="15" t="n">
        <v>46.63</v>
      </c>
      <c r="S857" s="8" t="n"/>
      <c r="T857" s="7" t="inlineStr">
        <is>
          <t>BRASFARMA</t>
        </is>
      </c>
      <c r="U857" s="8" t="n">
        <v>46.63</v>
      </c>
      <c r="V857" s="14">
        <f>U857/J857-1</f>
        <v/>
      </c>
      <c r="W857" s="14">
        <f>U857/H857-1</f>
        <v/>
      </c>
      <c r="X857" s="16" t="inlineStr">
        <is>
          <t>ACIMA +56.1%</t>
        </is>
      </c>
      <c r="Y857" s="7" t="inlineStr">
        <is>
          <t>EPAN: sem estoque</t>
        </is>
      </c>
    </row>
    <row r="858">
      <c r="A858" s="7" t="n">
        <v>147241</v>
      </c>
      <c r="B858" s="12" t="inlineStr">
        <is>
          <t>7896523220352</t>
        </is>
      </c>
      <c r="C858" s="7" t="inlineStr">
        <is>
          <t>CLORIDRATO DE FEXOFENADINA 180MG CX 10 COMP</t>
        </is>
      </c>
      <c r="D858" s="7" t="inlineStr">
        <is>
          <t>GENERICO</t>
        </is>
      </c>
      <c r="E858" s="7" t="inlineStr">
        <is>
          <t>A</t>
        </is>
      </c>
      <c r="F858" s="13" t="n">
        <v>47</v>
      </c>
      <c r="G858" s="13" t="n">
        <v>47</v>
      </c>
      <c r="H858" s="8" t="n">
        <v>6.09</v>
      </c>
      <c r="I858" s="8" t="n">
        <v>5.58</v>
      </c>
      <c r="J858" s="8" t="n">
        <v>5.75</v>
      </c>
      <c r="K858" s="8" t="n"/>
      <c r="L858" s="8" t="n"/>
      <c r="M858" s="8" t="n"/>
      <c r="N858" s="8" t="n"/>
      <c r="O858" s="8" t="n"/>
      <c r="P858" s="15" t="n">
        <v>42.28</v>
      </c>
      <c r="Q858" s="8" t="n"/>
      <c r="R858" s="8" t="n"/>
      <c r="S858" s="8" t="n"/>
      <c r="T858" s="7" t="inlineStr">
        <is>
          <t>NAZARIA</t>
        </is>
      </c>
      <c r="U858" s="8" t="n">
        <v>42.28</v>
      </c>
      <c r="V858" s="14">
        <f>U858/J858-1</f>
        <v/>
      </c>
      <c r="W858" s="14">
        <f>U858/H858-1</f>
        <v/>
      </c>
      <c r="X858" s="16" t="inlineStr">
        <is>
          <t>ACIMA +594.3%</t>
        </is>
      </c>
      <c r="Y858" s="7" t="inlineStr">
        <is>
          <t>NAZARIA: conferir emb.</t>
        </is>
      </c>
    </row>
    <row r="859">
      <c r="A859" s="7" t="n">
        <v>638801</v>
      </c>
      <c r="B859" s="12" t="inlineStr">
        <is>
          <t>7891058005627</t>
        </is>
      </c>
      <c r="C859" s="7" t="inlineStr">
        <is>
          <t>CLORIDRATO DE FEXOFENADINA 180MG CX 10 COMP REV</t>
        </is>
      </c>
      <c r="D859" s="7" t="inlineStr">
        <is>
          <t>GENERICO</t>
        </is>
      </c>
      <c r="E859" s="7" t="inlineStr">
        <is>
          <t>C</t>
        </is>
      </c>
      <c r="F859" s="13" t="n">
        <v>2</v>
      </c>
      <c r="G859" s="13" t="n">
        <v>2</v>
      </c>
      <c r="H859" s="8" t="n">
        <v>10.334</v>
      </c>
      <c r="I859" s="8" t="n">
        <v>10.334</v>
      </c>
      <c r="J859" s="8" t="n">
        <v>10.334</v>
      </c>
      <c r="K859" s="8" t="n"/>
      <c r="L859" s="8" t="n"/>
      <c r="M859" s="8" t="n"/>
      <c r="N859" s="8" t="n"/>
      <c r="O859" s="8" t="n"/>
      <c r="P859" s="8" t="n"/>
      <c r="Q859" s="8" t="n"/>
      <c r="R859" s="8" t="n"/>
      <c r="S859" s="8" t="n"/>
      <c r="T859" s="7" t="inlineStr">
        <is>
          <t>SEM COTAÇÃO</t>
        </is>
      </c>
      <c r="U859" s="8" t="n"/>
      <c r="V859" s="14" t="n"/>
      <c r="W859" s="14" t="n"/>
      <c r="X859" s="7" t="inlineStr"/>
      <c r="Y859" s="7" t="inlineStr"/>
    </row>
    <row r="860">
      <c r="A860" s="7" t="n">
        <v>146661</v>
      </c>
      <c r="B860" s="12" t="inlineStr">
        <is>
          <t>7896523220239</t>
        </is>
      </c>
      <c r="C860" s="7" t="inlineStr">
        <is>
          <t>CLORIDRATO DE FEXOFENADINA 60MG CX 10 COMP REV</t>
        </is>
      </c>
      <c r="D860" s="7" t="inlineStr">
        <is>
          <t>GENERICO</t>
        </is>
      </c>
      <c r="E860" s="7" t="inlineStr">
        <is>
          <t>C</t>
        </is>
      </c>
      <c r="F860" s="13" t="n">
        <v>3</v>
      </c>
      <c r="G860" s="13" t="n">
        <v>3</v>
      </c>
      <c r="H860" s="8" t="n">
        <v>6.69</v>
      </c>
      <c r="I860" s="8" t="n">
        <v>6.18</v>
      </c>
      <c r="J860" s="8" t="n">
        <v>6.513333333333333</v>
      </c>
      <c r="K860" s="15" t="n">
        <v>8.4</v>
      </c>
      <c r="L860" s="8" t="n"/>
      <c r="M860" s="8" t="n"/>
      <c r="N860" s="8" t="n"/>
      <c r="O860" s="8" t="n"/>
      <c r="P860" s="8" t="n">
        <v>22.86</v>
      </c>
      <c r="Q860" s="8" t="n"/>
      <c r="R860" s="8" t="n"/>
      <c r="S860" s="8" t="n"/>
      <c r="T860" s="7" t="inlineStr">
        <is>
          <t>DIMEC</t>
        </is>
      </c>
      <c r="U860" s="8" t="n">
        <v>8.4</v>
      </c>
      <c r="V860" s="14">
        <f>U860/J860-1</f>
        <v/>
      </c>
      <c r="W860" s="14">
        <f>U860/H860-1</f>
        <v/>
      </c>
      <c r="X860" s="16" t="inlineStr">
        <is>
          <t>ACIMA +25.6%</t>
        </is>
      </c>
      <c r="Y860" s="7" t="inlineStr">
        <is>
          <t>NAZARIA: conferir emb.</t>
        </is>
      </c>
    </row>
    <row r="861">
      <c r="A861" s="7" t="n">
        <v>4923</v>
      </c>
      <c r="B861" s="12" t="inlineStr">
        <is>
          <t>7896472521821</t>
        </is>
      </c>
      <c r="C861" s="7" t="inlineStr">
        <is>
          <t>CLORIDRATO DE FEXOFENADINA 6MG/ML 60ML-NQ</t>
        </is>
      </c>
      <c r="D861" s="7" t="inlineStr">
        <is>
          <t>GENERICO</t>
        </is>
      </c>
      <c r="E861" s="7" t="inlineStr">
        <is>
          <t>C</t>
        </is>
      </c>
      <c r="F861" s="13" t="n">
        <v>2</v>
      </c>
      <c r="G861" s="13" t="n">
        <v>2</v>
      </c>
      <c r="H861" s="8" t="n">
        <v>13.28</v>
      </c>
      <c r="I861" s="8" t="n">
        <v>13.28</v>
      </c>
      <c r="J861" s="8" t="n">
        <v>13.28</v>
      </c>
      <c r="K861" s="8" t="n"/>
      <c r="L861" s="15" t="n">
        <v>10.19</v>
      </c>
      <c r="M861" s="8" t="n"/>
      <c r="N861" s="8" t="n"/>
      <c r="O861" s="8" t="n"/>
      <c r="P861" s="8" t="n">
        <v>21.17</v>
      </c>
      <c r="Q861" s="8" t="n">
        <v>11.01</v>
      </c>
      <c r="R861" s="8" t="n">
        <v>10.36</v>
      </c>
      <c r="S861" s="8" t="n"/>
      <c r="T861" s="7" t="inlineStr">
        <is>
          <t>PLUSFARMA</t>
        </is>
      </c>
      <c r="U861" s="8" t="n">
        <v>10.19</v>
      </c>
      <c r="V861" s="14">
        <f>U861/J861-1</f>
        <v/>
      </c>
      <c r="W861" s="14">
        <f>U861/H861-1</f>
        <v/>
      </c>
      <c r="X861" s="17" t="inlineStr">
        <is>
          <t>OK (≤ menor hist.)</t>
        </is>
      </c>
      <c r="Y861" s="7" t="inlineStr"/>
    </row>
    <row r="862">
      <c r="A862" s="7" t="n">
        <v>150021</v>
      </c>
      <c r="B862" s="12" t="inlineStr"/>
      <c r="C862" s="7" t="inlineStr">
        <is>
          <t>CLORIDRATO DE HIDROXIZINA 10MG/5ML SOL OR FR X 100ML+CM</t>
        </is>
      </c>
      <c r="D862" s="7" t="inlineStr">
        <is>
          <t>GENERICO</t>
        </is>
      </c>
      <c r="E862" s="7" t="inlineStr">
        <is>
          <t>C</t>
        </is>
      </c>
      <c r="F862" s="13" t="n">
        <v>1</v>
      </c>
      <c r="G862" s="13" t="n">
        <v>1</v>
      </c>
      <c r="H862" s="8" t="n">
        <v>5.52</v>
      </c>
      <c r="I862" s="8" t="n">
        <v>5.52</v>
      </c>
      <c r="J862" s="8" t="n">
        <v>5.52</v>
      </c>
      <c r="K862" s="8" t="n"/>
      <c r="L862" s="8" t="n"/>
      <c r="M862" s="8" t="n"/>
      <c r="N862" s="8" t="n"/>
      <c r="O862" s="8" t="n"/>
      <c r="P862" s="8" t="n"/>
      <c r="Q862" s="8" t="n"/>
      <c r="R862" s="8" t="n"/>
      <c r="S862" s="8" t="n"/>
      <c r="T862" s="7" t="inlineStr">
        <is>
          <t>SEM COTAÇÃO</t>
        </is>
      </c>
      <c r="U862" s="8" t="n"/>
      <c r="V862" s="14" t="n"/>
      <c r="W862" s="14" t="n"/>
      <c r="X862" s="7" t="inlineStr"/>
      <c r="Y862" s="7" t="inlineStr"/>
    </row>
    <row r="863">
      <c r="A863" s="7" t="n">
        <v>152261</v>
      </c>
      <c r="B863" s="12" t="inlineStr">
        <is>
          <t>7898216360864</t>
        </is>
      </c>
      <c r="C863" s="7" t="inlineStr">
        <is>
          <t>CLORIDRATO DE LIDOCAINA 20MG/G GELEIA BG 30G</t>
        </is>
      </c>
      <c r="D863" s="7" t="inlineStr">
        <is>
          <t>GENERICO</t>
        </is>
      </c>
      <c r="E863" s="7" t="inlineStr">
        <is>
          <t>C</t>
        </is>
      </c>
      <c r="F863" s="13" t="n">
        <v>1</v>
      </c>
      <c r="G863" s="13" t="n">
        <v>1</v>
      </c>
      <c r="H863" s="8" t="n">
        <v>8.93</v>
      </c>
      <c r="I863" s="8" t="n">
        <v>8.77</v>
      </c>
      <c r="J863" s="8" t="n">
        <v>8.876666666666667</v>
      </c>
      <c r="K863" s="8" t="n">
        <v>8.949999999999999</v>
      </c>
      <c r="L863" s="8" t="n"/>
      <c r="M863" s="8" t="n"/>
      <c r="N863" s="8" t="n">
        <v>9.1</v>
      </c>
      <c r="O863" s="8" t="n">
        <v>8.9</v>
      </c>
      <c r="P863" s="8" t="n"/>
      <c r="Q863" s="8" t="n"/>
      <c r="R863" s="15" t="n">
        <v>8.59</v>
      </c>
      <c r="S863" s="8" t="n"/>
      <c r="T863" s="7" t="inlineStr">
        <is>
          <t>BRASFARMA</t>
        </is>
      </c>
      <c r="U863" s="8" t="n">
        <v>8.59</v>
      </c>
      <c r="V863" s="14">
        <f>U863/J863-1</f>
        <v/>
      </c>
      <c r="W863" s="14">
        <f>U863/H863-1</f>
        <v/>
      </c>
      <c r="X863" s="17" t="inlineStr">
        <is>
          <t>OK (≤ menor hist.)</t>
        </is>
      </c>
      <c r="Y863" s="7" t="inlineStr"/>
    </row>
    <row r="864">
      <c r="A864" s="7" t="n">
        <v>323981</v>
      </c>
      <c r="B864" s="12" t="inlineStr">
        <is>
          <t>7898060132600</t>
        </is>
      </c>
      <c r="C864" s="7" t="inlineStr">
        <is>
          <t>CLORIDRATO DE LOPERAMIDA 2MG CX 12 COMP</t>
        </is>
      </c>
      <c r="D864" s="7" t="inlineStr">
        <is>
          <t>GENERICO</t>
        </is>
      </c>
      <c r="E864" s="7" t="inlineStr">
        <is>
          <t>A</t>
        </is>
      </c>
      <c r="F864" s="13" t="n">
        <v>19</v>
      </c>
      <c r="G864" s="13" t="n">
        <v>19</v>
      </c>
      <c r="H864" s="8" t="n">
        <v>2.02</v>
      </c>
      <c r="I864" s="8" t="n">
        <v>2.02</v>
      </c>
      <c r="J864" s="8" t="n">
        <v>2.02</v>
      </c>
      <c r="K864" s="15" t="n">
        <v>2.08</v>
      </c>
      <c r="L864" s="8" t="n"/>
      <c r="M864" s="8" t="n"/>
      <c r="N864" s="8" t="n">
        <v>2.13</v>
      </c>
      <c r="O864" s="8" t="n"/>
      <c r="P864" s="8" t="n"/>
      <c r="Q864" s="8" t="n"/>
      <c r="R864" s="8" t="n"/>
      <c r="S864" s="8" t="n"/>
      <c r="T864" s="7" t="inlineStr">
        <is>
          <t>DIMEC</t>
        </is>
      </c>
      <c r="U864" s="8" t="n">
        <v>2.08</v>
      </c>
      <c r="V864" s="14">
        <f>U864/J864-1</f>
        <v/>
      </c>
      <c r="W864" s="14">
        <f>U864/H864-1</f>
        <v/>
      </c>
      <c r="X864" s="16" t="inlineStr">
        <is>
          <t>ACIMA +3.0%</t>
        </is>
      </c>
      <c r="Y864" s="7" t="inlineStr"/>
    </row>
    <row r="865">
      <c r="A865" s="7" t="n">
        <v>511621</v>
      </c>
      <c r="B865" s="12" t="inlineStr">
        <is>
          <t>7897917005708</t>
        </is>
      </c>
      <c r="C865" s="7" t="inlineStr">
        <is>
          <t>CLORIDRATO DE METOCLOPRAMIDA 10MG CX 20 COMP</t>
        </is>
      </c>
      <c r="D865" s="7" t="inlineStr">
        <is>
          <t>GENERICO</t>
        </is>
      </c>
      <c r="E865" s="7" t="inlineStr">
        <is>
          <t>C</t>
        </is>
      </c>
      <c r="F865" s="13" t="n">
        <v>1</v>
      </c>
      <c r="G865" s="13" t="n">
        <v>1</v>
      </c>
      <c r="H865" s="8" t="n">
        <v>3.2</v>
      </c>
      <c r="I865" s="8" t="n">
        <v>3.2</v>
      </c>
      <c r="J865" s="8" t="n">
        <v>3.200000000000001</v>
      </c>
      <c r="K865" s="15" t="n">
        <v>3.2</v>
      </c>
      <c r="L865" s="8" t="n"/>
      <c r="M865" s="8" t="n"/>
      <c r="N865" s="8" t="n"/>
      <c r="O865" s="8" t="n"/>
      <c r="P865" s="8" t="n"/>
      <c r="Q865" s="8" t="n"/>
      <c r="R865" s="8" t="n">
        <v>3.86</v>
      </c>
      <c r="S865" s="8" t="n"/>
      <c r="T865" s="7" t="inlineStr">
        <is>
          <t>DIMEC</t>
        </is>
      </c>
      <c r="U865" s="8" t="n">
        <v>3.2</v>
      </c>
      <c r="V865" s="14">
        <f>U865/J865-1</f>
        <v/>
      </c>
      <c r="W865" s="14">
        <f>U865/H865-1</f>
        <v/>
      </c>
      <c r="X865" s="17" t="inlineStr">
        <is>
          <t>OK (≤ menor hist.)</t>
        </is>
      </c>
      <c r="Y865" s="7" t="inlineStr"/>
    </row>
    <row r="866">
      <c r="A866" s="7" t="n">
        <v>644271</v>
      </c>
      <c r="B866" s="12" t="inlineStr">
        <is>
          <t>7897917006453</t>
        </is>
      </c>
      <c r="C866" s="7" t="inlineStr">
        <is>
          <t>CLORIDRATO DE NAFAZOLINA 0,5MG/ML SOL NAS CT FR PLAS GOT X 30ML</t>
        </is>
      </c>
      <c r="D866" s="7" t="inlineStr">
        <is>
          <t>GENERICO</t>
        </is>
      </c>
      <c r="E866" s="7" t="inlineStr">
        <is>
          <t>C</t>
        </is>
      </c>
      <c r="F866" s="13" t="n">
        <v>1</v>
      </c>
      <c r="G866" s="13" t="n">
        <v>1</v>
      </c>
      <c r="H866" s="8" t="n">
        <v>2.72</v>
      </c>
      <c r="I866" s="8" t="n">
        <v>2.72</v>
      </c>
      <c r="J866" s="8" t="n">
        <v>2.72</v>
      </c>
      <c r="K866" s="8" t="n"/>
      <c r="L866" s="8" t="n"/>
      <c r="M866" s="8" t="n"/>
      <c r="N866" s="8" t="n"/>
      <c r="O866" s="8" t="n"/>
      <c r="P866" s="8" t="n"/>
      <c r="Q866" s="8" t="n"/>
      <c r="R866" s="15" t="n">
        <v>2.84</v>
      </c>
      <c r="S866" s="8" t="n"/>
      <c r="T866" s="7" t="inlineStr">
        <is>
          <t>BRASFARMA</t>
        </is>
      </c>
      <c r="U866" s="8" t="n">
        <v>2.84</v>
      </c>
      <c r="V866" s="14">
        <f>U866/J866-1</f>
        <v/>
      </c>
      <c r="W866" s="14">
        <f>U866/H866-1</f>
        <v/>
      </c>
      <c r="X866" s="16" t="inlineStr">
        <is>
          <t>ACIMA +4.4%</t>
        </is>
      </c>
      <c r="Y866" s="7" t="inlineStr"/>
    </row>
    <row r="867">
      <c r="A867" s="7" t="n">
        <v>651091</v>
      </c>
      <c r="B867" s="12" t="inlineStr">
        <is>
          <t>7895296449823</t>
        </is>
      </c>
      <c r="C867" s="7" t="inlineStr">
        <is>
          <t>CLORIDRATO DE NARATRIPTANA 2,5MG 10 CPR</t>
        </is>
      </c>
      <c r="D867" s="7" t="inlineStr">
        <is>
          <t>GENERICO</t>
        </is>
      </c>
      <c r="E867" s="7" t="inlineStr">
        <is>
          <t>C</t>
        </is>
      </c>
      <c r="F867" s="13" t="n">
        <v>2</v>
      </c>
      <c r="G867" s="13" t="n">
        <v>2</v>
      </c>
      <c r="H867" s="8" t="n">
        <v>14.9512</v>
      </c>
      <c r="I867" s="8" t="n">
        <v>14.9512</v>
      </c>
      <c r="J867" s="8" t="n">
        <v>14.9512</v>
      </c>
      <c r="K867" s="8" t="n"/>
      <c r="L867" s="15" t="n">
        <v>18.09</v>
      </c>
      <c r="M867" s="8" t="n"/>
      <c r="N867" s="8" t="n"/>
      <c r="O867" s="8" t="n"/>
      <c r="P867" s="8" t="n"/>
      <c r="Q867" s="8" t="n"/>
      <c r="R867" s="8" t="n"/>
      <c r="S867" s="8" t="n"/>
      <c r="T867" s="7" t="inlineStr">
        <is>
          <t>PLUSFARMA</t>
        </is>
      </c>
      <c r="U867" s="8" t="n">
        <v>18.09</v>
      </c>
      <c r="V867" s="14">
        <f>U867/J867-1</f>
        <v/>
      </c>
      <c r="W867" s="14">
        <f>U867/H867-1</f>
        <v/>
      </c>
      <c r="X867" s="16" t="inlineStr">
        <is>
          <t>ACIMA +21.0%</t>
        </is>
      </c>
      <c r="Y867" s="7" t="inlineStr"/>
    </row>
    <row r="868">
      <c r="A868" s="7" t="n">
        <v>162341</v>
      </c>
      <c r="B868" s="12" t="inlineStr">
        <is>
          <t>8902220114906</t>
        </is>
      </c>
      <c r="C868" s="7" t="inlineStr">
        <is>
          <t>CLORIDRATO DE NEBIVOLOL 5MG CX 30 COMP</t>
        </is>
      </c>
      <c r="D868" s="7" t="inlineStr">
        <is>
          <t>GENERICO</t>
        </is>
      </c>
      <c r="E868" s="7" t="inlineStr">
        <is>
          <t>C</t>
        </is>
      </c>
      <c r="F868" s="13" t="n">
        <v>2</v>
      </c>
      <c r="G868" s="13" t="n">
        <v>2</v>
      </c>
      <c r="H868" s="8" t="n">
        <v>14.865</v>
      </c>
      <c r="I868" s="8" t="n">
        <v>14.865</v>
      </c>
      <c r="J868" s="8" t="n">
        <v>14.865</v>
      </c>
      <c r="K868" s="8" t="n"/>
      <c r="L868" s="8" t="n"/>
      <c r="M868" s="15" t="n">
        <v>14.86</v>
      </c>
      <c r="N868" s="8" t="n"/>
      <c r="O868" s="8" t="n"/>
      <c r="P868" s="8" t="n">
        <v>71.52</v>
      </c>
      <c r="Q868" s="8" t="n"/>
      <c r="R868" s="8" t="n"/>
      <c r="S868" s="8" t="n"/>
      <c r="T868" s="7" t="inlineStr">
        <is>
          <t>EPAN</t>
        </is>
      </c>
      <c r="U868" s="8" t="n">
        <v>14.86</v>
      </c>
      <c r="V868" s="14">
        <f>U868/J868-1</f>
        <v/>
      </c>
      <c r="W868" s="14">
        <f>U868/H868-1</f>
        <v/>
      </c>
      <c r="X868" s="17" t="inlineStr">
        <is>
          <t>OK (≤ menor hist.)</t>
        </is>
      </c>
      <c r="Y868" s="7" t="inlineStr">
        <is>
          <t>NAZARIA: conferir emb.</t>
        </is>
      </c>
    </row>
    <row r="869">
      <c r="A869" s="7" t="n">
        <v>666781</v>
      </c>
      <c r="B869" s="12" t="inlineStr"/>
      <c r="C869" s="7" t="inlineStr">
        <is>
          <t>CLORIDRATO DE ONDANSETRONA 4MG CX 10 COMP</t>
        </is>
      </c>
      <c r="D869" s="7" t="inlineStr">
        <is>
          <t>GENERICO</t>
        </is>
      </c>
      <c r="E869" s="7" t="inlineStr">
        <is>
          <t>A</t>
        </is>
      </c>
      <c r="F869" s="13" t="n">
        <v>11</v>
      </c>
      <c r="G869" s="13" t="n">
        <v>11</v>
      </c>
      <c r="H869" s="8" t="n">
        <v>8.2287</v>
      </c>
      <c r="I869" s="8" t="n">
        <v>3.572</v>
      </c>
      <c r="J869" s="8" t="n">
        <v>6.676466666666666</v>
      </c>
      <c r="K869" s="8" t="n"/>
      <c r="L869" s="8" t="n"/>
      <c r="M869" s="8" t="n"/>
      <c r="N869" s="8" t="n"/>
      <c r="O869" s="8" t="n"/>
      <c r="P869" s="8" t="n"/>
      <c r="Q869" s="8" t="n"/>
      <c r="R869" s="8" t="n"/>
      <c r="S869" s="8" t="n"/>
      <c r="T869" s="7" t="inlineStr">
        <is>
          <t>SEM COTAÇÃO</t>
        </is>
      </c>
      <c r="U869" s="8" t="n"/>
      <c r="V869" s="14" t="n"/>
      <c r="W869" s="14" t="n"/>
      <c r="X869" s="7" t="inlineStr"/>
      <c r="Y869" s="7" t="inlineStr"/>
    </row>
    <row r="870">
      <c r="A870" s="7" t="n">
        <v>164041</v>
      </c>
      <c r="B870" s="12" t="inlineStr">
        <is>
          <t>7896014679546</t>
        </is>
      </c>
      <c r="C870" s="7" t="inlineStr">
        <is>
          <t>CLORIDRATO DE ONDANSETRONA 4MG CX 10 COMP REV</t>
        </is>
      </c>
      <c r="D870" s="7" t="inlineStr">
        <is>
          <t>GENERICO</t>
        </is>
      </c>
      <c r="E870" s="7" t="inlineStr">
        <is>
          <t>C</t>
        </is>
      </c>
      <c r="F870" s="13" t="n">
        <v>1</v>
      </c>
      <c r="G870" s="13" t="n">
        <v>1</v>
      </c>
      <c r="H870" s="8" t="n">
        <v>7.18</v>
      </c>
      <c r="I870" s="8" t="n">
        <v>7.18</v>
      </c>
      <c r="J870" s="8" t="n">
        <v>7.18</v>
      </c>
      <c r="K870" s="8" t="n"/>
      <c r="L870" s="8" t="n"/>
      <c r="M870" s="8" t="n"/>
      <c r="N870" s="8" t="n"/>
      <c r="O870" s="8" t="n"/>
      <c r="P870" s="8" t="n">
        <v>7.150251000000001</v>
      </c>
      <c r="Q870" s="8" t="n"/>
      <c r="R870" s="8" t="n"/>
      <c r="S870" s="8" t="n"/>
      <c r="T870" s="7" t="inlineStr">
        <is>
          <t>SEM COTAÇÃO</t>
        </is>
      </c>
      <c r="U870" s="8" t="n"/>
      <c r="V870" s="14" t="n"/>
      <c r="W870" s="14" t="n"/>
      <c r="X870" s="7" t="inlineStr"/>
      <c r="Y870" s="7" t="inlineStr">
        <is>
          <t>NAZARIA: sem estoque</t>
        </is>
      </c>
    </row>
    <row r="871">
      <c r="A871" s="7" t="n">
        <v>666791</v>
      </c>
      <c r="B871" s="12" t="inlineStr">
        <is>
          <t>7891058001971</t>
        </is>
      </c>
      <c r="C871" s="7" t="inlineStr">
        <is>
          <t>CLORIDRATO DE ONDANSETRONA 8MG CX 10 COMP</t>
        </is>
      </c>
      <c r="D871" s="7" t="inlineStr">
        <is>
          <t>GENERICO</t>
        </is>
      </c>
      <c r="E871" s="7" t="inlineStr">
        <is>
          <t>C</t>
        </is>
      </c>
      <c r="F871" s="13" t="n">
        <v>8</v>
      </c>
      <c r="G871" s="13" t="n">
        <v>8</v>
      </c>
      <c r="H871" s="8" t="n">
        <v>18.565</v>
      </c>
      <c r="I871" s="8" t="n">
        <v>6.9973</v>
      </c>
      <c r="J871" s="8" t="n">
        <v>14.7091</v>
      </c>
      <c r="K871" s="8" t="n"/>
      <c r="L871" s="8" t="n"/>
      <c r="M871" s="8" t="n"/>
      <c r="N871" s="8" t="n"/>
      <c r="O871" s="8" t="n"/>
      <c r="P871" s="15" t="n">
        <v>30.0588</v>
      </c>
      <c r="Q871" s="8" t="n"/>
      <c r="R871" s="8" t="n"/>
      <c r="S871" s="8" t="n"/>
      <c r="T871" s="7" t="inlineStr">
        <is>
          <t>NAZARIA</t>
        </is>
      </c>
      <c r="U871" s="8" t="n">
        <v>30.0588</v>
      </c>
      <c r="V871" s="14">
        <f>U871/J871-1</f>
        <v/>
      </c>
      <c r="W871" s="14">
        <f>U871/H871-1</f>
        <v/>
      </c>
      <c r="X871" s="16" t="inlineStr">
        <is>
          <t>ACIMA +61.9%</t>
        </is>
      </c>
      <c r="Y871" s="7" t="inlineStr"/>
    </row>
    <row r="872">
      <c r="A872" s="7" t="n">
        <v>597761</v>
      </c>
      <c r="B872" s="12" t="inlineStr">
        <is>
          <t>7898687731552</t>
        </is>
      </c>
      <c r="C872" s="7" t="inlineStr">
        <is>
          <t>CLORIDRATO DE ONDANSETRONA DI-HIDRATADO 4MG CX 10 COMP ORODISP</t>
        </is>
      </c>
      <c r="D872" s="7" t="inlineStr">
        <is>
          <t>GENERICO</t>
        </is>
      </c>
      <c r="E872" s="7" t="inlineStr">
        <is>
          <t>C</t>
        </is>
      </c>
      <c r="F872" s="13" t="n">
        <v>1</v>
      </c>
      <c r="G872" s="13" t="n">
        <v>1</v>
      </c>
      <c r="H872" s="8" t="n">
        <v>6.71</v>
      </c>
      <c r="I872" s="8" t="n">
        <v>6.71</v>
      </c>
      <c r="J872" s="8" t="n">
        <v>6.71</v>
      </c>
      <c r="K872" s="8" t="n"/>
      <c r="L872" s="15" t="n">
        <v>8.15</v>
      </c>
      <c r="M872" s="8" t="n"/>
      <c r="N872" s="8" t="n"/>
      <c r="O872" s="8" t="n"/>
      <c r="P872" s="8" t="n"/>
      <c r="Q872" s="8" t="n"/>
      <c r="R872" s="8" t="n"/>
      <c r="S872" s="8" t="n"/>
      <c r="T872" s="7" t="inlineStr">
        <is>
          <t>PLUSFARMA</t>
        </is>
      </c>
      <c r="U872" s="8" t="n">
        <v>8.15</v>
      </c>
      <c r="V872" s="14">
        <f>U872/J872-1</f>
        <v/>
      </c>
      <c r="W872" s="14">
        <f>U872/H872-1</f>
        <v/>
      </c>
      <c r="X872" s="16" t="inlineStr">
        <is>
          <t>ACIMA +21.5%</t>
        </is>
      </c>
      <c r="Y872" s="7" t="inlineStr"/>
    </row>
    <row r="873">
      <c r="A873" s="7" t="n">
        <v>597771</v>
      </c>
      <c r="B873" s="12" t="inlineStr">
        <is>
          <t>7898687731736</t>
        </is>
      </c>
      <c r="C873" s="7" t="inlineStr">
        <is>
          <t>CLORIDRATO DE ONDANSETRONA DI-HIDRATADO 8MG CX 10 COMP ORODISP</t>
        </is>
      </c>
      <c r="D873" s="7" t="inlineStr">
        <is>
          <t>GENERICO</t>
        </is>
      </c>
      <c r="E873" s="7" t="inlineStr">
        <is>
          <t>C</t>
        </is>
      </c>
      <c r="F873" s="13" t="n">
        <v>1</v>
      </c>
      <c r="G873" s="13" t="n">
        <v>1</v>
      </c>
      <c r="H873" s="8" t="n">
        <v>14.57</v>
      </c>
      <c r="I873" s="8" t="n">
        <v>14.57</v>
      </c>
      <c r="J873" s="8" t="n">
        <v>14.57</v>
      </c>
      <c r="K873" s="8" t="n"/>
      <c r="L873" s="8" t="n">
        <v>16.8</v>
      </c>
      <c r="M873" s="15" t="n">
        <v>12.15</v>
      </c>
      <c r="N873" s="8" t="n"/>
      <c r="O873" s="8" t="n"/>
      <c r="P873" s="8" t="n"/>
      <c r="Q873" s="8" t="n"/>
      <c r="R873" s="8" t="n"/>
      <c r="S873" s="8" t="n"/>
      <c r="T873" s="7" t="inlineStr">
        <is>
          <t>EPAN</t>
        </is>
      </c>
      <c r="U873" s="8" t="n">
        <v>12.15</v>
      </c>
      <c r="V873" s="14">
        <f>U873/J873-1</f>
        <v/>
      </c>
      <c r="W873" s="14">
        <f>U873/H873-1</f>
        <v/>
      </c>
      <c r="X873" s="17" t="inlineStr">
        <is>
          <t>OK (≤ menor hist.)</t>
        </is>
      </c>
      <c r="Y873" s="7" t="inlineStr"/>
    </row>
    <row r="874">
      <c r="A874" s="7" t="n">
        <v>171281</v>
      </c>
      <c r="B874" s="12" t="inlineStr">
        <is>
          <t>7898216362431</t>
        </is>
      </c>
      <c r="C874" s="7" t="inlineStr">
        <is>
          <t>CLORIDRATO DE PROPANOLOL 40MG CX 30 COMP</t>
        </is>
      </c>
      <c r="D874" s="7" t="inlineStr">
        <is>
          <t>GENERICO</t>
        </is>
      </c>
      <c r="E874" s="7" t="inlineStr">
        <is>
          <t>C</t>
        </is>
      </c>
      <c r="F874" s="13" t="n">
        <v>4</v>
      </c>
      <c r="G874" s="13" t="n">
        <v>4</v>
      </c>
      <c r="H874" s="8" t="n">
        <v>2.12</v>
      </c>
      <c r="I874" s="8" t="n">
        <v>2.12</v>
      </c>
      <c r="J874" s="8" t="n">
        <v>2.12</v>
      </c>
      <c r="K874" s="8" t="n">
        <v>2.23</v>
      </c>
      <c r="L874" s="8" t="n"/>
      <c r="M874" s="8" t="n"/>
      <c r="N874" s="8" t="n">
        <v>2.23</v>
      </c>
      <c r="O874" s="8" t="n">
        <v>2.21</v>
      </c>
      <c r="P874" s="8" t="n"/>
      <c r="Q874" s="8" t="n">
        <v>2.44</v>
      </c>
      <c r="R874" s="15" t="n">
        <v>2.13</v>
      </c>
      <c r="S874" s="8" t="n"/>
      <c r="T874" s="7" t="inlineStr">
        <is>
          <t>BRASFARMA</t>
        </is>
      </c>
      <c r="U874" s="8" t="n">
        <v>2.13</v>
      </c>
      <c r="V874" s="14">
        <f>U874/J874-1</f>
        <v/>
      </c>
      <c r="W874" s="14">
        <f>U874/H874-1</f>
        <v/>
      </c>
      <c r="X874" s="16" t="inlineStr">
        <is>
          <t>ACIMA +0.5%</t>
        </is>
      </c>
      <c r="Y874" s="7" t="inlineStr"/>
    </row>
    <row r="875">
      <c r="A875" s="7" t="n">
        <v>171341</v>
      </c>
      <c r="B875" s="12" t="inlineStr">
        <is>
          <t>7896422515535</t>
        </is>
      </c>
      <c r="C875" s="7" t="inlineStr">
        <is>
          <t>CLORIDRATO DE PROPRANOLOL 40MG CX 30 COMP</t>
        </is>
      </c>
      <c r="D875" s="7" t="inlineStr">
        <is>
          <t>GENERICO</t>
        </is>
      </c>
      <c r="E875" s="7" t="inlineStr">
        <is>
          <t>C</t>
        </is>
      </c>
      <c r="F875" s="13" t="n">
        <v>1</v>
      </c>
      <c r="G875" s="13" t="n">
        <v>1</v>
      </c>
      <c r="H875" s="8" t="n">
        <v>4.18</v>
      </c>
      <c r="I875" s="8" t="n">
        <v>3.83</v>
      </c>
      <c r="J875" s="8" t="n">
        <v>4.063333333333333</v>
      </c>
      <c r="K875" s="8" t="n"/>
      <c r="L875" s="8" t="n"/>
      <c r="M875" s="8" t="n"/>
      <c r="N875" s="8" t="n"/>
      <c r="O875" s="8" t="n"/>
      <c r="P875" s="15" t="n">
        <v>7.1214</v>
      </c>
      <c r="Q875" s="8" t="n"/>
      <c r="R875" s="8" t="n"/>
      <c r="S875" s="8" t="n"/>
      <c r="T875" s="7" t="inlineStr">
        <is>
          <t>NAZARIA</t>
        </is>
      </c>
      <c r="U875" s="8" t="n">
        <v>7.1214</v>
      </c>
      <c r="V875" s="14">
        <f>U875/J875-1</f>
        <v/>
      </c>
      <c r="W875" s="14">
        <f>U875/H875-1</f>
        <v/>
      </c>
      <c r="X875" s="16" t="inlineStr">
        <is>
          <t>ACIMA +70.4%</t>
        </is>
      </c>
      <c r="Y875" s="7" t="inlineStr"/>
    </row>
    <row r="876">
      <c r="A876" s="7" t="n">
        <v>176641</v>
      </c>
      <c r="B876" s="12" t="inlineStr">
        <is>
          <t>7896422506304</t>
        </is>
      </c>
      <c r="C876" s="7" t="inlineStr">
        <is>
          <t>CLORIDRATO DE SERTRALINA 50MG CX 30 COMP</t>
        </is>
      </c>
      <c r="D876" s="7" t="inlineStr">
        <is>
          <t>GENERICO</t>
        </is>
      </c>
      <c r="E876" s="7" t="inlineStr">
        <is>
          <t>C</t>
        </is>
      </c>
      <c r="F876" s="13" t="n">
        <v>1</v>
      </c>
      <c r="G876" s="13" t="n">
        <v>1</v>
      </c>
      <c r="H876" s="8" t="n">
        <v>7.02</v>
      </c>
      <c r="I876" s="8" t="n">
        <v>7.02</v>
      </c>
      <c r="J876" s="8" t="n">
        <v>7.02</v>
      </c>
      <c r="K876" s="8" t="n"/>
      <c r="L876" s="8" t="n"/>
      <c r="M876" s="8" t="n"/>
      <c r="N876" s="8" t="n"/>
      <c r="O876" s="8" t="n"/>
      <c r="P876" s="15" t="n">
        <v>26.3076</v>
      </c>
      <c r="Q876" s="8" t="n"/>
      <c r="R876" s="8" t="n"/>
      <c r="S876" s="8" t="n"/>
      <c r="T876" s="7" t="inlineStr">
        <is>
          <t>NAZARIA</t>
        </is>
      </c>
      <c r="U876" s="8" t="n">
        <v>26.3076</v>
      </c>
      <c r="V876" s="14">
        <f>U876/J876-1</f>
        <v/>
      </c>
      <c r="W876" s="14">
        <f>U876/H876-1</f>
        <v/>
      </c>
      <c r="X876" s="16" t="inlineStr">
        <is>
          <t>ACIMA +274.8%</t>
        </is>
      </c>
      <c r="Y876" s="7" t="inlineStr">
        <is>
          <t>NAZARIA: conferir emb.</t>
        </is>
      </c>
    </row>
    <row r="877">
      <c r="A877" s="7" t="n">
        <v>651111</v>
      </c>
      <c r="B877" s="12" t="inlineStr">
        <is>
          <t>7891317009052</t>
        </is>
      </c>
      <c r="C877" s="7" t="inlineStr">
        <is>
          <t>CLORIDRATO DE TRAMADOL 100MG 10ML GTS</t>
        </is>
      </c>
      <c r="D877" s="7" t="inlineStr">
        <is>
          <t>GENERICO - CONTROLE</t>
        </is>
      </c>
      <c r="E877" s="7" t="inlineStr">
        <is>
          <t>C</t>
        </is>
      </c>
      <c r="F877" s="13" t="n">
        <v>1</v>
      </c>
      <c r="G877" s="13" t="n">
        <v>1</v>
      </c>
      <c r="H877" s="8" t="n">
        <v>14.0725</v>
      </c>
      <c r="I877" s="8" t="n">
        <v>14.0725</v>
      </c>
      <c r="J877" s="8" t="n">
        <v>14.0725</v>
      </c>
      <c r="K877" s="8" t="n">
        <v>17.29</v>
      </c>
      <c r="L877" s="8" t="n">
        <v>16.95</v>
      </c>
      <c r="M877" s="8" t="n"/>
      <c r="N877" s="8" t="n"/>
      <c r="O877" s="8" t="n"/>
      <c r="P877" s="8" t="n">
        <v>21.359</v>
      </c>
      <c r="Q877" s="15" t="n">
        <v>16.51</v>
      </c>
      <c r="R877" s="8" t="n"/>
      <c r="S877" s="8" t="n"/>
      <c r="T877" s="7" t="inlineStr">
        <is>
          <t>MEDCENTRO</t>
        </is>
      </c>
      <c r="U877" s="8" t="n">
        <v>16.51</v>
      </c>
      <c r="V877" s="14">
        <f>U877/J877-1</f>
        <v/>
      </c>
      <c r="W877" s="14">
        <f>U877/H877-1</f>
        <v/>
      </c>
      <c r="X877" s="16" t="inlineStr">
        <is>
          <t>ACIMA +17.3%</t>
        </is>
      </c>
      <c r="Y877" s="7" t="inlineStr"/>
    </row>
    <row r="878">
      <c r="A878" s="7" t="n">
        <v>182141</v>
      </c>
      <c r="B878" s="12" t="inlineStr">
        <is>
          <t>7895296014014</t>
        </is>
      </c>
      <c r="C878" s="7" t="inlineStr">
        <is>
          <t>CLORIDRATO DE TRAMADOL 50MG CX 10 CAP</t>
        </is>
      </c>
      <c r="D878" s="7" t="inlineStr">
        <is>
          <t>GENERICO - CONTROLE</t>
        </is>
      </c>
      <c r="E878" s="7" t="inlineStr">
        <is>
          <t>B</t>
        </is>
      </c>
      <c r="F878" s="13" t="n">
        <v>6</v>
      </c>
      <c r="G878" s="13" t="n">
        <v>6</v>
      </c>
      <c r="H878" s="8" t="n">
        <v>4.7842</v>
      </c>
      <c r="I878" s="8" t="n">
        <v>4.7842</v>
      </c>
      <c r="J878" s="8" t="n">
        <v>4.7842</v>
      </c>
      <c r="K878" s="8" t="n"/>
      <c r="L878" s="15" t="n">
        <v>4.75</v>
      </c>
      <c r="M878" s="8" t="n"/>
      <c r="N878" s="8" t="n"/>
      <c r="O878" s="8" t="n"/>
      <c r="P878" s="8" t="n"/>
      <c r="Q878" s="8" t="n"/>
      <c r="R878" s="8" t="n"/>
      <c r="S878" s="8" t="n"/>
      <c r="T878" s="7" t="inlineStr">
        <is>
          <t>PLUSFARMA</t>
        </is>
      </c>
      <c r="U878" s="8" t="n">
        <v>4.75</v>
      </c>
      <c r="V878" s="14">
        <f>U878/J878-1</f>
        <v/>
      </c>
      <c r="W878" s="14">
        <f>U878/H878-1</f>
        <v/>
      </c>
      <c r="X878" s="17" t="inlineStr">
        <is>
          <t>OK (≤ menor hist.)</t>
        </is>
      </c>
      <c r="Y878" s="7" t="inlineStr"/>
    </row>
    <row r="879">
      <c r="A879" s="7" t="n">
        <v>189601</v>
      </c>
      <c r="B879" s="12" t="inlineStr">
        <is>
          <t>7896422506427</t>
        </is>
      </c>
      <c r="C879" s="7" t="inlineStr">
        <is>
          <t>CLOTRIMAZOL 10MG CREM VAG BG 35G+6APLIC</t>
        </is>
      </c>
      <c r="D879" s="7" t="inlineStr">
        <is>
          <t>GENERICO</t>
        </is>
      </c>
      <c r="E879" s="7" t="inlineStr">
        <is>
          <t>A</t>
        </is>
      </c>
      <c r="F879" s="13" t="n">
        <v>7</v>
      </c>
      <c r="G879" s="13" t="n">
        <v>7</v>
      </c>
      <c r="H879" s="8" t="n">
        <v>15.376</v>
      </c>
      <c r="I879" s="8" t="n">
        <v>13.0614</v>
      </c>
      <c r="J879" s="8" t="n">
        <v>14.60446666666667</v>
      </c>
      <c r="K879" s="15" t="n">
        <v>17.18</v>
      </c>
      <c r="L879" s="8" t="n"/>
      <c r="M879" s="8" t="n"/>
      <c r="N879" s="8" t="n"/>
      <c r="O879" s="8" t="n"/>
      <c r="P879" s="8" t="n">
        <v>28.1015</v>
      </c>
      <c r="Q879" s="8" t="n"/>
      <c r="R879" s="8" t="n"/>
      <c r="S879" s="8" t="n"/>
      <c r="T879" s="7" t="inlineStr">
        <is>
          <t>DIMEC</t>
        </is>
      </c>
      <c r="U879" s="8" t="n">
        <v>17.18</v>
      </c>
      <c r="V879" s="14">
        <f>U879/J879-1</f>
        <v/>
      </c>
      <c r="W879" s="14">
        <f>U879/H879-1</f>
        <v/>
      </c>
      <c r="X879" s="16" t="inlineStr">
        <is>
          <t>ACIMA +11.7%</t>
        </is>
      </c>
      <c r="Y879" s="7" t="inlineStr"/>
    </row>
    <row r="880">
      <c r="A880" s="7" t="n">
        <v>189641</v>
      </c>
      <c r="B880" s="12" t="inlineStr">
        <is>
          <t>7896422506434</t>
        </is>
      </c>
      <c r="C880" s="7" t="inlineStr">
        <is>
          <t>CLOTRIMAZOL 20MG CREM VAG BG 20G+3APLIC</t>
        </is>
      </c>
      <c r="D880" s="7" t="inlineStr">
        <is>
          <t>GENERICO</t>
        </is>
      </c>
      <c r="E880" s="7" t="inlineStr">
        <is>
          <t>B</t>
        </is>
      </c>
      <c r="F880" s="13" t="n">
        <v>7</v>
      </c>
      <c r="G880" s="13" t="n">
        <v>7</v>
      </c>
      <c r="H880" s="8" t="n">
        <v>13.045</v>
      </c>
      <c r="I880" s="8" t="n">
        <v>13.045</v>
      </c>
      <c r="J880" s="8" t="n">
        <v>13.045</v>
      </c>
      <c r="K880" s="15" t="n">
        <v>17</v>
      </c>
      <c r="L880" s="8" t="n"/>
      <c r="M880" s="8" t="n"/>
      <c r="N880" s="8" t="n"/>
      <c r="O880" s="8" t="n"/>
      <c r="P880" s="8" t="n">
        <v>27.9643</v>
      </c>
      <c r="Q880" s="8" t="n"/>
      <c r="R880" s="8" t="n"/>
      <c r="S880" s="8" t="n"/>
      <c r="T880" s="7" t="inlineStr">
        <is>
          <t>DIMEC</t>
        </is>
      </c>
      <c r="U880" s="8" t="n">
        <v>17</v>
      </c>
      <c r="V880" s="14">
        <f>U880/J880-1</f>
        <v/>
      </c>
      <c r="W880" s="14">
        <f>U880/H880-1</f>
        <v/>
      </c>
      <c r="X880" s="16" t="inlineStr">
        <is>
          <t>ACIMA +30.3%</t>
        </is>
      </c>
      <c r="Y880" s="7" t="inlineStr">
        <is>
          <t>NAZARIA: conferir emb.</t>
        </is>
      </c>
    </row>
    <row r="881">
      <c r="A881" s="7" t="n">
        <v>189681</v>
      </c>
      <c r="B881" s="12" t="inlineStr">
        <is>
          <t>7896422504812</t>
        </is>
      </c>
      <c r="C881" s="7" t="inlineStr">
        <is>
          <t>CLOTRIMAZOL CREM DERM BG 20G</t>
        </is>
      </c>
      <c r="D881" s="7" t="inlineStr">
        <is>
          <t>GENERICO</t>
        </is>
      </c>
      <c r="E881" s="7" t="inlineStr">
        <is>
          <t>C</t>
        </is>
      </c>
      <c r="F881" s="13" t="n">
        <v>6</v>
      </c>
      <c r="G881" s="13" t="n">
        <v>6</v>
      </c>
      <c r="H881" s="8" t="n">
        <v>4.1567</v>
      </c>
      <c r="I881" s="8" t="n">
        <v>4.1567</v>
      </c>
      <c r="J881" s="8" t="n">
        <v>4.1567</v>
      </c>
      <c r="K881" s="15" t="n">
        <v>5.44</v>
      </c>
      <c r="L881" s="8" t="n"/>
      <c r="M881" s="8" t="n"/>
      <c r="N881" s="8" t="n"/>
      <c r="O881" s="8" t="n"/>
      <c r="P881" s="8" t="n">
        <v>7.868279999999999</v>
      </c>
      <c r="Q881" s="8" t="n"/>
      <c r="R881" s="8" t="n"/>
      <c r="S881" s="8" t="n"/>
      <c r="T881" s="7" t="inlineStr">
        <is>
          <t>DIMEC</t>
        </is>
      </c>
      <c r="U881" s="8" t="n">
        <v>5.44</v>
      </c>
      <c r="V881" s="14">
        <f>U881/J881-1</f>
        <v/>
      </c>
      <c r="W881" s="14">
        <f>U881/H881-1</f>
        <v/>
      </c>
      <c r="X881" s="16" t="inlineStr">
        <is>
          <t>ACIMA +30.9%</t>
        </is>
      </c>
      <c r="Y881" s="7" t="inlineStr"/>
    </row>
    <row r="882">
      <c r="A882" s="7" t="n">
        <v>611741</v>
      </c>
      <c r="B882" s="12" t="inlineStr">
        <is>
          <t>7908020500735</t>
        </is>
      </c>
      <c r="C882" s="7" t="inlineStr">
        <is>
          <t>COBAPETIT 0,8MG/ML XPE FR 100ML+4MG/G ENV 5G+COP</t>
        </is>
      </c>
      <c r="D882" s="7" t="inlineStr">
        <is>
          <t>SIMILAR</t>
        </is>
      </c>
      <c r="E882" s="7" t="inlineStr">
        <is>
          <t>C</t>
        </is>
      </c>
      <c r="F882" s="13" t="n">
        <v>2</v>
      </c>
      <c r="G882" s="13" t="n">
        <v>2</v>
      </c>
      <c r="H882" s="8" t="n">
        <v>10.12</v>
      </c>
      <c r="I882" s="8" t="n">
        <v>10.12</v>
      </c>
      <c r="J882" s="8" t="n">
        <v>10.12</v>
      </c>
      <c r="K882" s="8" t="n"/>
      <c r="L882" s="8" t="n"/>
      <c r="M882" s="8" t="n"/>
      <c r="N882" s="8" t="n"/>
      <c r="O882" s="8" t="n"/>
      <c r="P882" s="8" t="n"/>
      <c r="Q882" s="8" t="n"/>
      <c r="R882" s="8" t="n"/>
      <c r="S882" s="8" t="n"/>
      <c r="T882" s="7" t="inlineStr">
        <is>
          <t>SEM COTAÇÃO</t>
        </is>
      </c>
      <c r="U882" s="8" t="n"/>
      <c r="V882" s="14" t="n"/>
      <c r="W882" s="14" t="n"/>
      <c r="X882" s="7" t="inlineStr"/>
      <c r="Y882" s="7" t="inlineStr"/>
    </row>
    <row r="883">
      <c r="A883" s="7" t="n">
        <v>135661</v>
      </c>
      <c r="B883" s="12" t="inlineStr">
        <is>
          <t>7891158106965</t>
        </is>
      </c>
      <c r="C883" s="7" t="inlineStr">
        <is>
          <t>COBAVITAL 1+4MG 16 COMP</t>
        </is>
      </c>
      <c r="D883" s="7" t="inlineStr">
        <is>
          <t>RX</t>
        </is>
      </c>
      <c r="E883" s="7" t="inlineStr">
        <is>
          <t>A</t>
        </is>
      </c>
      <c r="F883" s="13" t="n">
        <v>8</v>
      </c>
      <c r="G883" s="13" t="n">
        <v>8</v>
      </c>
      <c r="H883" s="8" t="n">
        <v>21.67</v>
      </c>
      <c r="I883" s="8" t="n">
        <v>18.21</v>
      </c>
      <c r="J883" s="8" t="n">
        <v>20.20833333333334</v>
      </c>
      <c r="K883" s="8" t="n"/>
      <c r="L883" s="8" t="n"/>
      <c r="M883" s="8" t="n"/>
      <c r="N883" s="8" t="n"/>
      <c r="O883" s="15" t="n">
        <v>21.67</v>
      </c>
      <c r="P883" s="8" t="n">
        <v>23.04</v>
      </c>
      <c r="Q883" s="8" t="n"/>
      <c r="R883" s="8" t="n"/>
      <c r="S883" s="8" t="n"/>
      <c r="T883" s="7" t="inlineStr">
        <is>
          <t>TAPAJOS</t>
        </is>
      </c>
      <c r="U883" s="8" t="n">
        <v>21.67</v>
      </c>
      <c r="V883" s="14">
        <f>U883/J883-1</f>
        <v/>
      </c>
      <c r="W883" s="14">
        <f>U883/H883-1</f>
        <v/>
      </c>
      <c r="X883" s="17" t="inlineStr">
        <is>
          <t>OK (≤ últ. compra)</t>
        </is>
      </c>
      <c r="Y883" s="7" t="inlineStr"/>
    </row>
    <row r="884">
      <c r="A884" s="7" t="n">
        <v>661331</v>
      </c>
      <c r="B884" s="12" t="inlineStr"/>
      <c r="C884" s="7" t="inlineStr">
        <is>
          <t>COBAVITAL 30CPR</t>
        </is>
      </c>
      <c r="D884" s="7" t="inlineStr">
        <is>
          <t>RX</t>
        </is>
      </c>
      <c r="E884" s="7" t="inlineStr">
        <is>
          <t>A</t>
        </is>
      </c>
      <c r="F884" s="13" t="n">
        <v>5</v>
      </c>
      <c r="G884" s="13" t="n">
        <v>5</v>
      </c>
      <c r="H884" s="8" t="n">
        <v>34.36</v>
      </c>
      <c r="I884" s="8" t="n">
        <v>26.64</v>
      </c>
      <c r="J884" s="8" t="n">
        <v>30.36333333333333</v>
      </c>
      <c r="K884" s="8" t="n"/>
      <c r="L884" s="8" t="n"/>
      <c r="M884" s="8" t="n"/>
      <c r="N884" s="8" t="n"/>
      <c r="O884" s="8" t="n"/>
      <c r="P884" s="8" t="n"/>
      <c r="Q884" s="8" t="n"/>
      <c r="R884" s="8" t="n"/>
      <c r="S884" s="8" t="n"/>
      <c r="T884" s="7" t="inlineStr">
        <is>
          <t>SEM COTAÇÃO</t>
        </is>
      </c>
      <c r="U884" s="8" t="n"/>
      <c r="V884" s="14" t="n"/>
      <c r="W884" s="14" t="n"/>
      <c r="X884" s="7" t="inlineStr"/>
      <c r="Y884" s="7" t="inlineStr"/>
    </row>
    <row r="885">
      <c r="A885" s="7" t="n">
        <v>674291</v>
      </c>
      <c r="B885" s="12" t="inlineStr">
        <is>
          <t>7896637035736</t>
        </is>
      </c>
      <c r="C885" s="7" t="inlineStr">
        <is>
          <t>COBI-12 1000MCG C/30 COMP SUBL-OUTROS</t>
        </is>
      </c>
      <c r="D885" s="7" t="inlineStr">
        <is>
          <t>RX</t>
        </is>
      </c>
      <c r="E885" s="7" t="inlineStr">
        <is>
          <t>A</t>
        </is>
      </c>
      <c r="F885" s="13" t="n">
        <v>17</v>
      </c>
      <c r="G885" s="13" t="n">
        <v>17</v>
      </c>
      <c r="H885" s="8" t="n">
        <v>22.805</v>
      </c>
      <c r="I885" s="8" t="n">
        <v>18.8279</v>
      </c>
      <c r="J885" s="8" t="n">
        <v>20.9315</v>
      </c>
      <c r="K885" s="8" t="n"/>
      <c r="L885" s="8" t="n"/>
      <c r="M885" s="15" t="n">
        <v>22.81</v>
      </c>
      <c r="N885" s="8" t="n"/>
      <c r="O885" s="8" t="n"/>
      <c r="P885" s="8" t="n">
        <v>26.0434</v>
      </c>
      <c r="Q885" s="8" t="n"/>
      <c r="R885" s="8" t="n"/>
      <c r="S885" s="8" t="n"/>
      <c r="T885" s="7" t="inlineStr">
        <is>
          <t>EPAN</t>
        </is>
      </c>
      <c r="U885" s="8" t="n">
        <v>22.81</v>
      </c>
      <c r="V885" s="14">
        <f>U885/J885-1</f>
        <v/>
      </c>
      <c r="W885" s="14">
        <f>U885/H885-1</f>
        <v/>
      </c>
      <c r="X885" s="16" t="inlineStr">
        <is>
          <t>ACIMA +0.0%</t>
        </is>
      </c>
      <c r="Y885" s="7" t="inlineStr"/>
    </row>
    <row r="886">
      <c r="A886" s="7" t="n">
        <v>3083</v>
      </c>
      <c r="B886" s="12" t="inlineStr">
        <is>
          <t>7894900701609</t>
        </is>
      </c>
      <c r="C886" s="7" t="inlineStr">
        <is>
          <t>COCA COLA 600ML SEM AÇUCAR</t>
        </is>
      </c>
      <c r="D886" s="7" t="inlineStr">
        <is>
          <t>BEBIDAS GERAL</t>
        </is>
      </c>
      <c r="E886" s="7" t="inlineStr">
        <is>
          <t>A</t>
        </is>
      </c>
      <c r="F886" s="13" t="n">
        <v>15</v>
      </c>
      <c r="G886" s="13" t="n">
        <v>15</v>
      </c>
      <c r="H886" s="8" t="n">
        <v>4.1947</v>
      </c>
      <c r="I886" s="8" t="n">
        <v>3.17</v>
      </c>
      <c r="J886" s="8" t="n">
        <v>3.684333333333333</v>
      </c>
      <c r="K886" s="8" t="n"/>
      <c r="L886" s="8" t="n"/>
      <c r="M886" s="8" t="n"/>
      <c r="N886" s="8" t="n"/>
      <c r="O886" s="8" t="n"/>
      <c r="P886" s="8" t="n"/>
      <c r="Q886" s="8" t="n"/>
      <c r="R886" s="8" t="n"/>
      <c r="S886" s="8" t="n"/>
      <c r="T886" s="7" t="inlineStr">
        <is>
          <t>SEM COTAÇÃO</t>
        </is>
      </c>
      <c r="U886" s="8" t="n"/>
      <c r="V886" s="14" t="n"/>
      <c r="W886" s="14" t="n"/>
      <c r="X886" s="7" t="inlineStr"/>
      <c r="Y886" s="7" t="inlineStr"/>
    </row>
    <row r="887">
      <c r="A887" s="7" t="n">
        <v>607711</v>
      </c>
      <c r="B887" s="12" t="inlineStr">
        <is>
          <t>7894900025019</t>
        </is>
      </c>
      <c r="C887" s="7" t="inlineStr">
        <is>
          <t>COCA COLA COM CAFE 220ML</t>
        </is>
      </c>
      <c r="D887" s="7" t="inlineStr">
        <is>
          <t>BEBIDAS GERAL</t>
        </is>
      </c>
      <c r="E887" s="7" t="inlineStr">
        <is>
          <t>C</t>
        </is>
      </c>
      <c r="F887" s="13" t="n">
        <v>1</v>
      </c>
      <c r="G887" s="13" t="n">
        <v>1</v>
      </c>
      <c r="H887" s="8" t="n">
        <v>0.57</v>
      </c>
      <c r="I887" s="8" t="n">
        <v>0.57</v>
      </c>
      <c r="J887" s="8" t="n">
        <v>0.57</v>
      </c>
      <c r="K887" s="8" t="n"/>
      <c r="L887" s="8" t="n"/>
      <c r="M887" s="8" t="n"/>
      <c r="N887" s="8" t="n"/>
      <c r="O887" s="8" t="n"/>
      <c r="P887" s="8" t="n"/>
      <c r="Q887" s="8" t="n"/>
      <c r="R887" s="8" t="n"/>
      <c r="S887" s="8" t="n"/>
      <c r="T887" s="7" t="inlineStr">
        <is>
          <t>SEM COTAÇÃO</t>
        </is>
      </c>
      <c r="U887" s="8" t="n"/>
      <c r="V887" s="14" t="n"/>
      <c r="W887" s="14" t="n"/>
      <c r="X887" s="7" t="inlineStr"/>
      <c r="Y887" s="7" t="inlineStr"/>
    </row>
    <row r="888">
      <c r="A888" s="7" t="n">
        <v>583581</v>
      </c>
      <c r="B888" s="12" t="inlineStr">
        <is>
          <t>7894900010015</t>
        </is>
      </c>
      <c r="C888" s="7" t="inlineStr">
        <is>
          <t>COCA COLA LT 350ML</t>
        </is>
      </c>
      <c r="D888" s="7" t="inlineStr">
        <is>
          <t>BEBIDAS GERAL</t>
        </is>
      </c>
      <c r="E888" s="7" t="inlineStr">
        <is>
          <t>A</t>
        </is>
      </c>
      <c r="F888" s="13" t="n">
        <v>68</v>
      </c>
      <c r="G888" s="13" t="n">
        <v>68</v>
      </c>
      <c r="H888" s="8" t="n">
        <v>3.1</v>
      </c>
      <c r="I888" s="8" t="n">
        <v>2.6765</v>
      </c>
      <c r="J888" s="8" t="n">
        <v>2.792833333333333</v>
      </c>
      <c r="K888" s="8" t="n"/>
      <c r="L888" s="8" t="n"/>
      <c r="M888" s="8" t="n"/>
      <c r="N888" s="8" t="n"/>
      <c r="O888" s="8" t="n"/>
      <c r="P888" s="8" t="n"/>
      <c r="Q888" s="8" t="n"/>
      <c r="R888" s="8" t="n"/>
      <c r="S888" s="8" t="n"/>
      <c r="T888" s="7" t="inlineStr">
        <is>
          <t>SEM COTAÇÃO</t>
        </is>
      </c>
      <c r="U888" s="8" t="n"/>
      <c r="V888" s="14" t="n"/>
      <c r="W888" s="14" t="n"/>
      <c r="X888" s="7" t="inlineStr"/>
      <c r="Y888" s="7" t="inlineStr"/>
    </row>
    <row r="889">
      <c r="A889" s="7" t="n">
        <v>3213</v>
      </c>
      <c r="B889" s="12" t="inlineStr">
        <is>
          <t>7894900700398</t>
        </is>
      </c>
      <c r="C889" s="7" t="inlineStr">
        <is>
          <t>COCA COLA SEM AÇUCAR 220ML</t>
        </is>
      </c>
      <c r="D889" s="7" t="inlineStr">
        <is>
          <t>BEBIDAS GERAL</t>
        </is>
      </c>
      <c r="E889" s="7" t="inlineStr">
        <is>
          <t>C</t>
        </is>
      </c>
      <c r="F889" s="13" t="n">
        <v>1</v>
      </c>
      <c r="G889" s="13" t="n">
        <v>1</v>
      </c>
      <c r="H889" s="8" t="n"/>
      <c r="I889" s="8" t="n"/>
      <c r="J889" s="8" t="n"/>
      <c r="K889" s="8" t="n"/>
      <c r="L889" s="8" t="n"/>
      <c r="M889" s="8" t="n"/>
      <c r="N889" s="8" t="n"/>
      <c r="O889" s="8" t="n"/>
      <c r="P889" s="8" t="n"/>
      <c r="Q889" s="8" t="n"/>
      <c r="R889" s="8" t="n"/>
      <c r="S889" s="8" t="n"/>
      <c r="T889" s="7" t="inlineStr">
        <is>
          <t>SEM COTAÇÃO</t>
        </is>
      </c>
      <c r="U889" s="8" t="n"/>
      <c r="V889" s="14" t="n"/>
      <c r="W889" s="14" t="n"/>
      <c r="X889" s="7" t="inlineStr"/>
      <c r="Y889" s="7" t="inlineStr"/>
    </row>
    <row r="890">
      <c r="A890" s="7" t="n">
        <v>587241</v>
      </c>
      <c r="B890" s="12" t="inlineStr">
        <is>
          <t>7894900700015</t>
        </is>
      </c>
      <c r="C890" s="7" t="inlineStr">
        <is>
          <t>COCA COLA SEM AÇUCAR 350ML</t>
        </is>
      </c>
      <c r="D890" s="7" t="inlineStr">
        <is>
          <t>BEBIDAS GERAL</t>
        </is>
      </c>
      <c r="E890" s="7" t="inlineStr">
        <is>
          <t>A</t>
        </is>
      </c>
      <c r="F890" s="13" t="n">
        <v>10</v>
      </c>
      <c r="G890" s="13" t="n">
        <v>39</v>
      </c>
      <c r="H890" s="8" t="n">
        <v>2.9117</v>
      </c>
      <c r="I890" s="8" t="n">
        <v>2.5085</v>
      </c>
      <c r="J890" s="8" t="n">
        <v>2.641566666666666</v>
      </c>
      <c r="K890" s="8" t="n"/>
      <c r="L890" s="8" t="n"/>
      <c r="M890" s="8" t="n"/>
      <c r="N890" s="8" t="n"/>
      <c r="O890" s="8" t="n"/>
      <c r="P890" s="8" t="n"/>
      <c r="Q890" s="8" t="n"/>
      <c r="R890" s="8" t="n"/>
      <c r="S890" s="8" t="n"/>
      <c r="T890" s="7" t="inlineStr">
        <is>
          <t>SEM COTAÇÃO</t>
        </is>
      </c>
      <c r="U890" s="8" t="n"/>
      <c r="V890" s="14" t="n"/>
      <c r="W890" s="14" t="n"/>
      <c r="X890" s="7" t="inlineStr"/>
      <c r="Y890" s="7" t="inlineStr"/>
    </row>
    <row r="891">
      <c r="A891" s="7" t="n">
        <v>4303</v>
      </c>
      <c r="B891" s="12" t="inlineStr">
        <is>
          <t>7894900701753</t>
        </is>
      </c>
      <c r="C891" s="7" t="inlineStr">
        <is>
          <t>COCA COLA ZERO PET 1,5L</t>
        </is>
      </c>
      <c r="D891" s="7" t="inlineStr">
        <is>
          <t>BEBIDAS GERAL</t>
        </is>
      </c>
      <c r="E891" s="7" t="inlineStr">
        <is>
          <t>C</t>
        </is>
      </c>
      <c r="F891" s="13" t="n">
        <v>4</v>
      </c>
      <c r="G891" s="13" t="n">
        <v>4</v>
      </c>
      <c r="H891" s="8" t="n">
        <v>6.1</v>
      </c>
      <c r="I891" s="8" t="n">
        <v>5.5033</v>
      </c>
      <c r="J891" s="8" t="n">
        <v>5.9011</v>
      </c>
      <c r="K891" s="8" t="n"/>
      <c r="L891" s="8" t="n"/>
      <c r="M891" s="8" t="n"/>
      <c r="N891" s="8" t="n"/>
      <c r="O891" s="8" t="n"/>
      <c r="P891" s="8" t="n"/>
      <c r="Q891" s="8" t="n"/>
      <c r="R891" s="8" t="n"/>
      <c r="S891" s="8" t="n"/>
      <c r="T891" s="7" t="inlineStr">
        <is>
          <t>SEM COTAÇÃO</t>
        </is>
      </c>
      <c r="U891" s="8" t="n"/>
      <c r="V891" s="14" t="n"/>
      <c r="W891" s="14" t="n"/>
      <c r="X891" s="7" t="inlineStr"/>
      <c r="Y891" s="7" t="inlineStr"/>
    </row>
    <row r="892">
      <c r="A892" s="7" t="n">
        <v>399321</v>
      </c>
      <c r="B892" s="12" t="inlineStr">
        <is>
          <t>7899420506918</t>
        </is>
      </c>
      <c r="C892" s="7" t="inlineStr">
        <is>
          <t>COD PAR 500+30MG CX 12 COMP</t>
        </is>
      </c>
      <c r="D892" s="7" t="inlineStr">
        <is>
          <t>RX - SIMILAR - CONTROLE</t>
        </is>
      </c>
      <c r="E892" s="7" t="inlineStr">
        <is>
          <t>C</t>
        </is>
      </c>
      <c r="F892" s="13" t="n">
        <v>1</v>
      </c>
      <c r="G892" s="13" t="n">
        <v>1</v>
      </c>
      <c r="H892" s="8" t="n">
        <v>23.005</v>
      </c>
      <c r="I892" s="8" t="n">
        <v>23.005</v>
      </c>
      <c r="J892" s="8" t="n">
        <v>23.005</v>
      </c>
      <c r="K892" s="8" t="n"/>
      <c r="L892" s="8" t="n"/>
      <c r="M892" s="8" t="n"/>
      <c r="N892" s="8" t="n"/>
      <c r="O892" s="8" t="n"/>
      <c r="P892" s="15" t="n">
        <v>26.0092</v>
      </c>
      <c r="Q892" s="8" t="n"/>
      <c r="R892" s="8" t="n"/>
      <c r="S892" s="8" t="n"/>
      <c r="T892" s="7" t="inlineStr">
        <is>
          <t>NAZARIA</t>
        </is>
      </c>
      <c r="U892" s="8" t="n">
        <v>26.0092</v>
      </c>
      <c r="V892" s="14">
        <f>U892/J892-1</f>
        <v/>
      </c>
      <c r="W892" s="14">
        <f>U892/H892-1</f>
        <v/>
      </c>
      <c r="X892" s="16" t="inlineStr">
        <is>
          <t>ACIMA +13.1%</t>
        </is>
      </c>
      <c r="Y892" s="7" t="inlineStr"/>
    </row>
    <row r="893">
      <c r="A893" s="7" t="n">
        <v>674281</v>
      </c>
      <c r="B893" s="12" t="inlineStr">
        <is>
          <t>7896676442670</t>
        </is>
      </c>
      <c r="C893" s="7" t="inlineStr">
        <is>
          <t>CODEIN 30MG C/12 CP (A2) CRI-REFERENCIA</t>
        </is>
      </c>
      <c r="D893" s="7" t="inlineStr">
        <is>
          <t>RX - REFERENCIA - CONTROLE</t>
        </is>
      </c>
      <c r="E893" s="7" t="inlineStr">
        <is>
          <t>C</t>
        </is>
      </c>
      <c r="F893" s="13" t="n">
        <v>1</v>
      </c>
      <c r="G893" s="13" t="n">
        <v>1</v>
      </c>
      <c r="H893" s="8" t="n">
        <v>16.785</v>
      </c>
      <c r="I893" s="8" t="n">
        <v>16.785</v>
      </c>
      <c r="J893" s="8" t="n">
        <v>16.785</v>
      </c>
      <c r="K893" s="8" t="n"/>
      <c r="L893" s="8" t="n"/>
      <c r="M893" s="8" t="n"/>
      <c r="N893" s="8" t="n"/>
      <c r="O893" s="8" t="n"/>
      <c r="P893" s="15" t="n">
        <v>19.6</v>
      </c>
      <c r="Q893" s="8" t="n"/>
      <c r="R893" s="8" t="n"/>
      <c r="S893" s="8" t="n"/>
      <c r="T893" s="7" t="inlineStr">
        <is>
          <t>NAZARIA</t>
        </is>
      </c>
      <c r="U893" s="8" t="n">
        <v>19.6</v>
      </c>
      <c r="V893" s="14">
        <f>U893/J893-1</f>
        <v/>
      </c>
      <c r="W893" s="14">
        <f>U893/H893-1</f>
        <v/>
      </c>
      <c r="X893" s="16" t="inlineStr">
        <is>
          <t>ACIMA +16.8%</t>
        </is>
      </c>
      <c r="Y893" s="7" t="inlineStr"/>
    </row>
    <row r="894">
      <c r="A894" s="7" t="n">
        <v>515861</v>
      </c>
      <c r="B894" s="12" t="inlineStr">
        <is>
          <t>7896676438062</t>
        </is>
      </c>
      <c r="C894" s="7" t="inlineStr">
        <is>
          <t>CODEIN 30MG CX 12 COMP</t>
        </is>
      </c>
      <c r="D894" s="7" t="inlineStr">
        <is>
          <t>RX - REFERENCIA - CONTROLE</t>
        </is>
      </c>
      <c r="E894" s="7" t="inlineStr">
        <is>
          <t>C</t>
        </is>
      </c>
      <c r="F894" s="13" t="n">
        <v>1</v>
      </c>
      <c r="G894" s="13" t="n">
        <v>1</v>
      </c>
      <c r="H894" s="8" t="n">
        <v>16.785</v>
      </c>
      <c r="I894" s="8" t="n">
        <v>16.785</v>
      </c>
      <c r="J894" s="8" t="n">
        <v>16.785</v>
      </c>
      <c r="K894" s="8" t="n"/>
      <c r="L894" s="8" t="n"/>
      <c r="M894" s="8" t="n"/>
      <c r="N894" s="8" t="n"/>
      <c r="O894" s="8" t="n"/>
      <c r="P894" s="8" t="n"/>
      <c r="Q894" s="8" t="n"/>
      <c r="R894" s="8" t="n"/>
      <c r="S894" s="8" t="n"/>
      <c r="T894" s="7" t="inlineStr">
        <is>
          <t>SEM COTAÇÃO</t>
        </is>
      </c>
      <c r="U894" s="8" t="n"/>
      <c r="V894" s="14" t="n"/>
      <c r="W894" s="14" t="n"/>
      <c r="X894" s="7" t="inlineStr"/>
      <c r="Y894" s="7" t="inlineStr"/>
    </row>
    <row r="895">
      <c r="A895" s="7" t="n">
        <v>643691</v>
      </c>
      <c r="B895" s="12" t="inlineStr">
        <is>
          <t>7896323207973</t>
        </is>
      </c>
      <c r="C895" s="7" t="inlineStr">
        <is>
          <t>COL CHEIRINHO BOM HALLEY P/ O CORPO LAVANDITA 120ML - LABATE</t>
        </is>
      </c>
      <c r="D895" s="7" t="inlineStr">
        <is>
          <t>BABY/KIDS</t>
        </is>
      </c>
      <c r="E895" s="7" t="inlineStr">
        <is>
          <t>C</t>
        </is>
      </c>
      <c r="F895" s="13" t="n">
        <v>3</v>
      </c>
      <c r="G895" s="13" t="n">
        <v>3</v>
      </c>
      <c r="H895" s="8" t="n">
        <v>7.81</v>
      </c>
      <c r="I895" s="8" t="n">
        <v>7.81</v>
      </c>
      <c r="J895" s="8" t="n">
        <v>7.81</v>
      </c>
      <c r="K895" s="8" t="n"/>
      <c r="L895" s="8" t="n"/>
      <c r="M895" s="8" t="n"/>
      <c r="N895" s="8" t="n"/>
      <c r="O895" s="8" t="n"/>
      <c r="P895" s="8" t="n"/>
      <c r="Q895" s="8" t="n"/>
      <c r="R895" s="8" t="n"/>
      <c r="S895" s="8" t="n"/>
      <c r="T895" s="7" t="inlineStr">
        <is>
          <t>SEM COTAÇÃO</t>
        </is>
      </c>
      <c r="U895" s="8" t="n"/>
      <c r="V895" s="14" t="n"/>
      <c r="W895" s="14" t="n"/>
      <c r="X895" s="7" t="inlineStr"/>
      <c r="Y895" s="7" t="inlineStr"/>
    </row>
    <row r="896">
      <c r="A896" s="7" t="n">
        <v>677101</v>
      </c>
      <c r="B896" s="12" t="inlineStr">
        <is>
          <t>7896044997221</t>
        </is>
      </c>
      <c r="C896" s="7" t="inlineStr">
        <is>
          <t>COL GIOVANNA BABY B SPLASH CHERRY 260ML</t>
        </is>
      </c>
      <c r="D896" s="7" t="inlineStr">
        <is>
          <t>BABY/KIDS</t>
        </is>
      </c>
      <c r="E896" s="7" t="inlineStr">
        <is>
          <t>B</t>
        </is>
      </c>
      <c r="F896" s="13" t="n">
        <v>2</v>
      </c>
      <c r="G896" s="13" t="n">
        <v>2</v>
      </c>
      <c r="H896" s="8" t="n">
        <v>24.54</v>
      </c>
      <c r="I896" s="8" t="n">
        <v>24.54</v>
      </c>
      <c r="J896" s="8" t="n">
        <v>24.54</v>
      </c>
      <c r="K896" s="8" t="n"/>
      <c r="L896" s="8" t="n"/>
      <c r="M896" s="8" t="n"/>
      <c r="N896" s="8" t="n"/>
      <c r="O896" s="8" t="n"/>
      <c r="P896" s="8" t="n"/>
      <c r="Q896" s="8" t="n"/>
      <c r="R896" s="8" t="n"/>
      <c r="S896" s="8" t="n"/>
      <c r="T896" s="7" t="inlineStr">
        <is>
          <t>SEM COTAÇÃO</t>
        </is>
      </c>
      <c r="U896" s="8" t="n"/>
      <c r="V896" s="14" t="n"/>
      <c r="W896" s="14" t="n"/>
      <c r="X896" s="7" t="inlineStr"/>
      <c r="Y896" s="7" t="inlineStr"/>
    </row>
    <row r="897">
      <c r="A897" s="7" t="n">
        <v>677201</v>
      </c>
      <c r="B897" s="12" t="inlineStr">
        <is>
          <t>7898663110241</t>
        </is>
      </c>
      <c r="C897" s="7" t="inlineStr">
        <is>
          <t>COL GIOVANNA BABY B SPLASH ROSE 260ML</t>
        </is>
      </c>
      <c r="D897" s="7" t="inlineStr">
        <is>
          <t>BABY/KIDS</t>
        </is>
      </c>
      <c r="E897" s="7" t="inlineStr">
        <is>
          <t>B</t>
        </is>
      </c>
      <c r="F897" s="13" t="n">
        <v>1</v>
      </c>
      <c r="G897" s="13" t="n">
        <v>1</v>
      </c>
      <c r="H897" s="8" t="n">
        <v>24.72</v>
      </c>
      <c r="I897" s="8" t="n">
        <v>24.72</v>
      </c>
      <c r="J897" s="8" t="n">
        <v>24.72</v>
      </c>
      <c r="K897" s="8" t="n"/>
      <c r="L897" s="8" t="n"/>
      <c r="M897" s="8" t="n"/>
      <c r="N897" s="8" t="n"/>
      <c r="O897" s="8" t="n"/>
      <c r="P897" s="8" t="n"/>
      <c r="Q897" s="8" t="n"/>
      <c r="R897" s="8" t="n"/>
      <c r="S897" s="8" t="n"/>
      <c r="T897" s="7" t="inlineStr">
        <is>
          <t>SEM COTAÇÃO</t>
        </is>
      </c>
      <c r="U897" s="8" t="n"/>
      <c r="V897" s="14" t="n"/>
      <c r="W897" s="14" t="n"/>
      <c r="X897" s="7" t="inlineStr"/>
      <c r="Y897" s="7" t="inlineStr"/>
    </row>
    <row r="898">
      <c r="A898" s="7" t="n">
        <v>643701</v>
      </c>
      <c r="B898" s="12" t="inlineStr">
        <is>
          <t>7896323207959</t>
        </is>
      </c>
      <c r="C898" s="7" t="inlineStr">
        <is>
          <t>COL HALLEY CHEIRINHO BOM PARA O CORPO (ROSA) 120ML - LABATE</t>
        </is>
      </c>
      <c r="D898" s="7" t="inlineStr">
        <is>
          <t>BABY/KIDS</t>
        </is>
      </c>
      <c r="E898" s="7" t="inlineStr">
        <is>
          <t>B</t>
        </is>
      </c>
      <c r="F898" s="13" t="n">
        <v>4</v>
      </c>
      <c r="G898" s="13" t="n">
        <v>4</v>
      </c>
      <c r="H898" s="8" t="n">
        <v>7.81</v>
      </c>
      <c r="I898" s="8" t="n">
        <v>7.81</v>
      </c>
      <c r="J898" s="8" t="n">
        <v>7.81</v>
      </c>
      <c r="K898" s="8" t="n"/>
      <c r="L898" s="8" t="n"/>
      <c r="M898" s="8" t="n"/>
      <c r="N898" s="8" t="n"/>
      <c r="O898" s="8" t="n"/>
      <c r="P898" s="8" t="n"/>
      <c r="Q898" s="8" t="n"/>
      <c r="R898" s="8" t="n"/>
      <c r="S898" s="8" t="n"/>
      <c r="T898" s="7" t="inlineStr">
        <is>
          <t>SEM COTAÇÃO</t>
        </is>
      </c>
      <c r="U898" s="8" t="n"/>
      <c r="V898" s="14" t="n"/>
      <c r="W898" s="14" t="n"/>
      <c r="X898" s="7" t="inlineStr"/>
      <c r="Y898" s="7" t="inlineStr"/>
    </row>
    <row r="899">
      <c r="A899" s="7" t="n">
        <v>643711</v>
      </c>
      <c r="B899" s="12" t="inlineStr">
        <is>
          <t>7896323207966</t>
        </is>
      </c>
      <c r="C899" s="7" t="inlineStr">
        <is>
          <t>COL HALLEY CHEIRINO BOM PARA O CORPO (AZUL) 120ML - LABATE</t>
        </is>
      </c>
      <c r="D899" s="7" t="inlineStr">
        <is>
          <t>BABY/KIDS</t>
        </is>
      </c>
      <c r="E899" s="7" t="inlineStr">
        <is>
          <t>C</t>
        </is>
      </c>
      <c r="F899" s="13" t="n">
        <v>2</v>
      </c>
      <c r="G899" s="13" t="n">
        <v>2</v>
      </c>
      <c r="H899" s="8" t="n">
        <v>7.81</v>
      </c>
      <c r="I899" s="8" t="n">
        <v>7.81</v>
      </c>
      <c r="J899" s="8" t="n">
        <v>7.81</v>
      </c>
      <c r="K899" s="8" t="n"/>
      <c r="L899" s="8" t="n"/>
      <c r="M899" s="8" t="n"/>
      <c r="N899" s="8" t="n"/>
      <c r="O899" s="8" t="n"/>
      <c r="P899" s="8" t="n"/>
      <c r="Q899" s="8" t="n"/>
      <c r="R899" s="8" t="n"/>
      <c r="S899" s="8" t="n"/>
      <c r="T899" s="7" t="inlineStr">
        <is>
          <t>SEM COTAÇÃO</t>
        </is>
      </c>
      <c r="U899" s="8" t="n"/>
      <c r="V899" s="14" t="n"/>
      <c r="W899" s="14" t="n"/>
      <c r="X899" s="7" t="inlineStr"/>
      <c r="Y899" s="7" t="inlineStr"/>
    </row>
    <row r="900">
      <c r="A900" s="7" t="n">
        <v>614151</v>
      </c>
      <c r="B900" s="12" t="inlineStr">
        <is>
          <t>7896013558163</t>
        </is>
      </c>
      <c r="C900" s="7" t="inlineStr">
        <is>
          <t>COL HENE RENA SAC PRETO AZULADO 180G</t>
        </is>
      </c>
      <c r="D900" s="7" t="inlineStr">
        <is>
          <t>PERF/COSME</t>
        </is>
      </c>
      <c r="E900" s="7" t="inlineStr">
        <is>
          <t>C</t>
        </is>
      </c>
      <c r="F900" s="13" t="n">
        <v>1</v>
      </c>
      <c r="G900" s="13" t="n">
        <v>1</v>
      </c>
      <c r="H900" s="8" t="n">
        <v>12.54</v>
      </c>
      <c r="I900" s="8" t="n">
        <v>12.54</v>
      </c>
      <c r="J900" s="8" t="n">
        <v>12.54</v>
      </c>
      <c r="K900" s="8" t="n"/>
      <c r="L900" s="8" t="n"/>
      <c r="M900" s="8" t="n"/>
      <c r="N900" s="8" t="n"/>
      <c r="O900" s="8" t="n"/>
      <c r="P900" s="8" t="n"/>
      <c r="Q900" s="8" t="n"/>
      <c r="R900" s="8" t="n"/>
      <c r="S900" s="8" t="n"/>
      <c r="T900" s="7" t="inlineStr">
        <is>
          <t>SEM COTAÇÃO</t>
        </is>
      </c>
      <c r="U900" s="8" t="n"/>
      <c r="V900" s="14" t="n"/>
      <c r="W900" s="14" t="n"/>
      <c r="X900" s="7" t="inlineStr"/>
      <c r="Y900" s="7" t="inlineStr"/>
    </row>
    <row r="901">
      <c r="A901" s="7" t="n">
        <v>614101</v>
      </c>
      <c r="B901" s="12" t="inlineStr">
        <is>
          <t>7896013504009</t>
        </is>
      </c>
      <c r="C901" s="7" t="inlineStr">
        <is>
          <t>COL HENE RENA SAC PRETO NATURAL 180G</t>
        </is>
      </c>
      <c r="D901" s="7" t="inlineStr">
        <is>
          <t>COND/SHAM/CREM/SIMILARES</t>
        </is>
      </c>
      <c r="E901" s="7" t="inlineStr">
        <is>
          <t>C</t>
        </is>
      </c>
      <c r="F901" s="13" t="n">
        <v>1</v>
      </c>
      <c r="G901" s="13" t="n">
        <v>1</v>
      </c>
      <c r="H901" s="8" t="n">
        <v>12.54</v>
      </c>
      <c r="I901" s="8" t="n">
        <v>12.54</v>
      </c>
      <c r="J901" s="8" t="n">
        <v>12.54</v>
      </c>
      <c r="K901" s="8" t="n"/>
      <c r="L901" s="8" t="n"/>
      <c r="M901" s="8" t="n"/>
      <c r="N901" s="8" t="n"/>
      <c r="O901" s="8" t="n"/>
      <c r="P901" s="8" t="n"/>
      <c r="Q901" s="8" t="n"/>
      <c r="R901" s="8" t="n"/>
      <c r="S901" s="8" t="n"/>
      <c r="T901" s="7" t="inlineStr">
        <is>
          <t>SEM COTAÇÃO</t>
        </is>
      </c>
      <c r="U901" s="8" t="n"/>
      <c r="V901" s="14" t="n"/>
      <c r="W901" s="14" t="n"/>
      <c r="X901" s="7" t="inlineStr"/>
      <c r="Y901" s="7" t="inlineStr"/>
    </row>
    <row r="902">
      <c r="A902" s="7" t="n">
        <v>616541</v>
      </c>
      <c r="B902" s="12" t="inlineStr">
        <is>
          <t>7896000706058</t>
        </is>
      </c>
      <c r="C902" s="7" t="inlineStr">
        <is>
          <t>COL P COR&amp;TON 10.0 L ULT CLA 125G</t>
        </is>
      </c>
      <c r="D902" s="7" t="inlineStr">
        <is>
          <t>PERF/COSME</t>
        </is>
      </c>
      <c r="E902" s="7" t="inlineStr">
        <is>
          <t>B</t>
        </is>
      </c>
      <c r="F902" s="13" t="n">
        <v>4</v>
      </c>
      <c r="G902" s="13" t="n">
        <v>4</v>
      </c>
      <c r="H902" s="8" t="n">
        <v>10.57</v>
      </c>
      <c r="I902" s="8" t="n">
        <v>10.5</v>
      </c>
      <c r="J902" s="8" t="n">
        <v>10.54666666666667</v>
      </c>
      <c r="K902" s="8" t="n"/>
      <c r="L902" s="8" t="n"/>
      <c r="M902" s="8" t="n"/>
      <c r="N902" s="8" t="n"/>
      <c r="O902" s="8" t="n"/>
      <c r="P902" s="8" t="n">
        <v>12.87</v>
      </c>
      <c r="Q902" s="8" t="n"/>
      <c r="R902" s="8" t="n"/>
      <c r="S902" s="8" t="n"/>
      <c r="T902" s="7" t="inlineStr">
        <is>
          <t>SEM COTAÇÃO</t>
        </is>
      </c>
      <c r="U902" s="8" t="n"/>
      <c r="V902" s="14" t="n"/>
      <c r="W902" s="14" t="n"/>
      <c r="X902" s="7" t="inlineStr"/>
      <c r="Y902" s="7" t="inlineStr">
        <is>
          <t>NAZARIA: sem estoque</t>
        </is>
      </c>
    </row>
    <row r="903">
      <c r="A903" s="7" t="n">
        <v>616601</v>
      </c>
      <c r="B903" s="12" t="inlineStr">
        <is>
          <t>7896000724748</t>
        </is>
      </c>
      <c r="C903" s="7" t="inlineStr">
        <is>
          <t>COL P COR&amp;TON MEGA COLORS 12111 L S PLA</t>
        </is>
      </c>
      <c r="D903" s="7" t="inlineStr">
        <is>
          <t>PERF/COSME</t>
        </is>
      </c>
      <c r="E903" s="7" t="inlineStr">
        <is>
          <t>A</t>
        </is>
      </c>
      <c r="F903" s="13" t="n">
        <v>4</v>
      </c>
      <c r="G903" s="13" t="n">
        <v>4</v>
      </c>
      <c r="H903" s="8" t="n">
        <v>12.09</v>
      </c>
      <c r="I903" s="8" t="n">
        <v>10.5</v>
      </c>
      <c r="J903" s="8" t="n">
        <v>11.56</v>
      </c>
      <c r="K903" s="8" t="n"/>
      <c r="L903" s="8" t="n"/>
      <c r="M903" s="8" t="n"/>
      <c r="N903" s="8" t="n"/>
      <c r="O903" s="8" t="n"/>
      <c r="P903" s="15" t="n">
        <v>12.87</v>
      </c>
      <c r="Q903" s="8" t="n"/>
      <c r="R903" s="8" t="n"/>
      <c r="S903" s="8" t="n"/>
      <c r="T903" s="7" t="inlineStr">
        <is>
          <t>NAZARIA</t>
        </is>
      </c>
      <c r="U903" s="8" t="n">
        <v>12.87</v>
      </c>
      <c r="V903" s="14">
        <f>U903/J903-1</f>
        <v/>
      </c>
      <c r="W903" s="14">
        <f>U903/H903-1</f>
        <v/>
      </c>
      <c r="X903" s="16" t="inlineStr">
        <is>
          <t>ACIMA +6.5%</t>
        </is>
      </c>
      <c r="Y903" s="7" t="inlineStr"/>
    </row>
    <row r="904">
      <c r="A904" s="7" t="n">
        <v>616611</v>
      </c>
      <c r="B904" s="12" t="inlineStr">
        <is>
          <t>7896000724755</t>
        </is>
      </c>
      <c r="C904" s="7" t="inlineStr">
        <is>
          <t>COL P COR&amp;TON MEGA COLORS 12891 L S PER</t>
        </is>
      </c>
      <c r="D904" s="7" t="inlineStr">
        <is>
          <t>PERF/COSME</t>
        </is>
      </c>
      <c r="E904" s="7" t="inlineStr">
        <is>
          <t>C</t>
        </is>
      </c>
      <c r="F904" s="13" t="n">
        <v>3</v>
      </c>
      <c r="G904" s="13" t="n">
        <v>3</v>
      </c>
      <c r="H904" s="8" t="n">
        <v>10.5</v>
      </c>
      <c r="I904" s="8" t="n">
        <v>10.5</v>
      </c>
      <c r="J904" s="8" t="n">
        <v>10.5</v>
      </c>
      <c r="K904" s="8" t="n"/>
      <c r="L904" s="8" t="n"/>
      <c r="M904" s="8" t="n"/>
      <c r="N904" s="8" t="n"/>
      <c r="O904" s="8" t="n"/>
      <c r="P904" s="8" t="n"/>
      <c r="Q904" s="8" t="n"/>
      <c r="R904" s="8" t="n"/>
      <c r="S904" s="8" t="n"/>
      <c r="T904" s="7" t="inlineStr">
        <is>
          <t>SEM COTAÇÃO</t>
        </is>
      </c>
      <c r="U904" s="8" t="n"/>
      <c r="V904" s="14" t="n"/>
      <c r="W904" s="14" t="n"/>
      <c r="X904" s="7" t="inlineStr"/>
      <c r="Y904" s="7" t="inlineStr"/>
    </row>
    <row r="905">
      <c r="A905" s="7" t="n">
        <v>688301</v>
      </c>
      <c r="B905" s="12" t="inlineStr">
        <is>
          <t>7896013507468</t>
        </is>
      </c>
      <c r="C905" s="7" t="inlineStr">
        <is>
          <t>COL P MAXT PRAT 8.34 LOURO MEL CANELA ONU 3082</t>
        </is>
      </c>
      <c r="D905" s="7" t="inlineStr">
        <is>
          <t>TINTAS/DESCOLORANTES</t>
        </is>
      </c>
      <c r="E905" s="7" t="inlineStr">
        <is>
          <t>A</t>
        </is>
      </c>
      <c r="F905" s="13" t="n">
        <v>3</v>
      </c>
      <c r="G905" s="13" t="n">
        <v>3</v>
      </c>
      <c r="H905" s="8" t="n">
        <v>14.02</v>
      </c>
      <c r="I905" s="8" t="n">
        <v>14.02</v>
      </c>
      <c r="J905" s="8" t="n">
        <v>14.02</v>
      </c>
      <c r="K905" s="8" t="n"/>
      <c r="L905" s="8" t="n"/>
      <c r="M905" s="8" t="n"/>
      <c r="N905" s="8" t="n"/>
      <c r="O905" s="8" t="n"/>
      <c r="P905" s="8" t="n"/>
      <c r="Q905" s="8" t="n"/>
      <c r="R905" s="8" t="n"/>
      <c r="S905" s="8" t="n"/>
      <c r="T905" s="7" t="inlineStr">
        <is>
          <t>SEM COTAÇÃO</t>
        </is>
      </c>
      <c r="U905" s="8" t="n"/>
      <c r="V905" s="14" t="n"/>
      <c r="W905" s="14" t="n"/>
      <c r="X905" s="7" t="inlineStr"/>
      <c r="Y905" s="7" t="inlineStr"/>
    </row>
    <row r="906">
      <c r="A906" s="7" t="n">
        <v>602301</v>
      </c>
      <c r="B906" s="12" t="inlineStr">
        <is>
          <t>7896013502937</t>
        </is>
      </c>
      <c r="C906" s="7" t="inlineStr">
        <is>
          <t>COL P NATUCOR SUAVE 1.0 PRETO NATURAL</t>
        </is>
      </c>
      <c r="D906" s="7" t="inlineStr">
        <is>
          <t>COND/SHAM/CREM/SIMILARES</t>
        </is>
      </c>
      <c r="E906" s="7" t="inlineStr">
        <is>
          <t>C</t>
        </is>
      </c>
      <c r="F906" s="13" t="n">
        <v>1</v>
      </c>
      <c r="G906" s="13" t="n">
        <v>1</v>
      </c>
      <c r="H906" s="8" t="n">
        <v>10.32</v>
      </c>
      <c r="I906" s="8" t="n">
        <v>10.32</v>
      </c>
      <c r="J906" s="8" t="n">
        <v>10.32</v>
      </c>
      <c r="K906" s="8" t="n"/>
      <c r="L906" s="8" t="n"/>
      <c r="M906" s="8" t="n"/>
      <c r="N906" s="8" t="n"/>
      <c r="O906" s="8" t="n"/>
      <c r="P906" s="8" t="n"/>
      <c r="Q906" s="8" t="n"/>
      <c r="R906" s="8" t="n"/>
      <c r="S906" s="8" t="n"/>
      <c r="T906" s="7" t="inlineStr">
        <is>
          <t>SEM COTAÇÃO</t>
        </is>
      </c>
      <c r="U906" s="8" t="n"/>
      <c r="V906" s="14" t="n"/>
      <c r="W906" s="14" t="n"/>
      <c r="X906" s="7" t="inlineStr"/>
      <c r="Y906" s="7" t="inlineStr"/>
    </row>
    <row r="907">
      <c r="A907" s="7" t="n">
        <v>602321</v>
      </c>
      <c r="B907" s="12" t="inlineStr">
        <is>
          <t>7896013564454</t>
        </is>
      </c>
      <c r="C907" s="7" t="inlineStr">
        <is>
          <t>COL P NATUCOR SUAVE 1.110 PRET INT PROFU</t>
        </is>
      </c>
      <c r="D907" s="7" t="inlineStr">
        <is>
          <t>COND/SHAM/CREM/SIMILARES</t>
        </is>
      </c>
      <c r="E907" s="7" t="inlineStr">
        <is>
          <t>C</t>
        </is>
      </c>
      <c r="F907" s="13" t="n">
        <v>1</v>
      </c>
      <c r="G907" s="13" t="n">
        <v>1</v>
      </c>
      <c r="H907" s="8" t="n">
        <v>8.949999999999999</v>
      </c>
      <c r="I907" s="8" t="n">
        <v>8.949999999999999</v>
      </c>
      <c r="J907" s="8" t="n">
        <v>8.949999999999999</v>
      </c>
      <c r="K907" s="8" t="n"/>
      <c r="L907" s="8" t="n"/>
      <c r="M907" s="8" t="n"/>
      <c r="N907" s="8" t="n"/>
      <c r="O907" s="8" t="n"/>
      <c r="P907" s="8" t="n"/>
      <c r="Q907" s="8" t="n"/>
      <c r="R907" s="8" t="n"/>
      <c r="S907" s="8" t="n"/>
      <c r="T907" s="7" t="inlineStr">
        <is>
          <t>SEM COTAÇÃO</t>
        </is>
      </c>
      <c r="U907" s="8" t="n"/>
      <c r="V907" s="14" t="n"/>
      <c r="W907" s="14" t="n"/>
      <c r="X907" s="7" t="inlineStr"/>
      <c r="Y907" s="7" t="inlineStr"/>
    </row>
    <row r="908">
      <c r="A908" s="7" t="n">
        <v>602311</v>
      </c>
      <c r="B908" s="12" t="inlineStr">
        <is>
          <t>7896013558033</t>
        </is>
      </c>
      <c r="C908" s="7" t="inlineStr">
        <is>
          <t>COL P NATUCOR SUAVE 2.1 PRETO ESPECIAL</t>
        </is>
      </c>
      <c r="D908" s="7" t="inlineStr">
        <is>
          <t>COND/SHAM/CREM/SIMILARES</t>
        </is>
      </c>
      <c r="E908" s="7" t="inlineStr">
        <is>
          <t>C</t>
        </is>
      </c>
      <c r="F908" s="13" t="n">
        <v>2</v>
      </c>
      <c r="G908" s="13" t="n">
        <v>2</v>
      </c>
      <c r="H908" s="8" t="n">
        <v>11.53</v>
      </c>
      <c r="I908" s="8" t="n">
        <v>11.53</v>
      </c>
      <c r="J908" s="8" t="n">
        <v>11.53</v>
      </c>
      <c r="K908" s="8" t="n"/>
      <c r="L908" s="8" t="n"/>
      <c r="M908" s="8" t="n"/>
      <c r="N908" s="8" t="n"/>
      <c r="O908" s="8" t="n"/>
      <c r="P908" s="8" t="n"/>
      <c r="Q908" s="8" t="n"/>
      <c r="R908" s="8" t="n"/>
      <c r="S908" s="8" t="n"/>
      <c r="T908" s="7" t="inlineStr">
        <is>
          <t>SEM COTAÇÃO</t>
        </is>
      </c>
      <c r="U908" s="8" t="n"/>
      <c r="V908" s="14" t="n"/>
      <c r="W908" s="14" t="n"/>
      <c r="X908" s="7" t="inlineStr"/>
      <c r="Y908" s="7" t="inlineStr"/>
    </row>
    <row r="909">
      <c r="A909" s="7" t="n">
        <v>602291</v>
      </c>
      <c r="B909" s="12" t="inlineStr">
        <is>
          <t>7896013502791</t>
        </is>
      </c>
      <c r="C909" s="7" t="inlineStr">
        <is>
          <t>COL P NATUCOR SUAVE 5.0 CASTANHO CLARO</t>
        </is>
      </c>
      <c r="D909" s="7" t="inlineStr">
        <is>
          <t>COND/SHAM/CREM/SIMILARES</t>
        </is>
      </c>
      <c r="E909" s="7" t="inlineStr">
        <is>
          <t>B</t>
        </is>
      </c>
      <c r="F909" s="13" t="n">
        <v>3</v>
      </c>
      <c r="G909" s="13" t="n">
        <v>3</v>
      </c>
      <c r="H909" s="8" t="n">
        <v>11.12</v>
      </c>
      <c r="I909" s="8" t="n">
        <v>11.12</v>
      </c>
      <c r="J909" s="8" t="n">
        <v>11.12</v>
      </c>
      <c r="K909" s="8" t="n"/>
      <c r="L909" s="8" t="n"/>
      <c r="M909" s="8" t="n"/>
      <c r="N909" s="8" t="n"/>
      <c r="O909" s="8" t="n"/>
      <c r="P909" s="8" t="n"/>
      <c r="Q909" s="8" t="n"/>
      <c r="R909" s="8" t="n"/>
      <c r="S909" s="8" t="n"/>
      <c r="T909" s="7" t="inlineStr">
        <is>
          <t>SEM COTAÇÃO</t>
        </is>
      </c>
      <c r="U909" s="8" t="n"/>
      <c r="V909" s="14" t="n"/>
      <c r="W909" s="14" t="n"/>
      <c r="X909" s="7" t="inlineStr"/>
      <c r="Y909" s="7" t="inlineStr"/>
    </row>
    <row r="910">
      <c r="A910" s="7" t="n">
        <v>644531</v>
      </c>
      <c r="B910" s="12" t="inlineStr">
        <is>
          <t>7908324408263</t>
        </is>
      </c>
      <c r="C910" s="7" t="inlineStr">
        <is>
          <t>COL PHYTODERM MASC SPRAY 200ML LEGACY</t>
        </is>
      </c>
      <c r="D910" s="7" t="inlineStr">
        <is>
          <t>PERF/COSME</t>
        </is>
      </c>
      <c r="E910" s="7" t="inlineStr">
        <is>
          <t>C</t>
        </is>
      </c>
      <c r="F910" s="13" t="n">
        <v>2</v>
      </c>
      <c r="G910" s="13" t="n">
        <v>2</v>
      </c>
      <c r="H910" s="8" t="n">
        <v>26.36</v>
      </c>
      <c r="I910" s="8" t="n">
        <v>26.36</v>
      </c>
      <c r="J910" s="8" t="n">
        <v>26.36</v>
      </c>
      <c r="K910" s="8" t="n"/>
      <c r="L910" s="8" t="n"/>
      <c r="M910" s="8" t="n"/>
      <c r="N910" s="8" t="n"/>
      <c r="O910" s="8" t="n"/>
      <c r="P910" s="8" t="n"/>
      <c r="Q910" s="8" t="n"/>
      <c r="R910" s="8" t="n"/>
      <c r="S910" s="8" t="n"/>
      <c r="T910" s="7" t="inlineStr">
        <is>
          <t>SEM COTAÇÃO</t>
        </is>
      </c>
      <c r="U910" s="8" t="n"/>
      <c r="V910" s="14" t="n"/>
      <c r="W910" s="14" t="n"/>
      <c r="X910" s="7" t="inlineStr"/>
      <c r="Y910" s="7" t="inlineStr"/>
    </row>
    <row r="911">
      <c r="A911" s="7" t="n">
        <v>638471</v>
      </c>
      <c r="B911" s="12" t="inlineStr">
        <is>
          <t>7897664169067</t>
        </is>
      </c>
      <c r="C911" s="7" t="inlineStr">
        <is>
          <t>COL PHYTODERM SPLASH 200ML PURE SECRET</t>
        </is>
      </c>
      <c r="D911" s="7" t="inlineStr">
        <is>
          <t>COND/SHAM/CREM/SIMILARES</t>
        </is>
      </c>
      <c r="E911" s="7" t="inlineStr">
        <is>
          <t>B</t>
        </is>
      </c>
      <c r="F911" s="13" t="n">
        <v>1</v>
      </c>
      <c r="G911" s="13" t="n">
        <v>1</v>
      </c>
      <c r="H911" s="8" t="n">
        <v>26.36</v>
      </c>
      <c r="I911" s="8" t="n">
        <v>26.36</v>
      </c>
      <c r="J911" s="8" t="n">
        <v>26.36</v>
      </c>
      <c r="K911" s="8" t="n"/>
      <c r="L911" s="8" t="n"/>
      <c r="M911" s="8" t="n"/>
      <c r="N911" s="8" t="n"/>
      <c r="O911" s="8" t="n"/>
      <c r="P911" s="8" t="n"/>
      <c r="Q911" s="8" t="n"/>
      <c r="R911" s="8" t="n"/>
      <c r="S911" s="8" t="n"/>
      <c r="T911" s="7" t="inlineStr">
        <is>
          <t>SEM COTAÇÃO</t>
        </is>
      </c>
      <c r="U911" s="8" t="n"/>
      <c r="V911" s="14" t="n"/>
      <c r="W911" s="14" t="n"/>
      <c r="X911" s="7" t="inlineStr"/>
      <c r="Y911" s="7" t="inlineStr"/>
    </row>
    <row r="912">
      <c r="A912" s="7" t="n">
        <v>638491</v>
      </c>
      <c r="B912" s="12" t="inlineStr">
        <is>
          <t>7908324404951</t>
        </is>
      </c>
      <c r="C912" s="7" t="inlineStr">
        <is>
          <t>COL PHYTODERM SPRAY 200ML NOMAD</t>
        </is>
      </c>
      <c r="D912" s="7" t="inlineStr">
        <is>
          <t>COND/SHAM/CREM/SIMILARES</t>
        </is>
      </c>
      <c r="E912" s="7" t="inlineStr">
        <is>
          <t>C</t>
        </is>
      </c>
      <c r="F912" s="13" t="n">
        <v>1</v>
      </c>
      <c r="G912" s="13" t="n">
        <v>1</v>
      </c>
      <c r="H912" s="8" t="n">
        <v>26.36</v>
      </c>
      <c r="I912" s="8" t="n">
        <v>26.36</v>
      </c>
      <c r="J912" s="8" t="n">
        <v>26.36</v>
      </c>
      <c r="K912" s="8" t="n"/>
      <c r="L912" s="8" t="n"/>
      <c r="M912" s="8" t="n"/>
      <c r="N912" s="8" t="n"/>
      <c r="O912" s="8" t="n"/>
      <c r="P912" s="8" t="n"/>
      <c r="Q912" s="8" t="n"/>
      <c r="R912" s="8" t="n"/>
      <c r="S912" s="8" t="n"/>
      <c r="T912" s="7" t="inlineStr">
        <is>
          <t>SEM COTAÇÃO</t>
        </is>
      </c>
      <c r="U912" s="8" t="n"/>
      <c r="V912" s="14" t="n"/>
      <c r="W912" s="14" t="n"/>
      <c r="X912" s="7" t="inlineStr"/>
      <c r="Y912" s="7" t="inlineStr"/>
    </row>
    <row r="913">
      <c r="A913" s="7" t="n">
        <v>644601</v>
      </c>
      <c r="B913" s="12" t="inlineStr">
        <is>
          <t>7908324404975</t>
        </is>
      </c>
      <c r="C913" s="7" t="inlineStr">
        <is>
          <t>COL PHYTODERM SPRAY 200ML VICTORY</t>
        </is>
      </c>
      <c r="D913" s="7" t="inlineStr">
        <is>
          <t>COND/SHAM/CREM/SIMILARES</t>
        </is>
      </c>
      <c r="E913" s="7" t="inlineStr">
        <is>
          <t>B</t>
        </is>
      </c>
      <c r="F913" s="13" t="n">
        <v>2</v>
      </c>
      <c r="G913" s="13" t="n">
        <v>2</v>
      </c>
      <c r="H913" s="8" t="n">
        <v>26.36</v>
      </c>
      <c r="I913" s="8" t="n">
        <v>26.36</v>
      </c>
      <c r="J913" s="8" t="n">
        <v>26.36</v>
      </c>
      <c r="K913" s="8" t="n"/>
      <c r="L913" s="8" t="n"/>
      <c r="M913" s="8" t="n"/>
      <c r="N913" s="8" t="n"/>
      <c r="O913" s="8" t="n"/>
      <c r="P913" s="8" t="n"/>
      <c r="Q913" s="8" t="n"/>
      <c r="R913" s="8" t="n"/>
      <c r="S913" s="8" t="n"/>
      <c r="T913" s="7" t="inlineStr">
        <is>
          <t>SEM COTAÇÃO</t>
        </is>
      </c>
      <c r="U913" s="8" t="n"/>
      <c r="V913" s="14" t="n"/>
      <c r="W913" s="14" t="n"/>
      <c r="X913" s="7" t="inlineStr"/>
      <c r="Y913" s="7" t="inlineStr"/>
    </row>
    <row r="914">
      <c r="A914" s="7" t="n">
        <v>602181</v>
      </c>
      <c r="B914" s="12" t="inlineStr">
        <is>
          <t>7897104920784</t>
        </is>
      </c>
      <c r="C914" s="7" t="inlineStr">
        <is>
          <t>COLAGENO HIDRO VERISOL C/ ACIDO HIALURONICO BODYACTION LAR/ACEROLA 200G</t>
        </is>
      </c>
      <c r="D914" s="7" t="inlineStr">
        <is>
          <t>SUPLEMENTO</t>
        </is>
      </c>
      <c r="E914" s="7" t="inlineStr">
        <is>
          <t>C</t>
        </is>
      </c>
      <c r="F914" s="13" t="n">
        <v>1</v>
      </c>
      <c r="G914" s="13" t="n">
        <v>1</v>
      </c>
      <c r="H914" s="8" t="n">
        <v>54.9</v>
      </c>
      <c r="I914" s="8" t="n">
        <v>54.9</v>
      </c>
      <c r="J914" s="8" t="n">
        <v>54.9</v>
      </c>
      <c r="K914" s="8" t="n"/>
      <c r="L914" s="8" t="n"/>
      <c r="M914" s="8" t="n"/>
      <c r="N914" s="8" t="n"/>
      <c r="O914" s="8" t="n"/>
      <c r="P914" s="8" t="n"/>
      <c r="Q914" s="8" t="n"/>
      <c r="R914" s="8" t="n"/>
      <c r="S914" s="15" t="n">
        <v>55</v>
      </c>
      <c r="T914" s="7" t="inlineStr">
        <is>
          <t>AT_SUPLEMENTOS</t>
        </is>
      </c>
      <c r="U914" s="8" t="n">
        <v>55</v>
      </c>
      <c r="V914" s="14">
        <f>U914/J914-1</f>
        <v/>
      </c>
      <c r="W914" s="14">
        <f>U914/H914-1</f>
        <v/>
      </c>
      <c r="X914" s="16" t="inlineStr">
        <is>
          <t>ACIMA +0.2%</t>
        </is>
      </c>
      <c r="Y914" s="7" t="inlineStr"/>
    </row>
    <row r="915">
      <c r="A915" s="7" t="n">
        <v>634731</v>
      </c>
      <c r="B915" s="12" t="inlineStr">
        <is>
          <t>7898303264136</t>
        </is>
      </c>
      <c r="C915" s="7" t="inlineStr">
        <is>
          <t>COLAGENO TIPO 2 SUPRA 40MG CX/ 60 CAPS</t>
        </is>
      </c>
      <c r="D915" s="7" t="inlineStr">
        <is>
          <t>VITAMINA E SIMILARES</t>
        </is>
      </c>
      <c r="E915" s="7" t="inlineStr">
        <is>
          <t>C</t>
        </is>
      </c>
      <c r="F915" s="13" t="n">
        <v>1</v>
      </c>
      <c r="G915" s="13" t="n">
        <v>1</v>
      </c>
      <c r="H915" s="8" t="n">
        <v>27.03</v>
      </c>
      <c r="I915" s="8" t="n">
        <v>27.03</v>
      </c>
      <c r="J915" s="8" t="n">
        <v>27.03</v>
      </c>
      <c r="K915" s="8" t="n"/>
      <c r="L915" s="8" t="n"/>
      <c r="M915" s="8" t="n"/>
      <c r="N915" s="8" t="n"/>
      <c r="O915" s="8" t="n"/>
      <c r="P915" s="8" t="n"/>
      <c r="Q915" s="8" t="n"/>
      <c r="R915" s="8" t="n"/>
      <c r="S915" s="8" t="n"/>
      <c r="T915" s="7" t="inlineStr">
        <is>
          <t>SEM COTAÇÃO</t>
        </is>
      </c>
      <c r="U915" s="8" t="n"/>
      <c r="V915" s="14" t="n"/>
      <c r="W915" s="14" t="n"/>
      <c r="X915" s="7" t="inlineStr"/>
      <c r="Y915" s="7" t="inlineStr"/>
    </row>
    <row r="916">
      <c r="A916" s="7" t="n">
        <v>4233</v>
      </c>
      <c r="B916" s="12" t="inlineStr">
        <is>
          <t>7908531900352</t>
        </is>
      </c>
      <c r="C916" s="7" t="inlineStr">
        <is>
          <t>COLAGENO TIPO II CXT 30 HEALTHY ARTRODEX</t>
        </is>
      </c>
      <c r="D916" s="7" t="inlineStr">
        <is>
          <t>SIMILAR</t>
        </is>
      </c>
      <c r="E916" s="7" t="inlineStr">
        <is>
          <t>B</t>
        </is>
      </c>
      <c r="F916" s="13" t="n">
        <v>2</v>
      </c>
      <c r="G916" s="13" t="n">
        <v>2</v>
      </c>
      <c r="H916" s="8" t="n">
        <v>23.14</v>
      </c>
      <c r="I916" s="8" t="n">
        <v>23.14</v>
      </c>
      <c r="J916" s="8" t="n">
        <v>23.14</v>
      </c>
      <c r="K916" s="8" t="n"/>
      <c r="L916" s="8" t="n"/>
      <c r="M916" s="8" t="n"/>
      <c r="N916" s="8" t="n"/>
      <c r="O916" s="8" t="n"/>
      <c r="P916" s="15" t="n">
        <v>47.25</v>
      </c>
      <c r="Q916" s="8" t="n"/>
      <c r="R916" s="8" t="n"/>
      <c r="S916" s="8" t="n"/>
      <c r="T916" s="7" t="inlineStr">
        <is>
          <t>NAZARIA</t>
        </is>
      </c>
      <c r="U916" s="8" t="n">
        <v>47.25</v>
      </c>
      <c r="V916" s="14">
        <f>U916/J916-1</f>
        <v/>
      </c>
      <c r="W916" s="14">
        <f>U916/H916-1</f>
        <v/>
      </c>
      <c r="X916" s="16" t="inlineStr">
        <is>
          <t>ACIMA +104.2%</t>
        </is>
      </c>
      <c r="Y916" s="7" t="inlineStr">
        <is>
          <t>NAZARIA: conferir emb.</t>
        </is>
      </c>
    </row>
    <row r="917">
      <c r="A917" s="7" t="n">
        <v>655971</v>
      </c>
      <c r="B917" s="12" t="inlineStr">
        <is>
          <t>7898671433929</t>
        </is>
      </c>
      <c r="C917" s="7" t="inlineStr">
        <is>
          <t>COLAGENO VERISOL B 90 CAPS CX/50 - TAKE CARE</t>
        </is>
      </c>
      <c r="D917" s="7" t="inlineStr">
        <is>
          <t>VITAMINA E SIMILARES</t>
        </is>
      </c>
      <c r="E917" s="7" t="inlineStr">
        <is>
          <t>C</t>
        </is>
      </c>
      <c r="F917" s="13" t="n">
        <v>1</v>
      </c>
      <c r="G917" s="13" t="n">
        <v>1</v>
      </c>
      <c r="H917" s="8" t="n">
        <v>28.23</v>
      </c>
      <c r="I917" s="8" t="n">
        <v>28.23</v>
      </c>
      <c r="J917" s="8" t="n">
        <v>28.23</v>
      </c>
      <c r="K917" s="8" t="n"/>
      <c r="L917" s="8" t="n"/>
      <c r="M917" s="8" t="n"/>
      <c r="N917" s="8" t="n"/>
      <c r="O917" s="8" t="n"/>
      <c r="P917" s="8" t="n"/>
      <c r="Q917" s="8" t="n"/>
      <c r="R917" s="8" t="n"/>
      <c r="S917" s="8" t="n"/>
      <c r="T917" s="7" t="inlineStr">
        <is>
          <t>SEM COTAÇÃO</t>
        </is>
      </c>
      <c r="U917" s="8" t="n"/>
      <c r="V917" s="14" t="n"/>
      <c r="W917" s="14" t="n"/>
      <c r="X917" s="7" t="inlineStr"/>
      <c r="Y917" s="7" t="inlineStr"/>
    </row>
    <row r="918">
      <c r="A918" s="7" t="n">
        <v>597681</v>
      </c>
      <c r="B918" s="12" t="inlineStr">
        <is>
          <t>7897104907396</t>
        </is>
      </c>
      <c r="C918" s="7" t="inlineStr">
        <is>
          <t>COLAGENO VERISOL COM ACIDO HIALURONICO BODYACTION 90CAP</t>
        </is>
      </c>
      <c r="D918" s="7" t="inlineStr">
        <is>
          <t>SUPLEMENTO</t>
        </is>
      </c>
      <c r="E918" s="7" t="inlineStr">
        <is>
          <t>B</t>
        </is>
      </c>
      <c r="F918" s="13" t="n">
        <v>1</v>
      </c>
      <c r="G918" s="13" t="n">
        <v>1</v>
      </c>
      <c r="H918" s="8" t="n">
        <v>55.51</v>
      </c>
      <c r="I918" s="8" t="n">
        <v>55.51</v>
      </c>
      <c r="J918" s="8" t="n">
        <v>55.51</v>
      </c>
      <c r="K918" s="8" t="n"/>
      <c r="L918" s="8" t="n"/>
      <c r="M918" s="8" t="n"/>
      <c r="N918" s="8" t="n"/>
      <c r="O918" s="8" t="n"/>
      <c r="P918" s="8" t="n"/>
      <c r="Q918" s="8" t="n"/>
      <c r="R918" s="8" t="n"/>
      <c r="S918" s="15" t="n">
        <v>55</v>
      </c>
      <c r="T918" s="7" t="inlineStr">
        <is>
          <t>AT_SUPLEMENTOS</t>
        </is>
      </c>
      <c r="U918" s="8" t="n">
        <v>55</v>
      </c>
      <c r="V918" s="14">
        <f>U918/J918-1</f>
        <v/>
      </c>
      <c r="W918" s="14">
        <f>U918/H918-1</f>
        <v/>
      </c>
      <c r="X918" s="17" t="inlineStr">
        <is>
          <t>OK (≤ menor hist.)</t>
        </is>
      </c>
      <c r="Y918" s="7" t="inlineStr"/>
    </row>
    <row r="919">
      <c r="A919" s="7" t="n">
        <v>44781</v>
      </c>
      <c r="B919" s="12" t="inlineStr">
        <is>
          <t>7898048692652</t>
        </is>
      </c>
      <c r="C919" s="7" t="inlineStr">
        <is>
          <t>COLEGORICO 0,2 ML/ML ELX CT FR PLAS OPC GOT X 30 ML</t>
        </is>
      </c>
      <c r="D919" s="7" t="inlineStr">
        <is>
          <t>FITOTERAPICO</t>
        </is>
      </c>
      <c r="E919" s="7" t="inlineStr">
        <is>
          <t>C</t>
        </is>
      </c>
      <c r="F919" s="13" t="n">
        <v>1</v>
      </c>
      <c r="G919" s="13" t="n">
        <v>1</v>
      </c>
      <c r="H919" s="8" t="n">
        <v>4.71</v>
      </c>
      <c r="I919" s="8" t="n">
        <v>4.71</v>
      </c>
      <c r="J919" s="8" t="n">
        <v>4.71</v>
      </c>
      <c r="K919" s="8" t="n"/>
      <c r="L919" s="8" t="n"/>
      <c r="M919" s="8" t="n"/>
      <c r="N919" s="8" t="n"/>
      <c r="O919" s="8" t="n"/>
      <c r="P919" s="8" t="n"/>
      <c r="Q919" s="8" t="n"/>
      <c r="R919" s="15" t="n">
        <v>35.26</v>
      </c>
      <c r="S919" s="8" t="n"/>
      <c r="T919" s="7" t="inlineStr">
        <is>
          <t>BRASFARMA</t>
        </is>
      </c>
      <c r="U919" s="8" t="n">
        <v>35.26</v>
      </c>
      <c r="V919" s="14">
        <f>U919/J919-1</f>
        <v/>
      </c>
      <c r="W919" s="14">
        <f>U919/H919-1</f>
        <v/>
      </c>
      <c r="X919" s="16" t="inlineStr">
        <is>
          <t>ACIMA +648.6%</t>
        </is>
      </c>
      <c r="Y919" s="7" t="inlineStr">
        <is>
          <t>BRASFARMA: conferir emb.</t>
        </is>
      </c>
    </row>
    <row r="920">
      <c r="A920" s="7" t="n">
        <v>64</v>
      </c>
      <c r="B920" s="12" t="inlineStr">
        <is>
          <t>618231138807</t>
        </is>
      </c>
      <c r="C920" s="7" t="inlineStr">
        <is>
          <t>COLETOR  DE URINA INFANTIL FEMININO</t>
        </is>
      </c>
      <c r="D920" s="7" t="inlineStr">
        <is>
          <t>UTENSILIOS</t>
        </is>
      </c>
      <c r="E920" s="7" t="inlineStr">
        <is>
          <t>C</t>
        </is>
      </c>
      <c r="F920" s="13" t="n">
        <v>7</v>
      </c>
      <c r="G920" s="13" t="n">
        <v>7</v>
      </c>
      <c r="H920" s="8" t="n"/>
      <c r="I920" s="8" t="n"/>
      <c r="J920" s="8" t="n"/>
      <c r="K920" s="8" t="n"/>
      <c r="L920" s="8" t="n"/>
      <c r="M920" s="8" t="n"/>
      <c r="N920" s="8" t="n"/>
      <c r="O920" s="8" t="n"/>
      <c r="P920" s="8" t="n"/>
      <c r="Q920" s="8" t="n"/>
      <c r="R920" s="8" t="n"/>
      <c r="S920" s="8" t="n"/>
      <c r="T920" s="7" t="inlineStr">
        <is>
          <t>SEM COTAÇÃO</t>
        </is>
      </c>
      <c r="U920" s="8" t="n"/>
      <c r="V920" s="14" t="n"/>
      <c r="W920" s="14" t="n"/>
      <c r="X920" s="7" t="inlineStr"/>
      <c r="Y920" s="7" t="inlineStr"/>
    </row>
    <row r="921">
      <c r="A921" s="7" t="n">
        <v>74</v>
      </c>
      <c r="B921" s="12" t="inlineStr">
        <is>
          <t>618231138791</t>
        </is>
      </c>
      <c r="C921" s="7" t="inlineStr">
        <is>
          <t>COLETOR  DE URINA MASCULINO</t>
        </is>
      </c>
      <c r="D921" s="7" t="inlineStr">
        <is>
          <t>UTENSILIOS</t>
        </is>
      </c>
      <c r="E921" s="7" t="inlineStr">
        <is>
          <t>C</t>
        </is>
      </c>
      <c r="F921" s="13" t="n">
        <v>2</v>
      </c>
      <c r="G921" s="13" t="n">
        <v>2</v>
      </c>
      <c r="H921" s="8" t="n"/>
      <c r="I921" s="8" t="n"/>
      <c r="J921" s="8" t="n"/>
      <c r="K921" s="8" t="n"/>
      <c r="L921" s="8" t="n"/>
      <c r="M921" s="8" t="n"/>
      <c r="N921" s="8" t="n"/>
      <c r="O921" s="8" t="n"/>
      <c r="P921" s="8" t="n"/>
      <c r="Q921" s="8" t="n"/>
      <c r="R921" s="8" t="n"/>
      <c r="S921" s="8" t="n"/>
      <c r="T921" s="7" t="inlineStr">
        <is>
          <t>SEM COTAÇÃO</t>
        </is>
      </c>
      <c r="U921" s="8" t="n"/>
      <c r="V921" s="14" t="n"/>
      <c r="W921" s="14" t="n"/>
      <c r="X921" s="7" t="inlineStr"/>
      <c r="Y921" s="7" t="inlineStr"/>
    </row>
    <row r="922">
      <c r="A922" s="7" t="n">
        <v>608801</v>
      </c>
      <c r="B922" s="12" t="inlineStr">
        <is>
          <t>0798190239392</t>
        </is>
      </c>
      <c r="C922" s="7" t="inlineStr">
        <is>
          <t>COLETOR 80ML BRANCO</t>
        </is>
      </c>
      <c r="D922" s="7" t="inlineStr">
        <is>
          <t>UTENSILIOS</t>
        </is>
      </c>
      <c r="E922" s="7" t="inlineStr">
        <is>
          <t>C</t>
        </is>
      </c>
      <c r="F922" s="13" t="n">
        <v>1</v>
      </c>
      <c r="G922" s="13" t="n">
        <v>1</v>
      </c>
      <c r="H922" s="8" t="n">
        <v>0.4716</v>
      </c>
      <c r="I922" s="8" t="n">
        <v>0.4716</v>
      </c>
      <c r="J922" s="8" t="n">
        <v>0.4716</v>
      </c>
      <c r="K922" s="8" t="n"/>
      <c r="L922" s="8" t="n"/>
      <c r="M922" s="8" t="n"/>
      <c r="N922" s="8" t="n"/>
      <c r="O922" s="8" t="n"/>
      <c r="P922" s="8" t="n"/>
      <c r="Q922" s="8" t="n"/>
      <c r="R922" s="8" t="n"/>
      <c r="S922" s="8" t="n"/>
      <c r="T922" s="7" t="inlineStr">
        <is>
          <t>SEM COTAÇÃO</t>
        </is>
      </c>
      <c r="U922" s="8" t="n"/>
      <c r="V922" s="14" t="n"/>
      <c r="W922" s="14" t="n"/>
      <c r="X922" s="7" t="inlineStr"/>
      <c r="Y922" s="7" t="inlineStr"/>
    </row>
    <row r="923">
      <c r="A923" s="7" t="n">
        <v>536401</v>
      </c>
      <c r="B923" s="12" t="inlineStr">
        <is>
          <t>7898198862301</t>
        </is>
      </c>
      <c r="C923" s="7" t="inlineStr">
        <is>
          <t>COLETOR C/PA N/ESTERIL INDIVIDUAL TRANSLUCIDO 50ML - TAMPA BRANCA PC C/1000UN</t>
        </is>
      </c>
      <c r="D923" s="7" t="inlineStr">
        <is>
          <t>USO INTERNO</t>
        </is>
      </c>
      <c r="E923" s="7" t="inlineStr">
        <is>
          <t>C</t>
        </is>
      </c>
      <c r="F923" s="13" t="n">
        <v>1</v>
      </c>
      <c r="G923" s="13" t="n">
        <v>1</v>
      </c>
      <c r="H923" s="8" t="n"/>
      <c r="I923" s="8" t="n"/>
      <c r="J923" s="8" t="n"/>
      <c r="K923" s="8" t="n"/>
      <c r="L923" s="8" t="n"/>
      <c r="M923" s="8" t="n"/>
      <c r="N923" s="8" t="n"/>
      <c r="O923" s="8" t="n"/>
      <c r="P923" s="8" t="n"/>
      <c r="Q923" s="8" t="n"/>
      <c r="R923" s="8" t="n"/>
      <c r="S923" s="8" t="n"/>
      <c r="T923" s="7" t="inlineStr">
        <is>
          <t>SEM COTAÇÃO</t>
        </is>
      </c>
      <c r="U923" s="8" t="n"/>
      <c r="V923" s="14" t="n"/>
      <c r="W923" s="14" t="n"/>
      <c r="X923" s="7" t="inlineStr"/>
      <c r="Y923" s="7" t="inlineStr"/>
    </row>
    <row r="924">
      <c r="A924" s="7" t="n">
        <v>639931</v>
      </c>
      <c r="B924" s="12" t="inlineStr">
        <is>
          <t>0618231138814</t>
        </is>
      </c>
      <c r="C924" s="7" t="inlineStr">
        <is>
          <t>COLETOR DE URINA INF UNISSEX UNIDADE</t>
        </is>
      </c>
      <c r="D924" s="7" t="inlineStr">
        <is>
          <t>SIMILAR</t>
        </is>
      </c>
      <c r="E924" s="7" t="inlineStr">
        <is>
          <t>C</t>
        </is>
      </c>
      <c r="F924" s="13" t="n">
        <v>1</v>
      </c>
      <c r="G924" s="13" t="n">
        <v>1</v>
      </c>
      <c r="H924" s="8" t="n">
        <v>5.4</v>
      </c>
      <c r="I924" s="8" t="n">
        <v>5.4</v>
      </c>
      <c r="J924" s="8" t="n">
        <v>5.400000000000001</v>
      </c>
      <c r="K924" s="8" t="n"/>
      <c r="L924" s="8" t="n"/>
      <c r="M924" s="8" t="n"/>
      <c r="N924" s="8" t="n"/>
      <c r="O924" s="8" t="n"/>
      <c r="P924" s="8" t="n"/>
      <c r="Q924" s="8" t="n"/>
      <c r="R924" s="8" t="n"/>
      <c r="S924" s="8" t="n"/>
      <c r="T924" s="7" t="inlineStr">
        <is>
          <t>SEM COTAÇÃO</t>
        </is>
      </c>
      <c r="U924" s="8" t="n"/>
      <c r="V924" s="14" t="n"/>
      <c r="W924" s="14" t="n"/>
      <c r="X924" s="7" t="inlineStr"/>
      <c r="Y924" s="7" t="inlineStr"/>
    </row>
    <row r="925">
      <c r="A925" s="7" t="n">
        <v>663521</v>
      </c>
      <c r="B925" s="12" t="inlineStr">
        <is>
          <t>7896699033619</t>
        </is>
      </c>
      <c r="C925" s="7" t="inlineStr">
        <is>
          <t>COLETOR LEITE MATERNO SILICONE CX/6 - LOLLY</t>
        </is>
      </c>
      <c r="D925" s="7" t="inlineStr">
        <is>
          <t>BABY/KIDS</t>
        </is>
      </c>
      <c r="E925" s="7" t="inlineStr">
        <is>
          <t>B</t>
        </is>
      </c>
      <c r="F925" s="13" t="n">
        <v>2</v>
      </c>
      <c r="G925" s="13" t="n">
        <v>2</v>
      </c>
      <c r="H925" s="8" t="n">
        <v>46.11</v>
      </c>
      <c r="I925" s="8" t="n">
        <v>46.11</v>
      </c>
      <c r="J925" s="8" t="n">
        <v>46.10999999999999</v>
      </c>
      <c r="K925" s="8" t="n"/>
      <c r="L925" s="8" t="n"/>
      <c r="M925" s="8" t="n"/>
      <c r="N925" s="8" t="n"/>
      <c r="O925" s="8" t="n"/>
      <c r="P925" s="8" t="n"/>
      <c r="Q925" s="8" t="n"/>
      <c r="R925" s="8" t="n"/>
      <c r="S925" s="8" t="n"/>
      <c r="T925" s="7" t="inlineStr">
        <is>
          <t>SEM COTAÇÃO</t>
        </is>
      </c>
      <c r="U925" s="8" t="n"/>
      <c r="V925" s="14" t="n"/>
      <c r="W925" s="14" t="n"/>
      <c r="X925" s="7" t="inlineStr"/>
      <c r="Y925" s="7" t="inlineStr"/>
    </row>
    <row r="926">
      <c r="A926" s="7" t="n">
        <v>618221</v>
      </c>
      <c r="B926" s="12" t="inlineStr">
        <is>
          <t>798190239408</t>
        </is>
      </c>
      <c r="C926" s="7" t="inlineStr">
        <is>
          <t>COLETOR TAMPA DE ROSCA BRANCA C/PA</t>
        </is>
      </c>
      <c r="D926" s="7" t="inlineStr">
        <is>
          <t>UTENSILIOS</t>
        </is>
      </c>
      <c r="E926" s="7" t="inlineStr">
        <is>
          <t>C</t>
        </is>
      </c>
      <c r="F926" s="13" t="n">
        <v>1</v>
      </c>
      <c r="G926" s="13" t="n">
        <v>1</v>
      </c>
      <c r="H926" s="8" t="n">
        <v>0.49</v>
      </c>
      <c r="I926" s="8" t="n">
        <v>0.49</v>
      </c>
      <c r="J926" s="8" t="n">
        <v>0.49</v>
      </c>
      <c r="K926" s="8" t="n"/>
      <c r="L926" s="8" t="n"/>
      <c r="M926" s="8" t="n"/>
      <c r="N926" s="8" t="n"/>
      <c r="O926" s="8" t="n"/>
      <c r="P926" s="8" t="n"/>
      <c r="Q926" s="8" t="n"/>
      <c r="R926" s="8" t="n"/>
      <c r="S926" s="8" t="n"/>
      <c r="T926" s="7" t="inlineStr">
        <is>
          <t>SEM COTAÇÃO</t>
        </is>
      </c>
      <c r="U926" s="8" t="n"/>
      <c r="V926" s="14" t="n"/>
      <c r="W926" s="14" t="n"/>
      <c r="X926" s="7" t="inlineStr"/>
      <c r="Y926" s="7" t="inlineStr"/>
    </row>
    <row r="927">
      <c r="A927" s="7" t="n">
        <v>570701</v>
      </c>
      <c r="B927" s="12" t="inlineStr">
        <is>
          <t>7898953484014</t>
        </is>
      </c>
      <c r="C927" s="7" t="inlineStr">
        <is>
          <t>COLETOR UNIV.BRANCO 80ML TAMPA VERDE</t>
        </is>
      </c>
      <c r="D927" s="7" t="inlineStr">
        <is>
          <t>UTENSILIOS</t>
        </is>
      </c>
      <c r="E927" s="7" t="inlineStr">
        <is>
          <t>C</t>
        </is>
      </c>
      <c r="F927" s="13" t="n">
        <v>113</v>
      </c>
      <c r="G927" s="13" t="n">
        <v>113</v>
      </c>
      <c r="H927" s="8" t="n">
        <v>0.54</v>
      </c>
      <c r="I927" s="8" t="n">
        <v>0.54</v>
      </c>
      <c r="J927" s="8" t="n">
        <v>0.54</v>
      </c>
      <c r="K927" s="15" t="n">
        <v>0.6</v>
      </c>
      <c r="L927" s="8" t="n"/>
      <c r="M927" s="8" t="n"/>
      <c r="N927" s="8" t="n">
        <v>0.67</v>
      </c>
      <c r="O927" s="8" t="n"/>
      <c r="P927" s="8" t="n"/>
      <c r="Q927" s="8" t="n"/>
      <c r="R927" s="8" t="n"/>
      <c r="S927" s="8" t="n"/>
      <c r="T927" s="7" t="inlineStr">
        <is>
          <t>DIMEC</t>
        </is>
      </c>
      <c r="U927" s="8" t="n">
        <v>0.6</v>
      </c>
      <c r="V927" s="14">
        <f>U927/J927-1</f>
        <v/>
      </c>
      <c r="W927" s="14">
        <f>U927/H927-1</f>
        <v/>
      </c>
      <c r="X927" s="16" t="inlineStr">
        <is>
          <t>ACIMA +11.1%</t>
        </is>
      </c>
      <c r="Y927" s="7" t="inlineStr"/>
    </row>
    <row r="928">
      <c r="A928" s="7" t="n">
        <v>643191</v>
      </c>
      <c r="B928" s="12" t="inlineStr">
        <is>
          <t>7898108649800</t>
        </is>
      </c>
      <c r="C928" s="7" t="inlineStr">
        <is>
          <t>COLETOR UNIVERSAL SANFARMA 70ML</t>
        </is>
      </c>
      <c r="D928" s="7" t="inlineStr">
        <is>
          <t>UTENSILIOS</t>
        </is>
      </c>
      <c r="E928" s="7" t="inlineStr">
        <is>
          <t>C</t>
        </is>
      </c>
      <c r="F928" s="13" t="n">
        <v>1</v>
      </c>
      <c r="G928" s="13" t="n">
        <v>1</v>
      </c>
      <c r="H928" s="8" t="n">
        <v>1.34</v>
      </c>
      <c r="I928" s="8" t="n">
        <v>1.34</v>
      </c>
      <c r="J928" s="8" t="n">
        <v>1.34</v>
      </c>
      <c r="K928" s="8" t="n"/>
      <c r="L928" s="8" t="n"/>
      <c r="M928" s="8" t="n"/>
      <c r="N928" s="8" t="n"/>
      <c r="O928" s="8" t="n"/>
      <c r="P928" s="15" t="n">
        <v>2.128</v>
      </c>
      <c r="Q928" s="8" t="n"/>
      <c r="R928" s="8" t="n"/>
      <c r="S928" s="8" t="n"/>
      <c r="T928" s="7" t="inlineStr">
        <is>
          <t>NAZARIA</t>
        </is>
      </c>
      <c r="U928" s="8" t="n">
        <v>2.128</v>
      </c>
      <c r="V928" s="14">
        <f>U928/J928-1</f>
        <v/>
      </c>
      <c r="W928" s="14">
        <f>U928/H928-1</f>
        <v/>
      </c>
      <c r="X928" s="16" t="inlineStr">
        <is>
          <t>ACIMA +58.8%</t>
        </is>
      </c>
      <c r="Y928" s="7" t="inlineStr"/>
    </row>
    <row r="929">
      <c r="A929" s="7" t="n">
        <v>668731</v>
      </c>
      <c r="B929" s="12" t="inlineStr">
        <is>
          <t>7899952321409</t>
        </is>
      </c>
      <c r="C929" s="7" t="inlineStr">
        <is>
          <t>COLONIA FEMININA AMORE 25ML</t>
        </is>
      </c>
      <c r="D929" s="7" t="inlineStr">
        <is>
          <t>DERMOCOSMETICOS/COSMETICOS</t>
        </is>
      </c>
      <c r="E929" s="7" t="inlineStr">
        <is>
          <t>C</t>
        </is>
      </c>
      <c r="F929" s="13" t="n">
        <v>1</v>
      </c>
      <c r="G929" s="13" t="n">
        <v>1</v>
      </c>
      <c r="H929" s="8" t="n">
        <v>15.54</v>
      </c>
      <c r="I929" s="8" t="n">
        <v>15.54</v>
      </c>
      <c r="J929" s="8" t="n">
        <v>15.54</v>
      </c>
      <c r="K929" s="8" t="n"/>
      <c r="L929" s="8" t="n"/>
      <c r="M929" s="8" t="n"/>
      <c r="N929" s="8" t="n"/>
      <c r="O929" s="8" t="n"/>
      <c r="P929" s="8" t="n"/>
      <c r="Q929" s="8" t="n"/>
      <c r="R929" s="8" t="n"/>
      <c r="S929" s="8" t="n"/>
      <c r="T929" s="7" t="inlineStr">
        <is>
          <t>SEM COTAÇÃO</t>
        </is>
      </c>
      <c r="U929" s="8" t="n"/>
      <c r="V929" s="14" t="n"/>
      <c r="W929" s="14" t="n"/>
      <c r="X929" s="7" t="inlineStr"/>
      <c r="Y929" s="7" t="inlineStr"/>
    </row>
    <row r="930">
      <c r="A930" s="7" t="n">
        <v>668931</v>
      </c>
      <c r="B930" s="12" t="inlineStr">
        <is>
          <t>7899952324356</t>
        </is>
      </c>
      <c r="C930" s="7" t="inlineStr">
        <is>
          <t>COLONIA FEMININA BARBIE GIRL POWER 25ML</t>
        </is>
      </c>
      <c r="D930" s="7" t="inlineStr">
        <is>
          <t>DERMOCOSMETICOS/COSMETICOS</t>
        </is>
      </c>
      <c r="E930" s="7" t="inlineStr">
        <is>
          <t>C</t>
        </is>
      </c>
      <c r="F930" s="13" t="n">
        <v>2</v>
      </c>
      <c r="G930" s="13" t="n">
        <v>2</v>
      </c>
      <c r="H930" s="8" t="n">
        <v>14.94</v>
      </c>
      <c r="I930" s="8" t="n">
        <v>14.94</v>
      </c>
      <c r="J930" s="8" t="n">
        <v>14.94</v>
      </c>
      <c r="K930" s="8" t="n"/>
      <c r="L930" s="8" t="n"/>
      <c r="M930" s="8" t="n"/>
      <c r="N930" s="8" t="n"/>
      <c r="O930" s="8" t="n"/>
      <c r="P930" s="8" t="n"/>
      <c r="Q930" s="15" t="n">
        <v>14.94</v>
      </c>
      <c r="R930" s="8" t="n"/>
      <c r="S930" s="8" t="n"/>
      <c r="T930" s="7" t="inlineStr">
        <is>
          <t>MEDCENTRO</t>
        </is>
      </c>
      <c r="U930" s="8" t="n">
        <v>14.94</v>
      </c>
      <c r="V930" s="14">
        <f>U930/J930-1</f>
        <v/>
      </c>
      <c r="W930" s="14">
        <f>U930/H930-1</f>
        <v/>
      </c>
      <c r="X930" s="17" t="inlineStr">
        <is>
          <t>OK (≤ menor hist.)</t>
        </is>
      </c>
      <c r="Y930" s="7" t="inlineStr"/>
    </row>
    <row r="931">
      <c r="A931" s="7" t="n">
        <v>668921</v>
      </c>
      <c r="B931" s="12" t="inlineStr">
        <is>
          <t>7899952322789</t>
        </is>
      </c>
      <c r="C931" s="7" t="inlineStr">
        <is>
          <t>COLONIA FEMININA BEM-ME-QUER COM MAGIA 25ML</t>
        </is>
      </c>
      <c r="D931" s="7" t="inlineStr">
        <is>
          <t>DERMOCOSMETICOS/COSMETICOS</t>
        </is>
      </c>
      <c r="E931" s="7" t="inlineStr">
        <is>
          <t>C</t>
        </is>
      </c>
      <c r="F931" s="13" t="n">
        <v>2</v>
      </c>
      <c r="G931" s="13" t="n">
        <v>2</v>
      </c>
      <c r="H931" s="8" t="n">
        <v>15.54</v>
      </c>
      <c r="I931" s="8" t="n">
        <v>15.54</v>
      </c>
      <c r="J931" s="8" t="n">
        <v>15.54</v>
      </c>
      <c r="K931" s="8" t="n"/>
      <c r="L931" s="8" t="n"/>
      <c r="M931" s="8" t="n"/>
      <c r="N931" s="8" t="n"/>
      <c r="O931" s="8" t="n"/>
      <c r="P931" s="8" t="n"/>
      <c r="Q931" s="8" t="n"/>
      <c r="R931" s="8" t="n"/>
      <c r="S931" s="8" t="n"/>
      <c r="T931" s="7" t="inlineStr">
        <is>
          <t>SEM COTAÇÃO</t>
        </is>
      </c>
      <c r="U931" s="8" t="n"/>
      <c r="V931" s="14" t="n"/>
      <c r="W931" s="14" t="n"/>
      <c r="X931" s="7" t="inlineStr"/>
      <c r="Y931" s="7" t="inlineStr"/>
    </row>
    <row r="932">
      <c r="A932" s="7" t="n">
        <v>668901</v>
      </c>
      <c r="B932" s="12" t="inlineStr">
        <is>
          <t>7899601710301</t>
        </is>
      </c>
      <c r="C932" s="7" t="inlineStr">
        <is>
          <t>COLONIA FEMININA HELLO KITTY ESTILOSA 25ML</t>
        </is>
      </c>
      <c r="D932" s="7" t="inlineStr">
        <is>
          <t>DERMOCOSMETICOS/COSMETICOS</t>
        </is>
      </c>
      <c r="E932" s="7" t="inlineStr">
        <is>
          <t>C</t>
        </is>
      </c>
      <c r="F932" s="13" t="n">
        <v>1</v>
      </c>
      <c r="G932" s="13" t="n">
        <v>1</v>
      </c>
      <c r="H932" s="8" t="n">
        <v>14.94</v>
      </c>
      <c r="I932" s="8" t="n">
        <v>14.94</v>
      </c>
      <c r="J932" s="8" t="n">
        <v>14.94</v>
      </c>
      <c r="K932" s="8" t="n"/>
      <c r="L932" s="8" t="n"/>
      <c r="M932" s="8" t="n"/>
      <c r="N932" s="8" t="n"/>
      <c r="O932" s="8" t="n"/>
      <c r="P932" s="8" t="n"/>
      <c r="Q932" s="15" t="n">
        <v>14.94</v>
      </c>
      <c r="R932" s="8" t="n"/>
      <c r="S932" s="8" t="n"/>
      <c r="T932" s="7" t="inlineStr">
        <is>
          <t>MEDCENTRO</t>
        </is>
      </c>
      <c r="U932" s="8" t="n">
        <v>14.94</v>
      </c>
      <c r="V932" s="14">
        <f>U932/J932-1</f>
        <v/>
      </c>
      <c r="W932" s="14">
        <f>U932/H932-1</f>
        <v/>
      </c>
      <c r="X932" s="17" t="inlineStr">
        <is>
          <t>OK (≤ menor hist.)</t>
        </is>
      </c>
      <c r="Y932" s="7" t="inlineStr"/>
    </row>
    <row r="933">
      <c r="A933" s="7" t="n">
        <v>668891</v>
      </c>
      <c r="B933" s="12" t="inlineStr">
        <is>
          <t>7899952324530</t>
        </is>
      </c>
      <c r="C933" s="7" t="inlineStr">
        <is>
          <t>COLONIA FEMININA MONICA 25ML</t>
        </is>
      </c>
      <c r="D933" s="7" t="inlineStr">
        <is>
          <t>DERMOCOSMETICOS/COSMETICOS</t>
        </is>
      </c>
      <c r="E933" s="7" t="inlineStr">
        <is>
          <t>C</t>
        </is>
      </c>
      <c r="F933" s="13" t="n">
        <v>1</v>
      </c>
      <c r="G933" s="13" t="n">
        <v>1</v>
      </c>
      <c r="H933" s="8" t="n">
        <v>14.94</v>
      </c>
      <c r="I933" s="8" t="n">
        <v>14.94</v>
      </c>
      <c r="J933" s="8" t="n">
        <v>14.94</v>
      </c>
      <c r="K933" s="8" t="n"/>
      <c r="L933" s="8" t="n"/>
      <c r="M933" s="8" t="n"/>
      <c r="N933" s="8" t="n"/>
      <c r="O933" s="8" t="n"/>
      <c r="P933" s="8" t="n"/>
      <c r="Q933" s="8" t="n"/>
      <c r="R933" s="8" t="n"/>
      <c r="S933" s="8" t="n"/>
      <c r="T933" s="7" t="inlineStr">
        <is>
          <t>SEM COTAÇÃO</t>
        </is>
      </c>
      <c r="U933" s="8" t="n"/>
      <c r="V933" s="14" t="n"/>
      <c r="W933" s="14" t="n"/>
      <c r="X933" s="7" t="inlineStr"/>
      <c r="Y933" s="7" t="inlineStr"/>
    </row>
    <row r="934">
      <c r="A934" s="7" t="n">
        <v>668881</v>
      </c>
      <c r="B934" s="12" t="inlineStr">
        <is>
          <t>7899952316467</t>
        </is>
      </c>
      <c r="C934" s="7" t="inlineStr">
        <is>
          <t>COLONIA FEMININA PATRICIA ABRAVANEL ESSENCE 25ML</t>
        </is>
      </c>
      <c r="D934" s="7" t="inlineStr">
        <is>
          <t>DERMOCOSMETICOS/COSMETICOS</t>
        </is>
      </c>
      <c r="E934" s="7" t="inlineStr">
        <is>
          <t>C</t>
        </is>
      </c>
      <c r="F934" s="13" t="n">
        <v>1</v>
      </c>
      <c r="G934" s="13" t="n">
        <v>1</v>
      </c>
      <c r="H934" s="8" t="n">
        <v>17.94</v>
      </c>
      <c r="I934" s="8" t="n">
        <v>17.94</v>
      </c>
      <c r="J934" s="8" t="n">
        <v>17.94</v>
      </c>
      <c r="K934" s="8" t="n"/>
      <c r="L934" s="8" t="n"/>
      <c r="M934" s="8" t="n"/>
      <c r="N934" s="8" t="n"/>
      <c r="O934" s="8" t="n"/>
      <c r="P934" s="8" t="n"/>
      <c r="Q934" s="8" t="n"/>
      <c r="R934" s="8" t="n"/>
      <c r="S934" s="8" t="n"/>
      <c r="T934" s="7" t="inlineStr">
        <is>
          <t>SEM COTAÇÃO</t>
        </is>
      </c>
      <c r="U934" s="8" t="n"/>
      <c r="V934" s="14" t="n"/>
      <c r="W934" s="14" t="n"/>
      <c r="X934" s="7" t="inlineStr"/>
      <c r="Y934" s="7" t="inlineStr"/>
    </row>
    <row r="935">
      <c r="A935" s="7" t="n">
        <v>668871</v>
      </c>
      <c r="B935" s="12" t="inlineStr">
        <is>
          <t>7899952323564</t>
        </is>
      </c>
      <c r="C935" s="7" t="inlineStr">
        <is>
          <t>COLONIA FEMININA REBECA ABRAVANEL 25ML</t>
        </is>
      </c>
      <c r="D935" s="7" t="inlineStr">
        <is>
          <t>DERMOCOSMETICOS/COSMETICOS</t>
        </is>
      </c>
      <c r="E935" s="7" t="inlineStr">
        <is>
          <t>C</t>
        </is>
      </c>
      <c r="F935" s="13" t="n">
        <v>1</v>
      </c>
      <c r="G935" s="13" t="n">
        <v>1</v>
      </c>
      <c r="H935" s="8" t="n">
        <v>17.94</v>
      </c>
      <c r="I935" s="8" t="n">
        <v>17.94</v>
      </c>
      <c r="J935" s="8" t="n">
        <v>17.94</v>
      </c>
      <c r="K935" s="8" t="n"/>
      <c r="L935" s="8" t="n"/>
      <c r="M935" s="8" t="n"/>
      <c r="N935" s="8" t="n"/>
      <c r="O935" s="8" t="n"/>
      <c r="P935" s="8" t="n"/>
      <c r="Q935" s="8" t="n"/>
      <c r="R935" s="8" t="n"/>
      <c r="S935" s="8" t="n"/>
      <c r="T935" s="7" t="inlineStr">
        <is>
          <t>SEM COTAÇÃO</t>
        </is>
      </c>
      <c r="U935" s="8" t="n"/>
      <c r="V935" s="14" t="n"/>
      <c r="W935" s="14" t="n"/>
      <c r="X935" s="7" t="inlineStr"/>
      <c r="Y935" s="7" t="inlineStr"/>
    </row>
    <row r="936">
      <c r="A936" s="7" t="n">
        <v>562081</v>
      </c>
      <c r="B936" s="12" t="inlineStr">
        <is>
          <t>7896018700383</t>
        </is>
      </c>
      <c r="C936" s="7" t="inlineStr">
        <is>
          <t>COLONIA HUGGIES EXTRA SUAVE 100ML</t>
        </is>
      </c>
      <c r="D936" s="7" t="inlineStr">
        <is>
          <t>BABY/KIDS</t>
        </is>
      </c>
      <c r="E936" s="7" t="inlineStr">
        <is>
          <t>C</t>
        </is>
      </c>
      <c r="F936" s="13" t="n">
        <v>6</v>
      </c>
      <c r="G936" s="13" t="n">
        <v>6</v>
      </c>
      <c r="H936" s="8" t="n">
        <v>10.72</v>
      </c>
      <c r="I936" s="8" t="n">
        <v>10.38</v>
      </c>
      <c r="J936" s="8" t="n">
        <v>10.38</v>
      </c>
      <c r="K936" s="8" t="n"/>
      <c r="L936" s="8" t="n"/>
      <c r="M936" s="8" t="n"/>
      <c r="N936" s="8" t="n"/>
      <c r="O936" s="8" t="n"/>
      <c r="P936" s="15" t="n">
        <v>18.7</v>
      </c>
      <c r="Q936" s="8" t="n"/>
      <c r="R936" s="8" t="n"/>
      <c r="S936" s="8" t="n"/>
      <c r="T936" s="7" t="inlineStr">
        <is>
          <t>NAZARIA</t>
        </is>
      </c>
      <c r="U936" s="8" t="n">
        <v>18.7</v>
      </c>
      <c r="V936" s="14">
        <f>U936/J936-1</f>
        <v/>
      </c>
      <c r="W936" s="14">
        <f>U936/H936-1</f>
        <v/>
      </c>
      <c r="X936" s="16" t="inlineStr">
        <is>
          <t>ACIMA +74.4%</t>
        </is>
      </c>
      <c r="Y936" s="7" t="inlineStr"/>
    </row>
    <row r="937">
      <c r="A937" s="7" t="n">
        <v>668861</v>
      </c>
      <c r="B937" s="12" t="inlineStr">
        <is>
          <t>7899952324837</t>
        </is>
      </c>
      <c r="C937" s="7" t="inlineStr">
        <is>
          <t>COLONIA MASCULINA CARROS RELAMPAGO MCQUEEN 25ML</t>
        </is>
      </c>
      <c r="D937" s="7" t="inlineStr">
        <is>
          <t>DERMOCOSMETICOS/COSMETICOS</t>
        </is>
      </c>
      <c r="E937" s="7" t="inlineStr">
        <is>
          <t>C</t>
        </is>
      </c>
      <c r="F937" s="13" t="n">
        <v>5</v>
      </c>
      <c r="G937" s="13" t="n">
        <v>5</v>
      </c>
      <c r="H937" s="8" t="n">
        <v>14.94</v>
      </c>
      <c r="I937" s="8" t="n">
        <v>14.94</v>
      </c>
      <c r="J937" s="8" t="n">
        <v>14.94</v>
      </c>
      <c r="K937" s="8" t="n"/>
      <c r="L937" s="8" t="n"/>
      <c r="M937" s="8" t="n"/>
      <c r="N937" s="8" t="n"/>
      <c r="O937" s="8" t="n"/>
      <c r="P937" s="8" t="n"/>
      <c r="Q937" s="15" t="n">
        <v>14.94</v>
      </c>
      <c r="R937" s="8" t="n"/>
      <c r="S937" s="8" t="n"/>
      <c r="T937" s="7" t="inlineStr">
        <is>
          <t>MEDCENTRO</t>
        </is>
      </c>
      <c r="U937" s="8" t="n">
        <v>14.94</v>
      </c>
      <c r="V937" s="14">
        <f>U937/J937-1</f>
        <v/>
      </c>
      <c r="W937" s="14">
        <f>U937/H937-1</f>
        <v/>
      </c>
      <c r="X937" s="17" t="inlineStr">
        <is>
          <t>OK (≤ menor hist.)</t>
        </is>
      </c>
      <c r="Y937" s="7" t="inlineStr"/>
    </row>
    <row r="938">
      <c r="A938" s="7" t="n">
        <v>671331</v>
      </c>
      <c r="B938" s="12" t="inlineStr">
        <is>
          <t>7899952324523</t>
        </is>
      </c>
      <c r="C938" s="7" t="inlineStr">
        <is>
          <t>COLONIA MASCULINA CEBOLINHA 25ML</t>
        </is>
      </c>
      <c r="D938" s="7" t="inlineStr">
        <is>
          <t>PERF/COSME</t>
        </is>
      </c>
      <c r="E938" s="7" t="inlineStr">
        <is>
          <t>C</t>
        </is>
      </c>
      <c r="F938" s="13" t="n">
        <v>1</v>
      </c>
      <c r="G938" s="13" t="n">
        <v>1</v>
      </c>
      <c r="H938" s="8" t="n">
        <v>18.23</v>
      </c>
      <c r="I938" s="8" t="n">
        <v>18.23</v>
      </c>
      <c r="J938" s="8" t="n">
        <v>18.23</v>
      </c>
      <c r="K938" s="8" t="n"/>
      <c r="L938" s="8" t="n"/>
      <c r="M938" s="8" t="n"/>
      <c r="N938" s="8" t="n"/>
      <c r="O938" s="8" t="n"/>
      <c r="P938" s="8" t="n"/>
      <c r="Q938" s="8" t="n"/>
      <c r="R938" s="8" t="n"/>
      <c r="S938" s="8" t="n"/>
      <c r="T938" s="7" t="inlineStr">
        <is>
          <t>SEM COTAÇÃO</t>
        </is>
      </c>
      <c r="U938" s="8" t="n"/>
      <c r="V938" s="14" t="n"/>
      <c r="W938" s="14" t="n"/>
      <c r="X938" s="7" t="inlineStr"/>
      <c r="Y938" s="7" t="inlineStr"/>
    </row>
    <row r="939">
      <c r="A939" s="7" t="n">
        <v>665721</v>
      </c>
      <c r="B939" s="12" t="inlineStr">
        <is>
          <t>7896227690864</t>
        </is>
      </c>
      <c r="C939" s="7" t="inlineStr">
        <is>
          <t>COLONIA SNOOPY BABY 100ML</t>
        </is>
      </c>
      <c r="D939" s="7" t="inlineStr">
        <is>
          <t>BABY/KIDS</t>
        </is>
      </c>
      <c r="E939" s="7" t="inlineStr">
        <is>
          <t>C</t>
        </is>
      </c>
      <c r="F939" s="13" t="n">
        <v>2</v>
      </c>
      <c r="G939" s="13" t="n">
        <v>2</v>
      </c>
      <c r="H939" s="8" t="n">
        <v>9.23</v>
      </c>
      <c r="I939" s="8" t="n">
        <v>9.23</v>
      </c>
      <c r="J939" s="8" t="n">
        <v>9.23</v>
      </c>
      <c r="K939" s="8" t="n"/>
      <c r="L939" s="8" t="n"/>
      <c r="M939" s="8" t="n"/>
      <c r="N939" s="8" t="n"/>
      <c r="O939" s="8" t="n"/>
      <c r="P939" s="8" t="n"/>
      <c r="Q939" s="8" t="n"/>
      <c r="R939" s="8" t="n"/>
      <c r="S939" s="8" t="n"/>
      <c r="T939" s="7" t="inlineStr">
        <is>
          <t>SEM COTAÇÃO</t>
        </is>
      </c>
      <c r="U939" s="8" t="n"/>
      <c r="V939" s="14" t="n"/>
      <c r="W939" s="14" t="n"/>
      <c r="X939" s="7" t="inlineStr"/>
      <c r="Y939" s="7" t="inlineStr"/>
    </row>
    <row r="940">
      <c r="A940" s="7" t="n">
        <v>668811</v>
      </c>
      <c r="B940" s="12" t="inlineStr">
        <is>
          <t>7899952327593</t>
        </is>
      </c>
      <c r="C940" s="7" t="inlineStr">
        <is>
          <t>COLONIA SPLASH 350ML REFRESCA COM CONFORTO</t>
        </is>
      </c>
      <c r="D940" s="7" t="inlineStr">
        <is>
          <t>DERMOCOSMETICOS/COSMETICOS</t>
        </is>
      </c>
      <c r="E940" s="7" t="inlineStr">
        <is>
          <t>C</t>
        </is>
      </c>
      <c r="F940" s="13" t="n">
        <v>1</v>
      </c>
      <c r="G940" s="13" t="n">
        <v>1</v>
      </c>
      <c r="H940" s="8" t="n">
        <v>16.14</v>
      </c>
      <c r="I940" s="8" t="n">
        <v>16.14</v>
      </c>
      <c r="J940" s="8" t="n">
        <v>16.14</v>
      </c>
      <c r="K940" s="8" t="n"/>
      <c r="L940" s="8" t="n"/>
      <c r="M940" s="8" t="n"/>
      <c r="N940" s="8" t="n"/>
      <c r="O940" s="8" t="n"/>
      <c r="P940" s="8" t="n"/>
      <c r="Q940" s="8" t="n"/>
      <c r="R940" s="8" t="n"/>
      <c r="S940" s="8" t="n"/>
      <c r="T940" s="7" t="inlineStr">
        <is>
          <t>SEM COTAÇÃO</t>
        </is>
      </c>
      <c r="U940" s="8" t="n"/>
      <c r="V940" s="14" t="n"/>
      <c r="W940" s="14" t="n"/>
      <c r="X940" s="7" t="inlineStr"/>
      <c r="Y940" s="7" t="inlineStr"/>
    </row>
    <row r="941">
      <c r="A941" s="7" t="n">
        <v>668801</v>
      </c>
      <c r="B941" s="12" t="inlineStr">
        <is>
          <t>7899952315408</t>
        </is>
      </c>
      <c r="C941" s="7" t="inlineStr">
        <is>
          <t>COLONIA SPLASH EU PROVOCO 200ML MORANGO COM CHAMPAGNE</t>
        </is>
      </c>
      <c r="D941" s="7" t="inlineStr">
        <is>
          <t>DERMOCOSMETICOS/COSMETICOS</t>
        </is>
      </c>
      <c r="E941" s="7" t="inlineStr">
        <is>
          <t>C</t>
        </is>
      </c>
      <c r="F941" s="13" t="n">
        <v>1</v>
      </c>
      <c r="G941" s="13" t="n">
        <v>1</v>
      </c>
      <c r="H941" s="8" t="n">
        <v>22.14</v>
      </c>
      <c r="I941" s="8" t="n">
        <v>22.14</v>
      </c>
      <c r="J941" s="8" t="n">
        <v>22.14</v>
      </c>
      <c r="K941" s="8" t="n"/>
      <c r="L941" s="8" t="n"/>
      <c r="M941" s="8" t="n"/>
      <c r="N941" s="8" t="n"/>
      <c r="O941" s="8" t="n"/>
      <c r="P941" s="8" t="n"/>
      <c r="Q941" s="8" t="n"/>
      <c r="R941" s="8" t="n"/>
      <c r="S941" s="8" t="n"/>
      <c r="T941" s="7" t="inlineStr">
        <is>
          <t>SEM COTAÇÃO</t>
        </is>
      </c>
      <c r="U941" s="8" t="n"/>
      <c r="V941" s="14" t="n"/>
      <c r="W941" s="14" t="n"/>
      <c r="X941" s="7" t="inlineStr"/>
      <c r="Y941" s="7" t="inlineStr"/>
    </row>
    <row r="942">
      <c r="A942" s="7" t="n">
        <v>668791</v>
      </c>
      <c r="B942" s="12" t="inlineStr">
        <is>
          <t>7899952324899</t>
        </is>
      </c>
      <c r="C942" s="7" t="inlineStr">
        <is>
          <t>COLONIA SPLASH FEMININA LARISSA MANOELA 200ML</t>
        </is>
      </c>
      <c r="D942" s="7" t="inlineStr">
        <is>
          <t>DERMOCOSMETICOS/COSMETICOS</t>
        </is>
      </c>
      <c r="E942" s="7" t="inlineStr">
        <is>
          <t>C</t>
        </is>
      </c>
      <c r="F942" s="13" t="n">
        <v>1</v>
      </c>
      <c r="G942" s="13" t="n">
        <v>1</v>
      </c>
      <c r="H942" s="8" t="n">
        <v>35.94</v>
      </c>
      <c r="I942" s="8" t="n">
        <v>35.94</v>
      </c>
      <c r="J942" s="8" t="n">
        <v>35.94</v>
      </c>
      <c r="K942" s="8" t="n"/>
      <c r="L942" s="8" t="n"/>
      <c r="M942" s="8" t="n"/>
      <c r="N942" s="8" t="n"/>
      <c r="O942" s="8" t="n"/>
      <c r="P942" s="8" t="n"/>
      <c r="Q942" s="15" t="n">
        <v>35.94</v>
      </c>
      <c r="R942" s="8" t="n"/>
      <c r="S942" s="8" t="n"/>
      <c r="T942" s="7" t="inlineStr">
        <is>
          <t>MEDCENTRO</t>
        </is>
      </c>
      <c r="U942" s="8" t="n">
        <v>35.94</v>
      </c>
      <c r="V942" s="14">
        <f>U942/J942-1</f>
        <v/>
      </c>
      <c r="W942" s="14">
        <f>U942/H942-1</f>
        <v/>
      </c>
      <c r="X942" s="17" t="inlineStr">
        <is>
          <t>OK (≤ menor hist.)</t>
        </is>
      </c>
      <c r="Y942" s="7" t="inlineStr"/>
    </row>
    <row r="943">
      <c r="A943" s="7" t="n">
        <v>545501</v>
      </c>
      <c r="B943" s="12" t="inlineStr">
        <is>
          <t>7896020153962</t>
        </is>
      </c>
      <c r="C943" s="7" t="inlineStr">
        <is>
          <t>COLONIA T XUXINHA LAVANDA 120ML</t>
        </is>
      </c>
      <c r="D943" s="7" t="inlineStr">
        <is>
          <t>PERF/COSME</t>
        </is>
      </c>
      <c r="E943" s="7" t="inlineStr">
        <is>
          <t>C</t>
        </is>
      </c>
      <c r="F943" s="13" t="n">
        <v>2</v>
      </c>
      <c r="G943" s="13" t="n">
        <v>2</v>
      </c>
      <c r="H943" s="8" t="n">
        <v>16.27</v>
      </c>
      <c r="I943" s="8" t="n">
        <v>16.27</v>
      </c>
      <c r="J943" s="8" t="n">
        <v>16.27</v>
      </c>
      <c r="K943" s="8" t="n"/>
      <c r="L943" s="8" t="n"/>
      <c r="M943" s="8" t="n"/>
      <c r="N943" s="8" t="n"/>
      <c r="O943" s="8" t="n"/>
      <c r="P943" s="8" t="n"/>
      <c r="Q943" s="8" t="n"/>
      <c r="R943" s="8" t="n"/>
      <c r="S943" s="8" t="n"/>
      <c r="T943" s="7" t="inlineStr">
        <is>
          <t>SEM COTAÇÃO</t>
        </is>
      </c>
      <c r="U943" s="8" t="n"/>
      <c r="V943" s="14" t="n"/>
      <c r="W943" s="14" t="n"/>
      <c r="X943" s="7" t="inlineStr"/>
      <c r="Y943" s="7" t="inlineStr"/>
    </row>
    <row r="944">
      <c r="A944" s="7" t="n">
        <v>545461</v>
      </c>
      <c r="B944" s="12" t="inlineStr">
        <is>
          <t>7896020161042</t>
        </is>
      </c>
      <c r="C944" s="7" t="inlineStr">
        <is>
          <t>COLONIA T XUXINHA SONO TRANQUILO 120ML</t>
        </is>
      </c>
      <c r="D944" s="7" t="inlineStr">
        <is>
          <t>BABY/KIDS</t>
        </is>
      </c>
      <c r="E944" s="7" t="inlineStr">
        <is>
          <t>B</t>
        </is>
      </c>
      <c r="F944" s="13" t="n">
        <v>3</v>
      </c>
      <c r="G944" s="13" t="n">
        <v>3</v>
      </c>
      <c r="H944" s="8" t="n">
        <v>16.7</v>
      </c>
      <c r="I944" s="8" t="n">
        <v>14.65</v>
      </c>
      <c r="J944" s="8" t="n">
        <v>14.65</v>
      </c>
      <c r="K944" s="8" t="n"/>
      <c r="L944" s="8" t="n"/>
      <c r="M944" s="8" t="n"/>
      <c r="N944" s="8" t="n"/>
      <c r="O944" s="8" t="n"/>
      <c r="P944" s="8" t="n"/>
      <c r="Q944" s="8" t="n"/>
      <c r="R944" s="8" t="n"/>
      <c r="S944" s="8" t="n"/>
      <c r="T944" s="7" t="inlineStr">
        <is>
          <t>SEM COTAÇÃO</t>
        </is>
      </c>
      <c r="U944" s="8" t="n"/>
      <c r="V944" s="14" t="n"/>
      <c r="W944" s="14" t="n"/>
      <c r="X944" s="7" t="inlineStr"/>
      <c r="Y944" s="7" t="inlineStr"/>
    </row>
    <row r="945">
      <c r="A945" s="7" t="n">
        <v>545481</v>
      </c>
      <c r="B945" s="12" t="inlineStr">
        <is>
          <t>7896020153757</t>
        </is>
      </c>
      <c r="C945" s="7" t="inlineStr">
        <is>
          <t>COLONIA T XUXINHA TOQUE DELICADO 120ML</t>
        </is>
      </c>
      <c r="D945" s="7" t="inlineStr">
        <is>
          <t>PERF/COSME</t>
        </is>
      </c>
      <c r="E945" s="7" t="inlineStr">
        <is>
          <t>B</t>
        </is>
      </c>
      <c r="F945" s="13" t="n">
        <v>1</v>
      </c>
      <c r="G945" s="13" t="n">
        <v>1</v>
      </c>
      <c r="H945" s="8" t="n">
        <v>16.27</v>
      </c>
      <c r="I945" s="8" t="n">
        <v>16.27</v>
      </c>
      <c r="J945" s="8" t="n">
        <v>16.27</v>
      </c>
      <c r="K945" s="8" t="n"/>
      <c r="L945" s="8" t="n"/>
      <c r="M945" s="8" t="n"/>
      <c r="N945" s="8" t="n"/>
      <c r="O945" s="8" t="n"/>
      <c r="P945" s="8" t="n"/>
      <c r="Q945" s="8" t="n"/>
      <c r="R945" s="8" t="n"/>
      <c r="S945" s="8" t="n"/>
      <c r="T945" s="7" t="inlineStr">
        <is>
          <t>SEM COTAÇÃO</t>
        </is>
      </c>
      <c r="U945" s="8" t="n"/>
      <c r="V945" s="14" t="n"/>
      <c r="W945" s="14" t="n"/>
      <c r="X945" s="7" t="inlineStr"/>
      <c r="Y945" s="7" t="inlineStr"/>
    </row>
    <row r="946">
      <c r="A946" s="7" t="n">
        <v>638701</v>
      </c>
      <c r="B946" s="12" t="inlineStr">
        <is>
          <t>7896013507550</t>
        </is>
      </c>
      <c r="C946" s="7" t="inlineStr">
        <is>
          <t>COLOR MAXTON 5.7 CHOCOLATE AMARGO</t>
        </is>
      </c>
      <c r="D946" s="7" t="inlineStr">
        <is>
          <t>COND/SHAM/CREM/SIMILARES</t>
        </is>
      </c>
      <c r="E946" s="7" t="inlineStr">
        <is>
          <t>C</t>
        </is>
      </c>
      <c r="F946" s="13" t="n">
        <v>1</v>
      </c>
      <c r="G946" s="13" t="n">
        <v>1</v>
      </c>
      <c r="H946" s="8" t="n">
        <v>11.92</v>
      </c>
      <c r="I946" s="8" t="n">
        <v>11.92</v>
      </c>
      <c r="J946" s="8" t="n">
        <v>11.92</v>
      </c>
      <c r="K946" s="8" t="n"/>
      <c r="L946" s="8" t="n"/>
      <c r="M946" s="8" t="n"/>
      <c r="N946" s="8" t="n"/>
      <c r="O946" s="8" t="n"/>
      <c r="P946" s="8" t="n"/>
      <c r="Q946" s="8" t="n"/>
      <c r="R946" s="8" t="n"/>
      <c r="S946" s="8" t="n"/>
      <c r="T946" s="7" t="inlineStr">
        <is>
          <t>SEM COTAÇÃO</t>
        </is>
      </c>
      <c r="U946" s="8" t="n"/>
      <c r="V946" s="14" t="n"/>
      <c r="W946" s="14" t="n"/>
      <c r="X946" s="7" t="inlineStr"/>
      <c r="Y946" s="7" t="inlineStr"/>
    </row>
    <row r="947">
      <c r="A947" s="7" t="n">
        <v>638711</v>
      </c>
      <c r="B947" s="12" t="inlineStr">
        <is>
          <t>7896013507482</t>
        </is>
      </c>
      <c r="C947" s="7" t="inlineStr">
        <is>
          <t>COLOR MAXTON 7.74 RUIVO DOCE DE LEITE</t>
        </is>
      </c>
      <c r="D947" s="7" t="inlineStr">
        <is>
          <t>COND/SHAM/CREM/SIMILARES</t>
        </is>
      </c>
      <c r="E947" s="7" t="inlineStr">
        <is>
          <t>C</t>
        </is>
      </c>
      <c r="F947" s="13" t="n">
        <v>1</v>
      </c>
      <c r="G947" s="13" t="n">
        <v>1</v>
      </c>
      <c r="H947" s="8" t="n">
        <v>11.92</v>
      </c>
      <c r="I947" s="8" t="n">
        <v>11.92</v>
      </c>
      <c r="J947" s="8" t="n">
        <v>11.92</v>
      </c>
      <c r="K947" s="8" t="n"/>
      <c r="L947" s="8" t="n"/>
      <c r="M947" s="8" t="n"/>
      <c r="N947" s="8" t="n"/>
      <c r="O947" s="8" t="n"/>
      <c r="P947" s="8" t="n"/>
      <c r="Q947" s="8" t="n"/>
      <c r="R947" s="8" t="n"/>
      <c r="S947" s="8" t="n"/>
      <c r="T947" s="7" t="inlineStr">
        <is>
          <t>SEM COTAÇÃO</t>
        </is>
      </c>
      <c r="U947" s="8" t="n"/>
      <c r="V947" s="14" t="n"/>
      <c r="W947" s="14" t="n"/>
      <c r="X947" s="7" t="inlineStr"/>
      <c r="Y947" s="7" t="inlineStr"/>
    </row>
    <row r="948">
      <c r="A948" s="7" t="n">
        <v>651051</v>
      </c>
      <c r="B948" s="12" t="inlineStr">
        <is>
          <t>7897917004459</t>
        </is>
      </c>
      <c r="C948" s="7" t="inlineStr">
        <is>
          <t>COLPADAK 20MG 30ML LOCAO</t>
        </is>
      </c>
      <c r="D948" s="7" t="inlineStr">
        <is>
          <t>SIMILAR</t>
        </is>
      </c>
      <c r="E948" s="7" t="inlineStr">
        <is>
          <t>C</t>
        </is>
      </c>
      <c r="F948" s="13" t="n">
        <v>2</v>
      </c>
      <c r="G948" s="13" t="n">
        <v>2</v>
      </c>
      <c r="H948" s="8" t="n">
        <v>4.71</v>
      </c>
      <c r="I948" s="8" t="n">
        <v>4.71</v>
      </c>
      <c r="J948" s="8" t="n">
        <v>4.71</v>
      </c>
      <c r="K948" s="8" t="n"/>
      <c r="L948" s="8" t="n"/>
      <c r="M948" s="8" t="n"/>
      <c r="N948" s="15" t="n">
        <v>6.41</v>
      </c>
      <c r="O948" s="8" t="n"/>
      <c r="P948" s="8" t="n"/>
      <c r="Q948" s="8" t="n"/>
      <c r="R948" s="8" t="n"/>
      <c r="S948" s="8" t="n"/>
      <c r="T948" s="7" t="inlineStr">
        <is>
          <t>CENTROFARMA</t>
        </is>
      </c>
      <c r="U948" s="8" t="n">
        <v>6.41</v>
      </c>
      <c r="V948" s="14">
        <f>U948/J948-1</f>
        <v/>
      </c>
      <c r="W948" s="14">
        <f>U948/H948-1</f>
        <v/>
      </c>
      <c r="X948" s="16" t="inlineStr">
        <is>
          <t>ACIMA +36.1%</t>
        </is>
      </c>
      <c r="Y948" s="7" t="inlineStr"/>
    </row>
    <row r="949">
      <c r="A949" s="7" t="n">
        <v>114941</v>
      </c>
      <c r="B949" s="12" t="inlineStr">
        <is>
          <t>7899824400928</t>
        </is>
      </c>
      <c r="C949" s="7" t="inlineStr">
        <is>
          <t>COLPIST MT 62,5+1,25MG/G+25000UI/G CREM BG 40G+10APLIC</t>
        </is>
      </c>
      <c r="D949" s="7" t="inlineStr">
        <is>
          <t>RX - SIMILAR - ATB</t>
        </is>
      </c>
      <c r="E949" s="7" t="inlineStr">
        <is>
          <t>A</t>
        </is>
      </c>
      <c r="F949" s="13" t="n">
        <v>2</v>
      </c>
      <c r="G949" s="13" t="n">
        <v>2</v>
      </c>
      <c r="H949" s="8" t="n">
        <v>45.99</v>
      </c>
      <c r="I949" s="8" t="n">
        <v>35.9767</v>
      </c>
      <c r="J949" s="8" t="n">
        <v>35.9767</v>
      </c>
      <c r="K949" s="8" t="n"/>
      <c r="L949" s="8" t="n"/>
      <c r="M949" s="15" t="n">
        <v>35.98</v>
      </c>
      <c r="N949" s="8" t="n"/>
      <c r="O949" s="8" t="n"/>
      <c r="P949" s="8" t="n">
        <v>38.2568</v>
      </c>
      <c r="Q949" s="8" t="n"/>
      <c r="R949" s="8" t="n"/>
      <c r="S949" s="8" t="n"/>
      <c r="T949" s="7" t="inlineStr">
        <is>
          <t>EPAN</t>
        </is>
      </c>
      <c r="U949" s="8" t="n">
        <v>35.98</v>
      </c>
      <c r="V949" s="14">
        <f>U949/J949-1</f>
        <v/>
      </c>
      <c r="W949" s="14">
        <f>U949/H949-1</f>
        <v/>
      </c>
      <c r="X949" s="17" t="inlineStr">
        <is>
          <t>OK (≤ últ. compra)</t>
        </is>
      </c>
      <c r="Y949" s="7" t="inlineStr"/>
    </row>
    <row r="950">
      <c r="A950" s="7" t="n">
        <v>666021</v>
      </c>
      <c r="B950" s="12" t="inlineStr">
        <is>
          <t>7891317033149</t>
        </is>
      </c>
      <c r="C950" s="7" t="inlineStr">
        <is>
          <t>COLTRAX 4MG CX 20 COMP</t>
        </is>
      </c>
      <c r="D950" s="7" t="inlineStr">
        <is>
          <t>RX</t>
        </is>
      </c>
      <c r="E950" s="7" t="inlineStr">
        <is>
          <t>C</t>
        </is>
      </c>
      <c r="F950" s="13" t="n">
        <v>1</v>
      </c>
      <c r="G950" s="13" t="n">
        <v>1</v>
      </c>
      <c r="H950" s="8" t="n">
        <v>50.695</v>
      </c>
      <c r="I950" s="8" t="n">
        <v>50.695</v>
      </c>
      <c r="J950" s="8" t="n">
        <v>50.695</v>
      </c>
      <c r="K950" s="8" t="n"/>
      <c r="L950" s="8" t="n"/>
      <c r="M950" s="8" t="n">
        <v>52.7</v>
      </c>
      <c r="N950" s="8" t="n"/>
      <c r="O950" s="8" t="n"/>
      <c r="P950" s="8" t="n"/>
      <c r="Q950" s="8" t="n"/>
      <c r="R950" s="8" t="n"/>
      <c r="S950" s="8" t="n"/>
      <c r="T950" s="7" t="inlineStr">
        <is>
          <t>SEM COTAÇÃO</t>
        </is>
      </c>
      <c r="U950" s="8" t="n"/>
      <c r="V950" s="14" t="n"/>
      <c r="W950" s="14" t="n"/>
      <c r="X950" s="7" t="inlineStr"/>
      <c r="Y950" s="7" t="inlineStr">
        <is>
          <t>EPAN: sem estoque</t>
        </is>
      </c>
    </row>
    <row r="951">
      <c r="A951" s="7" t="n">
        <v>654931</v>
      </c>
      <c r="B951" s="12" t="inlineStr">
        <is>
          <t>7908475810557</t>
        </is>
      </c>
      <c r="C951" s="7" t="inlineStr">
        <is>
          <t>COLÁGENO TIPO 2 30 CAPS</t>
        </is>
      </c>
      <c r="D951" s="7" t="inlineStr">
        <is>
          <t>VITAMINA E SIMILARES</t>
        </is>
      </c>
      <c r="E951" s="7" t="inlineStr">
        <is>
          <t>C</t>
        </is>
      </c>
      <c r="F951" s="13" t="n">
        <v>4</v>
      </c>
      <c r="G951" s="13" t="n">
        <v>4</v>
      </c>
      <c r="H951" s="8" t="n">
        <v>24.94</v>
      </c>
      <c r="I951" s="8" t="n">
        <v>24.94</v>
      </c>
      <c r="J951" s="8" t="n">
        <v>24.94</v>
      </c>
      <c r="K951" s="8" t="n"/>
      <c r="L951" s="8" t="n"/>
      <c r="M951" s="8" t="n"/>
      <c r="N951" s="8" t="n"/>
      <c r="O951" s="8" t="n"/>
      <c r="P951" s="8" t="n"/>
      <c r="Q951" s="8" t="n"/>
      <c r="R951" s="8" t="n"/>
      <c r="S951" s="8" t="n"/>
      <c r="T951" s="7" t="inlineStr">
        <is>
          <t>SEM COTAÇÃO</t>
        </is>
      </c>
      <c r="U951" s="8" t="n"/>
      <c r="V951" s="14" t="n"/>
      <c r="W951" s="14" t="n"/>
      <c r="X951" s="7" t="inlineStr"/>
      <c r="Y951" s="7" t="inlineStr"/>
    </row>
    <row r="952">
      <c r="A952" s="7" t="n">
        <v>230641</v>
      </c>
      <c r="B952" s="12" t="inlineStr"/>
      <c r="C952" s="7" t="inlineStr">
        <is>
          <t>COMBODART 0,5+0,4MG CX 30 CAP</t>
        </is>
      </c>
      <c r="D952" s="7" t="inlineStr">
        <is>
          <t>RX</t>
        </is>
      </c>
      <c r="E952" s="7" t="inlineStr">
        <is>
          <t>A</t>
        </is>
      </c>
      <c r="F952" s="13" t="n">
        <v>2</v>
      </c>
      <c r="G952" s="13" t="n">
        <v>2</v>
      </c>
      <c r="H952" s="8" t="n">
        <v>114.14</v>
      </c>
      <c r="I952" s="8" t="n">
        <v>96.75</v>
      </c>
      <c r="J952" s="8" t="n">
        <v>102.91</v>
      </c>
      <c r="K952" s="8" t="n"/>
      <c r="L952" s="8" t="n"/>
      <c r="M952" s="8" t="n"/>
      <c r="N952" s="8" t="n"/>
      <c r="O952" s="8" t="n"/>
      <c r="P952" s="8" t="n"/>
      <c r="Q952" s="8" t="n"/>
      <c r="R952" s="8" t="n"/>
      <c r="S952" s="8" t="n"/>
      <c r="T952" s="7" t="inlineStr">
        <is>
          <t>SEM COTAÇÃO</t>
        </is>
      </c>
      <c r="U952" s="8" t="n"/>
      <c r="V952" s="14" t="n"/>
      <c r="W952" s="14" t="n"/>
      <c r="X952" s="7" t="inlineStr"/>
      <c r="Y952" s="7" t="inlineStr"/>
    </row>
    <row r="953">
      <c r="A953" s="7" t="n">
        <v>4043</v>
      </c>
      <c r="B953" s="12" t="inlineStr">
        <is>
          <t>7899620914124</t>
        </is>
      </c>
      <c r="C953" s="7" t="inlineStr">
        <is>
          <t>COMPLEXIMED B C/50 CPR</t>
        </is>
      </c>
      <c r="D953" s="7" t="inlineStr">
        <is>
          <t>SIMILAR</t>
        </is>
      </c>
      <c r="E953" s="7" t="inlineStr">
        <is>
          <t>C</t>
        </is>
      </c>
      <c r="F953" s="13" t="n">
        <v>3</v>
      </c>
      <c r="G953" s="13" t="n">
        <v>3</v>
      </c>
      <c r="H953" s="8" t="n">
        <v>5.99</v>
      </c>
      <c r="I953" s="8" t="n">
        <v>5.99</v>
      </c>
      <c r="J953" s="8" t="n">
        <v>5.989999999999999</v>
      </c>
      <c r="K953" s="8" t="n"/>
      <c r="L953" s="8" t="n"/>
      <c r="M953" s="8" t="n"/>
      <c r="N953" s="8" t="n"/>
      <c r="O953" s="8" t="n"/>
      <c r="P953" s="8" t="n"/>
      <c r="Q953" s="8" t="n"/>
      <c r="R953" s="8" t="n"/>
      <c r="S953" s="8" t="n"/>
      <c r="T953" s="7" t="inlineStr">
        <is>
          <t>SEM COTAÇÃO</t>
        </is>
      </c>
      <c r="U953" s="8" t="n"/>
      <c r="V953" s="14" t="n"/>
      <c r="W953" s="14" t="n"/>
      <c r="X953" s="7" t="inlineStr"/>
      <c r="Y953" s="7" t="inlineStr"/>
    </row>
    <row r="954">
      <c r="A954" s="7" t="n">
        <v>641601</v>
      </c>
      <c r="B954" s="12" t="inlineStr"/>
      <c r="C954" s="7" t="inlineStr">
        <is>
          <t>COMPLEXO ALMEIDA PRADO 46 C/60 COMP-OUTROS</t>
        </is>
      </c>
      <c r="D954" s="7" t="inlineStr">
        <is>
          <t>RX - OTC</t>
        </is>
      </c>
      <c r="E954" s="7" t="inlineStr">
        <is>
          <t>A</t>
        </is>
      </c>
      <c r="F954" s="13" t="n">
        <v>1</v>
      </c>
      <c r="G954" s="13" t="n">
        <v>1</v>
      </c>
      <c r="H954" s="8" t="n">
        <v>28.5</v>
      </c>
      <c r="I954" s="8" t="n">
        <v>23.04</v>
      </c>
      <c r="J954" s="8" t="n">
        <v>24.69166666666666</v>
      </c>
      <c r="K954" s="8" t="n"/>
      <c r="L954" s="8" t="n"/>
      <c r="M954" s="8" t="n"/>
      <c r="N954" s="8" t="n"/>
      <c r="O954" s="8" t="n"/>
      <c r="P954" s="8" t="n"/>
      <c r="Q954" s="8" t="n"/>
      <c r="R954" s="8" t="n"/>
      <c r="S954" s="8" t="n"/>
      <c r="T954" s="7" t="inlineStr">
        <is>
          <t>SEM COTAÇÃO</t>
        </is>
      </c>
      <c r="U954" s="8" t="n"/>
      <c r="V954" s="14" t="n"/>
      <c r="W954" s="14" t="n"/>
      <c r="X954" s="7" t="inlineStr"/>
      <c r="Y954" s="7" t="inlineStr"/>
    </row>
    <row r="955">
      <c r="A955" s="7" t="n">
        <v>654941</v>
      </c>
      <c r="B955" s="12" t="inlineStr">
        <is>
          <t>7908475808226</t>
        </is>
      </c>
      <c r="C955" s="7" t="inlineStr">
        <is>
          <t>COMPLEXO B 30 CAPS</t>
        </is>
      </c>
      <c r="D955" s="7" t="inlineStr">
        <is>
          <t>VITAMINA E SIMILARES</t>
        </is>
      </c>
      <c r="E955" s="7" t="inlineStr">
        <is>
          <t>C</t>
        </is>
      </c>
      <c r="F955" s="13" t="n">
        <v>3</v>
      </c>
      <c r="G955" s="13" t="n">
        <v>3</v>
      </c>
      <c r="H955" s="8" t="n">
        <v>12.72</v>
      </c>
      <c r="I955" s="8" t="n">
        <v>12.72</v>
      </c>
      <c r="J955" s="8" t="n">
        <v>12.72</v>
      </c>
      <c r="K955" s="8" t="n"/>
      <c r="L955" s="8" t="n"/>
      <c r="M955" s="8" t="n"/>
      <c r="N955" s="8" t="n"/>
      <c r="O955" s="8" t="n"/>
      <c r="P955" s="8" t="n"/>
      <c r="Q955" s="8" t="n"/>
      <c r="R955" s="8" t="n"/>
      <c r="S955" s="8" t="n"/>
      <c r="T955" s="7" t="inlineStr">
        <is>
          <t>SEM COTAÇÃO</t>
        </is>
      </c>
      <c r="U955" s="8" t="n"/>
      <c r="V955" s="14" t="n"/>
      <c r="W955" s="14" t="n"/>
      <c r="X955" s="7" t="inlineStr"/>
      <c r="Y955" s="7" t="inlineStr"/>
    </row>
    <row r="956">
      <c r="A956" s="7" t="n">
        <v>660931</v>
      </c>
      <c r="B956" s="12" t="inlineStr">
        <is>
          <t>7908041911404</t>
        </is>
      </c>
      <c r="C956" s="7" t="inlineStr">
        <is>
          <t>COMPLEXO B 500MG 60 CAPS CX/15 - FLORA NATIVA</t>
        </is>
      </c>
      <c r="D956" s="7" t="inlineStr">
        <is>
          <t>VITAMINA E SIMILARES</t>
        </is>
      </c>
      <c r="E956" s="7" t="inlineStr">
        <is>
          <t>B</t>
        </is>
      </c>
      <c r="F956" s="13" t="n">
        <v>4</v>
      </c>
      <c r="G956" s="13" t="n">
        <v>4</v>
      </c>
      <c r="H956" s="8" t="n">
        <v>17.15</v>
      </c>
      <c r="I956" s="8" t="n">
        <v>17.15</v>
      </c>
      <c r="J956" s="8" t="n">
        <v>17.15</v>
      </c>
      <c r="K956" s="8" t="n"/>
      <c r="L956" s="8" t="n"/>
      <c r="M956" s="8" t="n"/>
      <c r="N956" s="8" t="n"/>
      <c r="O956" s="8" t="n"/>
      <c r="P956" s="8" t="n"/>
      <c r="Q956" s="8" t="n"/>
      <c r="R956" s="8" t="n"/>
      <c r="S956" s="8" t="n"/>
      <c r="T956" s="7" t="inlineStr">
        <is>
          <t>SEM COTAÇÃO</t>
        </is>
      </c>
      <c r="U956" s="8" t="n"/>
      <c r="V956" s="14" t="n"/>
      <c r="W956" s="14" t="n"/>
      <c r="X956" s="7" t="inlineStr"/>
      <c r="Y956" s="7" t="inlineStr"/>
    </row>
    <row r="957">
      <c r="A957" s="7" t="n">
        <v>661121</v>
      </c>
      <c r="B957" s="12" t="inlineStr">
        <is>
          <t>7897146650021</t>
        </is>
      </c>
      <c r="C957" s="7" t="inlineStr">
        <is>
          <t>COMPLEXO B C/100 CPR.</t>
        </is>
      </c>
      <c r="D957" s="7" t="inlineStr">
        <is>
          <t>VITAMINA E SIMILARES</t>
        </is>
      </c>
      <c r="E957" s="7" t="inlineStr">
        <is>
          <t>C</t>
        </is>
      </c>
      <c r="F957" s="13" t="n">
        <v>1</v>
      </c>
      <c r="G957" s="13" t="n">
        <v>1</v>
      </c>
      <c r="H957" s="8" t="n">
        <v>7.97</v>
      </c>
      <c r="I957" s="8" t="n">
        <v>7.97</v>
      </c>
      <c r="J957" s="8" t="n">
        <v>7.97</v>
      </c>
      <c r="K957" s="15" t="n">
        <v>7.97</v>
      </c>
      <c r="L957" s="8" t="n"/>
      <c r="M957" s="8" t="n"/>
      <c r="N957" s="8" t="n"/>
      <c r="O957" s="8" t="n"/>
      <c r="P957" s="8" t="n"/>
      <c r="Q957" s="8" t="n"/>
      <c r="R957" s="8" t="n"/>
      <c r="S957" s="8" t="n"/>
      <c r="T957" s="7" t="inlineStr">
        <is>
          <t>DIMEC</t>
        </is>
      </c>
      <c r="U957" s="8" t="n">
        <v>7.97</v>
      </c>
      <c r="V957" s="14">
        <f>U957/J957-1</f>
        <v/>
      </c>
      <c r="W957" s="14">
        <f>U957/H957-1</f>
        <v/>
      </c>
      <c r="X957" s="17" t="inlineStr">
        <is>
          <t>OK (≤ menor hist.)</t>
        </is>
      </c>
      <c r="Y957" s="7" t="inlineStr"/>
    </row>
    <row r="958">
      <c r="A958" s="7" t="n">
        <v>608751</v>
      </c>
      <c r="B958" s="12" t="inlineStr">
        <is>
          <t>7897146600200</t>
        </is>
      </c>
      <c r="C958" s="7" t="inlineStr">
        <is>
          <t>COMPLEXO B C/30 CPR</t>
        </is>
      </c>
      <c r="D958" s="7" t="inlineStr">
        <is>
          <t>SIMILAR</t>
        </is>
      </c>
      <c r="E958" s="7" t="inlineStr">
        <is>
          <t>C</t>
        </is>
      </c>
      <c r="F958" s="13" t="n">
        <v>1</v>
      </c>
      <c r="G958" s="13" t="n">
        <v>1</v>
      </c>
      <c r="H958" s="8" t="n">
        <v>3.38</v>
      </c>
      <c r="I958" s="8" t="n">
        <v>3.38</v>
      </c>
      <c r="J958" s="8" t="n">
        <v>3.38</v>
      </c>
      <c r="K958" s="15" t="n">
        <v>3.38</v>
      </c>
      <c r="L958" s="8" t="n"/>
      <c r="M958" s="8" t="n"/>
      <c r="N958" s="8" t="n"/>
      <c r="O958" s="8" t="n"/>
      <c r="P958" s="8" t="n"/>
      <c r="Q958" s="8" t="n"/>
      <c r="R958" s="8" t="n"/>
      <c r="S958" s="8" t="n"/>
      <c r="T958" s="7" t="inlineStr">
        <is>
          <t>DIMEC</t>
        </is>
      </c>
      <c r="U958" s="8" t="n">
        <v>3.38</v>
      </c>
      <c r="V958" s="14">
        <f>U958/J958-1</f>
        <v/>
      </c>
      <c r="W958" s="14">
        <f>U958/H958-1</f>
        <v/>
      </c>
      <c r="X958" s="17" t="inlineStr">
        <is>
          <t>OK (≤ menor hist.)</t>
        </is>
      </c>
      <c r="Y958" s="7" t="inlineStr"/>
    </row>
    <row r="959">
      <c r="A959" s="7" t="n">
        <v>602191</v>
      </c>
      <c r="B959" s="12" t="inlineStr">
        <is>
          <t>7898277713258</t>
        </is>
      </c>
      <c r="C959" s="7" t="inlineStr">
        <is>
          <t>COMPLEXO B C/50 COMP REV (ARTE NATIVA)</t>
        </is>
      </c>
      <c r="D959" s="7" t="inlineStr">
        <is>
          <t>SIMILAR</t>
        </is>
      </c>
      <c r="E959" s="7" t="inlineStr">
        <is>
          <t>C</t>
        </is>
      </c>
      <c r="F959" s="13" t="n">
        <v>5</v>
      </c>
      <c r="G959" s="13" t="n">
        <v>5</v>
      </c>
      <c r="H959" s="8" t="n">
        <v>5.75</v>
      </c>
      <c r="I959" s="8" t="n">
        <v>5.75</v>
      </c>
      <c r="J959" s="8" t="n">
        <v>5.75</v>
      </c>
      <c r="K959" s="8" t="n">
        <v>5.82</v>
      </c>
      <c r="L959" s="8" t="n"/>
      <c r="M959" s="8" t="n"/>
      <c r="N959" s="15" t="n">
        <v>5.68</v>
      </c>
      <c r="O959" s="8" t="n"/>
      <c r="P959" s="8" t="n"/>
      <c r="Q959" s="8" t="n">
        <v>6.82</v>
      </c>
      <c r="R959" s="8" t="n"/>
      <c r="S959" s="8" t="n"/>
      <c r="T959" s="7" t="inlineStr">
        <is>
          <t>CENTROFARMA</t>
        </is>
      </c>
      <c r="U959" s="8" t="n">
        <v>5.68</v>
      </c>
      <c r="V959" s="14">
        <f>U959/J959-1</f>
        <v/>
      </c>
      <c r="W959" s="14">
        <f>U959/H959-1</f>
        <v/>
      </c>
      <c r="X959" s="17" t="inlineStr">
        <is>
          <t>OK (≤ menor hist.)</t>
        </is>
      </c>
      <c r="Y959" s="7" t="inlineStr"/>
    </row>
    <row r="960">
      <c r="A960" s="7" t="n">
        <v>592581</v>
      </c>
      <c r="B960" s="12" t="inlineStr">
        <is>
          <t>7897146600064</t>
        </is>
      </c>
      <c r="C960" s="7" t="inlineStr">
        <is>
          <t>COMPLEXO B C/50 CPR</t>
        </is>
      </c>
      <c r="D960" s="7" t="inlineStr">
        <is>
          <t>SIMILAR</t>
        </is>
      </c>
      <c r="E960" s="7" t="inlineStr">
        <is>
          <t>A</t>
        </is>
      </c>
      <c r="F960" s="13" t="n">
        <v>4</v>
      </c>
      <c r="G960" s="13" t="n">
        <v>4</v>
      </c>
      <c r="H960" s="8" t="n">
        <v>5</v>
      </c>
      <c r="I960" s="8" t="n">
        <v>5</v>
      </c>
      <c r="J960" s="8" t="n">
        <v>5</v>
      </c>
      <c r="K960" s="15" t="n">
        <v>5</v>
      </c>
      <c r="L960" s="8" t="n"/>
      <c r="M960" s="8" t="n"/>
      <c r="N960" s="8" t="n"/>
      <c r="O960" s="8" t="n"/>
      <c r="P960" s="8" t="n"/>
      <c r="Q960" s="8" t="n"/>
      <c r="R960" s="8" t="n"/>
      <c r="S960" s="8" t="n"/>
      <c r="T960" s="7" t="inlineStr">
        <is>
          <t>DIMEC</t>
        </is>
      </c>
      <c r="U960" s="8" t="n">
        <v>5</v>
      </c>
      <c r="V960" s="14">
        <f>U960/J960-1</f>
        <v/>
      </c>
      <c r="W960" s="14">
        <f>U960/H960-1</f>
        <v/>
      </c>
      <c r="X960" s="17" t="inlineStr">
        <is>
          <t>OK (≤ menor hist.)</t>
        </is>
      </c>
      <c r="Y960" s="7" t="inlineStr"/>
    </row>
    <row r="961">
      <c r="A961" s="7" t="n">
        <v>541341</v>
      </c>
      <c r="B961" s="12" t="inlineStr">
        <is>
          <t>7898964832156</t>
        </is>
      </c>
      <c r="C961" s="7" t="inlineStr">
        <is>
          <t>COMPLEXO B C/60COMP.</t>
        </is>
      </c>
      <c r="D961" s="7" t="inlineStr">
        <is>
          <t>SIMILAR</t>
        </is>
      </c>
      <c r="E961" s="7" t="inlineStr">
        <is>
          <t>C</t>
        </is>
      </c>
      <c r="F961" s="13" t="n">
        <v>10</v>
      </c>
      <c r="G961" s="13" t="n">
        <v>10</v>
      </c>
      <c r="H961" s="8" t="n">
        <v>5.24</v>
      </c>
      <c r="I961" s="8" t="n">
        <v>5.13</v>
      </c>
      <c r="J961" s="8" t="n">
        <v>5.203333333333333</v>
      </c>
      <c r="K961" s="15" t="n">
        <v>5.24</v>
      </c>
      <c r="L961" s="8" t="n"/>
      <c r="M961" s="8" t="n"/>
      <c r="N961" s="8" t="n">
        <v>5.57</v>
      </c>
      <c r="O961" s="8" t="n"/>
      <c r="P961" s="8" t="n"/>
      <c r="Q961" s="8" t="n"/>
      <c r="R961" s="8" t="n"/>
      <c r="S961" s="8" t="n"/>
      <c r="T961" s="7" t="inlineStr">
        <is>
          <t>DIMEC</t>
        </is>
      </c>
      <c r="U961" s="8" t="n">
        <v>5.24</v>
      </c>
      <c r="V961" s="14">
        <f>U961/J961-1</f>
        <v/>
      </c>
      <c r="W961" s="14">
        <f>U961/H961-1</f>
        <v/>
      </c>
      <c r="X961" s="17" t="inlineStr">
        <is>
          <t>OK (≤ últ. compra)</t>
        </is>
      </c>
      <c r="Y961" s="7" t="inlineStr"/>
    </row>
    <row r="962">
      <c r="A962" s="7" t="n">
        <v>581021</v>
      </c>
      <c r="B962" s="12" t="inlineStr">
        <is>
          <t>7898277713333</t>
        </is>
      </c>
      <c r="C962" s="7" t="inlineStr">
        <is>
          <t>COMPLEXO B SOL ORAL 100ML (POLIVITAMINAS</t>
        </is>
      </c>
      <c r="D962" s="7" t="inlineStr">
        <is>
          <t>SIMILAR</t>
        </is>
      </c>
      <c r="E962" s="7" t="inlineStr">
        <is>
          <t>C</t>
        </is>
      </c>
      <c r="F962" s="13" t="n">
        <v>3</v>
      </c>
      <c r="G962" s="13" t="n">
        <v>3</v>
      </c>
      <c r="H962" s="8" t="n">
        <v>3.9</v>
      </c>
      <c r="I962" s="8" t="n">
        <v>3.9</v>
      </c>
      <c r="J962" s="8" t="n">
        <v>3.9</v>
      </c>
      <c r="K962" s="15" t="n">
        <v>3.9</v>
      </c>
      <c r="L962" s="8" t="n"/>
      <c r="M962" s="8" t="n"/>
      <c r="N962" s="8" t="n">
        <v>4.16</v>
      </c>
      <c r="O962" s="8" t="n"/>
      <c r="P962" s="8" t="n"/>
      <c r="Q962" s="8" t="n">
        <v>4.77</v>
      </c>
      <c r="R962" s="8" t="n"/>
      <c r="S962" s="8" t="n"/>
      <c r="T962" s="7" t="inlineStr">
        <is>
          <t>DIMEC</t>
        </is>
      </c>
      <c r="U962" s="8" t="n">
        <v>3.9</v>
      </c>
      <c r="V962" s="14">
        <f>U962/J962-1</f>
        <v/>
      </c>
      <c r="W962" s="14">
        <f>U962/H962-1</f>
        <v/>
      </c>
      <c r="X962" s="17" t="inlineStr">
        <is>
          <t>OK (≤ menor hist.)</t>
        </is>
      </c>
      <c r="Y962" s="7" t="inlineStr"/>
    </row>
    <row r="963">
      <c r="A963" s="7" t="n">
        <v>654461</v>
      </c>
      <c r="B963" s="12" t="inlineStr">
        <is>
          <t>7898724830385</t>
        </is>
      </c>
      <c r="C963" s="7" t="inlineStr">
        <is>
          <t>COMPLEXO B SUPLEMENTO VITAMINI COM 60CP</t>
        </is>
      </c>
      <c r="D963" s="7" t="inlineStr">
        <is>
          <t>VITAMINA E SIMILARES</t>
        </is>
      </c>
      <c r="E963" s="7" t="inlineStr">
        <is>
          <t>C</t>
        </is>
      </c>
      <c r="F963" s="13" t="n">
        <v>1</v>
      </c>
      <c r="G963" s="13" t="n">
        <v>1</v>
      </c>
      <c r="H963" s="8" t="n">
        <v>15.92</v>
      </c>
      <c r="I963" s="8" t="n">
        <v>15.92</v>
      </c>
      <c r="J963" s="8" t="n">
        <v>15.92</v>
      </c>
      <c r="K963" s="8" t="n"/>
      <c r="L963" s="8" t="n"/>
      <c r="M963" s="8" t="n"/>
      <c r="N963" s="8" t="n"/>
      <c r="O963" s="8" t="n"/>
      <c r="P963" s="8" t="n"/>
      <c r="Q963" s="8" t="n"/>
      <c r="R963" s="8" t="n"/>
      <c r="S963" s="8" t="n"/>
      <c r="T963" s="7" t="inlineStr">
        <is>
          <t>SEM COTAÇÃO</t>
        </is>
      </c>
      <c r="U963" s="8" t="n"/>
      <c r="V963" s="14" t="n"/>
      <c r="W963" s="14" t="n"/>
      <c r="X963" s="7" t="inlineStr"/>
      <c r="Y963" s="7" t="inlineStr"/>
    </row>
    <row r="964">
      <c r="A964" s="7" t="n">
        <v>579141</v>
      </c>
      <c r="B964" s="12" t="inlineStr"/>
      <c r="C964" s="7" t="inlineStr">
        <is>
          <t>COMPRESSA DE GAZE LIVIA 13 FIOS 2 7,5X7,5CM C/10 UND</t>
        </is>
      </c>
      <c r="D964" s="7" t="inlineStr">
        <is>
          <t>CURATIVO</t>
        </is>
      </c>
      <c r="E964" s="7" t="inlineStr">
        <is>
          <t>C</t>
        </is>
      </c>
      <c r="F964" s="13" t="n">
        <v>3</v>
      </c>
      <c r="G964" s="13" t="n">
        <v>3</v>
      </c>
      <c r="H964" s="8" t="n"/>
      <c r="I964" s="8" t="n"/>
      <c r="J964" s="8" t="n"/>
      <c r="K964" s="8" t="n"/>
      <c r="L964" s="8" t="n"/>
      <c r="M964" s="8" t="n"/>
      <c r="N964" s="8" t="n"/>
      <c r="O964" s="8" t="n"/>
      <c r="P964" s="8" t="n"/>
      <c r="Q964" s="8" t="n"/>
      <c r="R964" s="8" t="n"/>
      <c r="S964" s="8" t="n"/>
      <c r="T964" s="7" t="inlineStr">
        <is>
          <t>SEM COTAÇÃO</t>
        </is>
      </c>
      <c r="U964" s="8" t="n"/>
      <c r="V964" s="14" t="n"/>
      <c r="W964" s="14" t="n"/>
      <c r="X964" s="7" t="inlineStr"/>
      <c r="Y964" s="7" t="inlineStr"/>
    </row>
    <row r="965">
      <c r="A965" s="7" t="n">
        <v>553801</v>
      </c>
      <c r="B965" s="12" t="inlineStr"/>
      <c r="C965" s="7" t="inlineStr">
        <is>
          <t>COMPRESSA GAZE 11 FIOS C/10 UN HERIKA</t>
        </is>
      </c>
      <c r="D965" s="7" t="inlineStr">
        <is>
          <t>UTENSILIOS</t>
        </is>
      </c>
      <c r="E965" s="7" t="inlineStr">
        <is>
          <t>C</t>
        </is>
      </c>
      <c r="F965" s="13" t="n">
        <v>31</v>
      </c>
      <c r="G965" s="13" t="n">
        <v>31</v>
      </c>
      <c r="H965" s="8" t="n">
        <v>0.65</v>
      </c>
      <c r="I965" s="8" t="n">
        <v>0.65</v>
      </c>
      <c r="J965" s="8" t="n">
        <v>0.65</v>
      </c>
      <c r="K965" s="8" t="n"/>
      <c r="L965" s="8" t="n"/>
      <c r="M965" s="8" t="n"/>
      <c r="N965" s="8" t="n"/>
      <c r="O965" s="8" t="n"/>
      <c r="P965" s="8" t="n"/>
      <c r="Q965" s="8" t="n"/>
      <c r="R965" s="8" t="n"/>
      <c r="S965" s="8" t="n"/>
      <c r="T965" s="7" t="inlineStr">
        <is>
          <t>SEM COTAÇÃO</t>
        </is>
      </c>
      <c r="U965" s="8" t="n"/>
      <c r="V965" s="14" t="n"/>
      <c r="W965" s="14" t="n"/>
      <c r="X965" s="7" t="inlineStr"/>
      <c r="Y965" s="7" t="inlineStr"/>
    </row>
    <row r="966">
      <c r="A966" s="7" t="n">
        <v>603891</v>
      </c>
      <c r="B966" s="12" t="inlineStr">
        <is>
          <t>7898108641682</t>
        </is>
      </c>
      <c r="C966" s="7" t="inlineStr">
        <is>
          <t>COMPRESSA GAZE 11 FIOS C/10 UN M12</t>
        </is>
      </c>
      <c r="D966" s="7" t="inlineStr">
        <is>
          <t>CURATIVO</t>
        </is>
      </c>
      <c r="E966" s="7" t="inlineStr">
        <is>
          <t>C</t>
        </is>
      </c>
      <c r="F966" s="13" t="n">
        <v>1</v>
      </c>
      <c r="G966" s="13" t="n">
        <v>1</v>
      </c>
      <c r="H966" s="8" t="n">
        <v>0.7379</v>
      </c>
      <c r="I966" s="8" t="n">
        <v>0.7379</v>
      </c>
      <c r="J966" s="8" t="n">
        <v>0.7379000000000001</v>
      </c>
      <c r="K966" s="8" t="n"/>
      <c r="L966" s="8" t="n"/>
      <c r="M966" s="8" t="n"/>
      <c r="N966" s="8" t="n"/>
      <c r="O966" s="8" t="n"/>
      <c r="P966" s="8" t="n">
        <v>0.7125</v>
      </c>
      <c r="Q966" s="8" t="n"/>
      <c r="R966" s="8" t="n"/>
      <c r="S966" s="8" t="n"/>
      <c r="T966" s="7" t="inlineStr">
        <is>
          <t>SEM COTAÇÃO</t>
        </is>
      </c>
      <c r="U966" s="8" t="n"/>
      <c r="V966" s="14" t="n"/>
      <c r="W966" s="14" t="n"/>
      <c r="X966" s="7" t="inlineStr"/>
      <c r="Y966" s="7" t="inlineStr">
        <is>
          <t>NAZARIA: sem estoque</t>
        </is>
      </c>
    </row>
    <row r="967">
      <c r="A967" s="7" t="n">
        <v>556101</v>
      </c>
      <c r="B967" s="12" t="inlineStr">
        <is>
          <t>7898668060152</t>
        </is>
      </c>
      <c r="C967" s="7" t="inlineStr">
        <is>
          <t>COMPRESSA GAZE 11 FIOS C/10 UND LIVIA</t>
        </is>
      </c>
      <c r="D967" s="7" t="inlineStr">
        <is>
          <t>CURATIVO</t>
        </is>
      </c>
      <c r="E967" s="7" t="inlineStr">
        <is>
          <t>A</t>
        </is>
      </c>
      <c r="F967" s="13" t="n">
        <v>347</v>
      </c>
      <c r="G967" s="13" t="n">
        <v>347</v>
      </c>
      <c r="H967" s="8" t="n">
        <v>0.55</v>
      </c>
      <c r="I967" s="8" t="n">
        <v>0.1</v>
      </c>
      <c r="J967" s="8" t="n">
        <v>0.4000000000000001</v>
      </c>
      <c r="K967" s="15" t="n">
        <v>0.55</v>
      </c>
      <c r="L967" s="8" t="n"/>
      <c r="M967" s="8" t="n"/>
      <c r="N967" s="8" t="n"/>
      <c r="O967" s="8" t="n"/>
      <c r="P967" s="8" t="n"/>
      <c r="Q967" s="8" t="n"/>
      <c r="R967" s="8" t="n"/>
      <c r="S967" s="8" t="n"/>
      <c r="T967" s="7" t="inlineStr">
        <is>
          <t>DIMEC</t>
        </is>
      </c>
      <c r="U967" s="8" t="n">
        <v>0.55</v>
      </c>
      <c r="V967" s="14">
        <f>U967/J967-1</f>
        <v/>
      </c>
      <c r="W967" s="14">
        <f>U967/H967-1</f>
        <v/>
      </c>
      <c r="X967" s="17" t="inlineStr">
        <is>
          <t>OK (≤ últ. compra)</t>
        </is>
      </c>
      <c r="Y967" s="7" t="inlineStr"/>
    </row>
    <row r="968">
      <c r="A968" s="7" t="n">
        <v>560141</v>
      </c>
      <c r="B968" s="12" t="inlineStr">
        <is>
          <t>7898488470384</t>
        </is>
      </c>
      <c r="C968" s="7" t="inlineStr">
        <is>
          <t>COMPRESSA GAZE 13 FIOS C/10 UN HERIKA</t>
        </is>
      </c>
      <c r="D968" s="7" t="inlineStr">
        <is>
          <t>CURATIVO</t>
        </is>
      </c>
      <c r="E968" s="7" t="inlineStr">
        <is>
          <t>A</t>
        </is>
      </c>
      <c r="F968" s="13" t="n">
        <v>527</v>
      </c>
      <c r="G968" s="13" t="n">
        <v>527</v>
      </c>
      <c r="H968" s="8" t="n">
        <v>0.6899999999999999</v>
      </c>
      <c r="I968" s="8" t="n">
        <v>0.6899999999999999</v>
      </c>
      <c r="J968" s="8" t="n">
        <v>0.6899999999999999</v>
      </c>
      <c r="K968" s="8" t="n"/>
      <c r="L968" s="8" t="n"/>
      <c r="M968" s="8" t="n"/>
      <c r="N968" s="8" t="n"/>
      <c r="O968" s="8" t="n"/>
      <c r="P968" s="8" t="n"/>
      <c r="Q968" s="8" t="n"/>
      <c r="R968" s="8" t="n"/>
      <c r="S968" s="8" t="n"/>
      <c r="T968" s="7" t="inlineStr">
        <is>
          <t>SEM COTAÇÃO</t>
        </is>
      </c>
      <c r="U968" s="8" t="n"/>
      <c r="V968" s="14" t="n"/>
      <c r="W968" s="14" t="n"/>
      <c r="X968" s="7" t="inlineStr"/>
      <c r="Y968" s="7" t="inlineStr"/>
    </row>
    <row r="969">
      <c r="A969" s="7" t="n">
        <v>593361</v>
      </c>
      <c r="B969" s="12" t="inlineStr">
        <is>
          <t>7898933598168</t>
        </is>
      </c>
      <c r="C969" s="7" t="inlineStr">
        <is>
          <t>COMPRESSA GAZE 13 FIOS C/10 UN TEXPHARMA</t>
        </is>
      </c>
      <c r="D969" s="7" t="inlineStr">
        <is>
          <t>CURATIVO</t>
        </is>
      </c>
      <c r="E969" s="7" t="inlineStr">
        <is>
          <t>C</t>
        </is>
      </c>
      <c r="F969" s="13" t="n">
        <v>144</v>
      </c>
      <c r="G969" s="13" t="n">
        <v>144</v>
      </c>
      <c r="H969" s="8" t="n">
        <v>0.1</v>
      </c>
      <c r="I969" s="8" t="n">
        <v>0.1</v>
      </c>
      <c r="J969" s="8" t="n">
        <v>0.1</v>
      </c>
      <c r="K969" s="15" t="n">
        <v>0.59</v>
      </c>
      <c r="L969" s="8" t="n"/>
      <c r="M969" s="8" t="n"/>
      <c r="N969" s="8" t="n"/>
      <c r="O969" s="8" t="n"/>
      <c r="P969" s="8" t="n"/>
      <c r="Q969" s="8" t="n"/>
      <c r="R969" s="8" t="n"/>
      <c r="S969" s="8" t="n"/>
      <c r="T969" s="7" t="inlineStr">
        <is>
          <t>DIMEC</t>
        </is>
      </c>
      <c r="U969" s="8" t="n">
        <v>0.59</v>
      </c>
      <c r="V969" s="14">
        <f>U969/J969-1</f>
        <v/>
      </c>
      <c r="W969" s="14">
        <f>U969/H969-1</f>
        <v/>
      </c>
      <c r="X969" s="16" t="inlineStr">
        <is>
          <t>ACIMA +490.0%</t>
        </is>
      </c>
      <c r="Y969" s="7" t="inlineStr">
        <is>
          <t>DIMEC: conferir emb.</t>
        </is>
      </c>
    </row>
    <row r="970">
      <c r="A970" s="7" t="n">
        <v>538361</v>
      </c>
      <c r="B970" s="12" t="inlineStr">
        <is>
          <t>7898668060190</t>
        </is>
      </c>
      <c r="C970" s="7" t="inlineStr">
        <is>
          <t>COMPRESSA GAZE 13 FIOS C/10 UND LIVIA</t>
        </is>
      </c>
      <c r="D970" s="7" t="inlineStr">
        <is>
          <t>UTENSILIOS</t>
        </is>
      </c>
      <c r="E970" s="7" t="inlineStr">
        <is>
          <t>A</t>
        </is>
      </c>
      <c r="F970" s="13" t="n">
        <v>368</v>
      </c>
      <c r="G970" s="13" t="n">
        <v>368</v>
      </c>
      <c r="H970" s="8" t="n">
        <v>0.58</v>
      </c>
      <c r="I970" s="8" t="n">
        <v>0.1</v>
      </c>
      <c r="J970" s="8" t="n">
        <v>0.26</v>
      </c>
      <c r="K970" s="15" t="n">
        <v>0.58</v>
      </c>
      <c r="L970" s="8" t="n"/>
      <c r="M970" s="8" t="n"/>
      <c r="N970" s="8" t="n"/>
      <c r="O970" s="8" t="n"/>
      <c r="P970" s="8" t="n"/>
      <c r="Q970" s="8" t="n"/>
      <c r="R970" s="8" t="n"/>
      <c r="S970" s="8" t="n"/>
      <c r="T970" s="7" t="inlineStr">
        <is>
          <t>DIMEC</t>
        </is>
      </c>
      <c r="U970" s="8" t="n">
        <v>0.58</v>
      </c>
      <c r="V970" s="14">
        <f>U970/J970-1</f>
        <v/>
      </c>
      <c r="W970" s="14">
        <f>U970/H970-1</f>
        <v/>
      </c>
      <c r="X970" s="17" t="inlineStr">
        <is>
          <t>OK (≤ últ. compra)</t>
        </is>
      </c>
      <c r="Y970" s="7" t="inlineStr"/>
    </row>
    <row r="971">
      <c r="A971" s="7" t="n">
        <v>648311</v>
      </c>
      <c r="B971" s="12" t="inlineStr">
        <is>
          <t>7898108640104</t>
        </is>
      </c>
      <c r="C971" s="7" t="inlineStr">
        <is>
          <t>COMPRESSA GAZES 11FIOS ESTER 10UN</t>
        </is>
      </c>
      <c r="D971" s="7" t="inlineStr">
        <is>
          <t>CURATIVO</t>
        </is>
      </c>
      <c r="E971" s="7" t="inlineStr">
        <is>
          <t>C</t>
        </is>
      </c>
      <c r="F971" s="13" t="n">
        <v>8</v>
      </c>
      <c r="G971" s="13" t="n">
        <v>8</v>
      </c>
      <c r="H971" s="8" t="n">
        <v>1.1617</v>
      </c>
      <c r="I971" s="8" t="n">
        <v>1.1617</v>
      </c>
      <c r="J971" s="8" t="n">
        <v>1.1617</v>
      </c>
      <c r="K971" s="8" t="n"/>
      <c r="L971" s="8" t="n">
        <v>1.35</v>
      </c>
      <c r="M971" s="8" t="n"/>
      <c r="N971" s="15" t="n">
        <v>0.93</v>
      </c>
      <c r="O971" s="8" t="n"/>
      <c r="P971" s="8" t="n">
        <v>1.1305</v>
      </c>
      <c r="Q971" s="8" t="n">
        <v>1.37</v>
      </c>
      <c r="R971" s="8" t="n"/>
      <c r="S971" s="8" t="n"/>
      <c r="T971" s="7" t="inlineStr">
        <is>
          <t>CENTROFARMA</t>
        </is>
      </c>
      <c r="U971" s="8" t="n">
        <v>0.93</v>
      </c>
      <c r="V971" s="14">
        <f>U971/J971-1</f>
        <v/>
      </c>
      <c r="W971" s="14">
        <f>U971/H971-1</f>
        <v/>
      </c>
      <c r="X971" s="17" t="inlineStr">
        <is>
          <t>OK (≤ menor hist.)</t>
        </is>
      </c>
      <c r="Y971" s="7" t="inlineStr"/>
    </row>
    <row r="972">
      <c r="A972" s="7" t="n">
        <v>92041</v>
      </c>
      <c r="B972" s="12" t="inlineStr">
        <is>
          <t>7898100241279</t>
        </is>
      </c>
      <c r="C972" s="7" t="inlineStr">
        <is>
          <t>CONAZOL 20MG/G CREME BG 20G</t>
        </is>
      </c>
      <c r="D972" s="7" t="inlineStr">
        <is>
          <t>SIMILAR</t>
        </is>
      </c>
      <c r="E972" s="7" t="inlineStr">
        <is>
          <t>C</t>
        </is>
      </c>
      <c r="F972" s="13" t="n">
        <v>7</v>
      </c>
      <c r="G972" s="13" t="n">
        <v>7</v>
      </c>
      <c r="H972" s="8" t="n">
        <v>3.69</v>
      </c>
      <c r="I972" s="8" t="n">
        <v>3.69</v>
      </c>
      <c r="J972" s="8" t="n">
        <v>3.69</v>
      </c>
      <c r="K972" s="8" t="n">
        <v>4.3</v>
      </c>
      <c r="L972" s="8" t="n"/>
      <c r="M972" s="8" t="n"/>
      <c r="N972" s="8" t="n">
        <v>4.59</v>
      </c>
      <c r="O972" s="8" t="n"/>
      <c r="P972" s="8" t="n"/>
      <c r="Q972" s="8" t="n">
        <v>4.35</v>
      </c>
      <c r="R972" s="15" t="n">
        <v>3.86</v>
      </c>
      <c r="S972" s="8" t="n"/>
      <c r="T972" s="7" t="inlineStr">
        <is>
          <t>BRASFARMA</t>
        </is>
      </c>
      <c r="U972" s="8" t="n">
        <v>3.86</v>
      </c>
      <c r="V972" s="14">
        <f>U972/J972-1</f>
        <v/>
      </c>
      <c r="W972" s="14">
        <f>U972/H972-1</f>
        <v/>
      </c>
      <c r="X972" s="16" t="inlineStr">
        <is>
          <t>ACIMA +4.6%</t>
        </is>
      </c>
      <c r="Y972" s="7" t="inlineStr"/>
    </row>
    <row r="973">
      <c r="A973" s="7" t="n">
        <v>540541</v>
      </c>
      <c r="B973" s="12" t="inlineStr">
        <is>
          <t>7891150065314</t>
        </is>
      </c>
      <c r="C973" s="7" t="inlineStr">
        <is>
          <t>COND BABYDOVE HIDRACAO GLICERINADA 200ML</t>
        </is>
      </c>
      <c r="D973" s="7" t="inlineStr">
        <is>
          <t>BABY/KIDS</t>
        </is>
      </c>
      <c r="E973" s="7" t="inlineStr">
        <is>
          <t>C</t>
        </is>
      </c>
      <c r="F973" s="13" t="n">
        <v>1</v>
      </c>
      <c r="G973" s="13" t="n">
        <v>1</v>
      </c>
      <c r="H973" s="8" t="n">
        <v>14.17</v>
      </c>
      <c r="I973" s="8" t="n">
        <v>14.17</v>
      </c>
      <c r="J973" s="8" t="n">
        <v>14.17</v>
      </c>
      <c r="K973" s="8" t="n"/>
      <c r="L973" s="8" t="n"/>
      <c r="M973" s="8" t="n"/>
      <c r="N973" s="8" t="n"/>
      <c r="O973" s="8" t="n"/>
      <c r="P973" s="8" t="n">
        <v>14.9</v>
      </c>
      <c r="Q973" s="8" t="n"/>
      <c r="R973" s="8" t="n"/>
      <c r="S973" s="8" t="n"/>
      <c r="T973" s="7" t="inlineStr">
        <is>
          <t>SEM COTAÇÃO</t>
        </is>
      </c>
      <c r="U973" s="8" t="n"/>
      <c r="V973" s="14" t="n"/>
      <c r="W973" s="14" t="n"/>
      <c r="X973" s="7" t="inlineStr"/>
      <c r="Y973" s="7" t="inlineStr">
        <is>
          <t>NAZARIA: sem estoque</t>
        </is>
      </c>
    </row>
    <row r="974">
      <c r="A974" s="7" t="n">
        <v>672021</v>
      </c>
      <c r="B974" s="12" t="inlineStr">
        <is>
          <t>7908966527117</t>
        </is>
      </c>
      <c r="C974" s="7" t="inlineStr">
        <is>
          <t>COND ELSEVE COLAGENO 200ML-DEMAIS PROD</t>
        </is>
      </c>
      <c r="D974" s="7" t="inlineStr">
        <is>
          <t>COND/SHAM/CREM/SIMILARES</t>
        </is>
      </c>
      <c r="E974" s="7" t="inlineStr">
        <is>
          <t>B</t>
        </is>
      </c>
      <c r="F974" s="13" t="n">
        <v>3</v>
      </c>
      <c r="G974" s="13" t="n">
        <v>3</v>
      </c>
      <c r="H974" s="8" t="n">
        <v>14.63</v>
      </c>
      <c r="I974" s="8" t="n">
        <v>14.05</v>
      </c>
      <c r="J974" s="8" t="n">
        <v>14.43666666666667</v>
      </c>
      <c r="K974" s="8" t="n"/>
      <c r="L974" s="8" t="n"/>
      <c r="M974" s="8" t="n"/>
      <c r="N974" s="8" t="n"/>
      <c r="O974" s="8" t="n"/>
      <c r="P974" s="15" t="n">
        <v>15.42</v>
      </c>
      <c r="Q974" s="8" t="n"/>
      <c r="R974" s="8" t="n"/>
      <c r="S974" s="8" t="n"/>
      <c r="T974" s="7" t="inlineStr">
        <is>
          <t>NAZARIA</t>
        </is>
      </c>
      <c r="U974" s="8" t="n">
        <v>15.42</v>
      </c>
      <c r="V974" s="14">
        <f>U974/J974-1</f>
        <v/>
      </c>
      <c r="W974" s="14">
        <f>U974/H974-1</f>
        <v/>
      </c>
      <c r="X974" s="16" t="inlineStr">
        <is>
          <t>ACIMA +5.4%</t>
        </is>
      </c>
      <c r="Y974" s="7" t="inlineStr"/>
    </row>
    <row r="975">
      <c r="A975" s="7" t="n">
        <v>672031</v>
      </c>
      <c r="B975" s="12" t="inlineStr">
        <is>
          <t>7908966527193</t>
        </is>
      </c>
      <c r="C975" s="7" t="inlineStr">
        <is>
          <t>COND ELSEVE COLAGENO 400ML-DEMAIS PROD</t>
        </is>
      </c>
      <c r="D975" s="7" t="inlineStr">
        <is>
          <t>COND/SHAM/CREM/SIMILARES</t>
        </is>
      </c>
      <c r="E975" s="7" t="inlineStr">
        <is>
          <t>C</t>
        </is>
      </c>
      <c r="F975" s="13" t="n">
        <v>2</v>
      </c>
      <c r="G975" s="13" t="n">
        <v>2</v>
      </c>
      <c r="H975" s="8" t="n">
        <v>25.04</v>
      </c>
      <c r="I975" s="8" t="n">
        <v>25.04</v>
      </c>
      <c r="J975" s="8" t="n">
        <v>25.04</v>
      </c>
      <c r="K975" s="8" t="n"/>
      <c r="L975" s="8" t="n"/>
      <c r="M975" s="8" t="n"/>
      <c r="N975" s="8" t="n"/>
      <c r="O975" s="8" t="n"/>
      <c r="P975" s="15" t="n">
        <v>27.95</v>
      </c>
      <c r="Q975" s="8" t="n"/>
      <c r="R975" s="8" t="n"/>
      <c r="S975" s="8" t="n"/>
      <c r="T975" s="7" t="inlineStr">
        <is>
          <t>NAZARIA</t>
        </is>
      </c>
      <c r="U975" s="8" t="n">
        <v>27.95</v>
      </c>
      <c r="V975" s="14">
        <f>U975/J975-1</f>
        <v/>
      </c>
      <c r="W975" s="14">
        <f>U975/H975-1</f>
        <v/>
      </c>
      <c r="X975" s="16" t="inlineStr">
        <is>
          <t>ACIMA +11.6%</t>
        </is>
      </c>
      <c r="Y975" s="7" t="inlineStr"/>
    </row>
    <row r="976">
      <c r="A976" s="7" t="n">
        <v>656991</v>
      </c>
      <c r="B976" s="12" t="inlineStr">
        <is>
          <t>7908785461654</t>
        </is>
      </c>
      <c r="C976" s="7" t="inlineStr">
        <is>
          <t>COND ELSEVE LI SONHOS 2025 200ML-DEMAIS PROD</t>
        </is>
      </c>
      <c r="D976" s="7" t="inlineStr">
        <is>
          <t>PERF/COSME</t>
        </is>
      </c>
      <c r="E976" s="7" t="inlineStr">
        <is>
          <t>A</t>
        </is>
      </c>
      <c r="F976" s="13" t="n">
        <v>5</v>
      </c>
      <c r="G976" s="13" t="n">
        <v>5</v>
      </c>
      <c r="H976" s="8" t="n">
        <v>14.63</v>
      </c>
      <c r="I976" s="8" t="n">
        <v>11.67</v>
      </c>
      <c r="J976" s="8" t="n">
        <v>13.64333333333333</v>
      </c>
      <c r="K976" s="8" t="n"/>
      <c r="L976" s="8" t="n"/>
      <c r="M976" s="8" t="n"/>
      <c r="N976" s="8" t="n"/>
      <c r="O976" s="8" t="n"/>
      <c r="P976" s="15" t="n">
        <v>15.42</v>
      </c>
      <c r="Q976" s="8" t="n"/>
      <c r="R976" s="8" t="n"/>
      <c r="S976" s="8" t="n"/>
      <c r="T976" s="7" t="inlineStr">
        <is>
          <t>NAZARIA</t>
        </is>
      </c>
      <c r="U976" s="8" t="n">
        <v>15.42</v>
      </c>
      <c r="V976" s="14">
        <f>U976/J976-1</f>
        <v/>
      </c>
      <c r="W976" s="14">
        <f>U976/H976-1</f>
        <v/>
      </c>
      <c r="X976" s="16" t="inlineStr">
        <is>
          <t>ACIMA +5.4%</t>
        </is>
      </c>
      <c r="Y976" s="7" t="inlineStr"/>
    </row>
    <row r="977">
      <c r="A977" s="7" t="n">
        <v>540401</v>
      </c>
      <c r="B977" s="12" t="inlineStr">
        <is>
          <t>7896018700314</t>
        </is>
      </c>
      <c r="C977" s="7" t="inlineStr">
        <is>
          <t>COND HUGGIES EXTRA SUAVE 200ML</t>
        </is>
      </c>
      <c r="D977" s="7" t="inlineStr">
        <is>
          <t>BABY/KIDS</t>
        </is>
      </c>
      <c r="E977" s="7" t="inlineStr">
        <is>
          <t>C</t>
        </is>
      </c>
      <c r="F977" s="13" t="n">
        <v>1</v>
      </c>
      <c r="G977" s="13" t="n">
        <v>1</v>
      </c>
      <c r="H977" s="8" t="n">
        <v>9.56</v>
      </c>
      <c r="I977" s="8" t="n">
        <v>9.56</v>
      </c>
      <c r="J977" s="8" t="n">
        <v>9.56</v>
      </c>
      <c r="K977" s="8" t="n"/>
      <c r="L977" s="8" t="n"/>
      <c r="M977" s="8" t="n"/>
      <c r="N977" s="8" t="n"/>
      <c r="O977" s="8" t="n"/>
      <c r="P977" s="8" t="n">
        <v>15.58</v>
      </c>
      <c r="Q977" s="8" t="n"/>
      <c r="R977" s="8" t="n"/>
      <c r="S977" s="8" t="n"/>
      <c r="T977" s="7" t="inlineStr">
        <is>
          <t>SEM COTAÇÃO</t>
        </is>
      </c>
      <c r="U977" s="8" t="n"/>
      <c r="V977" s="14" t="n"/>
      <c r="W977" s="14" t="n"/>
      <c r="X977" s="7" t="inlineStr"/>
      <c r="Y977" s="7" t="inlineStr">
        <is>
          <t>NAZARIA: sem estoque</t>
        </is>
      </c>
    </row>
    <row r="978">
      <c r="A978" s="7" t="n">
        <v>653351</v>
      </c>
      <c r="B978" s="12" t="inlineStr">
        <is>
          <t>7896279127431</t>
        </is>
      </c>
      <c r="C978" s="7" t="inlineStr">
        <is>
          <t>COND MURIEL UMIDILIZ ALECRIM BABOS 300ML</t>
        </is>
      </c>
      <c r="D978" s="7" t="inlineStr">
        <is>
          <t>BABY/KIDS</t>
        </is>
      </c>
      <c r="E978" s="7" t="inlineStr">
        <is>
          <t>C</t>
        </is>
      </c>
      <c r="F978" s="13" t="n">
        <v>1</v>
      </c>
      <c r="G978" s="13" t="n">
        <v>1</v>
      </c>
      <c r="H978" s="8" t="n">
        <v>15.6</v>
      </c>
      <c r="I978" s="8" t="n">
        <v>15.6</v>
      </c>
      <c r="J978" s="8" t="n">
        <v>15.6</v>
      </c>
      <c r="K978" s="8" t="n"/>
      <c r="L978" s="8" t="n"/>
      <c r="M978" s="8" t="n"/>
      <c r="N978" s="8" t="n"/>
      <c r="O978" s="8" t="n"/>
      <c r="P978" s="8" t="n"/>
      <c r="Q978" s="8" t="n"/>
      <c r="R978" s="8" t="n"/>
      <c r="S978" s="8" t="n"/>
      <c r="T978" s="7" t="inlineStr">
        <is>
          <t>SEM COTAÇÃO</t>
        </is>
      </c>
      <c r="U978" s="8" t="n"/>
      <c r="V978" s="14" t="n"/>
      <c r="W978" s="14" t="n"/>
      <c r="X978" s="7" t="inlineStr"/>
      <c r="Y978" s="7" t="inlineStr"/>
    </row>
    <row r="979">
      <c r="A979" s="7" t="n">
        <v>589351</v>
      </c>
      <c r="B979" s="12" t="inlineStr">
        <is>
          <t>7896229906338</t>
        </is>
      </c>
      <c r="C979" s="7" t="inlineStr">
        <is>
          <t>COND NATU HAIR KIT SOS MANU INT 300ML RICINO</t>
        </is>
      </c>
      <c r="D979" s="7" t="inlineStr">
        <is>
          <t>PERF/COSME</t>
        </is>
      </c>
      <c r="E979" s="7" t="inlineStr">
        <is>
          <t>C</t>
        </is>
      </c>
      <c r="F979" s="13" t="n">
        <v>1</v>
      </c>
      <c r="G979" s="13" t="n">
        <v>1</v>
      </c>
      <c r="H979" s="8" t="n">
        <v>18.7</v>
      </c>
      <c r="I979" s="8" t="n">
        <v>18.7</v>
      </c>
      <c r="J979" s="8" t="n">
        <v>18.7</v>
      </c>
      <c r="K979" s="8" t="n"/>
      <c r="L979" s="8" t="n"/>
      <c r="M979" s="8" t="n"/>
      <c r="N979" s="8" t="n"/>
      <c r="O979" s="8" t="n"/>
      <c r="P979" s="8" t="n"/>
      <c r="Q979" s="8" t="n"/>
      <c r="R979" s="8" t="n"/>
      <c r="S979" s="8" t="n"/>
      <c r="T979" s="7" t="inlineStr">
        <is>
          <t>SEM COTAÇÃO</t>
        </is>
      </c>
      <c r="U979" s="8" t="n"/>
      <c r="V979" s="14" t="n"/>
      <c r="W979" s="14" t="n"/>
      <c r="X979" s="7" t="inlineStr"/>
      <c r="Y979" s="7" t="inlineStr"/>
    </row>
    <row r="980">
      <c r="A980" s="7" t="n">
        <v>540521</v>
      </c>
      <c r="B980" s="12" t="inlineStr">
        <is>
          <t>7896012800706</t>
        </is>
      </c>
      <c r="C980" s="7" t="inlineStr">
        <is>
          <t>COND POMPOM CAMOMILA 200ML</t>
        </is>
      </c>
      <c r="D980" s="7" t="inlineStr">
        <is>
          <t>BABY/KIDS</t>
        </is>
      </c>
      <c r="E980" s="7" t="inlineStr">
        <is>
          <t>C</t>
        </is>
      </c>
      <c r="F980" s="13" t="n">
        <v>2</v>
      </c>
      <c r="G980" s="13" t="n">
        <v>2</v>
      </c>
      <c r="H980" s="8" t="n">
        <v>8.300000000000001</v>
      </c>
      <c r="I980" s="8" t="n">
        <v>8.300000000000001</v>
      </c>
      <c r="J980" s="8" t="n">
        <v>8.300000000000001</v>
      </c>
      <c r="K980" s="8" t="n"/>
      <c r="L980" s="8" t="n"/>
      <c r="M980" s="8" t="n"/>
      <c r="N980" s="8" t="n"/>
      <c r="O980" s="8" t="n"/>
      <c r="P980" s="8" t="n"/>
      <c r="Q980" s="8" t="n"/>
      <c r="R980" s="8" t="n"/>
      <c r="S980" s="8" t="n"/>
      <c r="T980" s="7" t="inlineStr">
        <is>
          <t>SEM COTAÇÃO</t>
        </is>
      </c>
      <c r="U980" s="8" t="n"/>
      <c r="V980" s="14" t="n"/>
      <c r="W980" s="14" t="n"/>
      <c r="X980" s="7" t="inlineStr"/>
      <c r="Y980" s="7" t="inlineStr"/>
    </row>
    <row r="981">
      <c r="A981" s="7" t="n">
        <v>660531</v>
      </c>
      <c r="B981" s="12" t="inlineStr">
        <is>
          <t>7891150101586</t>
        </is>
      </c>
      <c r="C981" s="7" t="inlineStr">
        <is>
          <t>COND SEDA TOQUE DE SEDA 250ML</t>
        </is>
      </c>
      <c r="D981" s="7" t="inlineStr">
        <is>
          <t>COND/SHAM/CREM/SIMILARES</t>
        </is>
      </c>
      <c r="E981" s="7" t="inlineStr">
        <is>
          <t>C</t>
        </is>
      </c>
      <c r="F981" s="13" t="n">
        <v>1</v>
      </c>
      <c r="G981" s="13" t="n">
        <v>1</v>
      </c>
      <c r="H981" s="8" t="n">
        <v>9.44</v>
      </c>
      <c r="I981" s="8" t="n">
        <v>9.44</v>
      </c>
      <c r="J981" s="8" t="n">
        <v>9.44</v>
      </c>
      <c r="K981" s="8" t="n"/>
      <c r="L981" s="8" t="n"/>
      <c r="M981" s="8" t="n"/>
      <c r="N981" s="8" t="n"/>
      <c r="O981" s="8" t="n"/>
      <c r="P981" s="15" t="n">
        <v>12.56</v>
      </c>
      <c r="Q981" s="8" t="n"/>
      <c r="R981" s="8" t="n"/>
      <c r="S981" s="8" t="n"/>
      <c r="T981" s="7" t="inlineStr">
        <is>
          <t>NAZARIA</t>
        </is>
      </c>
      <c r="U981" s="8" t="n">
        <v>12.56</v>
      </c>
      <c r="V981" s="14">
        <f>U981/J981-1</f>
        <v/>
      </c>
      <c r="W981" s="14">
        <f>U981/H981-1</f>
        <v/>
      </c>
      <c r="X981" s="16" t="inlineStr">
        <is>
          <t>ACIMA +33.1%</t>
        </is>
      </c>
      <c r="Y981" s="7" t="inlineStr"/>
    </row>
    <row r="982">
      <c r="A982" s="7" t="n">
        <v>615801</v>
      </c>
      <c r="B982" s="12" t="inlineStr">
        <is>
          <t>7891150008168</t>
        </is>
      </c>
      <c r="C982" s="7" t="inlineStr">
        <is>
          <t>CONDIC CLEAR ANT HID INT 200ML</t>
        </is>
      </c>
      <c r="D982" s="7" t="inlineStr">
        <is>
          <t>PERF/COSME</t>
        </is>
      </c>
      <c r="E982" s="7" t="inlineStr">
        <is>
          <t>C</t>
        </is>
      </c>
      <c r="F982" s="13" t="n">
        <v>2</v>
      </c>
      <c r="G982" s="13" t="n">
        <v>2</v>
      </c>
      <c r="H982" s="8" t="n">
        <v>12.25</v>
      </c>
      <c r="I982" s="8" t="n">
        <v>12.25</v>
      </c>
      <c r="J982" s="8" t="n">
        <v>12.25</v>
      </c>
      <c r="K982" s="8" t="n"/>
      <c r="L982" s="8" t="n"/>
      <c r="M982" s="8" t="n"/>
      <c r="N982" s="8" t="n"/>
      <c r="O982" s="8" t="n"/>
      <c r="P982" s="8" t="n"/>
      <c r="Q982" s="8" t="n"/>
      <c r="R982" s="8" t="n"/>
      <c r="S982" s="8" t="n"/>
      <c r="T982" s="7" t="inlineStr">
        <is>
          <t>SEM COTAÇÃO</t>
        </is>
      </c>
      <c r="U982" s="8" t="n"/>
      <c r="V982" s="14" t="n"/>
      <c r="W982" s="14" t="n"/>
      <c r="X982" s="7" t="inlineStr"/>
      <c r="Y982" s="7" t="inlineStr"/>
    </row>
    <row r="983">
      <c r="A983" s="7" t="n">
        <v>585021</v>
      </c>
      <c r="B983" s="12" t="inlineStr">
        <is>
          <t>7891150036390</t>
        </is>
      </c>
      <c r="C983" s="7" t="inlineStr">
        <is>
          <t>CONDIC DOVE BABY HID. ENR. 200ML</t>
        </is>
      </c>
      <c r="D983" s="7" t="inlineStr">
        <is>
          <t>BABY/KIDS</t>
        </is>
      </c>
      <c r="E983" s="7" t="inlineStr">
        <is>
          <t>C</t>
        </is>
      </c>
      <c r="F983" s="13" t="n">
        <v>2</v>
      </c>
      <c r="G983" s="13" t="n">
        <v>2</v>
      </c>
      <c r="H983" s="8" t="n">
        <v>11.1958</v>
      </c>
      <c r="I983" s="8" t="n">
        <v>11.1958</v>
      </c>
      <c r="J983" s="8" t="n">
        <v>11.1958</v>
      </c>
      <c r="K983" s="8" t="n"/>
      <c r="L983" s="8" t="n"/>
      <c r="M983" s="8" t="n"/>
      <c r="N983" s="8" t="n"/>
      <c r="O983" s="8" t="n"/>
      <c r="P983" s="15" t="n">
        <v>14.9</v>
      </c>
      <c r="Q983" s="8" t="n"/>
      <c r="R983" s="8" t="n"/>
      <c r="S983" s="8" t="n"/>
      <c r="T983" s="7" t="inlineStr">
        <is>
          <t>NAZARIA</t>
        </is>
      </c>
      <c r="U983" s="8" t="n">
        <v>14.9</v>
      </c>
      <c r="V983" s="14">
        <f>U983/J983-1</f>
        <v/>
      </c>
      <c r="W983" s="14">
        <f>U983/H983-1</f>
        <v/>
      </c>
      <c r="X983" s="16" t="inlineStr">
        <is>
          <t>ACIMA +33.1%</t>
        </is>
      </c>
      <c r="Y983" s="7" t="inlineStr">
        <is>
          <t>NAZARIA: estoque parcial (1 un)</t>
        </is>
      </c>
    </row>
    <row r="984">
      <c r="A984" s="7" t="n">
        <v>616871</v>
      </c>
      <c r="B984" s="12" t="inlineStr">
        <is>
          <t>7891150055179</t>
        </is>
      </c>
      <c r="C984" s="7" t="inlineStr">
        <is>
          <t>CONDIC DOVE NUTRI OLEO M 400ML</t>
        </is>
      </c>
      <c r="D984" s="7" t="inlineStr">
        <is>
          <t>COND/SHAM/CREM/SIMILARES</t>
        </is>
      </c>
      <c r="E984" s="7" t="inlineStr">
        <is>
          <t>C</t>
        </is>
      </c>
      <c r="F984" s="13" t="n">
        <v>1</v>
      </c>
      <c r="G984" s="13" t="n">
        <v>1</v>
      </c>
      <c r="H984" s="8" t="n">
        <v>16.78</v>
      </c>
      <c r="I984" s="8" t="n">
        <v>16.78</v>
      </c>
      <c r="J984" s="8" t="n">
        <v>16.78</v>
      </c>
      <c r="K984" s="8" t="n"/>
      <c r="L984" s="8" t="n"/>
      <c r="M984" s="8" t="n"/>
      <c r="N984" s="8" t="n"/>
      <c r="O984" s="8" t="n"/>
      <c r="P984" s="8" t="n">
        <v>23.62</v>
      </c>
      <c r="Q984" s="8" t="n"/>
      <c r="R984" s="8" t="n"/>
      <c r="S984" s="8" t="n"/>
      <c r="T984" s="7" t="inlineStr">
        <is>
          <t>SEM COTAÇÃO</t>
        </is>
      </c>
      <c r="U984" s="8" t="n"/>
      <c r="V984" s="14" t="n"/>
      <c r="W984" s="14" t="n"/>
      <c r="X984" s="7" t="inlineStr"/>
      <c r="Y984" s="7" t="inlineStr">
        <is>
          <t>NAZARIA: sem estoque</t>
        </is>
      </c>
    </row>
    <row r="985">
      <c r="A985" s="7" t="n">
        <v>571021</v>
      </c>
      <c r="B985" s="12" t="inlineStr">
        <is>
          <t>7891150017375</t>
        </is>
      </c>
      <c r="C985" s="7" t="inlineStr">
        <is>
          <t>CONDIC DOVE OLEO NUTRICA 200ML</t>
        </is>
      </c>
      <c r="D985" s="7" t="inlineStr">
        <is>
          <t>PERF/COSME</t>
        </is>
      </c>
      <c r="E985" s="7" t="inlineStr">
        <is>
          <t>C</t>
        </is>
      </c>
      <c r="F985" s="13" t="n">
        <v>1</v>
      </c>
      <c r="G985" s="13" t="n">
        <v>1</v>
      </c>
      <c r="H985" s="8" t="n">
        <v>15.29</v>
      </c>
      <c r="I985" s="8" t="n">
        <v>15.29</v>
      </c>
      <c r="J985" s="8" t="n">
        <v>15.29</v>
      </c>
      <c r="K985" s="8" t="n"/>
      <c r="L985" s="8" t="n"/>
      <c r="M985" s="8" t="n"/>
      <c r="N985" s="8" t="n"/>
      <c r="O985" s="8" t="n"/>
      <c r="P985" s="8" t="n"/>
      <c r="Q985" s="8" t="n"/>
      <c r="R985" s="8" t="n"/>
      <c r="S985" s="8" t="n"/>
      <c r="T985" s="7" t="inlineStr">
        <is>
          <t>SEM COTAÇÃO</t>
        </is>
      </c>
      <c r="U985" s="8" t="n"/>
      <c r="V985" s="14" t="n"/>
      <c r="W985" s="14" t="n"/>
      <c r="X985" s="7" t="inlineStr"/>
      <c r="Y985" s="7" t="inlineStr"/>
    </row>
    <row r="986">
      <c r="A986" s="7" t="n">
        <v>571041</v>
      </c>
      <c r="B986" s="12" t="inlineStr">
        <is>
          <t>7891150008816</t>
        </is>
      </c>
      <c r="C986" s="7" t="inlineStr">
        <is>
          <t>CONDIC DOVE RECON COMPL 200ML</t>
        </is>
      </c>
      <c r="D986" s="7" t="inlineStr">
        <is>
          <t>PERF/COSME</t>
        </is>
      </c>
      <c r="E986" s="7" t="inlineStr">
        <is>
          <t>C</t>
        </is>
      </c>
      <c r="F986" s="13" t="n">
        <v>1</v>
      </c>
      <c r="G986" s="13" t="n">
        <v>1</v>
      </c>
      <c r="H986" s="8" t="n">
        <v>15.29</v>
      </c>
      <c r="I986" s="8" t="n">
        <v>15.29</v>
      </c>
      <c r="J986" s="8" t="n">
        <v>15.29</v>
      </c>
      <c r="K986" s="8" t="n"/>
      <c r="L986" s="8" t="n"/>
      <c r="M986" s="8" t="n"/>
      <c r="N986" s="8" t="n"/>
      <c r="O986" s="8" t="n"/>
      <c r="P986" s="8" t="n"/>
      <c r="Q986" s="8" t="n"/>
      <c r="R986" s="8" t="n"/>
      <c r="S986" s="8" t="n"/>
      <c r="T986" s="7" t="inlineStr">
        <is>
          <t>SEM COTAÇÃO</t>
        </is>
      </c>
      <c r="U986" s="8" t="n"/>
      <c r="V986" s="14" t="n"/>
      <c r="W986" s="14" t="n"/>
      <c r="X986" s="7" t="inlineStr"/>
      <c r="Y986" s="7" t="inlineStr"/>
    </row>
    <row r="987">
      <c r="A987" s="7" t="n">
        <v>571061</v>
      </c>
      <c r="B987" s="12" t="inlineStr">
        <is>
          <t>7891150043282</t>
        </is>
      </c>
      <c r="C987" s="7" t="inlineStr">
        <is>
          <t>CONDIC DOVE REGENER EXTR 200ML</t>
        </is>
      </c>
      <c r="D987" s="7" t="inlineStr">
        <is>
          <t>PERF/COSME</t>
        </is>
      </c>
      <c r="E987" s="7" t="inlineStr">
        <is>
          <t>B</t>
        </is>
      </c>
      <c r="F987" s="13" t="n">
        <v>3</v>
      </c>
      <c r="G987" s="13" t="n">
        <v>3</v>
      </c>
      <c r="H987" s="8" t="n">
        <v>10.75</v>
      </c>
      <c r="I987" s="8" t="n">
        <v>10.75</v>
      </c>
      <c r="J987" s="8" t="n">
        <v>10.75</v>
      </c>
      <c r="K987" s="8" t="n"/>
      <c r="L987" s="8" t="n"/>
      <c r="M987" s="8" t="n"/>
      <c r="N987" s="8" t="n"/>
      <c r="O987" s="8" t="n"/>
      <c r="P987" s="8" t="n"/>
      <c r="Q987" s="8" t="n"/>
      <c r="R987" s="8" t="n"/>
      <c r="S987" s="8" t="n"/>
      <c r="T987" s="7" t="inlineStr">
        <is>
          <t>SEM COTAÇÃO</t>
        </is>
      </c>
      <c r="U987" s="8" t="n"/>
      <c r="V987" s="14" t="n"/>
      <c r="W987" s="14" t="n"/>
      <c r="X987" s="7" t="inlineStr"/>
      <c r="Y987" s="7" t="inlineStr"/>
    </row>
    <row r="988">
      <c r="A988" s="7" t="n">
        <v>589821</v>
      </c>
      <c r="B988" s="12" t="inlineStr">
        <is>
          <t>7891150084490</t>
        </is>
      </c>
      <c r="C988" s="7" t="inlineStr">
        <is>
          <t>CONDIC DOVE TEX.RE.CACHE.400M</t>
        </is>
      </c>
      <c r="D988" s="7" t="inlineStr">
        <is>
          <t>PERF/COSME</t>
        </is>
      </c>
      <c r="E988" s="7" t="inlineStr">
        <is>
          <t>C</t>
        </is>
      </c>
      <c r="F988" s="13" t="n">
        <v>1</v>
      </c>
      <c r="G988" s="13" t="n">
        <v>1</v>
      </c>
      <c r="H988" s="8" t="n">
        <v>19.29</v>
      </c>
      <c r="I988" s="8" t="n">
        <v>19.29</v>
      </c>
      <c r="J988" s="8" t="n">
        <v>19.29</v>
      </c>
      <c r="K988" s="8" t="n"/>
      <c r="L988" s="8" t="n"/>
      <c r="M988" s="8" t="n"/>
      <c r="N988" s="8" t="n"/>
      <c r="O988" s="8" t="n"/>
      <c r="P988" s="8" t="n"/>
      <c r="Q988" s="8" t="n"/>
      <c r="R988" s="8" t="n"/>
      <c r="S988" s="8" t="n"/>
      <c r="T988" s="7" t="inlineStr">
        <is>
          <t>SEM COTAÇÃO</t>
        </is>
      </c>
      <c r="U988" s="8" t="n"/>
      <c r="V988" s="14" t="n"/>
      <c r="W988" s="14" t="n"/>
      <c r="X988" s="7" t="inlineStr"/>
      <c r="Y988" s="7" t="inlineStr"/>
    </row>
    <row r="989">
      <c r="A989" s="7" t="n">
        <v>616891</v>
      </c>
      <c r="B989" s="12" t="inlineStr">
        <is>
          <t>7899706133418</t>
        </is>
      </c>
      <c r="C989" s="7" t="inlineStr">
        <is>
          <t>CONDIC ELSEVE HYDR DETOX 200ML</t>
        </is>
      </c>
      <c r="D989" s="7" t="inlineStr">
        <is>
          <t>COND/SHAM/CREM/SIMILARES</t>
        </is>
      </c>
      <c r="E989" s="7" t="inlineStr">
        <is>
          <t>C</t>
        </is>
      </c>
      <c r="F989" s="13" t="n">
        <v>1</v>
      </c>
      <c r="G989" s="13" t="n">
        <v>1</v>
      </c>
      <c r="H989" s="8" t="n">
        <v>14.24</v>
      </c>
      <c r="I989" s="8" t="n">
        <v>14.24</v>
      </c>
      <c r="J989" s="8" t="n">
        <v>14.24</v>
      </c>
      <c r="K989" s="8" t="n"/>
      <c r="L989" s="8" t="n"/>
      <c r="M989" s="8" t="n"/>
      <c r="N989" s="8" t="n"/>
      <c r="O989" s="8" t="n"/>
      <c r="P989" s="8" t="n"/>
      <c r="Q989" s="8" t="n"/>
      <c r="R989" s="8" t="n"/>
      <c r="S989" s="8" t="n"/>
      <c r="T989" s="7" t="inlineStr">
        <is>
          <t>SEM COTAÇÃO</t>
        </is>
      </c>
      <c r="U989" s="8" t="n"/>
      <c r="V989" s="14" t="n"/>
      <c r="W989" s="14" t="n"/>
      <c r="X989" s="7" t="inlineStr"/>
      <c r="Y989" s="7" t="inlineStr"/>
    </row>
    <row r="990">
      <c r="A990" s="7" t="n">
        <v>596961</v>
      </c>
      <c r="B990" s="12" t="inlineStr">
        <is>
          <t>7891150049604</t>
        </is>
      </c>
      <c r="C990" s="7" t="inlineStr">
        <is>
          <t>CONDIC SEDA ABACATE E KA 325ML</t>
        </is>
      </c>
      <c r="D990" s="7" t="inlineStr">
        <is>
          <t>COND/SHAM/CREM/SIMILARES</t>
        </is>
      </c>
      <c r="E990" s="7" t="inlineStr">
        <is>
          <t>C</t>
        </is>
      </c>
      <c r="F990" s="13" t="n">
        <v>1</v>
      </c>
      <c r="G990" s="13" t="n">
        <v>1</v>
      </c>
      <c r="H990" s="8" t="n">
        <v>7.45</v>
      </c>
      <c r="I990" s="8" t="n">
        <v>7.45</v>
      </c>
      <c r="J990" s="8" t="n">
        <v>7.45</v>
      </c>
      <c r="K990" s="8" t="n"/>
      <c r="L990" s="8" t="n"/>
      <c r="M990" s="8" t="n"/>
      <c r="N990" s="8" t="n"/>
      <c r="O990" s="8" t="n"/>
      <c r="P990" s="8" t="n"/>
      <c r="Q990" s="8" t="n"/>
      <c r="R990" s="8" t="n"/>
      <c r="S990" s="8" t="n"/>
      <c r="T990" s="7" t="inlineStr">
        <is>
          <t>SEM COTAÇÃO</t>
        </is>
      </c>
      <c r="U990" s="8" t="n"/>
      <c r="V990" s="14" t="n"/>
      <c r="W990" s="14" t="n"/>
      <c r="X990" s="7" t="inlineStr"/>
      <c r="Y990" s="7" t="inlineStr"/>
    </row>
    <row r="991">
      <c r="A991" s="7" t="n">
        <v>596971</v>
      </c>
      <c r="B991" s="12" t="inlineStr">
        <is>
          <t>7891150060722</t>
        </is>
      </c>
      <c r="C991" s="7" t="inlineStr">
        <is>
          <t>CONDIC SEDA BABOSA + OLE 325ML</t>
        </is>
      </c>
      <c r="D991" s="7" t="inlineStr">
        <is>
          <t>COND/SHAM/CREM/SIMILARES</t>
        </is>
      </c>
      <c r="E991" s="7" t="inlineStr">
        <is>
          <t>C</t>
        </is>
      </c>
      <c r="F991" s="13" t="n">
        <v>1</v>
      </c>
      <c r="G991" s="13" t="n">
        <v>1</v>
      </c>
      <c r="H991" s="8" t="n">
        <v>11.07</v>
      </c>
      <c r="I991" s="8" t="n">
        <v>11.07</v>
      </c>
      <c r="J991" s="8" t="n">
        <v>11.07</v>
      </c>
      <c r="K991" s="8" t="n"/>
      <c r="L991" s="8" t="n"/>
      <c r="M991" s="8" t="n"/>
      <c r="N991" s="8" t="n"/>
      <c r="O991" s="8" t="n"/>
      <c r="P991" s="8" t="n"/>
      <c r="Q991" s="8" t="n"/>
      <c r="R991" s="8" t="n"/>
      <c r="S991" s="8" t="n"/>
      <c r="T991" s="7" t="inlineStr">
        <is>
          <t>SEM COTAÇÃO</t>
        </is>
      </c>
      <c r="U991" s="8" t="n"/>
      <c r="V991" s="14" t="n"/>
      <c r="W991" s="14" t="n"/>
      <c r="X991" s="7" t="inlineStr"/>
      <c r="Y991" s="7" t="inlineStr"/>
    </row>
    <row r="992">
      <c r="A992" s="7" t="n">
        <v>596981</v>
      </c>
      <c r="B992" s="12" t="inlineStr">
        <is>
          <t>7891150056589</t>
        </is>
      </c>
      <c r="C992" s="7" t="inlineStr">
        <is>
          <t>CONDIC SEDA BOMBA ARGAN 325ML</t>
        </is>
      </c>
      <c r="D992" s="7" t="inlineStr">
        <is>
          <t>COND/SHAM/CREM/SIMILARES</t>
        </is>
      </c>
      <c r="E992" s="7" t="inlineStr">
        <is>
          <t>C</t>
        </is>
      </c>
      <c r="F992" s="13" t="n">
        <v>1</v>
      </c>
      <c r="G992" s="13" t="n">
        <v>1</v>
      </c>
      <c r="H992" s="8" t="n">
        <v>7.45</v>
      </c>
      <c r="I992" s="8" t="n">
        <v>7.45</v>
      </c>
      <c r="J992" s="8" t="n">
        <v>7.45</v>
      </c>
      <c r="K992" s="8" t="n"/>
      <c r="L992" s="8" t="n"/>
      <c r="M992" s="8" t="n"/>
      <c r="N992" s="8" t="n"/>
      <c r="O992" s="8" t="n"/>
      <c r="P992" s="8" t="n"/>
      <c r="Q992" s="8" t="n"/>
      <c r="R992" s="8" t="n"/>
      <c r="S992" s="8" t="n"/>
      <c r="T992" s="7" t="inlineStr">
        <is>
          <t>SEM COTAÇÃO</t>
        </is>
      </c>
      <c r="U992" s="8" t="n"/>
      <c r="V992" s="14" t="n"/>
      <c r="W992" s="14" t="n"/>
      <c r="X992" s="7" t="inlineStr"/>
      <c r="Y992" s="7" t="inlineStr"/>
    </row>
    <row r="993">
      <c r="A993" s="7" t="n">
        <v>596991</v>
      </c>
      <c r="B993" s="12" t="inlineStr">
        <is>
          <t>7891150067516</t>
        </is>
      </c>
      <c r="C993" s="7" t="inlineStr">
        <is>
          <t>CONDIC SEDA BOMBA COCO 325ML</t>
        </is>
      </c>
      <c r="D993" s="7" t="inlineStr">
        <is>
          <t>COND/SHAM/CREM/SIMILARES</t>
        </is>
      </c>
      <c r="E993" s="7" t="inlineStr">
        <is>
          <t>C</t>
        </is>
      </c>
      <c r="F993" s="13" t="n">
        <v>1</v>
      </c>
      <c r="G993" s="13" t="n">
        <v>1</v>
      </c>
      <c r="H993" s="8" t="n">
        <v>8.35</v>
      </c>
      <c r="I993" s="8" t="n">
        <v>8.35</v>
      </c>
      <c r="J993" s="8" t="n">
        <v>8.35</v>
      </c>
      <c r="K993" s="8" t="n"/>
      <c r="L993" s="8" t="n"/>
      <c r="M993" s="8" t="n"/>
      <c r="N993" s="8" t="n"/>
      <c r="O993" s="8" t="n"/>
      <c r="P993" s="8" t="n"/>
      <c r="Q993" s="8" t="n"/>
      <c r="R993" s="8" t="n"/>
      <c r="S993" s="8" t="n"/>
      <c r="T993" s="7" t="inlineStr">
        <is>
          <t>SEM COTAÇÃO</t>
        </is>
      </c>
      <c r="U993" s="8" t="n"/>
      <c r="V993" s="14" t="n"/>
      <c r="W993" s="14" t="n"/>
      <c r="X993" s="7" t="inlineStr"/>
      <c r="Y993" s="7" t="inlineStr"/>
    </row>
    <row r="994">
      <c r="A994" s="7" t="n">
        <v>568961</v>
      </c>
      <c r="B994" s="12" t="inlineStr">
        <is>
          <t>7891150037465</t>
        </is>
      </c>
      <c r="C994" s="7" t="inlineStr">
        <is>
          <t>CONDIC SEDA CACH DEFIN 325ML</t>
        </is>
      </c>
      <c r="D994" s="7" t="inlineStr">
        <is>
          <t>PERF/COSME</t>
        </is>
      </c>
      <c r="E994" s="7" t="inlineStr">
        <is>
          <t>C</t>
        </is>
      </c>
      <c r="F994" s="13" t="n">
        <v>1</v>
      </c>
      <c r="G994" s="13" t="n">
        <v>1</v>
      </c>
      <c r="H994" s="8" t="n">
        <v>7.45</v>
      </c>
      <c r="I994" s="8" t="n">
        <v>7.45</v>
      </c>
      <c r="J994" s="8" t="n">
        <v>7.45</v>
      </c>
      <c r="K994" s="8" t="n"/>
      <c r="L994" s="8" t="n"/>
      <c r="M994" s="8" t="n"/>
      <c r="N994" s="8" t="n"/>
      <c r="O994" s="8" t="n"/>
      <c r="P994" s="15" t="n">
        <v>12.56</v>
      </c>
      <c r="Q994" s="8" t="n"/>
      <c r="R994" s="8" t="n"/>
      <c r="S994" s="8" t="n"/>
      <c r="T994" s="7" t="inlineStr">
        <is>
          <t>NAZARIA</t>
        </is>
      </c>
      <c r="U994" s="8" t="n">
        <v>12.56</v>
      </c>
      <c r="V994" s="14">
        <f>U994/J994-1</f>
        <v/>
      </c>
      <c r="W994" s="14">
        <f>U994/H994-1</f>
        <v/>
      </c>
      <c r="X994" s="16" t="inlineStr">
        <is>
          <t>ACIMA +68.6%</t>
        </is>
      </c>
      <c r="Y994" s="7" t="inlineStr"/>
    </row>
    <row r="995">
      <c r="A995" s="7" t="n">
        <v>597021</v>
      </c>
      <c r="B995" s="12" t="inlineStr">
        <is>
          <t>7891150037274</t>
        </is>
      </c>
      <c r="C995" s="7" t="inlineStr">
        <is>
          <t>CONDIC SEDA CRESC SAUDAV 325ML</t>
        </is>
      </c>
      <c r="D995" s="7" t="inlineStr">
        <is>
          <t>COND/SHAM/CREM/SIMILARES</t>
        </is>
      </c>
      <c r="E995" s="7" t="inlineStr">
        <is>
          <t>C</t>
        </is>
      </c>
      <c r="F995" s="13" t="n">
        <v>1</v>
      </c>
      <c r="G995" s="13" t="n">
        <v>1</v>
      </c>
      <c r="H995" s="8" t="n">
        <v>8.35</v>
      </c>
      <c r="I995" s="8" t="n">
        <v>8.35</v>
      </c>
      <c r="J995" s="8" t="n">
        <v>8.35</v>
      </c>
      <c r="K995" s="8" t="n"/>
      <c r="L995" s="8" t="n"/>
      <c r="M995" s="8" t="n"/>
      <c r="N995" s="8" t="n"/>
      <c r="O995" s="8" t="n"/>
      <c r="P995" s="8" t="n"/>
      <c r="Q995" s="8" t="n"/>
      <c r="R995" s="8" t="n"/>
      <c r="S995" s="8" t="n"/>
      <c r="T995" s="7" t="inlineStr">
        <is>
          <t>SEM COTAÇÃO</t>
        </is>
      </c>
      <c r="U995" s="8" t="n"/>
      <c r="V995" s="14" t="n"/>
      <c r="W995" s="14" t="n"/>
      <c r="X995" s="7" t="inlineStr"/>
      <c r="Y995" s="7" t="inlineStr"/>
    </row>
    <row r="996">
      <c r="A996" s="7" t="n">
        <v>597041</v>
      </c>
      <c r="B996" s="12" t="inlineStr">
        <is>
          <t>7891150037489</t>
        </is>
      </c>
      <c r="C996" s="7" t="inlineStr">
        <is>
          <t>CONDIC SEDA HID ANTI NOS 325ML</t>
        </is>
      </c>
      <c r="D996" s="7" t="inlineStr">
        <is>
          <t>COND/SHAM/CREM/SIMILARES</t>
        </is>
      </c>
      <c r="E996" s="7" t="inlineStr">
        <is>
          <t>C</t>
        </is>
      </c>
      <c r="F996" s="13" t="n">
        <v>1</v>
      </c>
      <c r="G996" s="13" t="n">
        <v>1</v>
      </c>
      <c r="H996" s="8" t="n">
        <v>8.35</v>
      </c>
      <c r="I996" s="8" t="n">
        <v>8.35</v>
      </c>
      <c r="J996" s="8" t="n">
        <v>8.35</v>
      </c>
      <c r="K996" s="8" t="n"/>
      <c r="L996" s="8" t="n"/>
      <c r="M996" s="8" t="n"/>
      <c r="N996" s="8" t="n"/>
      <c r="O996" s="8" t="n"/>
      <c r="P996" s="8" t="n"/>
      <c r="Q996" s="8" t="n"/>
      <c r="R996" s="8" t="n"/>
      <c r="S996" s="8" t="n"/>
      <c r="T996" s="7" t="inlineStr">
        <is>
          <t>SEM COTAÇÃO</t>
        </is>
      </c>
      <c r="U996" s="8" t="n"/>
      <c r="V996" s="14" t="n"/>
      <c r="W996" s="14" t="n"/>
      <c r="X996" s="7" t="inlineStr"/>
      <c r="Y996" s="7" t="inlineStr"/>
    </row>
    <row r="997">
      <c r="A997" s="7" t="n">
        <v>568981</v>
      </c>
      <c r="B997" s="12" t="inlineStr">
        <is>
          <t>7891150037328</t>
        </is>
      </c>
      <c r="C997" s="7" t="inlineStr">
        <is>
          <t>CONDIC SEDA LISO PERFEI 325ML</t>
        </is>
      </c>
      <c r="D997" s="7" t="inlineStr">
        <is>
          <t>PERF/COSME</t>
        </is>
      </c>
      <c r="E997" s="7" t="inlineStr">
        <is>
          <t>B</t>
        </is>
      </c>
      <c r="F997" s="13" t="n">
        <v>4</v>
      </c>
      <c r="G997" s="13" t="n">
        <v>4</v>
      </c>
      <c r="H997" s="8" t="n">
        <v>11.5</v>
      </c>
      <c r="I997" s="8" t="n">
        <v>11.0678</v>
      </c>
      <c r="J997" s="8" t="n">
        <v>11.35593333333333</v>
      </c>
      <c r="K997" s="8" t="n"/>
      <c r="L997" s="8" t="n"/>
      <c r="M997" s="8" t="n"/>
      <c r="N997" s="8" t="n"/>
      <c r="O997" s="8" t="n"/>
      <c r="P997" s="15" t="n">
        <v>12.56</v>
      </c>
      <c r="Q997" s="8" t="n"/>
      <c r="R997" s="8" t="n"/>
      <c r="S997" s="8" t="n"/>
      <c r="T997" s="7" t="inlineStr">
        <is>
          <t>NAZARIA</t>
        </is>
      </c>
      <c r="U997" s="8" t="n">
        <v>12.56</v>
      </c>
      <c r="V997" s="14">
        <f>U997/J997-1</f>
        <v/>
      </c>
      <c r="W997" s="14">
        <f>U997/H997-1</f>
        <v/>
      </c>
      <c r="X997" s="16" t="inlineStr">
        <is>
          <t>ACIMA +9.2%</t>
        </is>
      </c>
      <c r="Y997" s="7" t="inlineStr"/>
    </row>
    <row r="998">
      <c r="A998" s="7" t="n">
        <v>569061</v>
      </c>
      <c r="B998" s="12" t="inlineStr">
        <is>
          <t>7896115703577</t>
        </is>
      </c>
      <c r="C998" s="7" t="inlineStr">
        <is>
          <t>CONDIC TRA LA LA KIDS CACH. 480ML</t>
        </is>
      </c>
      <c r="D998" s="7" t="inlineStr">
        <is>
          <t>BABY/KIDS</t>
        </is>
      </c>
      <c r="E998" s="7" t="inlineStr">
        <is>
          <t>C</t>
        </is>
      </c>
      <c r="F998" s="13" t="n">
        <v>1</v>
      </c>
      <c r="G998" s="13" t="n">
        <v>1</v>
      </c>
      <c r="H998" s="8" t="n">
        <v>12.37</v>
      </c>
      <c r="I998" s="8" t="n">
        <v>12.37</v>
      </c>
      <c r="J998" s="8" t="n">
        <v>12.37</v>
      </c>
      <c r="K998" s="8" t="n"/>
      <c r="L998" s="8" t="n"/>
      <c r="M998" s="8" t="n"/>
      <c r="N998" s="8" t="n"/>
      <c r="O998" s="8" t="n"/>
      <c r="P998" s="8" t="n"/>
      <c r="Q998" s="8" t="n"/>
      <c r="R998" s="8" t="n"/>
      <c r="S998" s="8" t="n"/>
      <c r="T998" s="7" t="inlineStr">
        <is>
          <t>SEM COTAÇÃO</t>
        </is>
      </c>
      <c r="U998" s="8" t="n"/>
      <c r="V998" s="14" t="n"/>
      <c r="W998" s="14" t="n"/>
      <c r="X998" s="7" t="inlineStr"/>
      <c r="Y998" s="7" t="inlineStr"/>
    </row>
    <row r="999">
      <c r="A999" s="7" t="n">
        <v>589811</v>
      </c>
      <c r="B999" s="12" t="inlineStr">
        <is>
          <t>7891150050129</t>
        </is>
      </c>
      <c r="C999" s="7" t="inlineStr">
        <is>
          <t>CONDIC. DOVE RITUAL REPAR.200M</t>
        </is>
      </c>
      <c r="D999" s="7" t="inlineStr">
        <is>
          <t>PERF/COSME</t>
        </is>
      </c>
      <c r="E999" s="7" t="inlineStr">
        <is>
          <t>C</t>
        </is>
      </c>
      <c r="F999" s="13" t="n">
        <v>1</v>
      </c>
      <c r="G999" s="13" t="n">
        <v>1</v>
      </c>
      <c r="H999" s="8" t="n">
        <v>10.75</v>
      </c>
      <c r="I999" s="8" t="n">
        <v>10.75</v>
      </c>
      <c r="J999" s="8" t="n">
        <v>10.75</v>
      </c>
      <c r="K999" s="8" t="n"/>
      <c r="L999" s="8" t="n"/>
      <c r="M999" s="8" t="n"/>
      <c r="N999" s="8" t="n"/>
      <c r="O999" s="8" t="n"/>
      <c r="P999" s="8" t="n"/>
      <c r="Q999" s="8" t="n"/>
      <c r="R999" s="8" t="n"/>
      <c r="S999" s="8" t="n"/>
      <c r="T999" s="7" t="inlineStr">
        <is>
          <t>SEM COTAÇÃO</t>
        </is>
      </c>
      <c r="U999" s="8" t="n"/>
      <c r="V999" s="14" t="n"/>
      <c r="W999" s="14" t="n"/>
      <c r="X999" s="7" t="inlineStr"/>
      <c r="Y999" s="7" t="inlineStr"/>
    </row>
    <row r="1000">
      <c r="A1000" s="7" t="n">
        <v>582881</v>
      </c>
      <c r="B1000" s="12" t="inlineStr"/>
      <c r="C1000" s="7" t="inlineStr">
        <is>
          <t>CONDIC. ELSEVE REP.TOTAL5 200M</t>
        </is>
      </c>
      <c r="D1000" s="7" t="inlineStr">
        <is>
          <t>PERF/COSME</t>
        </is>
      </c>
      <c r="E1000" s="7" t="inlineStr">
        <is>
          <t>A</t>
        </is>
      </c>
      <c r="F1000" s="13" t="n">
        <v>1</v>
      </c>
      <c r="G1000" s="13" t="n">
        <v>1</v>
      </c>
      <c r="H1000" s="8" t="n">
        <v>15.07</v>
      </c>
      <c r="I1000" s="8" t="n">
        <v>11.9517</v>
      </c>
      <c r="J1000" s="8" t="n">
        <v>13.7439</v>
      </c>
      <c r="K1000" s="8" t="n"/>
      <c r="L1000" s="8" t="n"/>
      <c r="M1000" s="8" t="n"/>
      <c r="N1000" s="8" t="n"/>
      <c r="O1000" s="8" t="n"/>
      <c r="P1000" s="8" t="n"/>
      <c r="Q1000" s="8" t="n"/>
      <c r="R1000" s="8" t="n"/>
      <c r="S1000" s="8" t="n"/>
      <c r="T1000" s="7" t="inlineStr">
        <is>
          <t>SEM COTAÇÃO</t>
        </is>
      </c>
      <c r="U1000" s="8" t="n"/>
      <c r="V1000" s="14" t="n"/>
      <c r="W1000" s="14" t="n"/>
      <c r="X1000" s="7" t="inlineStr"/>
      <c r="Y1000" s="7" t="inlineStr"/>
    </row>
    <row r="1001">
      <c r="A1001" s="7" t="n">
        <v>576441</v>
      </c>
      <c r="B1001" s="12" t="inlineStr">
        <is>
          <t>7891150045347</t>
        </is>
      </c>
      <c r="C1001" s="7" t="inlineStr">
        <is>
          <t>CONDIC.DOVE BABY CAB.CLA.200M</t>
        </is>
      </c>
      <c r="D1001" s="7" t="inlineStr">
        <is>
          <t>BABY/KIDS</t>
        </is>
      </c>
      <c r="E1001" s="7" t="inlineStr">
        <is>
          <t>B</t>
        </is>
      </c>
      <c r="F1001" s="13" t="n">
        <v>3</v>
      </c>
      <c r="G1001" s="13" t="n">
        <v>3</v>
      </c>
      <c r="H1001" s="8" t="n">
        <v>14.97</v>
      </c>
      <c r="I1001" s="8" t="n">
        <v>14.97</v>
      </c>
      <c r="J1001" s="8" t="n">
        <v>14.97</v>
      </c>
      <c r="K1001" s="8" t="n"/>
      <c r="L1001" s="8" t="n"/>
      <c r="M1001" s="8" t="n"/>
      <c r="N1001" s="8" t="n"/>
      <c r="O1001" s="8" t="n"/>
      <c r="P1001" s="15" t="n">
        <v>14.9</v>
      </c>
      <c r="Q1001" s="8" t="n"/>
      <c r="R1001" s="8" t="n"/>
      <c r="S1001" s="8" t="n"/>
      <c r="T1001" s="7" t="inlineStr">
        <is>
          <t>NAZARIA</t>
        </is>
      </c>
      <c r="U1001" s="8" t="n">
        <v>14.9</v>
      </c>
      <c r="V1001" s="14">
        <f>U1001/J1001-1</f>
        <v/>
      </c>
      <c r="W1001" s="14">
        <f>U1001/H1001-1</f>
        <v/>
      </c>
      <c r="X1001" s="17" t="inlineStr">
        <is>
          <t>OK (≤ menor hist.)</t>
        </is>
      </c>
      <c r="Y1001" s="7" t="inlineStr"/>
    </row>
    <row r="1002">
      <c r="A1002" s="7" t="n">
        <v>646731</v>
      </c>
      <c r="B1002" s="12" t="inlineStr">
        <is>
          <t>7896044956365</t>
        </is>
      </c>
      <c r="C1002" s="7" t="inlineStr">
        <is>
          <t>CONDIC.GIOV.BABY GIBY 200ML</t>
        </is>
      </c>
      <c r="D1002" s="7" t="inlineStr">
        <is>
          <t>COND/SHAM/CREM/SIMILARES</t>
        </is>
      </c>
      <c r="E1002" s="7" t="inlineStr">
        <is>
          <t>C</t>
        </is>
      </c>
      <c r="F1002" s="13" t="n">
        <v>1</v>
      </c>
      <c r="G1002" s="13" t="n">
        <v>1</v>
      </c>
      <c r="H1002" s="8" t="n">
        <v>7.11</v>
      </c>
      <c r="I1002" s="8" t="n">
        <v>7.11</v>
      </c>
      <c r="J1002" s="8" t="n">
        <v>7.11</v>
      </c>
      <c r="K1002" s="8" t="n"/>
      <c r="L1002" s="8" t="n"/>
      <c r="M1002" s="8" t="n"/>
      <c r="N1002" s="8" t="n"/>
      <c r="O1002" s="8" t="n"/>
      <c r="P1002" s="8" t="n"/>
      <c r="Q1002" s="8" t="n"/>
      <c r="R1002" s="8" t="n"/>
      <c r="S1002" s="8" t="n"/>
      <c r="T1002" s="7" t="inlineStr">
        <is>
          <t>SEM COTAÇÃO</t>
        </is>
      </c>
      <c r="U1002" s="8" t="n"/>
      <c r="V1002" s="14" t="n"/>
      <c r="W1002" s="14" t="n"/>
      <c r="X1002" s="7" t="inlineStr"/>
      <c r="Y1002" s="7" t="inlineStr"/>
    </row>
    <row r="1003">
      <c r="A1003" s="7" t="n">
        <v>662381</v>
      </c>
      <c r="B1003" s="12" t="inlineStr">
        <is>
          <t>7898610373422</t>
        </is>
      </c>
      <c r="C1003" s="7" t="inlineStr">
        <is>
          <t>CONDICIONADOR ENCORPA CABELO 300ML</t>
        </is>
      </c>
      <c r="D1003" s="7" t="inlineStr">
        <is>
          <t>COND/SHAM/CREM/SIMILARES</t>
        </is>
      </c>
      <c r="E1003" s="7" t="inlineStr">
        <is>
          <t>B</t>
        </is>
      </c>
      <c r="F1003" s="13" t="n">
        <v>1</v>
      </c>
      <c r="G1003" s="13" t="n">
        <v>1</v>
      </c>
      <c r="H1003" s="8" t="n">
        <v>32.85</v>
      </c>
      <c r="I1003" s="8" t="n">
        <v>32.85</v>
      </c>
      <c r="J1003" s="8" t="n">
        <v>32.85</v>
      </c>
      <c r="K1003" s="8" t="n"/>
      <c r="L1003" s="8" t="n"/>
      <c r="M1003" s="8" t="n"/>
      <c r="N1003" s="8" t="n"/>
      <c r="O1003" s="8" t="n"/>
      <c r="P1003" s="8" t="n"/>
      <c r="Q1003" s="8" t="n"/>
      <c r="R1003" s="8" t="n"/>
      <c r="S1003" s="8" t="n"/>
      <c r="T1003" s="7" t="inlineStr">
        <is>
          <t>SEM COTAÇÃO</t>
        </is>
      </c>
      <c r="U1003" s="8" t="n"/>
      <c r="V1003" s="14" t="n"/>
      <c r="W1003" s="14" t="n"/>
      <c r="X1003" s="7" t="inlineStr"/>
      <c r="Y1003" s="7" t="inlineStr"/>
    </row>
    <row r="1004">
      <c r="A1004" s="7" t="n">
        <v>593141</v>
      </c>
      <c r="B1004" s="12" t="inlineStr">
        <is>
          <t>7898132986414</t>
        </is>
      </c>
      <c r="C1004" s="7" t="inlineStr">
        <is>
          <t>CONDICIONADOR EQUILIBRIO 250ML</t>
        </is>
      </c>
      <c r="D1004" s="7" t="inlineStr">
        <is>
          <t>COND/SHAM/CREM/SIMILARES</t>
        </is>
      </c>
      <c r="E1004" s="7" t="inlineStr">
        <is>
          <t>B</t>
        </is>
      </c>
      <c r="F1004" s="13" t="n">
        <v>1</v>
      </c>
      <c r="G1004" s="13" t="n">
        <v>1</v>
      </c>
      <c r="H1004" s="8" t="n">
        <v>25.34</v>
      </c>
      <c r="I1004" s="8" t="n">
        <v>25.34</v>
      </c>
      <c r="J1004" s="8" t="n">
        <v>25.34</v>
      </c>
      <c r="K1004" s="8" t="n"/>
      <c r="L1004" s="8" t="n"/>
      <c r="M1004" s="8" t="n"/>
      <c r="N1004" s="8" t="n"/>
      <c r="O1004" s="8" t="n"/>
      <c r="P1004" s="8" t="n"/>
      <c r="Q1004" s="8" t="n"/>
      <c r="R1004" s="8" t="n"/>
      <c r="S1004" s="8" t="n"/>
      <c r="T1004" s="7" t="inlineStr">
        <is>
          <t>SEM COTAÇÃO</t>
        </is>
      </c>
      <c r="U1004" s="8" t="n"/>
      <c r="V1004" s="14" t="n"/>
      <c r="W1004" s="14" t="n"/>
      <c r="X1004" s="7" t="inlineStr"/>
      <c r="Y1004" s="7" t="inlineStr"/>
    </row>
    <row r="1005">
      <c r="A1005" s="7" t="n">
        <v>582061</v>
      </c>
      <c r="B1005" s="12" t="inlineStr">
        <is>
          <t>7898132982393</t>
        </is>
      </c>
      <c r="C1005" s="7" t="inlineStr">
        <is>
          <t>CONDICIONADOR MAIS BRILHO 250ML</t>
        </is>
      </c>
      <c r="D1005" s="7" t="inlineStr">
        <is>
          <t>PERF/COSME</t>
        </is>
      </c>
      <c r="E1005" s="7" t="inlineStr">
        <is>
          <t>C</t>
        </is>
      </c>
      <c r="F1005" s="13" t="n">
        <v>1</v>
      </c>
      <c r="G1005" s="13" t="n">
        <v>1</v>
      </c>
      <c r="H1005" s="8" t="n">
        <v>28.53</v>
      </c>
      <c r="I1005" s="8" t="n">
        <v>28.53</v>
      </c>
      <c r="J1005" s="8" t="n">
        <v>28.53</v>
      </c>
      <c r="K1005" s="8" t="n"/>
      <c r="L1005" s="8" t="n"/>
      <c r="M1005" s="8" t="n"/>
      <c r="N1005" s="8" t="n"/>
      <c r="O1005" s="8" t="n"/>
      <c r="P1005" s="8" t="n"/>
      <c r="Q1005" s="8" t="n"/>
      <c r="R1005" s="8" t="n"/>
      <c r="S1005" s="8" t="n"/>
      <c r="T1005" s="7" t="inlineStr">
        <is>
          <t>SEM COTAÇÃO</t>
        </is>
      </c>
      <c r="U1005" s="8" t="n"/>
      <c r="V1005" s="14" t="n"/>
      <c r="W1005" s="14" t="n"/>
      <c r="X1005" s="7" t="inlineStr"/>
      <c r="Y1005" s="7" t="inlineStr"/>
    </row>
    <row r="1006">
      <c r="A1006" s="7" t="n">
        <v>544141</v>
      </c>
      <c r="B1006" s="12" t="inlineStr">
        <is>
          <t>7891176117622</t>
        </is>
      </c>
      <c r="C1006" s="7" t="inlineStr">
        <is>
          <t>CONDICIONADOR NEUTROX CLASSICO FRASCO 200ML</t>
        </is>
      </c>
      <c r="D1006" s="7" t="inlineStr">
        <is>
          <t>PERF/COSME</t>
        </is>
      </c>
      <c r="E1006" s="7" t="inlineStr">
        <is>
          <t>C</t>
        </is>
      </c>
      <c r="F1006" s="13" t="n">
        <v>1</v>
      </c>
      <c r="G1006" s="13" t="n">
        <v>1</v>
      </c>
      <c r="H1006" s="8" t="n">
        <v>10.08</v>
      </c>
      <c r="I1006" s="8" t="n">
        <v>10.08</v>
      </c>
      <c r="J1006" s="8" t="n">
        <v>10.08</v>
      </c>
      <c r="K1006" s="8" t="n"/>
      <c r="L1006" s="8" t="n"/>
      <c r="M1006" s="8" t="n"/>
      <c r="N1006" s="8" t="n"/>
      <c r="O1006" s="8" t="n"/>
      <c r="P1006" s="8" t="n"/>
      <c r="Q1006" s="8" t="n"/>
      <c r="R1006" s="8" t="n"/>
      <c r="S1006" s="8" t="n"/>
      <c r="T1006" s="7" t="inlineStr">
        <is>
          <t>SEM COTAÇÃO</t>
        </is>
      </c>
      <c r="U1006" s="8" t="n"/>
      <c r="V1006" s="14" t="n"/>
      <c r="W1006" s="14" t="n"/>
      <c r="X1006" s="7" t="inlineStr"/>
      <c r="Y1006" s="7" t="inlineStr"/>
    </row>
    <row r="1007">
      <c r="A1007" s="7" t="n">
        <v>641281</v>
      </c>
      <c r="B1007" s="12" t="inlineStr">
        <is>
          <t>7898944075252</t>
        </is>
      </c>
      <c r="C1007" s="7" t="inlineStr">
        <is>
          <t>CONDICIONADOR POS PROGRESSIVA 300ML</t>
        </is>
      </c>
      <c r="D1007" s="7" t="inlineStr">
        <is>
          <t>COND/SHAM/CREM/SIMILARES</t>
        </is>
      </c>
      <c r="E1007" s="7" t="inlineStr">
        <is>
          <t>B</t>
        </is>
      </c>
      <c r="F1007" s="13" t="n">
        <v>3</v>
      </c>
      <c r="G1007" s="13" t="n">
        <v>3</v>
      </c>
      <c r="H1007" s="8" t="n">
        <v>25.7</v>
      </c>
      <c r="I1007" s="8" t="n">
        <v>25.7</v>
      </c>
      <c r="J1007" s="8" t="n">
        <v>25.7</v>
      </c>
      <c r="K1007" s="8" t="n"/>
      <c r="L1007" s="8" t="n"/>
      <c r="M1007" s="8" t="n"/>
      <c r="N1007" s="8" t="n"/>
      <c r="O1007" s="8" t="n"/>
      <c r="P1007" s="8" t="n"/>
      <c r="Q1007" s="8" t="n"/>
      <c r="R1007" s="8" t="n"/>
      <c r="S1007" s="8" t="n"/>
      <c r="T1007" s="7" t="inlineStr">
        <is>
          <t>SEM COTAÇÃO</t>
        </is>
      </c>
      <c r="U1007" s="8" t="n"/>
      <c r="V1007" s="14" t="n"/>
      <c r="W1007" s="14" t="n"/>
      <c r="X1007" s="7" t="inlineStr"/>
      <c r="Y1007" s="7" t="inlineStr"/>
    </row>
    <row r="1008">
      <c r="A1008" s="7" t="n">
        <v>589631</v>
      </c>
      <c r="B1008" s="12" t="inlineStr">
        <is>
          <t>7898126405815</t>
        </is>
      </c>
      <c r="C1008" s="7" t="inlineStr">
        <is>
          <t>CONDICIONADOR SPECIALISTE RESGATE 300ML</t>
        </is>
      </c>
      <c r="D1008" s="7" t="inlineStr">
        <is>
          <t>PERF/COSME</t>
        </is>
      </c>
      <c r="E1008" s="7" t="inlineStr">
        <is>
          <t>C</t>
        </is>
      </c>
      <c r="F1008" s="13" t="n">
        <v>1</v>
      </c>
      <c r="G1008" s="13" t="n">
        <v>1</v>
      </c>
      <c r="H1008" s="8" t="n">
        <v>36.4</v>
      </c>
      <c r="I1008" s="8" t="n">
        <v>36.4</v>
      </c>
      <c r="J1008" s="8" t="n">
        <v>36.4</v>
      </c>
      <c r="K1008" s="8" t="n"/>
      <c r="L1008" s="8" t="n"/>
      <c r="M1008" s="8" t="n"/>
      <c r="N1008" s="8" t="n"/>
      <c r="O1008" s="8" t="n"/>
      <c r="P1008" s="8" t="n"/>
      <c r="Q1008" s="8" t="n"/>
      <c r="R1008" s="8" t="n"/>
      <c r="S1008" s="8" t="n"/>
      <c r="T1008" s="7" t="inlineStr">
        <is>
          <t>SEM COTAÇÃO</t>
        </is>
      </c>
      <c r="U1008" s="8" t="n"/>
      <c r="V1008" s="14" t="n"/>
      <c r="W1008" s="14" t="n"/>
      <c r="X1008" s="7" t="inlineStr"/>
      <c r="Y1008" s="7" t="inlineStr"/>
    </row>
    <row r="1009">
      <c r="A1009" s="7" t="n">
        <v>617751</v>
      </c>
      <c r="B1009" s="12" t="inlineStr">
        <is>
          <t>7891055816264</t>
        </is>
      </c>
      <c r="C1009" s="7" t="inlineStr">
        <is>
          <t>CONDOR ESC DENT CLASSIC FLEX MAC C/3</t>
        </is>
      </c>
      <c r="D1009" s="7" t="inlineStr">
        <is>
          <t>PERF/COSME</t>
        </is>
      </c>
      <c r="E1009" s="7" t="inlineStr">
        <is>
          <t>C</t>
        </is>
      </c>
      <c r="F1009" s="13" t="n">
        <v>1</v>
      </c>
      <c r="G1009" s="13" t="n">
        <v>1</v>
      </c>
      <c r="H1009" s="8" t="n">
        <v>7.78</v>
      </c>
      <c r="I1009" s="8" t="n">
        <v>7.78</v>
      </c>
      <c r="J1009" s="8" t="n">
        <v>7.78</v>
      </c>
      <c r="K1009" s="8" t="n"/>
      <c r="L1009" s="8" t="n"/>
      <c r="M1009" s="8" t="n"/>
      <c r="N1009" s="8" t="n"/>
      <c r="O1009" s="8" t="n"/>
      <c r="P1009" s="8" t="n"/>
      <c r="Q1009" s="8" t="n"/>
      <c r="R1009" s="8" t="n"/>
      <c r="S1009" s="8" t="n"/>
      <c r="T1009" s="7" t="inlineStr">
        <is>
          <t>SEM COTAÇÃO</t>
        </is>
      </c>
      <c r="U1009" s="8" t="n"/>
      <c r="V1009" s="14" t="n"/>
      <c r="W1009" s="14" t="n"/>
      <c r="X1009" s="7" t="inlineStr"/>
      <c r="Y1009" s="7" t="inlineStr"/>
    </row>
    <row r="1010">
      <c r="A1010" s="7" t="n">
        <v>617761</v>
      </c>
      <c r="B1010" s="12" t="inlineStr">
        <is>
          <t>7891055816271</t>
        </is>
      </c>
      <c r="C1010" s="7" t="inlineStr">
        <is>
          <t>CONDOR ESC DENT CLASSIC FLEX MAC C/5</t>
        </is>
      </c>
      <c r="D1010" s="7" t="inlineStr">
        <is>
          <t>PERF/COSME</t>
        </is>
      </c>
      <c r="E1010" s="7" t="inlineStr">
        <is>
          <t>C</t>
        </is>
      </c>
      <c r="F1010" s="13" t="n">
        <v>1</v>
      </c>
      <c r="G1010" s="13" t="n">
        <v>1</v>
      </c>
      <c r="H1010" s="8" t="n">
        <v>11.65</v>
      </c>
      <c r="I1010" s="8" t="n">
        <v>11.65</v>
      </c>
      <c r="J1010" s="8" t="n">
        <v>11.65</v>
      </c>
      <c r="K1010" s="8" t="n"/>
      <c r="L1010" s="8" t="n"/>
      <c r="M1010" s="8" t="n"/>
      <c r="N1010" s="8" t="n"/>
      <c r="O1010" s="8" t="n"/>
      <c r="P1010" s="8" t="n"/>
      <c r="Q1010" s="8" t="n"/>
      <c r="R1010" s="8" t="n"/>
      <c r="S1010" s="8" t="n"/>
      <c r="T1010" s="7" t="inlineStr">
        <is>
          <t>SEM COTAÇÃO</t>
        </is>
      </c>
      <c r="U1010" s="8" t="n"/>
      <c r="V1010" s="14" t="n"/>
      <c r="W1010" s="14" t="n"/>
      <c r="X1010" s="7" t="inlineStr"/>
      <c r="Y1010" s="7" t="inlineStr"/>
    </row>
    <row r="1011">
      <c r="A1011" s="7" t="n">
        <v>574381</v>
      </c>
      <c r="B1011" s="12" t="inlineStr">
        <is>
          <t>7891055323908</t>
        </is>
      </c>
      <c r="C1011" s="7" t="inlineStr">
        <is>
          <t>CONDOR ESC DENT INF BARBIE JR 3160-0</t>
        </is>
      </c>
      <c r="D1011" s="7" t="inlineStr">
        <is>
          <t>PERF/COSME</t>
        </is>
      </c>
      <c r="E1011" s="7" t="inlineStr">
        <is>
          <t>C</t>
        </is>
      </c>
      <c r="F1011" s="13" t="n">
        <v>1</v>
      </c>
      <c r="G1011" s="13" t="n">
        <v>1</v>
      </c>
      <c r="H1011" s="8" t="n">
        <v>11.68</v>
      </c>
      <c r="I1011" s="8" t="n">
        <v>11.68</v>
      </c>
      <c r="J1011" s="8" t="n">
        <v>11.68</v>
      </c>
      <c r="K1011" s="8" t="n"/>
      <c r="L1011" s="8" t="n"/>
      <c r="M1011" s="8" t="n"/>
      <c r="N1011" s="8" t="n"/>
      <c r="O1011" s="8" t="n"/>
      <c r="P1011" s="8" t="n"/>
      <c r="Q1011" s="8" t="n"/>
      <c r="R1011" s="8" t="n"/>
      <c r="S1011" s="8" t="n"/>
      <c r="T1011" s="7" t="inlineStr">
        <is>
          <t>SEM COTAÇÃO</t>
        </is>
      </c>
      <c r="U1011" s="8" t="n"/>
      <c r="V1011" s="14" t="n"/>
      <c r="W1011" s="14" t="n"/>
      <c r="X1011" s="7" t="inlineStr"/>
      <c r="Y1011" s="7" t="inlineStr"/>
    </row>
    <row r="1012">
      <c r="A1012" s="7" t="n">
        <v>617781</v>
      </c>
      <c r="B1012" s="12" t="inlineStr">
        <is>
          <t>7891055816042</t>
        </is>
      </c>
      <c r="C1012" s="7" t="inlineStr">
        <is>
          <t>CONDOR ESC DENT INF BARBIE JR 8260 L2P1</t>
        </is>
      </c>
      <c r="D1012" s="7" t="inlineStr">
        <is>
          <t>PERF/COSME</t>
        </is>
      </c>
      <c r="E1012" s="7" t="inlineStr">
        <is>
          <t>C</t>
        </is>
      </c>
      <c r="F1012" s="13" t="n">
        <v>1</v>
      </c>
      <c r="G1012" s="13" t="n">
        <v>1</v>
      </c>
      <c r="H1012" s="8" t="n">
        <v>11.08</v>
      </c>
      <c r="I1012" s="8" t="n">
        <v>11.08</v>
      </c>
      <c r="J1012" s="8" t="n">
        <v>11.08</v>
      </c>
      <c r="K1012" s="8" t="n"/>
      <c r="L1012" s="8" t="n"/>
      <c r="M1012" s="8" t="n"/>
      <c r="N1012" s="8" t="n"/>
      <c r="O1012" s="8" t="n"/>
      <c r="P1012" s="8" t="n"/>
      <c r="Q1012" s="8" t="n"/>
      <c r="R1012" s="8" t="n"/>
      <c r="S1012" s="8" t="n"/>
      <c r="T1012" s="7" t="inlineStr">
        <is>
          <t>SEM COTAÇÃO</t>
        </is>
      </c>
      <c r="U1012" s="8" t="n"/>
      <c r="V1012" s="14" t="n"/>
      <c r="W1012" s="14" t="n"/>
      <c r="X1012" s="7" t="inlineStr"/>
      <c r="Y1012" s="7" t="inlineStr"/>
    </row>
    <row r="1013">
      <c r="A1013" s="7" t="n">
        <v>585601</v>
      </c>
      <c r="B1013" s="12" t="inlineStr">
        <is>
          <t>7891055323984</t>
        </is>
      </c>
      <c r="C1013" s="7" t="inlineStr">
        <is>
          <t>CONDOR ESC DENT INF BARBIE KIDS+ 3170-0</t>
        </is>
      </c>
      <c r="D1013" s="7" t="inlineStr">
        <is>
          <t>PERF/COSME</t>
        </is>
      </c>
      <c r="E1013" s="7" t="inlineStr">
        <is>
          <t>C</t>
        </is>
      </c>
      <c r="F1013" s="13" t="n">
        <v>1</v>
      </c>
      <c r="G1013" s="13" t="n">
        <v>1</v>
      </c>
      <c r="H1013" s="8" t="n">
        <v>10.45</v>
      </c>
      <c r="I1013" s="8" t="n">
        <v>10.45</v>
      </c>
      <c r="J1013" s="8" t="n">
        <v>10.45</v>
      </c>
      <c r="K1013" s="8" t="n"/>
      <c r="L1013" s="8" t="n"/>
      <c r="M1013" s="8" t="n"/>
      <c r="N1013" s="8" t="n"/>
      <c r="O1013" s="8" t="n"/>
      <c r="P1013" s="8" t="n"/>
      <c r="Q1013" s="8" t="n"/>
      <c r="R1013" s="8" t="n"/>
      <c r="S1013" s="8" t="n"/>
      <c r="T1013" s="7" t="inlineStr">
        <is>
          <t>SEM COTAÇÃO</t>
        </is>
      </c>
      <c r="U1013" s="8" t="n"/>
      <c r="V1013" s="14" t="n"/>
      <c r="W1013" s="14" t="n"/>
      <c r="X1013" s="7" t="inlineStr"/>
      <c r="Y1013" s="7" t="inlineStr"/>
    </row>
    <row r="1014">
      <c r="A1014" s="7" t="n">
        <v>617811</v>
      </c>
      <c r="B1014" s="12" t="inlineStr">
        <is>
          <t>7891055815502</t>
        </is>
      </c>
      <c r="C1014" s="7" t="inlineStr">
        <is>
          <t>CONDOR ESC DENT INF LILICA JR 8260 L2P1</t>
        </is>
      </c>
      <c r="D1014" s="7" t="inlineStr">
        <is>
          <t>PERF/COSME</t>
        </is>
      </c>
      <c r="E1014" s="7" t="inlineStr">
        <is>
          <t>C</t>
        </is>
      </c>
      <c r="F1014" s="13" t="n">
        <v>1</v>
      </c>
      <c r="G1014" s="13" t="n">
        <v>1</v>
      </c>
      <c r="H1014" s="8" t="n">
        <v>12.59</v>
      </c>
      <c r="I1014" s="8" t="n">
        <v>12.59</v>
      </c>
      <c r="J1014" s="8" t="n">
        <v>12.59</v>
      </c>
      <c r="K1014" s="8" t="n"/>
      <c r="L1014" s="8" t="n"/>
      <c r="M1014" s="8" t="n"/>
      <c r="N1014" s="8" t="n"/>
      <c r="O1014" s="8" t="n"/>
      <c r="P1014" s="8" t="n"/>
      <c r="Q1014" s="8" t="n"/>
      <c r="R1014" s="8" t="n"/>
      <c r="S1014" s="8" t="n"/>
      <c r="T1014" s="7" t="inlineStr">
        <is>
          <t>SEM COTAÇÃO</t>
        </is>
      </c>
      <c r="U1014" s="8" t="n"/>
      <c r="V1014" s="14" t="n"/>
      <c r="W1014" s="14" t="n"/>
      <c r="X1014" s="7" t="inlineStr"/>
      <c r="Y1014" s="7" t="inlineStr"/>
    </row>
    <row r="1015">
      <c r="A1015" s="7" t="n">
        <v>585481</v>
      </c>
      <c r="B1015" s="12" t="inlineStr">
        <is>
          <t>7891055435830</t>
        </is>
      </c>
      <c r="C1015" s="7" t="inlineStr">
        <is>
          <t>CONDOR ESC DENT INF SNOOPY BABY 3161-3</t>
        </is>
      </c>
      <c r="D1015" s="7" t="inlineStr">
        <is>
          <t>PERF/COSME</t>
        </is>
      </c>
      <c r="E1015" s="7" t="inlineStr">
        <is>
          <t>C</t>
        </is>
      </c>
      <c r="F1015" s="13" t="n">
        <v>1</v>
      </c>
      <c r="G1015" s="13" t="n">
        <v>1</v>
      </c>
      <c r="H1015" s="8" t="n">
        <v>15.65</v>
      </c>
      <c r="I1015" s="8" t="n">
        <v>15.65</v>
      </c>
      <c r="J1015" s="8" t="n">
        <v>15.65</v>
      </c>
      <c r="K1015" s="8" t="n"/>
      <c r="L1015" s="8" t="n"/>
      <c r="M1015" s="8" t="n"/>
      <c r="N1015" s="8" t="n"/>
      <c r="O1015" s="8" t="n"/>
      <c r="P1015" s="8" t="n"/>
      <c r="Q1015" s="8" t="n"/>
      <c r="R1015" s="8" t="n"/>
      <c r="S1015" s="8" t="n"/>
      <c r="T1015" s="7" t="inlineStr">
        <is>
          <t>SEM COTAÇÃO</t>
        </is>
      </c>
      <c r="U1015" s="8" t="n"/>
      <c r="V1015" s="14" t="n"/>
      <c r="W1015" s="14" t="n"/>
      <c r="X1015" s="7" t="inlineStr"/>
      <c r="Y1015" s="7" t="inlineStr"/>
    </row>
    <row r="1016">
      <c r="A1016" s="7" t="n">
        <v>6561</v>
      </c>
      <c r="B1016" s="12" t="inlineStr">
        <is>
          <t>7894916502900</t>
        </is>
      </c>
      <c r="C1016" s="7" t="inlineStr">
        <is>
          <t>CONTRACEP SUS INJ 1 FA X 1ML</t>
        </is>
      </c>
      <c r="D1016" s="7" t="inlineStr">
        <is>
          <t>RX</t>
        </is>
      </c>
      <c r="E1016" s="7" t="inlineStr">
        <is>
          <t>A</t>
        </is>
      </c>
      <c r="F1016" s="13" t="n">
        <v>21</v>
      </c>
      <c r="G1016" s="13" t="n">
        <v>21</v>
      </c>
      <c r="H1016" s="8" t="n">
        <v>23.69</v>
      </c>
      <c r="I1016" s="8" t="n">
        <v>22.9</v>
      </c>
      <c r="J1016" s="8" t="n">
        <v>23.16333333333334</v>
      </c>
      <c r="K1016" s="8" t="n"/>
      <c r="L1016" s="8" t="n"/>
      <c r="M1016" s="8" t="n"/>
      <c r="N1016" s="8" t="n"/>
      <c r="O1016" s="15" t="n">
        <v>23.94</v>
      </c>
      <c r="P1016" s="8" t="n">
        <v>24.83325</v>
      </c>
      <c r="Q1016" s="8" t="n"/>
      <c r="R1016" s="8" t="n"/>
      <c r="S1016" s="8" t="n"/>
      <c r="T1016" s="7" t="inlineStr">
        <is>
          <t>TAPAJOS</t>
        </is>
      </c>
      <c r="U1016" s="8" t="n">
        <v>23.94</v>
      </c>
      <c r="V1016" s="14">
        <f>U1016/J1016-1</f>
        <v/>
      </c>
      <c r="W1016" s="14">
        <f>U1016/H1016-1</f>
        <v/>
      </c>
      <c r="X1016" s="16" t="inlineStr">
        <is>
          <t>ACIMA +1.1%</t>
        </is>
      </c>
      <c r="Y1016" s="7" t="inlineStr"/>
    </row>
    <row r="1017">
      <c r="A1017" s="7" t="n">
        <v>631981</v>
      </c>
      <c r="B1017" s="12" t="inlineStr">
        <is>
          <t>7891962054469</t>
        </is>
      </c>
      <c r="C1017" s="7" t="inlineStr">
        <is>
          <t>COOKIES BAUD CHOCOLATE 60G</t>
        </is>
      </c>
      <c r="D1017" s="7" t="inlineStr">
        <is>
          <t>CONVENIENCIA</t>
        </is>
      </c>
      <c r="E1017" s="7" t="inlineStr">
        <is>
          <t>C</t>
        </is>
      </c>
      <c r="F1017" s="13" t="n">
        <v>1</v>
      </c>
      <c r="G1017" s="13" t="n">
        <v>1</v>
      </c>
      <c r="H1017" s="8" t="n">
        <v>1.8529</v>
      </c>
      <c r="I1017" s="8" t="n">
        <v>1.8529</v>
      </c>
      <c r="J1017" s="8" t="n">
        <v>1.8529</v>
      </c>
      <c r="K1017" s="8" t="n"/>
      <c r="L1017" s="8" t="n"/>
      <c r="M1017" s="8" t="n"/>
      <c r="N1017" s="8" t="n"/>
      <c r="O1017" s="8" t="n"/>
      <c r="P1017" s="8" t="n"/>
      <c r="Q1017" s="8" t="n"/>
      <c r="R1017" s="8" t="n"/>
      <c r="S1017" s="8" t="n"/>
      <c r="T1017" s="7" t="inlineStr">
        <is>
          <t>SEM COTAÇÃO</t>
        </is>
      </c>
      <c r="U1017" s="8" t="n"/>
      <c r="V1017" s="14" t="n"/>
      <c r="W1017" s="14" t="n"/>
      <c r="X1017" s="7" t="inlineStr"/>
      <c r="Y1017" s="7" t="inlineStr"/>
    </row>
    <row r="1018">
      <c r="A1018" s="7" t="n">
        <v>651941</v>
      </c>
      <c r="B1018" s="12" t="inlineStr">
        <is>
          <t>7891962054100</t>
        </is>
      </c>
      <c r="C1018" s="7" t="inlineStr">
        <is>
          <t>COOKIES BAUD ORIGINAL 100G</t>
        </is>
      </c>
      <c r="D1018" s="7" t="inlineStr">
        <is>
          <t>BISCOITOS/SALGADOS</t>
        </is>
      </c>
      <c r="E1018" s="7" t="inlineStr">
        <is>
          <t>C</t>
        </is>
      </c>
      <c r="F1018" s="13" t="n">
        <v>6</v>
      </c>
      <c r="G1018" s="13" t="n">
        <v>6</v>
      </c>
      <c r="H1018" s="8" t="n">
        <v>5.08</v>
      </c>
      <c r="I1018" s="8" t="n">
        <v>4.99</v>
      </c>
      <c r="J1018" s="8" t="n">
        <v>5.02</v>
      </c>
      <c r="K1018" s="8" t="n"/>
      <c r="L1018" s="8" t="n"/>
      <c r="M1018" s="8" t="n"/>
      <c r="N1018" s="8" t="n"/>
      <c r="O1018" s="8" t="n"/>
      <c r="P1018" s="8" t="n"/>
      <c r="Q1018" s="8" t="n"/>
      <c r="R1018" s="8" t="n"/>
      <c r="S1018" s="8" t="n"/>
      <c r="T1018" s="7" t="inlineStr">
        <is>
          <t>SEM COTAÇÃO</t>
        </is>
      </c>
      <c r="U1018" s="8" t="n"/>
      <c r="V1018" s="14" t="n"/>
      <c r="W1018" s="14" t="n"/>
      <c r="X1018" s="7" t="inlineStr"/>
      <c r="Y1018" s="7" t="inlineStr"/>
    </row>
    <row r="1019">
      <c r="A1019" s="7" t="n">
        <v>631991</v>
      </c>
      <c r="B1019" s="12" t="inlineStr">
        <is>
          <t>7891962054810</t>
        </is>
      </c>
      <c r="C1019" s="7" t="inlineStr">
        <is>
          <t>COOKIES BAUD ORIGINAL 60G</t>
        </is>
      </c>
      <c r="D1019" s="7" t="inlineStr">
        <is>
          <t>CONVENIENCIA</t>
        </is>
      </c>
      <c r="E1019" s="7" t="inlineStr">
        <is>
          <t>C</t>
        </is>
      </c>
      <c r="F1019" s="13" t="n">
        <v>1</v>
      </c>
      <c r="G1019" s="13" t="n">
        <v>1</v>
      </c>
      <c r="H1019" s="8" t="n">
        <v>1.87</v>
      </c>
      <c r="I1019" s="8" t="n">
        <v>1.87</v>
      </c>
      <c r="J1019" s="8" t="n">
        <v>1.87</v>
      </c>
      <c r="K1019" s="8" t="n"/>
      <c r="L1019" s="8" t="n"/>
      <c r="M1019" s="8" t="n"/>
      <c r="N1019" s="8" t="n"/>
      <c r="O1019" s="8" t="n"/>
      <c r="P1019" s="8" t="n"/>
      <c r="Q1019" s="8" t="n"/>
      <c r="R1019" s="8" t="n"/>
      <c r="S1019" s="8" t="n"/>
      <c r="T1019" s="7" t="inlineStr">
        <is>
          <t>SEM COTAÇÃO</t>
        </is>
      </c>
      <c r="U1019" s="8" t="n"/>
      <c r="V1019" s="14" t="n"/>
      <c r="W1019" s="14" t="n"/>
      <c r="X1019" s="7" t="inlineStr"/>
      <c r="Y1019" s="7" t="inlineStr"/>
    </row>
    <row r="1020">
      <c r="A1020" s="7" t="n">
        <v>632661</v>
      </c>
      <c r="B1020" s="12" t="inlineStr">
        <is>
          <t>8710103779810</t>
        </is>
      </c>
      <c r="C1020" s="7" t="inlineStr">
        <is>
          <t>COPO BICO SILIC C/ALCA 200ML MASC/SCF551/05</t>
        </is>
      </c>
      <c r="D1020" s="7" t="inlineStr">
        <is>
          <t>BABY/KIDS</t>
        </is>
      </c>
      <c r="E1020" s="7" t="inlineStr">
        <is>
          <t>C</t>
        </is>
      </c>
      <c r="F1020" s="13" t="n">
        <v>1</v>
      </c>
      <c r="G1020" s="13" t="n">
        <v>1</v>
      </c>
      <c r="H1020" s="8" t="n">
        <v>31.34</v>
      </c>
      <c r="I1020" s="8" t="n">
        <v>31.34</v>
      </c>
      <c r="J1020" s="8" t="n">
        <v>31.34</v>
      </c>
      <c r="K1020" s="8" t="n"/>
      <c r="L1020" s="8" t="n"/>
      <c r="M1020" s="8" t="n"/>
      <c r="N1020" s="8" t="n"/>
      <c r="O1020" s="8" t="n"/>
      <c r="P1020" s="8" t="n"/>
      <c r="Q1020" s="8" t="n"/>
      <c r="R1020" s="8" t="n"/>
      <c r="S1020" s="8" t="n"/>
      <c r="T1020" s="7" t="inlineStr">
        <is>
          <t>SEM COTAÇÃO</t>
        </is>
      </c>
      <c r="U1020" s="8" t="n"/>
      <c r="V1020" s="14" t="n"/>
      <c r="W1020" s="14" t="n"/>
      <c r="X1020" s="7" t="inlineStr"/>
      <c r="Y1020" s="7" t="inlineStr"/>
    </row>
    <row r="1021">
      <c r="A1021" s="7" t="n">
        <v>619181</v>
      </c>
      <c r="B1021" s="12" t="inlineStr">
        <is>
          <t>7896699020169</t>
        </is>
      </c>
      <c r="C1021" s="7" t="inlineStr">
        <is>
          <t>COPO EDUCATIVO TIP 150ML AZUL 7100-00-M</t>
        </is>
      </c>
      <c r="D1021" s="7" t="inlineStr">
        <is>
          <t>BABY/KIDS</t>
        </is>
      </c>
      <c r="E1021" s="7" t="inlineStr">
        <is>
          <t>C</t>
        </is>
      </c>
      <c r="F1021" s="13" t="n">
        <v>2</v>
      </c>
      <c r="G1021" s="13" t="n">
        <v>2</v>
      </c>
      <c r="H1021" s="8" t="n">
        <v>10.6</v>
      </c>
      <c r="I1021" s="8" t="n">
        <v>10.6</v>
      </c>
      <c r="J1021" s="8" t="n">
        <v>10.6</v>
      </c>
      <c r="K1021" s="8" t="n"/>
      <c r="L1021" s="8" t="n"/>
      <c r="M1021" s="8" t="n"/>
      <c r="N1021" s="8" t="n"/>
      <c r="O1021" s="8" t="n"/>
      <c r="P1021" s="8" t="n"/>
      <c r="Q1021" s="8" t="n"/>
      <c r="R1021" s="8" t="n"/>
      <c r="S1021" s="8" t="n"/>
      <c r="T1021" s="7" t="inlineStr">
        <is>
          <t>SEM COTAÇÃO</t>
        </is>
      </c>
      <c r="U1021" s="8" t="n"/>
      <c r="V1021" s="14" t="n"/>
      <c r="W1021" s="14" t="n"/>
      <c r="X1021" s="7" t="inlineStr"/>
      <c r="Y1021" s="7" t="inlineStr"/>
    </row>
    <row r="1022">
      <c r="A1022" s="7" t="n">
        <v>619191</v>
      </c>
      <c r="B1022" s="12" t="inlineStr">
        <is>
          <t>7896699020183</t>
        </is>
      </c>
      <c r="C1022" s="7" t="inlineStr">
        <is>
          <t>COPO EDUCATIVO TIP 150ML ROSA 7100-00-F</t>
        </is>
      </c>
      <c r="D1022" s="7" t="inlineStr">
        <is>
          <t>BABY/KIDS</t>
        </is>
      </c>
      <c r="E1022" s="7" t="inlineStr">
        <is>
          <t>C</t>
        </is>
      </c>
      <c r="F1022" s="13" t="n">
        <v>1</v>
      </c>
      <c r="G1022" s="13" t="n">
        <v>1</v>
      </c>
      <c r="H1022" s="8" t="n">
        <v>10.6</v>
      </c>
      <c r="I1022" s="8" t="n">
        <v>10.6</v>
      </c>
      <c r="J1022" s="8" t="n">
        <v>10.6</v>
      </c>
      <c r="K1022" s="8" t="n"/>
      <c r="L1022" s="8" t="n"/>
      <c r="M1022" s="8" t="n"/>
      <c r="N1022" s="8" t="n"/>
      <c r="O1022" s="8" t="n"/>
      <c r="P1022" s="8" t="n"/>
      <c r="Q1022" s="8" t="n"/>
      <c r="R1022" s="8" t="n"/>
      <c r="S1022" s="8" t="n"/>
      <c r="T1022" s="7" t="inlineStr">
        <is>
          <t>SEM COTAÇÃO</t>
        </is>
      </c>
      <c r="U1022" s="8" t="n"/>
      <c r="V1022" s="14" t="n"/>
      <c r="W1022" s="14" t="n"/>
      <c r="X1022" s="7" t="inlineStr"/>
      <c r="Y1022" s="7" t="inlineStr"/>
    </row>
    <row r="1023">
      <c r="A1023" s="7" t="n">
        <v>585461</v>
      </c>
      <c r="B1023" s="12" t="inlineStr">
        <is>
          <t>7898918205166</t>
        </is>
      </c>
      <c r="C1023" s="7" t="inlineStr">
        <is>
          <t>COPO QUY MAIS UN</t>
        </is>
      </c>
      <c r="D1023" s="7" t="inlineStr">
        <is>
          <t>SORVETE E PICOLES</t>
        </is>
      </c>
      <c r="E1023" s="7" t="inlineStr">
        <is>
          <t>B</t>
        </is>
      </c>
      <c r="F1023" s="13" t="n">
        <v>1</v>
      </c>
      <c r="G1023" s="13" t="n">
        <v>7</v>
      </c>
      <c r="H1023" s="8" t="n">
        <v>5.2778</v>
      </c>
      <c r="I1023" s="8" t="n">
        <v>5.2778</v>
      </c>
      <c r="J1023" s="8" t="n">
        <v>5.2778</v>
      </c>
      <c r="K1023" s="8" t="n"/>
      <c r="L1023" s="8" t="n"/>
      <c r="M1023" s="8" t="n"/>
      <c r="N1023" s="8" t="n"/>
      <c r="O1023" s="8" t="n"/>
      <c r="P1023" s="8" t="n"/>
      <c r="Q1023" s="8" t="n"/>
      <c r="R1023" s="8" t="n"/>
      <c r="S1023" s="8" t="n"/>
      <c r="T1023" s="7" t="inlineStr">
        <is>
          <t>SEM COTAÇÃO</t>
        </is>
      </c>
      <c r="U1023" s="8" t="n"/>
      <c r="V1023" s="14" t="n"/>
      <c r="W1023" s="14" t="n"/>
      <c r="X1023" s="7" t="inlineStr"/>
      <c r="Y1023" s="7" t="inlineStr"/>
    </row>
    <row r="1024">
      <c r="A1024" s="7" t="n">
        <v>659201</v>
      </c>
      <c r="B1024" s="12" t="inlineStr">
        <is>
          <t>7898757790007</t>
        </is>
      </c>
      <c r="C1024" s="7" t="inlineStr">
        <is>
          <t>COPO SORBET DE ACAI CX.12 UND</t>
        </is>
      </c>
      <c r="D1024" s="7" t="inlineStr">
        <is>
          <t>PERF/COSME</t>
        </is>
      </c>
      <c r="E1024" s="7" t="inlineStr">
        <is>
          <t>C</t>
        </is>
      </c>
      <c r="F1024" s="13" t="n">
        <v>1</v>
      </c>
      <c r="G1024" s="13" t="n">
        <v>5</v>
      </c>
      <c r="H1024" s="8" t="n">
        <v>9.333299999999999</v>
      </c>
      <c r="I1024" s="8" t="n">
        <v>9.333299999999999</v>
      </c>
      <c r="J1024" s="8" t="n">
        <v>9.333299999999999</v>
      </c>
      <c r="K1024" s="8" t="n"/>
      <c r="L1024" s="8" t="n"/>
      <c r="M1024" s="8" t="n"/>
      <c r="N1024" s="8" t="n"/>
      <c r="O1024" s="8" t="n"/>
      <c r="P1024" s="8" t="n"/>
      <c r="Q1024" s="8" t="n"/>
      <c r="R1024" s="8" t="n"/>
      <c r="S1024" s="8" t="n"/>
      <c r="T1024" s="7" t="inlineStr">
        <is>
          <t>SEM COTAÇÃO</t>
        </is>
      </c>
      <c r="U1024" s="8" t="n"/>
      <c r="V1024" s="14" t="n"/>
      <c r="W1024" s="14" t="n"/>
      <c r="X1024" s="7" t="inlineStr"/>
      <c r="Y1024" s="7" t="inlineStr"/>
    </row>
    <row r="1025">
      <c r="A1025" s="7" t="n">
        <v>673891</v>
      </c>
      <c r="B1025" s="12" t="inlineStr"/>
      <c r="C1025" s="7" t="inlineStr">
        <is>
          <t>COPO SORBET DE ACAI/MORANGO CX.12 UND</t>
        </is>
      </c>
      <c r="D1025" s="7" t="inlineStr">
        <is>
          <t>SORVETE E PICOLES</t>
        </is>
      </c>
      <c r="E1025" s="7" t="inlineStr">
        <is>
          <t>C</t>
        </is>
      </c>
      <c r="F1025" s="13" t="n">
        <v>1</v>
      </c>
      <c r="G1025" s="13" t="n">
        <v>1</v>
      </c>
      <c r="H1025" s="8" t="n">
        <v>9.333299999999999</v>
      </c>
      <c r="I1025" s="8" t="n">
        <v>9.333299999999999</v>
      </c>
      <c r="J1025" s="8" t="n">
        <v>9.333299999999999</v>
      </c>
      <c r="K1025" s="8" t="n"/>
      <c r="L1025" s="8" t="n"/>
      <c r="M1025" s="8" t="n"/>
      <c r="N1025" s="8" t="n"/>
      <c r="O1025" s="8" t="n"/>
      <c r="P1025" s="8" t="n"/>
      <c r="Q1025" s="8" t="n"/>
      <c r="R1025" s="8" t="n"/>
      <c r="S1025" s="8" t="n"/>
      <c r="T1025" s="7" t="inlineStr">
        <is>
          <t>SEM COTAÇÃO</t>
        </is>
      </c>
      <c r="U1025" s="8" t="n"/>
      <c r="V1025" s="14" t="n"/>
      <c r="W1025" s="14" t="n"/>
      <c r="X1025" s="7" t="inlineStr"/>
      <c r="Y1025" s="7" t="inlineStr"/>
    </row>
    <row r="1026">
      <c r="A1026" s="7" t="n">
        <v>653471</v>
      </c>
      <c r="B1026" s="12" t="inlineStr">
        <is>
          <t>7896699034470</t>
        </is>
      </c>
      <c r="C1026" s="7" t="inlineStr">
        <is>
          <t>COPO STAR BICO SIL 250ML M CX/6 - LOLLY</t>
        </is>
      </c>
      <c r="D1026" s="7" t="inlineStr">
        <is>
          <t>BABY/KIDS</t>
        </is>
      </c>
      <c r="E1026" s="7" t="inlineStr">
        <is>
          <t>C</t>
        </is>
      </c>
      <c r="F1026" s="13" t="n">
        <v>1</v>
      </c>
      <c r="G1026" s="13" t="n">
        <v>1</v>
      </c>
      <c r="H1026" s="8" t="n">
        <v>45.59</v>
      </c>
      <c r="I1026" s="8" t="n">
        <v>45.59</v>
      </c>
      <c r="J1026" s="8" t="n">
        <v>45.59</v>
      </c>
      <c r="K1026" s="8" t="n"/>
      <c r="L1026" s="8" t="n"/>
      <c r="M1026" s="8" t="n"/>
      <c r="N1026" s="8" t="n"/>
      <c r="O1026" s="8" t="n"/>
      <c r="P1026" s="8" t="n"/>
      <c r="Q1026" s="8" t="n"/>
      <c r="R1026" s="8" t="n"/>
      <c r="S1026" s="8" t="n"/>
      <c r="T1026" s="7" t="inlineStr">
        <is>
          <t>SEM COTAÇÃO</t>
        </is>
      </c>
      <c r="U1026" s="8" t="n"/>
      <c r="V1026" s="14" t="n"/>
      <c r="W1026" s="14" t="n"/>
      <c r="X1026" s="7" t="inlineStr"/>
      <c r="Y1026" s="7" t="inlineStr"/>
    </row>
    <row r="1027">
      <c r="A1027" s="7" t="n">
        <v>90721</v>
      </c>
      <c r="B1027" s="12" t="inlineStr">
        <is>
          <t>7891317137557</t>
        </is>
      </c>
      <c r="C1027" s="7" t="inlineStr">
        <is>
          <t>COQUES 200MG CX 10 CAP</t>
        </is>
      </c>
      <c r="D1027" s="7" t="inlineStr">
        <is>
          <t>RX</t>
        </is>
      </c>
      <c r="E1027" s="7" t="inlineStr">
        <is>
          <t>B</t>
        </is>
      </c>
      <c r="F1027" s="13" t="n">
        <v>1</v>
      </c>
      <c r="G1027" s="13" t="n">
        <v>1</v>
      </c>
      <c r="H1027" s="8" t="n">
        <v>34.79</v>
      </c>
      <c r="I1027" s="8" t="n">
        <v>30.618</v>
      </c>
      <c r="J1027" s="8" t="n">
        <v>32.46266666666666</v>
      </c>
      <c r="K1027" s="8" t="n"/>
      <c r="L1027" s="8" t="n"/>
      <c r="M1027" s="8" t="n">
        <v>34.79</v>
      </c>
      <c r="N1027" s="8" t="n"/>
      <c r="O1027" s="15" t="n">
        <v>33.84</v>
      </c>
      <c r="P1027" s="8" t="n">
        <v>35.2702</v>
      </c>
      <c r="Q1027" s="8" t="n"/>
      <c r="R1027" s="8" t="n"/>
      <c r="S1027" s="8" t="n"/>
      <c r="T1027" s="7" t="inlineStr">
        <is>
          <t>TAPAJOS</t>
        </is>
      </c>
      <c r="U1027" s="8" t="n">
        <v>33.84</v>
      </c>
      <c r="V1027" s="14">
        <f>U1027/J1027-1</f>
        <v/>
      </c>
      <c r="W1027" s="14">
        <f>U1027/H1027-1</f>
        <v/>
      </c>
      <c r="X1027" s="17" t="inlineStr">
        <is>
          <t>OK (≤ últ. compra)</t>
        </is>
      </c>
      <c r="Y1027" s="7" t="inlineStr"/>
    </row>
    <row r="1028">
      <c r="A1028" s="7" t="n">
        <v>651831</v>
      </c>
      <c r="B1028" s="12" t="inlineStr">
        <is>
          <t>7908615086194</t>
        </is>
      </c>
      <c r="C1028" s="7" t="inlineStr">
        <is>
          <t>COR&amp;TON MARSALA ACAI 8.26-DEMAIS PROD</t>
        </is>
      </c>
      <c r="D1028" s="7" t="inlineStr">
        <is>
          <t>TINTAS/DESCOLORANTES</t>
        </is>
      </c>
      <c r="E1028" s="7" t="inlineStr">
        <is>
          <t>C</t>
        </is>
      </c>
      <c r="F1028" s="13" t="n">
        <v>2</v>
      </c>
      <c r="G1028" s="13" t="n">
        <v>2</v>
      </c>
      <c r="H1028" s="8" t="n">
        <v>12.58</v>
      </c>
      <c r="I1028" s="8" t="n">
        <v>10.5</v>
      </c>
      <c r="J1028" s="8" t="n">
        <v>11.88666666666666</v>
      </c>
      <c r="K1028" s="8" t="n"/>
      <c r="L1028" s="8" t="n"/>
      <c r="M1028" s="8" t="n"/>
      <c r="N1028" s="8" t="n"/>
      <c r="O1028" s="8" t="n"/>
      <c r="P1028" s="15" t="n">
        <v>12.87</v>
      </c>
      <c r="Q1028" s="8" t="n"/>
      <c r="R1028" s="8" t="n"/>
      <c r="S1028" s="8" t="n"/>
      <c r="T1028" s="7" t="inlineStr">
        <is>
          <t>NAZARIA</t>
        </is>
      </c>
      <c r="U1028" s="8" t="n">
        <v>12.87</v>
      </c>
      <c r="V1028" s="14">
        <f>U1028/J1028-1</f>
        <v/>
      </c>
      <c r="W1028" s="14">
        <f>U1028/H1028-1</f>
        <v/>
      </c>
      <c r="X1028" s="16" t="inlineStr">
        <is>
          <t>ACIMA +2.3%</t>
        </is>
      </c>
      <c r="Y1028" s="7" t="inlineStr"/>
    </row>
    <row r="1029">
      <c r="A1029" s="7" t="n">
        <v>550761</v>
      </c>
      <c r="B1029" s="12" t="inlineStr">
        <is>
          <t>7896015592707</t>
        </is>
      </c>
      <c r="C1029" s="7" t="inlineStr">
        <is>
          <t>COREGA PO UNITARIO 22G - MENTA (FRAÇÃO)</t>
        </is>
      </c>
      <c r="D1029" s="7" t="inlineStr">
        <is>
          <t>RX</t>
        </is>
      </c>
      <c r="E1029" s="7" t="inlineStr">
        <is>
          <t>C</t>
        </is>
      </c>
      <c r="F1029" s="13" t="n">
        <v>1</v>
      </c>
      <c r="G1029" s="13" t="n">
        <v>1</v>
      </c>
      <c r="H1029" s="8" t="n">
        <v>15.5773</v>
      </c>
      <c r="I1029" s="8" t="n">
        <v>6.52</v>
      </c>
      <c r="J1029" s="8" t="n">
        <v>6.52</v>
      </c>
      <c r="K1029" s="8" t="n"/>
      <c r="L1029" s="8" t="n"/>
      <c r="M1029" s="8" t="n"/>
      <c r="N1029" s="8" t="n"/>
      <c r="O1029" s="8" t="n"/>
      <c r="P1029" s="8" t="n"/>
      <c r="Q1029" s="8" t="n"/>
      <c r="R1029" s="8" t="n"/>
      <c r="S1029" s="8" t="n"/>
      <c r="T1029" s="7" t="inlineStr">
        <is>
          <t>SEM COTAÇÃO</t>
        </is>
      </c>
      <c r="U1029" s="8" t="n"/>
      <c r="V1029" s="14" t="n"/>
      <c r="W1029" s="14" t="n"/>
      <c r="X1029" s="7" t="inlineStr"/>
      <c r="Y1029" s="7" t="inlineStr"/>
    </row>
    <row r="1030">
      <c r="A1030" s="7" t="n">
        <v>596051</v>
      </c>
      <c r="B1030" s="12" t="inlineStr">
        <is>
          <t>7898610076859</t>
        </is>
      </c>
      <c r="C1030" s="7" t="inlineStr">
        <is>
          <t>CORPO DOU ESFOLI CORPO 150G ARGILA ROSA</t>
        </is>
      </c>
      <c r="D1030" s="7" t="inlineStr">
        <is>
          <t>PERF/COSME</t>
        </is>
      </c>
      <c r="E1030" s="7" t="inlineStr">
        <is>
          <t>C</t>
        </is>
      </c>
      <c r="F1030" s="13" t="n">
        <v>2</v>
      </c>
      <c r="G1030" s="13" t="n">
        <v>2</v>
      </c>
      <c r="H1030" s="8" t="n">
        <v>5.7</v>
      </c>
      <c r="I1030" s="8" t="n">
        <v>5.7</v>
      </c>
      <c r="J1030" s="8" t="n">
        <v>5.7</v>
      </c>
      <c r="K1030" s="8" t="n"/>
      <c r="L1030" s="8" t="n"/>
      <c r="M1030" s="8" t="n"/>
      <c r="N1030" s="8" t="n"/>
      <c r="O1030" s="8" t="n"/>
      <c r="P1030" s="8" t="n"/>
      <c r="Q1030" s="8" t="n"/>
      <c r="R1030" s="8" t="n"/>
      <c r="S1030" s="8" t="n"/>
      <c r="T1030" s="7" t="inlineStr">
        <is>
          <t>SEM COTAÇÃO</t>
        </is>
      </c>
      <c r="U1030" s="8" t="n"/>
      <c r="V1030" s="14" t="n"/>
      <c r="W1030" s="14" t="n"/>
      <c r="X1030" s="7" t="inlineStr"/>
      <c r="Y1030" s="7" t="inlineStr"/>
    </row>
    <row r="1031">
      <c r="A1031" s="7" t="n">
        <v>608241</v>
      </c>
      <c r="B1031" s="12" t="inlineStr"/>
      <c r="C1031" s="7" t="inlineStr">
        <is>
          <t>CORPO DOU SB FACIAL 100ML CLINIC HIALU</t>
        </is>
      </c>
      <c r="D1031" s="7" t="inlineStr">
        <is>
          <t>PERF/COSME</t>
        </is>
      </c>
      <c r="E1031" s="7" t="inlineStr">
        <is>
          <t>B</t>
        </is>
      </c>
      <c r="F1031" s="13" t="n">
        <v>1</v>
      </c>
      <c r="G1031" s="13" t="n">
        <v>1</v>
      </c>
      <c r="H1031" s="8" t="n">
        <v>13.6</v>
      </c>
      <c r="I1031" s="8" t="n">
        <v>13.6</v>
      </c>
      <c r="J1031" s="8" t="n">
        <v>13.6</v>
      </c>
      <c r="K1031" s="8" t="n"/>
      <c r="L1031" s="8" t="n"/>
      <c r="M1031" s="8" t="n"/>
      <c r="N1031" s="8" t="n"/>
      <c r="O1031" s="8" t="n"/>
      <c r="P1031" s="8" t="n"/>
      <c r="Q1031" s="8" t="n"/>
      <c r="R1031" s="8" t="n"/>
      <c r="S1031" s="8" t="n"/>
      <c r="T1031" s="7" t="inlineStr">
        <is>
          <t>SEM COTAÇÃO</t>
        </is>
      </c>
      <c r="U1031" s="8" t="n"/>
      <c r="V1031" s="14" t="n"/>
      <c r="W1031" s="14" t="n"/>
      <c r="X1031" s="7" t="inlineStr"/>
      <c r="Y1031" s="7" t="inlineStr"/>
    </row>
    <row r="1032">
      <c r="A1032" s="7" t="n">
        <v>636241</v>
      </c>
      <c r="B1032" s="12" t="inlineStr">
        <is>
          <t>7898610078679</t>
        </is>
      </c>
      <c r="C1032" s="7" t="inlineStr">
        <is>
          <t>CORPO DOU SH 300ML VIBES CRESCIMENTO</t>
        </is>
      </c>
      <c r="D1032" s="7" t="inlineStr">
        <is>
          <t>PERF/COSME</t>
        </is>
      </c>
      <c r="E1032" s="7" t="inlineStr">
        <is>
          <t>C</t>
        </is>
      </c>
      <c r="F1032" s="13" t="n">
        <v>1</v>
      </c>
      <c r="G1032" s="13" t="n">
        <v>1</v>
      </c>
      <c r="H1032" s="8" t="n">
        <v>6.56</v>
      </c>
      <c r="I1032" s="8" t="n">
        <v>6.56</v>
      </c>
      <c r="J1032" s="8" t="n">
        <v>6.56</v>
      </c>
      <c r="K1032" s="8" t="n"/>
      <c r="L1032" s="8" t="n"/>
      <c r="M1032" s="8" t="n"/>
      <c r="N1032" s="8" t="n"/>
      <c r="O1032" s="8" t="n"/>
      <c r="P1032" s="8" t="n"/>
      <c r="Q1032" s="8" t="n"/>
      <c r="R1032" s="8" t="n"/>
      <c r="S1032" s="8" t="n"/>
      <c r="T1032" s="7" t="inlineStr">
        <is>
          <t>SEM COTAÇÃO</t>
        </is>
      </c>
      <c r="U1032" s="8" t="n"/>
      <c r="V1032" s="14" t="n"/>
      <c r="W1032" s="14" t="n"/>
      <c r="X1032" s="7" t="inlineStr"/>
      <c r="Y1032" s="7" t="inlineStr"/>
    </row>
    <row r="1033">
      <c r="A1033" s="7" t="n">
        <v>621861</v>
      </c>
      <c r="B1033" s="12" t="inlineStr">
        <is>
          <t>7898610076958</t>
        </is>
      </c>
      <c r="C1033" s="7" t="inlineStr">
        <is>
          <t>CORPO DOU. ARGILA CREME BRANCA 100G</t>
        </is>
      </c>
      <c r="D1033" s="7" t="inlineStr">
        <is>
          <t>PERF/COSME</t>
        </is>
      </c>
      <c r="E1033" s="7" t="inlineStr">
        <is>
          <t>C</t>
        </is>
      </c>
      <c r="F1033" s="13" t="n">
        <v>2</v>
      </c>
      <c r="G1033" s="13" t="n">
        <v>2</v>
      </c>
      <c r="H1033" s="8" t="n">
        <v>9.73</v>
      </c>
      <c r="I1033" s="8" t="n">
        <v>9.73</v>
      </c>
      <c r="J1033" s="8" t="n">
        <v>9.73</v>
      </c>
      <c r="K1033" s="8" t="n"/>
      <c r="L1033" s="8" t="n"/>
      <c r="M1033" s="8" t="n"/>
      <c r="N1033" s="8" t="n"/>
      <c r="O1033" s="8" t="n"/>
      <c r="P1033" s="8" t="n"/>
      <c r="Q1033" s="8" t="n"/>
      <c r="R1033" s="8" t="n"/>
      <c r="S1033" s="8" t="n"/>
      <c r="T1033" s="7" t="inlineStr">
        <is>
          <t>SEM COTAÇÃO</t>
        </is>
      </c>
      <c r="U1033" s="8" t="n"/>
      <c r="V1033" s="14" t="n"/>
      <c r="W1033" s="14" t="n"/>
      <c r="X1033" s="7" t="inlineStr"/>
      <c r="Y1033" s="7" t="inlineStr"/>
    </row>
    <row r="1034">
      <c r="A1034" s="7" t="n">
        <v>625211</v>
      </c>
      <c r="B1034" s="12" t="inlineStr">
        <is>
          <t>7898610076880</t>
        </is>
      </c>
      <c r="C1034" s="7" t="inlineStr">
        <is>
          <t>CORPO DOU. ARGILA PO BRANCA 100G</t>
        </is>
      </c>
      <c r="D1034" s="7" t="inlineStr">
        <is>
          <t>PERF/COSME</t>
        </is>
      </c>
      <c r="E1034" s="7" t="inlineStr">
        <is>
          <t>C</t>
        </is>
      </c>
      <c r="F1034" s="13" t="n">
        <v>1</v>
      </c>
      <c r="G1034" s="13" t="n">
        <v>1</v>
      </c>
      <c r="H1034" s="8" t="n">
        <v>5.51</v>
      </c>
      <c r="I1034" s="8" t="n">
        <v>5.51</v>
      </c>
      <c r="J1034" s="8" t="n">
        <v>5.510000000000001</v>
      </c>
      <c r="K1034" s="8" t="n"/>
      <c r="L1034" s="8" t="n"/>
      <c r="M1034" s="8" t="n"/>
      <c r="N1034" s="8" t="n"/>
      <c r="O1034" s="8" t="n"/>
      <c r="P1034" s="8" t="n"/>
      <c r="Q1034" s="8" t="n"/>
      <c r="R1034" s="8" t="n"/>
      <c r="S1034" s="8" t="n"/>
      <c r="T1034" s="7" t="inlineStr">
        <is>
          <t>SEM COTAÇÃO</t>
        </is>
      </c>
      <c r="U1034" s="8" t="n"/>
      <c r="V1034" s="14" t="n"/>
      <c r="W1034" s="14" t="n"/>
      <c r="X1034" s="7" t="inlineStr"/>
      <c r="Y1034" s="7" t="inlineStr"/>
    </row>
    <row r="1035">
      <c r="A1035" s="7" t="n">
        <v>625221</v>
      </c>
      <c r="B1035" s="12" t="inlineStr">
        <is>
          <t>7898610076866</t>
        </is>
      </c>
      <c r="C1035" s="7" t="inlineStr">
        <is>
          <t>CORPO DOU. ARGILA PO PRETA 100G</t>
        </is>
      </c>
      <c r="D1035" s="7" t="inlineStr">
        <is>
          <t>PERF/COSME</t>
        </is>
      </c>
      <c r="E1035" s="7" t="inlineStr">
        <is>
          <t>C</t>
        </is>
      </c>
      <c r="F1035" s="13" t="n">
        <v>1</v>
      </c>
      <c r="G1035" s="13" t="n">
        <v>1</v>
      </c>
      <c r="H1035" s="8" t="n">
        <v>5.51</v>
      </c>
      <c r="I1035" s="8" t="n">
        <v>5.51</v>
      </c>
      <c r="J1035" s="8" t="n">
        <v>5.510000000000001</v>
      </c>
      <c r="K1035" s="8" t="n"/>
      <c r="L1035" s="8" t="n"/>
      <c r="M1035" s="8" t="n"/>
      <c r="N1035" s="8" t="n"/>
      <c r="O1035" s="8" t="n"/>
      <c r="P1035" s="8" t="n"/>
      <c r="Q1035" s="8" t="n"/>
      <c r="R1035" s="8" t="n"/>
      <c r="S1035" s="8" t="n"/>
      <c r="T1035" s="7" t="inlineStr">
        <is>
          <t>SEM COTAÇÃO</t>
        </is>
      </c>
      <c r="U1035" s="8" t="n"/>
      <c r="V1035" s="14" t="n"/>
      <c r="W1035" s="14" t="n"/>
      <c r="X1035" s="7" t="inlineStr"/>
      <c r="Y1035" s="7" t="inlineStr"/>
    </row>
    <row r="1036">
      <c r="A1036" s="7" t="n">
        <v>625231</v>
      </c>
      <c r="B1036" s="12" t="inlineStr">
        <is>
          <t>7898610076897</t>
        </is>
      </c>
      <c r="C1036" s="7" t="inlineStr">
        <is>
          <t>CORPO DOU. ARGILA PO VERDE 100G</t>
        </is>
      </c>
      <c r="D1036" s="7" t="inlineStr">
        <is>
          <t>PERF/COSME</t>
        </is>
      </c>
      <c r="E1036" s="7" t="inlineStr">
        <is>
          <t>C</t>
        </is>
      </c>
      <c r="F1036" s="13" t="n">
        <v>2</v>
      </c>
      <c r="G1036" s="13" t="n">
        <v>2</v>
      </c>
      <c r="H1036" s="8" t="n">
        <v>5.51</v>
      </c>
      <c r="I1036" s="8" t="n">
        <v>5.51</v>
      </c>
      <c r="J1036" s="8" t="n">
        <v>5.510000000000001</v>
      </c>
      <c r="K1036" s="8" t="n"/>
      <c r="L1036" s="8" t="n"/>
      <c r="M1036" s="8" t="n"/>
      <c r="N1036" s="8" t="n"/>
      <c r="O1036" s="8" t="n"/>
      <c r="P1036" s="8" t="n"/>
      <c r="Q1036" s="8" t="n"/>
      <c r="R1036" s="8" t="n"/>
      <c r="S1036" s="8" t="n"/>
      <c r="T1036" s="7" t="inlineStr">
        <is>
          <t>SEM COTAÇÃO</t>
        </is>
      </c>
      <c r="U1036" s="8" t="n"/>
      <c r="V1036" s="14" t="n"/>
      <c r="W1036" s="14" t="n"/>
      <c r="X1036" s="7" t="inlineStr"/>
      <c r="Y1036" s="7" t="inlineStr"/>
    </row>
    <row r="1037">
      <c r="A1037" s="7" t="n">
        <v>614181</v>
      </c>
      <c r="B1037" s="12" t="inlineStr">
        <is>
          <t>7898933675463</t>
        </is>
      </c>
      <c r="C1037" s="7" t="inlineStr">
        <is>
          <t>CORPO DOU. CREME RACHADURA P/PES 300G</t>
        </is>
      </c>
      <c r="D1037" s="7" t="inlineStr">
        <is>
          <t>PERF/COSME</t>
        </is>
      </c>
      <c r="E1037" s="7" t="inlineStr">
        <is>
          <t>C</t>
        </is>
      </c>
      <c r="F1037" s="13" t="n">
        <v>1</v>
      </c>
      <c r="G1037" s="13" t="n">
        <v>1</v>
      </c>
      <c r="H1037" s="8" t="n">
        <v>13.99</v>
      </c>
      <c r="I1037" s="8" t="n">
        <v>13.99</v>
      </c>
      <c r="J1037" s="8" t="n">
        <v>13.99</v>
      </c>
      <c r="K1037" s="8" t="n"/>
      <c r="L1037" s="8" t="n"/>
      <c r="M1037" s="8" t="n"/>
      <c r="N1037" s="8" t="n"/>
      <c r="O1037" s="8" t="n"/>
      <c r="P1037" s="8" t="n"/>
      <c r="Q1037" s="8" t="n"/>
      <c r="R1037" s="8" t="n"/>
      <c r="S1037" s="8" t="n"/>
      <c r="T1037" s="7" t="inlineStr">
        <is>
          <t>SEM COTAÇÃO</t>
        </is>
      </c>
      <c r="U1037" s="8" t="n"/>
      <c r="V1037" s="14" t="n"/>
      <c r="W1037" s="14" t="n"/>
      <c r="X1037" s="7" t="inlineStr"/>
      <c r="Y1037" s="7" t="inlineStr"/>
    </row>
    <row r="1038">
      <c r="A1038" s="7" t="n">
        <v>616781</v>
      </c>
      <c r="B1038" s="12" t="inlineStr">
        <is>
          <t>7898610078464</t>
        </is>
      </c>
      <c r="C1038" s="7" t="inlineStr">
        <is>
          <t>CORPO DOU. ESFOLI CORPO 150G AMORA AMEXA</t>
        </is>
      </c>
      <c r="D1038" s="7" t="inlineStr">
        <is>
          <t>PERF/COSME</t>
        </is>
      </c>
      <c r="E1038" s="7" t="inlineStr">
        <is>
          <t>C</t>
        </is>
      </c>
      <c r="F1038" s="13" t="n">
        <v>2</v>
      </c>
      <c r="G1038" s="13" t="n">
        <v>2</v>
      </c>
      <c r="H1038" s="8" t="n">
        <v>9.529999999999999</v>
      </c>
      <c r="I1038" s="8" t="n">
        <v>9.529999999999999</v>
      </c>
      <c r="J1038" s="8" t="n">
        <v>9.529999999999999</v>
      </c>
      <c r="K1038" s="8" t="n"/>
      <c r="L1038" s="8" t="n"/>
      <c r="M1038" s="8" t="n"/>
      <c r="N1038" s="8" t="n"/>
      <c r="O1038" s="8" t="n"/>
      <c r="P1038" s="8" t="n"/>
      <c r="Q1038" s="8" t="n"/>
      <c r="R1038" s="8" t="n"/>
      <c r="S1038" s="8" t="n"/>
      <c r="T1038" s="7" t="inlineStr">
        <is>
          <t>SEM COTAÇÃO</t>
        </is>
      </c>
      <c r="U1038" s="8" t="n"/>
      <c r="V1038" s="14" t="n"/>
      <c r="W1038" s="14" t="n"/>
      <c r="X1038" s="7" t="inlineStr"/>
      <c r="Y1038" s="7" t="inlineStr"/>
    </row>
    <row r="1039">
      <c r="A1039" s="7" t="n">
        <v>600081</v>
      </c>
      <c r="B1039" s="12" t="inlineStr">
        <is>
          <t>7898610077955</t>
        </is>
      </c>
      <c r="C1039" s="7" t="inlineStr">
        <is>
          <t>CORPO DOU. KIT BANHO DE LUA PRAT CAMOMIL</t>
        </is>
      </c>
      <c r="D1039" s="7" t="inlineStr">
        <is>
          <t>PERF/COSME</t>
        </is>
      </c>
      <c r="E1039" s="7" t="inlineStr">
        <is>
          <t>C</t>
        </is>
      </c>
      <c r="F1039" s="13" t="n">
        <v>2</v>
      </c>
      <c r="G1039" s="13" t="n">
        <v>2</v>
      </c>
      <c r="H1039" s="8" t="n">
        <v>19.35</v>
      </c>
      <c r="I1039" s="8" t="n">
        <v>19.35</v>
      </c>
      <c r="J1039" s="8" t="n">
        <v>19.35</v>
      </c>
      <c r="K1039" s="8" t="n"/>
      <c r="L1039" s="8" t="n"/>
      <c r="M1039" s="8" t="n"/>
      <c r="N1039" s="8" t="n"/>
      <c r="O1039" s="8" t="n"/>
      <c r="P1039" s="8" t="n"/>
      <c r="Q1039" s="8" t="n"/>
      <c r="R1039" s="8" t="n"/>
      <c r="S1039" s="8" t="n"/>
      <c r="T1039" s="7" t="inlineStr">
        <is>
          <t>SEM COTAÇÃO</t>
        </is>
      </c>
      <c r="U1039" s="8" t="n"/>
      <c r="V1039" s="14" t="n"/>
      <c r="W1039" s="14" t="n"/>
      <c r="X1039" s="7" t="inlineStr"/>
      <c r="Y1039" s="7" t="inlineStr"/>
    </row>
    <row r="1040">
      <c r="A1040" s="7" t="n">
        <v>639091</v>
      </c>
      <c r="B1040" s="12" t="inlineStr">
        <is>
          <t>7898610079638</t>
        </is>
      </c>
      <c r="C1040" s="7" t="inlineStr">
        <is>
          <t>CORPO DOU. OLEO CAP 100ML RICIN MANT MUR</t>
        </is>
      </c>
      <c r="D1040" s="7" t="inlineStr">
        <is>
          <t>COND/SHAM/CREM/SIMILARES</t>
        </is>
      </c>
      <c r="E1040" s="7" t="inlineStr">
        <is>
          <t>C</t>
        </is>
      </c>
      <c r="F1040" s="13" t="n">
        <v>2</v>
      </c>
      <c r="G1040" s="13" t="n">
        <v>2</v>
      </c>
      <c r="H1040" s="8" t="n">
        <v>7.19</v>
      </c>
      <c r="I1040" s="8" t="n">
        <v>7.19</v>
      </c>
      <c r="J1040" s="8" t="n">
        <v>7.19</v>
      </c>
      <c r="K1040" s="8" t="n"/>
      <c r="L1040" s="8" t="n"/>
      <c r="M1040" s="8" t="n"/>
      <c r="N1040" s="8" t="n"/>
      <c r="O1040" s="8" t="n"/>
      <c r="P1040" s="8" t="n"/>
      <c r="Q1040" s="8" t="n"/>
      <c r="R1040" s="8" t="n"/>
      <c r="S1040" s="8" t="n"/>
      <c r="T1040" s="7" t="inlineStr">
        <is>
          <t>SEM COTAÇÃO</t>
        </is>
      </c>
      <c r="U1040" s="8" t="n"/>
      <c r="V1040" s="14" t="n"/>
      <c r="W1040" s="14" t="n"/>
      <c r="X1040" s="7" t="inlineStr"/>
      <c r="Y1040" s="7" t="inlineStr"/>
    </row>
    <row r="1041">
      <c r="A1041" s="7" t="n">
        <v>576381</v>
      </c>
      <c r="B1041" s="12" t="inlineStr">
        <is>
          <t>7898933675050</t>
        </is>
      </c>
      <c r="C1041" s="7" t="inlineStr">
        <is>
          <t>CORPO DOU. PARAFINA 90G</t>
        </is>
      </c>
      <c r="D1041" s="7" t="inlineStr">
        <is>
          <t>PERF/COSME</t>
        </is>
      </c>
      <c r="E1041" s="7" t="inlineStr">
        <is>
          <t>C</t>
        </is>
      </c>
      <c r="F1041" s="13" t="n">
        <v>1</v>
      </c>
      <c r="G1041" s="13" t="n">
        <v>1</v>
      </c>
      <c r="H1041" s="8" t="n">
        <v>15.66</v>
      </c>
      <c r="I1041" s="8" t="n">
        <v>15.66</v>
      </c>
      <c r="J1041" s="8" t="n">
        <v>15.66</v>
      </c>
      <c r="K1041" s="8" t="n"/>
      <c r="L1041" s="8" t="n"/>
      <c r="M1041" s="8" t="n"/>
      <c r="N1041" s="8" t="n"/>
      <c r="O1041" s="8" t="n"/>
      <c r="P1041" s="8" t="n"/>
      <c r="Q1041" s="8" t="n"/>
      <c r="R1041" s="8" t="n"/>
      <c r="S1041" s="8" t="n"/>
      <c r="T1041" s="7" t="inlineStr">
        <is>
          <t>SEM COTAÇÃO</t>
        </is>
      </c>
      <c r="U1041" s="8" t="n"/>
      <c r="V1041" s="14" t="n"/>
      <c r="W1041" s="14" t="n"/>
      <c r="X1041" s="7" t="inlineStr"/>
      <c r="Y1041" s="7" t="inlineStr"/>
    </row>
    <row r="1042">
      <c r="A1042" s="7" t="n">
        <v>639111</v>
      </c>
      <c r="B1042" s="12" t="inlineStr">
        <is>
          <t>7898610079447</t>
        </is>
      </c>
      <c r="C1042" s="7" t="inlineStr">
        <is>
          <t>CORPO DOU. PO DESC CAB/CORP ALGA MAR 20G</t>
        </is>
      </c>
      <c r="D1042" s="7" t="inlineStr">
        <is>
          <t>COND/SHAM/CREM/SIMILARES</t>
        </is>
      </c>
      <c r="E1042" s="7" t="inlineStr">
        <is>
          <t>C</t>
        </is>
      </c>
      <c r="F1042" s="13" t="n">
        <v>1</v>
      </c>
      <c r="G1042" s="13" t="n">
        <v>1</v>
      </c>
      <c r="H1042" s="8" t="n">
        <v>3.6</v>
      </c>
      <c r="I1042" s="8" t="n">
        <v>3.6</v>
      </c>
      <c r="J1042" s="8" t="n">
        <v>3.6</v>
      </c>
      <c r="K1042" s="8" t="n"/>
      <c r="L1042" s="8" t="n"/>
      <c r="M1042" s="8" t="n"/>
      <c r="N1042" s="8" t="n"/>
      <c r="O1042" s="8" t="n"/>
      <c r="P1042" s="8" t="n"/>
      <c r="Q1042" s="8" t="n"/>
      <c r="R1042" s="8" t="n"/>
      <c r="S1042" s="8" t="n"/>
      <c r="T1042" s="7" t="inlineStr">
        <is>
          <t>SEM COTAÇÃO</t>
        </is>
      </c>
      <c r="U1042" s="8" t="n"/>
      <c r="V1042" s="14" t="n"/>
      <c r="W1042" s="14" t="n"/>
      <c r="X1042" s="7" t="inlineStr"/>
      <c r="Y1042" s="7" t="inlineStr"/>
    </row>
    <row r="1043">
      <c r="A1043" s="7" t="n">
        <v>639121</v>
      </c>
      <c r="B1043" s="12" t="inlineStr">
        <is>
          <t>7898610079423</t>
        </is>
      </c>
      <c r="C1043" s="7" t="inlineStr">
        <is>
          <t>CORPO DOU. PO DESC CAB/CORP ALOE VER 20G</t>
        </is>
      </c>
      <c r="D1043" s="7" t="inlineStr">
        <is>
          <t>COND/SHAM/CREM/SIMILARES</t>
        </is>
      </c>
      <c r="E1043" s="7" t="inlineStr">
        <is>
          <t>C</t>
        </is>
      </c>
      <c r="F1043" s="13" t="n">
        <v>1</v>
      </c>
      <c r="G1043" s="13" t="n">
        <v>1</v>
      </c>
      <c r="H1043" s="8" t="n">
        <v>3.24</v>
      </c>
      <c r="I1043" s="8" t="n">
        <v>3.24</v>
      </c>
      <c r="J1043" s="8" t="n">
        <v>3.24</v>
      </c>
      <c r="K1043" s="8" t="n"/>
      <c r="L1043" s="8" t="n"/>
      <c r="M1043" s="8" t="n"/>
      <c r="N1043" s="8" t="n"/>
      <c r="O1043" s="8" t="n"/>
      <c r="P1043" s="8" t="n"/>
      <c r="Q1043" s="8" t="n"/>
      <c r="R1043" s="8" t="n"/>
      <c r="S1043" s="8" t="n"/>
      <c r="T1043" s="7" t="inlineStr">
        <is>
          <t>SEM COTAÇÃO</t>
        </is>
      </c>
      <c r="U1043" s="8" t="n"/>
      <c r="V1043" s="14" t="n"/>
      <c r="W1043" s="14" t="n"/>
      <c r="X1043" s="7" t="inlineStr"/>
      <c r="Y1043" s="7" t="inlineStr"/>
    </row>
    <row r="1044">
      <c r="A1044" s="7" t="n">
        <v>616801</v>
      </c>
      <c r="B1044" s="12" t="inlineStr">
        <is>
          <t>7898610078518</t>
        </is>
      </c>
      <c r="C1044" s="7" t="inlineStr">
        <is>
          <t>CORPO DOU. SB LIQ ESFOLI 180ML MARA CAMO</t>
        </is>
      </c>
      <c r="D1044" s="7" t="inlineStr">
        <is>
          <t>PERF/COSME</t>
        </is>
      </c>
      <c r="E1044" s="7" t="inlineStr">
        <is>
          <t>C</t>
        </is>
      </c>
      <c r="F1044" s="13" t="n">
        <v>1</v>
      </c>
      <c r="G1044" s="13" t="n">
        <v>1</v>
      </c>
      <c r="H1044" s="8" t="n">
        <v>16.01</v>
      </c>
      <c r="I1044" s="8" t="n">
        <v>16.01</v>
      </c>
      <c r="J1044" s="8" t="n">
        <v>16.01</v>
      </c>
      <c r="K1044" s="8" t="n"/>
      <c r="L1044" s="8" t="n"/>
      <c r="M1044" s="8" t="n"/>
      <c r="N1044" s="8" t="n"/>
      <c r="O1044" s="8" t="n"/>
      <c r="P1044" s="8" t="n"/>
      <c r="Q1044" s="8" t="n"/>
      <c r="R1044" s="8" t="n"/>
      <c r="S1044" s="8" t="n"/>
      <c r="T1044" s="7" t="inlineStr">
        <is>
          <t>SEM COTAÇÃO</t>
        </is>
      </c>
      <c r="U1044" s="8" t="n"/>
      <c r="V1044" s="14" t="n"/>
      <c r="W1044" s="14" t="n"/>
      <c r="X1044" s="7" t="inlineStr"/>
      <c r="Y1044" s="7" t="inlineStr"/>
    </row>
    <row r="1045">
      <c r="A1045" s="7" t="n">
        <v>616791</v>
      </c>
      <c r="B1045" s="12" t="inlineStr">
        <is>
          <t>7898610078501</t>
        </is>
      </c>
      <c r="C1045" s="7" t="inlineStr">
        <is>
          <t>CORPO DOU. SB LIQ ESFOLI 180ML MORANGO</t>
        </is>
      </c>
      <c r="D1045" s="7" t="inlineStr">
        <is>
          <t>PERF/COSME</t>
        </is>
      </c>
      <c r="E1045" s="7" t="inlineStr">
        <is>
          <t>C</t>
        </is>
      </c>
      <c r="F1045" s="13" t="n">
        <v>2</v>
      </c>
      <c r="G1045" s="13" t="n">
        <v>2</v>
      </c>
      <c r="H1045" s="8" t="n">
        <v>13.89</v>
      </c>
      <c r="I1045" s="8" t="n">
        <v>13.89</v>
      </c>
      <c r="J1045" s="8" t="n">
        <v>13.89</v>
      </c>
      <c r="K1045" s="8" t="n"/>
      <c r="L1045" s="8" t="n"/>
      <c r="M1045" s="8" t="n"/>
      <c r="N1045" s="8" t="n"/>
      <c r="O1045" s="8" t="n"/>
      <c r="P1045" s="8" t="n"/>
      <c r="Q1045" s="8" t="n"/>
      <c r="R1045" s="8" t="n"/>
      <c r="S1045" s="8" t="n"/>
      <c r="T1045" s="7" t="inlineStr">
        <is>
          <t>SEM COTAÇÃO</t>
        </is>
      </c>
      <c r="U1045" s="8" t="n"/>
      <c r="V1045" s="14" t="n"/>
      <c r="W1045" s="14" t="n"/>
      <c r="X1045" s="7" t="inlineStr"/>
      <c r="Y1045" s="7" t="inlineStr"/>
    </row>
    <row r="1046">
      <c r="A1046" s="7" t="n">
        <v>636251</v>
      </c>
      <c r="B1046" s="12" t="inlineStr">
        <is>
          <t>7898610078709</t>
        </is>
      </c>
      <c r="C1046" s="7" t="inlineStr">
        <is>
          <t>CORPO DOU. SH 300ML VIBES DEFINICAO</t>
        </is>
      </c>
      <c r="D1046" s="7" t="inlineStr">
        <is>
          <t>PERF/COSME</t>
        </is>
      </c>
      <c r="E1046" s="7" t="inlineStr">
        <is>
          <t>C</t>
        </is>
      </c>
      <c r="F1046" s="13" t="n">
        <v>1</v>
      </c>
      <c r="G1046" s="13" t="n">
        <v>1</v>
      </c>
      <c r="H1046" s="8" t="n">
        <v>6.56</v>
      </c>
      <c r="I1046" s="8" t="n">
        <v>6.56</v>
      </c>
      <c r="J1046" s="8" t="n">
        <v>6.56</v>
      </c>
      <c r="K1046" s="8" t="n"/>
      <c r="L1046" s="8" t="n"/>
      <c r="M1046" s="8" t="n"/>
      <c r="N1046" s="8" t="n"/>
      <c r="O1046" s="8" t="n"/>
      <c r="P1046" s="8" t="n"/>
      <c r="Q1046" s="8" t="n"/>
      <c r="R1046" s="8" t="n"/>
      <c r="S1046" s="8" t="n"/>
      <c r="T1046" s="7" t="inlineStr">
        <is>
          <t>SEM COTAÇÃO</t>
        </is>
      </c>
      <c r="U1046" s="8" t="n"/>
      <c r="V1046" s="14" t="n"/>
      <c r="W1046" s="14" t="n"/>
      <c r="X1046" s="7" t="inlineStr"/>
      <c r="Y1046" s="7" t="inlineStr"/>
    </row>
    <row r="1047">
      <c r="A1047" s="7" t="n">
        <v>636261</v>
      </c>
      <c r="B1047" s="12" t="inlineStr">
        <is>
          <t>7898610078730</t>
        </is>
      </c>
      <c r="C1047" s="7" t="inlineStr">
        <is>
          <t>CORPO DOU. SH 300ML VIBES HIDRATACAO</t>
        </is>
      </c>
      <c r="D1047" s="7" t="inlineStr">
        <is>
          <t>PERF/COSME</t>
        </is>
      </c>
      <c r="E1047" s="7" t="inlineStr">
        <is>
          <t>C</t>
        </is>
      </c>
      <c r="F1047" s="13" t="n">
        <v>1</v>
      </c>
      <c r="G1047" s="13" t="n">
        <v>1</v>
      </c>
      <c r="H1047" s="8" t="n">
        <v>6.56</v>
      </c>
      <c r="I1047" s="8" t="n">
        <v>6.56</v>
      </c>
      <c r="J1047" s="8" t="n">
        <v>6.56</v>
      </c>
      <c r="K1047" s="8" t="n"/>
      <c r="L1047" s="8" t="n"/>
      <c r="M1047" s="8" t="n"/>
      <c r="N1047" s="8" t="n"/>
      <c r="O1047" s="8" t="n"/>
      <c r="P1047" s="8" t="n"/>
      <c r="Q1047" s="8" t="n"/>
      <c r="R1047" s="8" t="n"/>
      <c r="S1047" s="8" t="n"/>
      <c r="T1047" s="7" t="inlineStr">
        <is>
          <t>SEM COTAÇÃO</t>
        </is>
      </c>
      <c r="U1047" s="8" t="n"/>
      <c r="V1047" s="14" t="n"/>
      <c r="W1047" s="14" t="n"/>
      <c r="X1047" s="7" t="inlineStr"/>
      <c r="Y1047" s="7" t="inlineStr"/>
    </row>
    <row r="1048">
      <c r="A1048" s="7" t="n">
        <v>636271</v>
      </c>
      <c r="B1048" s="12" t="inlineStr">
        <is>
          <t>7898610078761</t>
        </is>
      </c>
      <c r="C1048" s="7" t="inlineStr">
        <is>
          <t>CORPO DOU. SH 300ML VIBES NUTRICAO</t>
        </is>
      </c>
      <c r="D1048" s="7" t="inlineStr">
        <is>
          <t>PERF/COSME</t>
        </is>
      </c>
      <c r="E1048" s="7" t="inlineStr">
        <is>
          <t>C</t>
        </is>
      </c>
      <c r="F1048" s="13" t="n">
        <v>1</v>
      </c>
      <c r="G1048" s="13" t="n">
        <v>1</v>
      </c>
      <c r="H1048" s="8" t="n">
        <v>6.56</v>
      </c>
      <c r="I1048" s="8" t="n">
        <v>6.56</v>
      </c>
      <c r="J1048" s="8" t="n">
        <v>6.56</v>
      </c>
      <c r="K1048" s="8" t="n"/>
      <c r="L1048" s="8" t="n"/>
      <c r="M1048" s="8" t="n"/>
      <c r="N1048" s="8" t="n"/>
      <c r="O1048" s="8" t="n"/>
      <c r="P1048" s="8" t="n"/>
      <c r="Q1048" s="8" t="n"/>
      <c r="R1048" s="8" t="n"/>
      <c r="S1048" s="8" t="n"/>
      <c r="T1048" s="7" t="inlineStr">
        <is>
          <t>SEM COTAÇÃO</t>
        </is>
      </c>
      <c r="U1048" s="8" t="n"/>
      <c r="V1048" s="14" t="n"/>
      <c r="W1048" s="14" t="n"/>
      <c r="X1048" s="7" t="inlineStr"/>
      <c r="Y1048" s="7" t="inlineStr"/>
    </row>
    <row r="1049">
      <c r="A1049" s="7" t="n">
        <v>636281</v>
      </c>
      <c r="B1049" s="12" t="inlineStr">
        <is>
          <t>7898610078839</t>
        </is>
      </c>
      <c r="C1049" s="7" t="inlineStr">
        <is>
          <t>CORPO DOU. SH 300ML VIBES REVITALIZACAO</t>
        </is>
      </c>
      <c r="D1049" s="7" t="inlineStr">
        <is>
          <t>PERF/COSME</t>
        </is>
      </c>
      <c r="E1049" s="7" t="inlineStr">
        <is>
          <t>C</t>
        </is>
      </c>
      <c r="F1049" s="13" t="n">
        <v>1</v>
      </c>
      <c r="G1049" s="13" t="n">
        <v>1</v>
      </c>
      <c r="H1049" s="8" t="n">
        <v>6.56</v>
      </c>
      <c r="I1049" s="8" t="n">
        <v>6.56</v>
      </c>
      <c r="J1049" s="8" t="n">
        <v>6.56</v>
      </c>
      <c r="K1049" s="8" t="n"/>
      <c r="L1049" s="8" t="n"/>
      <c r="M1049" s="8" t="n"/>
      <c r="N1049" s="8" t="n"/>
      <c r="O1049" s="8" t="n"/>
      <c r="P1049" s="8" t="n"/>
      <c r="Q1049" s="8" t="n"/>
      <c r="R1049" s="8" t="n"/>
      <c r="S1049" s="8" t="n"/>
      <c r="T1049" s="7" t="inlineStr">
        <is>
          <t>SEM COTAÇÃO</t>
        </is>
      </c>
      <c r="U1049" s="8" t="n"/>
      <c r="V1049" s="14" t="n"/>
      <c r="W1049" s="14" t="n"/>
      <c r="X1049" s="7" t="inlineStr"/>
      <c r="Y1049" s="7" t="inlineStr"/>
    </row>
    <row r="1050">
      <c r="A1050" s="7" t="n">
        <v>607991</v>
      </c>
      <c r="B1050" s="12" t="inlineStr">
        <is>
          <t>7897517906726</t>
        </is>
      </c>
      <c r="C1050" s="7" t="inlineStr">
        <is>
          <t>CORTADOR DE UNHA DISCO 12 UN 03X01UN</t>
        </is>
      </c>
      <c r="D1050" s="7" t="inlineStr">
        <is>
          <t>PERF/COSME</t>
        </is>
      </c>
      <c r="E1050" s="7" t="inlineStr">
        <is>
          <t>C</t>
        </is>
      </c>
      <c r="F1050" s="13" t="n">
        <v>1</v>
      </c>
      <c r="G1050" s="13" t="n">
        <v>1</v>
      </c>
      <c r="H1050" s="8" t="n">
        <v>3.9083</v>
      </c>
      <c r="I1050" s="8" t="n">
        <v>3.9083</v>
      </c>
      <c r="J1050" s="8" t="n">
        <v>3.9083</v>
      </c>
      <c r="K1050" s="8" t="n"/>
      <c r="L1050" s="8" t="n"/>
      <c r="M1050" s="8" t="n"/>
      <c r="N1050" s="8" t="n"/>
      <c r="O1050" s="8" t="n"/>
      <c r="P1050" s="8" t="n"/>
      <c r="Q1050" s="8" t="n"/>
      <c r="R1050" s="8" t="n"/>
      <c r="S1050" s="8" t="n"/>
      <c r="T1050" s="7" t="inlineStr">
        <is>
          <t>SEM COTAÇÃO</t>
        </is>
      </c>
      <c r="U1050" s="8" t="n"/>
      <c r="V1050" s="14" t="n"/>
      <c r="W1050" s="14" t="n"/>
      <c r="X1050" s="7" t="inlineStr"/>
      <c r="Y1050" s="7" t="inlineStr"/>
    </row>
    <row r="1051">
      <c r="A1051" s="7" t="n">
        <v>632461</v>
      </c>
      <c r="B1051" s="12" t="inlineStr">
        <is>
          <t>7896647078457</t>
        </is>
      </c>
      <c r="C1051" s="7" t="inlineStr">
        <is>
          <t>CORTADOR DE UNHAS METAL - AZUL/ 7845</t>
        </is>
      </c>
      <c r="D1051" s="7" t="inlineStr">
        <is>
          <t>BABY/KIDS</t>
        </is>
      </c>
      <c r="E1051" s="7" t="inlineStr">
        <is>
          <t>C</t>
        </is>
      </c>
      <c r="F1051" s="13" t="n">
        <v>1</v>
      </c>
      <c r="G1051" s="13" t="n">
        <v>1</v>
      </c>
      <c r="H1051" s="8" t="n">
        <v>4.32</v>
      </c>
      <c r="I1051" s="8" t="n">
        <v>4.32</v>
      </c>
      <c r="J1051" s="8" t="n">
        <v>4.32</v>
      </c>
      <c r="K1051" s="8" t="n"/>
      <c r="L1051" s="8" t="n"/>
      <c r="M1051" s="8" t="n"/>
      <c r="N1051" s="8" t="n"/>
      <c r="O1051" s="8" t="n"/>
      <c r="P1051" s="8" t="n"/>
      <c r="Q1051" s="8" t="n"/>
      <c r="R1051" s="8" t="n"/>
      <c r="S1051" s="8" t="n"/>
      <c r="T1051" s="7" t="inlineStr">
        <is>
          <t>SEM COTAÇÃO</t>
        </is>
      </c>
      <c r="U1051" s="8" t="n"/>
      <c r="V1051" s="14" t="n"/>
      <c r="W1051" s="14" t="n"/>
      <c r="X1051" s="7" t="inlineStr"/>
      <c r="Y1051" s="7" t="inlineStr"/>
    </row>
    <row r="1052">
      <c r="A1052" s="7" t="n">
        <v>632451</v>
      </c>
      <c r="B1052" s="12" t="inlineStr">
        <is>
          <t>7896647078440</t>
        </is>
      </c>
      <c r="C1052" s="7" t="inlineStr">
        <is>
          <t>CORTADOR DE UNHAS METAL - ROSA/ 7844</t>
        </is>
      </c>
      <c r="D1052" s="7" t="inlineStr">
        <is>
          <t>BABY/KIDS</t>
        </is>
      </c>
      <c r="E1052" s="7" t="inlineStr">
        <is>
          <t>C</t>
        </is>
      </c>
      <c r="F1052" s="13" t="n">
        <v>1</v>
      </c>
      <c r="G1052" s="13" t="n">
        <v>1</v>
      </c>
      <c r="H1052" s="8" t="n">
        <v>4.32</v>
      </c>
      <c r="I1052" s="8" t="n">
        <v>4.32</v>
      </c>
      <c r="J1052" s="8" t="n">
        <v>4.32</v>
      </c>
      <c r="K1052" s="8" t="n"/>
      <c r="L1052" s="8" t="n"/>
      <c r="M1052" s="8" t="n"/>
      <c r="N1052" s="8" t="n"/>
      <c r="O1052" s="8" t="n"/>
      <c r="P1052" s="8" t="n"/>
      <c r="Q1052" s="8" t="n"/>
      <c r="R1052" s="8" t="n"/>
      <c r="S1052" s="8" t="n"/>
      <c r="T1052" s="7" t="inlineStr">
        <is>
          <t>SEM COTAÇÃO</t>
        </is>
      </c>
      <c r="U1052" s="8" t="n"/>
      <c r="V1052" s="14" t="n"/>
      <c r="W1052" s="14" t="n"/>
      <c r="X1052" s="7" t="inlineStr"/>
      <c r="Y1052" s="7" t="inlineStr"/>
    </row>
    <row r="1053">
      <c r="A1053" s="7" t="n">
        <v>685801</v>
      </c>
      <c r="B1053" s="12" t="inlineStr">
        <is>
          <t>7896075710110</t>
        </is>
      </c>
      <c r="C1053" s="7" t="inlineStr">
        <is>
          <t>CORTADOR DE UNHAS TOUCH VIOLETA</t>
        </is>
      </c>
      <c r="D1053" s="7" t="inlineStr">
        <is>
          <t>UTENSILIOS</t>
        </is>
      </c>
      <c r="E1053" s="7" t="inlineStr">
        <is>
          <t>C</t>
        </is>
      </c>
      <c r="F1053" s="13" t="n">
        <v>5</v>
      </c>
      <c r="G1053" s="13" t="n">
        <v>5</v>
      </c>
      <c r="H1053" s="8" t="n">
        <v>3.59</v>
      </c>
      <c r="I1053" s="8" t="n">
        <v>3.59</v>
      </c>
      <c r="J1053" s="8" t="n">
        <v>3.59</v>
      </c>
      <c r="K1053" s="8" t="n"/>
      <c r="L1053" s="8" t="n"/>
      <c r="M1053" s="8" t="n"/>
      <c r="N1053" s="8" t="n"/>
      <c r="O1053" s="8" t="n"/>
      <c r="P1053" s="8" t="n"/>
      <c r="Q1053" s="8" t="n"/>
      <c r="R1053" s="8" t="n"/>
      <c r="S1053" s="8" t="n"/>
      <c r="T1053" s="7" t="inlineStr">
        <is>
          <t>SEM COTAÇÃO</t>
        </is>
      </c>
      <c r="U1053" s="8" t="n"/>
      <c r="V1053" s="14" t="n"/>
      <c r="W1053" s="14" t="n"/>
      <c r="X1053" s="7" t="inlineStr"/>
      <c r="Y1053" s="7" t="inlineStr"/>
    </row>
    <row r="1054">
      <c r="A1054" s="7" t="n">
        <v>653671</v>
      </c>
      <c r="B1054" s="12" t="inlineStr">
        <is>
          <t>7894913004438</t>
        </is>
      </c>
      <c r="C1054" s="7" t="inlineStr">
        <is>
          <t>CORTCLEAN SPRAY 45ML (MERTHIOCORT)</t>
        </is>
      </c>
      <c r="D1054" s="7" t="inlineStr">
        <is>
          <t>SIMILAR</t>
        </is>
      </c>
      <c r="E1054" s="7" t="inlineStr">
        <is>
          <t>C</t>
        </is>
      </c>
      <c r="F1054" s="13" t="n">
        <v>2</v>
      </c>
      <c r="G1054" s="13" t="n">
        <v>2</v>
      </c>
      <c r="H1054" s="8" t="n">
        <v>13.41</v>
      </c>
      <c r="I1054" s="8" t="n">
        <v>13.41</v>
      </c>
      <c r="J1054" s="8" t="n">
        <v>13.41</v>
      </c>
      <c r="K1054" s="8" t="n"/>
      <c r="L1054" s="8" t="n"/>
      <c r="M1054" s="8" t="n"/>
      <c r="N1054" s="15" t="n">
        <v>11.66</v>
      </c>
      <c r="O1054" s="8" t="n"/>
      <c r="P1054" s="8" t="n"/>
      <c r="Q1054" s="8" t="n"/>
      <c r="R1054" s="8" t="n"/>
      <c r="S1054" s="8" t="n"/>
      <c r="T1054" s="7" t="inlineStr">
        <is>
          <t>CENTROFARMA</t>
        </is>
      </c>
      <c r="U1054" s="8" t="n">
        <v>11.66</v>
      </c>
      <c r="V1054" s="14">
        <f>U1054/J1054-1</f>
        <v/>
      </c>
      <c r="W1054" s="14">
        <f>U1054/H1054-1</f>
        <v/>
      </c>
      <c r="X1054" s="17" t="inlineStr">
        <is>
          <t>OK (≤ menor hist.)</t>
        </is>
      </c>
      <c r="Y1054" s="7" t="inlineStr"/>
    </row>
    <row r="1055">
      <c r="A1055" s="7" t="n">
        <v>550601</v>
      </c>
      <c r="B1055" s="12" t="inlineStr">
        <is>
          <t>7896227620014</t>
        </is>
      </c>
      <c r="C1055" s="7" t="inlineStr">
        <is>
          <t>COTONETE COTTONBABY 75UN</t>
        </is>
      </c>
      <c r="D1055" s="7" t="inlineStr">
        <is>
          <t>PERF/COSME</t>
        </is>
      </c>
      <c r="E1055" s="7" t="inlineStr">
        <is>
          <t>C</t>
        </is>
      </c>
      <c r="F1055" s="13" t="n">
        <v>28</v>
      </c>
      <c r="G1055" s="13" t="n">
        <v>28</v>
      </c>
      <c r="H1055" s="8" t="n">
        <v>2.24</v>
      </c>
      <c r="I1055" s="8" t="n">
        <v>2.21</v>
      </c>
      <c r="J1055" s="8" t="n">
        <v>2.21</v>
      </c>
      <c r="K1055" s="8" t="n"/>
      <c r="L1055" s="8" t="n"/>
      <c r="M1055" s="8" t="n"/>
      <c r="N1055" s="8" t="n"/>
      <c r="O1055" s="8" t="n"/>
      <c r="P1055" s="8" t="n"/>
      <c r="Q1055" s="8" t="n"/>
      <c r="R1055" s="8" t="n"/>
      <c r="S1055" s="8" t="n"/>
      <c r="T1055" s="7" t="inlineStr">
        <is>
          <t>SEM COTAÇÃO</t>
        </is>
      </c>
      <c r="U1055" s="8" t="n"/>
      <c r="V1055" s="14" t="n"/>
      <c r="W1055" s="14" t="n"/>
      <c r="X1055" s="7" t="inlineStr"/>
      <c r="Y1055" s="7" t="inlineStr"/>
    </row>
    <row r="1056">
      <c r="A1056" s="7" t="n">
        <v>567161</v>
      </c>
      <c r="B1056" s="12" t="inlineStr">
        <is>
          <t>7891010560737</t>
        </is>
      </c>
      <c r="C1056" s="7" t="inlineStr">
        <is>
          <t>COTONETES J J HASTES FLEX 75UN</t>
        </is>
      </c>
      <c r="D1056" s="7" t="inlineStr">
        <is>
          <t>PERF/COSME</t>
        </is>
      </c>
      <c r="E1056" s="7" t="inlineStr">
        <is>
          <t>C</t>
        </is>
      </c>
      <c r="F1056" s="13" t="n">
        <v>14</v>
      </c>
      <c r="G1056" s="13" t="n">
        <v>14</v>
      </c>
      <c r="H1056" s="8" t="n">
        <v>6.1767</v>
      </c>
      <c r="I1056" s="8" t="n">
        <v>5.7197</v>
      </c>
      <c r="J1056" s="8" t="n">
        <v>5.8717</v>
      </c>
      <c r="K1056" s="8" t="n"/>
      <c r="L1056" s="8" t="n"/>
      <c r="M1056" s="8" t="n"/>
      <c r="N1056" s="8" t="n"/>
      <c r="O1056" s="8" t="n"/>
      <c r="P1056" s="15" t="n">
        <v>6.4</v>
      </c>
      <c r="Q1056" s="8" t="n"/>
      <c r="R1056" s="8" t="n"/>
      <c r="S1056" s="8" t="n"/>
      <c r="T1056" s="7" t="inlineStr">
        <is>
          <t>NAZARIA</t>
        </is>
      </c>
      <c r="U1056" s="8" t="n">
        <v>6.4</v>
      </c>
      <c r="V1056" s="14">
        <f>U1056/J1056-1</f>
        <v/>
      </c>
      <c r="W1056" s="14">
        <f>U1056/H1056-1</f>
        <v/>
      </c>
      <c r="X1056" s="16" t="inlineStr">
        <is>
          <t>ACIMA +3.6%</t>
        </is>
      </c>
      <c r="Y1056" s="7" t="inlineStr"/>
    </row>
    <row r="1057">
      <c r="A1057" s="7" t="n">
        <v>655361</v>
      </c>
      <c r="B1057" s="12" t="inlineStr">
        <is>
          <t>7896004822013</t>
        </is>
      </c>
      <c r="C1057" s="7" t="inlineStr">
        <is>
          <t>COXETO 90MG 7 COM REV-B</t>
        </is>
      </c>
      <c r="D1057" s="7" t="inlineStr">
        <is>
          <t>RX</t>
        </is>
      </c>
      <c r="E1057" s="7" t="inlineStr">
        <is>
          <t>B</t>
        </is>
      </c>
      <c r="F1057" s="13" t="n">
        <v>1</v>
      </c>
      <c r="G1057" s="13" t="n">
        <v>1</v>
      </c>
      <c r="H1057" s="8" t="n">
        <v>44.35</v>
      </c>
      <c r="I1057" s="8" t="n">
        <v>34.225</v>
      </c>
      <c r="J1057" s="8" t="n">
        <v>37.6</v>
      </c>
      <c r="K1057" s="8" t="n"/>
      <c r="L1057" s="8" t="n"/>
      <c r="M1057" s="8" t="n"/>
      <c r="N1057" s="8" t="n"/>
      <c r="O1057" s="8" t="n"/>
      <c r="P1057" s="15" t="n">
        <v>42.68</v>
      </c>
      <c r="Q1057" s="8" t="n"/>
      <c r="R1057" s="8" t="n"/>
      <c r="S1057" s="8" t="n"/>
      <c r="T1057" s="7" t="inlineStr">
        <is>
          <t>NAZARIA</t>
        </is>
      </c>
      <c r="U1057" s="8" t="n">
        <v>42.68</v>
      </c>
      <c r="V1057" s="14">
        <f>U1057/J1057-1</f>
        <v/>
      </c>
      <c r="W1057" s="14">
        <f>U1057/H1057-1</f>
        <v/>
      </c>
      <c r="X1057" s="17" t="inlineStr">
        <is>
          <t>OK (≤ últ. compra)</t>
        </is>
      </c>
      <c r="Y1057" s="7" t="inlineStr"/>
    </row>
    <row r="1058">
      <c r="A1058" s="7" t="n">
        <v>651711</v>
      </c>
      <c r="B1058" s="12" t="inlineStr">
        <is>
          <t>7896227690017</t>
        </is>
      </c>
      <c r="C1058" s="7" t="inlineStr">
        <is>
          <t>CR ASSAD SNOOPY 45G</t>
        </is>
      </c>
      <c r="D1058" s="7" t="inlineStr">
        <is>
          <t>BABY/KIDS</t>
        </is>
      </c>
      <c r="E1058" s="7" t="inlineStr">
        <is>
          <t>C</t>
        </is>
      </c>
      <c r="F1058" s="13" t="n">
        <v>1</v>
      </c>
      <c r="G1058" s="13" t="n">
        <v>1</v>
      </c>
      <c r="H1058" s="8" t="n">
        <v>11.07</v>
      </c>
      <c r="I1058" s="8" t="n">
        <v>11.07</v>
      </c>
      <c r="J1058" s="8" t="n">
        <v>11.07</v>
      </c>
      <c r="K1058" s="8" t="n"/>
      <c r="L1058" s="8" t="n"/>
      <c r="M1058" s="8" t="n"/>
      <c r="N1058" s="8" t="n"/>
      <c r="O1058" s="8" t="n"/>
      <c r="P1058" s="8" t="n"/>
      <c r="Q1058" s="8" t="n"/>
      <c r="R1058" s="8" t="n"/>
      <c r="S1058" s="8" t="n"/>
      <c r="T1058" s="7" t="inlineStr">
        <is>
          <t>SEM COTAÇÃO</t>
        </is>
      </c>
      <c r="U1058" s="8" t="n"/>
      <c r="V1058" s="14" t="n"/>
      <c r="W1058" s="14" t="n"/>
      <c r="X1058" s="7" t="inlineStr"/>
      <c r="Y1058" s="7" t="inlineStr"/>
    </row>
    <row r="1059">
      <c r="A1059" s="7" t="n">
        <v>631421</v>
      </c>
      <c r="B1059" s="12" t="inlineStr">
        <is>
          <t>7896115703164</t>
        </is>
      </c>
      <c r="C1059" s="7" t="inlineStr">
        <is>
          <t>CR ASSAD TRA LA LA LUKINHA 90G</t>
        </is>
      </c>
      <c r="D1059" s="7" t="inlineStr">
        <is>
          <t>PERF/COSME</t>
        </is>
      </c>
      <c r="E1059" s="7" t="inlineStr">
        <is>
          <t>C</t>
        </is>
      </c>
      <c r="F1059" s="13" t="n">
        <v>1</v>
      </c>
      <c r="G1059" s="13" t="n">
        <v>1</v>
      </c>
      <c r="H1059" s="8" t="n">
        <v>7.44</v>
      </c>
      <c r="I1059" s="8" t="n">
        <v>7.44</v>
      </c>
      <c r="J1059" s="8" t="n">
        <v>7.44</v>
      </c>
      <c r="K1059" s="8" t="n"/>
      <c r="L1059" s="8" t="n"/>
      <c r="M1059" s="8" t="n"/>
      <c r="N1059" s="8" t="n"/>
      <c r="O1059" s="8" t="n"/>
      <c r="P1059" s="8" t="n"/>
      <c r="Q1059" s="8" t="n"/>
      <c r="R1059" s="8" t="n"/>
      <c r="S1059" s="8" t="n"/>
      <c r="T1059" s="7" t="inlineStr">
        <is>
          <t>SEM COTAÇÃO</t>
        </is>
      </c>
      <c r="U1059" s="8" t="n"/>
      <c r="V1059" s="14" t="n"/>
      <c r="W1059" s="14" t="n"/>
      <c r="X1059" s="7" t="inlineStr"/>
      <c r="Y1059" s="7" t="inlineStr"/>
    </row>
    <row r="1060">
      <c r="A1060" s="7" t="n">
        <v>603081</v>
      </c>
      <c r="B1060" s="12" t="inlineStr">
        <is>
          <t>7896512939555</t>
        </is>
      </c>
      <c r="C1060" s="7" t="inlineStr">
        <is>
          <t>CR ASSADURA BEBE DERMOCALM 50G</t>
        </is>
      </c>
      <c r="D1060" s="7" t="inlineStr">
        <is>
          <t>BABY/KIDS</t>
        </is>
      </c>
      <c r="E1060" s="7" t="inlineStr">
        <is>
          <t>C</t>
        </is>
      </c>
      <c r="F1060" s="13" t="n">
        <v>1</v>
      </c>
      <c r="G1060" s="13" t="n">
        <v>1</v>
      </c>
      <c r="H1060" s="8" t="n">
        <v>25.2542</v>
      </c>
      <c r="I1060" s="8" t="n">
        <v>25.2542</v>
      </c>
      <c r="J1060" s="8" t="n">
        <v>25.2542</v>
      </c>
      <c r="K1060" s="8" t="n"/>
      <c r="L1060" s="8" t="n"/>
      <c r="M1060" s="8" t="n"/>
      <c r="N1060" s="8" t="n"/>
      <c r="O1060" s="8" t="n"/>
      <c r="P1060" s="15" t="n">
        <v>28.82</v>
      </c>
      <c r="Q1060" s="8" t="n"/>
      <c r="R1060" s="8" t="n"/>
      <c r="S1060" s="8" t="n"/>
      <c r="T1060" s="7" t="inlineStr">
        <is>
          <t>NAZARIA</t>
        </is>
      </c>
      <c r="U1060" s="8" t="n">
        <v>28.82</v>
      </c>
      <c r="V1060" s="14">
        <f>U1060/J1060-1</f>
        <v/>
      </c>
      <c r="W1060" s="14">
        <f>U1060/H1060-1</f>
        <v/>
      </c>
      <c r="X1060" s="16" t="inlineStr">
        <is>
          <t>ACIMA +14.1%</t>
        </is>
      </c>
      <c r="Y1060" s="7" t="inlineStr"/>
    </row>
    <row r="1061">
      <c r="A1061" s="7" t="n">
        <v>616901</v>
      </c>
      <c r="B1061" s="12" t="inlineStr">
        <is>
          <t>7908615000190</t>
        </is>
      </c>
      <c r="C1061" s="7" t="inlineStr">
        <is>
          <t>CR ATIV N GOLD CACH DF PR 250ML</t>
        </is>
      </c>
      <c r="D1061" s="7" t="inlineStr">
        <is>
          <t>COND/SHAM/CREM/SIMILARES</t>
        </is>
      </c>
      <c r="E1061" s="7" t="inlineStr">
        <is>
          <t>C</t>
        </is>
      </c>
      <c r="F1061" s="13" t="n">
        <v>1</v>
      </c>
      <c r="G1061" s="13" t="n">
        <v>1</v>
      </c>
      <c r="H1061" s="8" t="n">
        <v>8.48</v>
      </c>
      <c r="I1061" s="8" t="n">
        <v>8.48</v>
      </c>
      <c r="J1061" s="8" t="n">
        <v>8.48</v>
      </c>
      <c r="K1061" s="8" t="n"/>
      <c r="L1061" s="8" t="n"/>
      <c r="M1061" s="8" t="n"/>
      <c r="N1061" s="8" t="n"/>
      <c r="O1061" s="8" t="n"/>
      <c r="P1061" s="15" t="n">
        <v>9.75</v>
      </c>
      <c r="Q1061" s="8" t="n"/>
      <c r="R1061" s="8" t="n"/>
      <c r="S1061" s="8" t="n"/>
      <c r="T1061" s="7" t="inlineStr">
        <is>
          <t>NAZARIA</t>
        </is>
      </c>
      <c r="U1061" s="8" t="n">
        <v>9.75</v>
      </c>
      <c r="V1061" s="14">
        <f>U1061/J1061-1</f>
        <v/>
      </c>
      <c r="W1061" s="14">
        <f>U1061/H1061-1</f>
        <v/>
      </c>
      <c r="X1061" s="16" t="inlineStr">
        <is>
          <t>ACIMA +15.0%</t>
        </is>
      </c>
      <c r="Y1061" s="7" t="inlineStr"/>
    </row>
    <row r="1062">
      <c r="A1062" s="7" t="n">
        <v>615261</v>
      </c>
      <c r="B1062" s="12" t="inlineStr">
        <is>
          <t>4005900328465</t>
        </is>
      </c>
      <c r="C1062" s="7" t="inlineStr">
        <is>
          <t>CR BARBEAR NIVEA ORIGINAL 65G</t>
        </is>
      </c>
      <c r="D1062" s="7" t="inlineStr">
        <is>
          <t>PERF/COSME</t>
        </is>
      </c>
      <c r="E1062" s="7" t="inlineStr">
        <is>
          <t>C</t>
        </is>
      </c>
      <c r="F1062" s="13" t="n">
        <v>1</v>
      </c>
      <c r="G1062" s="13" t="n">
        <v>1</v>
      </c>
      <c r="H1062" s="8" t="n">
        <v>9.84</v>
      </c>
      <c r="I1062" s="8" t="n">
        <v>9.84</v>
      </c>
      <c r="J1062" s="8" t="n">
        <v>9.84</v>
      </c>
      <c r="K1062" s="8" t="n"/>
      <c r="L1062" s="8" t="n"/>
      <c r="M1062" s="8" t="n"/>
      <c r="N1062" s="8" t="n"/>
      <c r="O1062" s="8" t="n"/>
      <c r="P1062" s="8" t="n"/>
      <c r="Q1062" s="8" t="n"/>
      <c r="R1062" s="8" t="n"/>
      <c r="S1062" s="8" t="n"/>
      <c r="T1062" s="7" t="inlineStr">
        <is>
          <t>SEM COTAÇÃO</t>
        </is>
      </c>
      <c r="U1062" s="8" t="n"/>
      <c r="V1062" s="14" t="n"/>
      <c r="W1062" s="14" t="n"/>
      <c r="X1062" s="7" t="inlineStr"/>
      <c r="Y1062" s="7" t="inlineStr"/>
    </row>
    <row r="1063">
      <c r="A1063" s="7" t="n">
        <v>615271</v>
      </c>
      <c r="B1063" s="12" t="inlineStr">
        <is>
          <t>4005900328472</t>
        </is>
      </c>
      <c r="C1063" s="7" t="inlineStr">
        <is>
          <t>CR BARBEAR NIVEA SENSITIVE 65G</t>
        </is>
      </c>
      <c r="D1063" s="7" t="inlineStr">
        <is>
          <t>PERF/COSME</t>
        </is>
      </c>
      <c r="E1063" s="7" t="inlineStr">
        <is>
          <t>B</t>
        </is>
      </c>
      <c r="F1063" s="13" t="n">
        <v>1</v>
      </c>
      <c r="G1063" s="13" t="n">
        <v>1</v>
      </c>
      <c r="H1063" s="8" t="n">
        <v>8.4533</v>
      </c>
      <c r="I1063" s="8" t="n">
        <v>8.4533</v>
      </c>
      <c r="J1063" s="8" t="n">
        <v>8.4533</v>
      </c>
      <c r="K1063" s="8" t="n"/>
      <c r="L1063" s="8" t="n"/>
      <c r="M1063" s="8" t="n"/>
      <c r="N1063" s="8" t="n"/>
      <c r="O1063" s="8" t="n"/>
      <c r="P1063" s="15" t="n">
        <v>14.76</v>
      </c>
      <c r="Q1063" s="8" t="n"/>
      <c r="R1063" s="8" t="n"/>
      <c r="S1063" s="8" t="n"/>
      <c r="T1063" s="7" t="inlineStr">
        <is>
          <t>NAZARIA</t>
        </is>
      </c>
      <c r="U1063" s="8" t="n">
        <v>14.76</v>
      </c>
      <c r="V1063" s="14">
        <f>U1063/J1063-1</f>
        <v/>
      </c>
      <c r="W1063" s="14">
        <f>U1063/H1063-1</f>
        <v/>
      </c>
      <c r="X1063" s="16" t="inlineStr">
        <is>
          <t>ACIMA +74.6%</t>
        </is>
      </c>
      <c r="Y1063" s="7" t="inlineStr"/>
    </row>
    <row r="1064">
      <c r="A1064" s="7" t="n">
        <v>637071</v>
      </c>
      <c r="B1064" s="12" t="inlineStr">
        <is>
          <t>7897042018093</t>
        </is>
      </c>
      <c r="C1064" s="7" t="inlineStr">
        <is>
          <t>CR COND SKALA ACACHONADOS 1KG</t>
        </is>
      </c>
      <c r="D1064" s="7" t="inlineStr">
        <is>
          <t>PERF/COSME</t>
        </is>
      </c>
      <c r="E1064" s="7" t="inlineStr">
        <is>
          <t>B</t>
        </is>
      </c>
      <c r="F1064" s="13" t="n">
        <v>4</v>
      </c>
      <c r="G1064" s="13" t="n">
        <v>4</v>
      </c>
      <c r="H1064" s="8" t="n">
        <v>9.289999999999999</v>
      </c>
      <c r="I1064" s="8" t="n">
        <v>7.95</v>
      </c>
      <c r="J1064" s="8" t="n">
        <v>8.843333333333332</v>
      </c>
      <c r="K1064" s="8" t="n"/>
      <c r="L1064" s="8" t="n"/>
      <c r="M1064" s="8" t="n"/>
      <c r="N1064" s="8" t="n"/>
      <c r="O1064" s="8" t="n"/>
      <c r="P1064" s="8" t="n"/>
      <c r="Q1064" s="8" t="n"/>
      <c r="R1064" s="8" t="n"/>
      <c r="S1064" s="8" t="n"/>
      <c r="T1064" s="7" t="inlineStr">
        <is>
          <t>SEM COTAÇÃO</t>
        </is>
      </c>
      <c r="U1064" s="8" t="n"/>
      <c r="V1064" s="14" t="n"/>
      <c r="W1064" s="14" t="n"/>
      <c r="X1064" s="7" t="inlineStr"/>
      <c r="Y1064" s="7" t="inlineStr"/>
    </row>
    <row r="1065">
      <c r="A1065" s="7" t="n">
        <v>615791</v>
      </c>
      <c r="B1065" s="12" t="inlineStr">
        <is>
          <t>7897042017805</t>
        </is>
      </c>
      <c r="C1065" s="7" t="inlineStr">
        <is>
          <t>CR COND SKALA AMIDINHO MI 1KG</t>
        </is>
      </c>
      <c r="D1065" s="7" t="inlineStr">
        <is>
          <t>PERF/COSME</t>
        </is>
      </c>
      <c r="E1065" s="7" t="inlineStr">
        <is>
          <t>B</t>
        </is>
      </c>
      <c r="F1065" s="13" t="n">
        <v>7</v>
      </c>
      <c r="G1065" s="13" t="n">
        <v>7</v>
      </c>
      <c r="H1065" s="8" t="n">
        <v>9.289999999999999</v>
      </c>
      <c r="I1065" s="8" t="n">
        <v>7.95</v>
      </c>
      <c r="J1065" s="8" t="n">
        <v>8.6</v>
      </c>
      <c r="K1065" s="8" t="n"/>
      <c r="L1065" s="8" t="n"/>
      <c r="M1065" s="8" t="n"/>
      <c r="N1065" s="8" t="n"/>
      <c r="O1065" s="8" t="n"/>
      <c r="P1065" s="8" t="n"/>
      <c r="Q1065" s="8" t="n"/>
      <c r="R1065" s="8" t="n"/>
      <c r="S1065" s="8" t="n"/>
      <c r="T1065" s="7" t="inlineStr">
        <is>
          <t>SEM COTAÇÃO</t>
        </is>
      </c>
      <c r="U1065" s="8" t="n"/>
      <c r="V1065" s="14" t="n"/>
      <c r="W1065" s="14" t="n"/>
      <c r="X1065" s="7" t="inlineStr"/>
      <c r="Y1065" s="7" t="inlineStr"/>
    </row>
    <row r="1066">
      <c r="A1066" s="7" t="n">
        <v>637081</v>
      </c>
      <c r="B1066" s="12" t="inlineStr">
        <is>
          <t>7897042018161</t>
        </is>
      </c>
      <c r="C1066" s="7" t="inlineStr">
        <is>
          <t>CR COND SKALA CACAU 1KG</t>
        </is>
      </c>
      <c r="D1066" s="7" t="inlineStr">
        <is>
          <t>PERF/COSME</t>
        </is>
      </c>
      <c r="E1066" s="7" t="inlineStr">
        <is>
          <t>B</t>
        </is>
      </c>
      <c r="F1066" s="13" t="n">
        <v>3</v>
      </c>
      <c r="G1066" s="13" t="n">
        <v>3</v>
      </c>
      <c r="H1066" s="8" t="n">
        <v>9.289999999999999</v>
      </c>
      <c r="I1066" s="8" t="n">
        <v>7.95</v>
      </c>
      <c r="J1066" s="8" t="n">
        <v>8.6</v>
      </c>
      <c r="K1066" s="8" t="n"/>
      <c r="L1066" s="8" t="n"/>
      <c r="M1066" s="8" t="n"/>
      <c r="N1066" s="8" t="n"/>
      <c r="O1066" s="8" t="n"/>
      <c r="P1066" s="8" t="n"/>
      <c r="Q1066" s="8" t="n"/>
      <c r="R1066" s="8" t="n"/>
      <c r="S1066" s="8" t="n"/>
      <c r="T1066" s="7" t="inlineStr">
        <is>
          <t>SEM COTAÇÃO</t>
        </is>
      </c>
      <c r="U1066" s="8" t="n"/>
      <c r="V1066" s="14" t="n"/>
      <c r="W1066" s="14" t="n"/>
      <c r="X1066" s="7" t="inlineStr"/>
      <c r="Y1066" s="7" t="inlineStr"/>
    </row>
    <row r="1067">
      <c r="A1067" s="7" t="n">
        <v>625391</v>
      </c>
      <c r="B1067" s="12" t="inlineStr">
        <is>
          <t>7897042017782</t>
        </is>
      </c>
      <c r="C1067" s="7" t="inlineStr">
        <is>
          <t>CR COND SKALA DIVINA COR 1KG</t>
        </is>
      </c>
      <c r="D1067" s="7" t="inlineStr">
        <is>
          <t>PERF/COSME</t>
        </is>
      </c>
      <c r="E1067" s="7" t="inlineStr">
        <is>
          <t>C</t>
        </is>
      </c>
      <c r="F1067" s="13" t="n">
        <v>3</v>
      </c>
      <c r="G1067" s="13" t="n">
        <v>3</v>
      </c>
      <c r="H1067" s="8" t="n">
        <v>7.95</v>
      </c>
      <c r="I1067" s="8" t="n">
        <v>7.95</v>
      </c>
      <c r="J1067" s="8" t="n">
        <v>7.95</v>
      </c>
      <c r="K1067" s="8" t="n"/>
      <c r="L1067" s="8" t="n"/>
      <c r="M1067" s="8" t="n"/>
      <c r="N1067" s="8" t="n"/>
      <c r="O1067" s="8" t="n"/>
      <c r="P1067" s="8" t="n"/>
      <c r="Q1067" s="8" t="n"/>
      <c r="R1067" s="8" t="n"/>
      <c r="S1067" s="8" t="n"/>
      <c r="T1067" s="7" t="inlineStr">
        <is>
          <t>SEM COTAÇÃO</t>
        </is>
      </c>
      <c r="U1067" s="8" t="n"/>
      <c r="V1067" s="14" t="n"/>
      <c r="W1067" s="14" t="n"/>
      <c r="X1067" s="7" t="inlineStr"/>
      <c r="Y1067" s="7" t="inlineStr"/>
    </row>
    <row r="1068">
      <c r="A1068" s="7" t="n">
        <v>637091</v>
      </c>
      <c r="B1068" s="12" t="inlineStr">
        <is>
          <t>7897042013180</t>
        </is>
      </c>
      <c r="C1068" s="7" t="inlineStr">
        <is>
          <t>CR COND SKALA DONA SKALA 1KG</t>
        </is>
      </c>
      <c r="D1068" s="7" t="inlineStr">
        <is>
          <t>PERF/COSME</t>
        </is>
      </c>
      <c r="E1068" s="7" t="inlineStr">
        <is>
          <t>C</t>
        </is>
      </c>
      <c r="F1068" s="13" t="n">
        <v>2</v>
      </c>
      <c r="G1068" s="13" t="n">
        <v>2</v>
      </c>
      <c r="H1068" s="8" t="n">
        <v>9.289999999999999</v>
      </c>
      <c r="I1068" s="8" t="n">
        <v>7.95</v>
      </c>
      <c r="J1068" s="8" t="n">
        <v>8.843333333333332</v>
      </c>
      <c r="K1068" s="8" t="n"/>
      <c r="L1068" s="8" t="n"/>
      <c r="M1068" s="8" t="n"/>
      <c r="N1068" s="8" t="n"/>
      <c r="O1068" s="8" t="n"/>
      <c r="P1068" s="8" t="n"/>
      <c r="Q1068" s="8" t="n"/>
      <c r="R1068" s="8" t="n"/>
      <c r="S1068" s="8" t="n"/>
      <c r="T1068" s="7" t="inlineStr">
        <is>
          <t>SEM COTAÇÃO</t>
        </is>
      </c>
      <c r="U1068" s="8" t="n"/>
      <c r="V1068" s="14" t="n"/>
      <c r="W1068" s="14" t="n"/>
      <c r="X1068" s="7" t="inlineStr"/>
      <c r="Y1068" s="7" t="inlineStr"/>
    </row>
    <row r="1069">
      <c r="A1069" s="7" t="n">
        <v>637101</v>
      </c>
      <c r="B1069" s="12" t="inlineStr">
        <is>
          <t>7897042004966</t>
        </is>
      </c>
      <c r="C1069" s="7" t="inlineStr">
        <is>
          <t>CR COND SKALA JABORANDI 1KG</t>
        </is>
      </c>
      <c r="D1069" s="7" t="inlineStr">
        <is>
          <t>PERF/COSME</t>
        </is>
      </c>
      <c r="E1069" s="7" t="inlineStr">
        <is>
          <t>C</t>
        </is>
      </c>
      <c r="F1069" s="13" t="n">
        <v>2</v>
      </c>
      <c r="G1069" s="13" t="n">
        <v>2</v>
      </c>
      <c r="H1069" s="8" t="n">
        <v>8.02</v>
      </c>
      <c r="I1069" s="8" t="n">
        <v>8.02</v>
      </c>
      <c r="J1069" s="8" t="n">
        <v>8.02</v>
      </c>
      <c r="K1069" s="8" t="n"/>
      <c r="L1069" s="8" t="n"/>
      <c r="M1069" s="8" t="n"/>
      <c r="N1069" s="8" t="n"/>
      <c r="O1069" s="8" t="n"/>
      <c r="P1069" s="8" t="n"/>
      <c r="Q1069" s="8" t="n"/>
      <c r="R1069" s="8" t="n"/>
      <c r="S1069" s="8" t="n"/>
      <c r="T1069" s="7" t="inlineStr">
        <is>
          <t>SEM COTAÇÃO</t>
        </is>
      </c>
      <c r="U1069" s="8" t="n"/>
      <c r="V1069" s="14" t="n"/>
      <c r="W1069" s="14" t="n"/>
      <c r="X1069" s="7" t="inlineStr"/>
      <c r="Y1069" s="7" t="inlineStr"/>
    </row>
    <row r="1070">
      <c r="A1070" s="7" t="n">
        <v>625411</v>
      </c>
      <c r="B1070" s="12" t="inlineStr">
        <is>
          <t>7897042008827</t>
        </is>
      </c>
      <c r="C1070" s="7" t="inlineStr">
        <is>
          <t>CR COND SKALA MAIS CRESPOS 1K</t>
        </is>
      </c>
      <c r="D1070" s="7" t="inlineStr">
        <is>
          <t>PERF/COSME</t>
        </is>
      </c>
      <c r="E1070" s="7" t="inlineStr">
        <is>
          <t>B</t>
        </is>
      </c>
      <c r="F1070" s="13" t="n">
        <v>4</v>
      </c>
      <c r="G1070" s="13" t="n">
        <v>4</v>
      </c>
      <c r="H1070" s="8" t="n">
        <v>9.289999999999999</v>
      </c>
      <c r="I1070" s="8" t="n">
        <v>7.95</v>
      </c>
      <c r="J1070" s="8" t="n">
        <v>8.843333333333332</v>
      </c>
      <c r="K1070" s="8" t="n"/>
      <c r="L1070" s="8" t="n"/>
      <c r="M1070" s="8" t="n"/>
      <c r="N1070" s="8" t="n"/>
      <c r="O1070" s="8" t="n"/>
      <c r="P1070" s="8" t="n"/>
      <c r="Q1070" s="8" t="n"/>
      <c r="R1070" s="8" t="n"/>
      <c r="S1070" s="8" t="n"/>
      <c r="T1070" s="7" t="inlineStr">
        <is>
          <t>SEM COTAÇÃO</t>
        </is>
      </c>
      <c r="U1070" s="8" t="n"/>
      <c r="V1070" s="14" t="n"/>
      <c r="W1070" s="14" t="n"/>
      <c r="X1070" s="7" t="inlineStr"/>
      <c r="Y1070" s="7" t="inlineStr"/>
    </row>
    <row r="1071">
      <c r="A1071" s="7" t="n">
        <v>637111</v>
      </c>
      <c r="B1071" s="12" t="inlineStr">
        <is>
          <t>7897042007066</t>
        </is>
      </c>
      <c r="C1071" s="7" t="inlineStr">
        <is>
          <t>CR COND SKALA VINAGRE 1KG</t>
        </is>
      </c>
      <c r="D1071" s="7" t="inlineStr">
        <is>
          <t>PERF/COSME</t>
        </is>
      </c>
      <c r="E1071" s="7" t="inlineStr">
        <is>
          <t>C</t>
        </is>
      </c>
      <c r="F1071" s="13" t="n">
        <v>1</v>
      </c>
      <c r="G1071" s="13" t="n">
        <v>1</v>
      </c>
      <c r="H1071" s="8" t="n">
        <v>8.02</v>
      </c>
      <c r="I1071" s="8" t="n">
        <v>8.02</v>
      </c>
      <c r="J1071" s="8" t="n">
        <v>8.02</v>
      </c>
      <c r="K1071" s="8" t="n"/>
      <c r="L1071" s="8" t="n"/>
      <c r="M1071" s="8" t="n"/>
      <c r="N1071" s="8" t="n"/>
      <c r="O1071" s="8" t="n"/>
      <c r="P1071" s="8" t="n"/>
      <c r="Q1071" s="8" t="n"/>
      <c r="R1071" s="8" t="n"/>
      <c r="S1071" s="8" t="n"/>
      <c r="T1071" s="7" t="inlineStr">
        <is>
          <t>SEM COTAÇÃO</t>
        </is>
      </c>
      <c r="U1071" s="8" t="n"/>
      <c r="V1071" s="14" t="n"/>
      <c r="W1071" s="14" t="n"/>
      <c r="X1071" s="7" t="inlineStr"/>
      <c r="Y1071" s="7" t="inlineStr"/>
    </row>
    <row r="1072">
      <c r="A1072" s="7" t="n">
        <v>617241</v>
      </c>
      <c r="B1072" s="12" t="inlineStr">
        <is>
          <t>7896512919878</t>
        </is>
      </c>
      <c r="C1072" s="7" t="inlineStr">
        <is>
          <t>CR CUTICULAS GRANADO PINK 100GR</t>
        </is>
      </c>
      <c r="D1072" s="7" t="inlineStr">
        <is>
          <t>PERF/COSME</t>
        </is>
      </c>
      <c r="E1072" s="7" t="inlineStr">
        <is>
          <t>C</t>
        </is>
      </c>
      <c r="F1072" s="13" t="n">
        <v>1</v>
      </c>
      <c r="G1072" s="13" t="n">
        <v>1</v>
      </c>
      <c r="H1072" s="8" t="n">
        <v>10.875</v>
      </c>
      <c r="I1072" s="8" t="n">
        <v>10.875</v>
      </c>
      <c r="J1072" s="8" t="n">
        <v>10.875</v>
      </c>
      <c r="K1072" s="8" t="n"/>
      <c r="L1072" s="8" t="n"/>
      <c r="M1072" s="8" t="n"/>
      <c r="N1072" s="8" t="n"/>
      <c r="O1072" s="8" t="n"/>
      <c r="P1072" s="15" t="n">
        <v>16.54</v>
      </c>
      <c r="Q1072" s="8" t="n"/>
      <c r="R1072" s="8" t="n"/>
      <c r="S1072" s="8" t="n"/>
      <c r="T1072" s="7" t="inlineStr">
        <is>
          <t>NAZARIA</t>
        </is>
      </c>
      <c r="U1072" s="8" t="n">
        <v>16.54</v>
      </c>
      <c r="V1072" s="14">
        <f>U1072/J1072-1</f>
        <v/>
      </c>
      <c r="W1072" s="14">
        <f>U1072/H1072-1</f>
        <v/>
      </c>
      <c r="X1072" s="16" t="inlineStr">
        <is>
          <t>ACIMA +52.1%</t>
        </is>
      </c>
      <c r="Y1072" s="7" t="inlineStr"/>
    </row>
    <row r="1073">
      <c r="A1073" s="7" t="n">
        <v>1943</v>
      </c>
      <c r="B1073" s="12" t="inlineStr">
        <is>
          <t>7891150086210</t>
        </is>
      </c>
      <c r="C1073" s="7" t="inlineStr">
        <is>
          <t>CR D CLOSE UP GEL MENTA 130G</t>
        </is>
      </c>
      <c r="D1073" s="7" t="inlineStr">
        <is>
          <t>PERF/COSME</t>
        </is>
      </c>
      <c r="E1073" s="7" t="inlineStr">
        <is>
          <t>C</t>
        </is>
      </c>
      <c r="F1073" s="13" t="n">
        <v>1</v>
      </c>
      <c r="G1073" s="13" t="n">
        <v>1</v>
      </c>
      <c r="H1073" s="8" t="n">
        <v>3.86</v>
      </c>
      <c r="I1073" s="8" t="n">
        <v>3.86</v>
      </c>
      <c r="J1073" s="8" t="n">
        <v>3.86</v>
      </c>
      <c r="K1073" s="8" t="n"/>
      <c r="L1073" s="8" t="n"/>
      <c r="M1073" s="8" t="n"/>
      <c r="N1073" s="8" t="n"/>
      <c r="O1073" s="8" t="n"/>
      <c r="P1073" s="15" t="n">
        <v>3.87</v>
      </c>
      <c r="Q1073" s="8" t="n"/>
      <c r="R1073" s="8" t="n"/>
      <c r="S1073" s="8" t="n"/>
      <c r="T1073" s="7" t="inlineStr">
        <is>
          <t>NAZARIA</t>
        </is>
      </c>
      <c r="U1073" s="8" t="n">
        <v>3.87</v>
      </c>
      <c r="V1073" s="14">
        <f>U1073/J1073-1</f>
        <v/>
      </c>
      <c r="W1073" s="14">
        <f>U1073/H1073-1</f>
        <v/>
      </c>
      <c r="X1073" s="16" t="inlineStr">
        <is>
          <t>ACIMA +0.3%</t>
        </is>
      </c>
      <c r="Y1073" s="7" t="inlineStr"/>
    </row>
    <row r="1074">
      <c r="A1074" s="7" t="n">
        <v>568501</v>
      </c>
      <c r="B1074" s="12" t="inlineStr">
        <is>
          <t>7891528038827</t>
        </is>
      </c>
      <c r="C1074" s="7" t="inlineStr">
        <is>
          <t>CR D COLGATE KIDS TANDY T FRUTI 50G</t>
        </is>
      </c>
      <c r="D1074" s="7" t="inlineStr">
        <is>
          <t>BABY/KIDS</t>
        </is>
      </c>
      <c r="E1074" s="7" t="inlineStr">
        <is>
          <t>A</t>
        </is>
      </c>
      <c r="F1074" s="13" t="n">
        <v>5</v>
      </c>
      <c r="G1074" s="13" t="n">
        <v>5</v>
      </c>
      <c r="H1074" s="8" t="n">
        <v>7.3229</v>
      </c>
      <c r="I1074" s="8" t="n">
        <v>7.04</v>
      </c>
      <c r="J1074" s="8" t="n">
        <v>7.2286</v>
      </c>
      <c r="K1074" s="8" t="n"/>
      <c r="L1074" s="8" t="n"/>
      <c r="M1074" s="8" t="n"/>
      <c r="N1074" s="8" t="n"/>
      <c r="O1074" s="8" t="n"/>
      <c r="P1074" s="15" t="n">
        <v>8.859999999999999</v>
      </c>
      <c r="Q1074" s="8" t="n"/>
      <c r="R1074" s="8" t="n"/>
      <c r="S1074" s="8" t="n"/>
      <c r="T1074" s="7" t="inlineStr">
        <is>
          <t>NAZARIA</t>
        </is>
      </c>
      <c r="U1074" s="8" t="n">
        <v>8.859999999999999</v>
      </c>
      <c r="V1074" s="14">
        <f>U1074/J1074-1</f>
        <v/>
      </c>
      <c r="W1074" s="14">
        <f>U1074/H1074-1</f>
        <v/>
      </c>
      <c r="X1074" s="16" t="inlineStr">
        <is>
          <t>ACIMA +21.0%</t>
        </is>
      </c>
      <c r="Y1074" s="7" t="inlineStr"/>
    </row>
    <row r="1075">
      <c r="A1075" s="7" t="n">
        <v>623871</v>
      </c>
      <c r="B1075" s="12" t="inlineStr">
        <is>
          <t>7509546069609</t>
        </is>
      </c>
      <c r="C1075" s="7" t="inlineStr">
        <is>
          <t>CR DEN COLGATE LUM WHITE INST 70G   COLG %DN:0.00</t>
        </is>
      </c>
      <c r="D1075" s="7" t="inlineStr">
        <is>
          <t>PERF/COSME</t>
        </is>
      </c>
      <c r="E1075" s="7" t="inlineStr">
        <is>
          <t>C</t>
        </is>
      </c>
      <c r="F1075" s="13" t="n">
        <v>1</v>
      </c>
      <c r="G1075" s="13" t="n">
        <v>1</v>
      </c>
      <c r="H1075" s="8" t="n">
        <v>12.0233</v>
      </c>
      <c r="I1075" s="8" t="n">
        <v>12.0233</v>
      </c>
      <c r="J1075" s="8" t="n">
        <v>12.0233</v>
      </c>
      <c r="K1075" s="8" t="n"/>
      <c r="L1075" s="8" t="n"/>
      <c r="M1075" s="8" t="n"/>
      <c r="N1075" s="8" t="n"/>
      <c r="O1075" s="8" t="n"/>
      <c r="P1075" s="8" t="n">
        <v>13.55</v>
      </c>
      <c r="Q1075" s="8" t="n"/>
      <c r="R1075" s="8" t="n"/>
      <c r="S1075" s="8" t="n"/>
      <c r="T1075" s="7" t="inlineStr">
        <is>
          <t>SEM COTAÇÃO</t>
        </is>
      </c>
      <c r="U1075" s="8" t="n"/>
      <c r="V1075" s="14" t="n"/>
      <c r="W1075" s="14" t="n"/>
      <c r="X1075" s="7" t="inlineStr"/>
      <c r="Y1075" s="7" t="inlineStr">
        <is>
          <t>NAZARIA: sem estoque</t>
        </is>
      </c>
    </row>
    <row r="1076">
      <c r="A1076" s="7" t="n">
        <v>14403</v>
      </c>
      <c r="B1076" s="12" t="inlineStr">
        <is>
          <t>7509546700434</t>
        </is>
      </c>
      <c r="C1076" s="7" t="inlineStr">
        <is>
          <t>CR DEN COLGATE LUMINOUS WHITE CC 70G</t>
        </is>
      </c>
      <c r="D1076" s="7" t="inlineStr">
        <is>
          <t>PERF/COSME</t>
        </is>
      </c>
      <c r="E1076" s="7" t="inlineStr">
        <is>
          <t>B</t>
        </is>
      </c>
      <c r="F1076" s="13" t="n">
        <v>2</v>
      </c>
      <c r="G1076" s="13" t="n">
        <v>2</v>
      </c>
      <c r="H1076" s="8" t="n">
        <v>6.1854</v>
      </c>
      <c r="I1076" s="8" t="n">
        <v>6.1854</v>
      </c>
      <c r="J1076" s="8" t="n">
        <v>6.185399999999999</v>
      </c>
      <c r="K1076" s="8" t="n"/>
      <c r="L1076" s="8" t="n"/>
      <c r="M1076" s="8" t="n"/>
      <c r="N1076" s="8" t="n"/>
      <c r="O1076" s="8" t="n"/>
      <c r="P1076" s="15" t="n">
        <v>9.43</v>
      </c>
      <c r="Q1076" s="8" t="n"/>
      <c r="R1076" s="8" t="n"/>
      <c r="S1076" s="8" t="n"/>
      <c r="T1076" s="7" t="inlineStr">
        <is>
          <t>NAZARIA</t>
        </is>
      </c>
      <c r="U1076" s="8" t="n">
        <v>9.43</v>
      </c>
      <c r="V1076" s="14">
        <f>U1076/J1076-1</f>
        <v/>
      </c>
      <c r="W1076" s="14">
        <f>U1076/H1076-1</f>
        <v/>
      </c>
      <c r="X1076" s="16" t="inlineStr">
        <is>
          <t>ACIMA +52.5%</t>
        </is>
      </c>
      <c r="Y1076" s="7" t="inlineStr"/>
    </row>
    <row r="1077">
      <c r="A1077" s="7" t="n">
        <v>623881</v>
      </c>
      <c r="B1077" s="12" t="inlineStr">
        <is>
          <t>7891024134610</t>
        </is>
      </c>
      <c r="C1077" s="7" t="inlineStr">
        <is>
          <t>CR DEN COLGATE MAX PROTECAO 180G   COLG %DN:2.00</t>
        </is>
      </c>
      <c r="D1077" s="7" t="inlineStr">
        <is>
          <t>PERF/COSME</t>
        </is>
      </c>
      <c r="E1077" s="7" t="inlineStr">
        <is>
          <t>C</t>
        </is>
      </c>
      <c r="F1077" s="13" t="n">
        <v>6</v>
      </c>
      <c r="G1077" s="13" t="n">
        <v>6</v>
      </c>
      <c r="H1077" s="8" t="n">
        <v>6.13</v>
      </c>
      <c r="I1077" s="8" t="n">
        <v>6.13</v>
      </c>
      <c r="J1077" s="8" t="n">
        <v>6.13</v>
      </c>
      <c r="K1077" s="8" t="n"/>
      <c r="L1077" s="8" t="n"/>
      <c r="M1077" s="8" t="n"/>
      <c r="N1077" s="8" t="n"/>
      <c r="O1077" s="8" t="n"/>
      <c r="P1077" s="15" t="n">
        <v>10.05</v>
      </c>
      <c r="Q1077" s="8" t="n"/>
      <c r="R1077" s="8" t="n"/>
      <c r="S1077" s="8" t="n"/>
      <c r="T1077" s="7" t="inlineStr">
        <is>
          <t>NAZARIA</t>
        </is>
      </c>
      <c r="U1077" s="8" t="n">
        <v>10.05</v>
      </c>
      <c r="V1077" s="14">
        <f>U1077/J1077-1</f>
        <v/>
      </c>
      <c r="W1077" s="14">
        <f>U1077/H1077-1</f>
        <v/>
      </c>
      <c r="X1077" s="16" t="inlineStr">
        <is>
          <t>ACIMA +63.9%</t>
        </is>
      </c>
      <c r="Y1077" s="7" t="inlineStr"/>
    </row>
    <row r="1078">
      <c r="A1078" s="7" t="n">
        <v>610131</v>
      </c>
      <c r="B1078" s="12" t="inlineStr">
        <is>
          <t>6920354822223</t>
        </is>
      </c>
      <c r="C1078" s="7" t="inlineStr">
        <is>
          <t>CR DEN COLGATE NATURALS DETOX 90G</t>
        </is>
      </c>
      <c r="D1078" s="7" t="inlineStr">
        <is>
          <t>PERF/COSME</t>
        </is>
      </c>
      <c r="E1078" s="7" t="inlineStr">
        <is>
          <t>C</t>
        </is>
      </c>
      <c r="F1078" s="13" t="n">
        <v>1</v>
      </c>
      <c r="G1078" s="13" t="n">
        <v>1</v>
      </c>
      <c r="H1078" s="8" t="n">
        <v>9.5092</v>
      </c>
      <c r="I1078" s="8" t="n">
        <v>9.5092</v>
      </c>
      <c r="J1078" s="8" t="n">
        <v>9.5092</v>
      </c>
      <c r="K1078" s="8" t="n"/>
      <c r="L1078" s="8" t="n"/>
      <c r="M1078" s="8" t="n"/>
      <c r="N1078" s="8" t="n"/>
      <c r="O1078" s="8" t="n"/>
      <c r="P1078" s="8" t="n"/>
      <c r="Q1078" s="8" t="n"/>
      <c r="R1078" s="8" t="n"/>
      <c r="S1078" s="8" t="n"/>
      <c r="T1078" s="7" t="inlineStr">
        <is>
          <t>SEM COTAÇÃO</t>
        </is>
      </c>
      <c r="U1078" s="8" t="n"/>
      <c r="V1078" s="14" t="n"/>
      <c r="W1078" s="14" t="n"/>
      <c r="X1078" s="7" t="inlineStr"/>
      <c r="Y1078" s="7" t="inlineStr"/>
    </row>
    <row r="1079">
      <c r="A1079" s="7" t="n">
        <v>610121</v>
      </c>
      <c r="B1079" s="12" t="inlineStr">
        <is>
          <t>7509546675862</t>
        </is>
      </c>
      <c r="C1079" s="7" t="inlineStr">
        <is>
          <t>CR DEN COLGATE PERIOGARD 60G</t>
        </is>
      </c>
      <c r="D1079" s="7" t="inlineStr">
        <is>
          <t>RX</t>
        </is>
      </c>
      <c r="E1079" s="7" t="inlineStr">
        <is>
          <t>B</t>
        </is>
      </c>
      <c r="F1079" s="13" t="n">
        <v>6</v>
      </c>
      <c r="G1079" s="13" t="n">
        <v>6</v>
      </c>
      <c r="H1079" s="8" t="n">
        <v>12.0075</v>
      </c>
      <c r="I1079" s="8" t="n">
        <v>10.1467</v>
      </c>
      <c r="J1079" s="8" t="n">
        <v>11.38696666666667</v>
      </c>
      <c r="K1079" s="8" t="n"/>
      <c r="L1079" s="8" t="n"/>
      <c r="M1079" s="8" t="n"/>
      <c r="N1079" s="8" t="n"/>
      <c r="O1079" s="8" t="n"/>
      <c r="P1079" s="15" t="n">
        <v>17.79</v>
      </c>
      <c r="Q1079" s="8" t="n"/>
      <c r="R1079" s="8" t="n"/>
      <c r="S1079" s="8" t="n"/>
      <c r="T1079" s="7" t="inlineStr">
        <is>
          <t>NAZARIA</t>
        </is>
      </c>
      <c r="U1079" s="8" t="n">
        <v>17.79</v>
      </c>
      <c r="V1079" s="14">
        <f>U1079/J1079-1</f>
        <v/>
      </c>
      <c r="W1079" s="14">
        <f>U1079/H1079-1</f>
        <v/>
      </c>
      <c r="X1079" s="16" t="inlineStr">
        <is>
          <t>ACIMA +48.2%</t>
        </is>
      </c>
      <c r="Y1079" s="7" t="inlineStr"/>
    </row>
    <row r="1080">
      <c r="A1080" s="7" t="n">
        <v>635291</v>
      </c>
      <c r="B1080" s="12" t="inlineStr">
        <is>
          <t>7509546665238</t>
        </is>
      </c>
      <c r="C1080" s="7" t="inlineStr">
        <is>
          <t>CR DEN COLGATE ZERO KIDS 70G</t>
        </is>
      </c>
      <c r="D1080" s="7" t="inlineStr">
        <is>
          <t>PERF/COSME</t>
        </is>
      </c>
      <c r="E1080" s="7" t="inlineStr">
        <is>
          <t>C</t>
        </is>
      </c>
      <c r="F1080" s="13" t="n">
        <v>3</v>
      </c>
      <c r="G1080" s="13" t="n">
        <v>3</v>
      </c>
      <c r="H1080" s="8" t="n">
        <v>16.2583</v>
      </c>
      <c r="I1080" s="8" t="n">
        <v>16.2583</v>
      </c>
      <c r="J1080" s="8" t="n">
        <v>16.2583</v>
      </c>
      <c r="K1080" s="8" t="n"/>
      <c r="L1080" s="8" t="n"/>
      <c r="M1080" s="8" t="n"/>
      <c r="N1080" s="8" t="n"/>
      <c r="O1080" s="8" t="n"/>
      <c r="P1080" s="8" t="n"/>
      <c r="Q1080" s="8" t="n"/>
      <c r="R1080" s="8" t="n"/>
      <c r="S1080" s="8" t="n"/>
      <c r="T1080" s="7" t="inlineStr">
        <is>
          <t>SEM COTAÇÃO</t>
        </is>
      </c>
      <c r="U1080" s="8" t="n"/>
      <c r="V1080" s="14" t="n"/>
      <c r="W1080" s="14" t="n"/>
      <c r="X1080" s="7" t="inlineStr"/>
      <c r="Y1080" s="7" t="inlineStr"/>
    </row>
    <row r="1081">
      <c r="A1081" s="7" t="n">
        <v>662211</v>
      </c>
      <c r="B1081" s="12" t="inlineStr">
        <is>
          <t>8718951539129</t>
        </is>
      </c>
      <c r="C1081" s="7" t="inlineStr">
        <is>
          <t>CR DEN ELMEX SENSITIVE PROFES 75G</t>
        </is>
      </c>
      <c r="D1081" s="7" t="inlineStr">
        <is>
          <t>PERF/COSME</t>
        </is>
      </c>
      <c r="E1081" s="7" t="inlineStr">
        <is>
          <t>C</t>
        </is>
      </c>
      <c r="F1081" s="13" t="n">
        <v>1</v>
      </c>
      <c r="G1081" s="13" t="n">
        <v>1</v>
      </c>
      <c r="H1081" s="8" t="n">
        <v>10.925</v>
      </c>
      <c r="I1081" s="8" t="n">
        <v>10.925</v>
      </c>
      <c r="J1081" s="8" t="n">
        <v>10.925</v>
      </c>
      <c r="K1081" s="8" t="n"/>
      <c r="L1081" s="8" t="n"/>
      <c r="M1081" s="8" t="n"/>
      <c r="N1081" s="8" t="n"/>
      <c r="O1081" s="8" t="n"/>
      <c r="P1081" s="15" t="n">
        <v>18.55</v>
      </c>
      <c r="Q1081" s="8" t="n"/>
      <c r="R1081" s="8" t="n"/>
      <c r="S1081" s="8" t="n"/>
      <c r="T1081" s="7" t="inlineStr">
        <is>
          <t>NAZARIA</t>
        </is>
      </c>
      <c r="U1081" s="8" t="n">
        <v>18.55</v>
      </c>
      <c r="V1081" s="14">
        <f>U1081/J1081-1</f>
        <v/>
      </c>
      <c r="W1081" s="14">
        <f>U1081/H1081-1</f>
        <v/>
      </c>
      <c r="X1081" s="16" t="inlineStr">
        <is>
          <t>ACIMA +69.8%</t>
        </is>
      </c>
      <c r="Y1081" s="7" t="inlineStr"/>
    </row>
    <row r="1082">
      <c r="A1082" s="7" t="n">
        <v>660751</v>
      </c>
      <c r="B1082" s="12" t="inlineStr"/>
      <c r="C1082" s="7" t="inlineStr">
        <is>
          <t>CR DEPIMIEL DEPIL CORP 120G ROMA/M.UCUUB</t>
        </is>
      </c>
      <c r="D1082" s="7" t="inlineStr">
        <is>
          <t>PERF/COSME</t>
        </is>
      </c>
      <c r="E1082" s="7" t="inlineStr">
        <is>
          <t>A</t>
        </is>
      </c>
      <c r="F1082" s="13" t="n">
        <v>2</v>
      </c>
      <c r="G1082" s="13" t="n">
        <v>2</v>
      </c>
      <c r="H1082" s="8" t="n">
        <v>19.96</v>
      </c>
      <c r="I1082" s="8" t="n">
        <v>19.96</v>
      </c>
      <c r="J1082" s="8" t="n">
        <v>19.96</v>
      </c>
      <c r="K1082" s="8" t="n"/>
      <c r="L1082" s="8" t="n"/>
      <c r="M1082" s="8" t="n"/>
      <c r="N1082" s="8" t="n"/>
      <c r="O1082" s="8" t="n"/>
      <c r="P1082" s="8" t="n"/>
      <c r="Q1082" s="8" t="n"/>
      <c r="R1082" s="8" t="n"/>
      <c r="S1082" s="8" t="n"/>
      <c r="T1082" s="7" t="inlineStr">
        <is>
          <t>SEM COTAÇÃO</t>
        </is>
      </c>
      <c r="U1082" s="8" t="n"/>
      <c r="V1082" s="14" t="n"/>
      <c r="W1082" s="14" t="n"/>
      <c r="X1082" s="7" t="inlineStr"/>
      <c r="Y1082" s="7" t="inlineStr"/>
    </row>
    <row r="1083">
      <c r="A1083" s="7" t="n">
        <v>654081</v>
      </c>
      <c r="B1083" s="12" t="inlineStr">
        <is>
          <t>7794728013444</t>
        </is>
      </c>
      <c r="C1083" s="7" t="inlineStr">
        <is>
          <t>CR DEPIMIEL DEPIL FACIAL 40G A.BRA/R.MOS</t>
        </is>
      </c>
      <c r="D1083" s="7" t="inlineStr">
        <is>
          <t>PERF/COSME</t>
        </is>
      </c>
      <c r="E1083" s="7" t="inlineStr">
        <is>
          <t>C</t>
        </is>
      </c>
      <c r="F1083" s="13" t="n">
        <v>1</v>
      </c>
      <c r="G1083" s="13" t="n">
        <v>1</v>
      </c>
      <c r="H1083" s="8" t="n">
        <v>14.2</v>
      </c>
      <c r="I1083" s="8" t="n">
        <v>14.2</v>
      </c>
      <c r="J1083" s="8" t="n">
        <v>14.2</v>
      </c>
      <c r="K1083" s="8" t="n"/>
      <c r="L1083" s="8" t="n"/>
      <c r="M1083" s="8" t="n"/>
      <c r="N1083" s="8" t="n"/>
      <c r="O1083" s="8" t="n"/>
      <c r="P1083" s="8" t="n"/>
      <c r="Q1083" s="8" t="n"/>
      <c r="R1083" s="8" t="n"/>
      <c r="S1083" s="8" t="n"/>
      <c r="T1083" s="7" t="inlineStr">
        <is>
          <t>SEM COTAÇÃO</t>
        </is>
      </c>
      <c r="U1083" s="8" t="n"/>
      <c r="V1083" s="14" t="n"/>
      <c r="W1083" s="14" t="n"/>
      <c r="X1083" s="7" t="inlineStr"/>
      <c r="Y1083" s="7" t="inlineStr"/>
    </row>
    <row r="1084">
      <c r="A1084" s="7" t="n">
        <v>594501</v>
      </c>
      <c r="B1084" s="12" t="inlineStr">
        <is>
          <t>0000042360414</t>
        </is>
      </c>
      <c r="C1084" s="7" t="inlineStr">
        <is>
          <t>CR FACIAL NIVEA ANTISSINAIS 100G</t>
        </is>
      </c>
      <c r="D1084" s="7" t="inlineStr">
        <is>
          <t>DERMOCOSMETICOS/COSMETICOS</t>
        </is>
      </c>
      <c r="E1084" s="7" t="inlineStr">
        <is>
          <t>A</t>
        </is>
      </c>
      <c r="F1084" s="13" t="n">
        <v>8</v>
      </c>
      <c r="G1084" s="13" t="n">
        <v>8</v>
      </c>
      <c r="H1084" s="8" t="n">
        <v>21.63</v>
      </c>
      <c r="I1084" s="8" t="n">
        <v>20.9125</v>
      </c>
      <c r="J1084" s="8" t="n">
        <v>21.39083333333333</v>
      </c>
      <c r="K1084" s="8" t="n"/>
      <c r="L1084" s="8" t="n"/>
      <c r="M1084" s="15" t="n">
        <v>19.6</v>
      </c>
      <c r="N1084" s="8" t="n"/>
      <c r="O1084" s="8" t="n"/>
      <c r="P1084" s="8" t="n">
        <v>29.99</v>
      </c>
      <c r="Q1084" s="8" t="n"/>
      <c r="R1084" s="8" t="n"/>
      <c r="S1084" s="8" t="n"/>
      <c r="T1084" s="7" t="inlineStr">
        <is>
          <t>EPAN</t>
        </is>
      </c>
      <c r="U1084" s="8" t="n">
        <v>19.6</v>
      </c>
      <c r="V1084" s="14">
        <f>U1084/J1084-1</f>
        <v/>
      </c>
      <c r="W1084" s="14">
        <f>U1084/H1084-1</f>
        <v/>
      </c>
      <c r="X1084" s="17" t="inlineStr">
        <is>
          <t>OK (≤ menor hist.)</t>
        </is>
      </c>
      <c r="Y1084" s="7" t="inlineStr"/>
    </row>
    <row r="1085">
      <c r="A1085" s="7" t="n">
        <v>594521</v>
      </c>
      <c r="B1085" s="12" t="inlineStr">
        <is>
          <t>0000042360407</t>
        </is>
      </c>
      <c r="C1085" s="7" t="inlineStr">
        <is>
          <t>CR FACIAL NIVEA NUTRITIVO 100G</t>
        </is>
      </c>
      <c r="D1085" s="7" t="inlineStr">
        <is>
          <t>RX - DERMO</t>
        </is>
      </c>
      <c r="E1085" s="7" t="inlineStr">
        <is>
          <t>A</t>
        </is>
      </c>
      <c r="F1085" s="13" t="n">
        <v>8</v>
      </c>
      <c r="G1085" s="13" t="n">
        <v>8</v>
      </c>
      <c r="H1085" s="8" t="n">
        <v>23.392</v>
      </c>
      <c r="I1085" s="8" t="n">
        <v>20.9117</v>
      </c>
      <c r="J1085" s="8" t="n">
        <v>22.56523333333334</v>
      </c>
      <c r="K1085" s="8" t="n"/>
      <c r="L1085" s="8" t="n"/>
      <c r="M1085" s="15" t="n">
        <v>20.91</v>
      </c>
      <c r="N1085" s="8" t="n"/>
      <c r="O1085" s="8" t="n"/>
      <c r="P1085" s="8" t="n">
        <v>29.99</v>
      </c>
      <c r="Q1085" s="8" t="n"/>
      <c r="R1085" s="8" t="n"/>
      <c r="S1085" s="8" t="n"/>
      <c r="T1085" s="7" t="inlineStr">
        <is>
          <t>EPAN</t>
        </is>
      </c>
      <c r="U1085" s="8" t="n">
        <v>20.91</v>
      </c>
      <c r="V1085" s="14">
        <f>U1085/J1085-1</f>
        <v/>
      </c>
      <c r="W1085" s="14">
        <f>U1085/H1085-1</f>
        <v/>
      </c>
      <c r="X1085" s="17" t="inlineStr">
        <is>
          <t>OK (≤ menor hist.)</t>
        </is>
      </c>
      <c r="Y1085" s="7" t="inlineStr"/>
    </row>
    <row r="1086">
      <c r="A1086" s="7" t="n">
        <v>628781</v>
      </c>
      <c r="B1086" s="12" t="inlineStr">
        <is>
          <t>7891150077706</t>
        </is>
      </c>
      <c r="C1086" s="7" t="inlineStr">
        <is>
          <t>CR HID DOVE 200ML KARITE E BAUNILHA M3</t>
        </is>
      </c>
      <c r="D1086" s="7" t="inlineStr">
        <is>
          <t>COND/SHAM/CREM/SIMILARES</t>
        </is>
      </c>
      <c r="E1086" s="7" t="inlineStr">
        <is>
          <t>C</t>
        </is>
      </c>
      <c r="F1086" s="13" t="n">
        <v>1</v>
      </c>
      <c r="G1086" s="13" t="n">
        <v>1</v>
      </c>
      <c r="H1086" s="8" t="n">
        <v>13.51</v>
      </c>
      <c r="I1086" s="8" t="n">
        <v>13.51</v>
      </c>
      <c r="J1086" s="8" t="n">
        <v>13.51</v>
      </c>
      <c r="K1086" s="8" t="n"/>
      <c r="L1086" s="8" t="n"/>
      <c r="M1086" s="8" t="n"/>
      <c r="N1086" s="8" t="n"/>
      <c r="O1086" s="8" t="n"/>
      <c r="P1086" s="8" t="n"/>
      <c r="Q1086" s="8" t="n"/>
      <c r="R1086" s="8" t="n"/>
      <c r="S1086" s="8" t="n"/>
      <c r="T1086" s="7" t="inlineStr">
        <is>
          <t>SEM COTAÇÃO</t>
        </is>
      </c>
      <c r="U1086" s="8" t="n"/>
      <c r="V1086" s="14" t="n"/>
      <c r="W1086" s="14" t="n"/>
      <c r="X1086" s="7" t="inlineStr"/>
      <c r="Y1086" s="7" t="inlineStr"/>
    </row>
    <row r="1087">
      <c r="A1087" s="7" t="n">
        <v>628771</v>
      </c>
      <c r="B1087" s="12" t="inlineStr">
        <is>
          <t>7891150078550</t>
        </is>
      </c>
      <c r="C1087" s="7" t="inlineStr">
        <is>
          <t>CR HID DOVE 200ML NUTRICAO ESSENCIAL M3</t>
        </is>
      </c>
      <c r="D1087" s="7" t="inlineStr">
        <is>
          <t>COND/SHAM/CREM/SIMILARES</t>
        </is>
      </c>
      <c r="E1087" s="7" t="inlineStr">
        <is>
          <t>C</t>
        </is>
      </c>
      <c r="F1087" s="13" t="n">
        <v>1</v>
      </c>
      <c r="G1087" s="13" t="n">
        <v>1</v>
      </c>
      <c r="H1087" s="8" t="n">
        <v>12.76</v>
      </c>
      <c r="I1087" s="8" t="n">
        <v>12.76</v>
      </c>
      <c r="J1087" s="8" t="n">
        <v>12.76</v>
      </c>
      <c r="K1087" s="8" t="n"/>
      <c r="L1087" s="8" t="n"/>
      <c r="M1087" s="8" t="n"/>
      <c r="N1087" s="8" t="n"/>
      <c r="O1087" s="8" t="n"/>
      <c r="P1087" s="8" t="n"/>
      <c r="Q1087" s="8" t="n"/>
      <c r="R1087" s="8" t="n"/>
      <c r="S1087" s="8" t="n"/>
      <c r="T1087" s="7" t="inlineStr">
        <is>
          <t>SEM COTAÇÃO</t>
        </is>
      </c>
      <c r="U1087" s="8" t="n"/>
      <c r="V1087" s="14" t="n"/>
      <c r="W1087" s="14" t="n"/>
      <c r="X1087" s="7" t="inlineStr"/>
      <c r="Y1087" s="7" t="inlineStr"/>
    </row>
    <row r="1088">
      <c r="A1088" s="7" t="n">
        <v>628761</v>
      </c>
      <c r="B1088" s="12" t="inlineStr">
        <is>
          <t>7891150078567</t>
        </is>
      </c>
      <c r="C1088" s="7" t="inlineStr">
        <is>
          <t>CR HID DOVE 200ML ROMA E VERBENA M3</t>
        </is>
      </c>
      <c r="D1088" s="7" t="inlineStr">
        <is>
          <t>PERF/COSME</t>
        </is>
      </c>
      <c r="E1088" s="7" t="inlineStr">
        <is>
          <t>C</t>
        </is>
      </c>
      <c r="F1088" s="13" t="n">
        <v>1</v>
      </c>
      <c r="G1088" s="13" t="n">
        <v>1</v>
      </c>
      <c r="H1088" s="8" t="n">
        <v>12.76</v>
      </c>
      <c r="I1088" s="8" t="n">
        <v>12.76</v>
      </c>
      <c r="J1088" s="8" t="n">
        <v>12.76</v>
      </c>
      <c r="K1088" s="8" t="n"/>
      <c r="L1088" s="8" t="n"/>
      <c r="M1088" s="8" t="n"/>
      <c r="N1088" s="8" t="n"/>
      <c r="O1088" s="8" t="n"/>
      <c r="P1088" s="8" t="n"/>
      <c r="Q1088" s="8" t="n"/>
      <c r="R1088" s="8" t="n"/>
      <c r="S1088" s="8" t="n"/>
      <c r="T1088" s="7" t="inlineStr">
        <is>
          <t>SEM COTAÇÃO</t>
        </is>
      </c>
      <c r="U1088" s="8" t="n"/>
      <c r="V1088" s="14" t="n"/>
      <c r="W1088" s="14" t="n"/>
      <c r="X1088" s="7" t="inlineStr"/>
      <c r="Y1088" s="7" t="inlineStr"/>
    </row>
    <row r="1089">
      <c r="A1089" s="7" t="n">
        <v>594271</v>
      </c>
      <c r="B1089" s="12" t="inlineStr">
        <is>
          <t>0000042277217</t>
        </is>
      </c>
      <c r="C1089" s="7" t="inlineStr">
        <is>
          <t>CR NIVEA 29G</t>
        </is>
      </c>
      <c r="D1089" s="7" t="inlineStr">
        <is>
          <t>DERMOCOSMETICOS/COSMETICOS</t>
        </is>
      </c>
      <c r="E1089" s="7" t="inlineStr">
        <is>
          <t>C</t>
        </is>
      </c>
      <c r="F1089" s="13" t="n">
        <v>1</v>
      </c>
      <c r="G1089" s="13" t="n">
        <v>1</v>
      </c>
      <c r="H1089" s="8" t="n">
        <v>13.41</v>
      </c>
      <c r="I1089" s="8" t="n">
        <v>13.41</v>
      </c>
      <c r="J1089" s="8" t="n">
        <v>13.41</v>
      </c>
      <c r="K1089" s="8" t="n"/>
      <c r="L1089" s="8" t="n"/>
      <c r="M1089" s="15" t="n">
        <v>10.98</v>
      </c>
      <c r="N1089" s="8" t="n"/>
      <c r="O1089" s="8" t="n"/>
      <c r="P1089" s="8" t="n">
        <v>15.32</v>
      </c>
      <c r="Q1089" s="8" t="n"/>
      <c r="R1089" s="8" t="n"/>
      <c r="S1089" s="8" t="n"/>
      <c r="T1089" s="7" t="inlineStr">
        <is>
          <t>EPAN</t>
        </is>
      </c>
      <c r="U1089" s="8" t="n">
        <v>10.98</v>
      </c>
      <c r="V1089" s="14">
        <f>U1089/J1089-1</f>
        <v/>
      </c>
      <c r="W1089" s="14">
        <f>U1089/H1089-1</f>
        <v/>
      </c>
      <c r="X1089" s="17" t="inlineStr">
        <is>
          <t>OK (≤ menor hist.)</t>
        </is>
      </c>
      <c r="Y1089" s="7" t="inlineStr"/>
    </row>
    <row r="1090">
      <c r="A1090" s="7" t="n">
        <v>556501</v>
      </c>
      <c r="B1090" s="12" t="inlineStr">
        <is>
          <t>42277217</t>
        </is>
      </c>
      <c r="C1090" s="7" t="inlineStr">
        <is>
          <t>CR NIVEA 29G</t>
        </is>
      </c>
      <c r="D1090" s="7" t="inlineStr">
        <is>
          <t>RX - DERMO</t>
        </is>
      </c>
      <c r="E1090" s="7" t="inlineStr">
        <is>
          <t>A</t>
        </is>
      </c>
      <c r="F1090" s="13" t="n">
        <v>18</v>
      </c>
      <c r="G1090" s="13" t="n">
        <v>18</v>
      </c>
      <c r="H1090" s="8" t="n">
        <v>14.24</v>
      </c>
      <c r="I1090" s="8" t="n">
        <v>8.833299999999999</v>
      </c>
      <c r="J1090" s="8" t="n">
        <v>9.341633333333334</v>
      </c>
      <c r="K1090" s="8" t="n"/>
      <c r="L1090" s="8" t="n"/>
      <c r="M1090" s="15" t="n">
        <v>10.98</v>
      </c>
      <c r="N1090" s="8" t="n"/>
      <c r="O1090" s="8" t="n"/>
      <c r="P1090" s="8" t="n">
        <v>15.32</v>
      </c>
      <c r="Q1090" s="8" t="n"/>
      <c r="R1090" s="8" t="n"/>
      <c r="S1090" s="8" t="n"/>
      <c r="T1090" s="7" t="inlineStr">
        <is>
          <t>EPAN</t>
        </is>
      </c>
      <c r="U1090" s="8" t="n">
        <v>10.98</v>
      </c>
      <c r="V1090" s="14">
        <f>U1090/J1090-1</f>
        <v/>
      </c>
      <c r="W1090" s="14">
        <f>U1090/H1090-1</f>
        <v/>
      </c>
      <c r="X1090" s="17" t="inlineStr">
        <is>
          <t>OK (≤ últ. compra)</t>
        </is>
      </c>
      <c r="Y1090" s="7" t="inlineStr"/>
    </row>
    <row r="1091">
      <c r="A1091" s="7" t="n">
        <v>615291</v>
      </c>
      <c r="B1091" s="12" t="inlineStr">
        <is>
          <t>42355465</t>
        </is>
      </c>
      <c r="C1091" s="7" t="inlineStr">
        <is>
          <t>CR NIVEA MEN 30G</t>
        </is>
      </c>
      <c r="D1091" s="7" t="inlineStr">
        <is>
          <t>PERF/COSME</t>
        </is>
      </c>
      <c r="E1091" s="7" t="inlineStr">
        <is>
          <t>C</t>
        </is>
      </c>
      <c r="F1091" s="13" t="n">
        <v>1</v>
      </c>
      <c r="G1091" s="13" t="n">
        <v>1</v>
      </c>
      <c r="H1091" s="8" t="n">
        <v>12.09</v>
      </c>
      <c r="I1091" s="8" t="n">
        <v>12.09</v>
      </c>
      <c r="J1091" s="8" t="n">
        <v>12.09</v>
      </c>
      <c r="K1091" s="8" t="n"/>
      <c r="L1091" s="8" t="n"/>
      <c r="M1091" s="8" t="n"/>
      <c r="N1091" s="8" t="n"/>
      <c r="O1091" s="8" t="n"/>
      <c r="P1091" s="8" t="n"/>
      <c r="Q1091" s="8" t="n"/>
      <c r="R1091" s="8" t="n"/>
      <c r="S1091" s="8" t="n"/>
      <c r="T1091" s="7" t="inlineStr">
        <is>
          <t>SEM COTAÇÃO</t>
        </is>
      </c>
      <c r="U1091" s="8" t="n"/>
      <c r="V1091" s="14" t="n"/>
      <c r="W1091" s="14" t="n"/>
      <c r="X1091" s="7" t="inlineStr"/>
      <c r="Y1091" s="7" t="inlineStr"/>
    </row>
    <row r="1092">
      <c r="A1092" s="7" t="n">
        <v>576481</v>
      </c>
      <c r="B1092" s="12" t="inlineStr">
        <is>
          <t>4005808890590</t>
        </is>
      </c>
      <c r="C1092" s="7" t="inlineStr">
        <is>
          <t>CR NIVEA SOFT HIDRAT.97G</t>
        </is>
      </c>
      <c r="D1092" s="7" t="inlineStr">
        <is>
          <t>RX - DERMO</t>
        </is>
      </c>
      <c r="E1092" s="7" t="inlineStr">
        <is>
          <t>B</t>
        </is>
      </c>
      <c r="F1092" s="13" t="n">
        <v>4</v>
      </c>
      <c r="G1092" s="13" t="n">
        <v>4</v>
      </c>
      <c r="H1092" s="8" t="n">
        <v>29.8083</v>
      </c>
      <c r="I1092" s="8" t="n">
        <v>29.8083</v>
      </c>
      <c r="J1092" s="8" t="n">
        <v>29.8083</v>
      </c>
      <c r="K1092" s="8" t="n"/>
      <c r="L1092" s="8" t="n"/>
      <c r="M1092" s="15" t="n">
        <v>24.32</v>
      </c>
      <c r="N1092" s="8" t="n"/>
      <c r="O1092" s="8" t="n"/>
      <c r="P1092" s="8" t="n">
        <v>34.14</v>
      </c>
      <c r="Q1092" s="8" t="n"/>
      <c r="R1092" s="8" t="n"/>
      <c r="S1092" s="8" t="n"/>
      <c r="T1092" s="7" t="inlineStr">
        <is>
          <t>EPAN</t>
        </is>
      </c>
      <c r="U1092" s="8" t="n">
        <v>24.32</v>
      </c>
      <c r="V1092" s="14">
        <f>U1092/J1092-1</f>
        <v/>
      </c>
      <c r="W1092" s="14">
        <f>U1092/H1092-1</f>
        <v/>
      </c>
      <c r="X1092" s="17" t="inlineStr">
        <is>
          <t>OK (≤ menor hist.)</t>
        </is>
      </c>
      <c r="Y1092" s="7" t="inlineStr"/>
    </row>
    <row r="1093">
      <c r="A1093" s="7" t="n">
        <v>616961</v>
      </c>
      <c r="B1093" s="12" t="inlineStr">
        <is>
          <t>7896000712981</t>
        </is>
      </c>
      <c r="C1093" s="7" t="inlineStr">
        <is>
          <t>CR PEN N GOLD LISO PLENO 250G</t>
        </is>
      </c>
      <c r="D1093" s="7" t="inlineStr">
        <is>
          <t>COND/SHAM/CREM/SIMILARES</t>
        </is>
      </c>
      <c r="E1093" s="7" t="inlineStr">
        <is>
          <t>B</t>
        </is>
      </c>
      <c r="F1093" s="13" t="n">
        <v>1</v>
      </c>
      <c r="G1093" s="13" t="n">
        <v>1</v>
      </c>
      <c r="H1093" s="8" t="n">
        <v>4.57</v>
      </c>
      <c r="I1093" s="8" t="n">
        <v>4.57</v>
      </c>
      <c r="J1093" s="8" t="n">
        <v>4.57</v>
      </c>
      <c r="K1093" s="8" t="n"/>
      <c r="L1093" s="8" t="n"/>
      <c r="M1093" s="8" t="n"/>
      <c r="N1093" s="8" t="n"/>
      <c r="O1093" s="8" t="n"/>
      <c r="P1093" s="15" t="n">
        <v>8.08</v>
      </c>
      <c r="Q1093" s="8" t="n"/>
      <c r="R1093" s="8" t="n"/>
      <c r="S1093" s="8" t="n"/>
      <c r="T1093" s="7" t="inlineStr">
        <is>
          <t>NAZARIA</t>
        </is>
      </c>
      <c r="U1093" s="8" t="n">
        <v>8.08</v>
      </c>
      <c r="V1093" s="14">
        <f>U1093/J1093-1</f>
        <v/>
      </c>
      <c r="W1093" s="14">
        <f>U1093/H1093-1</f>
        <v/>
      </c>
      <c r="X1093" s="16" t="inlineStr">
        <is>
          <t>ACIMA +76.8%</t>
        </is>
      </c>
      <c r="Y1093" s="7" t="inlineStr"/>
    </row>
    <row r="1094">
      <c r="A1094" s="7" t="n">
        <v>597061</v>
      </c>
      <c r="B1094" s="12" t="inlineStr">
        <is>
          <t>7891150060883</t>
        </is>
      </c>
      <c r="C1094" s="7" t="inlineStr">
        <is>
          <t>CR PEN SEDA BABOSA + OLE 300ML</t>
        </is>
      </c>
      <c r="D1094" s="7" t="inlineStr">
        <is>
          <t>COND/SHAM/CREM/SIMILARES</t>
        </is>
      </c>
      <c r="E1094" s="7" t="inlineStr">
        <is>
          <t>C</t>
        </is>
      </c>
      <c r="F1094" s="13" t="n">
        <v>1</v>
      </c>
      <c r="G1094" s="13" t="n">
        <v>1</v>
      </c>
      <c r="H1094" s="8" t="n">
        <v>7.1</v>
      </c>
      <c r="I1094" s="8" t="n">
        <v>7.1</v>
      </c>
      <c r="J1094" s="8" t="n">
        <v>7.099999999999999</v>
      </c>
      <c r="K1094" s="8" t="n"/>
      <c r="L1094" s="8" t="n"/>
      <c r="M1094" s="8" t="n"/>
      <c r="N1094" s="8" t="n"/>
      <c r="O1094" s="8" t="n"/>
      <c r="P1094" s="8" t="n"/>
      <c r="Q1094" s="8" t="n"/>
      <c r="R1094" s="8" t="n"/>
      <c r="S1094" s="8" t="n"/>
      <c r="T1094" s="7" t="inlineStr">
        <is>
          <t>SEM COTAÇÃO</t>
        </is>
      </c>
      <c r="U1094" s="8" t="n"/>
      <c r="V1094" s="14" t="n"/>
      <c r="W1094" s="14" t="n"/>
      <c r="X1094" s="7" t="inlineStr"/>
      <c r="Y1094" s="7" t="inlineStr"/>
    </row>
    <row r="1095">
      <c r="A1095" s="7" t="n">
        <v>597081</v>
      </c>
      <c r="B1095" s="12" t="inlineStr">
        <is>
          <t>7891150088375</t>
        </is>
      </c>
      <c r="C1095" s="7" t="inlineStr">
        <is>
          <t>CR PEN SEDA BOOM VOL MAX 350ML</t>
        </is>
      </c>
      <c r="D1095" s="7" t="inlineStr">
        <is>
          <t>COND/SHAM/CREM/SIMILARES</t>
        </is>
      </c>
      <c r="E1095" s="7" t="inlineStr">
        <is>
          <t>C</t>
        </is>
      </c>
      <c r="F1095" s="13" t="n">
        <v>1</v>
      </c>
      <c r="G1095" s="13" t="n">
        <v>1</v>
      </c>
      <c r="H1095" s="8" t="n">
        <v>10.07</v>
      </c>
      <c r="I1095" s="8" t="n">
        <v>10.07</v>
      </c>
      <c r="J1095" s="8" t="n">
        <v>10.07</v>
      </c>
      <c r="K1095" s="8" t="n"/>
      <c r="L1095" s="8" t="n"/>
      <c r="M1095" s="8" t="n"/>
      <c r="N1095" s="8" t="n"/>
      <c r="O1095" s="8" t="n"/>
      <c r="P1095" s="8" t="n"/>
      <c r="Q1095" s="8" t="n"/>
      <c r="R1095" s="8" t="n"/>
      <c r="S1095" s="8" t="n"/>
      <c r="T1095" s="7" t="inlineStr">
        <is>
          <t>SEM COTAÇÃO</t>
        </is>
      </c>
      <c r="U1095" s="8" t="n"/>
      <c r="V1095" s="14" t="n"/>
      <c r="W1095" s="14" t="n"/>
      <c r="X1095" s="7" t="inlineStr"/>
      <c r="Y1095" s="7" t="inlineStr"/>
    </row>
    <row r="1096">
      <c r="A1096" s="7" t="n">
        <v>597101</v>
      </c>
      <c r="B1096" s="12" t="inlineStr">
        <is>
          <t>7891150031746</t>
        </is>
      </c>
      <c r="C1096" s="7" t="inlineStr">
        <is>
          <t>CR PEN SEDA HIDRAT A NOS 300ML</t>
        </is>
      </c>
      <c r="D1096" s="7" t="inlineStr">
        <is>
          <t>COND/SHAM/CREM/SIMILARES</t>
        </is>
      </c>
      <c r="E1096" s="7" t="inlineStr">
        <is>
          <t>C</t>
        </is>
      </c>
      <c r="F1096" s="13" t="n">
        <v>1</v>
      </c>
      <c r="G1096" s="13" t="n">
        <v>1</v>
      </c>
      <c r="H1096" s="8" t="n">
        <v>6.62</v>
      </c>
      <c r="I1096" s="8" t="n">
        <v>6.62</v>
      </c>
      <c r="J1096" s="8" t="n">
        <v>6.62</v>
      </c>
      <c r="K1096" s="8" t="n"/>
      <c r="L1096" s="8" t="n"/>
      <c r="M1096" s="8" t="n"/>
      <c r="N1096" s="8" t="n"/>
      <c r="O1096" s="8" t="n"/>
      <c r="P1096" s="8" t="n"/>
      <c r="Q1096" s="8" t="n"/>
      <c r="R1096" s="8" t="n"/>
      <c r="S1096" s="8" t="n"/>
      <c r="T1096" s="7" t="inlineStr">
        <is>
          <t>SEM COTAÇÃO</t>
        </is>
      </c>
      <c r="U1096" s="8" t="n"/>
      <c r="V1096" s="14" t="n"/>
      <c r="W1096" s="14" t="n"/>
      <c r="X1096" s="7" t="inlineStr"/>
      <c r="Y1096" s="7" t="inlineStr"/>
    </row>
    <row r="1097">
      <c r="A1097" s="7" t="n">
        <v>610221</v>
      </c>
      <c r="B1097" s="12" t="inlineStr">
        <is>
          <t>7897042016334</t>
        </is>
      </c>
      <c r="C1097" s="7" t="inlineStr">
        <is>
          <t>CR PEN SKALA AMIDO MILHO 250G</t>
        </is>
      </c>
      <c r="D1097" s="7" t="inlineStr">
        <is>
          <t>COND/SHAM/CREM/SIMILARES</t>
        </is>
      </c>
      <c r="E1097" s="7" t="inlineStr">
        <is>
          <t>C</t>
        </is>
      </c>
      <c r="F1097" s="13" t="n">
        <v>1</v>
      </c>
      <c r="G1097" s="13" t="n">
        <v>1</v>
      </c>
      <c r="H1097" s="8" t="n">
        <v>5.79</v>
      </c>
      <c r="I1097" s="8" t="n">
        <v>5.79</v>
      </c>
      <c r="J1097" s="8" t="n">
        <v>5.79</v>
      </c>
      <c r="K1097" s="8" t="n"/>
      <c r="L1097" s="8" t="n"/>
      <c r="M1097" s="8" t="n"/>
      <c r="N1097" s="8" t="n"/>
      <c r="O1097" s="8" t="n"/>
      <c r="P1097" s="8" t="n"/>
      <c r="Q1097" s="8" t="n"/>
      <c r="R1097" s="8" t="n"/>
      <c r="S1097" s="8" t="n"/>
      <c r="T1097" s="7" t="inlineStr">
        <is>
          <t>SEM COTAÇÃO</t>
        </is>
      </c>
      <c r="U1097" s="8" t="n"/>
      <c r="V1097" s="14" t="n"/>
      <c r="W1097" s="14" t="n"/>
      <c r="X1097" s="7" t="inlineStr"/>
      <c r="Y1097" s="7" t="inlineStr"/>
    </row>
    <row r="1098">
      <c r="A1098" s="7" t="n">
        <v>600941</v>
      </c>
      <c r="B1098" s="12" t="inlineStr">
        <is>
          <t>7897042012176</t>
        </is>
      </c>
      <c r="C1098" s="7" t="inlineStr">
        <is>
          <t>CR PEN SKALA B VITAMINAS 250G</t>
        </is>
      </c>
      <c r="D1098" s="7" t="inlineStr">
        <is>
          <t>DESATIVADO</t>
        </is>
      </c>
      <c r="E1098" s="7" t="inlineStr">
        <is>
          <t>C</t>
        </is>
      </c>
      <c r="F1098" s="13" t="n">
        <v>1</v>
      </c>
      <c r="G1098" s="13" t="n">
        <v>1</v>
      </c>
      <c r="H1098" s="8" t="n">
        <v>5.79</v>
      </c>
      <c r="I1098" s="8" t="n">
        <v>5.79</v>
      </c>
      <c r="J1098" s="8" t="n">
        <v>5.79</v>
      </c>
      <c r="K1098" s="8" t="n"/>
      <c r="L1098" s="8" t="n"/>
      <c r="M1098" s="8" t="n"/>
      <c r="N1098" s="8" t="n"/>
      <c r="O1098" s="8" t="n"/>
      <c r="P1098" s="8" t="n"/>
      <c r="Q1098" s="8" t="n"/>
      <c r="R1098" s="8" t="n"/>
      <c r="S1098" s="8" t="n"/>
      <c r="T1098" s="7" t="inlineStr">
        <is>
          <t>SEM COTAÇÃO</t>
        </is>
      </c>
      <c r="U1098" s="8" t="n"/>
      <c r="V1098" s="14" t="n"/>
      <c r="W1098" s="14" t="n"/>
      <c r="X1098" s="7" t="inlineStr"/>
      <c r="Y1098" s="7" t="inlineStr"/>
    </row>
    <row r="1099">
      <c r="A1099" s="7" t="n">
        <v>610231</v>
      </c>
      <c r="B1099" s="12" t="inlineStr">
        <is>
          <t>7897042016914</t>
        </is>
      </c>
      <c r="C1099" s="7" t="inlineStr">
        <is>
          <t>CR PEN SKALA GENETIQS 250G</t>
        </is>
      </c>
      <c r="D1099" s="7" t="inlineStr">
        <is>
          <t>DESATIVADO</t>
        </is>
      </c>
      <c r="E1099" s="7" t="inlineStr">
        <is>
          <t>C</t>
        </is>
      </c>
      <c r="F1099" s="13" t="n">
        <v>1</v>
      </c>
      <c r="G1099" s="13" t="n">
        <v>1</v>
      </c>
      <c r="H1099" s="8" t="n">
        <v>6.18</v>
      </c>
      <c r="I1099" s="8" t="n">
        <v>6.18</v>
      </c>
      <c r="J1099" s="8" t="n">
        <v>6.18</v>
      </c>
      <c r="K1099" s="8" t="n"/>
      <c r="L1099" s="8" t="n"/>
      <c r="M1099" s="8" t="n"/>
      <c r="N1099" s="8" t="n"/>
      <c r="O1099" s="8" t="n"/>
      <c r="P1099" s="8" t="n"/>
      <c r="Q1099" s="8" t="n"/>
      <c r="R1099" s="8" t="n"/>
      <c r="S1099" s="8" t="n"/>
      <c r="T1099" s="7" t="inlineStr">
        <is>
          <t>SEM COTAÇÃO</t>
        </is>
      </c>
      <c r="U1099" s="8" t="n"/>
      <c r="V1099" s="14" t="n"/>
      <c r="W1099" s="14" t="n"/>
      <c r="X1099" s="7" t="inlineStr"/>
      <c r="Y1099" s="7" t="inlineStr"/>
    </row>
    <row r="1100">
      <c r="A1100" s="7" t="n">
        <v>610241</v>
      </c>
      <c r="B1100" s="12" t="inlineStr">
        <is>
          <t>7897042016358</t>
        </is>
      </c>
      <c r="C1100" s="7" t="inlineStr">
        <is>
          <t>CR PEN SKALA MAIS CACHOS 250G</t>
        </is>
      </c>
      <c r="D1100" s="7" t="inlineStr">
        <is>
          <t>COND/SHAM/CREM/SIMILARES</t>
        </is>
      </c>
      <c r="E1100" s="7" t="inlineStr">
        <is>
          <t>C</t>
        </is>
      </c>
      <c r="F1100" s="13" t="n">
        <v>1</v>
      </c>
      <c r="G1100" s="13" t="n">
        <v>1</v>
      </c>
      <c r="H1100" s="8" t="n">
        <v>7</v>
      </c>
      <c r="I1100" s="8" t="n">
        <v>7</v>
      </c>
      <c r="J1100" s="8" t="n">
        <v>7</v>
      </c>
      <c r="K1100" s="8" t="n"/>
      <c r="L1100" s="8" t="n"/>
      <c r="M1100" s="8" t="n"/>
      <c r="N1100" s="8" t="n"/>
      <c r="O1100" s="8" t="n"/>
      <c r="P1100" s="8" t="n"/>
      <c r="Q1100" s="8" t="n"/>
      <c r="R1100" s="8" t="n"/>
      <c r="S1100" s="8" t="n"/>
      <c r="T1100" s="7" t="inlineStr">
        <is>
          <t>SEM COTAÇÃO</t>
        </is>
      </c>
      <c r="U1100" s="8" t="n"/>
      <c r="V1100" s="14" t="n"/>
      <c r="W1100" s="14" t="n"/>
      <c r="X1100" s="7" t="inlineStr"/>
      <c r="Y1100" s="7" t="inlineStr"/>
    </row>
    <row r="1101">
      <c r="A1101" s="7" t="n">
        <v>610251</v>
      </c>
      <c r="B1101" s="12" t="inlineStr">
        <is>
          <t>7897042017997</t>
        </is>
      </c>
      <c r="C1101" s="7" t="inlineStr">
        <is>
          <t>CR PEN SKALA VITAMINA C 250G</t>
        </is>
      </c>
      <c r="D1101" s="7" t="inlineStr">
        <is>
          <t>DESATIVADO</t>
        </is>
      </c>
      <c r="E1101" s="7" t="inlineStr">
        <is>
          <t>C</t>
        </is>
      </c>
      <c r="F1101" s="13" t="n">
        <v>1</v>
      </c>
      <c r="G1101" s="13" t="n">
        <v>1</v>
      </c>
      <c r="H1101" s="8" t="n">
        <v>5.82</v>
      </c>
      <c r="I1101" s="8" t="n">
        <v>5.82</v>
      </c>
      <c r="J1101" s="8" t="n">
        <v>5.82</v>
      </c>
      <c r="K1101" s="8" t="n"/>
      <c r="L1101" s="8" t="n"/>
      <c r="M1101" s="8" t="n"/>
      <c r="N1101" s="8" t="n"/>
      <c r="O1101" s="8" t="n"/>
      <c r="P1101" s="8" t="n"/>
      <c r="Q1101" s="8" t="n"/>
      <c r="R1101" s="8" t="n"/>
      <c r="S1101" s="8" t="n"/>
      <c r="T1101" s="7" t="inlineStr">
        <is>
          <t>SEM COTAÇÃO</t>
        </is>
      </c>
      <c r="U1101" s="8" t="n"/>
      <c r="V1101" s="14" t="n"/>
      <c r="W1101" s="14" t="n"/>
      <c r="X1101" s="7" t="inlineStr"/>
      <c r="Y1101" s="7" t="inlineStr"/>
    </row>
    <row r="1102">
      <c r="A1102" s="7" t="n">
        <v>685601</v>
      </c>
      <c r="B1102" s="12" t="inlineStr">
        <is>
          <t>7908448005973</t>
        </is>
      </c>
      <c r="C1102" s="7" t="inlineStr">
        <is>
          <t>CR PENT DABELLE JUJUBA DE MORANGO 1KG</t>
        </is>
      </c>
      <c r="D1102" s="7" t="inlineStr">
        <is>
          <t>BABY/KIDS</t>
        </is>
      </c>
      <c r="E1102" s="7" t="inlineStr">
        <is>
          <t>B</t>
        </is>
      </c>
      <c r="F1102" s="13" t="n">
        <v>1</v>
      </c>
      <c r="G1102" s="13" t="n">
        <v>1</v>
      </c>
      <c r="H1102" s="8" t="n">
        <v>22.7</v>
      </c>
      <c r="I1102" s="8" t="n">
        <v>22.7</v>
      </c>
      <c r="J1102" s="8" t="n">
        <v>22.7</v>
      </c>
      <c r="K1102" s="8" t="n"/>
      <c r="L1102" s="8" t="n"/>
      <c r="M1102" s="8" t="n"/>
      <c r="N1102" s="8" t="n"/>
      <c r="O1102" s="8" t="n"/>
      <c r="P1102" s="8" t="n"/>
      <c r="Q1102" s="8" t="n"/>
      <c r="R1102" s="8" t="n"/>
      <c r="S1102" s="8" t="n"/>
      <c r="T1102" s="7" t="inlineStr">
        <is>
          <t>SEM COTAÇÃO</t>
        </is>
      </c>
      <c r="U1102" s="8" t="n"/>
      <c r="V1102" s="14" t="n"/>
      <c r="W1102" s="14" t="n"/>
      <c r="X1102" s="7" t="inlineStr"/>
      <c r="Y1102" s="7" t="inlineStr"/>
    </row>
    <row r="1103">
      <c r="A1103" s="7" t="n">
        <v>685701</v>
      </c>
      <c r="B1103" s="12" t="inlineStr">
        <is>
          <t>7908448005997</t>
        </is>
      </c>
      <c r="C1103" s="7" t="inlineStr">
        <is>
          <t>CR PENT DABELLE JUJUBA DE UVA 1KG</t>
        </is>
      </c>
      <c r="D1103" s="7" t="inlineStr">
        <is>
          <t>BABY/KIDS</t>
        </is>
      </c>
      <c r="E1103" s="7" t="inlineStr">
        <is>
          <t>B</t>
        </is>
      </c>
      <c r="F1103" s="13" t="n">
        <v>4</v>
      </c>
      <c r="G1103" s="13" t="n">
        <v>4</v>
      </c>
      <c r="H1103" s="8" t="n">
        <v>22.7</v>
      </c>
      <c r="I1103" s="8" t="n">
        <v>22.7</v>
      </c>
      <c r="J1103" s="8" t="n">
        <v>22.7</v>
      </c>
      <c r="K1103" s="8" t="n"/>
      <c r="L1103" s="8" t="n"/>
      <c r="M1103" s="8" t="n"/>
      <c r="N1103" s="8" t="n"/>
      <c r="O1103" s="8" t="n"/>
      <c r="P1103" s="8" t="n"/>
      <c r="Q1103" s="8" t="n"/>
      <c r="R1103" s="8" t="n"/>
      <c r="S1103" s="8" t="n"/>
      <c r="T1103" s="7" t="inlineStr">
        <is>
          <t>SEM COTAÇÃO</t>
        </is>
      </c>
      <c r="U1103" s="8" t="n"/>
      <c r="V1103" s="14" t="n"/>
      <c r="W1103" s="14" t="n"/>
      <c r="X1103" s="7" t="inlineStr"/>
      <c r="Y1103" s="7" t="inlineStr"/>
    </row>
    <row r="1104">
      <c r="A1104" s="7" t="n">
        <v>646291</v>
      </c>
      <c r="B1104" s="12" t="inlineStr">
        <is>
          <t>7899706187541</t>
        </is>
      </c>
      <c r="C1104" s="7" t="inlineStr">
        <is>
          <t>CR PENT ELSEVE 200G NOTURNO HIALURONICO</t>
        </is>
      </c>
      <c r="D1104" s="7" t="inlineStr">
        <is>
          <t>COND/SHAM/CREM/SIMILARES</t>
        </is>
      </c>
      <c r="E1104" s="7" t="inlineStr">
        <is>
          <t>C</t>
        </is>
      </c>
      <c r="F1104" s="13" t="n">
        <v>1</v>
      </c>
      <c r="G1104" s="13" t="n">
        <v>1</v>
      </c>
      <c r="H1104" s="8" t="n">
        <v>23.18</v>
      </c>
      <c r="I1104" s="8" t="n">
        <v>23.18</v>
      </c>
      <c r="J1104" s="8" t="n">
        <v>23.18</v>
      </c>
      <c r="K1104" s="8" t="n"/>
      <c r="L1104" s="8" t="n"/>
      <c r="M1104" s="8" t="n"/>
      <c r="N1104" s="8" t="n"/>
      <c r="O1104" s="8" t="n"/>
      <c r="P1104" s="8" t="n"/>
      <c r="Q1104" s="8" t="n"/>
      <c r="R1104" s="8" t="n"/>
      <c r="S1104" s="8" t="n"/>
      <c r="T1104" s="7" t="inlineStr">
        <is>
          <t>SEM COTAÇÃO</t>
        </is>
      </c>
      <c r="U1104" s="8" t="n"/>
      <c r="V1104" s="14" t="n"/>
      <c r="W1104" s="14" t="n"/>
      <c r="X1104" s="7" t="inlineStr"/>
      <c r="Y1104" s="7" t="inlineStr"/>
    </row>
    <row r="1105">
      <c r="A1105" s="7" t="n">
        <v>646321</v>
      </c>
      <c r="B1105" s="12" t="inlineStr">
        <is>
          <t>7908615060644</t>
        </is>
      </c>
      <c r="C1105" s="7" t="inlineStr">
        <is>
          <t>CR PENT ELSEVE 500ML OLEO EXTRAORD 3X1 N</t>
        </is>
      </c>
      <c r="D1105" s="7" t="inlineStr">
        <is>
          <t>COND/SHAM/CREM/SIMILARES</t>
        </is>
      </c>
      <c r="E1105" s="7" t="inlineStr">
        <is>
          <t>C</t>
        </is>
      </c>
      <c r="F1105" s="13" t="n">
        <v>1</v>
      </c>
      <c r="G1105" s="13" t="n">
        <v>1</v>
      </c>
      <c r="H1105" s="8" t="n">
        <v>21.16</v>
      </c>
      <c r="I1105" s="8" t="n">
        <v>21.16</v>
      </c>
      <c r="J1105" s="8" t="n">
        <v>21.16</v>
      </c>
      <c r="K1105" s="8" t="n"/>
      <c r="L1105" s="8" t="n"/>
      <c r="M1105" s="8" t="n"/>
      <c r="N1105" s="8" t="n"/>
      <c r="O1105" s="8" t="n"/>
      <c r="P1105" s="8" t="n"/>
      <c r="Q1105" s="8" t="n"/>
      <c r="R1105" s="8" t="n"/>
      <c r="S1105" s="8" t="n"/>
      <c r="T1105" s="7" t="inlineStr">
        <is>
          <t>SEM COTAÇÃO</t>
        </is>
      </c>
      <c r="U1105" s="8" t="n"/>
      <c r="V1105" s="14" t="n"/>
      <c r="W1105" s="14" t="n"/>
      <c r="X1105" s="7" t="inlineStr"/>
      <c r="Y1105" s="7" t="inlineStr"/>
    </row>
    <row r="1106">
      <c r="A1106" s="7" t="n">
        <v>672041</v>
      </c>
      <c r="B1106" s="12" t="inlineStr">
        <is>
          <t>7908966528534</t>
        </is>
      </c>
      <c r="C1106" s="7" t="inlineStr">
        <is>
          <t>CR PENT ELSEVE COLAGENO 250ML-DEMAIS PROD</t>
        </is>
      </c>
      <c r="D1106" s="7" t="inlineStr">
        <is>
          <t>COND/SHAM/CREM/SIMILARES</t>
        </is>
      </c>
      <c r="E1106" s="7" t="inlineStr">
        <is>
          <t>B</t>
        </is>
      </c>
      <c r="F1106" s="13" t="n">
        <v>3</v>
      </c>
      <c r="G1106" s="13" t="n">
        <v>3</v>
      </c>
      <c r="H1106" s="8" t="n">
        <v>14.75</v>
      </c>
      <c r="I1106" s="8" t="n">
        <v>14.14</v>
      </c>
      <c r="J1106" s="8" t="n">
        <v>14.14</v>
      </c>
      <c r="K1106" s="8" t="n"/>
      <c r="L1106" s="8" t="n"/>
      <c r="M1106" s="8" t="n"/>
      <c r="N1106" s="8" t="n"/>
      <c r="O1106" s="8" t="n"/>
      <c r="P1106" s="15" t="n">
        <v>15.92</v>
      </c>
      <c r="Q1106" s="8" t="n"/>
      <c r="R1106" s="8" t="n"/>
      <c r="S1106" s="8" t="n"/>
      <c r="T1106" s="7" t="inlineStr">
        <is>
          <t>NAZARIA</t>
        </is>
      </c>
      <c r="U1106" s="8" t="n">
        <v>15.92</v>
      </c>
      <c r="V1106" s="14">
        <f>U1106/J1106-1</f>
        <v/>
      </c>
      <c r="W1106" s="14">
        <f>U1106/H1106-1</f>
        <v/>
      </c>
      <c r="X1106" s="16" t="inlineStr">
        <is>
          <t>ACIMA +7.9%</t>
        </is>
      </c>
      <c r="Y1106" s="7" t="inlineStr"/>
    </row>
    <row r="1107">
      <c r="A1107" s="7" t="n">
        <v>658441</v>
      </c>
      <c r="B1107" s="12" t="inlineStr">
        <is>
          <t>7908458324460</t>
        </is>
      </c>
      <c r="C1107" s="7" t="inlineStr">
        <is>
          <t>CR PENT SALON KIDS CACHI BRILHANTES 1KG</t>
        </is>
      </c>
      <c r="D1107" s="7" t="inlineStr">
        <is>
          <t>BABY/KIDS</t>
        </is>
      </c>
      <c r="E1107" s="7" t="inlineStr">
        <is>
          <t>C</t>
        </is>
      </c>
      <c r="F1107" s="13" t="n">
        <v>1</v>
      </c>
      <c r="G1107" s="13" t="n">
        <v>1</v>
      </c>
      <c r="H1107" s="8" t="n">
        <v>28.08</v>
      </c>
      <c r="I1107" s="8" t="n">
        <v>28.08</v>
      </c>
      <c r="J1107" s="8" t="n">
        <v>28.08</v>
      </c>
      <c r="K1107" s="8" t="n"/>
      <c r="L1107" s="8" t="n"/>
      <c r="M1107" s="8" t="n"/>
      <c r="N1107" s="8" t="n"/>
      <c r="O1107" s="8" t="n"/>
      <c r="P1107" s="8" t="n"/>
      <c r="Q1107" s="8" t="n"/>
      <c r="R1107" s="8" t="n"/>
      <c r="S1107" s="8" t="n"/>
      <c r="T1107" s="7" t="inlineStr">
        <is>
          <t>SEM COTAÇÃO</t>
        </is>
      </c>
      <c r="U1107" s="8" t="n"/>
      <c r="V1107" s="14" t="n"/>
      <c r="W1107" s="14" t="n"/>
      <c r="X1107" s="7" t="inlineStr"/>
      <c r="Y1107" s="7" t="inlineStr"/>
    </row>
    <row r="1108">
      <c r="A1108" s="7" t="n">
        <v>654161</v>
      </c>
      <c r="B1108" s="12" t="inlineStr">
        <is>
          <t>7898623956780</t>
        </is>
      </c>
      <c r="C1108" s="7" t="inlineStr">
        <is>
          <t>CR PENT SALON KIDS CACHINHOS DEF 1KG</t>
        </is>
      </c>
      <c r="D1108" s="7" t="inlineStr">
        <is>
          <t>BABY/KIDS</t>
        </is>
      </c>
      <c r="E1108" s="7" t="inlineStr">
        <is>
          <t>C</t>
        </is>
      </c>
      <c r="F1108" s="13" t="n">
        <v>2</v>
      </c>
      <c r="G1108" s="13" t="n">
        <v>2</v>
      </c>
      <c r="H1108" s="8" t="n">
        <v>23.95</v>
      </c>
      <c r="I1108" s="8" t="n">
        <v>23.48</v>
      </c>
      <c r="J1108" s="8" t="n">
        <v>23.48</v>
      </c>
      <c r="K1108" s="8" t="n"/>
      <c r="L1108" s="8" t="n"/>
      <c r="M1108" s="8" t="n"/>
      <c r="N1108" s="8" t="n"/>
      <c r="O1108" s="8" t="n"/>
      <c r="P1108" s="8" t="n"/>
      <c r="Q1108" s="8" t="n"/>
      <c r="R1108" s="8" t="n"/>
      <c r="S1108" s="8" t="n"/>
      <c r="T1108" s="7" t="inlineStr">
        <is>
          <t>SEM COTAÇÃO</t>
        </is>
      </c>
      <c r="U1108" s="8" t="n"/>
      <c r="V1108" s="14" t="n"/>
      <c r="W1108" s="14" t="n"/>
      <c r="X1108" s="7" t="inlineStr"/>
      <c r="Y1108" s="7" t="inlineStr"/>
    </row>
    <row r="1109">
      <c r="A1109" s="7" t="n">
        <v>657561</v>
      </c>
      <c r="B1109" s="12" t="inlineStr"/>
      <c r="C1109" s="7" t="inlineStr">
        <is>
          <t>CR PENT SALON LINE KIDS MANGA 1KG</t>
        </is>
      </c>
      <c r="D1109" s="7" t="inlineStr">
        <is>
          <t>BABY/KIDS</t>
        </is>
      </c>
      <c r="E1109" s="7" t="inlineStr">
        <is>
          <t>A</t>
        </is>
      </c>
      <c r="F1109" s="13" t="n">
        <v>1</v>
      </c>
      <c r="G1109" s="13" t="n">
        <v>1</v>
      </c>
      <c r="H1109" s="8" t="n">
        <v>23.48</v>
      </c>
      <c r="I1109" s="8" t="n">
        <v>23.48</v>
      </c>
      <c r="J1109" s="8" t="n">
        <v>23.48</v>
      </c>
      <c r="K1109" s="8" t="n"/>
      <c r="L1109" s="8" t="n"/>
      <c r="M1109" s="8" t="n"/>
      <c r="N1109" s="8" t="n"/>
      <c r="O1109" s="8" t="n"/>
      <c r="P1109" s="8" t="n"/>
      <c r="Q1109" s="8" t="n"/>
      <c r="R1109" s="8" t="n"/>
      <c r="S1109" s="8" t="n"/>
      <c r="T1109" s="7" t="inlineStr">
        <is>
          <t>SEM COTAÇÃO</t>
        </is>
      </c>
      <c r="U1109" s="8" t="n"/>
      <c r="V1109" s="14" t="n"/>
      <c r="W1109" s="14" t="n"/>
      <c r="X1109" s="7" t="inlineStr"/>
      <c r="Y1109" s="7" t="inlineStr"/>
    </row>
    <row r="1110">
      <c r="A1110" s="7" t="n">
        <v>649231</v>
      </c>
      <c r="B1110" s="12" t="inlineStr">
        <is>
          <t>7896018750852</t>
        </is>
      </c>
      <c r="C1110" s="7" t="inlineStr">
        <is>
          <t>CR PENTEAR HUG BRILHO MAGICO 360ML   KIMB %DN:11.00</t>
        </is>
      </c>
      <c r="D1110" s="7" t="inlineStr">
        <is>
          <t>COND/SHAM/CREM/SIMILARES</t>
        </is>
      </c>
      <c r="E1110" s="7" t="inlineStr">
        <is>
          <t>B</t>
        </is>
      </c>
      <c r="F1110" s="13" t="n">
        <v>4</v>
      </c>
      <c r="G1110" s="13" t="n">
        <v>4</v>
      </c>
      <c r="H1110" s="8" t="n">
        <v>10.7333</v>
      </c>
      <c r="I1110" s="8" t="n">
        <v>10.7333</v>
      </c>
      <c r="J1110" s="8" t="n">
        <v>10.7333</v>
      </c>
      <c r="K1110" s="8" t="n"/>
      <c r="L1110" s="8" t="n"/>
      <c r="M1110" s="8" t="n"/>
      <c r="N1110" s="8" t="n"/>
      <c r="O1110" s="8" t="n"/>
      <c r="P1110" s="8" t="n">
        <v>22.09</v>
      </c>
      <c r="Q1110" s="8" t="n"/>
      <c r="R1110" s="8" t="n"/>
      <c r="S1110" s="8" t="n"/>
      <c r="T1110" s="7" t="inlineStr">
        <is>
          <t>SEM COTAÇÃO</t>
        </is>
      </c>
      <c r="U1110" s="8" t="n"/>
      <c r="V1110" s="14" t="n"/>
      <c r="W1110" s="14" t="n"/>
      <c r="X1110" s="7" t="inlineStr"/>
      <c r="Y1110" s="7" t="inlineStr">
        <is>
          <t>NAZARIA: sem estoque; conferir emb.</t>
        </is>
      </c>
    </row>
    <row r="1111">
      <c r="A1111" s="7" t="n">
        <v>649241</v>
      </c>
      <c r="B1111" s="12" t="inlineStr">
        <is>
          <t>7896018750883</t>
        </is>
      </c>
      <c r="C1111" s="7" t="inlineStr">
        <is>
          <t>CR PENTEAR HUG NUTRICAO E FORCA 360ML</t>
        </is>
      </c>
      <c r="D1111" s="7" t="inlineStr">
        <is>
          <t>COND/SHAM/CREM/SIMILARES</t>
        </is>
      </c>
      <c r="E1111" s="7" t="inlineStr">
        <is>
          <t>C</t>
        </is>
      </c>
      <c r="F1111" s="13" t="n">
        <v>3</v>
      </c>
      <c r="G1111" s="13" t="n">
        <v>3</v>
      </c>
      <c r="H1111" s="8" t="n">
        <v>10.7333</v>
      </c>
      <c r="I1111" s="8" t="n">
        <v>10.7333</v>
      </c>
      <c r="J1111" s="8" t="n">
        <v>10.7333</v>
      </c>
      <c r="K1111" s="8" t="n"/>
      <c r="L1111" s="8" t="n"/>
      <c r="M1111" s="8" t="n"/>
      <c r="N1111" s="8" t="n"/>
      <c r="O1111" s="8" t="n"/>
      <c r="P1111" s="8" t="n">
        <v>22.09</v>
      </c>
      <c r="Q1111" s="8" t="n"/>
      <c r="R1111" s="8" t="n"/>
      <c r="S1111" s="8" t="n"/>
      <c r="T1111" s="7" t="inlineStr">
        <is>
          <t>SEM COTAÇÃO</t>
        </is>
      </c>
      <c r="U1111" s="8" t="n"/>
      <c r="V1111" s="14" t="n"/>
      <c r="W1111" s="14" t="n"/>
      <c r="X1111" s="7" t="inlineStr"/>
      <c r="Y1111" s="7" t="inlineStr">
        <is>
          <t>NAZARIA: sem estoque; conferir emb.</t>
        </is>
      </c>
    </row>
    <row r="1112">
      <c r="A1112" s="7" t="n">
        <v>667371</v>
      </c>
      <c r="B1112" s="12" t="inlineStr">
        <is>
          <t>7896085876974</t>
        </is>
      </c>
      <c r="C1112" s="7" t="inlineStr">
        <is>
          <t>CR TRAT ACQUA KIDS 1KG 3X1 MANGA</t>
        </is>
      </c>
      <c r="D1112" s="7" t="inlineStr">
        <is>
          <t>BABY/KIDS</t>
        </is>
      </c>
      <c r="E1112" s="7" t="inlineStr">
        <is>
          <t>C</t>
        </is>
      </c>
      <c r="F1112" s="13" t="n">
        <v>2</v>
      </c>
      <c r="G1112" s="13" t="n">
        <v>2</v>
      </c>
      <c r="H1112" s="8" t="n">
        <v>13.29</v>
      </c>
      <c r="I1112" s="8" t="n">
        <v>13.29</v>
      </c>
      <c r="J1112" s="8" t="n">
        <v>13.29</v>
      </c>
      <c r="K1112" s="8" t="n"/>
      <c r="L1112" s="8" t="n"/>
      <c r="M1112" s="8" t="n"/>
      <c r="N1112" s="8" t="n"/>
      <c r="O1112" s="8" t="n"/>
      <c r="P1112" s="8" t="n"/>
      <c r="Q1112" s="8" t="n"/>
      <c r="R1112" s="8" t="n"/>
      <c r="S1112" s="8" t="n"/>
      <c r="T1112" s="7" t="inlineStr">
        <is>
          <t>SEM COTAÇÃO</t>
        </is>
      </c>
      <c r="U1112" s="8" t="n"/>
      <c r="V1112" s="14" t="n"/>
      <c r="W1112" s="14" t="n"/>
      <c r="X1112" s="7" t="inlineStr"/>
      <c r="Y1112" s="7" t="inlineStr"/>
    </row>
    <row r="1113">
      <c r="A1113" s="7" t="n">
        <v>637691</v>
      </c>
      <c r="B1113" s="12" t="inlineStr">
        <is>
          <t>7891150094949</t>
        </is>
      </c>
      <c r="C1113" s="7" t="inlineStr">
        <is>
          <t>CR TRAT DOVE HIDRATACAO 270G</t>
        </is>
      </c>
      <c r="D1113" s="7" t="inlineStr">
        <is>
          <t>PERF/COSME</t>
        </is>
      </c>
      <c r="E1113" s="7" t="inlineStr">
        <is>
          <t>C</t>
        </is>
      </c>
      <c r="F1113" s="13" t="n">
        <v>1</v>
      </c>
      <c r="G1113" s="13" t="n">
        <v>1</v>
      </c>
      <c r="H1113" s="8" t="n">
        <v>40.79</v>
      </c>
      <c r="I1113" s="8" t="n">
        <v>40.79</v>
      </c>
      <c r="J1113" s="8" t="n">
        <v>40.79</v>
      </c>
      <c r="K1113" s="8" t="n"/>
      <c r="L1113" s="8" t="n"/>
      <c r="M1113" s="8" t="n"/>
      <c r="N1113" s="8" t="n"/>
      <c r="O1113" s="8" t="n"/>
      <c r="P1113" s="15" t="n">
        <v>34.7</v>
      </c>
      <c r="Q1113" s="8" t="n"/>
      <c r="R1113" s="8" t="n"/>
      <c r="S1113" s="8" t="n"/>
      <c r="T1113" s="7" t="inlineStr">
        <is>
          <t>NAZARIA</t>
        </is>
      </c>
      <c r="U1113" s="8" t="n">
        <v>34.7</v>
      </c>
      <c r="V1113" s="14">
        <f>U1113/J1113-1</f>
        <v/>
      </c>
      <c r="W1113" s="14">
        <f>U1113/H1113-1</f>
        <v/>
      </c>
      <c r="X1113" s="17" t="inlineStr">
        <is>
          <t>OK (≤ menor hist.)</t>
        </is>
      </c>
      <c r="Y1113" s="7" t="inlineStr"/>
    </row>
    <row r="1114">
      <c r="A1114" s="7" t="n">
        <v>666951</v>
      </c>
      <c r="B1114" s="12" t="inlineStr">
        <is>
          <t>7908785461456</t>
        </is>
      </c>
      <c r="C1114" s="7" t="inlineStr">
        <is>
          <t>CR TRAT ELSEVE 300G LISO SONHOS (N)</t>
        </is>
      </c>
      <c r="D1114" s="7" t="inlineStr">
        <is>
          <t>COND/SHAM/CREM/SIMILARES</t>
        </is>
      </c>
      <c r="E1114" s="7" t="inlineStr">
        <is>
          <t>C</t>
        </is>
      </c>
      <c r="F1114" s="13" t="n">
        <v>1</v>
      </c>
      <c r="G1114" s="13" t="n">
        <v>1</v>
      </c>
      <c r="H1114" s="8" t="n">
        <v>20.46</v>
      </c>
      <c r="I1114" s="8" t="n">
        <v>20.46</v>
      </c>
      <c r="J1114" s="8" t="n">
        <v>20.46</v>
      </c>
      <c r="K1114" s="8" t="n"/>
      <c r="L1114" s="8" t="n"/>
      <c r="M1114" s="8" t="n"/>
      <c r="N1114" s="8" t="n"/>
      <c r="O1114" s="8" t="n"/>
      <c r="P1114" s="15" t="n">
        <v>23.72</v>
      </c>
      <c r="Q1114" s="8" t="n"/>
      <c r="R1114" s="8" t="n"/>
      <c r="S1114" s="8" t="n"/>
      <c r="T1114" s="7" t="inlineStr">
        <is>
          <t>NAZARIA</t>
        </is>
      </c>
      <c r="U1114" s="8" t="n">
        <v>23.72</v>
      </c>
      <c r="V1114" s="14">
        <f>U1114/J1114-1</f>
        <v/>
      </c>
      <c r="W1114" s="14">
        <f>U1114/H1114-1</f>
        <v/>
      </c>
      <c r="X1114" s="16" t="inlineStr">
        <is>
          <t>ACIMA +15.9%</t>
        </is>
      </c>
      <c r="Y1114" s="7" t="inlineStr"/>
    </row>
    <row r="1115">
      <c r="A1115" s="7" t="n">
        <v>614431</v>
      </c>
      <c r="B1115" s="12" t="inlineStr">
        <is>
          <t>7898587774475</t>
        </is>
      </c>
      <c r="C1115" s="7" t="inlineStr">
        <is>
          <t>CR TRAT ELSEVE 300G OLEO EXTRAORD NUTRIC</t>
        </is>
      </c>
      <c r="D1115" s="7" t="inlineStr">
        <is>
          <t>PERF/COSME</t>
        </is>
      </c>
      <c r="E1115" s="7" t="inlineStr">
        <is>
          <t>B</t>
        </is>
      </c>
      <c r="F1115" s="13" t="n">
        <v>3</v>
      </c>
      <c r="G1115" s="13" t="n">
        <v>3</v>
      </c>
      <c r="H1115" s="8" t="n">
        <v>22.36</v>
      </c>
      <c r="I1115" s="8" t="n">
        <v>20.46</v>
      </c>
      <c r="J1115" s="8" t="n">
        <v>21.72666666666667</v>
      </c>
      <c r="K1115" s="8" t="n"/>
      <c r="L1115" s="8" t="n"/>
      <c r="M1115" s="8" t="n"/>
      <c r="N1115" s="8" t="n"/>
      <c r="O1115" s="8" t="n"/>
      <c r="P1115" s="15" t="n">
        <v>23.72</v>
      </c>
      <c r="Q1115" s="8" t="n"/>
      <c r="R1115" s="8" t="n"/>
      <c r="S1115" s="8" t="n"/>
      <c r="T1115" s="7" t="inlineStr">
        <is>
          <t>NAZARIA</t>
        </is>
      </c>
      <c r="U1115" s="8" t="n">
        <v>23.72</v>
      </c>
      <c r="V1115" s="14">
        <f>U1115/J1115-1</f>
        <v/>
      </c>
      <c r="W1115" s="14">
        <f>U1115/H1115-1</f>
        <v/>
      </c>
      <c r="X1115" s="16" t="inlineStr">
        <is>
          <t>ACIMA +6.1%</t>
        </is>
      </c>
      <c r="Y1115" s="7" t="inlineStr"/>
    </row>
    <row r="1116">
      <c r="A1116" s="7" t="n">
        <v>672051</v>
      </c>
      <c r="B1116" s="12" t="inlineStr">
        <is>
          <t>7908966528367</t>
        </is>
      </c>
      <c r="C1116" s="7" t="inlineStr">
        <is>
          <t>CR TRAT ELSEVE COLAGENO 300G-DEMAIS PROD</t>
        </is>
      </c>
      <c r="D1116" s="7" t="inlineStr">
        <is>
          <t>COND/SHAM/CREM/SIMILARES</t>
        </is>
      </c>
      <c r="E1116" s="7" t="inlineStr">
        <is>
          <t>A</t>
        </is>
      </c>
      <c r="F1116" s="13" t="n">
        <v>2</v>
      </c>
      <c r="G1116" s="13" t="n">
        <v>2</v>
      </c>
      <c r="H1116" s="8" t="n">
        <v>25.12</v>
      </c>
      <c r="I1116" s="8" t="n">
        <v>25.12</v>
      </c>
      <c r="J1116" s="8" t="n">
        <v>25.12</v>
      </c>
      <c r="K1116" s="8" t="n"/>
      <c r="L1116" s="8" t="n"/>
      <c r="M1116" s="8" t="n"/>
      <c r="N1116" s="8" t="n"/>
      <c r="O1116" s="8" t="n"/>
      <c r="P1116" s="15" t="n">
        <v>27.25</v>
      </c>
      <c r="Q1116" s="8" t="n"/>
      <c r="R1116" s="8" t="n"/>
      <c r="S1116" s="8" t="n"/>
      <c r="T1116" s="7" t="inlineStr">
        <is>
          <t>NAZARIA</t>
        </is>
      </c>
      <c r="U1116" s="8" t="n">
        <v>27.25</v>
      </c>
      <c r="V1116" s="14">
        <f>U1116/J1116-1</f>
        <v/>
      </c>
      <c r="W1116" s="14">
        <f>U1116/H1116-1</f>
        <v/>
      </c>
      <c r="X1116" s="16" t="inlineStr">
        <is>
          <t>ACIMA +8.5%</t>
        </is>
      </c>
      <c r="Y1116" s="7" t="inlineStr"/>
    </row>
    <row r="1117">
      <c r="A1117" s="7" t="n">
        <v>570301</v>
      </c>
      <c r="B1117" s="12" t="inlineStr">
        <is>
          <t>7899026457645</t>
        </is>
      </c>
      <c r="C1117" s="7" t="inlineStr">
        <is>
          <t>CR TRAT ELSEVE REP TOTAL5 300G</t>
        </is>
      </c>
      <c r="D1117" s="7" t="inlineStr">
        <is>
          <t>PERF/COSME</t>
        </is>
      </c>
      <c r="E1117" s="7" t="inlineStr">
        <is>
          <t>A</t>
        </is>
      </c>
      <c r="F1117" s="13" t="n">
        <v>4</v>
      </c>
      <c r="G1117" s="13" t="n">
        <v>4</v>
      </c>
      <c r="H1117" s="8" t="n">
        <v>21.86</v>
      </c>
      <c r="I1117" s="8" t="n">
        <v>20.46</v>
      </c>
      <c r="J1117" s="8" t="n">
        <v>21.39333333333333</v>
      </c>
      <c r="K1117" s="8" t="n"/>
      <c r="L1117" s="8" t="n"/>
      <c r="M1117" s="8" t="n"/>
      <c r="N1117" s="8" t="n"/>
      <c r="O1117" s="8" t="n"/>
      <c r="P1117" s="8" t="n">
        <v>23.72</v>
      </c>
      <c r="Q1117" s="8" t="n"/>
      <c r="R1117" s="8" t="n"/>
      <c r="S1117" s="8" t="n"/>
      <c r="T1117" s="7" t="inlineStr">
        <is>
          <t>SEM COTAÇÃO</t>
        </is>
      </c>
      <c r="U1117" s="8" t="n"/>
      <c r="V1117" s="14" t="n"/>
      <c r="W1117" s="14" t="n"/>
      <c r="X1117" s="7" t="inlineStr"/>
      <c r="Y1117" s="7" t="inlineStr">
        <is>
          <t>NAZARIA: sem estoque</t>
        </is>
      </c>
    </row>
    <row r="1118">
      <c r="A1118" s="7" t="n">
        <v>444</v>
      </c>
      <c r="B1118" s="12" t="inlineStr">
        <is>
          <t>7898919412150</t>
        </is>
      </c>
      <c r="C1118" s="7" t="inlineStr">
        <is>
          <t>CR TRAT MONANGE LISOS TE QUERO C/ 300G</t>
        </is>
      </c>
      <c r="D1118" s="7" t="inlineStr">
        <is>
          <t>PERF/COSME</t>
        </is>
      </c>
      <c r="E1118" s="7" t="inlineStr">
        <is>
          <t>C</t>
        </is>
      </c>
      <c r="F1118" s="13" t="n">
        <v>1</v>
      </c>
      <c r="G1118" s="13" t="n">
        <v>1</v>
      </c>
      <c r="H1118" s="8" t="n"/>
      <c r="I1118" s="8" t="n"/>
      <c r="J1118" s="8" t="n"/>
      <c r="K1118" s="8" t="n"/>
      <c r="L1118" s="8" t="n"/>
      <c r="M1118" s="8" t="n"/>
      <c r="N1118" s="8" t="n"/>
      <c r="O1118" s="8" t="n"/>
      <c r="P1118" s="8" t="n"/>
      <c r="Q1118" s="8" t="n"/>
      <c r="R1118" s="8" t="n"/>
      <c r="S1118" s="8" t="n"/>
      <c r="T1118" s="7" t="inlineStr">
        <is>
          <t>SEM COTAÇÃO</t>
        </is>
      </c>
      <c r="U1118" s="8" t="n"/>
      <c r="V1118" s="14" t="n"/>
      <c r="W1118" s="14" t="n"/>
      <c r="X1118" s="7" t="inlineStr"/>
      <c r="Y1118" s="7" t="inlineStr"/>
    </row>
    <row r="1119">
      <c r="A1119" s="7" t="n">
        <v>597931</v>
      </c>
      <c r="B1119" s="12" t="inlineStr">
        <is>
          <t>7896013551386</t>
        </is>
      </c>
      <c r="C1119" s="7" t="inlineStr">
        <is>
          <t>CR TRAT NOVEX 400G OLEO ABACATE</t>
        </is>
      </c>
      <c r="D1119" s="7" t="inlineStr">
        <is>
          <t>COND/SHAM/CREM/SIMILARES</t>
        </is>
      </c>
      <c r="E1119" s="7" t="inlineStr">
        <is>
          <t>C</t>
        </is>
      </c>
      <c r="F1119" s="13" t="n">
        <v>1</v>
      </c>
      <c r="G1119" s="13" t="n">
        <v>1</v>
      </c>
      <c r="H1119" s="8" t="n">
        <v>13.8</v>
      </c>
      <c r="I1119" s="8" t="n">
        <v>13.8</v>
      </c>
      <c r="J1119" s="8" t="n">
        <v>13.8</v>
      </c>
      <c r="K1119" s="8" t="n"/>
      <c r="L1119" s="8" t="n"/>
      <c r="M1119" s="8" t="n"/>
      <c r="N1119" s="8" t="n"/>
      <c r="O1119" s="8" t="n"/>
      <c r="P1119" s="8" t="n"/>
      <c r="Q1119" s="8" t="n"/>
      <c r="R1119" s="8" t="n"/>
      <c r="S1119" s="8" t="n"/>
      <c r="T1119" s="7" t="inlineStr">
        <is>
          <t>SEM COTAÇÃO</t>
        </is>
      </c>
      <c r="U1119" s="8" t="n"/>
      <c r="V1119" s="14" t="n"/>
      <c r="W1119" s="14" t="n"/>
      <c r="X1119" s="7" t="inlineStr"/>
      <c r="Y1119" s="7" t="inlineStr"/>
    </row>
    <row r="1120">
      <c r="A1120" s="7" t="n">
        <v>645931</v>
      </c>
      <c r="B1120" s="12" t="inlineStr">
        <is>
          <t>7908324406382</t>
        </is>
      </c>
      <c r="C1120" s="7" t="inlineStr">
        <is>
          <t>CR TRAT OX 300G HIDRATA</t>
        </is>
      </c>
      <c r="D1120" s="7" t="inlineStr">
        <is>
          <t>COND/SHAM/CREM/SIMILARES</t>
        </is>
      </c>
      <c r="E1120" s="7" t="inlineStr">
        <is>
          <t>B</t>
        </is>
      </c>
      <c r="F1120" s="13" t="n">
        <v>2</v>
      </c>
      <c r="G1120" s="13" t="n">
        <v>2</v>
      </c>
      <c r="H1120" s="8" t="n">
        <v>18.85</v>
      </c>
      <c r="I1120" s="8" t="n">
        <v>18.85</v>
      </c>
      <c r="J1120" s="8" t="n">
        <v>18.85</v>
      </c>
      <c r="K1120" s="8" t="n"/>
      <c r="L1120" s="8" t="n"/>
      <c r="M1120" s="8" t="n"/>
      <c r="N1120" s="8" t="n"/>
      <c r="O1120" s="8" t="n"/>
      <c r="P1120" s="8" t="n"/>
      <c r="Q1120" s="8" t="n"/>
      <c r="R1120" s="8" t="n"/>
      <c r="S1120" s="8" t="n"/>
      <c r="T1120" s="7" t="inlineStr">
        <is>
          <t>SEM COTAÇÃO</t>
        </is>
      </c>
      <c r="U1120" s="8" t="n"/>
      <c r="V1120" s="14" t="n"/>
      <c r="W1120" s="14" t="n"/>
      <c r="X1120" s="7" t="inlineStr"/>
      <c r="Y1120" s="7" t="inlineStr"/>
    </row>
    <row r="1121">
      <c r="A1121" s="7" t="n">
        <v>2473</v>
      </c>
      <c r="B1121" s="12" t="inlineStr">
        <is>
          <t>7897664169685</t>
        </is>
      </c>
      <c r="C1121" s="7" t="inlineStr">
        <is>
          <t>CR TRAT OX 300G NUTRE</t>
        </is>
      </c>
      <c r="D1121" s="7" t="inlineStr">
        <is>
          <t>PERF/COSME</t>
        </is>
      </c>
      <c r="E1121" s="7" t="inlineStr">
        <is>
          <t>B</t>
        </is>
      </c>
      <c r="F1121" s="13" t="n">
        <v>2</v>
      </c>
      <c r="G1121" s="13" t="n">
        <v>2</v>
      </c>
      <c r="H1121" s="8" t="n">
        <v>18.85</v>
      </c>
      <c r="I1121" s="8" t="n">
        <v>18.85</v>
      </c>
      <c r="J1121" s="8" t="n">
        <v>18.85</v>
      </c>
      <c r="K1121" s="8" t="n"/>
      <c r="L1121" s="8" t="n"/>
      <c r="M1121" s="8" t="n"/>
      <c r="N1121" s="8" t="n"/>
      <c r="O1121" s="8" t="n"/>
      <c r="P1121" s="8" t="n"/>
      <c r="Q1121" s="8" t="n"/>
      <c r="R1121" s="8" t="n"/>
      <c r="S1121" s="8" t="n"/>
      <c r="T1121" s="7" t="inlineStr">
        <is>
          <t>SEM COTAÇÃO</t>
        </is>
      </c>
      <c r="U1121" s="8" t="n"/>
      <c r="V1121" s="14" t="n"/>
      <c r="W1121" s="14" t="n"/>
      <c r="X1121" s="7" t="inlineStr"/>
      <c r="Y1121" s="7" t="inlineStr"/>
    </row>
    <row r="1122">
      <c r="A1122" s="7" t="n">
        <v>569221</v>
      </c>
      <c r="B1122" s="12" t="inlineStr">
        <is>
          <t>7897042005062</t>
        </is>
      </c>
      <c r="C1122" s="7" t="inlineStr">
        <is>
          <t>CR TRAT SKALA BABOSA 1KG</t>
        </is>
      </c>
      <c r="D1122" s="7" t="inlineStr">
        <is>
          <t>PERF/COSME</t>
        </is>
      </c>
      <c r="E1122" s="7" t="inlineStr">
        <is>
          <t>C</t>
        </is>
      </c>
      <c r="F1122" s="13" t="n">
        <v>3</v>
      </c>
      <c r="G1122" s="13" t="n">
        <v>3</v>
      </c>
      <c r="H1122" s="8" t="n">
        <v>8.02</v>
      </c>
      <c r="I1122" s="8" t="n">
        <v>8.02</v>
      </c>
      <c r="J1122" s="8" t="n">
        <v>8.02</v>
      </c>
      <c r="K1122" s="8" t="n"/>
      <c r="L1122" s="8" t="n"/>
      <c r="M1122" s="8" t="n"/>
      <c r="N1122" s="8" t="n"/>
      <c r="O1122" s="8" t="n"/>
      <c r="P1122" s="8" t="n"/>
      <c r="Q1122" s="8" t="n"/>
      <c r="R1122" s="8" t="n"/>
      <c r="S1122" s="8" t="n"/>
      <c r="T1122" s="7" t="inlineStr">
        <is>
          <t>SEM COTAÇÃO</t>
        </is>
      </c>
      <c r="U1122" s="8" t="n"/>
      <c r="V1122" s="14" t="n"/>
      <c r="W1122" s="14" t="n"/>
      <c r="X1122" s="7" t="inlineStr"/>
      <c r="Y1122" s="7" t="inlineStr"/>
    </row>
    <row r="1123">
      <c r="A1123" s="7" t="n">
        <v>637121</v>
      </c>
      <c r="B1123" s="12" t="inlineStr">
        <is>
          <t>7897042012800</t>
        </is>
      </c>
      <c r="C1123" s="7" t="inlineStr">
        <is>
          <t>CR TRAT SKALA BANANA/BAC 1KG</t>
        </is>
      </c>
      <c r="D1123" s="7" t="inlineStr">
        <is>
          <t>PERF/COSME</t>
        </is>
      </c>
      <c r="E1123" s="7" t="inlineStr">
        <is>
          <t>C</t>
        </is>
      </c>
      <c r="F1123" s="13" t="n">
        <v>4</v>
      </c>
      <c r="G1123" s="13" t="n">
        <v>4</v>
      </c>
      <c r="H1123" s="8" t="n">
        <v>8.02</v>
      </c>
      <c r="I1123" s="8" t="n">
        <v>8.02</v>
      </c>
      <c r="J1123" s="8" t="n">
        <v>8.02</v>
      </c>
      <c r="K1123" s="8" t="n"/>
      <c r="L1123" s="8" t="n"/>
      <c r="M1123" s="8" t="n"/>
      <c r="N1123" s="8" t="n"/>
      <c r="O1123" s="8" t="n"/>
      <c r="P1123" s="8" t="n"/>
      <c r="Q1123" s="8" t="n"/>
      <c r="R1123" s="8" t="n"/>
      <c r="S1123" s="8" t="n"/>
      <c r="T1123" s="7" t="inlineStr">
        <is>
          <t>SEM COTAÇÃO</t>
        </is>
      </c>
      <c r="U1123" s="8" t="n"/>
      <c r="V1123" s="14" t="n"/>
      <c r="W1123" s="14" t="n"/>
      <c r="X1123" s="7" t="inlineStr"/>
      <c r="Y1123" s="7" t="inlineStr"/>
    </row>
    <row r="1124">
      <c r="A1124" s="7" t="n">
        <v>576621</v>
      </c>
      <c r="B1124" s="12" t="inlineStr">
        <is>
          <t>7897042012183</t>
        </is>
      </c>
      <c r="C1124" s="7" t="inlineStr">
        <is>
          <t>CR TRAT SKALA BOMBA VITAMA 1KG</t>
        </is>
      </c>
      <c r="D1124" s="7" t="inlineStr">
        <is>
          <t>PERF/COSME</t>
        </is>
      </c>
      <c r="E1124" s="7" t="inlineStr">
        <is>
          <t>C</t>
        </is>
      </c>
      <c r="F1124" s="13" t="n">
        <v>2</v>
      </c>
      <c r="G1124" s="13" t="n">
        <v>2</v>
      </c>
      <c r="H1124" s="8" t="n">
        <v>9.289999999999999</v>
      </c>
      <c r="I1124" s="8" t="n">
        <v>7.95</v>
      </c>
      <c r="J1124" s="8" t="n">
        <v>8.843333333333332</v>
      </c>
      <c r="K1124" s="8" t="n"/>
      <c r="L1124" s="8" t="n"/>
      <c r="M1124" s="8" t="n"/>
      <c r="N1124" s="8" t="n"/>
      <c r="O1124" s="8" t="n"/>
      <c r="P1124" s="8" t="n"/>
      <c r="Q1124" s="8" t="n"/>
      <c r="R1124" s="8" t="n"/>
      <c r="S1124" s="8" t="n"/>
      <c r="T1124" s="7" t="inlineStr">
        <is>
          <t>SEM COTAÇÃO</t>
        </is>
      </c>
      <c r="U1124" s="8" t="n"/>
      <c r="V1124" s="14" t="n"/>
      <c r="W1124" s="14" t="n"/>
      <c r="X1124" s="7" t="inlineStr"/>
      <c r="Y1124" s="7" t="inlineStr"/>
    </row>
    <row r="1125">
      <c r="A1125" s="7" t="n">
        <v>591711</v>
      </c>
      <c r="B1125" s="12" t="inlineStr"/>
      <c r="C1125" s="7" t="inlineStr">
        <is>
          <t>CR TRAT SKALA COQ FRUTAS 1KG</t>
        </is>
      </c>
      <c r="D1125" s="7" t="inlineStr">
        <is>
          <t>PERF/COSME</t>
        </is>
      </c>
      <c r="E1125" s="7" t="inlineStr">
        <is>
          <t>B</t>
        </is>
      </c>
      <c r="F1125" s="13" t="n">
        <v>4</v>
      </c>
      <c r="G1125" s="13" t="n">
        <v>4</v>
      </c>
      <c r="H1125" s="8" t="n">
        <v>7.84</v>
      </c>
      <c r="I1125" s="8" t="n">
        <v>7.84</v>
      </c>
      <c r="J1125" s="8" t="n">
        <v>7.84</v>
      </c>
      <c r="K1125" s="8" t="n"/>
      <c r="L1125" s="8" t="n"/>
      <c r="M1125" s="8" t="n"/>
      <c r="N1125" s="8" t="n"/>
      <c r="O1125" s="8" t="n"/>
      <c r="P1125" s="8" t="n"/>
      <c r="Q1125" s="8" t="n"/>
      <c r="R1125" s="8" t="n"/>
      <c r="S1125" s="8" t="n"/>
      <c r="T1125" s="7" t="inlineStr">
        <is>
          <t>SEM COTAÇÃO</t>
        </is>
      </c>
      <c r="U1125" s="8" t="n"/>
      <c r="V1125" s="14" t="n"/>
      <c r="W1125" s="14" t="n"/>
      <c r="X1125" s="7" t="inlineStr"/>
      <c r="Y1125" s="7" t="inlineStr"/>
    </row>
    <row r="1126">
      <c r="A1126" s="7" t="n">
        <v>535301</v>
      </c>
      <c r="B1126" s="12" t="inlineStr">
        <is>
          <t>7897042006021</t>
        </is>
      </c>
      <c r="C1126" s="7" t="inlineStr">
        <is>
          <t>CR TRAT SKALA LAMA NEGRA 1KG</t>
        </is>
      </c>
      <c r="D1126" s="7" t="inlineStr">
        <is>
          <t>PERF/COSME</t>
        </is>
      </c>
      <c r="E1126" s="7" t="inlineStr">
        <is>
          <t>C</t>
        </is>
      </c>
      <c r="F1126" s="13" t="n">
        <v>1</v>
      </c>
      <c r="G1126" s="13" t="n">
        <v>1</v>
      </c>
      <c r="H1126" s="8" t="n">
        <v>8.02</v>
      </c>
      <c r="I1126" s="8" t="n">
        <v>8.02</v>
      </c>
      <c r="J1126" s="8" t="n">
        <v>8.02</v>
      </c>
      <c r="K1126" s="8" t="n"/>
      <c r="L1126" s="8" t="n"/>
      <c r="M1126" s="8" t="n"/>
      <c r="N1126" s="8" t="n"/>
      <c r="O1126" s="8" t="n"/>
      <c r="P1126" s="8" t="n"/>
      <c r="Q1126" s="8" t="n"/>
      <c r="R1126" s="8" t="n"/>
      <c r="S1126" s="8" t="n"/>
      <c r="T1126" s="7" t="inlineStr">
        <is>
          <t>SEM COTAÇÃO</t>
        </is>
      </c>
      <c r="U1126" s="8" t="n"/>
      <c r="V1126" s="14" t="n"/>
      <c r="W1126" s="14" t="n"/>
      <c r="X1126" s="7" t="inlineStr"/>
      <c r="Y1126" s="7" t="inlineStr"/>
    </row>
    <row r="1127">
      <c r="A1127" s="7" t="n">
        <v>610291</v>
      </c>
      <c r="B1127" s="12" t="inlineStr">
        <is>
          <t>7897042012329</t>
        </is>
      </c>
      <c r="C1127" s="7" t="inlineStr">
        <is>
          <t>CR TRAT SKALA MAIONESE 1KG</t>
        </is>
      </c>
      <c r="D1127" s="7" t="inlineStr">
        <is>
          <t>COND/SHAM/CREM/SIMILARES</t>
        </is>
      </c>
      <c r="E1127" s="7" t="inlineStr">
        <is>
          <t>C</t>
        </is>
      </c>
      <c r="F1127" s="13" t="n">
        <v>2</v>
      </c>
      <c r="G1127" s="13" t="n">
        <v>2</v>
      </c>
      <c r="H1127" s="8" t="n">
        <v>8.02</v>
      </c>
      <c r="I1127" s="8" t="n">
        <v>8.02</v>
      </c>
      <c r="J1127" s="8" t="n">
        <v>8.02</v>
      </c>
      <c r="K1127" s="8" t="n"/>
      <c r="L1127" s="8" t="n"/>
      <c r="M1127" s="8" t="n"/>
      <c r="N1127" s="8" t="n"/>
      <c r="O1127" s="8" t="n"/>
      <c r="P1127" s="8" t="n"/>
      <c r="Q1127" s="8" t="n"/>
      <c r="R1127" s="8" t="n"/>
      <c r="S1127" s="8" t="n"/>
      <c r="T1127" s="7" t="inlineStr">
        <is>
          <t>SEM COTAÇÃO</t>
        </is>
      </c>
      <c r="U1127" s="8" t="n"/>
      <c r="V1127" s="14" t="n"/>
      <c r="W1127" s="14" t="n"/>
      <c r="X1127" s="7" t="inlineStr"/>
      <c r="Y1127" s="7" t="inlineStr"/>
    </row>
    <row r="1128">
      <c r="A1128" s="7" t="n">
        <v>610301</v>
      </c>
      <c r="B1128" s="12" t="inlineStr">
        <is>
          <t>7897042008407</t>
        </is>
      </c>
      <c r="C1128" s="7" t="inlineStr">
        <is>
          <t>CR TRAT SKALA MAIS LISOS 1KG</t>
        </is>
      </c>
      <c r="D1128" s="7" t="inlineStr">
        <is>
          <t>COND/SHAM/CREM/SIMILARES</t>
        </is>
      </c>
      <c r="E1128" s="7" t="inlineStr">
        <is>
          <t>B</t>
        </is>
      </c>
      <c r="F1128" s="13" t="n">
        <v>6</v>
      </c>
      <c r="G1128" s="13" t="n">
        <v>6</v>
      </c>
      <c r="H1128" s="8" t="n">
        <v>7.84</v>
      </c>
      <c r="I1128" s="8" t="n">
        <v>7.84</v>
      </c>
      <c r="J1128" s="8" t="n">
        <v>7.84</v>
      </c>
      <c r="K1128" s="8" t="n"/>
      <c r="L1128" s="8" t="n"/>
      <c r="M1128" s="8" t="n"/>
      <c r="N1128" s="8" t="n"/>
      <c r="O1128" s="8" t="n"/>
      <c r="P1128" s="8" t="n"/>
      <c r="Q1128" s="8" t="n"/>
      <c r="R1128" s="8" t="n"/>
      <c r="S1128" s="8" t="n"/>
      <c r="T1128" s="7" t="inlineStr">
        <is>
          <t>SEM COTAÇÃO</t>
        </is>
      </c>
      <c r="U1128" s="8" t="n"/>
      <c r="V1128" s="14" t="n"/>
      <c r="W1128" s="14" t="n"/>
      <c r="X1128" s="7" t="inlineStr"/>
      <c r="Y1128" s="7" t="inlineStr"/>
    </row>
    <row r="1129">
      <c r="A1129" s="7" t="n">
        <v>637151</v>
      </c>
      <c r="B1129" s="12" t="inlineStr">
        <is>
          <t>7897042013227</t>
        </is>
      </c>
      <c r="C1129" s="7" t="inlineStr">
        <is>
          <t>CR TRAT SKALA MARACUJA/PAT 1KG</t>
        </is>
      </c>
      <c r="D1129" s="7" t="inlineStr">
        <is>
          <t>PERF/COSME</t>
        </is>
      </c>
      <c r="E1129" s="7" t="inlineStr">
        <is>
          <t>A</t>
        </is>
      </c>
      <c r="F1129" s="13" t="n">
        <v>4</v>
      </c>
      <c r="G1129" s="13" t="n">
        <v>4</v>
      </c>
      <c r="H1129" s="8" t="n">
        <v>9.289999999999999</v>
      </c>
      <c r="I1129" s="8" t="n">
        <v>7.95</v>
      </c>
      <c r="J1129" s="8" t="n">
        <v>8.6</v>
      </c>
      <c r="K1129" s="8" t="n"/>
      <c r="L1129" s="8" t="n"/>
      <c r="M1129" s="8" t="n"/>
      <c r="N1129" s="8" t="n"/>
      <c r="O1129" s="8" t="n"/>
      <c r="P1129" s="8" t="n"/>
      <c r="Q1129" s="8" t="n"/>
      <c r="R1129" s="8" t="n"/>
      <c r="S1129" s="8" t="n"/>
      <c r="T1129" s="7" t="inlineStr">
        <is>
          <t>SEM COTAÇÃO</t>
        </is>
      </c>
      <c r="U1129" s="8" t="n"/>
      <c r="V1129" s="14" t="n"/>
      <c r="W1129" s="14" t="n"/>
      <c r="X1129" s="7" t="inlineStr"/>
      <c r="Y1129" s="7" t="inlineStr"/>
    </row>
    <row r="1130">
      <c r="A1130" s="7" t="n">
        <v>569241</v>
      </c>
      <c r="B1130" s="12" t="inlineStr">
        <is>
          <t>7897042010721</t>
        </is>
      </c>
      <c r="C1130" s="7" t="inlineStr">
        <is>
          <t>CR TRAT SKALA OLEO ARGAN 1KG</t>
        </is>
      </c>
      <c r="D1130" s="7" t="inlineStr">
        <is>
          <t>PERF/COSME</t>
        </is>
      </c>
      <c r="E1130" s="7" t="inlineStr">
        <is>
          <t>C</t>
        </is>
      </c>
      <c r="F1130" s="13" t="n">
        <v>2</v>
      </c>
      <c r="G1130" s="13" t="n">
        <v>2</v>
      </c>
      <c r="H1130" s="8" t="n">
        <v>8.02</v>
      </c>
      <c r="I1130" s="8" t="n">
        <v>8.02</v>
      </c>
      <c r="J1130" s="8" t="n">
        <v>8.02</v>
      </c>
      <c r="K1130" s="8" t="n"/>
      <c r="L1130" s="8" t="n"/>
      <c r="M1130" s="8" t="n"/>
      <c r="N1130" s="8" t="n"/>
      <c r="O1130" s="8" t="n"/>
      <c r="P1130" s="8" t="n"/>
      <c r="Q1130" s="8" t="n"/>
      <c r="R1130" s="8" t="n"/>
      <c r="S1130" s="8" t="n"/>
      <c r="T1130" s="7" t="inlineStr">
        <is>
          <t>SEM COTAÇÃO</t>
        </is>
      </c>
      <c r="U1130" s="8" t="n"/>
      <c r="V1130" s="14" t="n"/>
      <c r="W1130" s="14" t="n"/>
      <c r="X1130" s="7" t="inlineStr"/>
      <c r="Y1130" s="7" t="inlineStr"/>
    </row>
    <row r="1131">
      <c r="A1131" s="7" t="n">
        <v>610321</v>
      </c>
      <c r="B1131" s="12" t="inlineStr">
        <is>
          <t>7897042017799</t>
        </is>
      </c>
      <c r="C1131" s="7" t="inlineStr">
        <is>
          <t>CR TRAT SKALA VITAMINA C 1KG</t>
        </is>
      </c>
      <c r="D1131" s="7" t="inlineStr">
        <is>
          <t>COND/SHAM/CREM/SIMILARES</t>
        </is>
      </c>
      <c r="E1131" s="7" t="inlineStr">
        <is>
          <t>C</t>
        </is>
      </c>
      <c r="F1131" s="13" t="n">
        <v>1</v>
      </c>
      <c r="G1131" s="13" t="n">
        <v>1</v>
      </c>
      <c r="H1131" s="8" t="n">
        <v>6.97</v>
      </c>
      <c r="I1131" s="8" t="n">
        <v>6.97</v>
      </c>
      <c r="J1131" s="8" t="n">
        <v>6.97</v>
      </c>
      <c r="K1131" s="8" t="n"/>
      <c r="L1131" s="8" t="n"/>
      <c r="M1131" s="8" t="n"/>
      <c r="N1131" s="8" t="n"/>
      <c r="O1131" s="8" t="n"/>
      <c r="P1131" s="8" t="n"/>
      <c r="Q1131" s="8" t="n"/>
      <c r="R1131" s="8" t="n"/>
      <c r="S1131" s="8" t="n"/>
      <c r="T1131" s="7" t="inlineStr">
        <is>
          <t>SEM COTAÇÃO</t>
        </is>
      </c>
      <c r="U1131" s="8" t="n"/>
      <c r="V1131" s="14" t="n"/>
      <c r="W1131" s="14" t="n"/>
      <c r="X1131" s="7" t="inlineStr"/>
      <c r="Y1131" s="7" t="inlineStr"/>
    </row>
    <row r="1132">
      <c r="A1132" s="7" t="n">
        <v>668271</v>
      </c>
      <c r="B1132" s="12" t="inlineStr">
        <is>
          <t>7509546687537</t>
        </is>
      </c>
      <c r="C1132" s="7" t="inlineStr">
        <is>
          <t>CR. DENT. COLGATE LUM.CARV. 60G</t>
        </is>
      </c>
      <c r="D1132" s="7" t="inlineStr">
        <is>
          <t>ORTODONTICO</t>
        </is>
      </c>
      <c r="E1132" s="7" t="inlineStr">
        <is>
          <t>B</t>
        </is>
      </c>
      <c r="F1132" s="13" t="n">
        <v>5</v>
      </c>
      <c r="G1132" s="13" t="n">
        <v>5</v>
      </c>
      <c r="H1132" s="8" t="n">
        <v>4.41</v>
      </c>
      <c r="I1132" s="8" t="n">
        <v>4.41</v>
      </c>
      <c r="J1132" s="8" t="n">
        <v>4.41</v>
      </c>
      <c r="K1132" s="8" t="n"/>
      <c r="L1132" s="8" t="n"/>
      <c r="M1132" s="8" t="n"/>
      <c r="N1132" s="8" t="n"/>
      <c r="O1132" s="8" t="n"/>
      <c r="P1132" s="8" t="n"/>
      <c r="Q1132" s="8" t="n"/>
      <c r="R1132" s="8" t="n"/>
      <c r="S1132" s="8" t="n"/>
      <c r="T1132" s="7" t="inlineStr">
        <is>
          <t>SEM COTAÇÃO</t>
        </is>
      </c>
      <c r="U1132" s="8" t="n"/>
      <c r="V1132" s="14" t="n"/>
      <c r="W1132" s="14" t="n"/>
      <c r="X1132" s="7" t="inlineStr"/>
      <c r="Y1132" s="7" t="inlineStr"/>
    </row>
    <row r="1133">
      <c r="A1133" s="7" t="n">
        <v>579741</v>
      </c>
      <c r="B1133" s="12" t="inlineStr"/>
      <c r="C1133" s="7" t="inlineStr">
        <is>
          <t>CR. FACIAL NIVEA PELE NEGR.100</t>
        </is>
      </c>
      <c r="D1133" s="7" t="inlineStr">
        <is>
          <t>DERMOCOSMETICOS/COSMETICOS</t>
        </is>
      </c>
      <c r="E1133" s="7" t="inlineStr">
        <is>
          <t>A</t>
        </is>
      </c>
      <c r="F1133" s="13" t="n">
        <v>5</v>
      </c>
      <c r="G1133" s="13" t="n">
        <v>5</v>
      </c>
      <c r="H1133" s="8" t="n">
        <v>22.7447</v>
      </c>
      <c r="I1133" s="8" t="n">
        <v>20.9125</v>
      </c>
      <c r="J1133" s="8" t="n">
        <v>22.13396666666667</v>
      </c>
      <c r="K1133" s="8" t="n"/>
      <c r="L1133" s="8" t="n"/>
      <c r="M1133" s="8" t="n"/>
      <c r="N1133" s="8" t="n"/>
      <c r="O1133" s="8" t="n"/>
      <c r="P1133" s="8" t="n"/>
      <c r="Q1133" s="8" t="n"/>
      <c r="R1133" s="8" t="n"/>
      <c r="S1133" s="8" t="n"/>
      <c r="T1133" s="7" t="inlineStr">
        <is>
          <t>SEM COTAÇÃO</t>
        </is>
      </c>
      <c r="U1133" s="8" t="n"/>
      <c r="V1133" s="14" t="n"/>
      <c r="W1133" s="14" t="n"/>
      <c r="X1133" s="7" t="inlineStr"/>
      <c r="Y1133" s="7" t="inlineStr"/>
    </row>
    <row r="1134">
      <c r="A1134" s="7" t="n">
        <v>673011</v>
      </c>
      <c r="B1134" s="12" t="inlineStr">
        <is>
          <t>7908458332595</t>
        </is>
      </c>
      <c r="C1134" s="7" t="inlineStr">
        <is>
          <t>CR. PEN S.LINE XER.BAU.DOC</t>
        </is>
      </c>
      <c r="D1134" s="7" t="inlineStr">
        <is>
          <t>COND/SHAM/CREM/SIMILARES</t>
        </is>
      </c>
      <c r="E1134" s="7" t="inlineStr">
        <is>
          <t>A</t>
        </is>
      </c>
      <c r="F1134" s="13" t="n">
        <v>3</v>
      </c>
      <c r="G1134" s="13" t="n">
        <v>3</v>
      </c>
      <c r="H1134" s="8" t="n">
        <v>22.91</v>
      </c>
      <c r="I1134" s="8" t="n">
        <v>22.91</v>
      </c>
      <c r="J1134" s="8" t="n">
        <v>22.91</v>
      </c>
      <c r="K1134" s="8" t="n"/>
      <c r="L1134" s="8" t="n"/>
      <c r="M1134" s="8" t="n"/>
      <c r="N1134" s="8" t="n"/>
      <c r="O1134" s="8" t="n"/>
      <c r="P1134" s="8" t="n"/>
      <c r="Q1134" s="8" t="n"/>
      <c r="R1134" s="8" t="n"/>
      <c r="S1134" s="8" t="n"/>
      <c r="T1134" s="7" t="inlineStr">
        <is>
          <t>SEM COTAÇÃO</t>
        </is>
      </c>
      <c r="U1134" s="8" t="n"/>
      <c r="V1134" s="14" t="n"/>
      <c r="W1134" s="14" t="n"/>
      <c r="X1134" s="7" t="inlineStr"/>
      <c r="Y1134" s="7" t="inlineStr"/>
    </row>
    <row r="1135">
      <c r="A1135" s="7" t="n">
        <v>582861</v>
      </c>
      <c r="B1135" s="12" t="inlineStr">
        <is>
          <t>7896000712837</t>
        </is>
      </c>
      <c r="C1135" s="7" t="inlineStr">
        <is>
          <t>CR. PEN. N.GOLD REC.POTENTE 250</t>
        </is>
      </c>
      <c r="D1135" s="7" t="inlineStr">
        <is>
          <t>PERF/COSME</t>
        </is>
      </c>
      <c r="E1135" s="7" t="inlineStr">
        <is>
          <t>C</t>
        </is>
      </c>
      <c r="F1135" s="13" t="n">
        <v>1</v>
      </c>
      <c r="G1135" s="13" t="n">
        <v>1</v>
      </c>
      <c r="H1135" s="8" t="n">
        <v>4.57</v>
      </c>
      <c r="I1135" s="8" t="n">
        <v>4.57</v>
      </c>
      <c r="J1135" s="8" t="n">
        <v>4.57</v>
      </c>
      <c r="K1135" s="8" t="n"/>
      <c r="L1135" s="8" t="n"/>
      <c r="M1135" s="8" t="n"/>
      <c r="N1135" s="8" t="n"/>
      <c r="O1135" s="8" t="n"/>
      <c r="P1135" s="8" t="n"/>
      <c r="Q1135" s="8" t="n"/>
      <c r="R1135" s="8" t="n"/>
      <c r="S1135" s="8" t="n"/>
      <c r="T1135" s="7" t="inlineStr">
        <is>
          <t>SEM COTAÇÃO</t>
        </is>
      </c>
      <c r="U1135" s="8" t="n"/>
      <c r="V1135" s="14" t="n"/>
      <c r="W1135" s="14" t="n"/>
      <c r="X1135" s="7" t="inlineStr"/>
      <c r="Y1135" s="7" t="inlineStr"/>
    </row>
    <row r="1136">
      <c r="A1136" s="7" t="n">
        <v>646751</v>
      </c>
      <c r="B1136" s="12" t="inlineStr">
        <is>
          <t>7897042004942</t>
        </is>
      </c>
      <c r="C1136" s="7" t="inlineStr">
        <is>
          <t>CR.COND.SKALA MANT.KARITE 1KG</t>
        </is>
      </c>
      <c r="D1136" s="7" t="inlineStr">
        <is>
          <t>COND/SHAM/CREM/SIMILARES</t>
        </is>
      </c>
      <c r="E1136" s="7" t="inlineStr">
        <is>
          <t>C</t>
        </is>
      </c>
      <c r="F1136" s="13" t="n">
        <v>1</v>
      </c>
      <c r="G1136" s="13" t="n">
        <v>1</v>
      </c>
      <c r="H1136" s="8" t="n">
        <v>8.02</v>
      </c>
      <c r="I1136" s="8" t="n">
        <v>8.02</v>
      </c>
      <c r="J1136" s="8" t="n">
        <v>8.02</v>
      </c>
      <c r="K1136" s="8" t="n"/>
      <c r="L1136" s="8" t="n"/>
      <c r="M1136" s="8" t="n"/>
      <c r="N1136" s="8" t="n"/>
      <c r="O1136" s="8" t="n"/>
      <c r="P1136" s="8" t="n"/>
      <c r="Q1136" s="8" t="n"/>
      <c r="R1136" s="8" t="n"/>
      <c r="S1136" s="8" t="n"/>
      <c r="T1136" s="7" t="inlineStr">
        <is>
          <t>SEM COTAÇÃO</t>
        </is>
      </c>
      <c r="U1136" s="8" t="n"/>
      <c r="V1136" s="14" t="n"/>
      <c r="W1136" s="14" t="n"/>
      <c r="X1136" s="7" t="inlineStr"/>
      <c r="Y1136" s="7" t="inlineStr"/>
    </row>
    <row r="1137">
      <c r="A1137" s="7" t="n">
        <v>646781</v>
      </c>
      <c r="B1137" s="12" t="inlineStr">
        <is>
          <t>7897042018208</t>
        </is>
      </c>
      <c r="C1137" s="7" t="inlineStr">
        <is>
          <t>CR.COND.SKALA RAIZES MORRO 1K</t>
        </is>
      </c>
      <c r="D1137" s="7" t="inlineStr">
        <is>
          <t>COND/SHAM/CREM/SIMILARES</t>
        </is>
      </c>
      <c r="E1137" s="7" t="inlineStr">
        <is>
          <t>C</t>
        </is>
      </c>
      <c r="F1137" s="13" t="n">
        <v>2</v>
      </c>
      <c r="G1137" s="13" t="n">
        <v>2</v>
      </c>
      <c r="H1137" s="8" t="n">
        <v>7.95</v>
      </c>
      <c r="I1137" s="8" t="n">
        <v>7.95</v>
      </c>
      <c r="J1137" s="8" t="n">
        <v>7.95</v>
      </c>
      <c r="K1137" s="8" t="n"/>
      <c r="L1137" s="8" t="n"/>
      <c r="M1137" s="8" t="n"/>
      <c r="N1137" s="8" t="n"/>
      <c r="O1137" s="8" t="n"/>
      <c r="P1137" s="8" t="n"/>
      <c r="Q1137" s="8" t="n"/>
      <c r="R1137" s="8" t="n"/>
      <c r="S1137" s="8" t="n"/>
      <c r="T1137" s="7" t="inlineStr">
        <is>
          <t>SEM COTAÇÃO</t>
        </is>
      </c>
      <c r="U1137" s="8" t="n"/>
      <c r="V1137" s="14" t="n"/>
      <c r="W1137" s="14" t="n"/>
      <c r="X1137" s="7" t="inlineStr"/>
      <c r="Y1137" s="7" t="inlineStr"/>
    </row>
    <row r="1138">
      <c r="A1138" s="7" t="n">
        <v>673001</v>
      </c>
      <c r="B1138" s="12" t="inlineStr">
        <is>
          <t>7908458320608</t>
        </is>
      </c>
      <c r="C1138" s="7" t="inlineStr">
        <is>
          <t>CR.PEN.S.LINE DEF.NAT.1KG</t>
        </is>
      </c>
      <c r="D1138" s="7" t="inlineStr">
        <is>
          <t>COND/SHAM/CREM/SIMILARES</t>
        </is>
      </c>
      <c r="E1138" s="7" t="inlineStr">
        <is>
          <t>C</t>
        </is>
      </c>
      <c r="F1138" s="13" t="n">
        <v>1</v>
      </c>
      <c r="G1138" s="13" t="n">
        <v>1</v>
      </c>
      <c r="H1138" s="8" t="n">
        <v>23.95</v>
      </c>
      <c r="I1138" s="8" t="n">
        <v>23.95</v>
      </c>
      <c r="J1138" s="8" t="n">
        <v>23.95</v>
      </c>
      <c r="K1138" s="8" t="n"/>
      <c r="L1138" s="8" t="n"/>
      <c r="M1138" s="8" t="n"/>
      <c r="N1138" s="8" t="n"/>
      <c r="O1138" s="8" t="n"/>
      <c r="P1138" s="8" t="n"/>
      <c r="Q1138" s="8" t="n"/>
      <c r="R1138" s="8" t="n"/>
      <c r="S1138" s="8" t="n"/>
      <c r="T1138" s="7" t="inlineStr">
        <is>
          <t>SEM COTAÇÃO</t>
        </is>
      </c>
      <c r="U1138" s="8" t="n"/>
      <c r="V1138" s="14" t="n"/>
      <c r="W1138" s="14" t="n"/>
      <c r="X1138" s="7" t="inlineStr"/>
      <c r="Y1138" s="7" t="inlineStr"/>
    </row>
    <row r="1139">
      <c r="A1139" s="7" t="n">
        <v>667751</v>
      </c>
      <c r="B1139" s="12" t="inlineStr">
        <is>
          <t>7908458325511</t>
        </is>
      </c>
      <c r="C1139" s="7" t="inlineStr">
        <is>
          <t>CR.PEN.S.LINE KIDS C.H.MAR.1K</t>
        </is>
      </c>
      <c r="D1139" s="7" t="inlineStr">
        <is>
          <t>BABY/KIDS</t>
        </is>
      </c>
      <c r="E1139" s="7" t="inlineStr">
        <is>
          <t>C</t>
        </is>
      </c>
      <c r="F1139" s="13" t="n">
        <v>1</v>
      </c>
      <c r="G1139" s="13" t="n">
        <v>1</v>
      </c>
      <c r="H1139" s="8" t="n">
        <v>23.48</v>
      </c>
      <c r="I1139" s="8" t="n">
        <v>23.48</v>
      </c>
      <c r="J1139" s="8" t="n">
        <v>23.48</v>
      </c>
      <c r="K1139" s="8" t="n"/>
      <c r="L1139" s="8" t="n"/>
      <c r="M1139" s="8" t="n"/>
      <c r="N1139" s="8" t="n"/>
      <c r="O1139" s="8" t="n"/>
      <c r="P1139" s="8" t="n"/>
      <c r="Q1139" s="8" t="n"/>
      <c r="R1139" s="8" t="n"/>
      <c r="S1139" s="8" t="n"/>
      <c r="T1139" s="7" t="inlineStr">
        <is>
          <t>SEM COTAÇÃO</t>
        </is>
      </c>
      <c r="U1139" s="8" t="n"/>
      <c r="V1139" s="14" t="n"/>
      <c r="W1139" s="14" t="n"/>
      <c r="X1139" s="7" t="inlineStr"/>
      <c r="Y1139" s="7" t="inlineStr"/>
    </row>
    <row r="1140">
      <c r="A1140" s="7" t="n">
        <v>667771</v>
      </c>
      <c r="B1140" s="12" t="inlineStr">
        <is>
          <t>7908458317912</t>
        </is>
      </c>
      <c r="C1140" s="7" t="inlineStr">
        <is>
          <t>CR.PEN.S.LINE KIDS MORANGO 1K</t>
        </is>
      </c>
      <c r="D1140" s="7" t="inlineStr">
        <is>
          <t>BABY/KIDS</t>
        </is>
      </c>
      <c r="E1140" s="7" t="inlineStr">
        <is>
          <t>B</t>
        </is>
      </c>
      <c r="F1140" s="13" t="n">
        <v>2</v>
      </c>
      <c r="G1140" s="13" t="n">
        <v>2</v>
      </c>
      <c r="H1140" s="8" t="n">
        <v>23.48</v>
      </c>
      <c r="I1140" s="8" t="n">
        <v>23.48</v>
      </c>
      <c r="J1140" s="8" t="n">
        <v>23.48</v>
      </c>
      <c r="K1140" s="8" t="n"/>
      <c r="L1140" s="8" t="n"/>
      <c r="M1140" s="8" t="n"/>
      <c r="N1140" s="8" t="n"/>
      <c r="O1140" s="8" t="n"/>
      <c r="P1140" s="8" t="n"/>
      <c r="Q1140" s="8" t="n"/>
      <c r="R1140" s="8" t="n"/>
      <c r="S1140" s="8" t="n"/>
      <c r="T1140" s="7" t="inlineStr">
        <is>
          <t>SEM COTAÇÃO</t>
        </is>
      </c>
      <c r="U1140" s="8" t="n"/>
      <c r="V1140" s="14" t="n"/>
      <c r="W1140" s="14" t="n"/>
      <c r="X1140" s="7" t="inlineStr"/>
      <c r="Y1140" s="7" t="inlineStr"/>
    </row>
    <row r="1141">
      <c r="A1141" s="7" t="n">
        <v>673021</v>
      </c>
      <c r="B1141" s="12" t="inlineStr">
        <is>
          <t>7908458332526</t>
        </is>
      </c>
      <c r="C1141" s="7" t="inlineStr">
        <is>
          <t>CR.PEN.S.LINE XER.GLA.CHI.800</t>
        </is>
      </c>
      <c r="D1141" s="7" t="inlineStr">
        <is>
          <t>COND/SHAM/CREM/SIMILARES</t>
        </is>
      </c>
      <c r="E1141" s="7" t="inlineStr">
        <is>
          <t>B</t>
        </is>
      </c>
      <c r="F1141" s="13" t="n">
        <v>2</v>
      </c>
      <c r="G1141" s="13" t="n">
        <v>2</v>
      </c>
      <c r="H1141" s="8" t="n">
        <v>24.12</v>
      </c>
      <c r="I1141" s="8" t="n">
        <v>24.12</v>
      </c>
      <c r="J1141" s="8" t="n">
        <v>24.12</v>
      </c>
      <c r="K1141" s="8" t="n"/>
      <c r="L1141" s="8" t="n"/>
      <c r="M1141" s="8" t="n"/>
      <c r="N1141" s="8" t="n"/>
      <c r="O1141" s="8" t="n"/>
      <c r="P1141" s="8" t="n"/>
      <c r="Q1141" s="8" t="n"/>
      <c r="R1141" s="8" t="n"/>
      <c r="S1141" s="8" t="n"/>
      <c r="T1141" s="7" t="inlineStr">
        <is>
          <t>SEM COTAÇÃO</t>
        </is>
      </c>
      <c r="U1141" s="8" t="n"/>
      <c r="V1141" s="14" t="n"/>
      <c r="W1141" s="14" t="n"/>
      <c r="X1141" s="7" t="inlineStr"/>
      <c r="Y1141" s="7" t="inlineStr"/>
    </row>
    <row r="1142">
      <c r="A1142" s="7" t="n">
        <v>569161</v>
      </c>
      <c r="B1142" s="12" t="inlineStr">
        <is>
          <t>7896115704345</t>
        </is>
      </c>
      <c r="C1142" s="7" t="inlineStr">
        <is>
          <t>CR.PEN.TRA LA LA KIDS CACH 300ML</t>
        </is>
      </c>
      <c r="D1142" s="7" t="inlineStr">
        <is>
          <t>PERF/COSME</t>
        </is>
      </c>
      <c r="E1142" s="7" t="inlineStr">
        <is>
          <t>C</t>
        </is>
      </c>
      <c r="F1142" s="13" t="n">
        <v>1</v>
      </c>
      <c r="G1142" s="13" t="n">
        <v>1</v>
      </c>
      <c r="H1142" s="8" t="n">
        <v>10.71</v>
      </c>
      <c r="I1142" s="8" t="n">
        <v>10.71</v>
      </c>
      <c r="J1142" s="8" t="n">
        <v>10.71</v>
      </c>
      <c r="K1142" s="8" t="n"/>
      <c r="L1142" s="8" t="n"/>
      <c r="M1142" s="8" t="n"/>
      <c r="N1142" s="8" t="n"/>
      <c r="O1142" s="8" t="n"/>
      <c r="P1142" s="8" t="n"/>
      <c r="Q1142" s="8" t="n"/>
      <c r="R1142" s="8" t="n"/>
      <c r="S1142" s="8" t="n"/>
      <c r="T1142" s="7" t="inlineStr">
        <is>
          <t>SEM COTAÇÃO</t>
        </is>
      </c>
      <c r="U1142" s="8" t="n"/>
      <c r="V1142" s="14" t="n"/>
      <c r="W1142" s="14" t="n"/>
      <c r="X1142" s="7" t="inlineStr"/>
      <c r="Y1142" s="7" t="inlineStr"/>
    </row>
    <row r="1143">
      <c r="A1143" s="7" t="n">
        <v>604251</v>
      </c>
      <c r="B1143" s="12" t="inlineStr">
        <is>
          <t>7898919412143</t>
        </is>
      </c>
      <c r="C1143" s="7" t="inlineStr">
        <is>
          <t>CR.TRAT.MONANGE CAC.Q TAL 300</t>
        </is>
      </c>
      <c r="D1143" s="7" t="inlineStr">
        <is>
          <t>PERF/COSME</t>
        </is>
      </c>
      <c r="E1143" s="7" t="inlineStr">
        <is>
          <t>C</t>
        </is>
      </c>
      <c r="F1143" s="13" t="n">
        <v>1</v>
      </c>
      <c r="G1143" s="13" t="n">
        <v>1</v>
      </c>
      <c r="H1143" s="8" t="n">
        <v>10.72</v>
      </c>
      <c r="I1143" s="8" t="n">
        <v>10.72</v>
      </c>
      <c r="J1143" s="8" t="n">
        <v>10.72</v>
      </c>
      <c r="K1143" s="8" t="n"/>
      <c r="L1143" s="8" t="n"/>
      <c r="M1143" s="8" t="n"/>
      <c r="N1143" s="8" t="n"/>
      <c r="O1143" s="8" t="n"/>
      <c r="P1143" s="8" t="n"/>
      <c r="Q1143" s="8" t="n"/>
      <c r="R1143" s="8" t="n"/>
      <c r="S1143" s="8" t="n"/>
      <c r="T1143" s="7" t="inlineStr">
        <is>
          <t>SEM COTAÇÃO</t>
        </is>
      </c>
      <c r="U1143" s="8" t="n"/>
      <c r="V1143" s="14" t="n"/>
      <c r="W1143" s="14" t="n"/>
      <c r="X1143" s="7" t="inlineStr"/>
      <c r="Y1143" s="7" t="inlineStr"/>
    </row>
    <row r="1144">
      <c r="A1144" s="7" t="n">
        <v>604271</v>
      </c>
      <c r="B1144" s="12" t="inlineStr">
        <is>
          <t>7898919412136</t>
        </is>
      </c>
      <c r="C1144" s="7" t="inlineStr">
        <is>
          <t>CR.TRAT.MONANGE QUIM.S/DRA.30</t>
        </is>
      </c>
      <c r="D1144" s="7" t="inlineStr">
        <is>
          <t>DESATIVADO</t>
        </is>
      </c>
      <c r="E1144" s="7" t="inlineStr">
        <is>
          <t>C</t>
        </is>
      </c>
      <c r="F1144" s="13" t="n">
        <v>1</v>
      </c>
      <c r="G1144" s="13" t="n">
        <v>1</v>
      </c>
      <c r="H1144" s="8" t="n">
        <v>10.72</v>
      </c>
      <c r="I1144" s="8" t="n">
        <v>10.72</v>
      </c>
      <c r="J1144" s="8" t="n">
        <v>10.72</v>
      </c>
      <c r="K1144" s="8" t="n"/>
      <c r="L1144" s="8" t="n"/>
      <c r="M1144" s="8" t="n"/>
      <c r="N1144" s="8" t="n"/>
      <c r="O1144" s="8" t="n"/>
      <c r="P1144" s="8" t="n"/>
      <c r="Q1144" s="8" t="n"/>
      <c r="R1144" s="8" t="n"/>
      <c r="S1144" s="8" t="n"/>
      <c r="T1144" s="7" t="inlineStr">
        <is>
          <t>SEM COTAÇÃO</t>
        </is>
      </c>
      <c r="U1144" s="8" t="n"/>
      <c r="V1144" s="14" t="n"/>
      <c r="W1144" s="14" t="n"/>
      <c r="X1144" s="7" t="inlineStr"/>
      <c r="Y1144" s="7" t="inlineStr"/>
    </row>
    <row r="1145">
      <c r="A1145" s="7" t="n">
        <v>1333</v>
      </c>
      <c r="B1145" s="12" t="inlineStr">
        <is>
          <t>7898714762450</t>
        </is>
      </c>
      <c r="C1145" s="7" t="inlineStr">
        <is>
          <t>CRANBERRY+BETA GLUCANA CAPS REV X 30</t>
        </is>
      </c>
      <c r="D1145" s="7" t="inlineStr">
        <is>
          <t>VITAMINA E SIMILARES</t>
        </is>
      </c>
      <c r="E1145" s="7" t="inlineStr">
        <is>
          <t>C</t>
        </is>
      </c>
      <c r="F1145" s="13" t="n">
        <v>1</v>
      </c>
      <c r="G1145" s="13" t="n">
        <v>1</v>
      </c>
      <c r="H1145" s="8" t="n">
        <v>41.6917</v>
      </c>
      <c r="I1145" s="8" t="n">
        <v>41.6917</v>
      </c>
      <c r="J1145" s="8" t="n">
        <v>41.6917</v>
      </c>
      <c r="K1145" s="8" t="n"/>
      <c r="L1145" s="8" t="n"/>
      <c r="M1145" s="8" t="n"/>
      <c r="N1145" s="8" t="n"/>
      <c r="O1145" s="8" t="n"/>
      <c r="P1145" s="8" t="n"/>
      <c r="Q1145" s="8" t="n"/>
      <c r="R1145" s="8" t="n"/>
      <c r="S1145" s="8" t="n"/>
      <c r="T1145" s="7" t="inlineStr">
        <is>
          <t>SEM COTAÇÃO</t>
        </is>
      </c>
      <c r="U1145" s="8" t="n"/>
      <c r="V1145" s="14" t="n"/>
      <c r="W1145" s="14" t="n"/>
      <c r="X1145" s="7" t="inlineStr"/>
      <c r="Y1145" s="7" t="inlineStr"/>
    </row>
    <row r="1146">
      <c r="A1146" s="7" t="n">
        <v>643291</v>
      </c>
      <c r="B1146" s="12" t="inlineStr">
        <is>
          <t>7898669306716</t>
        </is>
      </c>
      <c r="C1146" s="7" t="inlineStr">
        <is>
          <t>CREATINA 100% PURE ABSOLUT 150G</t>
        </is>
      </c>
      <c r="D1146" s="7" t="inlineStr">
        <is>
          <t>SUPLEMENTO</t>
        </is>
      </c>
      <c r="E1146" s="7" t="inlineStr">
        <is>
          <t>C</t>
        </is>
      </c>
      <c r="F1146" s="13" t="n">
        <v>2</v>
      </c>
      <c r="G1146" s="13" t="n">
        <v>2</v>
      </c>
      <c r="H1146" s="8" t="n">
        <v>37.6</v>
      </c>
      <c r="I1146" s="8" t="n">
        <v>37.6</v>
      </c>
      <c r="J1146" s="8" t="n">
        <v>37.6</v>
      </c>
      <c r="K1146" s="8" t="n"/>
      <c r="L1146" s="8" t="n"/>
      <c r="M1146" s="8" t="n"/>
      <c r="N1146" s="8" t="n"/>
      <c r="O1146" s="8" t="n"/>
      <c r="P1146" s="8" t="n"/>
      <c r="Q1146" s="8" t="n"/>
      <c r="R1146" s="8" t="n"/>
      <c r="S1146" s="8" t="n"/>
      <c r="T1146" s="7" t="inlineStr">
        <is>
          <t>SEM COTAÇÃO</t>
        </is>
      </c>
      <c r="U1146" s="8" t="n"/>
      <c r="V1146" s="14" t="n"/>
      <c r="W1146" s="14" t="n"/>
      <c r="X1146" s="7" t="inlineStr"/>
      <c r="Y1146" s="7" t="inlineStr"/>
    </row>
    <row r="1147">
      <c r="A1147" s="7" t="n">
        <v>673301</v>
      </c>
      <c r="B1147" s="12" t="inlineStr">
        <is>
          <t>7898669307188</t>
        </is>
      </c>
      <c r="C1147" s="7" t="inlineStr">
        <is>
          <t>CREATINA ABSOLUT POWER 100G</t>
        </is>
      </c>
      <c r="D1147" s="7" t="inlineStr">
        <is>
          <t>SUPLEMENTO</t>
        </is>
      </c>
      <c r="E1147" s="7" t="inlineStr">
        <is>
          <t>C</t>
        </is>
      </c>
      <c r="F1147" s="13" t="n">
        <v>2</v>
      </c>
      <c r="G1147" s="13" t="n">
        <v>2</v>
      </c>
      <c r="H1147" s="8" t="n">
        <v>18.49</v>
      </c>
      <c r="I1147" s="8" t="n">
        <v>18.49</v>
      </c>
      <c r="J1147" s="8" t="n">
        <v>18.49</v>
      </c>
      <c r="K1147" s="8" t="n"/>
      <c r="L1147" s="8" t="n"/>
      <c r="M1147" s="8" t="n"/>
      <c r="N1147" s="8" t="n"/>
      <c r="O1147" s="8" t="n"/>
      <c r="P1147" s="8" t="n"/>
      <c r="Q1147" s="8" t="n"/>
      <c r="R1147" s="8" t="n"/>
      <c r="S1147" s="8" t="n"/>
      <c r="T1147" s="7" t="inlineStr">
        <is>
          <t>SEM COTAÇÃO</t>
        </is>
      </c>
      <c r="U1147" s="8" t="n"/>
      <c r="V1147" s="14" t="n"/>
      <c r="W1147" s="14" t="n"/>
      <c r="X1147" s="7" t="inlineStr"/>
      <c r="Y1147" s="7" t="inlineStr"/>
    </row>
    <row r="1148">
      <c r="A1148" s="7" t="n">
        <v>597691</v>
      </c>
      <c r="B1148" s="12" t="inlineStr">
        <is>
          <t>7898669307171</t>
        </is>
      </c>
      <c r="C1148" s="7" t="inlineStr">
        <is>
          <t>CREATINA BLUSTER 100G</t>
        </is>
      </c>
      <c r="D1148" s="7" t="inlineStr">
        <is>
          <t>SUPLEMENTO</t>
        </is>
      </c>
      <c r="E1148" s="7" t="inlineStr">
        <is>
          <t>C</t>
        </is>
      </c>
      <c r="F1148" s="13" t="n">
        <v>2</v>
      </c>
      <c r="G1148" s="13" t="n">
        <v>2</v>
      </c>
      <c r="H1148" s="8" t="n">
        <v>18.31</v>
      </c>
      <c r="I1148" s="8" t="n">
        <v>18.31</v>
      </c>
      <c r="J1148" s="8" t="n">
        <v>18.31</v>
      </c>
      <c r="K1148" s="8" t="n"/>
      <c r="L1148" s="8" t="n"/>
      <c r="M1148" s="8" t="n"/>
      <c r="N1148" s="8" t="n"/>
      <c r="O1148" s="8" t="n"/>
      <c r="P1148" s="8" t="n"/>
      <c r="Q1148" s="8" t="n"/>
      <c r="R1148" s="8" t="n"/>
      <c r="S1148" s="8" t="n"/>
      <c r="T1148" s="7" t="inlineStr">
        <is>
          <t>SEM COTAÇÃO</t>
        </is>
      </c>
      <c r="U1148" s="8" t="n"/>
      <c r="V1148" s="14" t="n"/>
      <c r="W1148" s="14" t="n"/>
      <c r="X1148" s="7" t="inlineStr"/>
      <c r="Y1148" s="7" t="inlineStr"/>
    </row>
    <row r="1149">
      <c r="A1149" s="7" t="n">
        <v>650841</v>
      </c>
      <c r="B1149" s="12" t="inlineStr">
        <is>
          <t>7898583668457</t>
        </is>
      </c>
      <c r="C1149" s="7" t="inlineStr">
        <is>
          <t>CREATINA FTW 1KG</t>
        </is>
      </c>
      <c r="D1149" s="7" t="inlineStr">
        <is>
          <t>SUPLEMENTO</t>
        </is>
      </c>
      <c r="E1149" s="7" t="inlineStr">
        <is>
          <t>C</t>
        </is>
      </c>
      <c r="F1149" s="13" t="n">
        <v>1</v>
      </c>
      <c r="G1149" s="13" t="n">
        <v>1</v>
      </c>
      <c r="H1149" s="8" t="n">
        <v>161.42</v>
      </c>
      <c r="I1149" s="8" t="n">
        <v>161.42</v>
      </c>
      <c r="J1149" s="8" t="n">
        <v>161.42</v>
      </c>
      <c r="K1149" s="8" t="n"/>
      <c r="L1149" s="8" t="n"/>
      <c r="M1149" s="8" t="n"/>
      <c r="N1149" s="8" t="n"/>
      <c r="O1149" s="8" t="n"/>
      <c r="P1149" s="8" t="n"/>
      <c r="Q1149" s="8" t="n"/>
      <c r="R1149" s="8" t="n"/>
      <c r="S1149" s="15" t="n">
        <v>142</v>
      </c>
      <c r="T1149" s="7" t="inlineStr">
        <is>
          <t>AT_SUPLEMENTOS</t>
        </is>
      </c>
      <c r="U1149" s="8" t="n">
        <v>142</v>
      </c>
      <c r="V1149" s="14">
        <f>U1149/J1149-1</f>
        <v/>
      </c>
      <c r="W1149" s="14">
        <f>U1149/H1149-1</f>
        <v/>
      </c>
      <c r="X1149" s="17" t="inlineStr">
        <is>
          <t>OK (≤ menor hist.)</t>
        </is>
      </c>
      <c r="Y1149" s="7" t="inlineStr"/>
    </row>
    <row r="1150">
      <c r="A1150" s="7" t="n">
        <v>672941</v>
      </c>
      <c r="B1150" s="12" t="inlineStr">
        <is>
          <t>7896311775538</t>
        </is>
      </c>
      <c r="C1150" s="7" t="inlineStr">
        <is>
          <t>CREATINA INTEGRALMEDICA CARBO FUEL LARAN</t>
        </is>
      </c>
      <c r="D1150" s="7" t="inlineStr">
        <is>
          <t>SUPLEMENTO</t>
        </is>
      </c>
      <c r="E1150" s="7" t="inlineStr">
        <is>
          <t>B</t>
        </is>
      </c>
      <c r="F1150" s="13" t="n">
        <v>2</v>
      </c>
      <c r="G1150" s="13" t="n">
        <v>2</v>
      </c>
      <c r="H1150" s="8" t="n">
        <v>38.06</v>
      </c>
      <c r="I1150" s="8" t="n">
        <v>38.06</v>
      </c>
      <c r="J1150" s="8" t="n">
        <v>38.06</v>
      </c>
      <c r="K1150" s="8" t="n"/>
      <c r="L1150" s="8" t="n"/>
      <c r="M1150" s="8" t="n"/>
      <c r="N1150" s="8" t="n"/>
      <c r="O1150" s="8" t="n"/>
      <c r="P1150" s="8" t="n"/>
      <c r="Q1150" s="8" t="n"/>
      <c r="R1150" s="8" t="n"/>
      <c r="S1150" s="8" t="n"/>
      <c r="T1150" s="7" t="inlineStr">
        <is>
          <t>SEM COTAÇÃO</t>
        </is>
      </c>
      <c r="U1150" s="8" t="n"/>
      <c r="V1150" s="14" t="n"/>
      <c r="W1150" s="14" t="n"/>
      <c r="X1150" s="7" t="inlineStr"/>
      <c r="Y1150" s="7" t="inlineStr"/>
    </row>
    <row r="1151">
      <c r="A1151" s="7" t="n">
        <v>635301</v>
      </c>
      <c r="B1151" s="12" t="inlineStr">
        <is>
          <t>7896311775521</t>
        </is>
      </c>
      <c r="C1151" s="7" t="inlineStr">
        <is>
          <t>CREATINA INTEGRALMEDICA CARBO FUEL NEUTRO 300G</t>
        </is>
      </c>
      <c r="D1151" s="7" t="inlineStr">
        <is>
          <t>SUPLEMENTO</t>
        </is>
      </c>
      <c r="E1151" s="7" t="inlineStr">
        <is>
          <t>B</t>
        </is>
      </c>
      <c r="F1151" s="13" t="n">
        <v>5</v>
      </c>
      <c r="G1151" s="13" t="n">
        <v>5</v>
      </c>
      <c r="H1151" s="8" t="n">
        <v>38.06</v>
      </c>
      <c r="I1151" s="8" t="n">
        <v>36.34</v>
      </c>
      <c r="J1151" s="8" t="n">
        <v>36.34</v>
      </c>
      <c r="K1151" s="8" t="n"/>
      <c r="L1151" s="8" t="n"/>
      <c r="M1151" s="8" t="n"/>
      <c r="N1151" s="8" t="n"/>
      <c r="O1151" s="8" t="n"/>
      <c r="P1151" s="8" t="n"/>
      <c r="Q1151" s="8" t="n"/>
      <c r="R1151" s="8" t="n"/>
      <c r="S1151" s="8" t="n"/>
      <c r="T1151" s="7" t="inlineStr">
        <is>
          <t>SEM COTAÇÃO</t>
        </is>
      </c>
      <c r="U1151" s="8" t="n"/>
      <c r="V1151" s="14" t="n"/>
      <c r="W1151" s="14" t="n"/>
      <c r="X1151" s="7" t="inlineStr"/>
      <c r="Y1151" s="7" t="inlineStr"/>
    </row>
    <row r="1152">
      <c r="A1152" s="7" t="n">
        <v>630451</v>
      </c>
      <c r="B1152" s="12" t="inlineStr">
        <is>
          <t>7896311708314</t>
        </is>
      </c>
      <c r="C1152" s="7" t="inlineStr">
        <is>
          <t>CREATINA INTEGRALMEDICA HARDCORE RELOAD 300G</t>
        </is>
      </c>
      <c r="D1152" s="7" t="inlineStr">
        <is>
          <t>SUPLEMENTO</t>
        </is>
      </c>
      <c r="E1152" s="7" t="inlineStr">
        <is>
          <t>A</t>
        </is>
      </c>
      <c r="F1152" s="13" t="n">
        <v>30</v>
      </c>
      <c r="G1152" s="13" t="n">
        <v>30</v>
      </c>
      <c r="H1152" s="8" t="n">
        <v>46.54</v>
      </c>
      <c r="I1152" s="8" t="n">
        <v>36.1</v>
      </c>
      <c r="J1152" s="8" t="n">
        <v>39.58000000000001</v>
      </c>
      <c r="K1152" s="8" t="n"/>
      <c r="L1152" s="8" t="n"/>
      <c r="M1152" s="8" t="n"/>
      <c r="N1152" s="8" t="n"/>
      <c r="O1152" s="8" t="n"/>
      <c r="P1152" s="8" t="n"/>
      <c r="Q1152" s="8" t="n"/>
      <c r="R1152" s="8" t="n"/>
      <c r="S1152" s="15" t="n">
        <v>46</v>
      </c>
      <c r="T1152" s="7" t="inlineStr">
        <is>
          <t>AT_SUPLEMENTOS</t>
        </is>
      </c>
      <c r="U1152" s="8" t="n">
        <v>46</v>
      </c>
      <c r="V1152" s="14">
        <f>U1152/J1152-1</f>
        <v/>
      </c>
      <c r="W1152" s="14">
        <f>U1152/H1152-1</f>
        <v/>
      </c>
      <c r="X1152" s="17" t="inlineStr">
        <is>
          <t>OK (≤ últ. compra)</t>
        </is>
      </c>
      <c r="Y1152" s="7" t="inlineStr"/>
    </row>
    <row r="1153">
      <c r="A1153" s="7" t="n">
        <v>597701</v>
      </c>
      <c r="B1153" s="12" t="inlineStr">
        <is>
          <t>7896311763498</t>
        </is>
      </c>
      <c r="C1153" s="7" t="inlineStr">
        <is>
          <t>CREATINA INTEGRALMEDICA PT 150G</t>
        </is>
      </c>
      <c r="D1153" s="7" t="inlineStr">
        <is>
          <t>SUPLEMENTO</t>
        </is>
      </c>
      <c r="E1153" s="7" t="inlineStr">
        <is>
          <t>A</t>
        </is>
      </c>
      <c r="F1153" s="13" t="n">
        <v>17</v>
      </c>
      <c r="G1153" s="13" t="n">
        <v>17</v>
      </c>
      <c r="H1153" s="8" t="n">
        <v>28.42</v>
      </c>
      <c r="I1153" s="8" t="n">
        <v>17.59</v>
      </c>
      <c r="J1153" s="8" t="n">
        <v>21.2</v>
      </c>
      <c r="K1153" s="8" t="n"/>
      <c r="L1153" s="8" t="n"/>
      <c r="M1153" s="8" t="n"/>
      <c r="N1153" s="8" t="n"/>
      <c r="O1153" s="8" t="n"/>
      <c r="P1153" s="8" t="n"/>
      <c r="Q1153" s="8" t="n"/>
      <c r="R1153" s="8" t="n"/>
      <c r="S1153" s="15" t="n">
        <v>28</v>
      </c>
      <c r="T1153" s="7" t="inlineStr">
        <is>
          <t>AT_SUPLEMENTOS</t>
        </is>
      </c>
      <c r="U1153" s="8" t="n">
        <v>28</v>
      </c>
      <c r="V1153" s="14">
        <f>U1153/J1153-1</f>
        <v/>
      </c>
      <c r="W1153" s="14">
        <f>U1153/H1153-1</f>
        <v/>
      </c>
      <c r="X1153" s="17" t="inlineStr">
        <is>
          <t>OK (≤ últ. compra)</t>
        </is>
      </c>
      <c r="Y1153" s="7" t="inlineStr"/>
    </row>
    <row r="1154">
      <c r="A1154" s="7" t="n">
        <v>643371</v>
      </c>
      <c r="B1154" s="12" t="inlineStr">
        <is>
          <t>7898963783992</t>
        </is>
      </c>
      <c r="C1154" s="7" t="inlineStr">
        <is>
          <t>CREATINA PLUS CANIBALINC 150G</t>
        </is>
      </c>
      <c r="D1154" s="7" t="inlineStr">
        <is>
          <t>SUPLEMENTO</t>
        </is>
      </c>
      <c r="E1154" s="7" t="inlineStr">
        <is>
          <t>C</t>
        </is>
      </c>
      <c r="F1154" s="13" t="n">
        <v>1</v>
      </c>
      <c r="G1154" s="13" t="n">
        <v>1</v>
      </c>
      <c r="H1154" s="8" t="n">
        <v>20.81</v>
      </c>
      <c r="I1154" s="8" t="n">
        <v>20.81</v>
      </c>
      <c r="J1154" s="8" t="n">
        <v>20.81</v>
      </c>
      <c r="K1154" s="8" t="n"/>
      <c r="L1154" s="8" t="n"/>
      <c r="M1154" s="8" t="n"/>
      <c r="N1154" s="8" t="n"/>
      <c r="O1154" s="8" t="n"/>
      <c r="P1154" s="8" t="n"/>
      <c r="Q1154" s="8" t="n"/>
      <c r="R1154" s="8" t="n"/>
      <c r="S1154" s="8" t="n"/>
      <c r="T1154" s="7" t="inlineStr">
        <is>
          <t>SEM COTAÇÃO</t>
        </is>
      </c>
      <c r="U1154" s="8" t="n"/>
      <c r="V1154" s="14" t="n"/>
      <c r="W1154" s="14" t="n"/>
      <c r="X1154" s="7" t="inlineStr"/>
      <c r="Y1154" s="7" t="inlineStr"/>
    </row>
    <row r="1155">
      <c r="A1155" s="7" t="n">
        <v>653591</v>
      </c>
      <c r="B1155" s="12" t="inlineStr">
        <is>
          <t>7896438200906</t>
        </is>
      </c>
      <c r="C1155" s="7" t="inlineStr">
        <is>
          <t>CREATINA PROBIOTICA 300G</t>
        </is>
      </c>
      <c r="D1155" s="7" t="inlineStr">
        <is>
          <t>VITAMINA E SIMILARES</t>
        </is>
      </c>
      <c r="E1155" s="7" t="inlineStr">
        <is>
          <t>A</t>
        </is>
      </c>
      <c r="F1155" s="13" t="n">
        <v>4</v>
      </c>
      <c r="G1155" s="13" t="n">
        <v>4</v>
      </c>
      <c r="H1155" s="8" t="n">
        <v>40.37</v>
      </c>
      <c r="I1155" s="8" t="n">
        <v>40.37</v>
      </c>
      <c r="J1155" s="8" t="n">
        <v>40.37</v>
      </c>
      <c r="K1155" s="8" t="n"/>
      <c r="L1155" s="8" t="n"/>
      <c r="M1155" s="8" t="n"/>
      <c r="N1155" s="8" t="n"/>
      <c r="O1155" s="8" t="n"/>
      <c r="P1155" s="15" t="n">
        <v>40.37</v>
      </c>
      <c r="Q1155" s="8" t="n"/>
      <c r="R1155" s="8" t="n"/>
      <c r="S1155" s="8" t="n"/>
      <c r="T1155" s="7" t="inlineStr">
        <is>
          <t>NAZARIA</t>
        </is>
      </c>
      <c r="U1155" s="8" t="n">
        <v>40.37</v>
      </c>
      <c r="V1155" s="14">
        <f>U1155/J1155-1</f>
        <v/>
      </c>
      <c r="W1155" s="14">
        <f>U1155/H1155-1</f>
        <v/>
      </c>
      <c r="X1155" s="17" t="inlineStr">
        <is>
          <t>OK (≤ menor hist.)</t>
        </is>
      </c>
      <c r="Y1155" s="7" t="inlineStr"/>
    </row>
    <row r="1156">
      <c r="A1156" s="7" t="n">
        <v>672991</v>
      </c>
      <c r="B1156" s="12" t="inlineStr">
        <is>
          <t>7896311709083</t>
        </is>
      </c>
      <c r="C1156" s="7" t="inlineStr">
        <is>
          <t>CREATINA WHITE 60 CAPS</t>
        </is>
      </c>
      <c r="D1156" s="7" t="inlineStr">
        <is>
          <t>SUPLEMENTO</t>
        </is>
      </c>
      <c r="E1156" s="7" t="inlineStr">
        <is>
          <t>B</t>
        </is>
      </c>
      <c r="F1156" s="13" t="n">
        <v>4</v>
      </c>
      <c r="G1156" s="13" t="n">
        <v>4</v>
      </c>
      <c r="H1156" s="8" t="n">
        <v>21.78</v>
      </c>
      <c r="I1156" s="8" t="n">
        <v>16.28</v>
      </c>
      <c r="J1156" s="8" t="n">
        <v>18.16666666666667</v>
      </c>
      <c r="K1156" s="8" t="n"/>
      <c r="L1156" s="8" t="n"/>
      <c r="M1156" s="8" t="n"/>
      <c r="N1156" s="8" t="n"/>
      <c r="O1156" s="8" t="n"/>
      <c r="P1156" s="8" t="n"/>
      <c r="Q1156" s="8" t="n"/>
      <c r="R1156" s="8" t="n"/>
      <c r="S1156" s="15" t="n">
        <v>21</v>
      </c>
      <c r="T1156" s="7" t="inlineStr">
        <is>
          <t>AT_SUPLEMENTOS</t>
        </is>
      </c>
      <c r="U1156" s="8" t="n">
        <v>21</v>
      </c>
      <c r="V1156" s="14">
        <f>U1156/J1156-1</f>
        <v/>
      </c>
      <c r="W1156" s="14">
        <f>U1156/H1156-1</f>
        <v/>
      </c>
      <c r="X1156" s="17" t="inlineStr">
        <is>
          <t>OK (≤ últ. compra)</t>
        </is>
      </c>
      <c r="Y1156" s="7" t="inlineStr"/>
    </row>
    <row r="1157">
      <c r="A1157" s="7" t="n">
        <v>597721</v>
      </c>
      <c r="B1157" s="12" t="inlineStr">
        <is>
          <t>7898920041455</t>
        </is>
      </c>
      <c r="C1157" s="7" t="inlineStr">
        <is>
          <t>CREATINE MAX TITANIUM 150G</t>
        </is>
      </c>
      <c r="D1157" s="7" t="inlineStr">
        <is>
          <t>SUPLEMENTO</t>
        </is>
      </c>
      <c r="E1157" s="7" t="inlineStr">
        <is>
          <t>A</t>
        </is>
      </c>
      <c r="F1157" s="13" t="n">
        <v>24</v>
      </c>
      <c r="G1157" s="13" t="n">
        <v>24</v>
      </c>
      <c r="H1157" s="8" t="n">
        <v>27.35</v>
      </c>
      <c r="I1157" s="8" t="n">
        <v>27.35</v>
      </c>
      <c r="J1157" s="8" t="n">
        <v>27.35</v>
      </c>
      <c r="K1157" s="8" t="n"/>
      <c r="L1157" s="8" t="n"/>
      <c r="M1157" s="8" t="n"/>
      <c r="N1157" s="15" t="n">
        <v>28.79</v>
      </c>
      <c r="O1157" s="8" t="n"/>
      <c r="P1157" s="8" t="n">
        <v>33.46</v>
      </c>
      <c r="Q1157" s="8" t="n"/>
      <c r="R1157" s="8" t="n"/>
      <c r="S1157" s="8" t="n">
        <v>29</v>
      </c>
      <c r="T1157" s="7" t="inlineStr">
        <is>
          <t>CENTROFARMA</t>
        </is>
      </c>
      <c r="U1157" s="8" t="n">
        <v>28.79</v>
      </c>
      <c r="V1157" s="14">
        <f>U1157/J1157-1</f>
        <v/>
      </c>
      <c r="W1157" s="14">
        <f>U1157/H1157-1</f>
        <v/>
      </c>
      <c r="X1157" s="16" t="inlineStr">
        <is>
          <t>ACIMA +5.3%</t>
        </is>
      </c>
      <c r="Y1157" s="7" t="inlineStr"/>
    </row>
    <row r="1158">
      <c r="A1158" s="7" t="n">
        <v>597731</v>
      </c>
      <c r="B1158" s="12" t="inlineStr">
        <is>
          <t>7898708731394</t>
        </is>
      </c>
      <c r="C1158" s="7" t="inlineStr">
        <is>
          <t>CREATINE TURBO BLACKSKULL 150G</t>
        </is>
      </c>
      <c r="D1158" s="7" t="inlineStr">
        <is>
          <t>SUPLEMENTO</t>
        </is>
      </c>
      <c r="E1158" s="7" t="inlineStr">
        <is>
          <t>C</t>
        </is>
      </c>
      <c r="F1158" s="13" t="n">
        <v>4</v>
      </c>
      <c r="G1158" s="13" t="n">
        <v>4</v>
      </c>
      <c r="H1158" s="8" t="n">
        <v>36.15</v>
      </c>
      <c r="I1158" s="8" t="n">
        <v>36.15</v>
      </c>
      <c r="J1158" s="8" t="n">
        <v>36.15</v>
      </c>
      <c r="K1158" s="8" t="n"/>
      <c r="L1158" s="8" t="n"/>
      <c r="M1158" s="8" t="n"/>
      <c r="N1158" s="8" t="n"/>
      <c r="O1158" s="8" t="n"/>
      <c r="P1158" s="8" t="n"/>
      <c r="Q1158" s="8" t="n"/>
      <c r="R1158" s="8" t="n"/>
      <c r="S1158" s="15" t="n">
        <v>25</v>
      </c>
      <c r="T1158" s="7" t="inlineStr">
        <is>
          <t>AT_SUPLEMENTOS</t>
        </is>
      </c>
      <c r="U1158" s="8" t="n">
        <v>25</v>
      </c>
      <c r="V1158" s="14">
        <f>U1158/J1158-1</f>
        <v/>
      </c>
      <c r="W1158" s="14">
        <f>U1158/H1158-1</f>
        <v/>
      </c>
      <c r="X1158" s="17" t="inlineStr">
        <is>
          <t>OK (≤ menor hist.)</t>
        </is>
      </c>
      <c r="Y1158" s="7" t="inlineStr"/>
    </row>
    <row r="1159">
      <c r="A1159" s="7" t="n">
        <v>635311</v>
      </c>
      <c r="B1159" s="12" t="inlineStr">
        <is>
          <t>7898963783299</t>
        </is>
      </c>
      <c r="C1159" s="7" t="inlineStr">
        <is>
          <t>CREATINY CANIBALINC 1KG</t>
        </is>
      </c>
      <c r="D1159" s="7" t="inlineStr">
        <is>
          <t>SUPLEMENTO</t>
        </is>
      </c>
      <c r="E1159" s="7" t="inlineStr">
        <is>
          <t>B</t>
        </is>
      </c>
      <c r="F1159" s="13" t="n">
        <v>1</v>
      </c>
      <c r="G1159" s="13" t="n">
        <v>1</v>
      </c>
      <c r="H1159" s="8" t="n">
        <v>105.19</v>
      </c>
      <c r="I1159" s="8" t="n">
        <v>105.19</v>
      </c>
      <c r="J1159" s="8" t="n">
        <v>105.19</v>
      </c>
      <c r="K1159" s="8" t="n"/>
      <c r="L1159" s="8" t="n"/>
      <c r="M1159" s="8" t="n"/>
      <c r="N1159" s="8" t="n"/>
      <c r="O1159" s="8" t="n"/>
      <c r="P1159" s="8" t="n"/>
      <c r="Q1159" s="8" t="n"/>
      <c r="R1159" s="8" t="n"/>
      <c r="S1159" s="8" t="n"/>
      <c r="T1159" s="7" t="inlineStr">
        <is>
          <t>SEM COTAÇÃO</t>
        </is>
      </c>
      <c r="U1159" s="8" t="n"/>
      <c r="V1159" s="14" t="n"/>
      <c r="W1159" s="14" t="n"/>
      <c r="X1159" s="7" t="inlineStr"/>
      <c r="Y1159" s="7" t="inlineStr"/>
    </row>
    <row r="1160">
      <c r="A1160" s="7" t="n">
        <v>643361</v>
      </c>
      <c r="B1160" s="12" t="inlineStr">
        <is>
          <t>7898970844273</t>
        </is>
      </c>
      <c r="C1160" s="7" t="inlineStr">
        <is>
          <t>CREATINY CANIBALINC MONOHYDRATE 150G</t>
        </is>
      </c>
      <c r="D1160" s="7" t="inlineStr">
        <is>
          <t>SUPLEMENTO</t>
        </is>
      </c>
      <c r="E1160" s="7" t="inlineStr">
        <is>
          <t>C</t>
        </is>
      </c>
      <c r="F1160" s="13" t="n">
        <v>1</v>
      </c>
      <c r="G1160" s="13" t="n">
        <v>1</v>
      </c>
      <c r="H1160" s="8" t="n">
        <v>32.11</v>
      </c>
      <c r="I1160" s="8" t="n">
        <v>32.11</v>
      </c>
      <c r="J1160" s="8" t="n">
        <v>32.11</v>
      </c>
      <c r="K1160" s="8" t="n"/>
      <c r="L1160" s="8" t="n"/>
      <c r="M1160" s="8" t="n"/>
      <c r="N1160" s="8" t="n"/>
      <c r="O1160" s="8" t="n"/>
      <c r="P1160" s="8" t="n"/>
      <c r="Q1160" s="8" t="n"/>
      <c r="R1160" s="8" t="n"/>
      <c r="S1160" s="8" t="n"/>
      <c r="T1160" s="7" t="inlineStr">
        <is>
          <t>SEM COTAÇÃO</t>
        </is>
      </c>
      <c r="U1160" s="8" t="n"/>
      <c r="V1160" s="14" t="n"/>
      <c r="W1160" s="14" t="n"/>
      <c r="X1160" s="7" t="inlineStr"/>
      <c r="Y1160" s="7" t="inlineStr"/>
    </row>
    <row r="1161">
      <c r="A1161" s="7" t="n">
        <v>635321</v>
      </c>
      <c r="B1161" s="12" t="inlineStr">
        <is>
          <t>7898957433544</t>
        </is>
      </c>
      <c r="C1161" s="7" t="inlineStr">
        <is>
          <t>CREATINY MONOHYDRATE CANIBALINC 300G</t>
        </is>
      </c>
      <c r="D1161" s="7" t="inlineStr">
        <is>
          <t>SUPLEMENTO</t>
        </is>
      </c>
      <c r="E1161" s="7" t="inlineStr">
        <is>
          <t>A</t>
        </is>
      </c>
      <c r="F1161" s="13" t="n">
        <v>4</v>
      </c>
      <c r="G1161" s="13" t="n">
        <v>4</v>
      </c>
      <c r="H1161" s="8" t="n">
        <v>38.84</v>
      </c>
      <c r="I1161" s="8" t="n">
        <v>38.84</v>
      </c>
      <c r="J1161" s="8" t="n">
        <v>38.84</v>
      </c>
      <c r="K1161" s="8" t="n"/>
      <c r="L1161" s="8" t="n"/>
      <c r="M1161" s="8" t="n"/>
      <c r="N1161" s="8" t="n"/>
      <c r="O1161" s="8" t="n"/>
      <c r="P1161" s="8" t="n"/>
      <c r="Q1161" s="8" t="n"/>
      <c r="R1161" s="8" t="n"/>
      <c r="S1161" s="15" t="n">
        <v>38</v>
      </c>
      <c r="T1161" s="7" t="inlineStr">
        <is>
          <t>AT_SUPLEMENTOS</t>
        </is>
      </c>
      <c r="U1161" s="8" t="n">
        <v>38</v>
      </c>
      <c r="V1161" s="14">
        <f>U1161/J1161-1</f>
        <v/>
      </c>
      <c r="W1161" s="14">
        <f>U1161/H1161-1</f>
        <v/>
      </c>
      <c r="X1161" s="17" t="inlineStr">
        <is>
          <t>OK (≤ menor hist.)</t>
        </is>
      </c>
      <c r="Y1161" s="7" t="inlineStr"/>
    </row>
    <row r="1162">
      <c r="A1162" s="7" t="n">
        <v>652361</v>
      </c>
      <c r="B1162" s="12" t="inlineStr">
        <is>
          <t>7898670909203</t>
        </is>
      </c>
      <c r="C1162" s="7" t="inlineStr">
        <is>
          <t>CREME CORPO HIDRATANTE VITA C ACIDO HIALURONICO 250GR DERMACREAM</t>
        </is>
      </c>
      <c r="D1162" s="7" t="inlineStr">
        <is>
          <t>COND/SHAM/CREM/SIMILARES</t>
        </is>
      </c>
      <c r="E1162" s="7" t="inlineStr">
        <is>
          <t>C</t>
        </is>
      </c>
      <c r="F1162" s="13" t="n">
        <v>1</v>
      </c>
      <c r="G1162" s="13" t="n">
        <v>1</v>
      </c>
      <c r="H1162" s="8" t="n">
        <v>12.54</v>
      </c>
      <c r="I1162" s="8" t="n">
        <v>12.54</v>
      </c>
      <c r="J1162" s="8" t="n">
        <v>12.54</v>
      </c>
      <c r="K1162" s="8" t="n"/>
      <c r="L1162" s="8" t="n"/>
      <c r="M1162" s="8" t="n"/>
      <c r="N1162" s="8" t="n"/>
      <c r="O1162" s="8" t="n"/>
      <c r="P1162" s="8" t="n"/>
      <c r="Q1162" s="8" t="n"/>
      <c r="R1162" s="8" t="n"/>
      <c r="S1162" s="8" t="n"/>
      <c r="T1162" s="7" t="inlineStr">
        <is>
          <t>SEM COTAÇÃO</t>
        </is>
      </c>
      <c r="U1162" s="8" t="n"/>
      <c r="V1162" s="14" t="n"/>
      <c r="W1162" s="14" t="n"/>
      <c r="X1162" s="7" t="inlineStr"/>
      <c r="Y1162" s="7" t="inlineStr"/>
    </row>
    <row r="1163">
      <c r="A1163" s="7" t="n">
        <v>3383</v>
      </c>
      <c r="B1163" s="12" t="inlineStr">
        <is>
          <t>7898670909166</t>
        </is>
      </c>
      <c r="C1163" s="7" t="inlineStr">
        <is>
          <t>CREME CORPORAL ULTRA HIDRATANTE 10% UREIA 250G (REVIEW CARE)</t>
        </is>
      </c>
      <c r="D1163" s="7" t="inlineStr">
        <is>
          <t>SIMILAR</t>
        </is>
      </c>
      <c r="E1163" s="7" t="inlineStr">
        <is>
          <t>C</t>
        </is>
      </c>
      <c r="F1163" s="13" t="n">
        <v>1</v>
      </c>
      <c r="G1163" s="13" t="n">
        <v>1</v>
      </c>
      <c r="H1163" s="8" t="n">
        <v>15.93</v>
      </c>
      <c r="I1163" s="8" t="n">
        <v>15.93</v>
      </c>
      <c r="J1163" s="8" t="n">
        <v>15.93</v>
      </c>
      <c r="K1163" s="8" t="n"/>
      <c r="L1163" s="8" t="n"/>
      <c r="M1163" s="8" t="n"/>
      <c r="N1163" s="8" t="n"/>
      <c r="O1163" s="8" t="n"/>
      <c r="P1163" s="8" t="n"/>
      <c r="Q1163" s="8" t="n"/>
      <c r="R1163" s="8" t="n"/>
      <c r="S1163" s="8" t="n"/>
      <c r="T1163" s="7" t="inlineStr">
        <is>
          <t>SEM COTAÇÃO</t>
        </is>
      </c>
      <c r="U1163" s="8" t="n"/>
      <c r="V1163" s="14" t="n"/>
      <c r="W1163" s="14" t="n"/>
      <c r="X1163" s="7" t="inlineStr"/>
      <c r="Y1163" s="7" t="inlineStr"/>
    </row>
    <row r="1164">
      <c r="A1164" s="7" t="n">
        <v>643731</v>
      </c>
      <c r="B1164" s="12" t="inlineStr">
        <is>
          <t>7896013102472</t>
        </is>
      </c>
      <c r="C1164" s="7" t="inlineStr">
        <is>
          <t>CREME D EVEN FLUOR E CALCIO 70 GR</t>
        </is>
      </c>
      <c r="D1164" s="7" t="inlineStr">
        <is>
          <t>ORTODONTICO</t>
        </is>
      </c>
      <c r="E1164" s="7" t="inlineStr">
        <is>
          <t>C</t>
        </is>
      </c>
      <c r="F1164" s="13" t="n">
        <v>3</v>
      </c>
      <c r="G1164" s="13" t="n">
        <v>3</v>
      </c>
      <c r="H1164" s="8" t="n">
        <v>2.23</v>
      </c>
      <c r="I1164" s="8" t="n">
        <v>2.23</v>
      </c>
      <c r="J1164" s="8" t="n">
        <v>2.23</v>
      </c>
      <c r="K1164" s="8" t="n"/>
      <c r="L1164" s="8" t="n"/>
      <c r="M1164" s="8" t="n"/>
      <c r="N1164" s="8" t="n"/>
      <c r="O1164" s="8" t="n"/>
      <c r="P1164" s="8" t="n"/>
      <c r="Q1164" s="8" t="n"/>
      <c r="R1164" s="8" t="n"/>
      <c r="S1164" s="8" t="n"/>
      <c r="T1164" s="7" t="inlineStr">
        <is>
          <t>SEM COTAÇÃO</t>
        </is>
      </c>
      <c r="U1164" s="8" t="n"/>
      <c r="V1164" s="14" t="n"/>
      <c r="W1164" s="14" t="n"/>
      <c r="X1164" s="7" t="inlineStr"/>
      <c r="Y1164" s="7" t="inlineStr"/>
    </row>
    <row r="1165">
      <c r="A1165" s="7" t="n">
        <v>552281</v>
      </c>
      <c r="B1165" s="12" t="inlineStr">
        <is>
          <t>7896000716866</t>
        </is>
      </c>
      <c r="C1165" s="7" t="inlineStr">
        <is>
          <t>CREME DE PENTEAR NIELY OLEO DE ARGAN 250G</t>
        </is>
      </c>
      <c r="D1165" s="7" t="inlineStr">
        <is>
          <t>USO INTERNO</t>
        </is>
      </c>
      <c r="E1165" s="7" t="inlineStr">
        <is>
          <t>C</t>
        </is>
      </c>
      <c r="F1165" s="13" t="n">
        <v>1</v>
      </c>
      <c r="G1165" s="13" t="n">
        <v>1</v>
      </c>
      <c r="H1165" s="8" t="n">
        <v>6.82</v>
      </c>
      <c r="I1165" s="8" t="n">
        <v>6.82</v>
      </c>
      <c r="J1165" s="8" t="n">
        <v>6.82</v>
      </c>
      <c r="K1165" s="8" t="n"/>
      <c r="L1165" s="8" t="n"/>
      <c r="M1165" s="8" t="n"/>
      <c r="N1165" s="8" t="n"/>
      <c r="O1165" s="8" t="n"/>
      <c r="P1165" s="15" t="n">
        <v>8.08</v>
      </c>
      <c r="Q1165" s="8" t="n"/>
      <c r="R1165" s="8" t="n"/>
      <c r="S1165" s="8" t="n"/>
      <c r="T1165" s="7" t="inlineStr">
        <is>
          <t>NAZARIA</t>
        </is>
      </c>
      <c r="U1165" s="8" t="n">
        <v>8.08</v>
      </c>
      <c r="V1165" s="14">
        <f>U1165/J1165-1</f>
        <v/>
      </c>
      <c r="W1165" s="14">
        <f>U1165/H1165-1</f>
        <v/>
      </c>
      <c r="X1165" s="16" t="inlineStr">
        <is>
          <t>ACIMA +18.5%</t>
        </is>
      </c>
      <c r="Y1165" s="7" t="inlineStr"/>
    </row>
    <row r="1166">
      <c r="A1166" s="7" t="n">
        <v>576521</v>
      </c>
      <c r="B1166" s="12" t="inlineStr">
        <is>
          <t>7891037000322</t>
        </is>
      </c>
      <c r="C1166" s="7" t="inlineStr">
        <is>
          <t>CREME DE PENTEAR SEDA CACHOS DEFIN. 300ML</t>
        </is>
      </c>
      <c r="D1166" s="7" t="inlineStr">
        <is>
          <t>PERF/COSME</t>
        </is>
      </c>
      <c r="E1166" s="7" t="inlineStr">
        <is>
          <t>C</t>
        </is>
      </c>
      <c r="F1166" s="13" t="n">
        <v>1</v>
      </c>
      <c r="G1166" s="13" t="n">
        <v>1</v>
      </c>
      <c r="H1166" s="8" t="n">
        <v>9.550000000000001</v>
      </c>
      <c r="I1166" s="8" t="n">
        <v>9.550000000000001</v>
      </c>
      <c r="J1166" s="8" t="n">
        <v>9.550000000000001</v>
      </c>
      <c r="K1166" s="8" t="n"/>
      <c r="L1166" s="8" t="n"/>
      <c r="M1166" s="8" t="n"/>
      <c r="N1166" s="8" t="n"/>
      <c r="O1166" s="8" t="n"/>
      <c r="P1166" s="8" t="n"/>
      <c r="Q1166" s="8" t="n"/>
      <c r="R1166" s="8" t="n"/>
      <c r="S1166" s="8" t="n"/>
      <c r="T1166" s="7" t="inlineStr">
        <is>
          <t>SEM COTAÇÃO</t>
        </is>
      </c>
      <c r="U1166" s="8" t="n"/>
      <c r="V1166" s="14" t="n"/>
      <c r="W1166" s="14" t="n"/>
      <c r="X1166" s="7" t="inlineStr"/>
      <c r="Y1166" s="7" t="inlineStr"/>
    </row>
    <row r="1167">
      <c r="A1167" s="7" t="n">
        <v>563481</v>
      </c>
      <c r="B1167" s="12" t="inlineStr">
        <is>
          <t>7891024030820</t>
        </is>
      </c>
      <c r="C1167" s="7" t="inlineStr">
        <is>
          <t>CREME DENTAL COLGATE LUMINOUS WHITE - BRILLIANT 90G</t>
        </is>
      </c>
      <c r="D1167" s="7" t="inlineStr">
        <is>
          <t>PERF/COSME</t>
        </is>
      </c>
      <c r="E1167" s="7" t="inlineStr">
        <is>
          <t>B</t>
        </is>
      </c>
      <c r="F1167" s="13" t="n">
        <v>7</v>
      </c>
      <c r="G1167" s="13" t="n">
        <v>7</v>
      </c>
      <c r="H1167" s="8" t="n">
        <v>6.7421</v>
      </c>
      <c r="I1167" s="8" t="n">
        <v>5.5138</v>
      </c>
      <c r="J1167" s="8" t="n">
        <v>6.332666666666666</v>
      </c>
      <c r="K1167" s="8" t="n"/>
      <c r="L1167" s="8" t="n"/>
      <c r="M1167" s="8" t="n"/>
      <c r="N1167" s="8" t="n"/>
      <c r="O1167" s="8" t="n"/>
      <c r="P1167" s="15" t="n">
        <v>9.43</v>
      </c>
      <c r="Q1167" s="8" t="n"/>
      <c r="R1167" s="8" t="n"/>
      <c r="S1167" s="8" t="n"/>
      <c r="T1167" s="7" t="inlineStr">
        <is>
          <t>NAZARIA</t>
        </is>
      </c>
      <c r="U1167" s="8" t="n">
        <v>9.43</v>
      </c>
      <c r="V1167" s="14">
        <f>U1167/J1167-1</f>
        <v/>
      </c>
      <c r="W1167" s="14">
        <f>U1167/H1167-1</f>
        <v/>
      </c>
      <c r="X1167" s="16" t="inlineStr">
        <is>
          <t>ACIMA +39.9%</t>
        </is>
      </c>
      <c r="Y1167" s="7" t="inlineStr"/>
    </row>
    <row r="1168">
      <c r="A1168" s="7" t="n">
        <v>545961</v>
      </c>
      <c r="B1168" s="12" t="inlineStr">
        <is>
          <t>7793100111143</t>
        </is>
      </c>
      <c r="C1168" s="7" t="inlineStr">
        <is>
          <t>CREME DENTAL COLGATE TOTAL 12 CLEAN MINT 90G</t>
        </is>
      </c>
      <c r="D1168" s="7" t="inlineStr">
        <is>
          <t>PERF/COSME</t>
        </is>
      </c>
      <c r="E1168" s="7" t="inlineStr">
        <is>
          <t>C</t>
        </is>
      </c>
      <c r="F1168" s="13" t="n">
        <v>1</v>
      </c>
      <c r="G1168" s="13" t="n">
        <v>2</v>
      </c>
      <c r="H1168" s="8" t="n">
        <v>5.8967</v>
      </c>
      <c r="I1168" s="8" t="n">
        <v>5.8967</v>
      </c>
      <c r="J1168" s="8" t="n">
        <v>5.8967</v>
      </c>
      <c r="K1168" s="8" t="n"/>
      <c r="L1168" s="8" t="n"/>
      <c r="M1168" s="8" t="n"/>
      <c r="N1168" s="8" t="n"/>
      <c r="O1168" s="8" t="n"/>
      <c r="P1168" s="8" t="n"/>
      <c r="Q1168" s="8" t="n"/>
      <c r="R1168" s="8" t="n"/>
      <c r="S1168" s="8" t="n"/>
      <c r="T1168" s="7" t="inlineStr">
        <is>
          <t>SEM COTAÇÃO</t>
        </is>
      </c>
      <c r="U1168" s="8" t="n"/>
      <c r="V1168" s="14" t="n"/>
      <c r="W1168" s="14" t="n"/>
      <c r="X1168" s="7" t="inlineStr"/>
      <c r="Y1168" s="7" t="inlineStr"/>
    </row>
    <row r="1169">
      <c r="A1169" s="7" t="n">
        <v>536221</v>
      </c>
      <c r="B1169" s="12" t="inlineStr">
        <is>
          <t>7500435150248</t>
        </is>
      </c>
      <c r="C1169" s="7" t="inlineStr">
        <is>
          <t>CREME DENTAL COOL MINT ORAL-B EXTRA BRANCO CAIXA 70G</t>
        </is>
      </c>
      <c r="D1169" s="7" t="inlineStr">
        <is>
          <t>USO INTERNO</t>
        </is>
      </c>
      <c r="E1169" s="7" t="inlineStr">
        <is>
          <t>C</t>
        </is>
      </c>
      <c r="F1169" s="13" t="n">
        <v>3</v>
      </c>
      <c r="G1169" s="13" t="n">
        <v>3</v>
      </c>
      <c r="H1169" s="8" t="n">
        <v>4.36</v>
      </c>
      <c r="I1169" s="8" t="n">
        <v>4.36</v>
      </c>
      <c r="J1169" s="8" t="n">
        <v>4.36</v>
      </c>
      <c r="K1169" s="8" t="n"/>
      <c r="L1169" s="8" t="n"/>
      <c r="M1169" s="8" t="n"/>
      <c r="N1169" s="8" t="n"/>
      <c r="O1169" s="8" t="n"/>
      <c r="P1169" s="8" t="n"/>
      <c r="Q1169" s="8" t="n"/>
      <c r="R1169" s="8" t="n"/>
      <c r="S1169" s="8" t="n"/>
      <c r="T1169" s="7" t="inlineStr">
        <is>
          <t>SEM COTAÇÃO</t>
        </is>
      </c>
      <c r="U1169" s="8" t="n"/>
      <c r="V1169" s="14" t="n"/>
      <c r="W1169" s="14" t="n"/>
      <c r="X1169" s="7" t="inlineStr"/>
      <c r="Y1169" s="7" t="inlineStr"/>
    </row>
    <row r="1170">
      <c r="A1170" s="7" t="n">
        <v>667971</v>
      </c>
      <c r="B1170" s="12" t="inlineStr">
        <is>
          <t>7908324800173</t>
        </is>
      </c>
      <c r="C1170" s="7" t="inlineStr">
        <is>
          <t>CREME DENTAL DENTIL. KIDS BOB ESPONJA BUBLE GUM 12X50GRS REF2149</t>
        </is>
      </c>
      <c r="D1170" s="7" t="inlineStr">
        <is>
          <t>ORTODONTICO</t>
        </is>
      </c>
      <c r="E1170" s="7" t="inlineStr">
        <is>
          <t>C</t>
        </is>
      </c>
      <c r="F1170" s="13" t="n">
        <v>1</v>
      </c>
      <c r="G1170" s="13" t="n">
        <v>3</v>
      </c>
      <c r="H1170" s="8" t="n">
        <v>2.085</v>
      </c>
      <c r="I1170" s="8" t="n">
        <v>2.085</v>
      </c>
      <c r="J1170" s="8" t="n">
        <v>2.085</v>
      </c>
      <c r="K1170" s="8" t="n"/>
      <c r="L1170" s="8" t="n"/>
      <c r="M1170" s="8" t="n"/>
      <c r="N1170" s="8" t="n"/>
      <c r="O1170" s="8" t="n"/>
      <c r="P1170" s="8" t="n"/>
      <c r="Q1170" s="8" t="n"/>
      <c r="R1170" s="8" t="n"/>
      <c r="S1170" s="8" t="n"/>
      <c r="T1170" s="7" t="inlineStr">
        <is>
          <t>SEM COTAÇÃO</t>
        </is>
      </c>
      <c r="U1170" s="8" t="n"/>
      <c r="V1170" s="14" t="n"/>
      <c r="W1170" s="14" t="n"/>
      <c r="X1170" s="7" t="inlineStr"/>
      <c r="Y1170" s="7" t="inlineStr"/>
    </row>
    <row r="1171">
      <c r="A1171" s="7" t="n">
        <v>536641</v>
      </c>
      <c r="B1171" s="12" t="inlineStr">
        <is>
          <t>7896013108153</t>
        </is>
      </c>
      <c r="C1171" s="7" t="inlineStr">
        <is>
          <t>CREME DENTAL EVEN TRI CAIXA 70G</t>
        </is>
      </c>
      <c r="D1171" s="7" t="inlineStr">
        <is>
          <t>PERF/COSME</t>
        </is>
      </c>
      <c r="E1171" s="7" t="inlineStr">
        <is>
          <t>C</t>
        </is>
      </c>
      <c r="F1171" s="13" t="n">
        <v>1</v>
      </c>
      <c r="G1171" s="13" t="n">
        <v>1</v>
      </c>
      <c r="H1171" s="8" t="n">
        <v>2.0833</v>
      </c>
      <c r="I1171" s="8" t="n">
        <v>2.0833</v>
      </c>
      <c r="J1171" s="8" t="n">
        <v>2.0833</v>
      </c>
      <c r="K1171" s="8" t="n"/>
      <c r="L1171" s="8" t="n"/>
      <c r="M1171" s="8" t="n"/>
      <c r="N1171" s="8" t="n"/>
      <c r="O1171" s="8" t="n"/>
      <c r="P1171" s="8" t="n"/>
      <c r="Q1171" s="8" t="n"/>
      <c r="R1171" s="8" t="n"/>
      <c r="S1171" s="8" t="n"/>
      <c r="T1171" s="7" t="inlineStr">
        <is>
          <t>SEM COTAÇÃO</t>
        </is>
      </c>
      <c r="U1171" s="8" t="n"/>
      <c r="V1171" s="14" t="n"/>
      <c r="W1171" s="14" t="n"/>
      <c r="X1171" s="7" t="inlineStr"/>
      <c r="Y1171" s="7" t="inlineStr"/>
    </row>
    <row r="1172">
      <c r="A1172" s="7" t="n">
        <v>536981</v>
      </c>
      <c r="B1172" s="12" t="inlineStr">
        <is>
          <t>7891150078543</t>
        </is>
      </c>
      <c r="C1172" s="7" t="inlineStr">
        <is>
          <t>CREME DENTAL MENTA CLOSEUP ANTIBAC COM ZINCO CAIXA 70G</t>
        </is>
      </c>
      <c r="D1172" s="7" t="inlineStr">
        <is>
          <t>USO INTERNO</t>
        </is>
      </c>
      <c r="E1172" s="7" t="inlineStr">
        <is>
          <t>C</t>
        </is>
      </c>
      <c r="F1172" s="13" t="n">
        <v>1</v>
      </c>
      <c r="G1172" s="13" t="n">
        <v>1</v>
      </c>
      <c r="H1172" s="8" t="n"/>
      <c r="I1172" s="8" t="n"/>
      <c r="J1172" s="8" t="n"/>
      <c r="K1172" s="8" t="n"/>
      <c r="L1172" s="8" t="n"/>
      <c r="M1172" s="8" t="n"/>
      <c r="N1172" s="8" t="n"/>
      <c r="O1172" s="8" t="n"/>
      <c r="P1172" s="8" t="n">
        <v>4.27</v>
      </c>
      <c r="Q1172" s="8" t="n"/>
      <c r="R1172" s="8" t="n"/>
      <c r="S1172" s="8" t="n"/>
      <c r="T1172" s="7" t="inlineStr">
        <is>
          <t>SEM COTAÇÃO</t>
        </is>
      </c>
      <c r="U1172" s="8" t="n"/>
      <c r="V1172" s="14" t="n"/>
      <c r="W1172" s="14" t="n"/>
      <c r="X1172" s="7" t="inlineStr"/>
      <c r="Y1172" s="7" t="inlineStr">
        <is>
          <t>NAZARIA: sem estoque</t>
        </is>
      </c>
    </row>
    <row r="1173">
      <c r="A1173" s="7" t="n">
        <v>536961</v>
      </c>
      <c r="B1173" s="12" t="inlineStr">
        <is>
          <t>7891150049895</t>
        </is>
      </c>
      <c r="C1173" s="7" t="inlineStr">
        <is>
          <t>CREME DENTAL MENTA CLOSEUP TRIPLE CAIXA 70G</t>
        </is>
      </c>
      <c r="D1173" s="7" t="inlineStr">
        <is>
          <t>ORTODONTICO</t>
        </is>
      </c>
      <c r="E1173" s="7" t="inlineStr">
        <is>
          <t>C</t>
        </is>
      </c>
      <c r="F1173" s="13" t="n">
        <v>7</v>
      </c>
      <c r="G1173" s="13" t="n">
        <v>7</v>
      </c>
      <c r="H1173" s="8" t="n">
        <v>2.43</v>
      </c>
      <c r="I1173" s="8" t="n">
        <v>2.43</v>
      </c>
      <c r="J1173" s="8" t="n">
        <v>2.43</v>
      </c>
      <c r="K1173" s="8" t="n"/>
      <c r="L1173" s="8" t="n"/>
      <c r="M1173" s="8" t="n"/>
      <c r="N1173" s="8" t="n"/>
      <c r="O1173" s="8" t="n"/>
      <c r="P1173" s="15" t="n">
        <v>2.57</v>
      </c>
      <c r="Q1173" s="8" t="n"/>
      <c r="R1173" s="8" t="n"/>
      <c r="S1173" s="8" t="n"/>
      <c r="T1173" s="7" t="inlineStr">
        <is>
          <t>NAZARIA</t>
        </is>
      </c>
      <c r="U1173" s="8" t="n">
        <v>2.57</v>
      </c>
      <c r="V1173" s="14">
        <f>U1173/J1173-1</f>
        <v/>
      </c>
      <c r="W1173" s="14">
        <f>U1173/H1173-1</f>
        <v/>
      </c>
      <c r="X1173" s="16" t="inlineStr">
        <is>
          <t>ACIMA +5.8%</t>
        </is>
      </c>
      <c r="Y1173" s="7" t="inlineStr"/>
    </row>
    <row r="1174">
      <c r="A1174" s="7" t="n">
        <v>652371</v>
      </c>
      <c r="B1174" s="12" t="inlineStr">
        <is>
          <t>7898670909234</t>
        </is>
      </c>
      <c r="C1174" s="7" t="inlineStr">
        <is>
          <t>CREME HIDRAT ROSA MOSQUETA A. BRANCA 250GR DERMACREAM</t>
        </is>
      </c>
      <c r="D1174" s="7" t="inlineStr">
        <is>
          <t>COND/SHAM/CREM/SIMILARES</t>
        </is>
      </c>
      <c r="E1174" s="7" t="inlineStr">
        <is>
          <t>C</t>
        </is>
      </c>
      <c r="F1174" s="13" t="n">
        <v>1</v>
      </c>
      <c r="G1174" s="13" t="n">
        <v>1</v>
      </c>
      <c r="H1174" s="8" t="n">
        <v>12.54</v>
      </c>
      <c r="I1174" s="8" t="n">
        <v>12.54</v>
      </c>
      <c r="J1174" s="8" t="n">
        <v>12.54</v>
      </c>
      <c r="K1174" s="8" t="n"/>
      <c r="L1174" s="8" t="n"/>
      <c r="M1174" s="8" t="n"/>
      <c r="N1174" s="8" t="n"/>
      <c r="O1174" s="8" t="n"/>
      <c r="P1174" s="8" t="n"/>
      <c r="Q1174" s="8" t="n"/>
      <c r="R1174" s="8" t="n"/>
      <c r="S1174" s="8" t="n"/>
      <c r="T1174" s="7" t="inlineStr">
        <is>
          <t>SEM COTAÇÃO</t>
        </is>
      </c>
      <c r="U1174" s="8" t="n"/>
      <c r="V1174" s="14" t="n"/>
      <c r="W1174" s="14" t="n"/>
      <c r="X1174" s="7" t="inlineStr"/>
      <c r="Y1174" s="7" t="inlineStr"/>
    </row>
    <row r="1175">
      <c r="A1175" s="7" t="n">
        <v>666311</v>
      </c>
      <c r="B1175" s="12" t="inlineStr">
        <is>
          <t>070341368732</t>
        </is>
      </c>
      <c r="C1175" s="7" t="inlineStr">
        <is>
          <t>CREME HIDRATANTE 5% MANTEIGA DE KARITE + 5% GLICERINA + 2% NIACINAMIDA PRINCIPIA SKINCARE CH-01 COM</t>
        </is>
      </c>
      <c r="D1175" s="7" t="inlineStr">
        <is>
          <t>RX - DERMO</t>
        </is>
      </c>
      <c r="E1175" s="7" t="inlineStr">
        <is>
          <t>C</t>
        </is>
      </c>
      <c r="F1175" s="13" t="n">
        <v>1</v>
      </c>
      <c r="G1175" s="13" t="n">
        <v>1</v>
      </c>
      <c r="H1175" s="8" t="n">
        <v>27.3</v>
      </c>
      <c r="I1175" s="8" t="n">
        <v>27.3</v>
      </c>
      <c r="J1175" s="8" t="n">
        <v>27.3</v>
      </c>
      <c r="K1175" s="8" t="n"/>
      <c r="L1175" s="8" t="n"/>
      <c r="M1175" s="8" t="n"/>
      <c r="N1175" s="8" t="n"/>
      <c r="O1175" s="8" t="n"/>
      <c r="P1175" s="15" t="n">
        <v>32.51</v>
      </c>
      <c r="Q1175" s="8" t="n"/>
      <c r="R1175" s="8" t="n"/>
      <c r="S1175" s="8" t="n"/>
      <c r="T1175" s="7" t="inlineStr">
        <is>
          <t>NAZARIA</t>
        </is>
      </c>
      <c r="U1175" s="8" t="n">
        <v>32.51</v>
      </c>
      <c r="V1175" s="14">
        <f>U1175/J1175-1</f>
        <v/>
      </c>
      <c r="W1175" s="14">
        <f>U1175/H1175-1</f>
        <v/>
      </c>
      <c r="X1175" s="16" t="inlineStr">
        <is>
          <t>ACIMA +19.1%</t>
        </is>
      </c>
      <c r="Y1175" s="7" t="inlineStr"/>
    </row>
    <row r="1176">
      <c r="A1176" s="7" t="n">
        <v>612751</v>
      </c>
      <c r="B1176" s="12" t="inlineStr">
        <is>
          <t>7898623956773</t>
        </is>
      </c>
      <c r="C1176" s="7" t="inlineStr">
        <is>
          <t>CREME P/ PENTEAR MEU LISINHO KIDS FRUTAS 06X250ML</t>
        </is>
      </c>
      <c r="D1176" s="7" t="inlineStr">
        <is>
          <t>PERF/COSME</t>
        </is>
      </c>
      <c r="E1176" s="7" t="inlineStr">
        <is>
          <t>B</t>
        </is>
      </c>
      <c r="F1176" s="13" t="n">
        <v>3</v>
      </c>
      <c r="G1176" s="13" t="n">
        <v>3</v>
      </c>
      <c r="H1176" s="8" t="n">
        <v>9.01</v>
      </c>
      <c r="I1176" s="8" t="n">
        <v>9.01</v>
      </c>
      <c r="J1176" s="8" t="n">
        <v>9.01</v>
      </c>
      <c r="K1176" s="8" t="n"/>
      <c r="L1176" s="8" t="n"/>
      <c r="M1176" s="8" t="n"/>
      <c r="N1176" s="8" t="n"/>
      <c r="O1176" s="8" t="n"/>
      <c r="P1176" s="8" t="n"/>
      <c r="Q1176" s="8" t="n"/>
      <c r="R1176" s="8" t="n"/>
      <c r="S1176" s="8" t="n"/>
      <c r="T1176" s="7" t="inlineStr">
        <is>
          <t>SEM COTAÇÃO</t>
        </is>
      </c>
      <c r="U1176" s="8" t="n"/>
      <c r="V1176" s="14" t="n"/>
      <c r="W1176" s="14" t="n"/>
      <c r="X1176" s="7" t="inlineStr"/>
      <c r="Y1176" s="7" t="inlineStr"/>
    </row>
    <row r="1177">
      <c r="A1177" s="7" t="n">
        <v>612741</v>
      </c>
      <c r="B1177" s="12" t="inlineStr">
        <is>
          <t>7898623952676</t>
        </is>
      </c>
      <c r="C1177" s="7" t="inlineStr">
        <is>
          <t>CREME P/ PENTEAR SOS OLEO DE MANGA 300ML</t>
        </is>
      </c>
      <c r="D1177" s="7" t="inlineStr">
        <is>
          <t>PERF/COSME</t>
        </is>
      </c>
      <c r="E1177" s="7" t="inlineStr">
        <is>
          <t>B</t>
        </is>
      </c>
      <c r="F1177" s="13" t="n">
        <v>1</v>
      </c>
      <c r="G1177" s="13" t="n">
        <v>1</v>
      </c>
      <c r="H1177" s="8" t="n">
        <v>14.52</v>
      </c>
      <c r="I1177" s="8" t="n">
        <v>13.26</v>
      </c>
      <c r="J1177" s="8" t="n">
        <v>14.1</v>
      </c>
      <c r="K1177" s="8" t="n"/>
      <c r="L1177" s="8" t="n"/>
      <c r="M1177" s="8" t="n"/>
      <c r="N1177" s="8" t="n"/>
      <c r="O1177" s="8" t="n"/>
      <c r="P1177" s="8" t="n"/>
      <c r="Q1177" s="8" t="n"/>
      <c r="R1177" s="8" t="n"/>
      <c r="S1177" s="8" t="n"/>
      <c r="T1177" s="7" t="inlineStr">
        <is>
          <t>SEM COTAÇÃO</t>
        </is>
      </c>
      <c r="U1177" s="8" t="n"/>
      <c r="V1177" s="14" t="n"/>
      <c r="W1177" s="14" t="n"/>
      <c r="X1177" s="7" t="inlineStr"/>
      <c r="Y1177" s="7" t="inlineStr"/>
    </row>
    <row r="1178">
      <c r="A1178" s="7" t="n">
        <v>612731</v>
      </c>
      <c r="B1178" s="12" t="inlineStr">
        <is>
          <t>7908458313082</t>
        </is>
      </c>
      <c r="C1178" s="7" t="inlineStr">
        <is>
          <t>CREME P/PENTEAR SOS CACHOS A.HIALURONICO 06X300ML</t>
        </is>
      </c>
      <c r="D1178" s="7" t="inlineStr">
        <is>
          <t>PERF/COSME</t>
        </is>
      </c>
      <c r="E1178" s="7" t="inlineStr">
        <is>
          <t>C</t>
        </is>
      </c>
      <c r="F1178" s="13" t="n">
        <v>1</v>
      </c>
      <c r="G1178" s="13" t="n">
        <v>1</v>
      </c>
      <c r="H1178" s="8" t="n">
        <v>13.17</v>
      </c>
      <c r="I1178" s="8" t="n">
        <v>13.17</v>
      </c>
      <c r="J1178" s="8" t="n">
        <v>13.17</v>
      </c>
      <c r="K1178" s="8" t="n"/>
      <c r="L1178" s="8" t="n"/>
      <c r="M1178" s="8" t="n"/>
      <c r="N1178" s="8" t="n"/>
      <c r="O1178" s="8" t="n"/>
      <c r="P1178" s="8" t="n"/>
      <c r="Q1178" s="8" t="n"/>
      <c r="R1178" s="8" t="n"/>
      <c r="S1178" s="8" t="n"/>
      <c r="T1178" s="7" t="inlineStr">
        <is>
          <t>SEM COTAÇÃO</t>
        </is>
      </c>
      <c r="U1178" s="8" t="n"/>
      <c r="V1178" s="14" t="n"/>
      <c r="W1178" s="14" t="n"/>
      <c r="X1178" s="7" t="inlineStr"/>
      <c r="Y1178" s="7" t="inlineStr"/>
    </row>
    <row r="1179">
      <c r="A1179" s="7" t="n">
        <v>545601</v>
      </c>
      <c r="B1179" s="12" t="inlineStr">
        <is>
          <t>7896000722522</t>
        </is>
      </c>
      <c r="C1179" s="7" t="inlineStr">
        <is>
          <t>CREME PARA PENTEAR OLEO DE COCO 280G</t>
        </is>
      </c>
      <c r="D1179" s="7" t="inlineStr">
        <is>
          <t>PERF/COSME</t>
        </is>
      </c>
      <c r="E1179" s="7" t="inlineStr">
        <is>
          <t>C</t>
        </is>
      </c>
      <c r="F1179" s="13" t="n">
        <v>1</v>
      </c>
      <c r="G1179" s="13" t="n">
        <v>1</v>
      </c>
      <c r="H1179" s="8" t="n">
        <v>6.86</v>
      </c>
      <c r="I1179" s="8" t="n">
        <v>6.86</v>
      </c>
      <c r="J1179" s="8" t="n">
        <v>6.86</v>
      </c>
      <c r="K1179" s="8" t="n"/>
      <c r="L1179" s="8" t="n"/>
      <c r="M1179" s="8" t="n"/>
      <c r="N1179" s="8" t="n"/>
      <c r="O1179" s="8" t="n"/>
      <c r="P1179" s="15" t="n">
        <v>8.08</v>
      </c>
      <c r="Q1179" s="8" t="n"/>
      <c r="R1179" s="8" t="n"/>
      <c r="S1179" s="8" t="n"/>
      <c r="T1179" s="7" t="inlineStr">
        <is>
          <t>NAZARIA</t>
        </is>
      </c>
      <c r="U1179" s="8" t="n">
        <v>8.08</v>
      </c>
      <c r="V1179" s="14">
        <f>U1179/J1179-1</f>
        <v/>
      </c>
      <c r="W1179" s="14">
        <f>U1179/H1179-1</f>
        <v/>
      </c>
      <c r="X1179" s="16" t="inlineStr">
        <is>
          <t>ACIMA +17.8%</t>
        </is>
      </c>
      <c r="Y1179" s="7" t="inlineStr"/>
    </row>
    <row r="1180">
      <c r="A1180" s="7" t="n">
        <v>576541</v>
      </c>
      <c r="B1180" s="12" t="inlineStr">
        <is>
          <t>7891037144705</t>
        </is>
      </c>
      <c r="C1180" s="7" t="inlineStr">
        <is>
          <t>CREME PARA PENTEAR SEDA CERAMIDAS 300ML</t>
        </is>
      </c>
      <c r="D1180" s="7" t="inlineStr">
        <is>
          <t>PERF/COSME</t>
        </is>
      </c>
      <c r="E1180" s="7" t="inlineStr">
        <is>
          <t>C</t>
        </is>
      </c>
      <c r="F1180" s="13" t="n">
        <v>4</v>
      </c>
      <c r="G1180" s="13" t="n">
        <v>4</v>
      </c>
      <c r="H1180" s="8" t="n">
        <v>9.0733</v>
      </c>
      <c r="I1180" s="8" t="n">
        <v>7.1017</v>
      </c>
      <c r="J1180" s="8" t="n">
        <v>8.4161</v>
      </c>
      <c r="K1180" s="8" t="n"/>
      <c r="L1180" s="8" t="n"/>
      <c r="M1180" s="8" t="n"/>
      <c r="N1180" s="8" t="n"/>
      <c r="O1180" s="8" t="n"/>
      <c r="P1180" s="15" t="n">
        <v>9.65</v>
      </c>
      <c r="Q1180" s="8" t="n"/>
      <c r="R1180" s="8" t="n"/>
      <c r="S1180" s="8" t="n"/>
      <c r="T1180" s="7" t="inlineStr">
        <is>
          <t>NAZARIA</t>
        </is>
      </c>
      <c r="U1180" s="8" t="n">
        <v>9.65</v>
      </c>
      <c r="V1180" s="14">
        <f>U1180/J1180-1</f>
        <v/>
      </c>
      <c r="W1180" s="14">
        <f>U1180/H1180-1</f>
        <v/>
      </c>
      <c r="X1180" s="16" t="inlineStr">
        <is>
          <t>ACIMA +6.4%</t>
        </is>
      </c>
      <c r="Y1180" s="7" t="inlineStr"/>
    </row>
    <row r="1181">
      <c r="A1181" s="7" t="n">
        <v>548841</v>
      </c>
      <c r="B1181" s="12" t="inlineStr">
        <is>
          <t>7891150027541</t>
        </is>
      </c>
      <c r="C1181" s="7" t="inlineStr">
        <is>
          <t>CREME PARA PENTEAR SEDA CRESPO FORCE BY GABI OLIVEIRA FRASCO 300ML</t>
        </is>
      </c>
      <c r="D1181" s="7" t="inlineStr">
        <is>
          <t>COND/SHAM/CREM/SIMILARES</t>
        </is>
      </c>
      <c r="E1181" s="7" t="inlineStr">
        <is>
          <t>C</t>
        </is>
      </c>
      <c r="F1181" s="13" t="n">
        <v>1</v>
      </c>
      <c r="G1181" s="13" t="n">
        <v>1</v>
      </c>
      <c r="H1181" s="8" t="n">
        <v>7.82</v>
      </c>
      <c r="I1181" s="8" t="n">
        <v>7.82</v>
      </c>
      <c r="J1181" s="8" t="n">
        <v>7.82</v>
      </c>
      <c r="K1181" s="8" t="n"/>
      <c r="L1181" s="8" t="n"/>
      <c r="M1181" s="8" t="n"/>
      <c r="N1181" s="8" t="n"/>
      <c r="O1181" s="8" t="n"/>
      <c r="P1181" s="8" t="n"/>
      <c r="Q1181" s="8" t="n"/>
      <c r="R1181" s="8" t="n"/>
      <c r="S1181" s="8" t="n"/>
      <c r="T1181" s="7" t="inlineStr">
        <is>
          <t>SEM COTAÇÃO</t>
        </is>
      </c>
      <c r="U1181" s="8" t="n"/>
      <c r="V1181" s="14" t="n"/>
      <c r="W1181" s="14" t="n"/>
      <c r="X1181" s="7" t="inlineStr"/>
      <c r="Y1181" s="7" t="inlineStr"/>
    </row>
    <row r="1182">
      <c r="A1182" s="7" t="n">
        <v>535281</v>
      </c>
      <c r="B1182" s="12" t="inlineStr">
        <is>
          <t>7897042007226</t>
        </is>
      </c>
      <c r="C1182" s="7" t="inlineStr">
        <is>
          <t>CREME SKALA DIVINO POTINHO KIDS 1KG</t>
        </is>
      </c>
      <c r="D1182" s="7" t="inlineStr">
        <is>
          <t>PERF/COSME</t>
        </is>
      </c>
      <c r="E1182" s="7" t="inlineStr">
        <is>
          <t>C</t>
        </is>
      </c>
      <c r="F1182" s="13" t="n">
        <v>2</v>
      </c>
      <c r="G1182" s="13" t="n">
        <v>2</v>
      </c>
      <c r="H1182" s="8" t="n">
        <v>9.289999999999999</v>
      </c>
      <c r="I1182" s="8" t="n">
        <v>9.289999999999999</v>
      </c>
      <c r="J1182" s="8" t="n">
        <v>9.289999999999999</v>
      </c>
      <c r="K1182" s="8" t="n"/>
      <c r="L1182" s="8" t="n"/>
      <c r="M1182" s="8" t="n"/>
      <c r="N1182" s="8" t="n"/>
      <c r="O1182" s="8" t="n"/>
      <c r="P1182" s="8" t="n"/>
      <c r="Q1182" s="8" t="n"/>
      <c r="R1182" s="8" t="n"/>
      <c r="S1182" s="8" t="n"/>
      <c r="T1182" s="7" t="inlineStr">
        <is>
          <t>SEM COTAÇÃO</t>
        </is>
      </c>
      <c r="U1182" s="8" t="n"/>
      <c r="V1182" s="14" t="n"/>
      <c r="W1182" s="14" t="n"/>
      <c r="X1182" s="7" t="inlineStr"/>
      <c r="Y1182" s="7" t="inlineStr"/>
    </row>
    <row r="1183">
      <c r="A1183" s="7" t="n">
        <v>552741</v>
      </c>
      <c r="B1183" s="12" t="inlineStr"/>
      <c r="C1183" s="7" t="inlineStr">
        <is>
          <t>CREME TRATAMENTO SKALA 1KG SOS TUTANO UNIT</t>
        </is>
      </c>
      <c r="D1183" s="7" t="inlineStr">
        <is>
          <t>PERF/COSME</t>
        </is>
      </c>
      <c r="E1183" s="7" t="inlineStr">
        <is>
          <t>C</t>
        </is>
      </c>
      <c r="F1183" s="13" t="n">
        <v>1</v>
      </c>
      <c r="G1183" s="13" t="n">
        <v>1</v>
      </c>
      <c r="H1183" s="8" t="n"/>
      <c r="I1183" s="8" t="n"/>
      <c r="J1183" s="8" t="n"/>
      <c r="K1183" s="8" t="n"/>
      <c r="L1183" s="8" t="n"/>
      <c r="M1183" s="8" t="n"/>
      <c r="N1183" s="8" t="n"/>
      <c r="O1183" s="8" t="n"/>
      <c r="P1183" s="8" t="n"/>
      <c r="Q1183" s="8" t="n"/>
      <c r="R1183" s="8" t="n"/>
      <c r="S1183" s="8" t="n"/>
      <c r="T1183" s="7" t="inlineStr">
        <is>
          <t>SEM COTAÇÃO</t>
        </is>
      </c>
      <c r="U1183" s="8" t="n"/>
      <c r="V1183" s="14" t="n"/>
      <c r="W1183" s="14" t="n"/>
      <c r="X1183" s="7" t="inlineStr"/>
      <c r="Y1183" s="7" t="inlineStr"/>
    </row>
    <row r="1184">
      <c r="A1184" s="7" t="n">
        <v>413841</v>
      </c>
      <c r="B1184" s="12" t="inlineStr">
        <is>
          <t>7896070600249</t>
        </is>
      </c>
      <c r="C1184" s="7" t="inlineStr">
        <is>
          <t>CREMEFENERGAN 20MG/G CREM DERM BG 30G</t>
        </is>
      </c>
      <c r="D1184" s="7" t="inlineStr">
        <is>
          <t>RX</t>
        </is>
      </c>
      <c r="E1184" s="7" t="inlineStr">
        <is>
          <t>C</t>
        </is>
      </c>
      <c r="F1184" s="13" t="n">
        <v>1</v>
      </c>
      <c r="G1184" s="13" t="n">
        <v>1</v>
      </c>
      <c r="H1184" s="8" t="n">
        <v>19.0733</v>
      </c>
      <c r="I1184" s="8" t="n">
        <v>19.0733</v>
      </c>
      <c r="J1184" s="8" t="n">
        <v>19.0733</v>
      </c>
      <c r="K1184" s="8" t="n"/>
      <c r="L1184" s="8" t="n"/>
      <c r="M1184" s="8" t="n"/>
      <c r="N1184" s="8" t="n"/>
      <c r="O1184" s="8" t="n"/>
      <c r="P1184" s="8" t="n"/>
      <c r="Q1184" s="8" t="n"/>
      <c r="R1184" s="8" t="n"/>
      <c r="S1184" s="8" t="n"/>
      <c r="T1184" s="7" t="inlineStr">
        <is>
          <t>SEM COTAÇÃO</t>
        </is>
      </c>
      <c r="U1184" s="8" t="n"/>
      <c r="V1184" s="14" t="n"/>
      <c r="W1184" s="14" t="n"/>
      <c r="X1184" s="7" t="inlineStr"/>
      <c r="Y1184" s="7" t="inlineStr"/>
    </row>
    <row r="1185">
      <c r="A1185" s="7" t="n">
        <v>463461</v>
      </c>
      <c r="B1185" s="12" t="inlineStr">
        <is>
          <t>7891317136468</t>
        </is>
      </c>
      <c r="C1185" s="7" t="inlineStr">
        <is>
          <t>CREVAGIN 30+20MG CREM VAG BG X 40G +7APLIC</t>
        </is>
      </c>
      <c r="D1185" s="7" t="inlineStr">
        <is>
          <t>RX - SIMILAR - ATB</t>
        </is>
      </c>
      <c r="E1185" s="7" t="inlineStr">
        <is>
          <t>A</t>
        </is>
      </c>
      <c r="F1185" s="13" t="n">
        <v>6</v>
      </c>
      <c r="G1185" s="13" t="n">
        <v>6</v>
      </c>
      <c r="H1185" s="8" t="n">
        <v>38.8</v>
      </c>
      <c r="I1185" s="8" t="n">
        <v>35.79</v>
      </c>
      <c r="J1185" s="8" t="n">
        <v>37.32443333333333</v>
      </c>
      <c r="K1185" s="8" t="n"/>
      <c r="L1185" s="8" t="n"/>
      <c r="M1185" s="8" t="n"/>
      <c r="N1185" s="8" t="n"/>
      <c r="O1185" s="15" t="n">
        <v>38.8</v>
      </c>
      <c r="P1185" s="8" t="n">
        <v>40.4544</v>
      </c>
      <c r="Q1185" s="8" t="n"/>
      <c r="R1185" s="8" t="n"/>
      <c r="S1185" s="8" t="n"/>
      <c r="T1185" s="7" t="inlineStr">
        <is>
          <t>TAPAJOS</t>
        </is>
      </c>
      <c r="U1185" s="8" t="n">
        <v>38.8</v>
      </c>
      <c r="V1185" s="14">
        <f>U1185/J1185-1</f>
        <v/>
      </c>
      <c r="W1185" s="14">
        <f>U1185/H1185-1</f>
        <v/>
      </c>
      <c r="X1185" s="17" t="inlineStr">
        <is>
          <t>OK (≤ últ. compra)</t>
        </is>
      </c>
      <c r="Y1185" s="7" t="inlineStr"/>
    </row>
    <row r="1186">
      <c r="A1186" s="7" t="n">
        <v>540641</v>
      </c>
      <c r="B1186" s="12" t="inlineStr">
        <is>
          <t>7891055538517</t>
        </is>
      </c>
      <c r="C1186" s="7" t="inlineStr">
        <is>
          <t>CRM DENGALINHA PINTADINHA MORANGO 50G</t>
        </is>
      </c>
      <c r="D1186" s="7" t="inlineStr">
        <is>
          <t>USO INTERNO</t>
        </is>
      </c>
      <c r="E1186" s="7" t="inlineStr">
        <is>
          <t>C</t>
        </is>
      </c>
      <c r="F1186" s="13" t="n">
        <v>1</v>
      </c>
      <c r="G1186" s="13" t="n">
        <v>1</v>
      </c>
      <c r="H1186" s="8" t="n">
        <v>7.35</v>
      </c>
      <c r="I1186" s="8" t="n">
        <v>7.35</v>
      </c>
      <c r="J1186" s="8" t="n">
        <v>7.349999999999999</v>
      </c>
      <c r="K1186" s="8" t="n"/>
      <c r="L1186" s="8" t="n"/>
      <c r="M1186" s="8" t="n"/>
      <c r="N1186" s="8" t="n"/>
      <c r="O1186" s="8" t="n"/>
      <c r="P1186" s="8" t="n"/>
      <c r="Q1186" s="8" t="n"/>
      <c r="R1186" s="8" t="n"/>
      <c r="S1186" s="8" t="n"/>
      <c r="T1186" s="7" t="inlineStr">
        <is>
          <t>SEM COTAÇÃO</t>
        </is>
      </c>
      <c r="U1186" s="8" t="n"/>
      <c r="V1186" s="14" t="n"/>
      <c r="W1186" s="14" t="n"/>
      <c r="X1186" s="7" t="inlineStr"/>
      <c r="Y1186" s="7" t="inlineStr"/>
    </row>
    <row r="1187">
      <c r="A1187" s="7" t="n">
        <v>474</v>
      </c>
      <c r="B1187" s="12" t="inlineStr">
        <is>
          <t>7891150063617</t>
        </is>
      </c>
      <c r="C1187" s="7" t="inlineStr">
        <is>
          <t>CRM DENTAL CLOSEUP MENTA 150G</t>
        </is>
      </c>
      <c r="D1187" s="7" t="inlineStr">
        <is>
          <t>PERF/COSME</t>
        </is>
      </c>
      <c r="E1187" s="7" t="inlineStr">
        <is>
          <t>C</t>
        </is>
      </c>
      <c r="F1187" s="13" t="n">
        <v>1</v>
      </c>
      <c r="G1187" s="13" t="n">
        <v>1</v>
      </c>
      <c r="H1187" s="8" t="n">
        <v>4.6</v>
      </c>
      <c r="I1187" s="8" t="n">
        <v>4.6</v>
      </c>
      <c r="J1187" s="8" t="n">
        <v>4.6</v>
      </c>
      <c r="K1187" s="8" t="n"/>
      <c r="L1187" s="8" t="n"/>
      <c r="M1187" s="8" t="n"/>
      <c r="N1187" s="8" t="n"/>
      <c r="O1187" s="8" t="n"/>
      <c r="P1187" s="8" t="n"/>
      <c r="Q1187" s="8" t="n"/>
      <c r="R1187" s="8" t="n"/>
      <c r="S1187" s="8" t="n"/>
      <c r="T1187" s="7" t="inlineStr">
        <is>
          <t>SEM COTAÇÃO</t>
        </is>
      </c>
      <c r="U1187" s="8" t="n"/>
      <c r="V1187" s="14" t="n"/>
      <c r="W1187" s="14" t="n"/>
      <c r="X1187" s="7" t="inlineStr"/>
      <c r="Y1187" s="7" t="inlineStr"/>
    </row>
    <row r="1188">
      <c r="A1188" s="7" t="n">
        <v>434</v>
      </c>
      <c r="B1188" s="12" t="inlineStr">
        <is>
          <t>7509546657721</t>
        </is>
      </c>
      <c r="C1188" s="7" t="inlineStr">
        <is>
          <t>CRM DENTAL COLGATE TOTAL12 220G</t>
        </is>
      </c>
      <c r="D1188" s="7" t="inlineStr">
        <is>
          <t>PERF/COSME</t>
        </is>
      </c>
      <c r="E1188" s="7" t="inlineStr">
        <is>
          <t>C</t>
        </is>
      </c>
      <c r="F1188" s="13" t="n">
        <v>1</v>
      </c>
      <c r="G1188" s="13" t="n">
        <v>1</v>
      </c>
      <c r="H1188" s="8" t="n"/>
      <c r="I1188" s="8" t="n"/>
      <c r="J1188" s="8" t="n"/>
      <c r="K1188" s="8" t="n"/>
      <c r="L1188" s="8" t="n"/>
      <c r="M1188" s="8" t="n"/>
      <c r="N1188" s="8" t="n"/>
      <c r="O1188" s="8" t="n"/>
      <c r="P1188" s="8" t="n"/>
      <c r="Q1188" s="8" t="n"/>
      <c r="R1188" s="8" t="n"/>
      <c r="S1188" s="8" t="n"/>
      <c r="T1188" s="7" t="inlineStr">
        <is>
          <t>SEM COTAÇÃO</t>
        </is>
      </c>
      <c r="U1188" s="8" t="n"/>
      <c r="V1188" s="14" t="n"/>
      <c r="W1188" s="14" t="n"/>
      <c r="X1188" s="7" t="inlineStr"/>
      <c r="Y1188" s="7" t="inlineStr"/>
    </row>
    <row r="1189">
      <c r="A1189" s="7" t="n">
        <v>198541</v>
      </c>
      <c r="B1189" s="12" t="inlineStr">
        <is>
          <t>7897316801390</t>
        </is>
      </c>
      <c r="C1189" s="7" t="inlineStr">
        <is>
          <t>CROMOLERG 2% SOL OCUL FR 5ML</t>
        </is>
      </c>
      <c r="D1189" s="7" t="inlineStr">
        <is>
          <t>RX</t>
        </is>
      </c>
      <c r="E1189" s="7" t="inlineStr">
        <is>
          <t>C</t>
        </is>
      </c>
      <c r="F1189" s="13" t="n">
        <v>1</v>
      </c>
      <c r="G1189" s="13" t="n">
        <v>1</v>
      </c>
      <c r="H1189" s="8" t="n">
        <v>11.5633</v>
      </c>
      <c r="I1189" s="8" t="n">
        <v>11.5633</v>
      </c>
      <c r="J1189" s="8" t="n">
        <v>11.5633</v>
      </c>
      <c r="K1189" s="8" t="n"/>
      <c r="L1189" s="8" t="n"/>
      <c r="M1189" s="8" t="n"/>
      <c r="N1189" s="8" t="n"/>
      <c r="O1189" s="15" t="n">
        <v>12.15</v>
      </c>
      <c r="P1189" s="8" t="n">
        <v>12.85</v>
      </c>
      <c r="Q1189" s="8" t="n"/>
      <c r="R1189" s="8" t="n"/>
      <c r="S1189" s="8" t="n"/>
      <c r="T1189" s="7" t="inlineStr">
        <is>
          <t>TAPAJOS</t>
        </is>
      </c>
      <c r="U1189" s="8" t="n">
        <v>12.15</v>
      </c>
      <c r="V1189" s="14">
        <f>U1189/J1189-1</f>
        <v/>
      </c>
      <c r="W1189" s="14">
        <f>U1189/H1189-1</f>
        <v/>
      </c>
      <c r="X1189" s="16" t="inlineStr">
        <is>
          <t>ACIMA +5.1%</t>
        </is>
      </c>
      <c r="Y1189" s="7" t="inlineStr"/>
    </row>
    <row r="1190">
      <c r="A1190" s="7" t="n">
        <v>621411</v>
      </c>
      <c r="B1190" s="12" t="inlineStr">
        <is>
          <t>7891000312964</t>
        </is>
      </c>
      <c r="C1190" s="7" t="inlineStr">
        <is>
          <t>CRUNCH CHOCOLATE 22,5 GR</t>
        </is>
      </c>
      <c r="D1190" s="7" t="inlineStr">
        <is>
          <t>CONVENIENCIA</t>
        </is>
      </c>
      <c r="E1190" s="7" t="inlineStr">
        <is>
          <t>C</t>
        </is>
      </c>
      <c r="F1190" s="13" t="n">
        <v>1</v>
      </c>
      <c r="G1190" s="13" t="n">
        <v>1</v>
      </c>
      <c r="H1190" s="8" t="n">
        <v>3.4462</v>
      </c>
      <c r="I1190" s="8" t="n">
        <v>3.4462</v>
      </c>
      <c r="J1190" s="8" t="n">
        <v>3.4462</v>
      </c>
      <c r="K1190" s="8" t="n"/>
      <c r="L1190" s="8" t="n"/>
      <c r="M1190" s="8" t="n"/>
      <c r="N1190" s="8" t="n"/>
      <c r="O1190" s="8" t="n"/>
      <c r="P1190" s="8" t="n"/>
      <c r="Q1190" s="8" t="n"/>
      <c r="R1190" s="8" t="n"/>
      <c r="S1190" s="8" t="n"/>
      <c r="T1190" s="7" t="inlineStr">
        <is>
          <t>SEM COTAÇÃO</t>
        </is>
      </c>
      <c r="U1190" s="8" t="n"/>
      <c r="V1190" s="14" t="n"/>
      <c r="W1190" s="14" t="n"/>
      <c r="X1190" s="7" t="inlineStr"/>
      <c r="Y1190" s="7" t="inlineStr"/>
    </row>
    <row r="1191">
      <c r="A1191" s="7" t="n">
        <v>605281</v>
      </c>
      <c r="B1191" s="12" t="inlineStr">
        <is>
          <t>7893454714783</t>
        </is>
      </c>
      <c r="C1191" s="7" t="inlineStr">
        <is>
          <t>CULTURELLE PROBIOTICO CX 30 SACHES</t>
        </is>
      </c>
      <c r="D1191" s="7" t="inlineStr">
        <is>
          <t>RX - OTC</t>
        </is>
      </c>
      <c r="E1191" s="7" t="inlineStr">
        <is>
          <t>C</t>
        </is>
      </c>
      <c r="F1191" s="13" t="n">
        <v>1</v>
      </c>
      <c r="G1191" s="13" t="n">
        <v>1</v>
      </c>
      <c r="H1191" s="8" t="n">
        <v>181.57</v>
      </c>
      <c r="I1191" s="8" t="n">
        <v>181.57</v>
      </c>
      <c r="J1191" s="8" t="n">
        <v>181.57</v>
      </c>
      <c r="K1191" s="8" t="n"/>
      <c r="L1191" s="8" t="n"/>
      <c r="M1191" s="8" t="n"/>
      <c r="N1191" s="8" t="n"/>
      <c r="O1191" s="8" t="n"/>
      <c r="P1191" s="8" t="n"/>
      <c r="Q1191" s="8" t="n"/>
      <c r="R1191" s="8" t="n"/>
      <c r="S1191" s="8" t="n"/>
      <c r="T1191" s="7" t="inlineStr">
        <is>
          <t>SEM COTAÇÃO</t>
        </is>
      </c>
      <c r="U1191" s="8" t="n"/>
      <c r="V1191" s="14" t="n"/>
      <c r="W1191" s="14" t="n"/>
      <c r="X1191" s="7" t="inlineStr"/>
      <c r="Y1191" s="7" t="inlineStr"/>
    </row>
    <row r="1192">
      <c r="A1192" s="7" t="n">
        <v>626861</v>
      </c>
      <c r="B1192" s="12" t="inlineStr">
        <is>
          <t>7893454714776</t>
        </is>
      </c>
      <c r="C1192" s="7" t="inlineStr">
        <is>
          <t>CULTURELLE PROBIOTICO CX 6 SACHES</t>
        </is>
      </c>
      <c r="D1192" s="7" t="inlineStr">
        <is>
          <t>RX - OTC</t>
        </is>
      </c>
      <c r="E1192" s="7" t="inlineStr">
        <is>
          <t>C</t>
        </is>
      </c>
      <c r="F1192" s="13" t="n">
        <v>1</v>
      </c>
      <c r="G1192" s="13" t="n">
        <v>1</v>
      </c>
      <c r="H1192" s="8" t="n">
        <v>42.06</v>
      </c>
      <c r="I1192" s="8" t="n">
        <v>42.06</v>
      </c>
      <c r="J1192" s="8" t="n">
        <v>42.06</v>
      </c>
      <c r="K1192" s="8" t="n"/>
      <c r="L1192" s="8" t="n"/>
      <c r="M1192" s="8" t="n"/>
      <c r="N1192" s="8" t="n"/>
      <c r="O1192" s="8" t="n"/>
      <c r="P1192" s="8" t="n"/>
      <c r="Q1192" s="8" t="n"/>
      <c r="R1192" s="8" t="n"/>
      <c r="S1192" s="8" t="n"/>
      <c r="T1192" s="7" t="inlineStr">
        <is>
          <t>SEM COTAÇÃO</t>
        </is>
      </c>
      <c r="U1192" s="8" t="n"/>
      <c r="V1192" s="14" t="n"/>
      <c r="W1192" s="14" t="n"/>
      <c r="X1192" s="7" t="inlineStr"/>
      <c r="Y1192" s="7" t="inlineStr"/>
    </row>
    <row r="1193">
      <c r="A1193" s="7" t="n">
        <v>567181</v>
      </c>
      <c r="B1193" s="12" t="inlineStr">
        <is>
          <t>7891010695415</t>
        </is>
      </c>
      <c r="C1193" s="7" t="inlineStr">
        <is>
          <t>CURAT BAND-AID PEQ FERIMENTOS 16UN</t>
        </is>
      </c>
      <c r="D1193" s="7" t="inlineStr">
        <is>
          <t>CURATIVO</t>
        </is>
      </c>
      <c r="E1193" s="7" t="inlineStr">
        <is>
          <t>C</t>
        </is>
      </c>
      <c r="F1193" s="13" t="n">
        <v>2</v>
      </c>
      <c r="G1193" s="13" t="n">
        <v>2</v>
      </c>
      <c r="H1193" s="8" t="n">
        <v>9.369999999999999</v>
      </c>
      <c r="I1193" s="8" t="n">
        <v>7.83</v>
      </c>
      <c r="J1193" s="8" t="n">
        <v>8.343333333333334</v>
      </c>
      <c r="K1193" s="8" t="n"/>
      <c r="L1193" s="8" t="n"/>
      <c r="M1193" s="15" t="n">
        <v>8.039999999999999</v>
      </c>
      <c r="N1193" s="8" t="n"/>
      <c r="O1193" s="8" t="n"/>
      <c r="P1193" s="8" t="n">
        <v>8.130000000000001</v>
      </c>
      <c r="Q1193" s="8" t="n"/>
      <c r="R1193" s="8" t="n"/>
      <c r="S1193" s="8" t="n"/>
      <c r="T1193" s="7" t="inlineStr">
        <is>
          <t>EPAN</t>
        </is>
      </c>
      <c r="U1193" s="8" t="n">
        <v>8.039999999999999</v>
      </c>
      <c r="V1193" s="14">
        <f>U1193/J1193-1</f>
        <v/>
      </c>
      <c r="W1193" s="14">
        <f>U1193/H1193-1</f>
        <v/>
      </c>
      <c r="X1193" s="17" t="inlineStr">
        <is>
          <t>OK (≤ últ. compra)</t>
        </is>
      </c>
      <c r="Y1193" s="7" t="inlineStr"/>
    </row>
    <row r="1194">
      <c r="A1194" s="7" t="n">
        <v>656581</v>
      </c>
      <c r="B1194" s="12" t="inlineStr">
        <is>
          <t>7891040346219</t>
        </is>
      </c>
      <c r="C1194" s="7" t="inlineStr">
        <is>
          <t>CURAT NEXCARE TRADICIONAL BEGE 35UN</t>
        </is>
      </c>
      <c r="D1194" s="7" t="inlineStr">
        <is>
          <t>CURATIVO</t>
        </is>
      </c>
      <c r="E1194" s="7" t="inlineStr">
        <is>
          <t>C</t>
        </is>
      </c>
      <c r="F1194" s="13" t="n">
        <v>1</v>
      </c>
      <c r="G1194" s="13" t="n">
        <v>1</v>
      </c>
      <c r="H1194" s="8" t="n">
        <v>6.0417</v>
      </c>
      <c r="I1194" s="8" t="n">
        <v>6.0417</v>
      </c>
      <c r="J1194" s="8" t="n">
        <v>6.0417</v>
      </c>
      <c r="K1194" s="8" t="n"/>
      <c r="L1194" s="8" t="n"/>
      <c r="M1194" s="8" t="n"/>
      <c r="N1194" s="8" t="n"/>
      <c r="O1194" s="8" t="n"/>
      <c r="P1194" s="8" t="n"/>
      <c r="Q1194" s="8" t="n"/>
      <c r="R1194" s="8" t="n"/>
      <c r="S1194" s="8" t="n"/>
      <c r="T1194" s="7" t="inlineStr">
        <is>
          <t>SEM COTAÇÃO</t>
        </is>
      </c>
      <c r="U1194" s="8" t="n"/>
      <c r="V1194" s="14" t="n"/>
      <c r="W1194" s="14" t="n"/>
      <c r="X1194" s="7" t="inlineStr"/>
      <c r="Y1194" s="7" t="inlineStr"/>
    </row>
    <row r="1195">
      <c r="A1195" s="7" t="n">
        <v>620031</v>
      </c>
      <c r="B1195" s="12" t="inlineStr">
        <is>
          <t>7898136150613</t>
        </is>
      </c>
      <c r="C1195" s="7" t="inlineStr">
        <is>
          <t>CURATIVO ADESIVO NATHY BEGE 10UND</t>
        </is>
      </c>
      <c r="D1195" s="7" t="inlineStr">
        <is>
          <t>PERF/COSME</t>
        </is>
      </c>
      <c r="E1195" s="7" t="inlineStr">
        <is>
          <t>C</t>
        </is>
      </c>
      <c r="F1195" s="13" t="n">
        <v>12</v>
      </c>
      <c r="G1195" s="13" t="n">
        <v>12</v>
      </c>
      <c r="H1195" s="8" t="n">
        <v>1.91</v>
      </c>
      <c r="I1195" s="8" t="n">
        <v>1.91</v>
      </c>
      <c r="J1195" s="8" t="n">
        <v>1.91</v>
      </c>
      <c r="K1195" s="8" t="n"/>
      <c r="L1195" s="8" t="n"/>
      <c r="M1195" s="8" t="n"/>
      <c r="N1195" s="8" t="n"/>
      <c r="O1195" s="8" t="n"/>
      <c r="P1195" s="8" t="n"/>
      <c r="Q1195" s="8" t="n"/>
      <c r="R1195" s="8" t="n"/>
      <c r="S1195" s="8" t="n"/>
      <c r="T1195" s="7" t="inlineStr">
        <is>
          <t>SEM COTAÇÃO</t>
        </is>
      </c>
      <c r="U1195" s="8" t="n"/>
      <c r="V1195" s="14" t="n"/>
      <c r="W1195" s="14" t="n"/>
      <c r="X1195" s="7" t="inlineStr"/>
      <c r="Y1195" s="7" t="inlineStr"/>
    </row>
    <row r="1196">
      <c r="A1196" s="7" t="n">
        <v>647131</v>
      </c>
      <c r="B1196" s="12" t="inlineStr">
        <is>
          <t>7898136150583</t>
        </is>
      </c>
      <c r="C1196" s="7" t="inlineStr">
        <is>
          <t>CURATIVO ADESIVO NATHY BEGE 16UND</t>
        </is>
      </c>
      <c r="D1196" s="7" t="inlineStr">
        <is>
          <t>CURATIVO</t>
        </is>
      </c>
      <c r="E1196" s="7" t="inlineStr">
        <is>
          <t>C</t>
        </is>
      </c>
      <c r="F1196" s="13" t="n">
        <v>3</v>
      </c>
      <c r="G1196" s="13" t="n">
        <v>3</v>
      </c>
      <c r="H1196" s="8" t="n">
        <v>2</v>
      </c>
      <c r="I1196" s="8" t="n">
        <v>2</v>
      </c>
      <c r="J1196" s="8" t="n">
        <v>2</v>
      </c>
      <c r="K1196" s="8" t="n"/>
      <c r="L1196" s="8" t="n"/>
      <c r="M1196" s="8" t="n"/>
      <c r="N1196" s="8" t="n"/>
      <c r="O1196" s="8" t="n"/>
      <c r="P1196" s="8" t="n"/>
      <c r="Q1196" s="8" t="n"/>
      <c r="R1196" s="8" t="n"/>
      <c r="S1196" s="8" t="n"/>
      <c r="T1196" s="7" t="inlineStr">
        <is>
          <t>SEM COTAÇÃO</t>
        </is>
      </c>
      <c r="U1196" s="8" t="n"/>
      <c r="V1196" s="14" t="n"/>
      <c r="W1196" s="14" t="n"/>
      <c r="X1196" s="7" t="inlineStr"/>
      <c r="Y1196" s="7" t="inlineStr"/>
    </row>
    <row r="1197">
      <c r="A1197" s="7" t="n">
        <v>620061</v>
      </c>
      <c r="B1197" s="12" t="inlineStr">
        <is>
          <t>7898136150446</t>
        </is>
      </c>
      <c r="C1197" s="7" t="inlineStr">
        <is>
          <t>CURATIVO ADESIVO NATHY TRANSPARENTE 10UN</t>
        </is>
      </c>
      <c r="D1197" s="7" t="inlineStr">
        <is>
          <t>PERF/COSME</t>
        </is>
      </c>
      <c r="E1197" s="7" t="inlineStr">
        <is>
          <t>C</t>
        </is>
      </c>
      <c r="F1197" s="13" t="n">
        <v>2</v>
      </c>
      <c r="G1197" s="13" t="n">
        <v>2</v>
      </c>
      <c r="H1197" s="8" t="n">
        <v>1.91</v>
      </c>
      <c r="I1197" s="8" t="n">
        <v>1.91</v>
      </c>
      <c r="J1197" s="8" t="n">
        <v>1.91</v>
      </c>
      <c r="K1197" s="15" t="n">
        <v>1.42</v>
      </c>
      <c r="L1197" s="8" t="n"/>
      <c r="M1197" s="8" t="n"/>
      <c r="N1197" s="8" t="n"/>
      <c r="O1197" s="8" t="n"/>
      <c r="P1197" s="8" t="n"/>
      <c r="Q1197" s="8" t="n"/>
      <c r="R1197" s="8" t="n"/>
      <c r="S1197" s="8" t="n"/>
      <c r="T1197" s="7" t="inlineStr">
        <is>
          <t>DIMEC</t>
        </is>
      </c>
      <c r="U1197" s="8" t="n">
        <v>1.42</v>
      </c>
      <c r="V1197" s="14">
        <f>U1197/J1197-1</f>
        <v/>
      </c>
      <c r="W1197" s="14">
        <f>U1197/H1197-1</f>
        <v/>
      </c>
      <c r="X1197" s="17" t="inlineStr">
        <is>
          <t>OK (≤ menor hist.)</t>
        </is>
      </c>
      <c r="Y1197" s="7" t="inlineStr"/>
    </row>
    <row r="1198">
      <c r="A1198" s="7" t="n">
        <v>647121</v>
      </c>
      <c r="B1198" s="12" t="inlineStr">
        <is>
          <t>7898136150576</t>
        </is>
      </c>
      <c r="C1198" s="7" t="inlineStr">
        <is>
          <t>CURATIVO ADESIVO NATHY TRANSPARENTE 16UN</t>
        </is>
      </c>
      <c r="D1198" s="7" t="inlineStr">
        <is>
          <t>CURATIVO</t>
        </is>
      </c>
      <c r="E1198" s="7" t="inlineStr">
        <is>
          <t>C</t>
        </is>
      </c>
      <c r="F1198" s="13" t="n">
        <v>1</v>
      </c>
      <c r="G1198" s="13" t="n">
        <v>1</v>
      </c>
      <c r="H1198" s="8" t="n">
        <v>2</v>
      </c>
      <c r="I1198" s="8" t="n">
        <v>2</v>
      </c>
      <c r="J1198" s="8" t="n">
        <v>2</v>
      </c>
      <c r="K1198" s="8" t="n"/>
      <c r="L1198" s="8" t="n"/>
      <c r="M1198" s="8" t="n"/>
      <c r="N1198" s="8" t="n"/>
      <c r="O1198" s="8" t="n"/>
      <c r="P1198" s="8" t="n"/>
      <c r="Q1198" s="8" t="n"/>
      <c r="R1198" s="8" t="n"/>
      <c r="S1198" s="8" t="n"/>
      <c r="T1198" s="7" t="inlineStr">
        <is>
          <t>SEM COTAÇÃO</t>
        </is>
      </c>
      <c r="U1198" s="8" t="n"/>
      <c r="V1198" s="14" t="n"/>
      <c r="W1198" s="14" t="n"/>
      <c r="X1198" s="7" t="inlineStr"/>
      <c r="Y1198" s="7" t="inlineStr"/>
    </row>
    <row r="1199">
      <c r="A1199" s="7" t="n">
        <v>598531</v>
      </c>
      <c r="B1199" s="12" t="inlineStr"/>
      <c r="C1199" s="7" t="inlineStr">
        <is>
          <t>CURATIVO CICATRISAN COR DE PELE CX 10 UND</t>
        </is>
      </c>
      <c r="D1199" s="7" t="inlineStr">
        <is>
          <t>CURATIVO</t>
        </is>
      </c>
      <c r="E1199" s="7" t="inlineStr">
        <is>
          <t>A</t>
        </is>
      </c>
      <c r="F1199" s="13" t="n">
        <v>11</v>
      </c>
      <c r="G1199" s="13" t="n">
        <v>11</v>
      </c>
      <c r="H1199" s="8" t="n">
        <v>1.79</v>
      </c>
      <c r="I1199" s="8" t="n">
        <v>1.76</v>
      </c>
      <c r="J1199" s="8" t="n">
        <v>1.77</v>
      </c>
      <c r="K1199" s="8" t="n"/>
      <c r="L1199" s="8" t="n"/>
      <c r="M1199" s="8" t="n"/>
      <c r="N1199" s="8" t="n"/>
      <c r="O1199" s="8" t="n"/>
      <c r="P1199" s="8" t="n"/>
      <c r="Q1199" s="8" t="n"/>
      <c r="R1199" s="8" t="n"/>
      <c r="S1199" s="8" t="n"/>
      <c r="T1199" s="7" t="inlineStr">
        <is>
          <t>SEM COTAÇÃO</t>
        </is>
      </c>
      <c r="U1199" s="8" t="n"/>
      <c r="V1199" s="14" t="n"/>
      <c r="W1199" s="14" t="n"/>
      <c r="X1199" s="7" t="inlineStr"/>
      <c r="Y1199" s="7" t="inlineStr"/>
    </row>
    <row r="1200">
      <c r="A1200" s="7" t="n">
        <v>630671</v>
      </c>
      <c r="B1200" s="12" t="inlineStr">
        <is>
          <t>7898108640746</t>
        </is>
      </c>
      <c r="C1200" s="7" t="inlineStr">
        <is>
          <t>CURATIVO CICATRISAN KURA DODOI CX 20 UND</t>
        </is>
      </c>
      <c r="D1200" s="7" t="inlineStr">
        <is>
          <t>PERF/COSME</t>
        </is>
      </c>
      <c r="E1200" s="7" t="inlineStr">
        <is>
          <t>B</t>
        </is>
      </c>
      <c r="F1200" s="13" t="n">
        <v>4</v>
      </c>
      <c r="G1200" s="13" t="n">
        <v>4</v>
      </c>
      <c r="H1200" s="8" t="n">
        <v>5.42</v>
      </c>
      <c r="I1200" s="8" t="n">
        <v>5.42</v>
      </c>
      <c r="J1200" s="8" t="n">
        <v>5.419999999999999</v>
      </c>
      <c r="K1200" s="8" t="n">
        <v>5.42</v>
      </c>
      <c r="L1200" s="8" t="n">
        <v>5.95</v>
      </c>
      <c r="M1200" s="8" t="n"/>
      <c r="N1200" s="8" t="n">
        <v>5.6</v>
      </c>
      <c r="O1200" s="8" t="n"/>
      <c r="P1200" s="15" t="n">
        <v>5.016</v>
      </c>
      <c r="Q1200" s="8" t="n"/>
      <c r="R1200" s="8" t="n"/>
      <c r="S1200" s="8" t="n"/>
      <c r="T1200" s="7" t="inlineStr">
        <is>
          <t>NAZARIA</t>
        </is>
      </c>
      <c r="U1200" s="8" t="n">
        <v>5.016</v>
      </c>
      <c r="V1200" s="14">
        <f>U1200/J1200-1</f>
        <v/>
      </c>
      <c r="W1200" s="14">
        <f>U1200/H1200-1</f>
        <v/>
      </c>
      <c r="X1200" s="17" t="inlineStr">
        <is>
          <t>OK (≤ menor hist.)</t>
        </is>
      </c>
      <c r="Y1200" s="7" t="inlineStr"/>
    </row>
    <row r="1201">
      <c r="A1201" s="7" t="n">
        <v>673751</v>
      </c>
      <c r="B1201" s="12" t="inlineStr">
        <is>
          <t>7898067950047</t>
        </is>
      </c>
      <c r="C1201" s="7" t="inlineStr">
        <is>
          <t>CURATIVO CLIN-OFF TRANSPARENTE C/10</t>
        </is>
      </c>
      <c r="D1201" s="7" t="inlineStr">
        <is>
          <t>CURATIVO</t>
        </is>
      </c>
      <c r="E1201" s="7" t="inlineStr">
        <is>
          <t>C</t>
        </is>
      </c>
      <c r="F1201" s="13" t="n">
        <v>4</v>
      </c>
      <c r="G1201" s="13" t="n">
        <v>4</v>
      </c>
      <c r="H1201" s="8" t="n">
        <v>2.25</v>
      </c>
      <c r="I1201" s="8" t="n">
        <v>2.25</v>
      </c>
      <c r="J1201" s="8" t="n">
        <v>2.25</v>
      </c>
      <c r="K1201" s="8" t="n"/>
      <c r="L1201" s="8" t="n"/>
      <c r="M1201" s="8" t="n"/>
      <c r="N1201" s="8" t="n"/>
      <c r="O1201" s="8" t="n"/>
      <c r="P1201" s="8" t="n"/>
      <c r="Q1201" s="8" t="n"/>
      <c r="R1201" s="8" t="n"/>
      <c r="S1201" s="8" t="n"/>
      <c r="T1201" s="7" t="inlineStr">
        <is>
          <t>SEM COTAÇÃO</t>
        </is>
      </c>
      <c r="U1201" s="8" t="n"/>
      <c r="V1201" s="14" t="n"/>
      <c r="W1201" s="14" t="n"/>
      <c r="X1201" s="7" t="inlineStr"/>
      <c r="Y1201" s="7" t="inlineStr"/>
    </row>
    <row r="1202">
      <c r="A1202" s="7" t="n">
        <v>641191</v>
      </c>
      <c r="B1202" s="12" t="inlineStr">
        <is>
          <t>7896227630389</t>
        </is>
      </c>
      <c r="C1202" s="7" t="inlineStr">
        <is>
          <t>CURATIVO COTTONBABY C/10UN TRADIC</t>
        </is>
      </c>
      <c r="D1202" s="7" t="inlineStr">
        <is>
          <t>CURATIVO</t>
        </is>
      </c>
      <c r="E1202" s="7" t="inlineStr">
        <is>
          <t>C</t>
        </is>
      </c>
      <c r="F1202" s="13" t="n">
        <v>12</v>
      </c>
      <c r="G1202" s="13" t="n">
        <v>12</v>
      </c>
      <c r="H1202" s="8" t="n">
        <v>2.68</v>
      </c>
      <c r="I1202" s="8" t="n">
        <v>2.64</v>
      </c>
      <c r="J1202" s="8" t="n">
        <v>2.64</v>
      </c>
      <c r="K1202" s="8" t="n"/>
      <c r="L1202" s="8" t="n"/>
      <c r="M1202" s="8" t="n"/>
      <c r="N1202" s="8" t="n"/>
      <c r="O1202" s="8" t="n"/>
      <c r="P1202" s="8" t="n"/>
      <c r="Q1202" s="8" t="n"/>
      <c r="R1202" s="8" t="n"/>
      <c r="S1202" s="8" t="n"/>
      <c r="T1202" s="7" t="inlineStr">
        <is>
          <t>SEM COTAÇÃO</t>
        </is>
      </c>
      <c r="U1202" s="8" t="n"/>
      <c r="V1202" s="14" t="n"/>
      <c r="W1202" s="14" t="n"/>
      <c r="X1202" s="7" t="inlineStr"/>
      <c r="Y1202" s="7" t="inlineStr"/>
    </row>
    <row r="1203">
      <c r="A1203" s="7" t="n">
        <v>641201</v>
      </c>
      <c r="B1203" s="12" t="inlineStr">
        <is>
          <t>7896227630365</t>
        </is>
      </c>
      <c r="C1203" s="7" t="inlineStr">
        <is>
          <t>CURATIVO COTTONBABY C/10UN TRANSP</t>
        </is>
      </c>
      <c r="D1203" s="7" t="inlineStr">
        <is>
          <t>CURATIVO</t>
        </is>
      </c>
      <c r="E1203" s="7" t="inlineStr">
        <is>
          <t>C</t>
        </is>
      </c>
      <c r="F1203" s="13" t="n">
        <v>17</v>
      </c>
      <c r="G1203" s="13" t="n">
        <v>17</v>
      </c>
      <c r="H1203" s="8" t="n">
        <v>2.64</v>
      </c>
      <c r="I1203" s="8" t="n">
        <v>2.64</v>
      </c>
      <c r="J1203" s="8" t="n">
        <v>2.64</v>
      </c>
      <c r="K1203" s="8" t="n"/>
      <c r="L1203" s="8" t="n"/>
      <c r="M1203" s="8" t="n"/>
      <c r="N1203" s="8" t="n"/>
      <c r="O1203" s="8" t="n"/>
      <c r="P1203" s="8" t="n"/>
      <c r="Q1203" s="8" t="n"/>
      <c r="R1203" s="8" t="n"/>
      <c r="S1203" s="8" t="n"/>
      <c r="T1203" s="7" t="inlineStr">
        <is>
          <t>SEM COTAÇÃO</t>
        </is>
      </c>
      <c r="U1203" s="8" t="n"/>
      <c r="V1203" s="14" t="n"/>
      <c r="W1203" s="14" t="n"/>
      <c r="X1203" s="7" t="inlineStr"/>
      <c r="Y1203" s="7" t="inlineStr"/>
    </row>
    <row r="1204">
      <c r="A1204" s="7" t="n">
        <v>651551</v>
      </c>
      <c r="B1204" s="12" t="inlineStr">
        <is>
          <t>7891800644470</t>
        </is>
      </c>
      <c r="C1204" s="7" t="inlineStr">
        <is>
          <t>CURATIVO CREMER EXTRA GRANDE 8UN   CREM %DN:9.00</t>
        </is>
      </c>
      <c r="D1204" s="7" t="inlineStr">
        <is>
          <t>CURATIVO</t>
        </is>
      </c>
      <c r="E1204" s="7" t="inlineStr">
        <is>
          <t>C</t>
        </is>
      </c>
      <c r="F1204" s="13" t="n">
        <v>1</v>
      </c>
      <c r="G1204" s="13" t="n">
        <v>1</v>
      </c>
      <c r="H1204" s="8" t="n">
        <v>7.8306</v>
      </c>
      <c r="I1204" s="8" t="n">
        <v>7.8306</v>
      </c>
      <c r="J1204" s="8" t="n">
        <v>7.8306</v>
      </c>
      <c r="K1204" s="8" t="n"/>
      <c r="L1204" s="8" t="n"/>
      <c r="M1204" s="8" t="n"/>
      <c r="N1204" s="8" t="n"/>
      <c r="O1204" s="8" t="n"/>
      <c r="P1204" s="15" t="n">
        <v>10.5536</v>
      </c>
      <c r="Q1204" s="8" t="n"/>
      <c r="R1204" s="8" t="n"/>
      <c r="S1204" s="8" t="n"/>
      <c r="T1204" s="7" t="inlineStr">
        <is>
          <t>NAZARIA</t>
        </is>
      </c>
      <c r="U1204" s="8" t="n">
        <v>10.5536</v>
      </c>
      <c r="V1204" s="14">
        <f>U1204/J1204-1</f>
        <v/>
      </c>
      <c r="W1204" s="14">
        <f>U1204/H1204-1</f>
        <v/>
      </c>
      <c r="X1204" s="16" t="inlineStr">
        <is>
          <t>ACIMA +34.8%</t>
        </is>
      </c>
      <c r="Y1204" s="7" t="inlineStr"/>
    </row>
    <row r="1205">
      <c r="A1205" s="7" t="n">
        <v>833</v>
      </c>
      <c r="B1205" s="12" t="inlineStr">
        <is>
          <t>7891800540406</t>
        </is>
      </c>
      <c r="C1205" s="7" t="inlineStr">
        <is>
          <t>CURATIVO CREMER MINIONS 10UN</t>
        </is>
      </c>
      <c r="D1205" s="7" t="inlineStr">
        <is>
          <t>SIMILAR</t>
        </is>
      </c>
      <c r="E1205" s="7" t="inlineStr">
        <is>
          <t>C</t>
        </is>
      </c>
      <c r="F1205" s="13" t="n">
        <v>1</v>
      </c>
      <c r="G1205" s="13" t="n">
        <v>1</v>
      </c>
      <c r="H1205" s="8" t="n">
        <v>4.59</v>
      </c>
      <c r="I1205" s="8" t="n">
        <v>4.59</v>
      </c>
      <c r="J1205" s="8" t="n">
        <v>4.59</v>
      </c>
      <c r="K1205" s="8" t="n"/>
      <c r="L1205" s="8" t="n"/>
      <c r="M1205" s="8" t="n"/>
      <c r="N1205" s="8" t="n"/>
      <c r="O1205" s="8" t="n"/>
      <c r="P1205" s="15" t="n">
        <v>4.462</v>
      </c>
      <c r="Q1205" s="8" t="n"/>
      <c r="R1205" s="8" t="n"/>
      <c r="S1205" s="8" t="n"/>
      <c r="T1205" s="7" t="inlineStr">
        <is>
          <t>NAZARIA</t>
        </is>
      </c>
      <c r="U1205" s="8" t="n">
        <v>4.462</v>
      </c>
      <c r="V1205" s="14">
        <f>U1205/J1205-1</f>
        <v/>
      </c>
      <c r="W1205" s="14">
        <f>U1205/H1205-1</f>
        <v/>
      </c>
      <c r="X1205" s="17" t="inlineStr">
        <is>
          <t>OK (≤ menor hist.)</t>
        </is>
      </c>
      <c r="Y1205" s="7" t="inlineStr"/>
    </row>
    <row r="1206">
      <c r="A1206" s="7" t="n">
        <v>575341</v>
      </c>
      <c r="B1206" s="12" t="inlineStr">
        <is>
          <t>7891800342000</t>
        </is>
      </c>
      <c r="C1206" s="7" t="inlineStr">
        <is>
          <t>CURATIVO CREMERCARE BEGE C/10</t>
        </is>
      </c>
      <c r="D1206" s="7" t="inlineStr">
        <is>
          <t>CURATIVO</t>
        </is>
      </c>
      <c r="E1206" s="7" t="inlineStr">
        <is>
          <t>C</t>
        </is>
      </c>
      <c r="F1206" s="13" t="n">
        <v>2</v>
      </c>
      <c r="G1206" s="13" t="n">
        <v>2</v>
      </c>
      <c r="H1206" s="8" t="n">
        <v>3.16</v>
      </c>
      <c r="I1206" s="8" t="n">
        <v>3.16</v>
      </c>
      <c r="J1206" s="8" t="n">
        <v>3.16</v>
      </c>
      <c r="K1206" s="8" t="n"/>
      <c r="L1206" s="8" t="n"/>
      <c r="M1206" s="15" t="n">
        <v>2.68</v>
      </c>
      <c r="N1206" s="8" t="n"/>
      <c r="O1206" s="8" t="n"/>
      <c r="P1206" s="8" t="n">
        <v>3.5696</v>
      </c>
      <c r="Q1206" s="8" t="n"/>
      <c r="R1206" s="8" t="n"/>
      <c r="S1206" s="8" t="n"/>
      <c r="T1206" s="7" t="inlineStr">
        <is>
          <t>EPAN</t>
        </is>
      </c>
      <c r="U1206" s="8" t="n">
        <v>2.68</v>
      </c>
      <c r="V1206" s="14">
        <f>U1206/J1206-1</f>
        <v/>
      </c>
      <c r="W1206" s="14">
        <f>U1206/H1206-1</f>
        <v/>
      </c>
      <c r="X1206" s="17" t="inlineStr">
        <is>
          <t>OK (≤ menor hist.)</t>
        </is>
      </c>
      <c r="Y1206" s="7" t="inlineStr"/>
    </row>
    <row r="1207">
      <c r="A1207" s="7" t="n">
        <v>575361</v>
      </c>
      <c r="B1207" s="12" t="inlineStr">
        <is>
          <t>7891800341966</t>
        </is>
      </c>
      <c r="C1207" s="7" t="inlineStr">
        <is>
          <t>CURATIVO CREMERCARE REDONDO C/16</t>
        </is>
      </c>
      <c r="D1207" s="7" t="inlineStr">
        <is>
          <t>CURATIVO</t>
        </is>
      </c>
      <c r="E1207" s="7" t="inlineStr">
        <is>
          <t>C</t>
        </is>
      </c>
      <c r="F1207" s="13" t="n">
        <v>8</v>
      </c>
      <c r="G1207" s="13" t="n">
        <v>8</v>
      </c>
      <c r="H1207" s="8" t="n">
        <v>3.802</v>
      </c>
      <c r="I1207" s="8" t="n">
        <v>3.802</v>
      </c>
      <c r="J1207" s="8" t="n">
        <v>3.802</v>
      </c>
      <c r="K1207" s="8" t="n"/>
      <c r="L1207" s="8" t="n"/>
      <c r="M1207" s="15" t="n">
        <v>2.58</v>
      </c>
      <c r="N1207" s="8" t="n"/>
      <c r="O1207" s="8" t="n"/>
      <c r="P1207" s="8" t="n">
        <v>4.2389</v>
      </c>
      <c r="Q1207" s="8" t="n"/>
      <c r="R1207" s="8" t="n"/>
      <c r="S1207" s="8" t="n"/>
      <c r="T1207" s="7" t="inlineStr">
        <is>
          <t>EPAN</t>
        </is>
      </c>
      <c r="U1207" s="8" t="n">
        <v>2.58</v>
      </c>
      <c r="V1207" s="14">
        <f>U1207/J1207-1</f>
        <v/>
      </c>
      <c r="W1207" s="14">
        <f>U1207/H1207-1</f>
        <v/>
      </c>
      <c r="X1207" s="17" t="inlineStr">
        <is>
          <t>OK (≤ menor hist.)</t>
        </is>
      </c>
      <c r="Y1207" s="7" t="inlineStr"/>
    </row>
    <row r="1208">
      <c r="A1208" s="7" t="n">
        <v>604731</v>
      </c>
      <c r="B1208" s="12" t="inlineStr">
        <is>
          <t>7891800341997</t>
        </is>
      </c>
      <c r="C1208" s="7" t="inlineStr">
        <is>
          <t>CURATIVO CREMERCARE TRASP C/10</t>
        </is>
      </c>
      <c r="D1208" s="7" t="inlineStr">
        <is>
          <t>CURATIVO</t>
        </is>
      </c>
      <c r="E1208" s="7" t="inlineStr">
        <is>
          <t>C</t>
        </is>
      </c>
      <c r="F1208" s="13" t="n">
        <v>7</v>
      </c>
      <c r="G1208" s="13" t="n">
        <v>7</v>
      </c>
      <c r="H1208" s="8" t="n">
        <v>3.162</v>
      </c>
      <c r="I1208" s="8" t="n">
        <v>3.162</v>
      </c>
      <c r="J1208" s="8" t="n">
        <v>3.162</v>
      </c>
      <c r="K1208" s="8" t="n"/>
      <c r="L1208" s="8" t="n"/>
      <c r="M1208" s="15" t="n">
        <v>2.62</v>
      </c>
      <c r="N1208" s="8" t="n"/>
      <c r="O1208" s="8" t="n"/>
      <c r="P1208" s="8" t="n">
        <v>3.5696</v>
      </c>
      <c r="Q1208" s="8" t="n"/>
      <c r="R1208" s="8" t="n"/>
      <c r="S1208" s="8" t="n"/>
      <c r="T1208" s="7" t="inlineStr">
        <is>
          <t>EPAN</t>
        </is>
      </c>
      <c r="U1208" s="8" t="n">
        <v>2.62</v>
      </c>
      <c r="V1208" s="14">
        <f>U1208/J1208-1</f>
        <v/>
      </c>
      <c r="W1208" s="14">
        <f>U1208/H1208-1</f>
        <v/>
      </c>
      <c r="X1208" s="17" t="inlineStr">
        <is>
          <t>OK (≤ menor hist.)</t>
        </is>
      </c>
      <c r="Y1208" s="7" t="inlineStr"/>
    </row>
    <row r="1209">
      <c r="A1209" s="7" t="n">
        <v>631611</v>
      </c>
      <c r="B1209" s="12" t="inlineStr">
        <is>
          <t>7896544925496</t>
        </is>
      </c>
      <c r="C1209" s="7" t="inlineStr">
        <is>
          <t>CURATIVO FLEXIVEL SHOW DA LUNA  C/10UN.</t>
        </is>
      </c>
      <c r="D1209" s="7" t="inlineStr">
        <is>
          <t>CURATIVO</t>
        </is>
      </c>
      <c r="E1209" s="7" t="inlineStr">
        <is>
          <t>C</t>
        </is>
      </c>
      <c r="F1209" s="13" t="n">
        <v>7</v>
      </c>
      <c r="G1209" s="13" t="n">
        <v>7</v>
      </c>
      <c r="H1209" s="8" t="n">
        <v>3.06</v>
      </c>
      <c r="I1209" s="8" t="n">
        <v>3.06</v>
      </c>
      <c r="J1209" s="8" t="n">
        <v>3.06</v>
      </c>
      <c r="K1209" s="8" t="n"/>
      <c r="L1209" s="8" t="n"/>
      <c r="M1209" s="8" t="n"/>
      <c r="N1209" s="8" t="n">
        <v>3.69</v>
      </c>
      <c r="O1209" s="8" t="n"/>
      <c r="P1209" s="15" t="n">
        <v>3.06</v>
      </c>
      <c r="Q1209" s="8" t="n"/>
      <c r="R1209" s="8" t="n"/>
      <c r="S1209" s="8" t="n"/>
      <c r="T1209" s="7" t="inlineStr">
        <is>
          <t>NAZARIA</t>
        </is>
      </c>
      <c r="U1209" s="8" t="n">
        <v>3.06</v>
      </c>
      <c r="V1209" s="14">
        <f>U1209/J1209-1</f>
        <v/>
      </c>
      <c r="W1209" s="14">
        <f>U1209/H1209-1</f>
        <v/>
      </c>
      <c r="X1209" s="17" t="inlineStr">
        <is>
          <t>OK (≤ menor hist.)</t>
        </is>
      </c>
      <c r="Y1209" s="7" t="inlineStr">
        <is>
          <t>NAZARIA: estoque parcial (2 un)</t>
        </is>
      </c>
    </row>
    <row r="1210">
      <c r="A1210" s="7" t="n">
        <v>4033</v>
      </c>
      <c r="B1210" s="12" t="inlineStr">
        <is>
          <t>7896544901346</t>
        </is>
      </c>
      <c r="C1210" s="7" t="inlineStr">
        <is>
          <t>CURATIVO HIDROCOLOIDE P/ ACNES C/24 UND</t>
        </is>
      </c>
      <c r="D1210" s="7" t="inlineStr">
        <is>
          <t>CURATIVO</t>
        </is>
      </c>
      <c r="E1210" s="7" t="inlineStr">
        <is>
          <t>A</t>
        </is>
      </c>
      <c r="F1210" s="13" t="n">
        <v>18</v>
      </c>
      <c r="G1210" s="13" t="n">
        <v>18</v>
      </c>
      <c r="H1210" s="8" t="n">
        <v>8.32</v>
      </c>
      <c r="I1210" s="8" t="n">
        <v>8.32</v>
      </c>
      <c r="J1210" s="8" t="n">
        <v>8.32</v>
      </c>
      <c r="K1210" s="8" t="n"/>
      <c r="L1210" s="8" t="n"/>
      <c r="M1210" s="8" t="n"/>
      <c r="N1210" s="8" t="n"/>
      <c r="O1210" s="8" t="n"/>
      <c r="P1210" s="8" t="n"/>
      <c r="Q1210" s="15" t="n">
        <v>11.51</v>
      </c>
      <c r="R1210" s="8" t="n"/>
      <c r="S1210" s="8" t="n"/>
      <c r="T1210" s="7" t="inlineStr">
        <is>
          <t>MEDCENTRO</t>
        </is>
      </c>
      <c r="U1210" s="8" t="n">
        <v>11.51</v>
      </c>
      <c r="V1210" s="14">
        <f>U1210/J1210-1</f>
        <v/>
      </c>
      <c r="W1210" s="14">
        <f>U1210/H1210-1</f>
        <v/>
      </c>
      <c r="X1210" s="16" t="inlineStr">
        <is>
          <t>ACIMA +38.3%</t>
        </is>
      </c>
      <c r="Y1210" s="7" t="inlineStr"/>
    </row>
    <row r="1211">
      <c r="A1211" s="7" t="n">
        <v>3243</v>
      </c>
      <c r="B1211" s="12" t="inlineStr">
        <is>
          <t>7898108640791</t>
        </is>
      </c>
      <c r="C1211" s="7" t="inlineStr">
        <is>
          <t>CURATIVO HIDROCOLOIDE SANCARE C/24 UND</t>
        </is>
      </c>
      <c r="D1211" s="7" t="inlineStr">
        <is>
          <t>CURATIVO</t>
        </is>
      </c>
      <c r="E1211" s="7" t="inlineStr">
        <is>
          <t>C</t>
        </is>
      </c>
      <c r="F1211" s="13" t="n">
        <v>5</v>
      </c>
      <c r="G1211" s="13" t="n">
        <v>5</v>
      </c>
      <c r="H1211" s="8" t="n">
        <v>14.93</v>
      </c>
      <c r="I1211" s="8" t="n">
        <v>14.93</v>
      </c>
      <c r="J1211" s="8" t="n">
        <v>14.93</v>
      </c>
      <c r="K1211" s="15" t="n">
        <v>17.17</v>
      </c>
      <c r="L1211" s="8" t="n"/>
      <c r="M1211" s="8" t="n"/>
      <c r="N1211" s="8" t="n"/>
      <c r="O1211" s="8" t="n"/>
      <c r="P1211" s="8" t="n">
        <v>15.922</v>
      </c>
      <c r="Q1211" s="8" t="n"/>
      <c r="R1211" s="8" t="n"/>
      <c r="S1211" s="8" t="n"/>
      <c r="T1211" s="7" t="inlineStr">
        <is>
          <t>DIMEC</t>
        </is>
      </c>
      <c r="U1211" s="8" t="n">
        <v>17.17</v>
      </c>
      <c r="V1211" s="14">
        <f>U1211/J1211-1</f>
        <v/>
      </c>
      <c r="W1211" s="14">
        <f>U1211/H1211-1</f>
        <v/>
      </c>
      <c r="X1211" s="16" t="inlineStr">
        <is>
          <t>ACIMA +15.0%</t>
        </is>
      </c>
      <c r="Y1211" s="7" t="inlineStr">
        <is>
          <t>NAZARIA: sem estoque</t>
        </is>
      </c>
    </row>
    <row r="1212">
      <c r="A1212" s="7" t="n">
        <v>5003</v>
      </c>
      <c r="B1212" s="12" t="inlineStr">
        <is>
          <t>7898108641989</t>
        </is>
      </c>
      <c r="C1212" s="7" t="inlineStr">
        <is>
          <t>CURATIVO MICKEY E MINNIE C/10 UND</t>
        </is>
      </c>
      <c r="D1212" s="7" t="inlineStr">
        <is>
          <t>CURATIVO</t>
        </is>
      </c>
      <c r="E1212" s="7" t="inlineStr">
        <is>
          <t>C</t>
        </is>
      </c>
      <c r="F1212" s="13" t="n">
        <v>5</v>
      </c>
      <c r="G1212" s="13" t="n">
        <v>5</v>
      </c>
      <c r="H1212" s="8" t="n">
        <v>2.94</v>
      </c>
      <c r="I1212" s="8" t="n">
        <v>2.94</v>
      </c>
      <c r="J1212" s="8" t="n">
        <v>2.94</v>
      </c>
      <c r="K1212" s="8" t="n"/>
      <c r="L1212" s="8" t="n"/>
      <c r="M1212" s="8" t="n"/>
      <c r="N1212" s="8" t="n"/>
      <c r="O1212" s="8" t="n"/>
      <c r="P1212" s="8" t="n">
        <v>2.9925</v>
      </c>
      <c r="Q1212" s="8" t="n">
        <v>3.38</v>
      </c>
      <c r="R1212" s="15" t="n">
        <v>2.71</v>
      </c>
      <c r="S1212" s="8" t="n"/>
      <c r="T1212" s="7" t="inlineStr">
        <is>
          <t>BRASFARMA</t>
        </is>
      </c>
      <c r="U1212" s="8" t="n">
        <v>2.71</v>
      </c>
      <c r="V1212" s="14">
        <f>U1212/J1212-1</f>
        <v/>
      </c>
      <c r="W1212" s="14">
        <f>U1212/H1212-1</f>
        <v/>
      </c>
      <c r="X1212" s="17" t="inlineStr">
        <is>
          <t>OK (≤ menor hist.)</t>
        </is>
      </c>
      <c r="Y1212" s="7" t="inlineStr">
        <is>
          <t>NAZARIA: sem estoque</t>
        </is>
      </c>
    </row>
    <row r="1213">
      <c r="A1213" s="7" t="n">
        <v>656461</v>
      </c>
      <c r="B1213" s="12" t="inlineStr">
        <is>
          <t>7898136150620</t>
        </is>
      </c>
      <c r="C1213" s="7" t="inlineStr">
        <is>
          <t>CURATIVO NATHY C/35UN BEGE</t>
        </is>
      </c>
      <c r="D1213" s="7" t="inlineStr">
        <is>
          <t>CURATIVO</t>
        </is>
      </c>
      <c r="E1213" s="7" t="inlineStr">
        <is>
          <t>A</t>
        </is>
      </c>
      <c r="F1213" s="13" t="n">
        <v>22</v>
      </c>
      <c r="G1213" s="13" t="n">
        <v>22</v>
      </c>
      <c r="H1213" s="8" t="n">
        <v>3.25</v>
      </c>
      <c r="I1213" s="8" t="n">
        <v>3.25</v>
      </c>
      <c r="J1213" s="8" t="n">
        <v>3.25</v>
      </c>
      <c r="K1213" s="15" t="n">
        <v>3.25</v>
      </c>
      <c r="L1213" s="8" t="n"/>
      <c r="M1213" s="8" t="n"/>
      <c r="N1213" s="8" t="n"/>
      <c r="O1213" s="8" t="n"/>
      <c r="P1213" s="8" t="n"/>
      <c r="Q1213" s="8" t="n"/>
      <c r="R1213" s="8" t="n"/>
      <c r="S1213" s="8" t="n"/>
      <c r="T1213" s="7" t="inlineStr">
        <is>
          <t>DIMEC</t>
        </is>
      </c>
      <c r="U1213" s="8" t="n">
        <v>3.25</v>
      </c>
      <c r="V1213" s="14">
        <f>U1213/J1213-1</f>
        <v/>
      </c>
      <c r="W1213" s="14">
        <f>U1213/H1213-1</f>
        <v/>
      </c>
      <c r="X1213" s="17" t="inlineStr">
        <is>
          <t>OK (≤ menor hist.)</t>
        </is>
      </c>
      <c r="Y1213" s="7" t="inlineStr"/>
    </row>
    <row r="1214">
      <c r="A1214" s="7" t="n">
        <v>674541</v>
      </c>
      <c r="B1214" s="12" t="inlineStr">
        <is>
          <t>7891040126125</t>
        </is>
      </c>
      <c r="C1214" s="7" t="inlineStr">
        <is>
          <t>CURATIVO NEXCARE ABSORVENT P ACNE 36</t>
        </is>
      </c>
      <c r="D1214" s="7" t="inlineStr">
        <is>
          <t>CURATIVO</t>
        </is>
      </c>
      <c r="E1214" s="7" t="inlineStr">
        <is>
          <t>C</t>
        </is>
      </c>
      <c r="F1214" s="13" t="n">
        <v>1</v>
      </c>
      <c r="G1214" s="13" t="n">
        <v>1</v>
      </c>
      <c r="H1214" s="8" t="n">
        <v>25.18</v>
      </c>
      <c r="I1214" s="8" t="n">
        <v>25.18</v>
      </c>
      <c r="J1214" s="8" t="n">
        <v>25.18</v>
      </c>
      <c r="K1214" s="8" t="n"/>
      <c r="L1214" s="8" t="n"/>
      <c r="M1214" s="8" t="n"/>
      <c r="N1214" s="8" t="n"/>
      <c r="O1214" s="8" t="n"/>
      <c r="P1214" s="8" t="n">
        <v>31.67</v>
      </c>
      <c r="Q1214" s="8" t="n"/>
      <c r="R1214" s="8" t="n"/>
      <c r="S1214" s="8" t="n"/>
      <c r="T1214" s="7" t="inlineStr">
        <is>
          <t>SEM COTAÇÃO</t>
        </is>
      </c>
      <c r="U1214" s="8" t="n"/>
      <c r="V1214" s="14" t="n"/>
      <c r="W1214" s="14" t="n"/>
      <c r="X1214" s="7" t="inlineStr"/>
      <c r="Y1214" s="7" t="inlineStr">
        <is>
          <t>NAZARIA: sem estoque</t>
        </is>
      </c>
    </row>
    <row r="1215">
      <c r="A1215" s="7" t="n">
        <v>3433</v>
      </c>
      <c r="B1215" s="12" t="inlineStr">
        <is>
          <t>7898108640692</t>
        </is>
      </c>
      <c r="C1215" s="7" t="inlineStr">
        <is>
          <t>CURATIVO REDONDO CICATRISAN C/20 UND</t>
        </is>
      </c>
      <c r="D1215" s="7" t="inlineStr">
        <is>
          <t>CURATIVO</t>
        </is>
      </c>
      <c r="E1215" s="7" t="inlineStr">
        <is>
          <t>C</t>
        </is>
      </c>
      <c r="F1215" s="13" t="n">
        <v>2</v>
      </c>
      <c r="G1215" s="13" t="n">
        <v>2</v>
      </c>
      <c r="H1215" s="8" t="n">
        <v>5.815</v>
      </c>
      <c r="I1215" s="8" t="n">
        <v>5.815</v>
      </c>
      <c r="J1215" s="8" t="n">
        <v>5.815</v>
      </c>
      <c r="K1215" s="8" t="n"/>
      <c r="L1215" s="15" t="n">
        <v>5.95</v>
      </c>
      <c r="M1215" s="8" t="n"/>
      <c r="N1215" s="8" t="n"/>
      <c r="O1215" s="8" t="n"/>
      <c r="P1215" s="8" t="n">
        <v>5.016</v>
      </c>
      <c r="Q1215" s="8" t="n"/>
      <c r="R1215" s="8" t="n"/>
      <c r="S1215" s="8" t="n"/>
      <c r="T1215" s="7" t="inlineStr">
        <is>
          <t>PLUSFARMA</t>
        </is>
      </c>
      <c r="U1215" s="8" t="n">
        <v>5.95</v>
      </c>
      <c r="V1215" s="14">
        <f>U1215/J1215-1</f>
        <v/>
      </c>
      <c r="W1215" s="14">
        <f>U1215/H1215-1</f>
        <v/>
      </c>
      <c r="X1215" s="16" t="inlineStr">
        <is>
          <t>ACIMA +2.3%</t>
        </is>
      </c>
      <c r="Y1215" s="7" t="inlineStr">
        <is>
          <t>NAZARIA: sem estoque</t>
        </is>
      </c>
    </row>
    <row r="1216">
      <c r="A1216" s="7" t="n">
        <v>554161</v>
      </c>
      <c r="B1216" s="12" t="inlineStr">
        <is>
          <t>7891010504779</t>
        </is>
      </c>
      <c r="C1216" s="7" t="inlineStr">
        <is>
          <t>CURATIVO TRANSPARENTE BAND AID C/10 UNIT</t>
        </is>
      </c>
      <c r="D1216" s="7" t="inlineStr">
        <is>
          <t>CURATIVO</t>
        </is>
      </c>
      <c r="E1216" s="7" t="inlineStr">
        <is>
          <t>B</t>
        </is>
      </c>
      <c r="F1216" s="13" t="n">
        <v>5</v>
      </c>
      <c r="G1216" s="13" t="n">
        <v>5</v>
      </c>
      <c r="H1216" s="8" t="n">
        <v>7.32</v>
      </c>
      <c r="I1216" s="8" t="n">
        <v>5.662</v>
      </c>
      <c r="J1216" s="8" t="n">
        <v>6.086066666666667</v>
      </c>
      <c r="K1216" s="8" t="n"/>
      <c r="L1216" s="8" t="n"/>
      <c r="M1216" s="15" t="n">
        <v>6.3</v>
      </c>
      <c r="N1216" s="8" t="n"/>
      <c r="O1216" s="8" t="n"/>
      <c r="P1216" s="8" t="n">
        <v>6.36</v>
      </c>
      <c r="Q1216" s="8" t="n"/>
      <c r="R1216" s="8" t="n"/>
      <c r="S1216" s="8" t="n"/>
      <c r="T1216" s="7" t="inlineStr">
        <is>
          <t>EPAN</t>
        </is>
      </c>
      <c r="U1216" s="8" t="n">
        <v>6.3</v>
      </c>
      <c r="V1216" s="14">
        <f>U1216/J1216-1</f>
        <v/>
      </c>
      <c r="W1216" s="14">
        <f>U1216/H1216-1</f>
        <v/>
      </c>
      <c r="X1216" s="17" t="inlineStr">
        <is>
          <t>OK (≤ últ. compra)</t>
        </is>
      </c>
      <c r="Y1216" s="7" t="inlineStr"/>
    </row>
    <row r="1217">
      <c r="A1217" s="7" t="n">
        <v>657061</v>
      </c>
      <c r="B1217" s="12" t="inlineStr">
        <is>
          <t>7898724830149</t>
        </is>
      </c>
      <c r="C1217" s="7" t="inlineStr">
        <is>
          <t>CURCUMA 60 CAPS CX/12 - BIOCEUTICA</t>
        </is>
      </c>
      <c r="D1217" s="7" t="inlineStr">
        <is>
          <t>VITAMINA E SIMILARES</t>
        </is>
      </c>
      <c r="E1217" s="7" t="inlineStr">
        <is>
          <t>B</t>
        </is>
      </c>
      <c r="F1217" s="13" t="n">
        <v>3</v>
      </c>
      <c r="G1217" s="13" t="n">
        <v>3</v>
      </c>
      <c r="H1217" s="8" t="n">
        <v>14.94</v>
      </c>
      <c r="I1217" s="8" t="n">
        <v>14.94</v>
      </c>
      <c r="J1217" s="8" t="n">
        <v>14.94</v>
      </c>
      <c r="K1217" s="8" t="n"/>
      <c r="L1217" s="8" t="n"/>
      <c r="M1217" s="8" t="n"/>
      <c r="N1217" s="8" t="n"/>
      <c r="O1217" s="8" t="n"/>
      <c r="P1217" s="8" t="n"/>
      <c r="Q1217" s="8" t="n"/>
      <c r="R1217" s="8" t="n"/>
      <c r="S1217" s="8" t="n"/>
      <c r="T1217" s="7" t="inlineStr">
        <is>
          <t>SEM COTAÇÃO</t>
        </is>
      </c>
      <c r="U1217" s="8" t="n"/>
      <c r="V1217" s="14" t="n"/>
      <c r="W1217" s="14" t="n"/>
      <c r="X1217" s="7" t="inlineStr"/>
      <c r="Y1217" s="7" t="inlineStr"/>
    </row>
    <row r="1218">
      <c r="A1218" s="7" t="n">
        <v>651401</v>
      </c>
      <c r="B1218" s="12" t="inlineStr">
        <is>
          <t>7896676440508</t>
        </is>
      </c>
      <c r="C1218" s="7" t="inlineStr">
        <is>
          <t>CUTISANOL BABY CREME 45G-DEMAIS PROD</t>
        </is>
      </c>
      <c r="D1218" s="7" t="inlineStr">
        <is>
          <t>RX - DERMO</t>
        </is>
      </c>
      <c r="E1218" s="7" t="inlineStr">
        <is>
          <t>C</t>
        </is>
      </c>
      <c r="F1218" s="13" t="n">
        <v>1</v>
      </c>
      <c r="G1218" s="13" t="n">
        <v>1</v>
      </c>
      <c r="H1218" s="8" t="n">
        <v>11.58</v>
      </c>
      <c r="I1218" s="8" t="n">
        <v>11.58</v>
      </c>
      <c r="J1218" s="8" t="n">
        <v>11.58</v>
      </c>
      <c r="K1218" s="8" t="n"/>
      <c r="L1218" s="8" t="n"/>
      <c r="M1218" s="15" t="n">
        <v>15.03</v>
      </c>
      <c r="N1218" s="8" t="n"/>
      <c r="O1218" s="8" t="n"/>
      <c r="P1218" s="8" t="n">
        <v>17.73</v>
      </c>
      <c r="Q1218" s="8" t="n"/>
      <c r="R1218" s="8" t="n"/>
      <c r="S1218" s="8" t="n"/>
      <c r="T1218" s="7" t="inlineStr">
        <is>
          <t>EPAN</t>
        </is>
      </c>
      <c r="U1218" s="8" t="n">
        <v>15.03</v>
      </c>
      <c r="V1218" s="14">
        <f>U1218/J1218-1</f>
        <v/>
      </c>
      <c r="W1218" s="14">
        <f>U1218/H1218-1</f>
        <v/>
      </c>
      <c r="X1218" s="16" t="inlineStr">
        <is>
          <t>ACIMA +29.8%</t>
        </is>
      </c>
      <c r="Y1218" s="7" t="inlineStr">
        <is>
          <t>NAZARIA: sem estoque</t>
        </is>
      </c>
    </row>
    <row r="1219">
      <c r="A1219" s="7" t="n">
        <v>605211</v>
      </c>
      <c r="B1219" s="12" t="inlineStr">
        <is>
          <t>7896316101424</t>
        </is>
      </c>
      <c r="C1219" s="7" t="inlineStr">
        <is>
          <t>CYCLOFEMINA 25MG+5MG/0,5ML SUS INJ 1 AMP X 0,5ML</t>
        </is>
      </c>
      <c r="D1219" s="7" t="inlineStr">
        <is>
          <t>RX</t>
        </is>
      </c>
      <c r="E1219" s="7" t="inlineStr">
        <is>
          <t>C</t>
        </is>
      </c>
      <c r="F1219" s="13" t="n">
        <v>7</v>
      </c>
      <c r="G1219" s="13" t="n">
        <v>7</v>
      </c>
      <c r="H1219" s="8" t="n">
        <v>27.9721</v>
      </c>
      <c r="I1219" s="8" t="n">
        <v>27.9721</v>
      </c>
      <c r="J1219" s="8" t="n">
        <v>27.9721</v>
      </c>
      <c r="K1219" s="8" t="n"/>
      <c r="L1219" s="8" t="n"/>
      <c r="M1219" s="8" t="n">
        <v>31.16</v>
      </c>
      <c r="N1219" s="8" t="n"/>
      <c r="O1219" s="8" t="n"/>
      <c r="P1219" s="15" t="n">
        <v>34.07</v>
      </c>
      <c r="Q1219" s="8" t="n"/>
      <c r="R1219" s="8" t="n"/>
      <c r="S1219" s="8" t="n"/>
      <c r="T1219" s="7" t="inlineStr">
        <is>
          <t>NAZARIA</t>
        </is>
      </c>
      <c r="U1219" s="8" t="n">
        <v>34.07</v>
      </c>
      <c r="V1219" s="14">
        <f>U1219/J1219-1</f>
        <v/>
      </c>
      <c r="W1219" s="14">
        <f>U1219/H1219-1</f>
        <v/>
      </c>
      <c r="X1219" s="16" t="inlineStr">
        <is>
          <t>ACIMA +21.8%</t>
        </is>
      </c>
      <c r="Y1219" s="7" t="inlineStr">
        <is>
          <t>EPAN: sem estoque</t>
        </is>
      </c>
    </row>
    <row r="1220">
      <c r="A1220" s="7" t="n">
        <v>576161</v>
      </c>
      <c r="B1220" s="12" t="inlineStr">
        <is>
          <t>7898965666996</t>
        </is>
      </c>
      <c r="C1220" s="7" t="inlineStr">
        <is>
          <t>DABELLE CCP 270G ABACATE NUTRITIVO</t>
        </is>
      </c>
      <c r="D1220" s="7" t="inlineStr">
        <is>
          <t>PERF/COSME</t>
        </is>
      </c>
      <c r="E1220" s="7" t="inlineStr">
        <is>
          <t>C</t>
        </is>
      </c>
      <c r="F1220" s="13" t="n">
        <v>1</v>
      </c>
      <c r="G1220" s="13" t="n">
        <v>1</v>
      </c>
      <c r="H1220" s="8" t="n">
        <v>10.58</v>
      </c>
      <c r="I1220" s="8" t="n">
        <v>10.58</v>
      </c>
      <c r="J1220" s="8" t="n">
        <v>10.58</v>
      </c>
      <c r="K1220" s="8" t="n"/>
      <c r="L1220" s="8" t="n"/>
      <c r="M1220" s="8" t="n"/>
      <c r="N1220" s="8" t="n"/>
      <c r="O1220" s="8" t="n"/>
      <c r="P1220" s="8" t="n"/>
      <c r="Q1220" s="8" t="n"/>
      <c r="R1220" s="8" t="n"/>
      <c r="S1220" s="8" t="n"/>
      <c r="T1220" s="7" t="inlineStr">
        <is>
          <t>SEM COTAÇÃO</t>
        </is>
      </c>
      <c r="U1220" s="8" t="n"/>
      <c r="V1220" s="14" t="n"/>
      <c r="W1220" s="14" t="n"/>
      <c r="X1220" s="7" t="inlineStr"/>
      <c r="Y1220" s="7" t="inlineStr"/>
    </row>
    <row r="1221">
      <c r="A1221" s="7" t="n">
        <v>589521</v>
      </c>
      <c r="B1221" s="12" t="inlineStr">
        <is>
          <t>7898965666521</t>
        </is>
      </c>
      <c r="C1221" s="7" t="inlineStr">
        <is>
          <t>DABELLE CCP 270G COCO PODEROSO 2</t>
        </is>
      </c>
      <c r="D1221" s="7" t="inlineStr">
        <is>
          <t>PERF/COSME</t>
        </is>
      </c>
      <c r="E1221" s="7" t="inlineStr">
        <is>
          <t>C</t>
        </is>
      </c>
      <c r="F1221" s="13" t="n">
        <v>1</v>
      </c>
      <c r="G1221" s="13" t="n">
        <v>1</v>
      </c>
      <c r="H1221" s="8" t="n">
        <v>10.23</v>
      </c>
      <c r="I1221" s="8" t="n">
        <v>10.23</v>
      </c>
      <c r="J1221" s="8" t="n">
        <v>10.23</v>
      </c>
      <c r="K1221" s="8" t="n"/>
      <c r="L1221" s="8" t="n"/>
      <c r="M1221" s="8" t="n"/>
      <c r="N1221" s="8" t="n"/>
      <c r="O1221" s="8" t="n"/>
      <c r="P1221" s="8" t="n"/>
      <c r="Q1221" s="8" t="n"/>
      <c r="R1221" s="8" t="n"/>
      <c r="S1221" s="8" t="n"/>
      <c r="T1221" s="7" t="inlineStr">
        <is>
          <t>SEM COTAÇÃO</t>
        </is>
      </c>
      <c r="U1221" s="8" t="n"/>
      <c r="V1221" s="14" t="n"/>
      <c r="W1221" s="14" t="n"/>
      <c r="X1221" s="7" t="inlineStr"/>
      <c r="Y1221" s="7" t="inlineStr"/>
    </row>
    <row r="1222">
      <c r="A1222" s="7" t="n">
        <v>589411</v>
      </c>
      <c r="B1222" s="12" t="inlineStr">
        <is>
          <t>7908448000626</t>
        </is>
      </c>
      <c r="C1222" s="7" t="inlineStr">
        <is>
          <t>DABELLE CCP 270G EXPLOSAO DE BRILHO</t>
        </is>
      </c>
      <c r="D1222" s="7" t="inlineStr">
        <is>
          <t>PERF/COSME</t>
        </is>
      </c>
      <c r="E1222" s="7" t="inlineStr">
        <is>
          <t>C</t>
        </is>
      </c>
      <c r="F1222" s="13" t="n">
        <v>1</v>
      </c>
      <c r="G1222" s="13" t="n">
        <v>1</v>
      </c>
      <c r="H1222" s="8" t="n">
        <v>10.23</v>
      </c>
      <c r="I1222" s="8" t="n">
        <v>10.23</v>
      </c>
      <c r="J1222" s="8" t="n">
        <v>10.23</v>
      </c>
      <c r="K1222" s="8" t="n"/>
      <c r="L1222" s="8" t="n"/>
      <c r="M1222" s="8" t="n"/>
      <c r="N1222" s="8" t="n"/>
      <c r="O1222" s="8" t="n"/>
      <c r="P1222" s="8" t="n"/>
      <c r="Q1222" s="8" t="n"/>
      <c r="R1222" s="8" t="n"/>
      <c r="S1222" s="8" t="n"/>
      <c r="T1222" s="7" t="inlineStr">
        <is>
          <t>SEM COTAÇÃO</t>
        </is>
      </c>
      <c r="U1222" s="8" t="n"/>
      <c r="V1222" s="14" t="n"/>
      <c r="W1222" s="14" t="n"/>
      <c r="X1222" s="7" t="inlineStr"/>
      <c r="Y1222" s="7" t="inlineStr"/>
    </row>
    <row r="1223">
      <c r="A1223" s="7" t="n">
        <v>576341</v>
      </c>
      <c r="B1223" s="12" t="inlineStr">
        <is>
          <t>7908448000367</t>
        </is>
      </c>
      <c r="C1223" s="7" t="inlineStr">
        <is>
          <t>DABELLE CCP 270G MEU CRONO PERFEITO</t>
        </is>
      </c>
      <c r="D1223" s="7" t="inlineStr">
        <is>
          <t>PERF/COSME</t>
        </is>
      </c>
      <c r="E1223" s="7" t="inlineStr">
        <is>
          <t>C</t>
        </is>
      </c>
      <c r="F1223" s="13" t="n">
        <v>5</v>
      </c>
      <c r="G1223" s="13" t="n">
        <v>5</v>
      </c>
      <c r="H1223" s="8" t="n">
        <v>10.58</v>
      </c>
      <c r="I1223" s="8" t="n">
        <v>10.58</v>
      </c>
      <c r="J1223" s="8" t="n">
        <v>10.58</v>
      </c>
      <c r="K1223" s="8" t="n"/>
      <c r="L1223" s="8" t="n"/>
      <c r="M1223" s="8" t="n"/>
      <c r="N1223" s="8" t="n"/>
      <c r="O1223" s="8" t="n"/>
      <c r="P1223" s="8" t="n"/>
      <c r="Q1223" s="8" t="n"/>
      <c r="R1223" s="8" t="n"/>
      <c r="S1223" s="8" t="n"/>
      <c r="T1223" s="7" t="inlineStr">
        <is>
          <t>SEM COTAÇÃO</t>
        </is>
      </c>
      <c r="U1223" s="8" t="n"/>
      <c r="V1223" s="14" t="n"/>
      <c r="W1223" s="14" t="n"/>
      <c r="X1223" s="7" t="inlineStr"/>
      <c r="Y1223" s="7" t="inlineStr"/>
    </row>
    <row r="1224">
      <c r="A1224" s="7" t="n">
        <v>589551</v>
      </c>
      <c r="B1224" s="12" t="inlineStr">
        <is>
          <t>7898965666569</t>
        </is>
      </c>
      <c r="C1224" s="7" t="inlineStr">
        <is>
          <t>DABELLE CCP 270G MICELAR PRECIOSO</t>
        </is>
      </c>
      <c r="D1224" s="7" t="inlineStr">
        <is>
          <t>PERF/COSME</t>
        </is>
      </c>
      <c r="E1224" s="7" t="inlineStr">
        <is>
          <t>C</t>
        </is>
      </c>
      <c r="F1224" s="13" t="n">
        <v>1</v>
      </c>
      <c r="G1224" s="13" t="n">
        <v>1</v>
      </c>
      <c r="H1224" s="8" t="n">
        <v>10.23</v>
      </c>
      <c r="I1224" s="8" t="n">
        <v>10.23</v>
      </c>
      <c r="J1224" s="8" t="n">
        <v>10.23</v>
      </c>
      <c r="K1224" s="8" t="n"/>
      <c r="L1224" s="8" t="n"/>
      <c r="M1224" s="8" t="n"/>
      <c r="N1224" s="8" t="n"/>
      <c r="O1224" s="8" t="n"/>
      <c r="P1224" s="8" t="n"/>
      <c r="Q1224" s="8" t="n"/>
      <c r="R1224" s="8" t="n"/>
      <c r="S1224" s="8" t="n"/>
      <c r="T1224" s="7" t="inlineStr">
        <is>
          <t>SEM COTAÇÃO</t>
        </is>
      </c>
      <c r="U1224" s="8" t="n"/>
      <c r="V1224" s="14" t="n"/>
      <c r="W1224" s="14" t="n"/>
      <c r="X1224" s="7" t="inlineStr"/>
      <c r="Y1224" s="7" t="inlineStr"/>
    </row>
    <row r="1225">
      <c r="A1225" s="7" t="n">
        <v>576021</v>
      </c>
      <c r="B1225" s="12" t="inlineStr">
        <is>
          <t>7898965666538</t>
        </is>
      </c>
      <c r="C1225" s="7" t="inlineStr">
        <is>
          <t>DABELLE CCP 270ML LISO ARRASADOR</t>
        </is>
      </c>
      <c r="D1225" s="7" t="inlineStr">
        <is>
          <t>PERF/COSME</t>
        </is>
      </c>
      <c r="E1225" s="7" t="inlineStr">
        <is>
          <t>C</t>
        </is>
      </c>
      <c r="F1225" s="13" t="n">
        <v>1</v>
      </c>
      <c r="G1225" s="13" t="n">
        <v>1</v>
      </c>
      <c r="H1225" s="8" t="n">
        <v>9.67</v>
      </c>
      <c r="I1225" s="8" t="n">
        <v>9.67</v>
      </c>
      <c r="J1225" s="8" t="n">
        <v>9.67</v>
      </c>
      <c r="K1225" s="8" t="n"/>
      <c r="L1225" s="8" t="n"/>
      <c r="M1225" s="8" t="n"/>
      <c r="N1225" s="8" t="n"/>
      <c r="O1225" s="8" t="n"/>
      <c r="P1225" s="8" t="n"/>
      <c r="Q1225" s="8" t="n"/>
      <c r="R1225" s="8" t="n"/>
      <c r="S1225" s="8" t="n"/>
      <c r="T1225" s="7" t="inlineStr">
        <is>
          <t>SEM COTAÇÃO</t>
        </is>
      </c>
      <c r="U1225" s="8" t="n"/>
      <c r="V1225" s="14" t="n"/>
      <c r="W1225" s="14" t="n"/>
      <c r="X1225" s="7" t="inlineStr"/>
      <c r="Y1225" s="7" t="inlineStr"/>
    </row>
    <row r="1226">
      <c r="A1226" s="7" t="n">
        <v>589471</v>
      </c>
      <c r="B1226" s="12" t="inlineStr">
        <is>
          <t>7908448000220</t>
        </is>
      </c>
      <c r="C1226" s="7" t="inlineStr">
        <is>
          <t>DABELLE CCT 400G LISO ARRASADOR</t>
        </is>
      </c>
      <c r="D1226" s="7" t="inlineStr">
        <is>
          <t>PERF/COSME</t>
        </is>
      </c>
      <c r="E1226" s="7" t="inlineStr">
        <is>
          <t>C</t>
        </is>
      </c>
      <c r="F1226" s="13" t="n">
        <v>1</v>
      </c>
      <c r="G1226" s="13" t="n">
        <v>1</v>
      </c>
      <c r="H1226" s="8" t="n">
        <v>15.83</v>
      </c>
      <c r="I1226" s="8" t="n">
        <v>15.83</v>
      </c>
      <c r="J1226" s="8" t="n">
        <v>15.83</v>
      </c>
      <c r="K1226" s="8" t="n"/>
      <c r="L1226" s="8" t="n"/>
      <c r="M1226" s="8" t="n"/>
      <c r="N1226" s="8" t="n"/>
      <c r="O1226" s="8" t="n"/>
      <c r="P1226" s="8" t="n"/>
      <c r="Q1226" s="8" t="n"/>
      <c r="R1226" s="8" t="n"/>
      <c r="S1226" s="8" t="n"/>
      <c r="T1226" s="7" t="inlineStr">
        <is>
          <t>SEM COTAÇÃO</t>
        </is>
      </c>
      <c r="U1226" s="8" t="n"/>
      <c r="V1226" s="14" t="n"/>
      <c r="W1226" s="14" t="n"/>
      <c r="X1226" s="7" t="inlineStr"/>
      <c r="Y1226" s="7" t="inlineStr"/>
    </row>
    <row r="1227">
      <c r="A1227" s="7" t="n">
        <v>576141</v>
      </c>
      <c r="B1227" s="12" t="inlineStr">
        <is>
          <t>7898965666958</t>
        </is>
      </c>
      <c r="C1227" s="7" t="inlineStr">
        <is>
          <t>DABELLE KIT SH+CO 450ML ABACATE NUTRITIV</t>
        </is>
      </c>
      <c r="D1227" s="7" t="inlineStr">
        <is>
          <t>PERF/COSME</t>
        </is>
      </c>
      <c r="E1227" s="7" t="inlineStr">
        <is>
          <t>C</t>
        </is>
      </c>
      <c r="F1227" s="13" t="n">
        <v>1</v>
      </c>
      <c r="G1227" s="13" t="n">
        <v>1</v>
      </c>
      <c r="H1227" s="8" t="n">
        <v>17.69</v>
      </c>
      <c r="I1227" s="8" t="n">
        <v>17.69</v>
      </c>
      <c r="J1227" s="8" t="n">
        <v>17.69</v>
      </c>
      <c r="K1227" s="8" t="n"/>
      <c r="L1227" s="8" t="n"/>
      <c r="M1227" s="8" t="n"/>
      <c r="N1227" s="8" t="n"/>
      <c r="O1227" s="8" t="n"/>
      <c r="P1227" s="8" t="n"/>
      <c r="Q1227" s="8" t="n"/>
      <c r="R1227" s="8" t="n"/>
      <c r="S1227" s="8" t="n"/>
      <c r="T1227" s="7" t="inlineStr">
        <is>
          <t>SEM COTAÇÃO</t>
        </is>
      </c>
      <c r="U1227" s="8" t="n"/>
      <c r="V1227" s="14" t="n"/>
      <c r="W1227" s="14" t="n"/>
      <c r="X1227" s="7" t="inlineStr"/>
      <c r="Y1227" s="7" t="inlineStr"/>
    </row>
    <row r="1228">
      <c r="A1228" s="7" t="n">
        <v>575981</v>
      </c>
      <c r="B1228" s="12" t="inlineStr">
        <is>
          <t>7898965666323</t>
        </is>
      </c>
      <c r="C1228" s="7" t="inlineStr">
        <is>
          <t>DABELLE KIT SH+CO 450ML CACHOS DA ONDA</t>
        </is>
      </c>
      <c r="D1228" s="7" t="inlineStr">
        <is>
          <t>PERF/COSME</t>
        </is>
      </c>
      <c r="E1228" s="7" t="inlineStr">
        <is>
          <t>C</t>
        </is>
      </c>
      <c r="F1228" s="13" t="n">
        <v>1</v>
      </c>
      <c r="G1228" s="13" t="n">
        <v>1</v>
      </c>
      <c r="H1228" s="8" t="n">
        <v>17.69</v>
      </c>
      <c r="I1228" s="8" t="n">
        <v>17.69</v>
      </c>
      <c r="J1228" s="8" t="n">
        <v>17.69</v>
      </c>
      <c r="K1228" s="8" t="n"/>
      <c r="L1228" s="8" t="n"/>
      <c r="M1228" s="8" t="n"/>
      <c r="N1228" s="8" t="n"/>
      <c r="O1228" s="8" t="n"/>
      <c r="P1228" s="8" t="n"/>
      <c r="Q1228" s="8" t="n"/>
      <c r="R1228" s="8" t="n"/>
      <c r="S1228" s="8" t="n"/>
      <c r="T1228" s="7" t="inlineStr">
        <is>
          <t>SEM COTAÇÃO</t>
        </is>
      </c>
      <c r="U1228" s="8" t="n"/>
      <c r="V1228" s="14" t="n"/>
      <c r="W1228" s="14" t="n"/>
      <c r="X1228" s="7" t="inlineStr"/>
      <c r="Y1228" s="7" t="inlineStr"/>
    </row>
    <row r="1229">
      <c r="A1229" s="7" t="n">
        <v>589511</v>
      </c>
      <c r="B1229" s="12" t="inlineStr">
        <is>
          <t>7898965666293</t>
        </is>
      </c>
      <c r="C1229" s="7" t="inlineStr">
        <is>
          <t>DABELLE KIT SH+CO 450ML COCO PODEROSO</t>
        </is>
      </c>
      <c r="D1229" s="7" t="inlineStr">
        <is>
          <t>PERF/COSME</t>
        </is>
      </c>
      <c r="E1229" s="7" t="inlineStr">
        <is>
          <t>C</t>
        </is>
      </c>
      <c r="F1229" s="13" t="n">
        <v>1</v>
      </c>
      <c r="G1229" s="13" t="n">
        <v>1</v>
      </c>
      <c r="H1229" s="8" t="n">
        <v>17.62</v>
      </c>
      <c r="I1229" s="8" t="n">
        <v>17.62</v>
      </c>
      <c r="J1229" s="8" t="n">
        <v>17.62</v>
      </c>
      <c r="K1229" s="8" t="n"/>
      <c r="L1229" s="8" t="n"/>
      <c r="M1229" s="8" t="n"/>
      <c r="N1229" s="8" t="n"/>
      <c r="O1229" s="8" t="n"/>
      <c r="P1229" s="8" t="n"/>
      <c r="Q1229" s="8" t="n"/>
      <c r="R1229" s="8" t="n"/>
      <c r="S1229" s="8" t="n"/>
      <c r="T1229" s="7" t="inlineStr">
        <is>
          <t>SEM COTAÇÃO</t>
        </is>
      </c>
      <c r="U1229" s="8" t="n"/>
      <c r="V1229" s="14" t="n"/>
      <c r="W1229" s="14" t="n"/>
      <c r="X1229" s="7" t="inlineStr"/>
      <c r="Y1229" s="7" t="inlineStr"/>
    </row>
    <row r="1230">
      <c r="A1230" s="7" t="n">
        <v>575941</v>
      </c>
      <c r="B1230" s="12" t="inlineStr">
        <is>
          <t>7898965666309</t>
        </is>
      </c>
      <c r="C1230" s="7" t="inlineStr">
        <is>
          <t>DABELLE KIT SH+CO 450ML LISO ARRASADOR</t>
        </is>
      </c>
      <c r="D1230" s="7" t="inlineStr">
        <is>
          <t>PERF/COSME</t>
        </is>
      </c>
      <c r="E1230" s="7" t="inlineStr">
        <is>
          <t>C</t>
        </is>
      </c>
      <c r="F1230" s="13" t="n">
        <v>1</v>
      </c>
      <c r="G1230" s="13" t="n">
        <v>1</v>
      </c>
      <c r="H1230" s="8" t="n">
        <v>17.69</v>
      </c>
      <c r="I1230" s="8" t="n">
        <v>17.69</v>
      </c>
      <c r="J1230" s="8" t="n">
        <v>17.69</v>
      </c>
      <c r="K1230" s="8" t="n"/>
      <c r="L1230" s="8" t="n"/>
      <c r="M1230" s="8" t="n"/>
      <c r="N1230" s="8" t="n"/>
      <c r="O1230" s="8" t="n"/>
      <c r="P1230" s="8" t="n"/>
      <c r="Q1230" s="8" t="n"/>
      <c r="R1230" s="8" t="n"/>
      <c r="S1230" s="8" t="n"/>
      <c r="T1230" s="7" t="inlineStr">
        <is>
          <t>SEM COTAÇÃO</t>
        </is>
      </c>
      <c r="U1230" s="8" t="n"/>
      <c r="V1230" s="14" t="n"/>
      <c r="W1230" s="14" t="n"/>
      <c r="X1230" s="7" t="inlineStr"/>
      <c r="Y1230" s="7" t="inlineStr"/>
    </row>
    <row r="1231">
      <c r="A1231" s="7" t="n">
        <v>589561</v>
      </c>
      <c r="B1231" s="12" t="inlineStr">
        <is>
          <t>7898965666330</t>
        </is>
      </c>
      <c r="C1231" s="7" t="inlineStr">
        <is>
          <t>DABELLE KIT SH+CO 450ML MICELAR PRECIOSO</t>
        </is>
      </c>
      <c r="D1231" s="7" t="inlineStr">
        <is>
          <t>PERF/COSME</t>
        </is>
      </c>
      <c r="E1231" s="7" t="inlineStr">
        <is>
          <t>C</t>
        </is>
      </c>
      <c r="F1231" s="13" t="n">
        <v>1</v>
      </c>
      <c r="G1231" s="13" t="n">
        <v>1</v>
      </c>
      <c r="H1231" s="8" t="n">
        <v>17.62</v>
      </c>
      <c r="I1231" s="8" t="n">
        <v>17.62</v>
      </c>
      <c r="J1231" s="8" t="n">
        <v>17.62</v>
      </c>
      <c r="K1231" s="8" t="n"/>
      <c r="L1231" s="8" t="n"/>
      <c r="M1231" s="8" t="n"/>
      <c r="N1231" s="8" t="n"/>
      <c r="O1231" s="8" t="n"/>
      <c r="P1231" s="8" t="n"/>
      <c r="Q1231" s="8" t="n"/>
      <c r="R1231" s="8" t="n"/>
      <c r="S1231" s="8" t="n"/>
      <c r="T1231" s="7" t="inlineStr">
        <is>
          <t>SEM COTAÇÃO</t>
        </is>
      </c>
      <c r="U1231" s="8" t="n"/>
      <c r="V1231" s="14" t="n"/>
      <c r="W1231" s="14" t="n"/>
      <c r="X1231" s="7" t="inlineStr"/>
      <c r="Y1231" s="7" t="inlineStr"/>
    </row>
    <row r="1232">
      <c r="A1232" s="7" t="n">
        <v>575961</v>
      </c>
      <c r="B1232" s="12" t="inlineStr">
        <is>
          <t>7898965666002</t>
        </is>
      </c>
      <c r="C1232" s="7" t="inlineStr">
        <is>
          <t>DABELLE KIT SH+CO 450ML RESGATA FIOS</t>
        </is>
      </c>
      <c r="D1232" s="7" t="inlineStr">
        <is>
          <t>PERF/COSME</t>
        </is>
      </c>
      <c r="E1232" s="7" t="inlineStr">
        <is>
          <t>C</t>
        </is>
      </c>
      <c r="F1232" s="13" t="n">
        <v>1</v>
      </c>
      <c r="G1232" s="13" t="n">
        <v>1</v>
      </c>
      <c r="H1232" s="8" t="n">
        <v>16.36</v>
      </c>
      <c r="I1232" s="8" t="n">
        <v>16.36</v>
      </c>
      <c r="J1232" s="8" t="n">
        <v>16.36</v>
      </c>
      <c r="K1232" s="8" t="n"/>
      <c r="L1232" s="8" t="n"/>
      <c r="M1232" s="8" t="n"/>
      <c r="N1232" s="8" t="n"/>
      <c r="O1232" s="8" t="n"/>
      <c r="P1232" s="8" t="n"/>
      <c r="Q1232" s="8" t="n"/>
      <c r="R1232" s="8" t="n"/>
      <c r="S1232" s="8" t="n"/>
      <c r="T1232" s="7" t="inlineStr">
        <is>
          <t>SEM COTAÇÃO</t>
        </is>
      </c>
      <c r="U1232" s="8" t="n"/>
      <c r="V1232" s="14" t="n"/>
      <c r="W1232" s="14" t="n"/>
      <c r="X1232" s="7" t="inlineStr"/>
      <c r="Y1232" s="7" t="inlineStr"/>
    </row>
    <row r="1233">
      <c r="A1233" s="7" t="n">
        <v>575921</v>
      </c>
      <c r="B1233" s="12" t="inlineStr">
        <is>
          <t>7898965666316</t>
        </is>
      </c>
      <c r="C1233" s="7" t="inlineStr">
        <is>
          <t>DABELLE KIT SH+CO 450ML SOS CRESCIMENTO</t>
        </is>
      </c>
      <c r="D1233" s="7" t="inlineStr">
        <is>
          <t>PERF/COSME</t>
        </is>
      </c>
      <c r="E1233" s="7" t="inlineStr">
        <is>
          <t>C</t>
        </is>
      </c>
      <c r="F1233" s="13" t="n">
        <v>1</v>
      </c>
      <c r="G1233" s="13" t="n">
        <v>1</v>
      </c>
      <c r="H1233" s="8" t="n">
        <v>17.68</v>
      </c>
      <c r="I1233" s="8" t="n">
        <v>17.68</v>
      </c>
      <c r="J1233" s="8" t="n">
        <v>17.68</v>
      </c>
      <c r="K1233" s="8" t="n"/>
      <c r="L1233" s="8" t="n"/>
      <c r="M1233" s="8" t="n"/>
      <c r="N1233" s="8" t="n"/>
      <c r="O1233" s="8" t="n"/>
      <c r="P1233" s="8" t="n"/>
      <c r="Q1233" s="8" t="n"/>
      <c r="R1233" s="8" t="n"/>
      <c r="S1233" s="8" t="n"/>
      <c r="T1233" s="7" t="inlineStr">
        <is>
          <t>SEM COTAÇÃO</t>
        </is>
      </c>
      <c r="U1233" s="8" t="n"/>
      <c r="V1233" s="14" t="n"/>
      <c r="W1233" s="14" t="n"/>
      <c r="X1233" s="7" t="inlineStr"/>
      <c r="Y1233" s="7" t="inlineStr"/>
    </row>
    <row r="1234">
      <c r="A1234" s="7" t="n">
        <v>576321</v>
      </c>
      <c r="B1234" s="12" t="inlineStr">
        <is>
          <t>7908448000473</t>
        </is>
      </c>
      <c r="C1234" s="7" t="inlineStr">
        <is>
          <t>DABELLE KIT SH250+CO175ML MEU CRONO PERF</t>
        </is>
      </c>
      <c r="D1234" s="7" t="inlineStr">
        <is>
          <t>PERF/COSME</t>
        </is>
      </c>
      <c r="E1234" s="7" t="inlineStr">
        <is>
          <t>C</t>
        </is>
      </c>
      <c r="F1234" s="13" t="n">
        <v>1</v>
      </c>
      <c r="G1234" s="13" t="n">
        <v>1</v>
      </c>
      <c r="H1234" s="8" t="n">
        <v>17.69</v>
      </c>
      <c r="I1234" s="8" t="n">
        <v>17.69</v>
      </c>
      <c r="J1234" s="8" t="n">
        <v>17.69</v>
      </c>
      <c r="K1234" s="8" t="n"/>
      <c r="L1234" s="8" t="n"/>
      <c r="M1234" s="8" t="n"/>
      <c r="N1234" s="8" t="n"/>
      <c r="O1234" s="8" t="n"/>
      <c r="P1234" s="8" t="n"/>
      <c r="Q1234" s="8" t="n"/>
      <c r="R1234" s="8" t="n"/>
      <c r="S1234" s="8" t="n"/>
      <c r="T1234" s="7" t="inlineStr">
        <is>
          <t>SEM COTAÇÃO</t>
        </is>
      </c>
      <c r="U1234" s="8" t="n"/>
      <c r="V1234" s="14" t="n"/>
      <c r="W1234" s="14" t="n"/>
      <c r="X1234" s="7" t="inlineStr"/>
      <c r="Y1234" s="7" t="inlineStr"/>
    </row>
    <row r="1235">
      <c r="A1235" s="7" t="n">
        <v>635881</v>
      </c>
      <c r="B1235" s="12" t="inlineStr">
        <is>
          <t>7908448004860</t>
        </is>
      </c>
      <c r="C1235" s="7" t="inlineStr">
        <is>
          <t>DABELLE OLEO CAP 45ML ARGAN</t>
        </is>
      </c>
      <c r="D1235" s="7" t="inlineStr">
        <is>
          <t>PERF/COSME</t>
        </is>
      </c>
      <c r="E1235" s="7" t="inlineStr">
        <is>
          <t>C</t>
        </is>
      </c>
      <c r="F1235" s="13" t="n">
        <v>1</v>
      </c>
      <c r="G1235" s="13" t="n">
        <v>1</v>
      </c>
      <c r="H1235" s="8" t="n">
        <v>19.5</v>
      </c>
      <c r="I1235" s="8" t="n">
        <v>19.5</v>
      </c>
      <c r="J1235" s="8" t="n">
        <v>19.5</v>
      </c>
      <c r="K1235" s="8" t="n"/>
      <c r="L1235" s="8" t="n"/>
      <c r="M1235" s="8" t="n"/>
      <c r="N1235" s="8" t="n"/>
      <c r="O1235" s="8" t="n"/>
      <c r="P1235" s="8" t="n"/>
      <c r="Q1235" s="8" t="n"/>
      <c r="R1235" s="8" t="n"/>
      <c r="S1235" s="8" t="n"/>
      <c r="T1235" s="7" t="inlineStr">
        <is>
          <t>SEM COTAÇÃO</t>
        </is>
      </c>
      <c r="U1235" s="8" t="n"/>
      <c r="V1235" s="14" t="n"/>
      <c r="W1235" s="14" t="n"/>
      <c r="X1235" s="7" t="inlineStr"/>
      <c r="Y1235" s="7" t="inlineStr"/>
    </row>
    <row r="1236">
      <c r="A1236" s="7" t="n">
        <v>635901</v>
      </c>
      <c r="B1236" s="12" t="inlineStr">
        <is>
          <t>7908448004945</t>
        </is>
      </c>
      <c r="C1236" s="7" t="inlineStr">
        <is>
          <t>DABELLE OLEO CAP 45ML ROSA MOSQUETA</t>
        </is>
      </c>
      <c r="D1236" s="7" t="inlineStr">
        <is>
          <t>PERF/COSME</t>
        </is>
      </c>
      <c r="E1236" s="7" t="inlineStr">
        <is>
          <t>B</t>
        </is>
      </c>
      <c r="F1236" s="13" t="n">
        <v>3</v>
      </c>
      <c r="G1236" s="13" t="n">
        <v>3</v>
      </c>
      <c r="H1236" s="8" t="n">
        <v>15.97</v>
      </c>
      <c r="I1236" s="8" t="n">
        <v>15.97</v>
      </c>
      <c r="J1236" s="8" t="n">
        <v>15.97</v>
      </c>
      <c r="K1236" s="8" t="n"/>
      <c r="L1236" s="8" t="n"/>
      <c r="M1236" s="8" t="n"/>
      <c r="N1236" s="8" t="n"/>
      <c r="O1236" s="8" t="n"/>
      <c r="P1236" s="8" t="n"/>
      <c r="Q1236" s="8" t="n"/>
      <c r="R1236" s="8" t="n"/>
      <c r="S1236" s="8" t="n"/>
      <c r="T1236" s="7" t="inlineStr">
        <is>
          <t>SEM COTAÇÃO</t>
        </is>
      </c>
      <c r="U1236" s="8" t="n"/>
      <c r="V1236" s="14" t="n"/>
      <c r="W1236" s="14" t="n"/>
      <c r="X1236" s="7" t="inlineStr"/>
      <c r="Y1236" s="7" t="inlineStr"/>
    </row>
    <row r="1237">
      <c r="A1237" s="7" t="n">
        <v>586781</v>
      </c>
      <c r="B1237" s="12" t="inlineStr">
        <is>
          <t>7898965666613</t>
        </is>
      </c>
      <c r="C1237" s="7" t="inlineStr">
        <is>
          <t>DABELLE OLEO MAGICO 40ML BLEND OLEOS</t>
        </is>
      </c>
      <c r="D1237" s="7" t="inlineStr">
        <is>
          <t>PERF/COSME</t>
        </is>
      </c>
      <c r="E1237" s="7" t="inlineStr">
        <is>
          <t>C</t>
        </is>
      </c>
      <c r="F1237" s="13" t="n">
        <v>2</v>
      </c>
      <c r="G1237" s="13" t="n">
        <v>2</v>
      </c>
      <c r="H1237" s="8" t="n">
        <v>17.05</v>
      </c>
      <c r="I1237" s="8" t="n">
        <v>17.05</v>
      </c>
      <c r="J1237" s="8" t="n">
        <v>17.05</v>
      </c>
      <c r="K1237" s="8" t="n"/>
      <c r="L1237" s="8" t="n"/>
      <c r="M1237" s="8" t="n"/>
      <c r="N1237" s="8" t="n"/>
      <c r="O1237" s="8" t="n"/>
      <c r="P1237" s="8" t="n"/>
      <c r="Q1237" s="8" t="n"/>
      <c r="R1237" s="8" t="n"/>
      <c r="S1237" s="8" t="n"/>
      <c r="T1237" s="7" t="inlineStr">
        <is>
          <t>SEM COTAÇÃO</t>
        </is>
      </c>
      <c r="U1237" s="8" t="n"/>
      <c r="V1237" s="14" t="n"/>
      <c r="W1237" s="14" t="n"/>
      <c r="X1237" s="7" t="inlineStr"/>
      <c r="Y1237" s="7" t="inlineStr"/>
    </row>
    <row r="1238">
      <c r="A1238" s="7" t="n">
        <v>596181</v>
      </c>
      <c r="B1238" s="12" t="inlineStr">
        <is>
          <t>7898965666750</t>
        </is>
      </c>
      <c r="C1238" s="7" t="inlineStr">
        <is>
          <t>DABELLE OLEO MAGICO 40ML COCO</t>
        </is>
      </c>
      <c r="D1238" s="7" t="inlineStr">
        <is>
          <t>COND/SHAM/CREM/SIMILARES</t>
        </is>
      </c>
      <c r="E1238" s="7" t="inlineStr">
        <is>
          <t>B</t>
        </is>
      </c>
      <c r="F1238" s="13" t="n">
        <v>2</v>
      </c>
      <c r="G1238" s="13" t="n">
        <v>2</v>
      </c>
      <c r="H1238" s="8" t="n">
        <v>11.69</v>
      </c>
      <c r="I1238" s="8" t="n">
        <v>11.69</v>
      </c>
      <c r="J1238" s="8" t="n">
        <v>11.69</v>
      </c>
      <c r="K1238" s="8" t="n"/>
      <c r="L1238" s="8" t="n"/>
      <c r="M1238" s="8" t="n"/>
      <c r="N1238" s="8" t="n"/>
      <c r="O1238" s="8" t="n"/>
      <c r="P1238" s="8" t="n"/>
      <c r="Q1238" s="8" t="n"/>
      <c r="R1238" s="8" t="n"/>
      <c r="S1238" s="8" t="n"/>
      <c r="T1238" s="7" t="inlineStr">
        <is>
          <t>SEM COTAÇÃO</t>
        </is>
      </c>
      <c r="U1238" s="8" t="n"/>
      <c r="V1238" s="14" t="n"/>
      <c r="W1238" s="14" t="n"/>
      <c r="X1238" s="7" t="inlineStr"/>
      <c r="Y1238" s="7" t="inlineStr"/>
    </row>
    <row r="1239">
      <c r="A1239" s="7" t="n">
        <v>604811</v>
      </c>
      <c r="B1239" s="12" t="inlineStr">
        <is>
          <t>7898965666583</t>
        </is>
      </c>
      <c r="C1239" s="7" t="inlineStr">
        <is>
          <t>DABELLE OLEO MAGICO 40ML OLIVA E BABOSA</t>
        </is>
      </c>
      <c r="D1239" s="7" t="inlineStr">
        <is>
          <t>PERF/COSME</t>
        </is>
      </c>
      <c r="E1239" s="7" t="inlineStr">
        <is>
          <t>C</t>
        </is>
      </c>
      <c r="F1239" s="13" t="n">
        <v>2</v>
      </c>
      <c r="G1239" s="13" t="n">
        <v>2</v>
      </c>
      <c r="H1239" s="8" t="n">
        <v>17.05</v>
      </c>
      <c r="I1239" s="8" t="n">
        <v>17.05</v>
      </c>
      <c r="J1239" s="8" t="n">
        <v>17.05</v>
      </c>
      <c r="K1239" s="8" t="n"/>
      <c r="L1239" s="8" t="n"/>
      <c r="M1239" s="8" t="n"/>
      <c r="N1239" s="8" t="n"/>
      <c r="O1239" s="8" t="n"/>
      <c r="P1239" s="8" t="n"/>
      <c r="Q1239" s="8" t="n"/>
      <c r="R1239" s="8" t="n"/>
      <c r="S1239" s="8" t="n"/>
      <c r="T1239" s="7" t="inlineStr">
        <is>
          <t>SEM COTAÇÃO</t>
        </is>
      </c>
      <c r="U1239" s="8" t="n"/>
      <c r="V1239" s="14" t="n"/>
      <c r="W1239" s="14" t="n"/>
      <c r="X1239" s="7" t="inlineStr"/>
      <c r="Y1239" s="7" t="inlineStr"/>
    </row>
    <row r="1240">
      <c r="A1240" s="7" t="n">
        <v>604821</v>
      </c>
      <c r="B1240" s="12" t="inlineStr">
        <is>
          <t>7898965666767</t>
        </is>
      </c>
      <c r="C1240" s="7" t="inlineStr">
        <is>
          <t>DABELLE OLEO MAGICO 40ML RICINO</t>
        </is>
      </c>
      <c r="D1240" s="7" t="inlineStr">
        <is>
          <t>PERF/COSME</t>
        </is>
      </c>
      <c r="E1240" s="7" t="inlineStr">
        <is>
          <t>C</t>
        </is>
      </c>
      <c r="F1240" s="13" t="n">
        <v>2</v>
      </c>
      <c r="G1240" s="13" t="n">
        <v>2</v>
      </c>
      <c r="H1240" s="8" t="n">
        <v>17.05</v>
      </c>
      <c r="I1240" s="8" t="n">
        <v>17.05</v>
      </c>
      <c r="J1240" s="8" t="n">
        <v>17.05</v>
      </c>
      <c r="K1240" s="8" t="n"/>
      <c r="L1240" s="8" t="n"/>
      <c r="M1240" s="8" t="n"/>
      <c r="N1240" s="8" t="n"/>
      <c r="O1240" s="8" t="n"/>
      <c r="P1240" s="8" t="n"/>
      <c r="Q1240" s="8" t="n"/>
      <c r="R1240" s="8" t="n"/>
      <c r="S1240" s="8" t="n"/>
      <c r="T1240" s="7" t="inlineStr">
        <is>
          <t>SEM COTAÇÃO</t>
        </is>
      </c>
      <c r="U1240" s="8" t="n"/>
      <c r="V1240" s="14" t="n"/>
      <c r="W1240" s="14" t="n"/>
      <c r="X1240" s="7" t="inlineStr"/>
      <c r="Y1240" s="7" t="inlineStr"/>
    </row>
    <row r="1241">
      <c r="A1241" s="7" t="n">
        <v>604831</v>
      </c>
      <c r="B1241" s="12" t="inlineStr">
        <is>
          <t>7908448000176</t>
        </is>
      </c>
      <c r="C1241" s="7" t="inlineStr">
        <is>
          <t>DABELLE SELAGEM 180ML MAGIC LISO ARRASAD</t>
        </is>
      </c>
      <c r="D1241" s="7" t="inlineStr">
        <is>
          <t>PERF/COSME</t>
        </is>
      </c>
      <c r="E1241" s="7" t="inlineStr">
        <is>
          <t>C</t>
        </is>
      </c>
      <c r="F1241" s="13" t="n">
        <v>1</v>
      </c>
      <c r="G1241" s="13" t="n">
        <v>1</v>
      </c>
      <c r="H1241" s="8" t="n">
        <v>25.82</v>
      </c>
      <c r="I1241" s="8" t="n">
        <v>25.82</v>
      </c>
      <c r="J1241" s="8" t="n">
        <v>25.82</v>
      </c>
      <c r="K1241" s="8" t="n"/>
      <c r="L1241" s="8" t="n"/>
      <c r="M1241" s="8" t="n"/>
      <c r="N1241" s="8" t="n"/>
      <c r="O1241" s="8" t="n"/>
      <c r="P1241" s="8" t="n"/>
      <c r="Q1241" s="8" t="n"/>
      <c r="R1241" s="8" t="n"/>
      <c r="S1241" s="8" t="n"/>
      <c r="T1241" s="7" t="inlineStr">
        <is>
          <t>SEM COTAÇÃO</t>
        </is>
      </c>
      <c r="U1241" s="8" t="n"/>
      <c r="V1241" s="14" t="n"/>
      <c r="W1241" s="14" t="n"/>
      <c r="X1241" s="7" t="inlineStr"/>
      <c r="Y1241" s="7" t="inlineStr"/>
    </row>
    <row r="1242">
      <c r="A1242" s="7" t="n">
        <v>347821</v>
      </c>
      <c r="B1242" s="12" t="inlineStr">
        <is>
          <t>7896212479825</t>
        </is>
      </c>
      <c r="C1242" s="7" t="inlineStr">
        <is>
          <t>DAKTARIN GEL ORAL 20MG/G GEL ORAL BG 40G</t>
        </is>
      </c>
      <c r="D1242" s="7" t="inlineStr">
        <is>
          <t>RX</t>
        </is>
      </c>
      <c r="E1242" s="7" t="inlineStr">
        <is>
          <t>C</t>
        </is>
      </c>
      <c r="F1242" s="13" t="n">
        <v>1</v>
      </c>
      <c r="G1242" s="13" t="n">
        <v>1</v>
      </c>
      <c r="H1242" s="8" t="n">
        <v>35.785</v>
      </c>
      <c r="I1242" s="8" t="n">
        <v>35.785</v>
      </c>
      <c r="J1242" s="8" t="n">
        <v>35.785</v>
      </c>
      <c r="K1242" s="8" t="n"/>
      <c r="L1242" s="8" t="n"/>
      <c r="M1242" s="8" t="n"/>
      <c r="N1242" s="8" t="n"/>
      <c r="O1242" s="8" t="n"/>
      <c r="P1242" s="8" t="n"/>
      <c r="Q1242" s="8" t="n"/>
      <c r="R1242" s="8" t="n"/>
      <c r="S1242" s="8" t="n"/>
      <c r="T1242" s="7" t="inlineStr">
        <is>
          <t>SEM COTAÇÃO</t>
        </is>
      </c>
      <c r="U1242" s="8" t="n"/>
      <c r="V1242" s="14" t="n"/>
      <c r="W1242" s="14" t="n"/>
      <c r="X1242" s="7" t="inlineStr"/>
      <c r="Y1242" s="7" t="inlineStr"/>
    </row>
    <row r="1243">
      <c r="A1243" s="7" t="n">
        <v>238741</v>
      </c>
      <c r="B1243" s="12" t="inlineStr">
        <is>
          <t>7894916509831</t>
        </is>
      </c>
      <c r="C1243" s="7" t="inlineStr">
        <is>
          <t>DALYNE 3+0,03MG CAIXA C/ 3 CARTELAS</t>
        </is>
      </c>
      <c r="D1243" s="7" t="inlineStr">
        <is>
          <t>RX</t>
        </is>
      </c>
      <c r="E1243" s="7" t="inlineStr">
        <is>
          <t>B</t>
        </is>
      </c>
      <c r="F1243" s="13" t="n">
        <v>1</v>
      </c>
      <c r="G1243" s="13" t="n">
        <v>1</v>
      </c>
      <c r="H1243" s="8" t="n">
        <v>31.4767</v>
      </c>
      <c r="I1243" s="8" t="n">
        <v>31.4767</v>
      </c>
      <c r="J1243" s="8" t="n">
        <v>31.4767</v>
      </c>
      <c r="K1243" s="8" t="n"/>
      <c r="L1243" s="8" t="n"/>
      <c r="M1243" s="8" t="n"/>
      <c r="N1243" s="8" t="n"/>
      <c r="O1243" s="8" t="n"/>
      <c r="P1243" s="15" t="n">
        <v>93.25875000000001</v>
      </c>
      <c r="Q1243" s="8" t="n"/>
      <c r="R1243" s="8" t="n"/>
      <c r="S1243" s="8" t="n"/>
      <c r="T1243" s="7" t="inlineStr">
        <is>
          <t>NAZARIA</t>
        </is>
      </c>
      <c r="U1243" s="8" t="n">
        <v>93.25875000000001</v>
      </c>
      <c r="V1243" s="14">
        <f>U1243/J1243-1</f>
        <v/>
      </c>
      <c r="W1243" s="14">
        <f>U1243/H1243-1</f>
        <v/>
      </c>
      <c r="X1243" s="16" t="inlineStr">
        <is>
          <t>ACIMA +196.3%</t>
        </is>
      </c>
      <c r="Y1243" s="7" t="inlineStr">
        <is>
          <t>NAZARIA: conferir emb.</t>
        </is>
      </c>
    </row>
    <row r="1244">
      <c r="A1244" s="7" t="n">
        <v>599291</v>
      </c>
      <c r="B1244" s="12" t="inlineStr">
        <is>
          <t>7891025111832</t>
        </is>
      </c>
      <c r="C1244" s="7" t="inlineStr">
        <is>
          <t>DANONE APTAMIL PREMIUM 1 LT 400G</t>
        </is>
      </c>
      <c r="D1244" s="7" t="inlineStr">
        <is>
          <t>ALIMENTOS LACTEOS, DERIVADOS E SIMILARES</t>
        </is>
      </c>
      <c r="E1244" s="7" t="inlineStr">
        <is>
          <t>B</t>
        </is>
      </c>
      <c r="F1244" s="13" t="n">
        <v>8</v>
      </c>
      <c r="G1244" s="13" t="n">
        <v>8</v>
      </c>
      <c r="H1244" s="8" t="n">
        <v>35.372</v>
      </c>
      <c r="I1244" s="8" t="n">
        <v>33.5244</v>
      </c>
      <c r="J1244" s="8" t="n">
        <v>34.75613333333333</v>
      </c>
      <c r="K1244" s="8" t="n"/>
      <c r="L1244" s="8" t="n"/>
      <c r="M1244" s="15" t="n">
        <v>30.85</v>
      </c>
      <c r="N1244" s="8" t="n"/>
      <c r="O1244" s="8" t="n"/>
      <c r="P1244" s="8" t="n">
        <v>41.53</v>
      </c>
      <c r="Q1244" s="8" t="n"/>
      <c r="R1244" s="8" t="n"/>
      <c r="S1244" s="8" t="n"/>
      <c r="T1244" s="7" t="inlineStr">
        <is>
          <t>EPAN</t>
        </is>
      </c>
      <c r="U1244" s="8" t="n">
        <v>30.85</v>
      </c>
      <c r="V1244" s="14">
        <f>U1244/J1244-1</f>
        <v/>
      </c>
      <c r="W1244" s="14">
        <f>U1244/H1244-1</f>
        <v/>
      </c>
      <c r="X1244" s="17" t="inlineStr">
        <is>
          <t>OK (≤ menor hist.)</t>
        </is>
      </c>
      <c r="Y1244" s="7" t="inlineStr"/>
    </row>
    <row r="1245">
      <c r="A1245" s="7" t="n">
        <v>667171</v>
      </c>
      <c r="B1245" s="12" t="inlineStr">
        <is>
          <t>7891025124481</t>
        </is>
      </c>
      <c r="C1245" s="7" t="inlineStr">
        <is>
          <t>DANONE KIDS LIQUIDO MORANGO 20X150G</t>
        </is>
      </c>
      <c r="D1245" s="7" t="inlineStr">
        <is>
          <t>BEBIDAS GERAL</t>
        </is>
      </c>
      <c r="E1245" s="7" t="inlineStr">
        <is>
          <t>C</t>
        </is>
      </c>
      <c r="F1245" s="13" t="n">
        <v>6</v>
      </c>
      <c r="G1245" s="13" t="n">
        <v>6</v>
      </c>
      <c r="H1245" s="8" t="n">
        <v>3.335</v>
      </c>
      <c r="I1245" s="8" t="n">
        <v>3.2383</v>
      </c>
      <c r="J1245" s="8" t="n">
        <v>3.302766666666667</v>
      </c>
      <c r="K1245" s="8" t="n"/>
      <c r="L1245" s="8" t="n"/>
      <c r="M1245" s="8" t="n"/>
      <c r="N1245" s="8" t="n"/>
      <c r="O1245" s="8" t="n"/>
      <c r="P1245" s="8" t="n"/>
      <c r="Q1245" s="8" t="n"/>
      <c r="R1245" s="8" t="n"/>
      <c r="S1245" s="8" t="n"/>
      <c r="T1245" s="7" t="inlineStr">
        <is>
          <t>SEM COTAÇÃO</t>
        </is>
      </c>
      <c r="U1245" s="8" t="n"/>
      <c r="V1245" s="14" t="n"/>
      <c r="W1245" s="14" t="n"/>
      <c r="X1245" s="7" t="inlineStr"/>
      <c r="Y1245" s="7" t="inlineStr"/>
    </row>
    <row r="1246">
      <c r="A1246" s="7" t="n">
        <v>609541</v>
      </c>
      <c r="B1246" s="12" t="inlineStr">
        <is>
          <t>7891025101376</t>
        </is>
      </c>
      <c r="C1246" s="7" t="inlineStr">
        <is>
          <t>DANONE LIQ MORANGO 170G *185</t>
        </is>
      </c>
      <c r="D1246" s="7" t="inlineStr">
        <is>
          <t>BEBIDAS GERAL</t>
        </is>
      </c>
      <c r="E1246" s="7" t="inlineStr">
        <is>
          <t>C</t>
        </is>
      </c>
      <c r="F1246" s="13" t="n">
        <v>6</v>
      </c>
      <c r="G1246" s="13" t="n">
        <v>6</v>
      </c>
      <c r="H1246" s="8" t="n">
        <v>3.6608</v>
      </c>
      <c r="I1246" s="8" t="n">
        <v>2.859</v>
      </c>
      <c r="J1246" s="8" t="n">
        <v>3.393533333333334</v>
      </c>
      <c r="K1246" s="8" t="n"/>
      <c r="L1246" s="8" t="n"/>
      <c r="M1246" s="8" t="n"/>
      <c r="N1246" s="8" t="n"/>
      <c r="O1246" s="8" t="n"/>
      <c r="P1246" s="8" t="n"/>
      <c r="Q1246" s="8" t="n"/>
      <c r="R1246" s="8" t="n"/>
      <c r="S1246" s="8" t="n"/>
      <c r="T1246" s="7" t="inlineStr">
        <is>
          <t>SEM COTAÇÃO</t>
        </is>
      </c>
      <c r="U1246" s="8" t="n"/>
      <c r="V1246" s="14" t="n"/>
      <c r="W1246" s="14" t="n"/>
      <c r="X1246" s="7" t="inlineStr"/>
      <c r="Y1246" s="7" t="inlineStr"/>
    </row>
    <row r="1247">
      <c r="A1247" s="7" t="n">
        <v>656141</v>
      </c>
      <c r="B1247" s="12" t="inlineStr">
        <is>
          <t>7891025124863</t>
        </is>
      </c>
      <c r="C1247" s="7" t="inlineStr">
        <is>
          <t>DANONE LIQUIDO MORANGO COM AVEIA 20X170G</t>
        </is>
      </c>
      <c r="D1247" s="7" t="inlineStr">
        <is>
          <t>CONVENIENCIA</t>
        </is>
      </c>
      <c r="E1247" s="7" t="inlineStr">
        <is>
          <t>C</t>
        </is>
      </c>
      <c r="F1247" s="13" t="n">
        <v>1</v>
      </c>
      <c r="G1247" s="13" t="n">
        <v>1</v>
      </c>
      <c r="H1247" s="8" t="n">
        <v>3.318</v>
      </c>
      <c r="I1247" s="8" t="n">
        <v>3.318</v>
      </c>
      <c r="J1247" s="8" t="n">
        <v>3.318</v>
      </c>
      <c r="K1247" s="8" t="n"/>
      <c r="L1247" s="8" t="n"/>
      <c r="M1247" s="8" t="n"/>
      <c r="N1247" s="8" t="n"/>
      <c r="O1247" s="8" t="n"/>
      <c r="P1247" s="8" t="n"/>
      <c r="Q1247" s="8" t="n"/>
      <c r="R1247" s="8" t="n"/>
      <c r="S1247" s="8" t="n"/>
      <c r="T1247" s="7" t="inlineStr">
        <is>
          <t>SEM COTAÇÃO</t>
        </is>
      </c>
      <c r="U1247" s="8" t="n"/>
      <c r="V1247" s="14" t="n"/>
      <c r="W1247" s="14" t="n"/>
      <c r="X1247" s="7" t="inlineStr"/>
      <c r="Y1247" s="7" t="inlineStr"/>
    </row>
    <row r="1248">
      <c r="A1248" s="7" t="n">
        <v>667161</v>
      </c>
      <c r="B1248" s="12" t="inlineStr">
        <is>
          <t>7891025120230</t>
        </is>
      </c>
      <c r="C1248" s="7" t="inlineStr">
        <is>
          <t>DANONE NATURAL INTEGRAL MSL 20X160G</t>
        </is>
      </c>
      <c r="D1248" s="7" t="inlineStr">
        <is>
          <t>BEBIDAS GERAL</t>
        </is>
      </c>
      <c r="E1248" s="7" t="inlineStr">
        <is>
          <t>C</t>
        </is>
      </c>
      <c r="F1248" s="13" t="n">
        <v>1</v>
      </c>
      <c r="G1248" s="13" t="n">
        <v>1</v>
      </c>
      <c r="H1248" s="8" t="n">
        <v>2.99</v>
      </c>
      <c r="I1248" s="8" t="n">
        <v>2.99</v>
      </c>
      <c r="J1248" s="8" t="n">
        <v>2.99</v>
      </c>
      <c r="K1248" s="8" t="n"/>
      <c r="L1248" s="8" t="n"/>
      <c r="M1248" s="8" t="n"/>
      <c r="N1248" s="8" t="n"/>
      <c r="O1248" s="8" t="n"/>
      <c r="P1248" s="8" t="n"/>
      <c r="Q1248" s="8" t="n"/>
      <c r="R1248" s="8" t="n"/>
      <c r="S1248" s="8" t="n"/>
      <c r="T1248" s="7" t="inlineStr">
        <is>
          <t>SEM COTAÇÃO</t>
        </is>
      </c>
      <c r="U1248" s="8" t="n"/>
      <c r="V1248" s="14" t="n"/>
      <c r="W1248" s="14" t="n"/>
      <c r="X1248" s="7" t="inlineStr"/>
      <c r="Y1248" s="7" t="inlineStr"/>
    </row>
    <row r="1249">
      <c r="A1249" s="7" t="n">
        <v>584201</v>
      </c>
      <c r="B1249" s="12" t="inlineStr">
        <is>
          <t>7891025106067</t>
        </is>
      </c>
      <c r="C1249" s="7" t="inlineStr">
        <is>
          <t>DANONINHO PARA BEBER MORANGO 100G</t>
        </is>
      </c>
      <c r="D1249" s="7" t="inlineStr">
        <is>
          <t>ALIMENTOS LACTEOS, DERIVADOS E SIMILARES</t>
        </is>
      </c>
      <c r="E1249" s="7" t="inlineStr">
        <is>
          <t>C</t>
        </is>
      </c>
      <c r="F1249" s="13" t="n">
        <v>4</v>
      </c>
      <c r="G1249" s="13" t="n">
        <v>4</v>
      </c>
      <c r="H1249" s="8" t="n">
        <v>3.2775</v>
      </c>
      <c r="I1249" s="8" t="n">
        <v>2.5567</v>
      </c>
      <c r="J1249" s="8" t="n">
        <v>3.037233333333333</v>
      </c>
      <c r="K1249" s="8" t="n"/>
      <c r="L1249" s="8" t="n"/>
      <c r="M1249" s="8" t="n"/>
      <c r="N1249" s="8" t="n"/>
      <c r="O1249" s="8" t="n"/>
      <c r="P1249" s="8" t="n"/>
      <c r="Q1249" s="8" t="n"/>
      <c r="R1249" s="8" t="n"/>
      <c r="S1249" s="8" t="n"/>
      <c r="T1249" s="7" t="inlineStr">
        <is>
          <t>SEM COTAÇÃO</t>
        </is>
      </c>
      <c r="U1249" s="8" t="n"/>
      <c r="V1249" s="14" t="n"/>
      <c r="W1249" s="14" t="n"/>
      <c r="X1249" s="7" t="inlineStr"/>
      <c r="Y1249" s="7" t="inlineStr"/>
    </row>
    <row r="1250">
      <c r="A1250" s="7" t="n">
        <v>671261</v>
      </c>
      <c r="B1250" s="12" t="inlineStr">
        <is>
          <t>5000456096652</t>
        </is>
      </c>
      <c r="C1250" s="7" t="inlineStr">
        <is>
          <t>DAPAGLIFLOZINA 10MG C/30 CPR MED-GENERICO</t>
        </is>
      </c>
      <c r="D1250" s="7" t="inlineStr">
        <is>
          <t>GENERICO</t>
        </is>
      </c>
      <c r="E1250" s="7" t="inlineStr">
        <is>
          <t>A</t>
        </is>
      </c>
      <c r="F1250" s="13" t="n">
        <v>1</v>
      </c>
      <c r="G1250" s="13" t="n">
        <v>1</v>
      </c>
      <c r="H1250" s="8" t="n">
        <v>59.9729</v>
      </c>
      <c r="I1250" s="8" t="n">
        <v>57.5128</v>
      </c>
      <c r="J1250" s="8" t="n">
        <v>59.15286666666666</v>
      </c>
      <c r="K1250" s="8" t="n"/>
      <c r="L1250" s="8" t="n"/>
      <c r="M1250" s="8" t="n"/>
      <c r="N1250" s="8" t="n"/>
      <c r="O1250" s="8" t="n"/>
      <c r="P1250" s="15" t="n">
        <v>114.2658</v>
      </c>
      <c r="Q1250" s="8" t="n"/>
      <c r="R1250" s="8" t="n"/>
      <c r="S1250" s="8" t="n"/>
      <c r="T1250" s="7" t="inlineStr">
        <is>
          <t>NAZARIA</t>
        </is>
      </c>
      <c r="U1250" s="8" t="n">
        <v>114.2658</v>
      </c>
      <c r="V1250" s="14">
        <f>U1250/J1250-1</f>
        <v/>
      </c>
      <c r="W1250" s="14">
        <f>U1250/H1250-1</f>
        <v/>
      </c>
      <c r="X1250" s="16" t="inlineStr">
        <is>
          <t>ACIMA +90.5%</t>
        </is>
      </c>
      <c r="Y1250" s="7" t="inlineStr"/>
    </row>
    <row r="1251">
      <c r="A1251" s="7" t="n">
        <v>666411</v>
      </c>
      <c r="B1251" s="12" t="inlineStr">
        <is>
          <t>7896862994372</t>
        </is>
      </c>
      <c r="C1251" s="7" t="inlineStr">
        <is>
          <t>DAPAGLIFLOZINA 10MG COM REV CX 30 COMP</t>
        </is>
      </c>
      <c r="D1251" s="7" t="inlineStr">
        <is>
          <t>GENERICO</t>
        </is>
      </c>
      <c r="E1251" s="7" t="inlineStr">
        <is>
          <t>B</t>
        </is>
      </c>
      <c r="F1251" s="13" t="n">
        <v>2</v>
      </c>
      <c r="G1251" s="13" t="n">
        <v>2</v>
      </c>
      <c r="H1251" s="8" t="n">
        <v>48.25</v>
      </c>
      <c r="I1251" s="8" t="n">
        <v>48.25</v>
      </c>
      <c r="J1251" s="8" t="n">
        <v>48.25</v>
      </c>
      <c r="K1251" s="8" t="n">
        <v>44.99</v>
      </c>
      <c r="L1251" s="8" t="n">
        <v>63.49</v>
      </c>
      <c r="M1251" s="8" t="n"/>
      <c r="N1251" s="8" t="n">
        <v>42.26</v>
      </c>
      <c r="O1251" s="8" t="n"/>
      <c r="P1251" s="8" t="n">
        <v>92.993619</v>
      </c>
      <c r="Q1251" s="15" t="n">
        <v>31.97</v>
      </c>
      <c r="R1251" s="8" t="n">
        <v>46.35</v>
      </c>
      <c r="S1251" s="8" t="n"/>
      <c r="T1251" s="7" t="inlineStr">
        <is>
          <t>MEDCENTRO</t>
        </is>
      </c>
      <c r="U1251" s="8" t="n">
        <v>31.97</v>
      </c>
      <c r="V1251" s="14">
        <f>U1251/J1251-1</f>
        <v/>
      </c>
      <c r="W1251" s="14">
        <f>U1251/H1251-1</f>
        <v/>
      </c>
      <c r="X1251" s="17" t="inlineStr">
        <is>
          <t>OK (≤ menor hist.)</t>
        </is>
      </c>
      <c r="Y1251" s="7" t="inlineStr"/>
    </row>
    <row r="1252">
      <c r="A1252" s="7" t="n">
        <v>655861</v>
      </c>
      <c r="B1252" s="12" t="inlineStr">
        <is>
          <t>7896311771981</t>
        </is>
      </c>
      <c r="C1252" s="7" t="inlineStr">
        <is>
          <t>DARK BAR DARKNESS CHOCO AO LEITE COM CHOCO CHIPS 90G D/08</t>
        </is>
      </c>
      <c r="D1252" s="7" t="inlineStr">
        <is>
          <t>SUPLEMENTO</t>
        </is>
      </c>
      <c r="E1252" s="7" t="inlineStr">
        <is>
          <t>C</t>
        </is>
      </c>
      <c r="F1252" s="13" t="n">
        <v>1</v>
      </c>
      <c r="G1252" s="13" t="n">
        <v>1</v>
      </c>
      <c r="H1252" s="8" t="n">
        <v>12.5</v>
      </c>
      <c r="I1252" s="8" t="n">
        <v>12.5</v>
      </c>
      <c r="J1252" s="8" t="n">
        <v>12.5</v>
      </c>
      <c r="K1252" s="8" t="n"/>
      <c r="L1252" s="8" t="n"/>
      <c r="M1252" s="8" t="n"/>
      <c r="N1252" s="8" t="n"/>
      <c r="O1252" s="8" t="n"/>
      <c r="P1252" s="8" t="n"/>
      <c r="Q1252" s="8" t="n"/>
      <c r="R1252" s="8" t="n"/>
      <c r="S1252" s="15" t="n">
        <v>14</v>
      </c>
      <c r="T1252" s="7" t="inlineStr">
        <is>
          <t>AT_SUPLEMENTOS</t>
        </is>
      </c>
      <c r="U1252" s="8" t="n">
        <v>14</v>
      </c>
      <c r="V1252" s="14">
        <f>U1252/J1252-1</f>
        <v/>
      </c>
      <c r="W1252" s="14">
        <f>U1252/H1252-1</f>
        <v/>
      </c>
      <c r="X1252" s="16" t="inlineStr">
        <is>
          <t>ACIMA +12.0%</t>
        </is>
      </c>
      <c r="Y1252" s="7" t="inlineStr"/>
    </row>
    <row r="1253">
      <c r="A1253" s="7" t="n">
        <v>630441</v>
      </c>
      <c r="B1253" s="12" t="inlineStr">
        <is>
          <t>7896311772421</t>
        </is>
      </c>
      <c r="C1253" s="7" t="inlineStr">
        <is>
          <t>DARK BAR DARKNESS CREME DE COCO C/ CASTANHA 90G D/08</t>
        </is>
      </c>
      <c r="D1253" s="7" t="inlineStr">
        <is>
          <t>SUPLEMENTO</t>
        </is>
      </c>
      <c r="E1253" s="7" t="inlineStr">
        <is>
          <t>C</t>
        </is>
      </c>
      <c r="F1253" s="13" t="n">
        <v>2</v>
      </c>
      <c r="G1253" s="13" t="n">
        <v>2</v>
      </c>
      <c r="H1253" s="8" t="n">
        <v>12.5</v>
      </c>
      <c r="I1253" s="8" t="n">
        <v>12.5</v>
      </c>
      <c r="J1253" s="8" t="n">
        <v>12.5</v>
      </c>
      <c r="K1253" s="8" t="n"/>
      <c r="L1253" s="8" t="n"/>
      <c r="M1253" s="8" t="n"/>
      <c r="N1253" s="8" t="n"/>
      <c r="O1253" s="8" t="n"/>
      <c r="P1253" s="8" t="n"/>
      <c r="Q1253" s="8" t="n"/>
      <c r="R1253" s="8" t="n"/>
      <c r="S1253" s="15" t="n">
        <v>14</v>
      </c>
      <c r="T1253" s="7" t="inlineStr">
        <is>
          <t>AT_SUPLEMENTOS</t>
        </is>
      </c>
      <c r="U1253" s="8" t="n">
        <v>14</v>
      </c>
      <c r="V1253" s="14">
        <f>U1253/J1253-1</f>
        <v/>
      </c>
      <c r="W1253" s="14">
        <f>U1253/H1253-1</f>
        <v/>
      </c>
      <c r="X1253" s="16" t="inlineStr">
        <is>
          <t>ACIMA +12.0%</t>
        </is>
      </c>
      <c r="Y1253" s="7" t="inlineStr"/>
    </row>
    <row r="1254">
      <c r="A1254" s="7" t="n">
        <v>657881</v>
      </c>
      <c r="B1254" s="12" t="inlineStr">
        <is>
          <t>7896311774845</t>
        </is>
      </c>
      <c r="C1254" s="7" t="inlineStr">
        <is>
          <t>DARK BAR DARKNESS CREME DE COCO C/ CASTANHA D/08 90G CX C/8</t>
        </is>
      </c>
      <c r="D1254" s="7" t="inlineStr">
        <is>
          <t>SUPLEMENTO</t>
        </is>
      </c>
      <c r="E1254" s="7" t="inlineStr">
        <is>
          <t>C</t>
        </is>
      </c>
      <c r="F1254" s="13" t="n">
        <v>1</v>
      </c>
      <c r="G1254" s="13" t="n">
        <v>1</v>
      </c>
      <c r="H1254" s="8" t="n">
        <v>95</v>
      </c>
      <c r="I1254" s="8" t="n">
        <v>95</v>
      </c>
      <c r="J1254" s="8" t="n">
        <v>95</v>
      </c>
      <c r="K1254" s="8" t="n"/>
      <c r="L1254" s="8" t="n"/>
      <c r="M1254" s="8" t="n"/>
      <c r="N1254" s="8" t="n"/>
      <c r="O1254" s="8" t="n"/>
      <c r="P1254" s="8" t="n"/>
      <c r="Q1254" s="8" t="n"/>
      <c r="R1254" s="8" t="n"/>
      <c r="S1254" s="15" t="n">
        <v>14</v>
      </c>
      <c r="T1254" s="7" t="inlineStr">
        <is>
          <t>AT_SUPLEMENTOS</t>
        </is>
      </c>
      <c r="U1254" s="8" t="n">
        <v>14</v>
      </c>
      <c r="V1254" s="14">
        <f>U1254/J1254-1</f>
        <v/>
      </c>
      <c r="W1254" s="14">
        <f>U1254/H1254-1</f>
        <v/>
      </c>
      <c r="X1254" s="17" t="inlineStr">
        <is>
          <t>OK (≤ menor hist.)</t>
        </is>
      </c>
      <c r="Y1254" s="7" t="inlineStr">
        <is>
          <t>AT_SUPLEMENTOS: conferir emb.</t>
        </is>
      </c>
    </row>
    <row r="1255">
      <c r="A1255" s="7" t="n">
        <v>534281</v>
      </c>
      <c r="B1255" s="12" t="inlineStr">
        <is>
          <t>7891024182475</t>
        </is>
      </c>
      <c r="C1255" s="7" t="inlineStr">
        <is>
          <t>DARLING SHAMPOO 2 EM 1 350ML</t>
        </is>
      </c>
      <c r="D1255" s="7" t="inlineStr">
        <is>
          <t>PERF/COSME</t>
        </is>
      </c>
      <c r="E1255" s="7" t="inlineStr">
        <is>
          <t>B</t>
        </is>
      </c>
      <c r="F1255" s="13" t="n">
        <v>5</v>
      </c>
      <c r="G1255" s="13" t="n">
        <v>5</v>
      </c>
      <c r="H1255" s="8" t="n">
        <v>6.46</v>
      </c>
      <c r="I1255" s="8" t="n">
        <v>6.46</v>
      </c>
      <c r="J1255" s="8" t="n">
        <v>6.46</v>
      </c>
      <c r="K1255" s="8" t="n"/>
      <c r="L1255" s="8" t="n"/>
      <c r="M1255" s="8" t="n"/>
      <c r="N1255" s="8" t="n"/>
      <c r="O1255" s="8" t="n"/>
      <c r="P1255" s="15" t="n">
        <v>8.449999999999999</v>
      </c>
      <c r="Q1255" s="8" t="n"/>
      <c r="R1255" s="8" t="n"/>
      <c r="S1255" s="8" t="n"/>
      <c r="T1255" s="7" t="inlineStr">
        <is>
          <t>NAZARIA</t>
        </is>
      </c>
      <c r="U1255" s="8" t="n">
        <v>8.449999999999999</v>
      </c>
      <c r="V1255" s="14">
        <f>U1255/J1255-1</f>
        <v/>
      </c>
      <c r="W1255" s="14">
        <f>U1255/H1255-1</f>
        <v/>
      </c>
      <c r="X1255" s="16" t="inlineStr">
        <is>
          <t>ACIMA +30.8%</t>
        </is>
      </c>
      <c r="Y1255" s="7" t="inlineStr"/>
    </row>
    <row r="1256">
      <c r="A1256" s="7" t="n">
        <v>605111</v>
      </c>
      <c r="B1256" s="12" t="inlineStr">
        <is>
          <t>7509546682600</t>
        </is>
      </c>
      <c r="C1256" s="7" t="inlineStr">
        <is>
          <t>DARLING SHAMPOO DETOX 350ML</t>
        </is>
      </c>
      <c r="D1256" s="7" t="inlineStr">
        <is>
          <t>PERF/COSME</t>
        </is>
      </c>
      <c r="E1256" s="7" t="inlineStr">
        <is>
          <t>B</t>
        </is>
      </c>
      <c r="F1256" s="13" t="n">
        <v>3</v>
      </c>
      <c r="G1256" s="13" t="n">
        <v>3</v>
      </c>
      <c r="H1256" s="8" t="n">
        <v>6.46</v>
      </c>
      <c r="I1256" s="8" t="n">
        <v>6.46</v>
      </c>
      <c r="J1256" s="8" t="n">
        <v>6.46</v>
      </c>
      <c r="K1256" s="8" t="n"/>
      <c r="L1256" s="8" t="n"/>
      <c r="M1256" s="8" t="n"/>
      <c r="N1256" s="8" t="n"/>
      <c r="O1256" s="8" t="n"/>
      <c r="P1256" s="8" t="n"/>
      <c r="Q1256" s="8" t="n"/>
      <c r="R1256" s="8" t="n"/>
      <c r="S1256" s="8" t="n"/>
      <c r="T1256" s="7" t="inlineStr">
        <is>
          <t>SEM COTAÇÃO</t>
        </is>
      </c>
      <c r="U1256" s="8" t="n"/>
      <c r="V1256" s="14" t="n"/>
      <c r="W1256" s="14" t="n"/>
      <c r="X1256" s="7" t="inlineStr"/>
      <c r="Y1256" s="7" t="inlineStr"/>
    </row>
    <row r="1257">
      <c r="A1257" s="7" t="n">
        <v>534261</v>
      </c>
      <c r="B1257" s="12" t="inlineStr">
        <is>
          <t>7891024180877</t>
        </is>
      </c>
      <c r="C1257" s="7" t="inlineStr">
        <is>
          <t>DARLING SHAMPOO SEM SAL - TILIA</t>
        </is>
      </c>
      <c r="D1257" s="7" t="inlineStr">
        <is>
          <t>DESATIVADO</t>
        </is>
      </c>
      <c r="E1257" s="7" t="inlineStr">
        <is>
          <t>C</t>
        </is>
      </c>
      <c r="F1257" s="13" t="n">
        <v>3</v>
      </c>
      <c r="G1257" s="13" t="n">
        <v>3</v>
      </c>
      <c r="H1257" s="8" t="n">
        <v>6.99</v>
      </c>
      <c r="I1257" s="8" t="n">
        <v>6.99</v>
      </c>
      <c r="J1257" s="8" t="n">
        <v>6.989999999999999</v>
      </c>
      <c r="K1257" s="8" t="n"/>
      <c r="L1257" s="8" t="n"/>
      <c r="M1257" s="8" t="n"/>
      <c r="N1257" s="8" t="n"/>
      <c r="O1257" s="8" t="n"/>
      <c r="P1257" s="8" t="n">
        <v>9.140000000000001</v>
      </c>
      <c r="Q1257" s="8" t="n"/>
      <c r="R1257" s="8" t="n"/>
      <c r="S1257" s="8" t="n"/>
      <c r="T1257" s="7" t="inlineStr">
        <is>
          <t>SEM COTAÇÃO</t>
        </is>
      </c>
      <c r="U1257" s="8" t="n"/>
      <c r="V1257" s="14" t="n"/>
      <c r="W1257" s="14" t="n"/>
      <c r="X1257" s="7" t="inlineStr"/>
      <c r="Y1257" s="7" t="inlineStr">
        <is>
          <t>NAZARIA: sem estoque</t>
        </is>
      </c>
    </row>
    <row r="1258">
      <c r="A1258" s="7" t="n">
        <v>624711</v>
      </c>
      <c r="B1258" s="12" t="inlineStr">
        <is>
          <t>7898212285970</t>
        </is>
      </c>
      <c r="C1258" s="7" t="inlineStr">
        <is>
          <t>DBELLA CERA MICRO-ONDAS CHOCOLATE BRANCO 200G</t>
        </is>
      </c>
      <c r="D1258" s="7" t="inlineStr">
        <is>
          <t>PERF/COSME</t>
        </is>
      </c>
      <c r="E1258" s="7" t="inlineStr">
        <is>
          <t>C</t>
        </is>
      </c>
      <c r="F1258" s="13" t="n">
        <v>1</v>
      </c>
      <c r="G1258" s="13" t="n">
        <v>1</v>
      </c>
      <c r="H1258" s="8" t="n">
        <v>13.09</v>
      </c>
      <c r="I1258" s="8" t="n">
        <v>13.09</v>
      </c>
      <c r="J1258" s="8" t="n">
        <v>13.09</v>
      </c>
      <c r="K1258" s="8" t="n"/>
      <c r="L1258" s="8" t="n"/>
      <c r="M1258" s="8" t="n"/>
      <c r="N1258" s="8" t="n"/>
      <c r="O1258" s="8" t="n"/>
      <c r="P1258" s="8" t="n"/>
      <c r="Q1258" s="8" t="n"/>
      <c r="R1258" s="8" t="n"/>
      <c r="S1258" s="8" t="n"/>
      <c r="T1258" s="7" t="inlineStr">
        <is>
          <t>SEM COTAÇÃO</t>
        </is>
      </c>
      <c r="U1258" s="8" t="n"/>
      <c r="V1258" s="14" t="n"/>
      <c r="W1258" s="14" t="n"/>
      <c r="X1258" s="7" t="inlineStr"/>
      <c r="Y1258" s="7" t="inlineStr"/>
    </row>
    <row r="1259">
      <c r="A1259" s="7" t="n">
        <v>624701</v>
      </c>
      <c r="B1259" s="12" t="inlineStr">
        <is>
          <t>7898212282214</t>
        </is>
      </c>
      <c r="C1259" s="7" t="inlineStr">
        <is>
          <t>DBELLA CERA MICRO-ONDAS MARACUJA 200G</t>
        </is>
      </c>
      <c r="D1259" s="7" t="inlineStr">
        <is>
          <t>PERF/COSME</t>
        </is>
      </c>
      <c r="E1259" s="7" t="inlineStr">
        <is>
          <t>C</t>
        </is>
      </c>
      <c r="F1259" s="13" t="n">
        <v>1</v>
      </c>
      <c r="G1259" s="13" t="n">
        <v>1</v>
      </c>
      <c r="H1259" s="8" t="n">
        <v>13.09</v>
      </c>
      <c r="I1259" s="8" t="n">
        <v>13.09</v>
      </c>
      <c r="J1259" s="8" t="n">
        <v>13.09</v>
      </c>
      <c r="K1259" s="8" t="n"/>
      <c r="L1259" s="8" t="n"/>
      <c r="M1259" s="8" t="n"/>
      <c r="N1259" s="8" t="n"/>
      <c r="O1259" s="8" t="n"/>
      <c r="P1259" s="8" t="n"/>
      <c r="Q1259" s="8" t="n"/>
      <c r="R1259" s="8" t="n"/>
      <c r="S1259" s="8" t="n"/>
      <c r="T1259" s="7" t="inlineStr">
        <is>
          <t>SEM COTAÇÃO</t>
        </is>
      </c>
      <c r="U1259" s="8" t="n"/>
      <c r="V1259" s="14" t="n"/>
      <c r="W1259" s="14" t="n"/>
      <c r="X1259" s="7" t="inlineStr"/>
      <c r="Y1259" s="7" t="inlineStr"/>
    </row>
    <row r="1260">
      <c r="A1260" s="7" t="n">
        <v>624851</v>
      </c>
      <c r="B1260" s="12" t="inlineStr">
        <is>
          <t>7898212287417</t>
        </is>
      </c>
      <c r="C1260" s="7" t="inlineStr">
        <is>
          <t>DBELLA CERA MICRO-ONDAS PETALAS DEO 200G</t>
        </is>
      </c>
      <c r="D1260" s="7" t="inlineStr">
        <is>
          <t>PERF/COSME</t>
        </is>
      </c>
      <c r="E1260" s="7" t="inlineStr">
        <is>
          <t>C</t>
        </is>
      </c>
      <c r="F1260" s="13" t="n">
        <v>1</v>
      </c>
      <c r="G1260" s="13" t="n">
        <v>1</v>
      </c>
      <c r="H1260" s="8" t="n">
        <v>13.09</v>
      </c>
      <c r="I1260" s="8" t="n">
        <v>13.09</v>
      </c>
      <c r="J1260" s="8" t="n">
        <v>13.09</v>
      </c>
      <c r="K1260" s="8" t="n"/>
      <c r="L1260" s="8" t="n"/>
      <c r="M1260" s="8" t="n"/>
      <c r="N1260" s="8" t="n"/>
      <c r="O1260" s="8" t="n"/>
      <c r="P1260" s="8" t="n"/>
      <c r="Q1260" s="8" t="n"/>
      <c r="R1260" s="8" t="n"/>
      <c r="S1260" s="8" t="n"/>
      <c r="T1260" s="7" t="inlineStr">
        <is>
          <t>SEM COTAÇÃO</t>
        </is>
      </c>
      <c r="U1260" s="8" t="n"/>
      <c r="V1260" s="14" t="n"/>
      <c r="W1260" s="14" t="n"/>
      <c r="X1260" s="7" t="inlineStr"/>
      <c r="Y1260" s="7" t="inlineStr"/>
    </row>
    <row r="1261">
      <c r="A1261" s="7" t="n">
        <v>624731</v>
      </c>
      <c r="B1261" s="12" t="inlineStr">
        <is>
          <t>7898212282627</t>
        </is>
      </c>
      <c r="C1261" s="7" t="inlineStr">
        <is>
          <t>DBELLA FOLHAS FACIAL ARGAN DEO</t>
        </is>
      </c>
      <c r="D1261" s="7" t="inlineStr">
        <is>
          <t>PERF/COSME</t>
        </is>
      </c>
      <c r="E1261" s="7" t="inlineStr">
        <is>
          <t>C</t>
        </is>
      </c>
      <c r="F1261" s="13" t="n">
        <v>1</v>
      </c>
      <c r="G1261" s="13" t="n">
        <v>1</v>
      </c>
      <c r="H1261" s="8" t="n">
        <v>6.72</v>
      </c>
      <c r="I1261" s="8" t="n">
        <v>6.72</v>
      </c>
      <c r="J1261" s="8" t="n">
        <v>6.72</v>
      </c>
      <c r="K1261" s="8" t="n"/>
      <c r="L1261" s="8" t="n"/>
      <c r="M1261" s="8" t="n"/>
      <c r="N1261" s="8" t="n"/>
      <c r="O1261" s="8" t="n"/>
      <c r="P1261" s="8" t="n"/>
      <c r="Q1261" s="8" t="n"/>
      <c r="R1261" s="8" t="n"/>
      <c r="S1261" s="8" t="n"/>
      <c r="T1261" s="7" t="inlineStr">
        <is>
          <t>SEM COTAÇÃO</t>
        </is>
      </c>
      <c r="U1261" s="8" t="n"/>
      <c r="V1261" s="14" t="n"/>
      <c r="W1261" s="14" t="n"/>
      <c r="X1261" s="7" t="inlineStr"/>
      <c r="Y1261" s="7" t="inlineStr"/>
    </row>
    <row r="1262">
      <c r="A1262" s="7" t="n">
        <v>624871</v>
      </c>
      <c r="B1262" s="12" t="inlineStr">
        <is>
          <t>7898212287509</t>
        </is>
      </c>
      <c r="C1262" s="7" t="inlineStr">
        <is>
          <t>DBELLA FOLHAS FACIAL CHA VERDE E AVEIA DEO 16FLS</t>
        </is>
      </c>
      <c r="D1262" s="7" t="inlineStr">
        <is>
          <t>PERF/COSME</t>
        </is>
      </c>
      <c r="E1262" s="7" t="inlineStr">
        <is>
          <t>C</t>
        </is>
      </c>
      <c r="F1262" s="13" t="n">
        <v>1</v>
      </c>
      <c r="G1262" s="13" t="n">
        <v>1</v>
      </c>
      <c r="H1262" s="8" t="n">
        <v>6.72</v>
      </c>
      <c r="I1262" s="8" t="n">
        <v>6.72</v>
      </c>
      <c r="J1262" s="8" t="n">
        <v>6.72</v>
      </c>
      <c r="K1262" s="8" t="n"/>
      <c r="L1262" s="8" t="n"/>
      <c r="M1262" s="8" t="n"/>
      <c r="N1262" s="8" t="n"/>
      <c r="O1262" s="8" t="n"/>
      <c r="P1262" s="8" t="n"/>
      <c r="Q1262" s="8" t="n"/>
      <c r="R1262" s="8" t="n"/>
      <c r="S1262" s="8" t="n"/>
      <c r="T1262" s="7" t="inlineStr">
        <is>
          <t>SEM COTAÇÃO</t>
        </is>
      </c>
      <c r="U1262" s="8" t="n"/>
      <c r="V1262" s="14" t="n"/>
      <c r="W1262" s="14" t="n"/>
      <c r="X1262" s="7" t="inlineStr"/>
      <c r="Y1262" s="7" t="inlineStr"/>
    </row>
    <row r="1263">
      <c r="A1263" s="7" t="n">
        <v>624821</v>
      </c>
      <c r="B1263" s="12" t="inlineStr">
        <is>
          <t>7898212286977</t>
        </is>
      </c>
      <c r="C1263" s="7" t="inlineStr">
        <is>
          <t>DBELLA PACK CREME DEP. FACIAL ALOE VERA 10G</t>
        </is>
      </c>
      <c r="D1263" s="7" t="inlineStr">
        <is>
          <t>PERF/COSME</t>
        </is>
      </c>
      <c r="E1263" s="7" t="inlineStr">
        <is>
          <t>C</t>
        </is>
      </c>
      <c r="F1263" s="13" t="n">
        <v>1</v>
      </c>
      <c r="G1263" s="13" t="n">
        <v>1</v>
      </c>
      <c r="H1263" s="8" t="n">
        <v>50.37</v>
      </c>
      <c r="I1263" s="8" t="n">
        <v>50.37</v>
      </c>
      <c r="J1263" s="8" t="n">
        <v>50.37</v>
      </c>
      <c r="K1263" s="8" t="n"/>
      <c r="L1263" s="8" t="n"/>
      <c r="M1263" s="8" t="n"/>
      <c r="N1263" s="8" t="n"/>
      <c r="O1263" s="8" t="n"/>
      <c r="P1263" s="8" t="n"/>
      <c r="Q1263" s="8" t="n"/>
      <c r="R1263" s="8" t="n"/>
      <c r="S1263" s="8" t="n"/>
      <c r="T1263" s="7" t="inlineStr">
        <is>
          <t>SEM COTAÇÃO</t>
        </is>
      </c>
      <c r="U1263" s="8" t="n"/>
      <c r="V1263" s="14" t="n"/>
      <c r="W1263" s="14" t="n"/>
      <c r="X1263" s="7" t="inlineStr"/>
      <c r="Y1263" s="7" t="inlineStr"/>
    </row>
    <row r="1264">
      <c r="A1264" s="7" t="n">
        <v>646131</v>
      </c>
      <c r="B1264" s="12" t="inlineStr">
        <is>
          <t>7891150096790</t>
        </is>
      </c>
      <c r="C1264" s="7" t="inlineStr">
        <is>
          <t>DC DOVE 50G DESODORANTE  SERUM PREVINE IRRITACAO M3</t>
        </is>
      </c>
      <c r="D1264" s="7" t="inlineStr">
        <is>
          <t>DERMATOLOGICO</t>
        </is>
      </c>
      <c r="E1264" s="7" t="inlineStr">
        <is>
          <t>C</t>
        </is>
      </c>
      <c r="F1264" s="13" t="n">
        <v>2</v>
      </c>
      <c r="G1264" s="13" t="n">
        <v>2</v>
      </c>
      <c r="H1264" s="8" t="n">
        <v>10.6217</v>
      </c>
      <c r="I1264" s="8" t="n">
        <v>10.6217</v>
      </c>
      <c r="J1264" s="8" t="n">
        <v>10.6217</v>
      </c>
      <c r="K1264" s="8" t="n"/>
      <c r="L1264" s="8" t="n"/>
      <c r="M1264" s="8" t="n"/>
      <c r="N1264" s="8" t="n"/>
      <c r="O1264" s="8" t="n"/>
      <c r="P1264" s="15" t="n">
        <v>13.81</v>
      </c>
      <c r="Q1264" s="8" t="n"/>
      <c r="R1264" s="8" t="n"/>
      <c r="S1264" s="8" t="n"/>
      <c r="T1264" s="7" t="inlineStr">
        <is>
          <t>NAZARIA</t>
        </is>
      </c>
      <c r="U1264" s="8" t="n">
        <v>13.81</v>
      </c>
      <c r="V1264" s="14">
        <f>U1264/J1264-1</f>
        <v/>
      </c>
      <c r="W1264" s="14">
        <f>U1264/H1264-1</f>
        <v/>
      </c>
      <c r="X1264" s="16" t="inlineStr">
        <is>
          <t>ACIMA +30.0%</t>
        </is>
      </c>
      <c r="Y1264" s="7" t="inlineStr"/>
    </row>
    <row r="1265">
      <c r="A1265" s="7" t="n">
        <v>18903</v>
      </c>
      <c r="B1265" s="12" t="inlineStr">
        <is>
          <t>7896658049620</t>
        </is>
      </c>
      <c r="C1265" s="7" t="inlineStr">
        <is>
          <t>DECONTOSSE 40MG/ML XPE 100ML+CP</t>
        </is>
      </c>
      <c r="D1265" s="7" t="inlineStr">
        <is>
          <t>RX</t>
        </is>
      </c>
      <c r="E1265" s="7" t="inlineStr">
        <is>
          <t>A</t>
        </is>
      </c>
      <c r="F1265" s="13" t="n">
        <v>4</v>
      </c>
      <c r="G1265" s="13" t="n">
        <v>4</v>
      </c>
      <c r="H1265" s="8" t="n">
        <v>23.3</v>
      </c>
      <c r="I1265" s="8" t="n">
        <v>17.7</v>
      </c>
      <c r="J1265" s="8" t="n">
        <v>19.56666666666667</v>
      </c>
      <c r="K1265" s="8" t="n"/>
      <c r="L1265" s="8" t="n"/>
      <c r="M1265" s="8" t="n">
        <v>23.3</v>
      </c>
      <c r="N1265" s="8" t="n"/>
      <c r="O1265" s="8" t="n"/>
      <c r="P1265" s="15" t="n">
        <v>23.128</v>
      </c>
      <c r="Q1265" s="8" t="n"/>
      <c r="R1265" s="8" t="n"/>
      <c r="S1265" s="8" t="n"/>
      <c r="T1265" s="7" t="inlineStr">
        <is>
          <t>NAZARIA</t>
        </is>
      </c>
      <c r="U1265" s="8" t="n">
        <v>23.128</v>
      </c>
      <c r="V1265" s="14">
        <f>U1265/J1265-1</f>
        <v/>
      </c>
      <c r="W1265" s="14">
        <f>U1265/H1265-1</f>
        <v/>
      </c>
      <c r="X1265" s="17" t="inlineStr">
        <is>
          <t>OK (≤ últ. compra)</t>
        </is>
      </c>
      <c r="Y1265" s="7" t="inlineStr"/>
    </row>
    <row r="1266">
      <c r="A1266" s="7" t="n">
        <v>201421</v>
      </c>
      <c r="B1266" s="12" t="inlineStr">
        <is>
          <t>7895296277051</t>
        </is>
      </c>
      <c r="C1266" s="7" t="inlineStr">
        <is>
          <t>DEFLAZACORTE 6MG CX 20 COMP</t>
        </is>
      </c>
      <c r="D1266" s="7" t="inlineStr">
        <is>
          <t>GENERICO</t>
        </is>
      </c>
      <c r="E1266" s="7" t="inlineStr">
        <is>
          <t>C</t>
        </is>
      </c>
      <c r="F1266" s="13" t="n">
        <v>1</v>
      </c>
      <c r="G1266" s="13" t="n">
        <v>1</v>
      </c>
      <c r="H1266" s="8" t="n">
        <v>34.39</v>
      </c>
      <c r="I1266" s="8" t="n">
        <v>34.39</v>
      </c>
      <c r="J1266" s="8" t="n">
        <v>34.39</v>
      </c>
      <c r="K1266" s="8" t="n">
        <v>36.78</v>
      </c>
      <c r="L1266" s="15" t="n">
        <v>36.45</v>
      </c>
      <c r="M1266" s="8" t="n"/>
      <c r="N1266" s="8" t="n"/>
      <c r="O1266" s="8" t="n"/>
      <c r="P1266" s="8" t="n">
        <v>49.04</v>
      </c>
      <c r="Q1266" s="8" t="n">
        <v>40.25</v>
      </c>
      <c r="R1266" s="8" t="n"/>
      <c r="S1266" s="8" t="n"/>
      <c r="T1266" s="7" t="inlineStr">
        <is>
          <t>PLUSFARMA</t>
        </is>
      </c>
      <c r="U1266" s="8" t="n">
        <v>36.45</v>
      </c>
      <c r="V1266" s="14">
        <f>U1266/J1266-1</f>
        <v/>
      </c>
      <c r="W1266" s="14">
        <f>U1266/H1266-1</f>
        <v/>
      </c>
      <c r="X1266" s="16" t="inlineStr">
        <is>
          <t>ACIMA +6.0%</t>
        </is>
      </c>
      <c r="Y1266" s="7" t="inlineStr"/>
    </row>
    <row r="1267">
      <c r="A1267" s="7" t="n">
        <v>615811</v>
      </c>
      <c r="B1267" s="12" t="inlineStr">
        <is>
          <t>7908458320226</t>
        </is>
      </c>
      <c r="C1267" s="7" t="inlineStr">
        <is>
          <t>DEFRIZ S LINE SP M.L.P.T.240ML</t>
        </is>
      </c>
      <c r="D1267" s="7" t="inlineStr">
        <is>
          <t>PERF/COSME</t>
        </is>
      </c>
      <c r="E1267" s="7" t="inlineStr">
        <is>
          <t>C</t>
        </is>
      </c>
      <c r="F1267" s="13" t="n">
        <v>1</v>
      </c>
      <c r="G1267" s="13" t="n">
        <v>1</v>
      </c>
      <c r="H1267" s="8" t="n">
        <v>13.58</v>
      </c>
      <c r="I1267" s="8" t="n">
        <v>13.58</v>
      </c>
      <c r="J1267" s="8" t="n">
        <v>13.58</v>
      </c>
      <c r="K1267" s="8" t="n"/>
      <c r="L1267" s="8" t="n"/>
      <c r="M1267" s="8" t="n"/>
      <c r="N1267" s="8" t="n"/>
      <c r="O1267" s="8" t="n"/>
      <c r="P1267" s="8" t="n"/>
      <c r="Q1267" s="8" t="n"/>
      <c r="R1267" s="8" t="n"/>
      <c r="S1267" s="8" t="n"/>
      <c r="T1267" s="7" t="inlineStr">
        <is>
          <t>SEM COTAÇÃO</t>
        </is>
      </c>
      <c r="U1267" s="8" t="n"/>
      <c r="V1267" s="14" t="n"/>
      <c r="W1267" s="14" t="n"/>
      <c r="X1267" s="7" t="inlineStr"/>
      <c r="Y1267" s="7" t="inlineStr"/>
    </row>
    <row r="1268">
      <c r="A1268" s="7" t="n">
        <v>615831</v>
      </c>
      <c r="B1268" s="12" t="inlineStr">
        <is>
          <t>7908458306817</t>
        </is>
      </c>
      <c r="C1268" s="7" t="inlineStr">
        <is>
          <t>DEFRIZ SPR S LINE M L HI 240ML</t>
        </is>
      </c>
      <c r="D1268" s="7" t="inlineStr">
        <is>
          <t>PERF/COSME</t>
        </is>
      </c>
      <c r="E1268" s="7" t="inlineStr">
        <is>
          <t>C</t>
        </is>
      </c>
      <c r="F1268" s="13" t="n">
        <v>1</v>
      </c>
      <c r="G1268" s="13" t="n">
        <v>1</v>
      </c>
      <c r="H1268" s="8" t="n">
        <v>13.15</v>
      </c>
      <c r="I1268" s="8" t="n">
        <v>13.15</v>
      </c>
      <c r="J1268" s="8" t="n">
        <v>13.15</v>
      </c>
      <c r="K1268" s="8" t="n"/>
      <c r="L1268" s="8" t="n"/>
      <c r="M1268" s="8" t="n"/>
      <c r="N1268" s="8" t="n"/>
      <c r="O1268" s="8" t="n"/>
      <c r="P1268" s="8" t="n"/>
      <c r="Q1268" s="8" t="n"/>
      <c r="R1268" s="8" t="n"/>
      <c r="S1268" s="8" t="n"/>
      <c r="T1268" s="7" t="inlineStr">
        <is>
          <t>SEM COTAÇÃO</t>
        </is>
      </c>
      <c r="U1268" s="8" t="n"/>
      <c r="V1268" s="14" t="n"/>
      <c r="W1268" s="14" t="n"/>
      <c r="X1268" s="7" t="inlineStr"/>
      <c r="Y1268" s="7" t="inlineStr"/>
    </row>
    <row r="1269">
      <c r="A1269" s="7" t="n">
        <v>612811</v>
      </c>
      <c r="B1269" s="12" t="inlineStr">
        <is>
          <t>7908458321346</t>
        </is>
      </c>
      <c r="C1269" s="7" t="inlineStr">
        <is>
          <t>DEFRIZANTE MEU LISO ANTIFRIZZ PROT. TERM 200ML</t>
        </is>
      </c>
      <c r="D1269" s="7" t="inlineStr">
        <is>
          <t>PERF/COSME</t>
        </is>
      </c>
      <c r="E1269" s="7" t="inlineStr">
        <is>
          <t>C</t>
        </is>
      </c>
      <c r="F1269" s="13" t="n">
        <v>1</v>
      </c>
      <c r="G1269" s="13" t="n">
        <v>1</v>
      </c>
      <c r="H1269" s="8" t="n">
        <v>11.64</v>
      </c>
      <c r="I1269" s="8" t="n">
        <v>11.64</v>
      </c>
      <c r="J1269" s="8" t="n">
        <v>11.64</v>
      </c>
      <c r="K1269" s="8" t="n"/>
      <c r="L1269" s="8" t="n"/>
      <c r="M1269" s="8" t="n"/>
      <c r="N1269" s="8" t="n"/>
      <c r="O1269" s="8" t="n"/>
      <c r="P1269" s="8" t="n"/>
      <c r="Q1269" s="8" t="n"/>
      <c r="R1269" s="8" t="n"/>
      <c r="S1269" s="8" t="n"/>
      <c r="T1269" s="7" t="inlineStr">
        <is>
          <t>SEM COTAÇÃO</t>
        </is>
      </c>
      <c r="U1269" s="8" t="n"/>
      <c r="V1269" s="14" t="n"/>
      <c r="W1269" s="14" t="n"/>
      <c r="X1269" s="7" t="inlineStr"/>
      <c r="Y1269" s="7" t="inlineStr"/>
    </row>
    <row r="1270">
      <c r="A1270" s="7" t="n">
        <v>670161</v>
      </c>
      <c r="B1270" s="12" t="inlineStr">
        <is>
          <t>7908324408645</t>
        </is>
      </c>
      <c r="C1270" s="7" t="inlineStr">
        <is>
          <t>DEFRIZANTE OX 200ML VITA GLOW</t>
        </is>
      </c>
      <c r="D1270" s="7" t="inlineStr">
        <is>
          <t>COND/SHAM/CREM/SIMILARES</t>
        </is>
      </c>
      <c r="E1270" s="7" t="inlineStr">
        <is>
          <t>C</t>
        </is>
      </c>
      <c r="F1270" s="13" t="n">
        <v>1</v>
      </c>
      <c r="G1270" s="13" t="n">
        <v>1</v>
      </c>
      <c r="H1270" s="8" t="n">
        <v>38.14</v>
      </c>
      <c r="I1270" s="8" t="n">
        <v>38.13</v>
      </c>
      <c r="J1270" s="8" t="n">
        <v>38.13</v>
      </c>
      <c r="K1270" s="8" t="n"/>
      <c r="L1270" s="8" t="n"/>
      <c r="M1270" s="8" t="n"/>
      <c r="N1270" s="8" t="n"/>
      <c r="O1270" s="8" t="n"/>
      <c r="P1270" s="8" t="n"/>
      <c r="Q1270" s="8" t="n"/>
      <c r="R1270" s="8" t="n"/>
      <c r="S1270" s="8" t="n"/>
      <c r="T1270" s="7" t="inlineStr">
        <is>
          <t>SEM COTAÇÃO</t>
        </is>
      </c>
      <c r="U1270" s="8" t="n"/>
      <c r="V1270" s="14" t="n"/>
      <c r="W1270" s="14" t="n"/>
      <c r="X1270" s="7" t="inlineStr"/>
      <c r="Y1270" s="7" t="inlineStr"/>
    </row>
    <row r="1271">
      <c r="A1271" s="7" t="n">
        <v>675971</v>
      </c>
      <c r="B1271" s="12" t="inlineStr">
        <is>
          <t>7894900666519</t>
        </is>
      </c>
      <c r="C1271" s="7" t="inlineStr">
        <is>
          <t>DEL VAL FRU FRUTAS CITRICAS PE 1L</t>
        </is>
      </c>
      <c r="D1271" s="7" t="inlineStr">
        <is>
          <t>BEBIDAS GERAL</t>
        </is>
      </c>
      <c r="E1271" s="7" t="inlineStr">
        <is>
          <t>C</t>
        </is>
      </c>
      <c r="F1271" s="13" t="n">
        <v>1</v>
      </c>
      <c r="G1271" s="13" t="n">
        <v>1</v>
      </c>
      <c r="H1271" s="8" t="n">
        <v>5.0767</v>
      </c>
      <c r="I1271" s="8" t="n">
        <v>5.0767</v>
      </c>
      <c r="J1271" s="8" t="n">
        <v>5.0767</v>
      </c>
      <c r="K1271" s="8" t="n"/>
      <c r="L1271" s="8" t="n"/>
      <c r="M1271" s="8" t="n"/>
      <c r="N1271" s="8" t="n"/>
      <c r="O1271" s="8" t="n"/>
      <c r="P1271" s="8" t="n"/>
      <c r="Q1271" s="8" t="n"/>
      <c r="R1271" s="8" t="n"/>
      <c r="S1271" s="8" t="n"/>
      <c r="T1271" s="7" t="inlineStr">
        <is>
          <t>SEM COTAÇÃO</t>
        </is>
      </c>
      <c r="U1271" s="8" t="n"/>
      <c r="V1271" s="14" t="n"/>
      <c r="W1271" s="14" t="n"/>
      <c r="X1271" s="7" t="inlineStr"/>
      <c r="Y1271" s="7" t="inlineStr"/>
    </row>
    <row r="1272">
      <c r="A1272" s="7" t="n">
        <v>4283</v>
      </c>
      <c r="B1272" s="12" t="inlineStr">
        <is>
          <t>7894900556032</t>
        </is>
      </c>
      <c r="C1272" s="7" t="inlineStr">
        <is>
          <t>DEL VAL FRU LARANJA PET 1L</t>
        </is>
      </c>
      <c r="D1272" s="7" t="inlineStr">
        <is>
          <t>BEBIDAS GERAL</t>
        </is>
      </c>
      <c r="E1272" s="7" t="inlineStr">
        <is>
          <t>C</t>
        </is>
      </c>
      <c r="F1272" s="13" t="n">
        <v>2</v>
      </c>
      <c r="G1272" s="13" t="n">
        <v>2</v>
      </c>
      <c r="H1272" s="8" t="n">
        <v>4.0689</v>
      </c>
      <c r="I1272" s="8" t="n">
        <v>4.0689</v>
      </c>
      <c r="J1272" s="8" t="n">
        <v>4.0689</v>
      </c>
      <c r="K1272" s="8" t="n"/>
      <c r="L1272" s="8" t="n"/>
      <c r="M1272" s="8" t="n"/>
      <c r="N1272" s="8" t="n"/>
      <c r="O1272" s="8" t="n"/>
      <c r="P1272" s="8" t="n"/>
      <c r="Q1272" s="8" t="n"/>
      <c r="R1272" s="8" t="n"/>
      <c r="S1272" s="8" t="n"/>
      <c r="T1272" s="7" t="inlineStr">
        <is>
          <t>SEM COTAÇÃO</t>
        </is>
      </c>
      <c r="U1272" s="8" t="n"/>
      <c r="V1272" s="14" t="n"/>
      <c r="W1272" s="14" t="n"/>
      <c r="X1272" s="7" t="inlineStr"/>
      <c r="Y1272" s="7" t="inlineStr"/>
    </row>
    <row r="1273">
      <c r="A1273" s="7" t="n">
        <v>4293</v>
      </c>
      <c r="B1273" s="12" t="inlineStr">
        <is>
          <t>17894900550037</t>
        </is>
      </c>
      <c r="C1273" s="7" t="inlineStr">
        <is>
          <t>DEL VAL FRU UVA PET 1L</t>
        </is>
      </c>
      <c r="D1273" s="7" t="inlineStr">
        <is>
          <t>BEBIDAS GERAL</t>
        </is>
      </c>
      <c r="E1273" s="7" t="inlineStr">
        <is>
          <t>C</t>
        </is>
      </c>
      <c r="F1273" s="13" t="n">
        <v>1</v>
      </c>
      <c r="G1273" s="13" t="n">
        <v>1</v>
      </c>
      <c r="H1273" s="8" t="n">
        <v>4.9867</v>
      </c>
      <c r="I1273" s="8" t="n">
        <v>4.9867</v>
      </c>
      <c r="J1273" s="8" t="n">
        <v>4.9867</v>
      </c>
      <c r="K1273" s="8" t="n"/>
      <c r="L1273" s="8" t="n"/>
      <c r="M1273" s="8" t="n"/>
      <c r="N1273" s="8" t="n"/>
      <c r="O1273" s="8" t="n"/>
      <c r="P1273" s="8" t="n"/>
      <c r="Q1273" s="8" t="n"/>
      <c r="R1273" s="8" t="n"/>
      <c r="S1273" s="8" t="n"/>
      <c r="T1273" s="7" t="inlineStr">
        <is>
          <t>SEM COTAÇÃO</t>
        </is>
      </c>
      <c r="U1273" s="8" t="n"/>
      <c r="V1273" s="14" t="n"/>
      <c r="W1273" s="14" t="n"/>
      <c r="X1273" s="7" t="inlineStr"/>
      <c r="Y1273" s="7" t="inlineStr"/>
    </row>
    <row r="1274">
      <c r="A1274" s="7" t="n">
        <v>201981</v>
      </c>
      <c r="B1274" s="12" t="inlineStr">
        <is>
          <t>7897917000161</t>
        </is>
      </c>
      <c r="C1274" s="7" t="inlineStr">
        <is>
          <t>DELTAPIL 0,20MG LOCAO FR 100ML</t>
        </is>
      </c>
      <c r="D1274" s="7" t="inlineStr">
        <is>
          <t>SIMILAR</t>
        </is>
      </c>
      <c r="E1274" s="7" t="inlineStr">
        <is>
          <t>B</t>
        </is>
      </c>
      <c r="F1274" s="13" t="n">
        <v>3</v>
      </c>
      <c r="G1274" s="13" t="n">
        <v>3</v>
      </c>
      <c r="H1274" s="8" t="n">
        <v>8.220000000000001</v>
      </c>
      <c r="I1274" s="8" t="n">
        <v>8.220000000000001</v>
      </c>
      <c r="J1274" s="8" t="n">
        <v>8.220000000000001</v>
      </c>
      <c r="K1274" s="8" t="n"/>
      <c r="L1274" s="8" t="n"/>
      <c r="M1274" s="8" t="n"/>
      <c r="N1274" s="15" t="n">
        <v>8.119999999999999</v>
      </c>
      <c r="O1274" s="8" t="n"/>
      <c r="P1274" s="8" t="n"/>
      <c r="Q1274" s="8" t="n"/>
      <c r="R1274" s="8" t="n"/>
      <c r="S1274" s="8" t="n"/>
      <c r="T1274" s="7" t="inlineStr">
        <is>
          <t>CENTROFARMA</t>
        </is>
      </c>
      <c r="U1274" s="8" t="n">
        <v>8.119999999999999</v>
      </c>
      <c r="V1274" s="14">
        <f>U1274/J1274-1</f>
        <v/>
      </c>
      <c r="W1274" s="14">
        <f>U1274/H1274-1</f>
        <v/>
      </c>
      <c r="X1274" s="17" t="inlineStr">
        <is>
          <t>OK (≤ menor hist.)</t>
        </is>
      </c>
      <c r="Y1274" s="7" t="inlineStr"/>
    </row>
    <row r="1275">
      <c r="A1275" s="7" t="n">
        <v>201961</v>
      </c>
      <c r="B1275" s="12" t="inlineStr">
        <is>
          <t>7897917000178</t>
        </is>
      </c>
      <c r="C1275" s="7" t="inlineStr">
        <is>
          <t>DELTAPIL 0,20MG SHAMPOO FR 100ML</t>
        </is>
      </c>
      <c r="D1275" s="7" t="inlineStr">
        <is>
          <t>SIMILAR</t>
        </is>
      </c>
      <c r="E1275" s="7" t="inlineStr">
        <is>
          <t>A</t>
        </is>
      </c>
      <c r="F1275" s="13" t="n">
        <v>5</v>
      </c>
      <c r="G1275" s="13" t="n">
        <v>5</v>
      </c>
      <c r="H1275" s="8" t="n">
        <v>8.16</v>
      </c>
      <c r="I1275" s="8" t="n">
        <v>7.89</v>
      </c>
      <c r="J1275" s="8" t="n">
        <v>8.07</v>
      </c>
      <c r="K1275" s="8" t="n"/>
      <c r="L1275" s="8" t="n"/>
      <c r="M1275" s="8" t="n"/>
      <c r="N1275" s="8" t="n"/>
      <c r="O1275" s="8" t="n"/>
      <c r="P1275" s="8" t="n"/>
      <c r="Q1275" s="8" t="n"/>
      <c r="R1275" s="8" t="n"/>
      <c r="S1275" s="8" t="n"/>
      <c r="T1275" s="7" t="inlineStr">
        <is>
          <t>SEM COTAÇÃO</t>
        </is>
      </c>
      <c r="U1275" s="8" t="n"/>
      <c r="V1275" s="14" t="n"/>
      <c r="W1275" s="14" t="n"/>
      <c r="X1275" s="7" t="inlineStr"/>
      <c r="Y1275" s="7" t="inlineStr"/>
    </row>
    <row r="1276">
      <c r="A1276" s="7" t="n">
        <v>655221</v>
      </c>
      <c r="B1276" s="12" t="inlineStr">
        <is>
          <t>7908324801880</t>
        </is>
      </c>
      <c r="C1276" s="7" t="inlineStr">
        <is>
          <t>DENTIL KIT VIAGEM ULTRA MINT VERDE  CREME FIO ESCOVA ENXA  R0010</t>
        </is>
      </c>
      <c r="D1276" s="7" t="inlineStr">
        <is>
          <t>ORTODONTICO</t>
        </is>
      </c>
      <c r="E1276" s="7" t="inlineStr">
        <is>
          <t>C</t>
        </is>
      </c>
      <c r="F1276" s="13" t="n">
        <v>1</v>
      </c>
      <c r="G1276" s="13" t="n">
        <v>1</v>
      </c>
      <c r="H1276" s="8" t="n">
        <v>15.11</v>
      </c>
      <c r="I1276" s="8" t="n">
        <v>15.11</v>
      </c>
      <c r="J1276" s="8" t="n">
        <v>15.11</v>
      </c>
      <c r="K1276" s="8" t="n"/>
      <c r="L1276" s="8" t="n"/>
      <c r="M1276" s="8" t="n"/>
      <c r="N1276" s="8" t="n"/>
      <c r="O1276" s="8" t="n"/>
      <c r="P1276" s="8" t="n"/>
      <c r="Q1276" s="8" t="n"/>
      <c r="R1276" s="8" t="n"/>
      <c r="S1276" s="8" t="n"/>
      <c r="T1276" s="7" t="inlineStr">
        <is>
          <t>SEM COTAÇÃO</t>
        </is>
      </c>
      <c r="U1276" s="8" t="n"/>
      <c r="V1276" s="14" t="n"/>
      <c r="W1276" s="14" t="n"/>
      <c r="X1276" s="7" t="inlineStr"/>
      <c r="Y1276" s="7" t="inlineStr"/>
    </row>
    <row r="1277">
      <c r="A1277" s="7" t="n">
        <v>655161</v>
      </c>
      <c r="B1277" s="12" t="inlineStr">
        <is>
          <t>7898585294968</t>
        </is>
      </c>
      <c r="C1277" s="7" t="inlineStr">
        <is>
          <t>DENTIL PRO CERA ORTODONTICA CLINICAL 5UN R2682</t>
        </is>
      </c>
      <c r="D1277" s="7" t="inlineStr">
        <is>
          <t>ORTODONTICO</t>
        </is>
      </c>
      <c r="E1277" s="7" t="inlineStr">
        <is>
          <t>B</t>
        </is>
      </c>
      <c r="F1277" s="13" t="n">
        <v>2</v>
      </c>
      <c r="G1277" s="13" t="n">
        <v>2</v>
      </c>
      <c r="H1277" s="8" t="n">
        <v>8.25</v>
      </c>
      <c r="I1277" s="8" t="n">
        <v>8.25</v>
      </c>
      <c r="J1277" s="8" t="n">
        <v>8.25</v>
      </c>
      <c r="K1277" s="8" t="n"/>
      <c r="L1277" s="8" t="n"/>
      <c r="M1277" s="8" t="n"/>
      <c r="N1277" s="8" t="n"/>
      <c r="O1277" s="8" t="n"/>
      <c r="P1277" s="8" t="n"/>
      <c r="Q1277" s="8" t="n"/>
      <c r="R1277" s="8" t="n"/>
      <c r="S1277" s="8" t="n"/>
      <c r="T1277" s="7" t="inlineStr">
        <is>
          <t>SEM COTAÇÃO</t>
        </is>
      </c>
      <c r="U1277" s="8" t="n"/>
      <c r="V1277" s="14" t="n"/>
      <c r="W1277" s="14" t="n"/>
      <c r="X1277" s="7" t="inlineStr"/>
      <c r="Y1277" s="7" t="inlineStr"/>
    </row>
    <row r="1278">
      <c r="A1278" s="7" t="n">
        <v>667931</v>
      </c>
      <c r="B1278" s="12" t="inlineStr">
        <is>
          <t>7898711711642</t>
        </is>
      </c>
      <c r="C1278" s="7" t="inlineStr">
        <is>
          <t>DENTIL PRO ESCOVA INTERDENTAL BRUSH 0,6M  PACK 3UN</t>
        </is>
      </c>
      <c r="D1278" s="7" t="inlineStr">
        <is>
          <t>ORTODONTICO</t>
        </is>
      </c>
      <c r="E1278" s="7" t="inlineStr">
        <is>
          <t>C</t>
        </is>
      </c>
      <c r="F1278" s="13" t="n">
        <v>2</v>
      </c>
      <c r="G1278" s="13" t="n">
        <v>2</v>
      </c>
      <c r="H1278" s="8" t="n">
        <v>8.369999999999999</v>
      </c>
      <c r="I1278" s="8" t="n">
        <v>8.369999999999999</v>
      </c>
      <c r="J1278" s="8" t="n">
        <v>8.369999999999999</v>
      </c>
      <c r="K1278" s="8" t="n"/>
      <c r="L1278" s="8" t="n"/>
      <c r="M1278" s="8" t="n"/>
      <c r="N1278" s="8" t="n"/>
      <c r="O1278" s="8" t="n"/>
      <c r="P1278" s="8" t="n"/>
      <c r="Q1278" s="8" t="n"/>
      <c r="R1278" s="8" t="n"/>
      <c r="S1278" s="8" t="n"/>
      <c r="T1278" s="7" t="inlineStr">
        <is>
          <t>SEM COTAÇÃO</t>
        </is>
      </c>
      <c r="U1278" s="8" t="n"/>
      <c r="V1278" s="14" t="n"/>
      <c r="W1278" s="14" t="n"/>
      <c r="X1278" s="7" t="inlineStr"/>
      <c r="Y1278" s="7" t="inlineStr"/>
    </row>
    <row r="1279">
      <c r="A1279" s="7" t="n">
        <v>667871</v>
      </c>
      <c r="B1279" s="12" t="inlineStr">
        <is>
          <t>7898711712052</t>
        </is>
      </c>
      <c r="C1279" s="7" t="inlineStr">
        <is>
          <t>DENTIL PRO FIO DENTAL COM HASTE CARBOX 30</t>
        </is>
      </c>
      <c r="D1279" s="7" t="inlineStr">
        <is>
          <t>ORTODONTICO</t>
        </is>
      </c>
      <c r="E1279" s="7" t="inlineStr">
        <is>
          <t>B</t>
        </is>
      </c>
      <c r="F1279" s="13" t="n">
        <v>5</v>
      </c>
      <c r="G1279" s="13" t="n">
        <v>5</v>
      </c>
      <c r="H1279" s="8" t="n">
        <v>6.62</v>
      </c>
      <c r="I1279" s="8" t="n">
        <v>6.62</v>
      </c>
      <c r="J1279" s="8" t="n">
        <v>6.62</v>
      </c>
      <c r="K1279" s="8" t="n"/>
      <c r="L1279" s="8" t="n"/>
      <c r="M1279" s="8" t="n"/>
      <c r="N1279" s="8" t="n"/>
      <c r="O1279" s="8" t="n"/>
      <c r="P1279" s="8" t="n"/>
      <c r="Q1279" s="8" t="n"/>
      <c r="R1279" s="8" t="n"/>
      <c r="S1279" s="8" t="n"/>
      <c r="T1279" s="7" t="inlineStr">
        <is>
          <t>SEM COTAÇÃO</t>
        </is>
      </c>
      <c r="U1279" s="8" t="n"/>
      <c r="V1279" s="14" t="n"/>
      <c r="W1279" s="14" t="n"/>
      <c r="X1279" s="7" t="inlineStr"/>
      <c r="Y1279" s="7" t="inlineStr"/>
    </row>
    <row r="1280">
      <c r="A1280" s="7" t="n">
        <v>668081</v>
      </c>
      <c r="B1280" s="12" t="inlineStr">
        <is>
          <t>7898711712496</t>
        </is>
      </c>
      <c r="C1280" s="7" t="inlineStr">
        <is>
          <t>DENTIL PRO FIO DENTAL COM HASTE KIDS BASIC 20 UNIDADES</t>
        </is>
      </c>
      <c r="D1280" s="7" t="inlineStr">
        <is>
          <t>ORTODONTICO</t>
        </is>
      </c>
      <c r="E1280" s="7" t="inlineStr">
        <is>
          <t>B</t>
        </is>
      </c>
      <c r="F1280" s="13" t="n">
        <v>3</v>
      </c>
      <c r="G1280" s="13" t="n">
        <v>3</v>
      </c>
      <c r="H1280" s="8" t="n">
        <v>5.58</v>
      </c>
      <c r="I1280" s="8" t="n">
        <v>5.32</v>
      </c>
      <c r="J1280" s="8" t="n">
        <v>5.493333333333333</v>
      </c>
      <c r="K1280" s="8" t="n"/>
      <c r="L1280" s="8" t="n"/>
      <c r="M1280" s="8" t="n"/>
      <c r="N1280" s="8" t="n"/>
      <c r="O1280" s="8" t="n"/>
      <c r="P1280" s="8" t="n"/>
      <c r="Q1280" s="8" t="n"/>
      <c r="R1280" s="8" t="n"/>
      <c r="S1280" s="8" t="n"/>
      <c r="T1280" s="7" t="inlineStr">
        <is>
          <t>SEM COTAÇÃO</t>
        </is>
      </c>
      <c r="U1280" s="8" t="n"/>
      <c r="V1280" s="14" t="n"/>
      <c r="W1280" s="14" t="n"/>
      <c r="X1280" s="7" t="inlineStr"/>
      <c r="Y1280" s="7" t="inlineStr"/>
    </row>
    <row r="1281">
      <c r="A1281" s="7" t="n">
        <v>655181</v>
      </c>
      <c r="B1281" s="12" t="inlineStr">
        <is>
          <t>7898585292001</t>
        </is>
      </c>
      <c r="C1281" s="7" t="inlineStr">
        <is>
          <t>DENTIL PRO PASSADOR DE FIO 30UN R2248</t>
        </is>
      </c>
      <c r="D1281" s="7" t="inlineStr">
        <is>
          <t>ORTODONTICO</t>
        </is>
      </c>
      <c r="E1281" s="7" t="inlineStr">
        <is>
          <t>B</t>
        </is>
      </c>
      <c r="F1281" s="13" t="n">
        <v>7</v>
      </c>
      <c r="G1281" s="13" t="n">
        <v>7</v>
      </c>
      <c r="H1281" s="8" t="n">
        <v>6.93</v>
      </c>
      <c r="I1281" s="8" t="n">
        <v>6.41</v>
      </c>
      <c r="J1281" s="8" t="n">
        <v>6.756666666666667</v>
      </c>
      <c r="K1281" s="8" t="n"/>
      <c r="L1281" s="8" t="n"/>
      <c r="M1281" s="8" t="n"/>
      <c r="N1281" s="8" t="n"/>
      <c r="O1281" s="8" t="n"/>
      <c r="P1281" s="8" t="n"/>
      <c r="Q1281" s="8" t="n"/>
      <c r="R1281" s="8" t="n"/>
      <c r="S1281" s="8" t="n"/>
      <c r="T1281" s="7" t="inlineStr">
        <is>
          <t>SEM COTAÇÃO</t>
        </is>
      </c>
      <c r="U1281" s="8" t="n"/>
      <c r="V1281" s="14" t="n"/>
      <c r="W1281" s="14" t="n"/>
      <c r="X1281" s="7" t="inlineStr"/>
      <c r="Y1281" s="7" t="inlineStr"/>
    </row>
    <row r="1282">
      <c r="A1282" s="7" t="n">
        <v>625151</v>
      </c>
      <c r="B1282" s="12" t="inlineStr">
        <is>
          <t>7896279117104</t>
        </is>
      </c>
      <c r="C1282" s="7" t="inlineStr">
        <is>
          <t>DEO AGUA BANHO ACQUA ESSE CEREJEI</t>
        </is>
      </c>
      <c r="D1282" s="7" t="inlineStr">
        <is>
          <t>PERF/COSME</t>
        </is>
      </c>
      <c r="E1282" s="7" t="inlineStr">
        <is>
          <t>C</t>
        </is>
      </c>
      <c r="F1282" s="13" t="n">
        <v>1</v>
      </c>
      <c r="G1282" s="13" t="n">
        <v>1</v>
      </c>
      <c r="H1282" s="8" t="n">
        <v>15.57</v>
      </c>
      <c r="I1282" s="8" t="n">
        <v>15.57</v>
      </c>
      <c r="J1282" s="8" t="n">
        <v>15.57</v>
      </c>
      <c r="K1282" s="8" t="n"/>
      <c r="L1282" s="8" t="n"/>
      <c r="M1282" s="8" t="n"/>
      <c r="N1282" s="8" t="n"/>
      <c r="O1282" s="8" t="n"/>
      <c r="P1282" s="8" t="n"/>
      <c r="Q1282" s="8" t="n"/>
      <c r="R1282" s="8" t="n"/>
      <c r="S1282" s="8" t="n"/>
      <c r="T1282" s="7" t="inlineStr">
        <is>
          <t>SEM COTAÇÃO</t>
        </is>
      </c>
      <c r="U1282" s="8" t="n"/>
      <c r="V1282" s="14" t="n"/>
      <c r="W1282" s="14" t="n"/>
      <c r="X1282" s="7" t="inlineStr"/>
      <c r="Y1282" s="7" t="inlineStr"/>
    </row>
    <row r="1283">
      <c r="A1283" s="7" t="n">
        <v>647161</v>
      </c>
      <c r="B1283" s="12" t="inlineStr">
        <is>
          <t>7500435170024</t>
        </is>
      </c>
      <c r="C1283" s="7" t="inlineStr">
        <is>
          <t>DEO BARRA SECRET BERRY 45G</t>
        </is>
      </c>
      <c r="D1283" s="7" t="inlineStr">
        <is>
          <t>PERF/COSME</t>
        </is>
      </c>
      <c r="E1283" s="7" t="inlineStr">
        <is>
          <t>A</t>
        </is>
      </c>
      <c r="F1283" s="13" t="n">
        <v>3</v>
      </c>
      <c r="G1283" s="13" t="n">
        <v>3</v>
      </c>
      <c r="H1283" s="8" t="n">
        <v>21.88</v>
      </c>
      <c r="I1283" s="8" t="n">
        <v>18.76</v>
      </c>
      <c r="J1283" s="8" t="n">
        <v>19.8</v>
      </c>
      <c r="K1283" s="8" t="n"/>
      <c r="L1283" s="8" t="n"/>
      <c r="M1283" s="8" t="n"/>
      <c r="N1283" s="8" t="n"/>
      <c r="O1283" s="8" t="n"/>
      <c r="P1283" s="8" t="n"/>
      <c r="Q1283" s="8" t="n"/>
      <c r="R1283" s="8" t="n"/>
      <c r="S1283" s="8" t="n"/>
      <c r="T1283" s="7" t="inlineStr">
        <is>
          <t>SEM COTAÇÃO</t>
        </is>
      </c>
      <c r="U1283" s="8" t="n"/>
      <c r="V1283" s="14" t="n"/>
      <c r="W1283" s="14" t="n"/>
      <c r="X1283" s="7" t="inlineStr"/>
      <c r="Y1283" s="7" t="inlineStr"/>
    </row>
    <row r="1284">
      <c r="A1284" s="7" t="n">
        <v>647181</v>
      </c>
      <c r="B1284" s="12" t="inlineStr">
        <is>
          <t>7500435143189</t>
        </is>
      </c>
      <c r="C1284" s="7" t="inlineStr">
        <is>
          <t>DEO BARRA SECRET COTTON 45G</t>
        </is>
      </c>
      <c r="D1284" s="7" t="inlineStr">
        <is>
          <t>PERF/COSME</t>
        </is>
      </c>
      <c r="E1284" s="7" t="inlineStr">
        <is>
          <t>A</t>
        </is>
      </c>
      <c r="F1284" s="13" t="n">
        <v>6</v>
      </c>
      <c r="G1284" s="13" t="n">
        <v>6</v>
      </c>
      <c r="H1284" s="8" t="n">
        <v>20.62</v>
      </c>
      <c r="I1284" s="8" t="n">
        <v>16.99</v>
      </c>
      <c r="J1284" s="8" t="n">
        <v>18.79</v>
      </c>
      <c r="K1284" s="8" t="n"/>
      <c r="L1284" s="8" t="n"/>
      <c r="M1284" s="8" t="n"/>
      <c r="N1284" s="8" t="n"/>
      <c r="O1284" s="8" t="n"/>
      <c r="P1284" s="8" t="n"/>
      <c r="Q1284" s="8" t="n"/>
      <c r="R1284" s="8" t="n"/>
      <c r="S1284" s="8" t="n"/>
      <c r="T1284" s="7" t="inlineStr">
        <is>
          <t>SEM COTAÇÃO</t>
        </is>
      </c>
      <c r="U1284" s="8" t="n"/>
      <c r="V1284" s="14" t="n"/>
      <c r="W1284" s="14" t="n"/>
      <c r="X1284" s="7" t="inlineStr"/>
      <c r="Y1284" s="7" t="inlineStr"/>
    </row>
    <row r="1285">
      <c r="A1285" s="7" t="n">
        <v>647191</v>
      </c>
      <c r="B1285" s="12" t="inlineStr">
        <is>
          <t>7500435143196</t>
        </is>
      </c>
      <c r="C1285" s="7" t="inlineStr">
        <is>
          <t>DEO BARRA SECRET LAVANDA 45G</t>
        </is>
      </c>
      <c r="D1285" s="7" t="inlineStr">
        <is>
          <t>PERF/COSME</t>
        </is>
      </c>
      <c r="E1285" s="7" t="inlineStr">
        <is>
          <t>A</t>
        </is>
      </c>
      <c r="F1285" s="13" t="n">
        <v>5</v>
      </c>
      <c r="G1285" s="13" t="n">
        <v>5</v>
      </c>
      <c r="H1285" s="8" t="n">
        <v>18.76</v>
      </c>
      <c r="I1285" s="8" t="n">
        <v>18.76</v>
      </c>
      <c r="J1285" s="8" t="n">
        <v>18.76</v>
      </c>
      <c r="K1285" s="8" t="n"/>
      <c r="L1285" s="8" t="n"/>
      <c r="M1285" s="8" t="n"/>
      <c r="N1285" s="8" t="n"/>
      <c r="O1285" s="8" t="n"/>
      <c r="P1285" s="8" t="n"/>
      <c r="Q1285" s="8" t="n"/>
      <c r="R1285" s="8" t="n"/>
      <c r="S1285" s="8" t="n"/>
      <c r="T1285" s="7" t="inlineStr">
        <is>
          <t>SEM COTAÇÃO</t>
        </is>
      </c>
      <c r="U1285" s="8" t="n"/>
      <c r="V1285" s="14" t="n"/>
      <c r="W1285" s="14" t="n"/>
      <c r="X1285" s="7" t="inlineStr"/>
      <c r="Y1285" s="7" t="inlineStr"/>
    </row>
    <row r="1286">
      <c r="A1286" s="7" t="n">
        <v>629321</v>
      </c>
      <c r="B1286" s="12" t="inlineStr">
        <is>
          <t>7908324403077</t>
        </is>
      </c>
      <c r="C1286" s="7" t="inlineStr">
        <is>
          <t>DEO CL PHYTODERM 250ML AGUAS CARINHO</t>
        </is>
      </c>
      <c r="D1286" s="7" t="inlineStr">
        <is>
          <t>PERF/COSME</t>
        </is>
      </c>
      <c r="E1286" s="7" t="inlineStr">
        <is>
          <t>C</t>
        </is>
      </c>
      <c r="F1286" s="13" t="n">
        <v>1</v>
      </c>
      <c r="G1286" s="13" t="n">
        <v>1</v>
      </c>
      <c r="H1286" s="8" t="n">
        <v>16.05</v>
      </c>
      <c r="I1286" s="8" t="n">
        <v>16.05</v>
      </c>
      <c r="J1286" s="8" t="n">
        <v>16.05</v>
      </c>
      <c r="K1286" s="8" t="n"/>
      <c r="L1286" s="8" t="n"/>
      <c r="M1286" s="8" t="n"/>
      <c r="N1286" s="8" t="n"/>
      <c r="O1286" s="8" t="n"/>
      <c r="P1286" s="8" t="n"/>
      <c r="Q1286" s="8" t="n"/>
      <c r="R1286" s="8" t="n"/>
      <c r="S1286" s="8" t="n"/>
      <c r="T1286" s="7" t="inlineStr">
        <is>
          <t>SEM COTAÇÃO</t>
        </is>
      </c>
      <c r="U1286" s="8" t="n"/>
      <c r="V1286" s="14" t="n"/>
      <c r="W1286" s="14" t="n"/>
      <c r="X1286" s="7" t="inlineStr"/>
      <c r="Y1286" s="7" t="inlineStr"/>
    </row>
    <row r="1287">
      <c r="A1287" s="7" t="n">
        <v>659121</v>
      </c>
      <c r="B1287" s="12" t="inlineStr">
        <is>
          <t>7896323207911</t>
        </is>
      </c>
      <c r="C1287" s="7" t="inlineStr">
        <is>
          <t>DEO COL ALFAZ EXTRA HALLEY 120 ML CX/12 - LABATE</t>
        </is>
      </c>
      <c r="D1287" s="7" t="inlineStr">
        <is>
          <t>PERF/COSME</t>
        </is>
      </c>
      <c r="E1287" s="7" t="inlineStr">
        <is>
          <t>C</t>
        </is>
      </c>
      <c r="F1287" s="13" t="n">
        <v>3</v>
      </c>
      <c r="G1287" s="13" t="n">
        <v>3</v>
      </c>
      <c r="H1287" s="8" t="n">
        <v>7.53</v>
      </c>
      <c r="I1287" s="8" t="n">
        <v>7.53</v>
      </c>
      <c r="J1287" s="8" t="n">
        <v>7.53</v>
      </c>
      <c r="K1287" s="8" t="n"/>
      <c r="L1287" s="8" t="n"/>
      <c r="M1287" s="8" t="n"/>
      <c r="N1287" s="8" t="n"/>
      <c r="O1287" s="8" t="n"/>
      <c r="P1287" s="8" t="n"/>
      <c r="Q1287" s="8" t="n"/>
      <c r="R1287" s="8" t="n"/>
      <c r="S1287" s="8" t="n"/>
      <c r="T1287" s="7" t="inlineStr">
        <is>
          <t>SEM COTAÇÃO</t>
        </is>
      </c>
      <c r="U1287" s="8" t="n"/>
      <c r="V1287" s="14" t="n"/>
      <c r="W1287" s="14" t="n"/>
      <c r="X1287" s="7" t="inlineStr"/>
      <c r="Y1287" s="7" t="inlineStr"/>
    </row>
    <row r="1288">
      <c r="A1288" s="7" t="n">
        <v>643661</v>
      </c>
      <c r="B1288" s="12" t="inlineStr">
        <is>
          <t>7896323207898</t>
        </is>
      </c>
      <c r="C1288" s="7" t="inlineStr">
        <is>
          <t>DEO COL ALFAZ HALLEY ORIGINAL 250 ML - LABATE</t>
        </is>
      </c>
      <c r="D1288" s="7" t="inlineStr">
        <is>
          <t>BABY/KIDS</t>
        </is>
      </c>
      <c r="E1288" s="7" t="inlineStr">
        <is>
          <t>B</t>
        </is>
      </c>
      <c r="F1288" s="13" t="n">
        <v>5</v>
      </c>
      <c r="G1288" s="13" t="n">
        <v>5</v>
      </c>
      <c r="H1288" s="8" t="n">
        <v>9.050000000000001</v>
      </c>
      <c r="I1288" s="8" t="n">
        <v>9.050000000000001</v>
      </c>
      <c r="J1288" s="8" t="n">
        <v>9.050000000000001</v>
      </c>
      <c r="K1288" s="8" t="n"/>
      <c r="L1288" s="8" t="n"/>
      <c r="M1288" s="8" t="n"/>
      <c r="N1288" s="8" t="n"/>
      <c r="O1288" s="8" t="n"/>
      <c r="P1288" s="8" t="n"/>
      <c r="Q1288" s="8" t="n"/>
      <c r="R1288" s="8" t="n"/>
      <c r="S1288" s="8" t="n"/>
      <c r="T1288" s="7" t="inlineStr">
        <is>
          <t>SEM COTAÇÃO</t>
        </is>
      </c>
      <c r="U1288" s="8" t="n"/>
      <c r="V1288" s="14" t="n"/>
      <c r="W1288" s="14" t="n"/>
      <c r="X1288" s="7" t="inlineStr"/>
      <c r="Y1288" s="7" t="inlineStr"/>
    </row>
    <row r="1289">
      <c r="A1289" s="7" t="n">
        <v>637701</v>
      </c>
      <c r="B1289" s="12" t="inlineStr">
        <is>
          <t>7891150081215</t>
        </is>
      </c>
      <c r="C1289" s="7" t="inlineStr">
        <is>
          <t>DEO DOVE AER AP MEN CUID TTAL 250ML</t>
        </is>
      </c>
      <c r="D1289" s="7" t="inlineStr">
        <is>
          <t>PERF/COSME</t>
        </is>
      </c>
      <c r="E1289" s="7" t="inlineStr">
        <is>
          <t>C</t>
        </is>
      </c>
      <c r="F1289" s="13" t="n">
        <v>5</v>
      </c>
      <c r="G1289" s="13" t="n">
        <v>5</v>
      </c>
      <c r="H1289" s="8" t="n">
        <v>19.35</v>
      </c>
      <c r="I1289" s="8" t="n">
        <v>16.3642</v>
      </c>
      <c r="J1289" s="8" t="n">
        <v>18.35473333333333</v>
      </c>
      <c r="K1289" s="8" t="n"/>
      <c r="L1289" s="8" t="n"/>
      <c r="M1289" s="8" t="n"/>
      <c r="N1289" s="8" t="n"/>
      <c r="O1289" s="8" t="n"/>
      <c r="P1289" s="15" t="n">
        <v>20.92</v>
      </c>
      <c r="Q1289" s="8" t="n"/>
      <c r="R1289" s="8" t="n"/>
      <c r="S1289" s="8" t="n"/>
      <c r="T1289" s="7" t="inlineStr">
        <is>
          <t>NAZARIA</t>
        </is>
      </c>
      <c r="U1289" s="8" t="n">
        <v>20.92</v>
      </c>
      <c r="V1289" s="14">
        <f>U1289/J1289-1</f>
        <v/>
      </c>
      <c r="W1289" s="14">
        <f>U1289/H1289-1</f>
        <v/>
      </c>
      <c r="X1289" s="16" t="inlineStr">
        <is>
          <t>ACIMA +8.1%</t>
        </is>
      </c>
      <c r="Y1289" s="7" t="inlineStr"/>
    </row>
    <row r="1290">
      <c r="A1290" s="7" t="n">
        <v>657911</v>
      </c>
      <c r="B1290" s="12" t="inlineStr">
        <is>
          <t>7891150094741</t>
        </is>
      </c>
      <c r="C1290" s="7" t="inlineStr">
        <is>
          <t>DEO DOVE CR SER REPARACAO DIARIA 50G</t>
        </is>
      </c>
      <c r="D1290" s="7" t="inlineStr">
        <is>
          <t>ANTITRANSPIRANTE/DESODORANTE</t>
        </is>
      </c>
      <c r="E1290" s="7" t="inlineStr">
        <is>
          <t>A</t>
        </is>
      </c>
      <c r="F1290" s="13" t="n">
        <v>14</v>
      </c>
      <c r="G1290" s="13" t="n">
        <v>14</v>
      </c>
      <c r="H1290" s="8" t="n">
        <v>13.7</v>
      </c>
      <c r="I1290" s="8" t="n">
        <v>11.82</v>
      </c>
      <c r="J1290" s="8" t="n">
        <v>13.07333333333333</v>
      </c>
      <c r="K1290" s="8" t="n"/>
      <c r="L1290" s="8" t="n"/>
      <c r="M1290" s="8" t="n"/>
      <c r="N1290" s="8" t="n"/>
      <c r="O1290" s="8" t="n"/>
      <c r="P1290" s="15" t="n">
        <v>13.18</v>
      </c>
      <c r="Q1290" s="8" t="n"/>
      <c r="R1290" s="8" t="n"/>
      <c r="S1290" s="8" t="n"/>
      <c r="T1290" s="7" t="inlineStr">
        <is>
          <t>NAZARIA</t>
        </is>
      </c>
      <c r="U1290" s="8" t="n">
        <v>13.18</v>
      </c>
      <c r="V1290" s="14">
        <f>U1290/J1290-1</f>
        <v/>
      </c>
      <c r="W1290" s="14">
        <f>U1290/H1290-1</f>
        <v/>
      </c>
      <c r="X1290" s="17" t="inlineStr">
        <is>
          <t>OK (≤ últ. compra)</t>
        </is>
      </c>
      <c r="Y1290" s="7" t="inlineStr"/>
    </row>
    <row r="1291">
      <c r="A1291" s="7" t="n">
        <v>650321</v>
      </c>
      <c r="B1291" s="12" t="inlineStr">
        <is>
          <t>7891150096783</t>
        </is>
      </c>
      <c r="C1291" s="7" t="inlineStr">
        <is>
          <t>DEO DOVE CREME PREVINE ESCUR 50G-DEMAIS PROD</t>
        </is>
      </c>
      <c r="D1291" s="7" t="inlineStr">
        <is>
          <t>ANTITRANSPIRANTE/DESODORANTE</t>
        </is>
      </c>
      <c r="E1291" s="7" t="inlineStr">
        <is>
          <t>A</t>
        </is>
      </c>
      <c r="F1291" s="13" t="n">
        <v>9</v>
      </c>
      <c r="G1291" s="13" t="n">
        <v>9</v>
      </c>
      <c r="H1291" s="8" t="n">
        <v>13.99</v>
      </c>
      <c r="I1291" s="8" t="n">
        <v>11.82</v>
      </c>
      <c r="J1291" s="8" t="n">
        <v>13.26666666666667</v>
      </c>
      <c r="K1291" s="8" t="n"/>
      <c r="L1291" s="8" t="n"/>
      <c r="M1291" s="8" t="n"/>
      <c r="N1291" s="8" t="n"/>
      <c r="O1291" s="8" t="n"/>
      <c r="P1291" s="8" t="n">
        <v>13.18</v>
      </c>
      <c r="Q1291" s="8" t="n"/>
      <c r="R1291" s="8" t="n"/>
      <c r="S1291" s="8" t="n"/>
      <c r="T1291" s="7" t="inlineStr">
        <is>
          <t>SEM COTAÇÃO</t>
        </is>
      </c>
      <c r="U1291" s="8" t="n"/>
      <c r="V1291" s="14" t="n"/>
      <c r="W1291" s="14" t="n"/>
      <c r="X1291" s="7" t="inlineStr"/>
      <c r="Y1291" s="7" t="inlineStr">
        <is>
          <t>NAZARIA: sem estoque</t>
        </is>
      </c>
    </row>
    <row r="1292">
      <c r="A1292" s="7" t="n">
        <v>659731</v>
      </c>
      <c r="B1292" s="12" t="inlineStr"/>
      <c r="C1292" s="7" t="inlineStr">
        <is>
          <t>DEO DOVE STICK INVISIBLE DRY 45G-DEMAIS PROD</t>
        </is>
      </c>
      <c r="D1292" s="7" t="inlineStr">
        <is>
          <t>DERMOCOSMETICOS/COSMETICOS</t>
        </is>
      </c>
      <c r="E1292" s="7" t="inlineStr">
        <is>
          <t>B</t>
        </is>
      </c>
      <c r="F1292" s="13" t="n">
        <v>2</v>
      </c>
      <c r="G1292" s="13" t="n">
        <v>2</v>
      </c>
      <c r="H1292" s="8" t="n">
        <v>16.8742</v>
      </c>
      <c r="I1292" s="8" t="n">
        <v>16.8742</v>
      </c>
      <c r="J1292" s="8" t="n">
        <v>16.8742</v>
      </c>
      <c r="K1292" s="8" t="n"/>
      <c r="L1292" s="8" t="n"/>
      <c r="M1292" s="8" t="n"/>
      <c r="N1292" s="8" t="n"/>
      <c r="O1292" s="8" t="n"/>
      <c r="P1292" s="8" t="n"/>
      <c r="Q1292" s="8" t="n"/>
      <c r="R1292" s="8" t="n"/>
      <c r="S1292" s="8" t="n"/>
      <c r="T1292" s="7" t="inlineStr">
        <is>
          <t>SEM COTAÇÃO</t>
        </is>
      </c>
      <c r="U1292" s="8" t="n"/>
      <c r="V1292" s="14" t="n"/>
      <c r="W1292" s="14" t="n"/>
      <c r="X1292" s="7" t="inlineStr"/>
      <c r="Y1292" s="7" t="inlineStr"/>
    </row>
    <row r="1293">
      <c r="A1293" s="7" t="n">
        <v>657901</v>
      </c>
      <c r="B1293" s="12" t="inlineStr">
        <is>
          <t>0079400500205</t>
        </is>
      </c>
      <c r="C1293" s="7" t="inlineStr">
        <is>
          <t>DEO DOVE STICK POWDER 45G</t>
        </is>
      </c>
      <c r="D1293" s="7" t="inlineStr">
        <is>
          <t>ANTITRANSPIRANTE/DESODORANTE</t>
        </is>
      </c>
      <c r="E1293" s="7" t="inlineStr">
        <is>
          <t>C</t>
        </is>
      </c>
      <c r="F1293" s="13" t="n">
        <v>1</v>
      </c>
      <c r="G1293" s="13" t="n">
        <v>1</v>
      </c>
      <c r="H1293" s="8" t="n">
        <v>16.8742</v>
      </c>
      <c r="I1293" s="8" t="n">
        <v>16.8742</v>
      </c>
      <c r="J1293" s="8" t="n">
        <v>16.8742</v>
      </c>
      <c r="K1293" s="8" t="n"/>
      <c r="L1293" s="8" t="n"/>
      <c r="M1293" s="8" t="n"/>
      <c r="N1293" s="8" t="n"/>
      <c r="O1293" s="8" t="n"/>
      <c r="P1293" s="8" t="n"/>
      <c r="Q1293" s="8" t="n"/>
      <c r="R1293" s="8" t="n"/>
      <c r="S1293" s="8" t="n"/>
      <c r="T1293" s="7" t="inlineStr">
        <is>
          <t>SEM COTAÇÃO</t>
        </is>
      </c>
      <c r="U1293" s="8" t="n"/>
      <c r="V1293" s="14" t="n"/>
      <c r="W1293" s="14" t="n"/>
      <c r="X1293" s="7" t="inlineStr"/>
      <c r="Y1293" s="7" t="inlineStr"/>
    </row>
    <row r="1294">
      <c r="A1294" s="7" t="n">
        <v>632811</v>
      </c>
      <c r="B1294" s="12" t="inlineStr">
        <is>
          <t>7500435143875</t>
        </is>
      </c>
      <c r="C1294" s="7" t="inlineStr">
        <is>
          <t>DEO GEL SECRET ORANGE BLOSSOM 45G</t>
        </is>
      </c>
      <c r="D1294" s="7" t="inlineStr">
        <is>
          <t>PERF/COSME</t>
        </is>
      </c>
      <c r="E1294" s="7" t="inlineStr">
        <is>
          <t>A</t>
        </is>
      </c>
      <c r="F1294" s="13" t="n">
        <v>1</v>
      </c>
      <c r="G1294" s="13" t="n">
        <v>1</v>
      </c>
      <c r="H1294" s="8" t="n">
        <v>21.88</v>
      </c>
      <c r="I1294" s="8" t="n">
        <v>18.76</v>
      </c>
      <c r="J1294" s="8" t="n">
        <v>19.8</v>
      </c>
      <c r="K1294" s="8" t="n"/>
      <c r="L1294" s="8" t="n"/>
      <c r="M1294" s="8" t="n"/>
      <c r="N1294" s="8" t="n"/>
      <c r="O1294" s="8" t="n"/>
      <c r="P1294" s="8" t="n"/>
      <c r="Q1294" s="8" t="n"/>
      <c r="R1294" s="8" t="n"/>
      <c r="S1294" s="8" t="n"/>
      <c r="T1294" s="7" t="inlineStr">
        <is>
          <t>SEM COTAÇÃO</t>
        </is>
      </c>
      <c r="U1294" s="8" t="n"/>
      <c r="V1294" s="14" t="n"/>
      <c r="W1294" s="14" t="n"/>
      <c r="X1294" s="7" t="inlineStr"/>
      <c r="Y1294" s="7" t="inlineStr"/>
    </row>
    <row r="1295">
      <c r="A1295" s="7" t="n">
        <v>582381</v>
      </c>
      <c r="B1295" s="12" t="inlineStr">
        <is>
          <t>4005900715814</t>
        </is>
      </c>
      <c r="C1295" s="7" t="inlineStr">
        <is>
          <t>DEO NIVEA AER FEM DM SENS 150ML  NIVE %DN:0.00</t>
        </is>
      </c>
      <c r="D1295" s="7" t="inlineStr">
        <is>
          <t>ANTITRANSPIRANTE/DESODORANTE</t>
        </is>
      </c>
      <c r="E1295" s="7" t="inlineStr">
        <is>
          <t>C</t>
        </is>
      </c>
      <c r="F1295" s="13" t="n">
        <v>1</v>
      </c>
      <c r="G1295" s="13" t="n">
        <v>1</v>
      </c>
      <c r="H1295" s="8" t="n">
        <v>10.2508</v>
      </c>
      <c r="I1295" s="8" t="n">
        <v>10.2508</v>
      </c>
      <c r="J1295" s="8" t="n">
        <v>10.2508</v>
      </c>
      <c r="K1295" s="8" t="n"/>
      <c r="L1295" s="8" t="n"/>
      <c r="M1295" s="8" t="n"/>
      <c r="N1295" s="8" t="n"/>
      <c r="O1295" s="8" t="n"/>
      <c r="P1295" s="8" t="n"/>
      <c r="Q1295" s="8" t="n"/>
      <c r="R1295" s="8" t="n"/>
      <c r="S1295" s="8" t="n"/>
      <c r="T1295" s="7" t="inlineStr">
        <is>
          <t>SEM COTAÇÃO</t>
        </is>
      </c>
      <c r="U1295" s="8" t="n"/>
      <c r="V1295" s="14" t="n"/>
      <c r="W1295" s="14" t="n"/>
      <c r="X1295" s="7" t="inlineStr"/>
      <c r="Y1295" s="7" t="inlineStr"/>
    </row>
    <row r="1296">
      <c r="A1296" s="7" t="n">
        <v>645051</v>
      </c>
      <c r="B1296" s="12" t="inlineStr">
        <is>
          <t>4006000015361</t>
        </is>
      </c>
      <c r="C1296" s="7" t="inlineStr">
        <is>
          <t>DEO NIVEA AER FRESH SENSATION MASC 150ML   NIVE %DN:10.00</t>
        </is>
      </c>
      <c r="D1296" s="7" t="inlineStr">
        <is>
          <t>ANTITRANSPIRANTE/DESODORANTE</t>
        </is>
      </c>
      <c r="E1296" s="7" t="inlineStr">
        <is>
          <t>C</t>
        </is>
      </c>
      <c r="F1296" s="13" t="n">
        <v>2</v>
      </c>
      <c r="G1296" s="13" t="n">
        <v>2</v>
      </c>
      <c r="H1296" s="8" t="n">
        <v>11.28</v>
      </c>
      <c r="I1296" s="8" t="n">
        <v>11.28</v>
      </c>
      <c r="J1296" s="8" t="n">
        <v>11.28</v>
      </c>
      <c r="K1296" s="8" t="n"/>
      <c r="L1296" s="8" t="n"/>
      <c r="M1296" s="8" t="n"/>
      <c r="N1296" s="8" t="n"/>
      <c r="O1296" s="8" t="n"/>
      <c r="P1296" s="8" t="n"/>
      <c r="Q1296" s="8" t="n"/>
      <c r="R1296" s="8" t="n"/>
      <c r="S1296" s="8" t="n"/>
      <c r="T1296" s="7" t="inlineStr">
        <is>
          <t>SEM COTAÇÃO</t>
        </is>
      </c>
      <c r="U1296" s="8" t="n"/>
      <c r="V1296" s="14" t="n"/>
      <c r="W1296" s="14" t="n"/>
      <c r="X1296" s="7" t="inlineStr"/>
      <c r="Y1296" s="7" t="inlineStr"/>
    </row>
    <row r="1297">
      <c r="A1297" s="7" t="n">
        <v>685201</v>
      </c>
      <c r="B1297" s="12" t="inlineStr">
        <is>
          <t>4006000045498</t>
        </is>
      </c>
      <c r="C1297" s="7" t="inlineStr">
        <is>
          <t>DEO NIVEA BARRA CLIN PROT FM 54G-DEMAIS PROD</t>
        </is>
      </c>
      <c r="D1297" s="7" t="inlineStr">
        <is>
          <t>ANTITRANSPIRANTE/DESODORANTE</t>
        </is>
      </c>
      <c r="E1297" s="7" t="inlineStr">
        <is>
          <t>A</t>
        </is>
      </c>
      <c r="F1297" s="13" t="n">
        <v>5</v>
      </c>
      <c r="G1297" s="13" t="n">
        <v>5</v>
      </c>
      <c r="H1297" s="8" t="n">
        <v>19.41</v>
      </c>
      <c r="I1297" s="8" t="n">
        <v>19.41</v>
      </c>
      <c r="J1297" s="8" t="n">
        <v>19.41</v>
      </c>
      <c r="K1297" s="8" t="n"/>
      <c r="L1297" s="8" t="n"/>
      <c r="M1297" s="8" t="n"/>
      <c r="N1297" s="8" t="n"/>
      <c r="O1297" s="8" t="n"/>
      <c r="P1297" s="15" t="n">
        <v>23.4</v>
      </c>
      <c r="Q1297" s="8" t="n"/>
      <c r="R1297" s="8" t="n"/>
      <c r="S1297" s="8" t="n"/>
      <c r="T1297" s="7" t="inlineStr">
        <is>
          <t>NAZARIA</t>
        </is>
      </c>
      <c r="U1297" s="8" t="n">
        <v>23.4</v>
      </c>
      <c r="V1297" s="14">
        <f>U1297/J1297-1</f>
        <v/>
      </c>
      <c r="W1297" s="14">
        <f>U1297/H1297-1</f>
        <v/>
      </c>
      <c r="X1297" s="16" t="inlineStr">
        <is>
          <t>ACIMA +20.6%</t>
        </is>
      </c>
      <c r="Y1297" s="7" t="inlineStr"/>
    </row>
    <row r="1298">
      <c r="A1298" s="7" t="n">
        <v>683301</v>
      </c>
      <c r="B1298" s="12" t="inlineStr">
        <is>
          <t>4005900181022</t>
        </is>
      </c>
      <c r="C1298" s="7" t="inlineStr">
        <is>
          <t>DEO NIVEA ROLL DRY M 50% DESC2O-DEMAIS PROD</t>
        </is>
      </c>
      <c r="D1298" s="7" t="inlineStr">
        <is>
          <t>ANTITRANSPIRANTE/DESODORANTE</t>
        </is>
      </c>
      <c r="E1298" s="7" t="inlineStr">
        <is>
          <t>C</t>
        </is>
      </c>
      <c r="F1298" s="13" t="n">
        <v>2</v>
      </c>
      <c r="G1298" s="13" t="n">
        <v>2</v>
      </c>
      <c r="H1298" s="8" t="n">
        <v>12.3967</v>
      </c>
      <c r="I1298" s="8" t="n">
        <v>12.3967</v>
      </c>
      <c r="J1298" s="8" t="n">
        <v>12.3967</v>
      </c>
      <c r="K1298" s="8" t="n"/>
      <c r="L1298" s="8" t="n"/>
      <c r="M1298" s="8" t="n"/>
      <c r="N1298" s="8" t="n"/>
      <c r="O1298" s="8" t="n"/>
      <c r="P1298" s="8" t="n">
        <v>13.37</v>
      </c>
      <c r="Q1298" s="8" t="n"/>
      <c r="R1298" s="8" t="n"/>
      <c r="S1298" s="8" t="n"/>
      <c r="T1298" s="7" t="inlineStr">
        <is>
          <t>SEM COTAÇÃO</t>
        </is>
      </c>
      <c r="U1298" s="8" t="n"/>
      <c r="V1298" s="14" t="n"/>
      <c r="W1298" s="14" t="n"/>
      <c r="X1298" s="7" t="inlineStr"/>
      <c r="Y1298" s="7" t="inlineStr">
        <is>
          <t>NAZARIA: sem estoque</t>
        </is>
      </c>
    </row>
    <row r="1299">
      <c r="A1299" s="7" t="n">
        <v>600711</v>
      </c>
      <c r="B1299" s="12" t="inlineStr">
        <is>
          <t>7500435186438</t>
        </is>
      </c>
      <c r="C1299" s="7" t="inlineStr">
        <is>
          <t>DEO OLD SPICE AERO PROT EPICA 93G</t>
        </is>
      </c>
      <c r="D1299" s="7" t="inlineStr">
        <is>
          <t>ANTITRANSPIRANTE/DESODORANTE</t>
        </is>
      </c>
      <c r="E1299" s="7" t="inlineStr">
        <is>
          <t>C</t>
        </is>
      </c>
      <c r="F1299" s="13" t="n">
        <v>1</v>
      </c>
      <c r="G1299" s="13" t="n">
        <v>1</v>
      </c>
      <c r="H1299" s="8" t="n">
        <v>12.82</v>
      </c>
      <c r="I1299" s="8" t="n">
        <v>12.82</v>
      </c>
      <c r="J1299" s="8" t="n">
        <v>12.82</v>
      </c>
      <c r="K1299" s="8" t="n"/>
      <c r="L1299" s="8" t="n"/>
      <c r="M1299" s="8" t="n"/>
      <c r="N1299" s="8" t="n"/>
      <c r="O1299" s="8" t="n"/>
      <c r="P1299" s="8" t="n"/>
      <c r="Q1299" s="8" t="n"/>
      <c r="R1299" s="8" t="n"/>
      <c r="S1299" s="8" t="n"/>
      <c r="T1299" s="7" t="inlineStr">
        <is>
          <t>SEM COTAÇÃO</t>
        </is>
      </c>
      <c r="U1299" s="8" t="n"/>
      <c r="V1299" s="14" t="n"/>
      <c r="W1299" s="14" t="n"/>
      <c r="X1299" s="7" t="inlineStr"/>
      <c r="Y1299" s="7" t="inlineStr"/>
    </row>
    <row r="1300">
      <c r="A1300" s="7" t="n">
        <v>645711</v>
      </c>
      <c r="B1300" s="12" t="inlineStr">
        <is>
          <t>75076818</t>
        </is>
      </c>
      <c r="C1300" s="7" t="inlineStr">
        <is>
          <t>DEO REX WOMEN CLINIC CLASSIC CR 96H 58G</t>
        </is>
      </c>
      <c r="D1300" s="7" t="inlineStr">
        <is>
          <t>PERF/COSME</t>
        </is>
      </c>
      <c r="E1300" s="7" t="inlineStr">
        <is>
          <t>C</t>
        </is>
      </c>
      <c r="F1300" s="13" t="n">
        <v>1</v>
      </c>
      <c r="G1300" s="13" t="n">
        <v>1</v>
      </c>
      <c r="H1300" s="8" t="n">
        <v>17.2642</v>
      </c>
      <c r="I1300" s="8" t="n">
        <v>17.2642</v>
      </c>
      <c r="J1300" s="8" t="n">
        <v>17.2642</v>
      </c>
      <c r="K1300" s="8" t="n"/>
      <c r="L1300" s="8" t="n"/>
      <c r="M1300" s="8" t="n"/>
      <c r="N1300" s="8" t="n"/>
      <c r="O1300" s="8" t="n"/>
      <c r="P1300" s="15" t="n">
        <v>21.67</v>
      </c>
      <c r="Q1300" s="8" t="n"/>
      <c r="R1300" s="8" t="n"/>
      <c r="S1300" s="8" t="n"/>
      <c r="T1300" s="7" t="inlineStr">
        <is>
          <t>NAZARIA</t>
        </is>
      </c>
      <c r="U1300" s="8" t="n">
        <v>21.67</v>
      </c>
      <c r="V1300" s="14">
        <f>U1300/J1300-1</f>
        <v/>
      </c>
      <c r="W1300" s="14">
        <f>U1300/H1300-1</f>
        <v/>
      </c>
      <c r="X1300" s="16" t="inlineStr">
        <is>
          <t>ACIMA +25.5%</t>
        </is>
      </c>
      <c r="Y1300" s="7" t="inlineStr"/>
    </row>
    <row r="1301">
      <c r="A1301" s="7" t="n">
        <v>645721</v>
      </c>
      <c r="B1301" s="12" t="inlineStr">
        <is>
          <t>75076825</t>
        </is>
      </c>
      <c r="C1301" s="7" t="inlineStr">
        <is>
          <t>DEO REXONA MEN CLINIC CLEAN CR 96H 58G</t>
        </is>
      </c>
      <c r="D1301" s="7" t="inlineStr">
        <is>
          <t>PERF/COSME</t>
        </is>
      </c>
      <c r="E1301" s="7" t="inlineStr">
        <is>
          <t>C</t>
        </is>
      </c>
      <c r="F1301" s="13" t="n">
        <v>1</v>
      </c>
      <c r="G1301" s="13" t="n">
        <v>1</v>
      </c>
      <c r="H1301" s="8" t="n">
        <v>16.6892</v>
      </c>
      <c r="I1301" s="8" t="n">
        <v>16.6892</v>
      </c>
      <c r="J1301" s="8" t="n">
        <v>16.6892</v>
      </c>
      <c r="K1301" s="8" t="n"/>
      <c r="L1301" s="8" t="n"/>
      <c r="M1301" s="8" t="n"/>
      <c r="N1301" s="8" t="n"/>
      <c r="O1301" s="8" t="n"/>
      <c r="P1301" s="15" t="n">
        <v>21.67</v>
      </c>
      <c r="Q1301" s="8" t="n"/>
      <c r="R1301" s="8" t="n"/>
      <c r="S1301" s="8" t="n"/>
      <c r="T1301" s="7" t="inlineStr">
        <is>
          <t>NAZARIA</t>
        </is>
      </c>
      <c r="U1301" s="8" t="n">
        <v>21.67</v>
      </c>
      <c r="V1301" s="14">
        <f>U1301/J1301-1</f>
        <v/>
      </c>
      <c r="W1301" s="14">
        <f>U1301/H1301-1</f>
        <v/>
      </c>
      <c r="X1301" s="16" t="inlineStr">
        <is>
          <t>ACIMA +29.8%</t>
        </is>
      </c>
      <c r="Y1301" s="7" t="inlineStr"/>
    </row>
    <row r="1302">
      <c r="A1302" s="7" t="n">
        <v>663011</v>
      </c>
      <c r="B1302" s="12" t="inlineStr">
        <is>
          <t>78926523</t>
        </is>
      </c>
      <c r="C1302" s="7" t="inlineStr">
        <is>
          <t>DEO REXONA ROLLON ACTIVE EMOTION 50ML   UNIL %DN:17.00</t>
        </is>
      </c>
      <c r="D1302" s="7" t="inlineStr">
        <is>
          <t>ANTITRANSPIRANTE/DESODORANTE</t>
        </is>
      </c>
      <c r="E1302" s="7" t="inlineStr">
        <is>
          <t>C</t>
        </is>
      </c>
      <c r="F1302" s="13" t="n">
        <v>1</v>
      </c>
      <c r="G1302" s="13" t="n">
        <v>1</v>
      </c>
      <c r="H1302" s="8" t="n">
        <v>6.3825</v>
      </c>
      <c r="I1302" s="8" t="n">
        <v>6.3825</v>
      </c>
      <c r="J1302" s="8" t="n">
        <v>6.3825</v>
      </c>
      <c r="K1302" s="8" t="n"/>
      <c r="L1302" s="8" t="n"/>
      <c r="M1302" s="8" t="n"/>
      <c r="N1302" s="8" t="n"/>
      <c r="O1302" s="8" t="n"/>
      <c r="P1302" s="15" t="n">
        <v>8.27</v>
      </c>
      <c r="Q1302" s="8" t="n"/>
      <c r="R1302" s="8" t="n"/>
      <c r="S1302" s="8" t="n"/>
      <c r="T1302" s="7" t="inlineStr">
        <is>
          <t>NAZARIA</t>
        </is>
      </c>
      <c r="U1302" s="8" t="n">
        <v>8.27</v>
      </c>
      <c r="V1302" s="14">
        <f>U1302/J1302-1</f>
        <v/>
      </c>
      <c r="W1302" s="14">
        <f>U1302/H1302-1</f>
        <v/>
      </c>
      <c r="X1302" s="16" t="inlineStr">
        <is>
          <t>ACIMA +29.6%</t>
        </is>
      </c>
      <c r="Y1302" s="7" t="inlineStr"/>
    </row>
    <row r="1303">
      <c r="A1303" s="7" t="n">
        <v>649391</v>
      </c>
      <c r="B1303" s="12" t="inlineStr">
        <is>
          <t>78924338</t>
        </is>
      </c>
      <c r="C1303" s="7" t="inlineStr">
        <is>
          <t>DEO REXONA ROLLON POWDER 50ML   UNIL %DN:2.00</t>
        </is>
      </c>
      <c r="D1303" s="7" t="inlineStr">
        <is>
          <t>ANTITRANSPIRANTE/DESODORANTE</t>
        </is>
      </c>
      <c r="E1303" s="7" t="inlineStr">
        <is>
          <t>B</t>
        </is>
      </c>
      <c r="F1303" s="13" t="n">
        <v>4</v>
      </c>
      <c r="G1303" s="13" t="n">
        <v>4</v>
      </c>
      <c r="H1303" s="8" t="n">
        <v>6.3825</v>
      </c>
      <c r="I1303" s="8" t="n">
        <v>6.3825</v>
      </c>
      <c r="J1303" s="8" t="n">
        <v>6.3825</v>
      </c>
      <c r="K1303" s="8" t="n"/>
      <c r="L1303" s="8" t="n"/>
      <c r="M1303" s="8" t="n"/>
      <c r="N1303" s="8" t="n"/>
      <c r="O1303" s="8" t="n"/>
      <c r="P1303" s="15" t="n">
        <v>8.27</v>
      </c>
      <c r="Q1303" s="8" t="n"/>
      <c r="R1303" s="8" t="n"/>
      <c r="S1303" s="8" t="n"/>
      <c r="T1303" s="7" t="inlineStr">
        <is>
          <t>NAZARIA</t>
        </is>
      </c>
      <c r="U1303" s="8" t="n">
        <v>8.27</v>
      </c>
      <c r="V1303" s="14">
        <f>U1303/J1303-1</f>
        <v/>
      </c>
      <c r="W1303" s="14">
        <f>U1303/H1303-1</f>
        <v/>
      </c>
      <c r="X1303" s="16" t="inlineStr">
        <is>
          <t>ACIMA +29.6%</t>
        </is>
      </c>
      <c r="Y1303" s="7" t="inlineStr"/>
    </row>
    <row r="1304">
      <c r="A1304" s="7" t="n">
        <v>669911</v>
      </c>
      <c r="B1304" s="12" t="inlineStr">
        <is>
          <t>7891150100503</t>
        </is>
      </c>
      <c r="C1304" s="7" t="inlineStr">
        <is>
          <t>DEO REXONA WOMEN AER INV 150ML   UNIL %DN:12.00</t>
        </is>
      </c>
      <c r="D1304" s="7" t="inlineStr">
        <is>
          <t>COND/SHAM/CREM/SIMILARES</t>
        </is>
      </c>
      <c r="E1304" s="7" t="inlineStr">
        <is>
          <t>A</t>
        </is>
      </c>
      <c r="F1304" s="13" t="n">
        <v>2</v>
      </c>
      <c r="G1304" s="13" t="n">
        <v>2</v>
      </c>
      <c r="H1304" s="8" t="n">
        <v>16.62</v>
      </c>
      <c r="I1304" s="8" t="n">
        <v>13.53</v>
      </c>
      <c r="J1304" s="8" t="n">
        <v>15.59</v>
      </c>
      <c r="K1304" s="8" t="n"/>
      <c r="L1304" s="8" t="n"/>
      <c r="M1304" s="8" t="n"/>
      <c r="N1304" s="8" t="n"/>
      <c r="O1304" s="8" t="n"/>
      <c r="P1304" s="15" t="n">
        <v>15.18</v>
      </c>
      <c r="Q1304" s="8" t="n"/>
      <c r="R1304" s="8" t="n"/>
      <c r="S1304" s="8" t="n"/>
      <c r="T1304" s="7" t="inlineStr">
        <is>
          <t>NAZARIA</t>
        </is>
      </c>
      <c r="U1304" s="8" t="n">
        <v>15.18</v>
      </c>
      <c r="V1304" s="14">
        <f>U1304/J1304-1</f>
        <v/>
      </c>
      <c r="W1304" s="14">
        <f>U1304/H1304-1</f>
        <v/>
      </c>
      <c r="X1304" s="17" t="inlineStr">
        <is>
          <t>OK (≤ últ. compra)</t>
        </is>
      </c>
      <c r="Y1304" s="7" t="inlineStr"/>
    </row>
    <row r="1305">
      <c r="A1305" s="7" t="n">
        <v>601921</v>
      </c>
      <c r="B1305" s="12" t="inlineStr">
        <is>
          <t>7898212287042</t>
        </is>
      </c>
      <c r="C1305" s="7" t="inlineStr">
        <is>
          <t>DEPIL BELLA CERA HIDRO. NATURAL 300G</t>
        </is>
      </c>
      <c r="D1305" s="7" t="inlineStr">
        <is>
          <t>PERF/COSME</t>
        </is>
      </c>
      <c r="E1305" s="7" t="inlineStr">
        <is>
          <t>C</t>
        </is>
      </c>
      <c r="F1305" s="13" t="n">
        <v>1</v>
      </c>
      <c r="G1305" s="13" t="n">
        <v>1</v>
      </c>
      <c r="H1305" s="8" t="n">
        <v>9.31</v>
      </c>
      <c r="I1305" s="8" t="n">
        <v>9.31</v>
      </c>
      <c r="J1305" s="8" t="n">
        <v>9.31</v>
      </c>
      <c r="K1305" s="8" t="n"/>
      <c r="L1305" s="8" t="n"/>
      <c r="M1305" s="8" t="n"/>
      <c r="N1305" s="8" t="n"/>
      <c r="O1305" s="8" t="n"/>
      <c r="P1305" s="8" t="n"/>
      <c r="Q1305" s="8" t="n"/>
      <c r="R1305" s="8" t="n"/>
      <c r="S1305" s="8" t="n"/>
      <c r="T1305" s="7" t="inlineStr">
        <is>
          <t>SEM COTAÇÃO</t>
        </is>
      </c>
      <c r="U1305" s="8" t="n"/>
      <c r="V1305" s="14" t="n"/>
      <c r="W1305" s="14" t="n"/>
      <c r="X1305" s="7" t="inlineStr"/>
      <c r="Y1305" s="7" t="inlineStr"/>
    </row>
    <row r="1306">
      <c r="A1306" s="7" t="n">
        <v>601911</v>
      </c>
      <c r="B1306" s="12" t="inlineStr">
        <is>
          <t>7898212287035</t>
        </is>
      </c>
      <c r="C1306" s="7" t="inlineStr">
        <is>
          <t>DEPIL BELLA CERA HIDRO.MORNA  ACAI 300G</t>
        </is>
      </c>
      <c r="D1306" s="7" t="inlineStr">
        <is>
          <t>PERF/COSME</t>
        </is>
      </c>
      <c r="E1306" s="7" t="inlineStr">
        <is>
          <t>C</t>
        </is>
      </c>
      <c r="F1306" s="13" t="n">
        <v>1</v>
      </c>
      <c r="G1306" s="13" t="n">
        <v>1</v>
      </c>
      <c r="H1306" s="8" t="n">
        <v>9.31</v>
      </c>
      <c r="I1306" s="8" t="n">
        <v>9.31</v>
      </c>
      <c r="J1306" s="8" t="n">
        <v>9.31</v>
      </c>
      <c r="K1306" s="8" t="n"/>
      <c r="L1306" s="8" t="n"/>
      <c r="M1306" s="8" t="n"/>
      <c r="N1306" s="8" t="n"/>
      <c r="O1306" s="8" t="n"/>
      <c r="P1306" s="8" t="n"/>
      <c r="Q1306" s="8" t="n"/>
      <c r="R1306" s="8" t="n"/>
      <c r="S1306" s="8" t="n"/>
      <c r="T1306" s="7" t="inlineStr">
        <is>
          <t>SEM COTAÇÃO</t>
        </is>
      </c>
      <c r="U1306" s="8" t="n"/>
      <c r="V1306" s="14" t="n"/>
      <c r="W1306" s="14" t="n"/>
      <c r="X1306" s="7" t="inlineStr"/>
      <c r="Y1306" s="7" t="inlineStr"/>
    </row>
    <row r="1307">
      <c r="A1307" s="7" t="n">
        <v>6581</v>
      </c>
      <c r="B1307" s="12" t="inlineStr">
        <is>
          <t>7891268101799</t>
        </is>
      </c>
      <c r="C1307" s="7" t="inlineStr">
        <is>
          <t>DEPO PROVERA 150MG SUS INJ 1FA X 1ML</t>
        </is>
      </c>
      <c r="D1307" s="7" t="inlineStr">
        <is>
          <t>RX</t>
        </is>
      </c>
      <c r="E1307" s="7" t="inlineStr">
        <is>
          <t>A</t>
        </is>
      </c>
      <c r="F1307" s="13" t="n">
        <v>4</v>
      </c>
      <c r="G1307" s="13" t="n">
        <v>4</v>
      </c>
      <c r="H1307" s="8" t="n">
        <v>36.87</v>
      </c>
      <c r="I1307" s="8" t="n">
        <v>33.56</v>
      </c>
      <c r="J1307" s="8" t="n">
        <v>34.68</v>
      </c>
      <c r="K1307" s="8" t="n"/>
      <c r="L1307" s="8" t="n"/>
      <c r="M1307" s="8" t="n">
        <v>36.87</v>
      </c>
      <c r="N1307" s="8" t="n"/>
      <c r="O1307" s="8" t="n"/>
      <c r="P1307" s="15" t="n">
        <v>35.4825</v>
      </c>
      <c r="Q1307" s="8" t="n"/>
      <c r="R1307" s="8" t="n"/>
      <c r="S1307" s="8" t="n"/>
      <c r="T1307" s="7" t="inlineStr">
        <is>
          <t>NAZARIA</t>
        </is>
      </c>
      <c r="U1307" s="8" t="n">
        <v>35.4825</v>
      </c>
      <c r="V1307" s="14">
        <f>U1307/J1307-1</f>
        <v/>
      </c>
      <c r="W1307" s="14">
        <f>U1307/H1307-1</f>
        <v/>
      </c>
      <c r="X1307" s="17" t="inlineStr">
        <is>
          <t>OK (≤ últ. compra)</t>
        </is>
      </c>
      <c r="Y1307" s="7" t="inlineStr"/>
    </row>
    <row r="1308">
      <c r="A1308" s="7" t="n">
        <v>6601</v>
      </c>
      <c r="B1308" s="12" t="inlineStr">
        <is>
          <t>7891268101782</t>
        </is>
      </c>
      <c r="C1308" s="7" t="inlineStr">
        <is>
          <t>DEPO PROVERA 150MG SUS INJ 1FA X 1ML+1SER PREENCH</t>
        </is>
      </c>
      <c r="D1308" s="7" t="inlineStr">
        <is>
          <t>RX</t>
        </is>
      </c>
      <c r="E1308" s="7" t="inlineStr">
        <is>
          <t>A</t>
        </is>
      </c>
      <c r="F1308" s="13" t="n">
        <v>1</v>
      </c>
      <c r="G1308" s="13" t="n">
        <v>1</v>
      </c>
      <c r="H1308" s="8" t="n">
        <v>46.77</v>
      </c>
      <c r="I1308" s="8" t="n">
        <v>41.6</v>
      </c>
      <c r="J1308" s="8" t="n">
        <v>43.87333333333333</v>
      </c>
      <c r="K1308" s="8" t="n"/>
      <c r="L1308" s="8" t="n"/>
      <c r="M1308" s="8" t="n">
        <v>46.77</v>
      </c>
      <c r="N1308" s="8" t="n"/>
      <c r="O1308" s="8" t="n"/>
      <c r="P1308" s="15" t="n">
        <v>45.98</v>
      </c>
      <c r="Q1308" s="8" t="n"/>
      <c r="R1308" s="8" t="n"/>
      <c r="S1308" s="8" t="n"/>
      <c r="T1308" s="7" t="inlineStr">
        <is>
          <t>NAZARIA</t>
        </is>
      </c>
      <c r="U1308" s="8" t="n">
        <v>45.98</v>
      </c>
      <c r="V1308" s="14">
        <f>U1308/J1308-1</f>
        <v/>
      </c>
      <c r="W1308" s="14">
        <f>U1308/H1308-1</f>
        <v/>
      </c>
      <c r="X1308" s="17" t="inlineStr">
        <is>
          <t>OK (≤ últ. compra)</t>
        </is>
      </c>
      <c r="Y1308" s="7" t="inlineStr"/>
    </row>
    <row r="1309">
      <c r="A1309" s="7" t="n">
        <v>671891</v>
      </c>
      <c r="B1309" s="12" t="inlineStr">
        <is>
          <t>7896004790619</t>
        </is>
      </c>
      <c r="C1309" s="7" t="inlineStr">
        <is>
          <t>DERMACYD DELICATA SAB LIQ 200ML-DEMAIS PROD</t>
        </is>
      </c>
      <c r="D1309" s="7" t="inlineStr">
        <is>
          <t>PERF/COSME</t>
        </is>
      </c>
      <c r="E1309" s="7" t="inlineStr">
        <is>
          <t>C</t>
        </is>
      </c>
      <c r="F1309" s="13" t="n">
        <v>2</v>
      </c>
      <c r="G1309" s="13" t="n">
        <v>2</v>
      </c>
      <c r="H1309" s="8" t="n">
        <v>18.02</v>
      </c>
      <c r="I1309" s="8" t="n">
        <v>18.02</v>
      </c>
      <c r="J1309" s="8" t="n">
        <v>18.02</v>
      </c>
      <c r="K1309" s="8" t="n"/>
      <c r="L1309" s="8" t="n"/>
      <c r="M1309" s="8" t="n"/>
      <c r="N1309" s="8" t="n"/>
      <c r="O1309" s="8" t="n"/>
      <c r="P1309" s="15" t="n">
        <v>20.02</v>
      </c>
      <c r="Q1309" s="8" t="n">
        <v>20.84</v>
      </c>
      <c r="R1309" s="8" t="n"/>
      <c r="S1309" s="8" t="n"/>
      <c r="T1309" s="7" t="inlineStr">
        <is>
          <t>NAZARIA</t>
        </is>
      </c>
      <c r="U1309" s="8" t="n">
        <v>20.02</v>
      </c>
      <c r="V1309" s="14">
        <f>U1309/J1309-1</f>
        <v/>
      </c>
      <c r="W1309" s="14">
        <f>U1309/H1309-1</f>
        <v/>
      </c>
      <c r="X1309" s="16" t="inlineStr">
        <is>
          <t>ACIMA +11.1%</t>
        </is>
      </c>
      <c r="Y1309" s="7" t="inlineStr"/>
    </row>
    <row r="1310">
      <c r="A1310" s="7" t="n">
        <v>645431</v>
      </c>
      <c r="B1310" s="12" t="inlineStr">
        <is>
          <t>7891058018238</t>
        </is>
      </c>
      <c r="C1310" s="7" t="inlineStr">
        <is>
          <t>DERMACYD FEM 200+100ML</t>
        </is>
      </c>
      <c r="D1310" s="7" t="inlineStr">
        <is>
          <t>PERF/COSME</t>
        </is>
      </c>
      <c r="E1310" s="7" t="inlineStr">
        <is>
          <t>A</t>
        </is>
      </c>
      <c r="F1310" s="13" t="n">
        <v>2</v>
      </c>
      <c r="G1310" s="13" t="n">
        <v>2</v>
      </c>
      <c r="H1310" s="8" t="n">
        <v>25.16</v>
      </c>
      <c r="I1310" s="8" t="n">
        <v>25.06</v>
      </c>
      <c r="J1310" s="8" t="n">
        <v>25.12666666666667</v>
      </c>
      <c r="K1310" s="8" t="n"/>
      <c r="L1310" s="8" t="n"/>
      <c r="M1310" s="8" t="n"/>
      <c r="N1310" s="8" t="n"/>
      <c r="O1310" s="8" t="n"/>
      <c r="P1310" s="15" t="n">
        <v>25.11</v>
      </c>
      <c r="Q1310" s="8" t="n">
        <v>28.17</v>
      </c>
      <c r="R1310" s="8" t="n"/>
      <c r="S1310" s="8" t="n"/>
      <c r="T1310" s="7" t="inlineStr">
        <is>
          <t>NAZARIA</t>
        </is>
      </c>
      <c r="U1310" s="8" t="n">
        <v>25.11</v>
      </c>
      <c r="V1310" s="14">
        <f>U1310/J1310-1</f>
        <v/>
      </c>
      <c r="W1310" s="14">
        <f>U1310/H1310-1</f>
        <v/>
      </c>
      <c r="X1310" s="17" t="inlineStr">
        <is>
          <t>OK (≤ últ. compra)</t>
        </is>
      </c>
      <c r="Y1310" s="7" t="inlineStr">
        <is>
          <t>NAZARIA: estoque parcial (1 un)</t>
        </is>
      </c>
    </row>
    <row r="1311">
      <c r="A1311" s="7" t="n">
        <v>663831</v>
      </c>
      <c r="B1311" s="12" t="inlineStr">
        <is>
          <t>7896004790596</t>
        </is>
      </c>
      <c r="C1311" s="7" t="inlineStr">
        <is>
          <t>DERMACYD SAB INF 200ML-DEMAIS PROD</t>
        </is>
      </c>
      <c r="D1311" s="7" t="inlineStr">
        <is>
          <t>PERF/COSME</t>
        </is>
      </c>
      <c r="E1311" s="7" t="inlineStr">
        <is>
          <t>C</t>
        </is>
      </c>
      <c r="F1311" s="13" t="n">
        <v>3</v>
      </c>
      <c r="G1311" s="13" t="n">
        <v>3</v>
      </c>
      <c r="H1311" s="8" t="n">
        <v>17.14</v>
      </c>
      <c r="I1311" s="8" t="n">
        <v>17.14</v>
      </c>
      <c r="J1311" s="8" t="n">
        <v>17.14</v>
      </c>
      <c r="K1311" s="8" t="n"/>
      <c r="L1311" s="8" t="n"/>
      <c r="M1311" s="8" t="n"/>
      <c r="N1311" s="8" t="n"/>
      <c r="O1311" s="8" t="n"/>
      <c r="P1311" s="15" t="n">
        <v>20.02</v>
      </c>
      <c r="Q1311" s="8" t="n">
        <v>20.38</v>
      </c>
      <c r="R1311" s="8" t="n"/>
      <c r="S1311" s="8" t="n"/>
      <c r="T1311" s="7" t="inlineStr">
        <is>
          <t>NAZARIA</t>
        </is>
      </c>
      <c r="U1311" s="8" t="n">
        <v>20.02</v>
      </c>
      <c r="V1311" s="14">
        <f>U1311/J1311-1</f>
        <v/>
      </c>
      <c r="W1311" s="14">
        <f>U1311/H1311-1</f>
        <v/>
      </c>
      <c r="X1311" s="16" t="inlineStr">
        <is>
          <t>ACIMA +16.8%</t>
        </is>
      </c>
      <c r="Y1311" s="7" t="inlineStr"/>
    </row>
    <row r="1312">
      <c r="A1312" s="7" t="n">
        <v>603851</v>
      </c>
      <c r="B1312" s="12" t="inlineStr">
        <is>
          <t>7891058003661</t>
        </is>
      </c>
      <c r="C1312" s="7" t="inlineStr">
        <is>
          <t>DERMACYD SAB LIQ BREE 200ML</t>
        </is>
      </c>
      <c r="D1312" s="7" t="inlineStr">
        <is>
          <t>RX</t>
        </is>
      </c>
      <c r="E1312" s="7" t="inlineStr">
        <is>
          <t>C</t>
        </is>
      </c>
      <c r="F1312" s="13" t="n">
        <v>4</v>
      </c>
      <c r="G1312" s="13" t="n">
        <v>4</v>
      </c>
      <c r="H1312" s="8" t="n">
        <v>18.92</v>
      </c>
      <c r="I1312" s="8" t="n">
        <v>17.14</v>
      </c>
      <c r="J1312" s="8" t="n">
        <v>18.32666666666667</v>
      </c>
      <c r="K1312" s="8" t="n"/>
      <c r="L1312" s="8" t="n"/>
      <c r="M1312" s="8" t="n"/>
      <c r="N1312" s="8" t="n"/>
      <c r="O1312" s="8" t="n"/>
      <c r="P1312" s="15" t="n">
        <v>20.02</v>
      </c>
      <c r="Q1312" s="8" t="n"/>
      <c r="R1312" s="8" t="n"/>
      <c r="S1312" s="8" t="n"/>
      <c r="T1312" s="7" t="inlineStr">
        <is>
          <t>NAZARIA</t>
        </is>
      </c>
      <c r="U1312" s="8" t="n">
        <v>20.02</v>
      </c>
      <c r="V1312" s="14">
        <f>U1312/J1312-1</f>
        <v/>
      </c>
      <c r="W1312" s="14">
        <f>U1312/H1312-1</f>
        <v/>
      </c>
      <c r="X1312" s="16" t="inlineStr">
        <is>
          <t>ACIMA +5.8%</t>
        </is>
      </c>
      <c r="Y1312" s="7" t="inlineStr"/>
    </row>
    <row r="1313">
      <c r="A1313" s="7" t="n">
        <v>658781</v>
      </c>
      <c r="B1313" s="12" t="inlineStr">
        <is>
          <t>7897947617773</t>
        </is>
      </c>
      <c r="C1313" s="7" t="inlineStr">
        <is>
          <t>DERMAFEME AC HIALURONICO SAB INT FR100ML</t>
        </is>
      </c>
      <c r="D1313" s="7" t="inlineStr">
        <is>
          <t>PERF/COSME</t>
        </is>
      </c>
      <c r="E1313" s="7" t="inlineStr">
        <is>
          <t>C</t>
        </is>
      </c>
      <c r="F1313" s="13" t="n">
        <v>1</v>
      </c>
      <c r="G1313" s="13" t="n">
        <v>1</v>
      </c>
      <c r="H1313" s="8" t="n">
        <v>5.495</v>
      </c>
      <c r="I1313" s="8" t="n">
        <v>5.495</v>
      </c>
      <c r="J1313" s="8" t="n">
        <v>5.495</v>
      </c>
      <c r="K1313" s="8" t="n"/>
      <c r="L1313" s="8" t="n"/>
      <c r="M1313" s="8" t="n"/>
      <c r="N1313" s="8" t="n"/>
      <c r="O1313" s="8" t="n"/>
      <c r="P1313" s="8" t="n"/>
      <c r="Q1313" s="8" t="n"/>
      <c r="R1313" s="8" t="n"/>
      <c r="S1313" s="8" t="n"/>
      <c r="T1313" s="7" t="inlineStr">
        <is>
          <t>SEM COTAÇÃO</t>
        </is>
      </c>
      <c r="U1313" s="8" t="n"/>
      <c r="V1313" s="14" t="n"/>
      <c r="W1313" s="14" t="n"/>
      <c r="X1313" s="7" t="inlineStr"/>
      <c r="Y1313" s="7" t="inlineStr"/>
    </row>
    <row r="1314">
      <c r="A1314" s="7" t="n">
        <v>601601</v>
      </c>
      <c r="B1314" s="12" t="inlineStr">
        <is>
          <t>7897947601437</t>
        </is>
      </c>
      <c r="C1314" s="7" t="inlineStr">
        <is>
          <t>DERMAFEME CALM SAB FR 100ML</t>
        </is>
      </c>
      <c r="D1314" s="7" t="inlineStr">
        <is>
          <t>PERF/COSME</t>
        </is>
      </c>
      <c r="E1314" s="7" t="inlineStr">
        <is>
          <t>B</t>
        </is>
      </c>
      <c r="F1314" s="13" t="n">
        <v>1</v>
      </c>
      <c r="G1314" s="13" t="n">
        <v>2</v>
      </c>
      <c r="H1314" s="8" t="n">
        <v>8.220000000000001</v>
      </c>
      <c r="I1314" s="8" t="n">
        <v>8.220000000000001</v>
      </c>
      <c r="J1314" s="8" t="n">
        <v>8.220000000000001</v>
      </c>
      <c r="K1314" s="8" t="n"/>
      <c r="L1314" s="8" t="n"/>
      <c r="M1314" s="8" t="n"/>
      <c r="N1314" s="8" t="n"/>
      <c r="O1314" s="8" t="n"/>
      <c r="P1314" s="15" t="n">
        <v>26.67</v>
      </c>
      <c r="Q1314" s="8" t="n"/>
      <c r="R1314" s="8" t="n"/>
      <c r="S1314" s="8" t="n"/>
      <c r="T1314" s="7" t="inlineStr">
        <is>
          <t>NAZARIA</t>
        </is>
      </c>
      <c r="U1314" s="8" t="n">
        <v>26.67</v>
      </c>
      <c r="V1314" s="14">
        <f>U1314/J1314-1</f>
        <v/>
      </c>
      <c r="W1314" s="14">
        <f>U1314/H1314-1</f>
        <v/>
      </c>
      <c r="X1314" s="16" t="inlineStr">
        <is>
          <t>ACIMA +224.5%</t>
        </is>
      </c>
      <c r="Y1314" s="7" t="inlineStr">
        <is>
          <t>NAZARIA: conferir emb.</t>
        </is>
      </c>
    </row>
    <row r="1315">
      <c r="A1315" s="7" t="n">
        <v>640171</v>
      </c>
      <c r="B1315" s="12" t="inlineStr">
        <is>
          <t>7897947617568</t>
        </is>
      </c>
      <c r="C1315" s="7" t="inlineStr">
        <is>
          <t>DERMAFEME PREBIOTICO SAB INT FR 100 ML</t>
        </is>
      </c>
      <c r="D1315" s="7" t="inlineStr">
        <is>
          <t>PERF/COSME</t>
        </is>
      </c>
      <c r="E1315" s="7" t="inlineStr">
        <is>
          <t>C</t>
        </is>
      </c>
      <c r="F1315" s="13" t="n">
        <v>1</v>
      </c>
      <c r="G1315" s="13" t="n">
        <v>2</v>
      </c>
      <c r="H1315" s="8" t="n">
        <v>8.215</v>
      </c>
      <c r="I1315" s="8" t="n">
        <v>8.215</v>
      </c>
      <c r="J1315" s="8" t="n">
        <v>8.215</v>
      </c>
      <c r="K1315" s="8" t="n"/>
      <c r="L1315" s="8" t="n"/>
      <c r="M1315" s="8" t="n"/>
      <c r="N1315" s="8" t="n"/>
      <c r="O1315" s="8" t="n"/>
      <c r="P1315" s="15" t="n">
        <v>25.63</v>
      </c>
      <c r="Q1315" s="8" t="n"/>
      <c r="R1315" s="8" t="n"/>
      <c r="S1315" s="8" t="n"/>
      <c r="T1315" s="7" t="inlineStr">
        <is>
          <t>NAZARIA</t>
        </is>
      </c>
      <c r="U1315" s="8" t="n">
        <v>25.63</v>
      </c>
      <c r="V1315" s="14">
        <f>U1315/J1315-1</f>
        <v/>
      </c>
      <c r="W1315" s="14">
        <f>U1315/H1315-1</f>
        <v/>
      </c>
      <c r="X1315" s="16" t="inlineStr">
        <is>
          <t>ACIMA +212.0%</t>
        </is>
      </c>
      <c r="Y1315" s="7" t="inlineStr">
        <is>
          <t>NAZARIA: conferir emb.</t>
        </is>
      </c>
    </row>
    <row r="1316">
      <c r="A1316" s="7" t="n">
        <v>557001</v>
      </c>
      <c r="B1316" s="12" t="inlineStr"/>
      <c r="C1316" s="7" t="inlineStr">
        <is>
          <t>DERMAONE SABONETE INTIMO TRAD 200 ML</t>
        </is>
      </c>
      <c r="D1316" s="7" t="inlineStr">
        <is>
          <t>PERF/COSME</t>
        </is>
      </c>
      <c r="E1316" s="7" t="inlineStr">
        <is>
          <t>C</t>
        </is>
      </c>
      <c r="F1316" s="13" t="n">
        <v>1</v>
      </c>
      <c r="G1316" s="13" t="n">
        <v>1</v>
      </c>
      <c r="H1316" s="8" t="n">
        <v>12.19</v>
      </c>
      <c r="I1316" s="8" t="n">
        <v>12.19</v>
      </c>
      <c r="J1316" s="8" t="n">
        <v>12.19</v>
      </c>
      <c r="K1316" s="8" t="n"/>
      <c r="L1316" s="8" t="n"/>
      <c r="M1316" s="8" t="n"/>
      <c r="N1316" s="8" t="n"/>
      <c r="O1316" s="8" t="n"/>
      <c r="P1316" s="8" t="n"/>
      <c r="Q1316" s="8" t="n"/>
      <c r="R1316" s="8" t="n"/>
      <c r="S1316" s="8" t="n"/>
      <c r="T1316" s="7" t="inlineStr">
        <is>
          <t>SEM COTAÇÃO</t>
        </is>
      </c>
      <c r="U1316" s="8" t="n"/>
      <c r="V1316" s="14" t="n"/>
      <c r="W1316" s="14" t="n"/>
      <c r="X1316" s="7" t="inlineStr"/>
      <c r="Y1316" s="7" t="inlineStr"/>
    </row>
    <row r="1317">
      <c r="A1317" s="7" t="n">
        <v>562061</v>
      </c>
      <c r="B1317" s="12" t="inlineStr">
        <is>
          <t>7897947609273</t>
        </is>
      </c>
      <c r="C1317" s="7" t="inlineStr">
        <is>
          <t>DERMAONE SABONETE INTIMO TRAD 200ML</t>
        </is>
      </c>
      <c r="D1317" s="7" t="inlineStr">
        <is>
          <t>PERF/COSME</t>
        </is>
      </c>
      <c r="E1317" s="7" t="inlineStr">
        <is>
          <t>C</t>
        </is>
      </c>
      <c r="F1317" s="13" t="n">
        <v>4</v>
      </c>
      <c r="G1317" s="13" t="n">
        <v>4</v>
      </c>
      <c r="H1317" s="8" t="n"/>
      <c r="I1317" s="8" t="n"/>
      <c r="J1317" s="8" t="n"/>
      <c r="K1317" s="8" t="n"/>
      <c r="L1317" s="8" t="n"/>
      <c r="M1317" s="8" t="n"/>
      <c r="N1317" s="8" t="n"/>
      <c r="O1317" s="8" t="n"/>
      <c r="P1317" s="8" t="n"/>
      <c r="Q1317" s="8" t="n"/>
      <c r="R1317" s="8" t="n"/>
      <c r="S1317" s="8" t="n"/>
      <c r="T1317" s="7" t="inlineStr">
        <is>
          <t>SEM COTAÇÃO</t>
        </is>
      </c>
      <c r="U1317" s="8" t="n"/>
      <c r="V1317" s="14" t="n"/>
      <c r="W1317" s="14" t="n"/>
      <c r="X1317" s="7" t="inlineStr"/>
      <c r="Y1317" s="7" t="inlineStr"/>
    </row>
    <row r="1318">
      <c r="A1318" s="7" t="n">
        <v>623211</v>
      </c>
      <c r="B1318" s="12" t="inlineStr">
        <is>
          <t>7899706126335</t>
        </is>
      </c>
      <c r="C1318" s="7" t="inlineStr">
        <is>
          <t>DERMO EXP AGUA MICELAR 200ML</t>
        </is>
      </c>
      <c r="D1318" s="7" t="inlineStr">
        <is>
          <t>RX - DERMO</t>
        </is>
      </c>
      <c r="E1318" s="7" t="inlineStr">
        <is>
          <t>B</t>
        </is>
      </c>
      <c r="F1318" s="13" t="n">
        <v>1</v>
      </c>
      <c r="G1318" s="13" t="n">
        <v>1</v>
      </c>
      <c r="H1318" s="8" t="n">
        <v>21.97</v>
      </c>
      <c r="I1318" s="8" t="n">
        <v>18.7783</v>
      </c>
      <c r="J1318" s="8" t="n">
        <v>20.9061</v>
      </c>
      <c r="K1318" s="8" t="n"/>
      <c r="L1318" s="8" t="n"/>
      <c r="M1318" s="15" t="n">
        <v>20.36</v>
      </c>
      <c r="N1318" s="8" t="n"/>
      <c r="O1318" s="8" t="n"/>
      <c r="P1318" s="8" t="n">
        <v>23.43</v>
      </c>
      <c r="Q1318" s="8" t="n"/>
      <c r="R1318" s="8" t="n"/>
      <c r="S1318" s="8" t="n"/>
      <c r="T1318" s="7" t="inlineStr">
        <is>
          <t>EPAN</t>
        </is>
      </c>
      <c r="U1318" s="8" t="n">
        <v>20.36</v>
      </c>
      <c r="V1318" s="14">
        <f>U1318/J1318-1</f>
        <v/>
      </c>
      <c r="W1318" s="14">
        <f>U1318/H1318-1</f>
        <v/>
      </c>
      <c r="X1318" s="17" t="inlineStr">
        <is>
          <t>OK (≤ últ. compra)</t>
        </is>
      </c>
      <c r="Y1318" s="7" t="inlineStr"/>
    </row>
    <row r="1319">
      <c r="A1319" s="7" t="n">
        <v>635511</v>
      </c>
      <c r="B1319" s="12" t="inlineStr">
        <is>
          <t>7899706190145</t>
        </is>
      </c>
      <c r="C1319" s="7" t="inlineStr">
        <is>
          <t>DERMO REVITALIFT HIALU GEL LIMP HIDR 80G</t>
        </is>
      </c>
      <c r="D1319" s="7" t="inlineStr">
        <is>
          <t>PERF/COSME</t>
        </is>
      </c>
      <c r="E1319" s="7" t="inlineStr">
        <is>
          <t>C</t>
        </is>
      </c>
      <c r="F1319" s="13" t="n">
        <v>1</v>
      </c>
      <c r="G1319" s="13" t="n">
        <v>1</v>
      </c>
      <c r="H1319" s="8" t="n"/>
      <c r="I1319" s="8" t="n"/>
      <c r="J1319" s="8" t="n"/>
      <c r="K1319" s="8" t="n"/>
      <c r="L1319" s="8" t="n"/>
      <c r="M1319" s="8" t="n"/>
      <c r="N1319" s="8" t="n"/>
      <c r="O1319" s="8" t="n"/>
      <c r="P1319" s="8" t="n"/>
      <c r="Q1319" s="8" t="n"/>
      <c r="R1319" s="8" t="n"/>
      <c r="S1319" s="8" t="n"/>
      <c r="T1319" s="7" t="inlineStr">
        <is>
          <t>SEM COTAÇÃO</t>
        </is>
      </c>
      <c r="U1319" s="8" t="n"/>
      <c r="V1319" s="14" t="n"/>
      <c r="W1319" s="14" t="n"/>
      <c r="X1319" s="7" t="inlineStr"/>
      <c r="Y1319" s="7" t="inlineStr"/>
    </row>
    <row r="1320">
      <c r="A1320" s="7" t="n">
        <v>354681</v>
      </c>
      <c r="B1320" s="12" t="inlineStr">
        <is>
          <t>7893736010220</t>
        </is>
      </c>
      <c r="C1320" s="7" t="inlineStr">
        <is>
          <t>DERMOBAN 20MG CREME DERM BG 15G</t>
        </is>
      </c>
      <c r="D1320" s="7" t="inlineStr">
        <is>
          <t>SIMILAR - ATB</t>
        </is>
      </c>
      <c r="E1320" s="7" t="inlineStr">
        <is>
          <t>B</t>
        </is>
      </c>
      <c r="F1320" s="13" t="n">
        <v>10</v>
      </c>
      <c r="G1320" s="13" t="n">
        <v>10</v>
      </c>
      <c r="H1320" s="8" t="n">
        <v>32.99</v>
      </c>
      <c r="I1320" s="8" t="n">
        <v>25.01</v>
      </c>
      <c r="J1320" s="8" t="n">
        <v>25.01</v>
      </c>
      <c r="K1320" s="15" t="n">
        <v>25.99</v>
      </c>
      <c r="L1320" s="8" t="n"/>
      <c r="M1320" s="8" t="n"/>
      <c r="N1320" s="8" t="n">
        <v>26.33</v>
      </c>
      <c r="O1320" s="8" t="n"/>
      <c r="P1320" s="8" t="n"/>
      <c r="Q1320" s="8" t="n">
        <v>27.81</v>
      </c>
      <c r="R1320" s="8" t="n"/>
      <c r="S1320" s="8" t="n"/>
      <c r="T1320" s="7" t="inlineStr">
        <is>
          <t>DIMEC</t>
        </is>
      </c>
      <c r="U1320" s="8" t="n">
        <v>25.99</v>
      </c>
      <c r="V1320" s="14">
        <f>U1320/J1320-1</f>
        <v/>
      </c>
      <c r="W1320" s="14">
        <f>U1320/H1320-1</f>
        <v/>
      </c>
      <c r="X1320" s="17" t="inlineStr">
        <is>
          <t>OK (≤ últ. compra)</t>
        </is>
      </c>
      <c r="Y1320" s="7" t="inlineStr"/>
    </row>
    <row r="1321">
      <c r="A1321" s="7" t="n">
        <v>821</v>
      </c>
      <c r="B1321" s="12" t="inlineStr">
        <is>
          <t>7893454100661</t>
        </is>
      </c>
      <c r="C1321" s="7" t="inlineStr">
        <is>
          <t>DERMOSALIC 30G POM BG</t>
        </is>
      </c>
      <c r="D1321" s="7" t="inlineStr">
        <is>
          <t>SIMILAR</t>
        </is>
      </c>
      <c r="E1321" s="7" t="inlineStr">
        <is>
          <t>A</t>
        </is>
      </c>
      <c r="F1321" s="13" t="n">
        <v>14</v>
      </c>
      <c r="G1321" s="13" t="n">
        <v>14</v>
      </c>
      <c r="H1321" s="8" t="n">
        <v>10.36</v>
      </c>
      <c r="I1321" s="8" t="n">
        <v>10.36</v>
      </c>
      <c r="J1321" s="8" t="n">
        <v>10.36</v>
      </c>
      <c r="K1321" s="8" t="n">
        <v>10.76</v>
      </c>
      <c r="L1321" s="8" t="n"/>
      <c r="M1321" s="8" t="n"/>
      <c r="N1321" s="8" t="n">
        <v>10.91</v>
      </c>
      <c r="O1321" s="15" t="n">
        <v>10.46</v>
      </c>
      <c r="P1321" s="8" t="n"/>
      <c r="Q1321" s="8" t="n"/>
      <c r="R1321" s="8" t="n"/>
      <c r="S1321" s="8" t="n"/>
      <c r="T1321" s="7" t="inlineStr">
        <is>
          <t>TAPAJOS</t>
        </is>
      </c>
      <c r="U1321" s="8" t="n">
        <v>10.46</v>
      </c>
      <c r="V1321" s="14">
        <f>U1321/J1321-1</f>
        <v/>
      </c>
      <c r="W1321" s="14">
        <f>U1321/H1321-1</f>
        <v/>
      </c>
      <c r="X1321" s="16" t="inlineStr">
        <is>
          <t>ACIMA +1.0%</t>
        </is>
      </c>
      <c r="Y1321" s="7" t="inlineStr"/>
    </row>
    <row r="1322">
      <c r="A1322" s="7" t="n">
        <v>17621</v>
      </c>
      <c r="B1322" s="12" t="inlineStr"/>
      <c r="C1322" s="7" t="inlineStr">
        <is>
          <t>DERMOSALIC SOL TOP FR 30ML</t>
        </is>
      </c>
      <c r="D1322" s="7" t="inlineStr">
        <is>
          <t>SIMILAR</t>
        </is>
      </c>
      <c r="E1322" s="7" t="inlineStr">
        <is>
          <t>A</t>
        </is>
      </c>
      <c r="F1322" s="13" t="n">
        <v>7</v>
      </c>
      <c r="G1322" s="13" t="n">
        <v>7</v>
      </c>
      <c r="H1322" s="8" t="n">
        <v>12.11</v>
      </c>
      <c r="I1322" s="8" t="n">
        <v>12.1</v>
      </c>
      <c r="J1322" s="8" t="n">
        <v>12.1</v>
      </c>
      <c r="K1322" s="8" t="n"/>
      <c r="L1322" s="8" t="n"/>
      <c r="M1322" s="8" t="n"/>
      <c r="N1322" s="8" t="n"/>
      <c r="O1322" s="8" t="n"/>
      <c r="P1322" s="8" t="n"/>
      <c r="Q1322" s="8" t="n"/>
      <c r="R1322" s="8" t="n"/>
      <c r="S1322" s="8" t="n"/>
      <c r="T1322" s="7" t="inlineStr">
        <is>
          <t>SEM COTAÇÃO</t>
        </is>
      </c>
      <c r="U1322" s="8" t="n"/>
      <c r="V1322" s="14" t="n"/>
      <c r="W1322" s="14" t="n"/>
      <c r="X1322" s="7" t="inlineStr"/>
      <c r="Y1322" s="7" t="inlineStr"/>
    </row>
    <row r="1323">
      <c r="A1323" s="7" t="n">
        <v>189001</v>
      </c>
      <c r="B1323" s="12" t="inlineStr">
        <is>
          <t>7897917002639</t>
        </is>
      </c>
      <c r="C1323" s="7" t="inlineStr">
        <is>
          <t>DERMOTRIZOL 10MG/ML SOL TOP FR GOT 30ML</t>
        </is>
      </c>
      <c r="D1323" s="7" t="inlineStr">
        <is>
          <t>SIMILAR</t>
        </is>
      </c>
      <c r="E1323" s="7" t="inlineStr">
        <is>
          <t>C</t>
        </is>
      </c>
      <c r="F1323" s="13" t="n">
        <v>1</v>
      </c>
      <c r="G1323" s="13" t="n">
        <v>1</v>
      </c>
      <c r="H1323" s="8" t="n">
        <v>8.52</v>
      </c>
      <c r="I1323" s="8" t="n">
        <v>8.52</v>
      </c>
      <c r="J1323" s="8" t="n">
        <v>8.52</v>
      </c>
      <c r="K1323" s="8" t="n"/>
      <c r="L1323" s="8" t="n"/>
      <c r="M1323" s="8" t="n"/>
      <c r="N1323" s="8" t="n"/>
      <c r="O1323" s="8" t="n"/>
      <c r="P1323" s="8" t="n"/>
      <c r="Q1323" s="8" t="n"/>
      <c r="R1323" s="8" t="n"/>
      <c r="S1323" s="8" t="n"/>
      <c r="T1323" s="7" t="inlineStr">
        <is>
          <t>SEM COTAÇÃO</t>
        </is>
      </c>
      <c r="U1323" s="8" t="n"/>
      <c r="V1323" s="14" t="n"/>
      <c r="W1323" s="14" t="n"/>
      <c r="X1323" s="7" t="inlineStr"/>
      <c r="Y1323" s="7" t="inlineStr"/>
    </row>
    <row r="1324">
      <c r="A1324" s="7" t="n">
        <v>691501</v>
      </c>
      <c r="B1324" s="12" t="inlineStr">
        <is>
          <t>7898593050716</t>
        </is>
      </c>
      <c r="C1324" s="7" t="inlineStr">
        <is>
          <t>DERMUP COLAGENO VERISOL C/90 CPS</t>
        </is>
      </c>
      <c r="D1324" s="7" t="inlineStr">
        <is>
          <t>VITAMINA E SIMILARES</t>
        </is>
      </c>
      <c r="E1324" s="7" t="inlineStr">
        <is>
          <t>B</t>
        </is>
      </c>
      <c r="F1324" s="13" t="n">
        <v>1</v>
      </c>
      <c r="G1324" s="13" t="n">
        <v>1</v>
      </c>
      <c r="H1324" s="8" t="n">
        <v>41.85</v>
      </c>
      <c r="I1324" s="8" t="n">
        <v>41.85</v>
      </c>
      <c r="J1324" s="8" t="n">
        <v>41.85</v>
      </c>
      <c r="K1324" s="15" t="n">
        <v>42.53</v>
      </c>
      <c r="L1324" s="8" t="n"/>
      <c r="M1324" s="8" t="n"/>
      <c r="N1324" s="8" t="n">
        <v>45.22</v>
      </c>
      <c r="O1324" s="8" t="n"/>
      <c r="P1324" s="8" t="n">
        <v>48.83</v>
      </c>
      <c r="Q1324" s="8" t="n"/>
      <c r="R1324" s="8" t="n">
        <v>48.51</v>
      </c>
      <c r="S1324" s="8" t="n"/>
      <c r="T1324" s="7" t="inlineStr">
        <is>
          <t>DIMEC</t>
        </is>
      </c>
      <c r="U1324" s="8" t="n">
        <v>42.53</v>
      </c>
      <c r="V1324" s="14">
        <f>U1324/J1324-1</f>
        <v/>
      </c>
      <c r="W1324" s="14">
        <f>U1324/H1324-1</f>
        <v/>
      </c>
      <c r="X1324" s="16" t="inlineStr">
        <is>
          <t>ACIMA +1.6%</t>
        </is>
      </c>
      <c r="Y1324" s="7" t="inlineStr"/>
    </row>
    <row r="1325">
      <c r="A1325" s="7" t="n">
        <v>553521</v>
      </c>
      <c r="B1325" s="12" t="inlineStr"/>
      <c r="C1325" s="7" t="inlineStr">
        <is>
          <t>DERSANI ORIGINAL LOC OLEOSA 100ML</t>
        </is>
      </c>
      <c r="D1325" s="7" t="inlineStr">
        <is>
          <t>RX - OTC</t>
        </is>
      </c>
      <c r="E1325" s="7" t="inlineStr">
        <is>
          <t>A</t>
        </is>
      </c>
      <c r="F1325" s="13" t="n">
        <v>2</v>
      </c>
      <c r="G1325" s="13" t="n">
        <v>2</v>
      </c>
      <c r="H1325" s="8" t="n">
        <v>41.44</v>
      </c>
      <c r="I1325" s="8" t="n">
        <v>32.02</v>
      </c>
      <c r="J1325" s="8" t="n">
        <v>38.3</v>
      </c>
      <c r="K1325" s="8" t="n"/>
      <c r="L1325" s="8" t="n"/>
      <c r="M1325" s="8" t="n"/>
      <c r="N1325" s="8" t="n"/>
      <c r="O1325" s="8" t="n"/>
      <c r="P1325" s="8" t="n"/>
      <c r="Q1325" s="8" t="n"/>
      <c r="R1325" s="8" t="n"/>
      <c r="S1325" s="8" t="n"/>
      <c r="T1325" s="7" t="inlineStr">
        <is>
          <t>SEM COTAÇÃO</t>
        </is>
      </c>
      <c r="U1325" s="8" t="n"/>
      <c r="V1325" s="14" t="n"/>
      <c r="W1325" s="14" t="n"/>
      <c r="X1325" s="7" t="inlineStr"/>
      <c r="Y1325" s="7" t="inlineStr"/>
    </row>
    <row r="1326">
      <c r="A1326" s="7" t="n">
        <v>573701</v>
      </c>
      <c r="B1326" s="12" t="inlineStr">
        <is>
          <t>7898582290178</t>
        </is>
      </c>
      <c r="C1326" s="7" t="inlineStr">
        <is>
          <t>DERSOL LOCAO OLEOSA 200ML</t>
        </is>
      </c>
      <c r="D1326" s="7" t="inlineStr">
        <is>
          <t>SIMILAR</t>
        </is>
      </c>
      <c r="E1326" s="7" t="inlineStr">
        <is>
          <t>C</t>
        </is>
      </c>
      <c r="F1326" s="13" t="n">
        <v>5</v>
      </c>
      <c r="G1326" s="13" t="n">
        <v>5</v>
      </c>
      <c r="H1326" s="8" t="n">
        <v>10.99</v>
      </c>
      <c r="I1326" s="8" t="n">
        <v>10.99</v>
      </c>
      <c r="J1326" s="8" t="n">
        <v>10.99</v>
      </c>
      <c r="K1326" s="15" t="n">
        <v>11.41</v>
      </c>
      <c r="L1326" s="8" t="n"/>
      <c r="M1326" s="8" t="n"/>
      <c r="N1326" s="8" t="n">
        <v>13.35</v>
      </c>
      <c r="O1326" s="8" t="n"/>
      <c r="P1326" s="8" t="n"/>
      <c r="Q1326" s="8" t="n">
        <v>13.55</v>
      </c>
      <c r="R1326" s="8" t="n"/>
      <c r="S1326" s="8" t="n"/>
      <c r="T1326" s="7" t="inlineStr">
        <is>
          <t>DIMEC</t>
        </is>
      </c>
      <c r="U1326" s="8" t="n">
        <v>11.41</v>
      </c>
      <c r="V1326" s="14">
        <f>U1326/J1326-1</f>
        <v/>
      </c>
      <c r="W1326" s="14">
        <f>U1326/H1326-1</f>
        <v/>
      </c>
      <c r="X1326" s="16" t="inlineStr">
        <is>
          <t>ACIMA +3.8%</t>
        </is>
      </c>
      <c r="Y1326" s="7" t="inlineStr"/>
    </row>
    <row r="1327">
      <c r="A1327" s="7" t="n">
        <v>618171</v>
      </c>
      <c r="B1327" s="12" t="inlineStr">
        <is>
          <t>27899674034261</t>
        </is>
      </c>
      <c r="C1327" s="7" t="inlineStr">
        <is>
          <t>DES ABOVE AERO ONE SPORT</t>
        </is>
      </c>
      <c r="D1327" s="7" t="inlineStr">
        <is>
          <t>PERF/COSME</t>
        </is>
      </c>
      <c r="E1327" s="7" t="inlineStr">
        <is>
          <t>C</t>
        </is>
      </c>
      <c r="F1327" s="13" t="n">
        <v>1</v>
      </c>
      <c r="G1327" s="13" t="n">
        <v>1</v>
      </c>
      <c r="H1327" s="8" t="n">
        <v>5.55</v>
      </c>
      <c r="I1327" s="8" t="n">
        <v>5.55</v>
      </c>
      <c r="J1327" s="8" t="n">
        <v>5.55</v>
      </c>
      <c r="K1327" s="8" t="n"/>
      <c r="L1327" s="8" t="n"/>
      <c r="M1327" s="8" t="n"/>
      <c r="N1327" s="8" t="n"/>
      <c r="O1327" s="8" t="n"/>
      <c r="P1327" s="8" t="n"/>
      <c r="Q1327" s="8" t="n"/>
      <c r="R1327" s="8" t="n"/>
      <c r="S1327" s="8" t="n"/>
      <c r="T1327" s="7" t="inlineStr">
        <is>
          <t>SEM COTAÇÃO</t>
        </is>
      </c>
      <c r="U1327" s="8" t="n"/>
      <c r="V1327" s="14" t="n"/>
      <c r="W1327" s="14" t="n"/>
      <c r="X1327" s="7" t="inlineStr"/>
      <c r="Y1327" s="7" t="inlineStr"/>
    </row>
    <row r="1328">
      <c r="A1328" s="7" t="n">
        <v>543861</v>
      </c>
      <c r="B1328" s="12" t="inlineStr">
        <is>
          <t>7506306244177</t>
        </is>
      </c>
      <c r="C1328" s="7" t="inlineStr">
        <is>
          <t>DES AER ANT INVIS REXONA 150ML</t>
        </is>
      </c>
      <c r="D1328" s="7" t="inlineStr">
        <is>
          <t>ANTITRANSPIRANTE/DESODORANTE</t>
        </is>
      </c>
      <c r="E1328" s="7" t="inlineStr">
        <is>
          <t>B</t>
        </is>
      </c>
      <c r="F1328" s="13" t="n">
        <v>6</v>
      </c>
      <c r="G1328" s="13" t="n">
        <v>6</v>
      </c>
      <c r="H1328" s="8" t="n">
        <v>12.72</v>
      </c>
      <c r="I1328" s="8" t="n">
        <v>11.19</v>
      </c>
      <c r="J1328" s="8" t="n">
        <v>12.21</v>
      </c>
      <c r="K1328" s="8" t="n"/>
      <c r="L1328" s="8" t="n"/>
      <c r="M1328" s="8" t="n"/>
      <c r="N1328" s="8" t="n"/>
      <c r="O1328" s="8" t="n"/>
      <c r="P1328" s="15" t="n">
        <v>13.16</v>
      </c>
      <c r="Q1328" s="8" t="n"/>
      <c r="R1328" s="8" t="n"/>
      <c r="S1328" s="8" t="n"/>
      <c r="T1328" s="7" t="inlineStr">
        <is>
          <t>NAZARIA</t>
        </is>
      </c>
      <c r="U1328" s="8" t="n">
        <v>13.16</v>
      </c>
      <c r="V1328" s="14">
        <f>U1328/J1328-1</f>
        <v/>
      </c>
      <c r="W1328" s="14">
        <f>U1328/H1328-1</f>
        <v/>
      </c>
      <c r="X1328" s="16" t="inlineStr">
        <is>
          <t>ACIMA +3.5%</t>
        </is>
      </c>
      <c r="Y1328" s="7" t="inlineStr"/>
    </row>
    <row r="1329">
      <c r="A1329" s="7" t="n">
        <v>669301</v>
      </c>
      <c r="B1329" s="12" t="inlineStr">
        <is>
          <t>7891150083493</t>
        </is>
      </c>
      <c r="C1329" s="7" t="inlineStr">
        <is>
          <t>DES AER AXE APOLLO PROMO.200ML</t>
        </is>
      </c>
      <c r="D1329" s="7" t="inlineStr">
        <is>
          <t>ANTITRANSPIRANTE/DESODORANTE</t>
        </is>
      </c>
      <c r="E1329" s="7" t="inlineStr">
        <is>
          <t>C</t>
        </is>
      </c>
      <c r="F1329" s="13" t="n">
        <v>4</v>
      </c>
      <c r="G1329" s="13" t="n">
        <v>4</v>
      </c>
      <c r="H1329" s="8" t="n">
        <v>9.220000000000001</v>
      </c>
      <c r="I1329" s="8" t="n">
        <v>9.220000000000001</v>
      </c>
      <c r="J1329" s="8" t="n">
        <v>9.220000000000001</v>
      </c>
      <c r="K1329" s="8" t="n"/>
      <c r="L1329" s="8" t="n"/>
      <c r="M1329" s="8" t="n"/>
      <c r="N1329" s="8" t="n"/>
      <c r="O1329" s="8" t="n"/>
      <c r="P1329" s="8" t="n"/>
      <c r="Q1329" s="8" t="n"/>
      <c r="R1329" s="8" t="n"/>
      <c r="S1329" s="8" t="n"/>
      <c r="T1329" s="7" t="inlineStr">
        <is>
          <t>SEM COTAÇÃO</t>
        </is>
      </c>
      <c r="U1329" s="8" t="n"/>
      <c r="V1329" s="14" t="n"/>
      <c r="W1329" s="14" t="n"/>
      <c r="X1329" s="7" t="inlineStr"/>
      <c r="Y1329" s="7" t="inlineStr"/>
    </row>
    <row r="1330">
      <c r="A1330" s="7" t="n">
        <v>669311</v>
      </c>
      <c r="B1330" s="12" t="inlineStr">
        <is>
          <t>7891150083509</t>
        </is>
      </c>
      <c r="C1330" s="7" t="inlineStr">
        <is>
          <t>DES AER AXE BLACK ALEC E CEDRO 48H 200ML</t>
        </is>
      </c>
      <c r="D1330" s="7" t="inlineStr">
        <is>
          <t>ANTITRANSPIRANTE/DESODORANTE</t>
        </is>
      </c>
      <c r="E1330" s="7" t="inlineStr">
        <is>
          <t>C</t>
        </is>
      </c>
      <c r="F1330" s="13" t="n">
        <v>5</v>
      </c>
      <c r="G1330" s="13" t="n">
        <v>5</v>
      </c>
      <c r="H1330" s="8" t="n">
        <v>9.300000000000001</v>
      </c>
      <c r="I1330" s="8" t="n">
        <v>9.300000000000001</v>
      </c>
      <c r="J1330" s="8" t="n">
        <v>9.300000000000001</v>
      </c>
      <c r="K1330" s="8" t="n"/>
      <c r="L1330" s="8" t="n"/>
      <c r="M1330" s="8" t="n"/>
      <c r="N1330" s="8" t="n"/>
      <c r="O1330" s="8" t="n"/>
      <c r="P1330" s="8" t="n"/>
      <c r="Q1330" s="8" t="n"/>
      <c r="R1330" s="8" t="n"/>
      <c r="S1330" s="8" t="n"/>
      <c r="T1330" s="7" t="inlineStr">
        <is>
          <t>SEM COTAÇÃO</t>
        </is>
      </c>
      <c r="U1330" s="8" t="n"/>
      <c r="V1330" s="14" t="n"/>
      <c r="W1330" s="14" t="n"/>
      <c r="X1330" s="7" t="inlineStr"/>
      <c r="Y1330" s="7" t="inlineStr"/>
    </row>
    <row r="1331">
      <c r="A1331" s="7" t="n">
        <v>633961</v>
      </c>
      <c r="B1331" s="12" t="inlineStr">
        <is>
          <t>7891150063747</t>
        </is>
      </c>
      <c r="C1331" s="7" t="inlineStr">
        <is>
          <t>DES AER DOVE FEM AMORA 150ML</t>
        </is>
      </c>
      <c r="D1331" s="7" t="inlineStr">
        <is>
          <t>PERF/COSME</t>
        </is>
      </c>
      <c r="E1331" s="7" t="inlineStr">
        <is>
          <t>B</t>
        </is>
      </c>
      <c r="F1331" s="13" t="n">
        <v>7</v>
      </c>
      <c r="G1331" s="13" t="n">
        <v>7</v>
      </c>
      <c r="H1331" s="8" t="n">
        <v>14.2592</v>
      </c>
      <c r="I1331" s="8" t="n">
        <v>13.395</v>
      </c>
      <c r="J1331" s="8" t="n">
        <v>13.97113333333333</v>
      </c>
      <c r="K1331" s="8" t="n"/>
      <c r="L1331" s="8" t="n"/>
      <c r="M1331" s="8" t="n"/>
      <c r="N1331" s="8" t="n"/>
      <c r="O1331" s="8" t="n"/>
      <c r="P1331" s="15" t="n">
        <v>14.58</v>
      </c>
      <c r="Q1331" s="8" t="n"/>
      <c r="R1331" s="8" t="n"/>
      <c r="S1331" s="8" t="n"/>
      <c r="T1331" s="7" t="inlineStr">
        <is>
          <t>NAZARIA</t>
        </is>
      </c>
      <c r="U1331" s="8" t="n">
        <v>14.58</v>
      </c>
      <c r="V1331" s="14">
        <f>U1331/J1331-1</f>
        <v/>
      </c>
      <c r="W1331" s="14">
        <f>U1331/H1331-1</f>
        <v/>
      </c>
      <c r="X1331" s="16" t="inlineStr">
        <is>
          <t>ACIMA +2.2%</t>
        </is>
      </c>
      <c r="Y1331" s="7" t="inlineStr"/>
    </row>
    <row r="1332">
      <c r="A1332" s="7" t="n">
        <v>545421</v>
      </c>
      <c r="B1332" s="12" t="inlineStr">
        <is>
          <t>7791293032498</t>
        </is>
      </c>
      <c r="C1332" s="7" t="inlineStr">
        <is>
          <t>DES AER REXONA 72H BAMBOO 150ML/89G</t>
        </is>
      </c>
      <c r="D1332" s="7" t="inlineStr">
        <is>
          <t>ANTITRANSPIRANTE/DESODORANTE</t>
        </is>
      </c>
      <c r="E1332" s="7" t="inlineStr">
        <is>
          <t>B</t>
        </is>
      </c>
      <c r="F1332" s="13" t="n">
        <v>3</v>
      </c>
      <c r="G1332" s="13" t="n">
        <v>3</v>
      </c>
      <c r="H1332" s="8" t="n">
        <v>12.8967</v>
      </c>
      <c r="I1332" s="8" t="n">
        <v>9.5083</v>
      </c>
      <c r="J1332" s="8" t="n">
        <v>11.76723333333333</v>
      </c>
      <c r="K1332" s="8" t="n"/>
      <c r="L1332" s="8" t="n"/>
      <c r="M1332" s="8" t="n"/>
      <c r="N1332" s="8" t="n"/>
      <c r="O1332" s="8" t="n"/>
      <c r="P1332" s="15" t="n">
        <v>13.16</v>
      </c>
      <c r="Q1332" s="8" t="n"/>
      <c r="R1332" s="8" t="n"/>
      <c r="S1332" s="8" t="n"/>
      <c r="T1332" s="7" t="inlineStr">
        <is>
          <t>NAZARIA</t>
        </is>
      </c>
      <c r="U1332" s="8" t="n">
        <v>13.16</v>
      </c>
      <c r="V1332" s="14">
        <f>U1332/J1332-1</f>
        <v/>
      </c>
      <c r="W1332" s="14">
        <f>U1332/H1332-1</f>
        <v/>
      </c>
      <c r="X1332" s="16" t="inlineStr">
        <is>
          <t>ACIMA +2.0%</t>
        </is>
      </c>
      <c r="Y1332" s="7" t="inlineStr"/>
    </row>
    <row r="1333">
      <c r="A1333" s="7" t="n">
        <v>562901</v>
      </c>
      <c r="B1333" s="12" t="inlineStr"/>
      <c r="C1333" s="7" t="inlineStr">
        <is>
          <t>DES AER REXONA 72H INVISIBLE 150ML</t>
        </is>
      </c>
      <c r="D1333" s="7" t="inlineStr">
        <is>
          <t>ANTITRANSPIRANTE/DESODORANTE</t>
        </is>
      </c>
      <c r="E1333" s="7" t="inlineStr">
        <is>
          <t>B</t>
        </is>
      </c>
      <c r="F1333" s="13" t="n">
        <v>3</v>
      </c>
      <c r="G1333" s="13" t="n">
        <v>3</v>
      </c>
      <c r="H1333" s="8" t="n">
        <v>12.8967</v>
      </c>
      <c r="I1333" s="8" t="n">
        <v>11.19</v>
      </c>
      <c r="J1333" s="8" t="n">
        <v>12.3278</v>
      </c>
      <c r="K1333" s="8" t="n"/>
      <c r="L1333" s="8" t="n"/>
      <c r="M1333" s="8" t="n"/>
      <c r="N1333" s="8" t="n"/>
      <c r="O1333" s="8" t="n"/>
      <c r="P1333" s="8" t="n"/>
      <c r="Q1333" s="8" t="n"/>
      <c r="R1333" s="8" t="n"/>
      <c r="S1333" s="8" t="n"/>
      <c r="T1333" s="7" t="inlineStr">
        <is>
          <t>SEM COTAÇÃO</t>
        </is>
      </c>
      <c r="U1333" s="8" t="n"/>
      <c r="V1333" s="14" t="n"/>
      <c r="W1333" s="14" t="n"/>
      <c r="X1333" s="7" t="inlineStr"/>
      <c r="Y1333" s="7" t="inlineStr"/>
    </row>
    <row r="1334">
      <c r="A1334" s="7" t="n">
        <v>545541</v>
      </c>
      <c r="B1334" s="12" t="inlineStr">
        <is>
          <t>7791293032436</t>
        </is>
      </c>
      <c r="C1334" s="7" t="inlineStr">
        <is>
          <t>DES AER REXONA 72H POWDER DRY 150ML/89G</t>
        </is>
      </c>
      <c r="D1334" s="7" t="inlineStr">
        <is>
          <t>ANTITRANSPIRANTE/DESODORANTE</t>
        </is>
      </c>
      <c r="E1334" s="7" t="inlineStr">
        <is>
          <t>B</t>
        </is>
      </c>
      <c r="F1334" s="13" t="n">
        <v>16</v>
      </c>
      <c r="G1334" s="13" t="n">
        <v>16</v>
      </c>
      <c r="H1334" s="8" t="n">
        <v>12.72</v>
      </c>
      <c r="I1334" s="8" t="n">
        <v>9.5083</v>
      </c>
      <c r="J1334" s="8" t="n">
        <v>11.64943333333333</v>
      </c>
      <c r="K1334" s="8" t="n"/>
      <c r="L1334" s="8" t="n"/>
      <c r="M1334" s="8" t="n"/>
      <c r="N1334" s="8" t="n"/>
      <c r="O1334" s="8" t="n"/>
      <c r="P1334" s="15" t="n">
        <v>13.16</v>
      </c>
      <c r="Q1334" s="8" t="n"/>
      <c r="R1334" s="8" t="n"/>
      <c r="S1334" s="8" t="n"/>
      <c r="T1334" s="7" t="inlineStr">
        <is>
          <t>NAZARIA</t>
        </is>
      </c>
      <c r="U1334" s="8" t="n">
        <v>13.16</v>
      </c>
      <c r="V1334" s="14">
        <f>U1334/J1334-1</f>
        <v/>
      </c>
      <c r="W1334" s="14">
        <f>U1334/H1334-1</f>
        <v/>
      </c>
      <c r="X1334" s="16" t="inlineStr">
        <is>
          <t>ACIMA +3.5%</t>
        </is>
      </c>
      <c r="Y1334" s="7" t="inlineStr"/>
    </row>
    <row r="1335">
      <c r="A1335" s="7" t="n">
        <v>543881</v>
      </c>
      <c r="B1335" s="12" t="inlineStr"/>
      <c r="C1335" s="7" t="inlineStr">
        <is>
          <t>DES AER REXONA ACTIVE DRY REXONA MEN 150ML</t>
        </is>
      </c>
      <c r="D1335" s="7" t="inlineStr">
        <is>
          <t>ANTITRANSPIRANTE/DESODORANTE</t>
        </is>
      </c>
      <c r="E1335" s="7" t="inlineStr">
        <is>
          <t>A</t>
        </is>
      </c>
      <c r="F1335" s="13" t="n">
        <v>9</v>
      </c>
      <c r="G1335" s="13" t="n">
        <v>9</v>
      </c>
      <c r="H1335" s="8" t="n">
        <v>12.69</v>
      </c>
      <c r="I1335" s="8" t="n">
        <v>11.3367</v>
      </c>
      <c r="J1335" s="8" t="n">
        <v>12.2389</v>
      </c>
      <c r="K1335" s="8" t="n"/>
      <c r="L1335" s="8" t="n"/>
      <c r="M1335" s="8" t="n"/>
      <c r="N1335" s="8" t="n"/>
      <c r="O1335" s="8" t="n"/>
      <c r="P1335" s="8" t="n"/>
      <c r="Q1335" s="8" t="n"/>
      <c r="R1335" s="8" t="n"/>
      <c r="S1335" s="8" t="n"/>
      <c r="T1335" s="7" t="inlineStr">
        <is>
          <t>SEM COTAÇÃO</t>
        </is>
      </c>
      <c r="U1335" s="8" t="n"/>
      <c r="V1335" s="14" t="n"/>
      <c r="W1335" s="14" t="n"/>
      <c r="X1335" s="7" t="inlineStr"/>
      <c r="Y1335" s="7" t="inlineStr"/>
    </row>
    <row r="1336">
      <c r="A1336" s="7" t="n">
        <v>688501</v>
      </c>
      <c r="B1336" s="12" t="inlineStr">
        <is>
          <t>7891150101746</t>
        </is>
      </c>
      <c r="C1336" s="7" t="inlineStr">
        <is>
          <t>DES AER REXONA ACTIVE EMOTION DRY 200ML</t>
        </is>
      </c>
      <c r="D1336" s="7" t="inlineStr">
        <is>
          <t>ANTITRANSPIRANTE/DESODORANTE</t>
        </is>
      </c>
      <c r="E1336" s="7" t="inlineStr">
        <is>
          <t>A</t>
        </is>
      </c>
      <c r="F1336" s="13" t="n">
        <v>3</v>
      </c>
      <c r="G1336" s="13" t="n">
        <v>3</v>
      </c>
      <c r="H1336" s="8" t="n">
        <v>14.39</v>
      </c>
      <c r="I1336" s="8" t="n">
        <v>14.39</v>
      </c>
      <c r="J1336" s="8" t="n">
        <v>14.39</v>
      </c>
      <c r="K1336" s="8" t="n"/>
      <c r="L1336" s="8" t="n"/>
      <c r="M1336" s="8" t="n"/>
      <c r="N1336" s="8" t="n"/>
      <c r="O1336" s="8" t="n"/>
      <c r="P1336" s="8" t="n"/>
      <c r="Q1336" s="8" t="n"/>
      <c r="R1336" s="8" t="n"/>
      <c r="S1336" s="8" t="n"/>
      <c r="T1336" s="7" t="inlineStr">
        <is>
          <t>SEM COTAÇÃO</t>
        </is>
      </c>
      <c r="U1336" s="8" t="n"/>
      <c r="V1336" s="14" t="n"/>
      <c r="W1336" s="14" t="n"/>
      <c r="X1336" s="7" t="inlineStr"/>
      <c r="Y1336" s="7" t="inlineStr"/>
    </row>
    <row r="1337">
      <c r="A1337" s="7" t="n">
        <v>548581</v>
      </c>
      <c r="B1337" s="12" t="inlineStr">
        <is>
          <t>7791293032443</t>
        </is>
      </c>
      <c r="C1337" s="7" t="inlineStr">
        <is>
          <t>DES AER REXONA ACTIVE EMOTION REXONA 150ML</t>
        </is>
      </c>
      <c r="D1337" s="7" t="inlineStr">
        <is>
          <t>ANTITRANSPIRANTE/DESODORANTE</t>
        </is>
      </c>
      <c r="E1337" s="7" t="inlineStr">
        <is>
          <t>A</t>
        </is>
      </c>
      <c r="F1337" s="13" t="n">
        <v>12</v>
      </c>
      <c r="G1337" s="13" t="n">
        <v>12</v>
      </c>
      <c r="H1337" s="8" t="n">
        <v>12.72</v>
      </c>
      <c r="I1337" s="8" t="n">
        <v>11.19</v>
      </c>
      <c r="J1337" s="8" t="n">
        <v>12.21</v>
      </c>
      <c r="K1337" s="8" t="n"/>
      <c r="L1337" s="8" t="n"/>
      <c r="M1337" s="8" t="n"/>
      <c r="N1337" s="8" t="n"/>
      <c r="O1337" s="8" t="n"/>
      <c r="P1337" s="15" t="n">
        <v>13.16</v>
      </c>
      <c r="Q1337" s="8" t="n"/>
      <c r="R1337" s="8" t="n"/>
      <c r="S1337" s="8" t="n"/>
      <c r="T1337" s="7" t="inlineStr">
        <is>
          <t>NAZARIA</t>
        </is>
      </c>
      <c r="U1337" s="8" t="n">
        <v>13.16</v>
      </c>
      <c r="V1337" s="14">
        <f>U1337/J1337-1</f>
        <v/>
      </c>
      <c r="W1337" s="14">
        <f>U1337/H1337-1</f>
        <v/>
      </c>
      <c r="X1337" s="16" t="inlineStr">
        <is>
          <t>ACIMA +3.5%</t>
        </is>
      </c>
      <c r="Y1337" s="7" t="inlineStr"/>
    </row>
    <row r="1338">
      <c r="A1338" s="7" t="n">
        <v>663541</v>
      </c>
      <c r="B1338" s="12" t="inlineStr">
        <is>
          <t>7891150068865</t>
        </is>
      </c>
      <c r="C1338" s="7" t="inlineStr">
        <is>
          <t>DES AER REXONA BAMBOO PR 200ML</t>
        </is>
      </c>
      <c r="D1338" s="7" t="inlineStr">
        <is>
          <t>ANTITRANSPIRANTE/DESODORANTE</t>
        </is>
      </c>
      <c r="E1338" s="7" t="inlineStr">
        <is>
          <t>C</t>
        </is>
      </c>
      <c r="F1338" s="13" t="n">
        <v>2</v>
      </c>
      <c r="G1338" s="13" t="n">
        <v>2</v>
      </c>
      <c r="H1338" s="8" t="n">
        <v>13.78</v>
      </c>
      <c r="I1338" s="8" t="n">
        <v>13.78</v>
      </c>
      <c r="J1338" s="8" t="n">
        <v>13.78</v>
      </c>
      <c r="K1338" s="8" t="n"/>
      <c r="L1338" s="8" t="n"/>
      <c r="M1338" s="8" t="n"/>
      <c r="N1338" s="8" t="n"/>
      <c r="O1338" s="8" t="n"/>
      <c r="P1338" s="8" t="n"/>
      <c r="Q1338" s="8" t="n"/>
      <c r="R1338" s="8" t="n"/>
      <c r="S1338" s="8" t="n"/>
      <c r="T1338" s="7" t="inlineStr">
        <is>
          <t>SEM COTAÇÃO</t>
        </is>
      </c>
      <c r="U1338" s="8" t="n"/>
      <c r="V1338" s="14" t="n"/>
      <c r="W1338" s="14" t="n"/>
      <c r="X1338" s="7" t="inlineStr"/>
      <c r="Y1338" s="7" t="inlineStr"/>
    </row>
    <row r="1339">
      <c r="A1339" s="7" t="n">
        <v>549121</v>
      </c>
      <c r="B1339" s="12" t="inlineStr">
        <is>
          <t>7791293032467</t>
        </is>
      </c>
      <c r="C1339" s="7" t="inlineStr">
        <is>
          <t>DES AER REXONA COTTON 150ML</t>
        </is>
      </c>
      <c r="D1339" s="7" t="inlineStr">
        <is>
          <t>ANTITRANSPIRANTE/DESODORANTE</t>
        </is>
      </c>
      <c r="E1339" s="7" t="inlineStr">
        <is>
          <t>A</t>
        </is>
      </c>
      <c r="F1339" s="13" t="n">
        <v>8</v>
      </c>
      <c r="G1339" s="13" t="n">
        <v>8</v>
      </c>
      <c r="H1339" s="8" t="n">
        <v>12.72</v>
      </c>
      <c r="I1339" s="8" t="n">
        <v>11.7367</v>
      </c>
      <c r="J1339" s="8" t="n">
        <v>12.39223333333334</v>
      </c>
      <c r="K1339" s="8" t="n"/>
      <c r="L1339" s="8" t="n"/>
      <c r="M1339" s="8" t="n"/>
      <c r="N1339" s="8" t="n"/>
      <c r="O1339" s="8" t="n"/>
      <c r="P1339" s="15" t="n">
        <v>13.31</v>
      </c>
      <c r="Q1339" s="8" t="n"/>
      <c r="R1339" s="8" t="n"/>
      <c r="S1339" s="8" t="n"/>
      <c r="T1339" s="7" t="inlineStr">
        <is>
          <t>NAZARIA</t>
        </is>
      </c>
      <c r="U1339" s="8" t="n">
        <v>13.31</v>
      </c>
      <c r="V1339" s="14">
        <f>U1339/J1339-1</f>
        <v/>
      </c>
      <c r="W1339" s="14">
        <f>U1339/H1339-1</f>
        <v/>
      </c>
      <c r="X1339" s="16" t="inlineStr">
        <is>
          <t>ACIMA +4.6%</t>
        </is>
      </c>
      <c r="Y1339" s="7" t="inlineStr"/>
    </row>
    <row r="1340">
      <c r="A1340" s="7" t="n">
        <v>570321</v>
      </c>
      <c r="B1340" s="12" t="inlineStr">
        <is>
          <t>7506306214972</t>
        </is>
      </c>
      <c r="C1340" s="7" t="inlineStr">
        <is>
          <t>DES AER REXONA MEN CL CL 150M</t>
        </is>
      </c>
      <c r="D1340" s="7" t="inlineStr">
        <is>
          <t>ANTITRANSPIRANTE/DESODORANTE</t>
        </is>
      </c>
      <c r="E1340" s="7" t="inlineStr">
        <is>
          <t>B</t>
        </is>
      </c>
      <c r="F1340" s="13" t="n">
        <v>6</v>
      </c>
      <c r="G1340" s="13" t="n">
        <v>6</v>
      </c>
      <c r="H1340" s="8" t="n">
        <v>14.5725</v>
      </c>
      <c r="I1340" s="8" t="n">
        <v>14.2567</v>
      </c>
      <c r="J1340" s="8" t="n">
        <v>14.46723333333333</v>
      </c>
      <c r="K1340" s="8" t="n"/>
      <c r="L1340" s="8" t="n"/>
      <c r="M1340" s="8" t="n"/>
      <c r="N1340" s="8" t="n"/>
      <c r="O1340" s="8" t="n"/>
      <c r="P1340" s="15" t="n">
        <v>15.18</v>
      </c>
      <c r="Q1340" s="8" t="n"/>
      <c r="R1340" s="8" t="n"/>
      <c r="S1340" s="8" t="n"/>
      <c r="T1340" s="7" t="inlineStr">
        <is>
          <t>NAZARIA</t>
        </is>
      </c>
      <c r="U1340" s="8" t="n">
        <v>15.18</v>
      </c>
      <c r="V1340" s="14">
        <f>U1340/J1340-1</f>
        <v/>
      </c>
      <c r="W1340" s="14">
        <f>U1340/H1340-1</f>
        <v/>
      </c>
      <c r="X1340" s="16" t="inlineStr">
        <is>
          <t>ACIMA +4.2%</t>
        </is>
      </c>
      <c r="Y1340" s="7" t="inlineStr"/>
    </row>
    <row r="1341">
      <c r="A1341" s="7" t="n">
        <v>688701</v>
      </c>
      <c r="B1341" s="12" t="inlineStr">
        <is>
          <t>7891150104969</t>
        </is>
      </c>
      <c r="C1341" s="7" t="inlineStr">
        <is>
          <t>DES AER REXONA MEN EXTRACOOL FRESH 200ML</t>
        </is>
      </c>
      <c r="D1341" s="7" t="inlineStr">
        <is>
          <t>ANTITRANSPIRANTE/DESODORANTE</t>
        </is>
      </c>
      <c r="E1341" s="7" t="inlineStr">
        <is>
          <t>A</t>
        </is>
      </c>
      <c r="F1341" s="13" t="n">
        <v>1</v>
      </c>
      <c r="G1341" s="13" t="n">
        <v>1</v>
      </c>
      <c r="H1341" s="8" t="n">
        <v>14.29</v>
      </c>
      <c r="I1341" s="8" t="n">
        <v>14.29</v>
      </c>
      <c r="J1341" s="8" t="n">
        <v>14.29</v>
      </c>
      <c r="K1341" s="8" t="n"/>
      <c r="L1341" s="8" t="n"/>
      <c r="M1341" s="8" t="n"/>
      <c r="N1341" s="8" t="n"/>
      <c r="O1341" s="8" t="n"/>
      <c r="P1341" s="8" t="n"/>
      <c r="Q1341" s="8" t="n"/>
      <c r="R1341" s="8" t="n"/>
      <c r="S1341" s="8" t="n"/>
      <c r="T1341" s="7" t="inlineStr">
        <is>
          <t>SEM COTAÇÃO</t>
        </is>
      </c>
      <c r="U1341" s="8" t="n"/>
      <c r="V1341" s="14" t="n"/>
      <c r="W1341" s="14" t="n"/>
      <c r="X1341" s="7" t="inlineStr"/>
      <c r="Y1341" s="7" t="inlineStr"/>
    </row>
    <row r="1342">
      <c r="A1342" s="7" t="n">
        <v>566421</v>
      </c>
      <c r="B1342" s="12" t="inlineStr">
        <is>
          <t>7891150054646</t>
        </is>
      </c>
      <c r="C1342" s="7" t="inlineStr">
        <is>
          <t>DES AER REXONA MEN IMPAC 150ML</t>
        </is>
      </c>
      <c r="D1342" s="7" t="inlineStr">
        <is>
          <t>ANTITRANSPIRANTE/DESODORANTE</t>
        </is>
      </c>
      <c r="E1342" s="7" t="inlineStr">
        <is>
          <t>A</t>
        </is>
      </c>
      <c r="F1342" s="13" t="n">
        <v>8</v>
      </c>
      <c r="G1342" s="13" t="n">
        <v>8</v>
      </c>
      <c r="H1342" s="8" t="n">
        <v>12.202</v>
      </c>
      <c r="I1342" s="8" t="n">
        <v>11.3367</v>
      </c>
      <c r="J1342" s="8" t="n">
        <v>11.91356666666667</v>
      </c>
      <c r="K1342" s="8" t="n"/>
      <c r="L1342" s="8" t="n"/>
      <c r="M1342" s="15" t="n">
        <v>10.89</v>
      </c>
      <c r="N1342" s="8" t="n"/>
      <c r="O1342" s="8" t="n"/>
      <c r="P1342" s="8" t="n">
        <v>13.16</v>
      </c>
      <c r="Q1342" s="8" t="n"/>
      <c r="R1342" s="8" t="n"/>
      <c r="S1342" s="8" t="n"/>
      <c r="T1342" s="7" t="inlineStr">
        <is>
          <t>EPAN</t>
        </is>
      </c>
      <c r="U1342" s="8" t="n">
        <v>10.89</v>
      </c>
      <c r="V1342" s="14">
        <f>U1342/J1342-1</f>
        <v/>
      </c>
      <c r="W1342" s="14">
        <f>U1342/H1342-1</f>
        <v/>
      </c>
      <c r="X1342" s="17" t="inlineStr">
        <is>
          <t>OK (≤ menor hist.)</t>
        </is>
      </c>
      <c r="Y1342" s="7" t="inlineStr"/>
    </row>
    <row r="1343">
      <c r="A1343" s="7" t="n">
        <v>663551</v>
      </c>
      <c r="B1343" s="12" t="inlineStr">
        <is>
          <t>7891150068834</t>
        </is>
      </c>
      <c r="C1343" s="7" t="inlineStr">
        <is>
          <t>DES AER REXONA MEN INV ANTIB 200ML</t>
        </is>
      </c>
      <c r="D1343" s="7" t="inlineStr">
        <is>
          <t>ANTITRANSPIRANTE/DESODORANTE</t>
        </is>
      </c>
      <c r="E1343" s="7" t="inlineStr">
        <is>
          <t>C</t>
        </is>
      </c>
      <c r="F1343" s="13" t="n">
        <v>2</v>
      </c>
      <c r="G1343" s="13" t="n">
        <v>2</v>
      </c>
      <c r="H1343" s="8" t="n">
        <v>13.78</v>
      </c>
      <c r="I1343" s="8" t="n">
        <v>13.78</v>
      </c>
      <c r="J1343" s="8" t="n">
        <v>13.78</v>
      </c>
      <c r="K1343" s="8" t="n"/>
      <c r="L1343" s="8" t="n"/>
      <c r="M1343" s="8" t="n"/>
      <c r="N1343" s="8" t="n"/>
      <c r="O1343" s="8" t="n"/>
      <c r="P1343" s="8" t="n"/>
      <c r="Q1343" s="8" t="n"/>
      <c r="R1343" s="8" t="n"/>
      <c r="S1343" s="8" t="n"/>
      <c r="T1343" s="7" t="inlineStr">
        <is>
          <t>SEM COTAÇÃO</t>
        </is>
      </c>
      <c r="U1343" s="8" t="n"/>
      <c r="V1343" s="14" t="n"/>
      <c r="W1343" s="14" t="n"/>
      <c r="X1343" s="7" t="inlineStr"/>
      <c r="Y1343" s="7" t="inlineStr"/>
    </row>
    <row r="1344">
      <c r="A1344" s="7" t="n">
        <v>663561</v>
      </c>
      <c r="B1344" s="12" t="inlineStr">
        <is>
          <t>7791293035864</t>
        </is>
      </c>
      <c r="C1344" s="7" t="inlineStr">
        <is>
          <t>DES AER REXONA MEN INVISIBLE 200ML</t>
        </is>
      </c>
      <c r="D1344" s="7" t="inlineStr">
        <is>
          <t>ANTITRANSPIRANTE/DESODORANTE</t>
        </is>
      </c>
      <c r="E1344" s="7" t="inlineStr">
        <is>
          <t>A</t>
        </is>
      </c>
      <c r="F1344" s="13" t="n">
        <v>3</v>
      </c>
      <c r="G1344" s="13" t="n">
        <v>3</v>
      </c>
      <c r="H1344" s="8" t="n">
        <v>14.29</v>
      </c>
      <c r="I1344" s="8" t="n">
        <v>14.29</v>
      </c>
      <c r="J1344" s="8" t="n">
        <v>14.29</v>
      </c>
      <c r="K1344" s="8" t="n"/>
      <c r="L1344" s="8" t="n"/>
      <c r="M1344" s="8" t="n"/>
      <c r="N1344" s="8" t="n"/>
      <c r="O1344" s="8" t="n"/>
      <c r="P1344" s="8" t="n"/>
      <c r="Q1344" s="8" t="n"/>
      <c r="R1344" s="8" t="n"/>
      <c r="S1344" s="8" t="n"/>
      <c r="T1344" s="7" t="inlineStr">
        <is>
          <t>SEM COTAÇÃO</t>
        </is>
      </c>
      <c r="U1344" s="8" t="n"/>
      <c r="V1344" s="14" t="n"/>
      <c r="W1344" s="14" t="n"/>
      <c r="X1344" s="7" t="inlineStr"/>
      <c r="Y1344" s="7" t="inlineStr"/>
    </row>
    <row r="1345">
      <c r="A1345" s="7" t="n">
        <v>663571</v>
      </c>
      <c r="B1345" s="12" t="inlineStr">
        <is>
          <t>7791293035871</t>
        </is>
      </c>
      <c r="C1345" s="7" t="inlineStr">
        <is>
          <t>DES AER REXONA MEN V8 200ML</t>
        </is>
      </c>
      <c r="D1345" s="7" t="inlineStr">
        <is>
          <t>ANTITRANSPIRANTE/DESODORANTE</t>
        </is>
      </c>
      <c r="E1345" s="7" t="inlineStr">
        <is>
          <t>C</t>
        </is>
      </c>
      <c r="F1345" s="13" t="n">
        <v>1</v>
      </c>
      <c r="G1345" s="13" t="n">
        <v>1</v>
      </c>
      <c r="H1345" s="8" t="n">
        <v>13.78</v>
      </c>
      <c r="I1345" s="8" t="n">
        <v>13.78</v>
      </c>
      <c r="J1345" s="8" t="n">
        <v>13.78</v>
      </c>
      <c r="K1345" s="8" t="n"/>
      <c r="L1345" s="8" t="n"/>
      <c r="M1345" s="8" t="n"/>
      <c r="N1345" s="8" t="n"/>
      <c r="O1345" s="8" t="n"/>
      <c r="P1345" s="8" t="n"/>
      <c r="Q1345" s="8" t="n"/>
      <c r="R1345" s="8" t="n"/>
      <c r="S1345" s="8" t="n"/>
      <c r="T1345" s="7" t="inlineStr">
        <is>
          <t>SEM COTAÇÃO</t>
        </is>
      </c>
      <c r="U1345" s="8" t="n"/>
      <c r="V1345" s="14" t="n"/>
      <c r="W1345" s="14" t="n"/>
      <c r="X1345" s="7" t="inlineStr"/>
      <c r="Y1345" s="7" t="inlineStr"/>
    </row>
    <row r="1346">
      <c r="A1346" s="7" t="n">
        <v>549081</v>
      </c>
      <c r="B1346" s="12" t="inlineStr">
        <is>
          <t>7791293022567</t>
        </is>
      </c>
      <c r="C1346" s="7" t="inlineStr">
        <is>
          <t>DES AER REXONA MEN.V8 12X150ML</t>
        </is>
      </c>
      <c r="D1346" s="7" t="inlineStr">
        <is>
          <t>ANTITRANSPIRANTE/DESODORANTE</t>
        </is>
      </c>
      <c r="E1346" s="7" t="inlineStr">
        <is>
          <t>A</t>
        </is>
      </c>
      <c r="F1346" s="13" t="n">
        <v>5</v>
      </c>
      <c r="G1346" s="13" t="n">
        <v>5</v>
      </c>
      <c r="H1346" s="8" t="n">
        <v>12.69</v>
      </c>
      <c r="I1346" s="8" t="n">
        <v>11.9133</v>
      </c>
      <c r="J1346" s="8" t="n">
        <v>12.4311</v>
      </c>
      <c r="K1346" s="8" t="n"/>
      <c r="L1346" s="8" t="n"/>
      <c r="M1346" s="8" t="n"/>
      <c r="N1346" s="8" t="n"/>
      <c r="O1346" s="8" t="n"/>
      <c r="P1346" s="15" t="n">
        <v>13.79</v>
      </c>
      <c r="Q1346" s="8" t="n"/>
      <c r="R1346" s="8" t="n"/>
      <c r="S1346" s="8" t="n"/>
      <c r="T1346" s="7" t="inlineStr">
        <is>
          <t>NAZARIA</t>
        </is>
      </c>
      <c r="U1346" s="8" t="n">
        <v>13.79</v>
      </c>
      <c r="V1346" s="14">
        <f>U1346/J1346-1</f>
        <v/>
      </c>
      <c r="W1346" s="14">
        <f>U1346/H1346-1</f>
        <v/>
      </c>
      <c r="X1346" s="16" t="inlineStr">
        <is>
          <t>ACIMA +8.7%</t>
        </is>
      </c>
      <c r="Y1346" s="7" t="inlineStr"/>
    </row>
    <row r="1347">
      <c r="A1347" s="7" t="n">
        <v>570361</v>
      </c>
      <c r="B1347" s="12" t="inlineStr">
        <is>
          <t>7506306214989</t>
        </is>
      </c>
      <c r="C1347" s="7" t="inlineStr">
        <is>
          <t>DES AER REXONA W CL.CLAS.150ML</t>
        </is>
      </c>
      <c r="D1347" s="7" t="inlineStr">
        <is>
          <t>ANTITRANSPIRANTE/DESODORANTE</t>
        </is>
      </c>
      <c r="E1347" s="7" t="inlineStr">
        <is>
          <t>C</t>
        </is>
      </c>
      <c r="F1347" s="13" t="n">
        <v>4</v>
      </c>
      <c r="G1347" s="13" t="n">
        <v>4</v>
      </c>
      <c r="H1347" s="8" t="n">
        <v>12.64</v>
      </c>
      <c r="I1347" s="8" t="n">
        <v>12.64</v>
      </c>
      <c r="J1347" s="8" t="n">
        <v>12.64</v>
      </c>
      <c r="K1347" s="8" t="n"/>
      <c r="L1347" s="8" t="n"/>
      <c r="M1347" s="8" t="n"/>
      <c r="N1347" s="8" t="n"/>
      <c r="O1347" s="8" t="n"/>
      <c r="P1347" s="15" t="n">
        <v>14.97</v>
      </c>
      <c r="Q1347" s="8" t="n"/>
      <c r="R1347" s="8" t="n"/>
      <c r="S1347" s="8" t="n"/>
      <c r="T1347" s="7" t="inlineStr">
        <is>
          <t>NAZARIA</t>
        </is>
      </c>
      <c r="U1347" s="8" t="n">
        <v>14.97</v>
      </c>
      <c r="V1347" s="14">
        <f>U1347/J1347-1</f>
        <v/>
      </c>
      <c r="W1347" s="14">
        <f>U1347/H1347-1</f>
        <v/>
      </c>
      <c r="X1347" s="16" t="inlineStr">
        <is>
          <t>ACIMA +18.4%</t>
        </is>
      </c>
      <c r="Y1347" s="7" t="inlineStr"/>
    </row>
    <row r="1348">
      <c r="A1348" s="7" t="n">
        <v>662621</v>
      </c>
      <c r="B1348" s="12" t="inlineStr">
        <is>
          <t>7898489513820</t>
        </is>
      </c>
      <c r="C1348" s="7" t="inlineStr">
        <is>
          <t>DES AERO DAV 150ML ANTIBAC INVISIBLE</t>
        </is>
      </c>
      <c r="D1348" s="7" t="inlineStr">
        <is>
          <t>ANTITRANSPIRANTE/DESODORANTE</t>
        </is>
      </c>
      <c r="E1348" s="7" t="inlineStr">
        <is>
          <t>C</t>
        </is>
      </c>
      <c r="F1348" s="13" t="n">
        <v>1</v>
      </c>
      <c r="G1348" s="13" t="n">
        <v>1</v>
      </c>
      <c r="H1348" s="8" t="n"/>
      <c r="I1348" s="8" t="n"/>
      <c r="J1348" s="8" t="n"/>
      <c r="K1348" s="8" t="n"/>
      <c r="L1348" s="8" t="n"/>
      <c r="M1348" s="8" t="n"/>
      <c r="N1348" s="8" t="n"/>
      <c r="O1348" s="8" t="n"/>
      <c r="P1348" s="8" t="n"/>
      <c r="Q1348" s="8" t="n"/>
      <c r="R1348" s="8" t="n"/>
      <c r="S1348" s="8" t="n"/>
      <c r="T1348" s="7" t="inlineStr">
        <is>
          <t>SEM COTAÇÃO</t>
        </is>
      </c>
      <c r="U1348" s="8" t="n"/>
      <c r="V1348" s="14" t="n"/>
      <c r="W1348" s="14" t="n"/>
      <c r="X1348" s="7" t="inlineStr"/>
      <c r="Y1348" s="7" t="inlineStr"/>
    </row>
    <row r="1349">
      <c r="A1349" s="7" t="n">
        <v>614761</v>
      </c>
      <c r="B1349" s="12" t="inlineStr">
        <is>
          <t>7896049528505</t>
        </is>
      </c>
      <c r="C1349" s="7" t="inlineStr">
        <is>
          <t>DES CR HERBISSIMO 55G NEUTRO</t>
        </is>
      </c>
      <c r="D1349" s="7" t="inlineStr">
        <is>
          <t>PERF/COSME</t>
        </is>
      </c>
      <c r="E1349" s="7" t="inlineStr">
        <is>
          <t>B</t>
        </is>
      </c>
      <c r="F1349" s="13" t="n">
        <v>12</v>
      </c>
      <c r="G1349" s="13" t="n">
        <v>12</v>
      </c>
      <c r="H1349" s="8" t="n">
        <v>3.34</v>
      </c>
      <c r="I1349" s="8" t="n">
        <v>3.34</v>
      </c>
      <c r="J1349" s="8" t="n">
        <v>3.34</v>
      </c>
      <c r="K1349" s="8" t="n"/>
      <c r="L1349" s="8" t="n"/>
      <c r="M1349" s="8" t="n"/>
      <c r="N1349" s="8" t="n"/>
      <c r="O1349" s="8" t="n"/>
      <c r="P1349" s="8" t="n"/>
      <c r="Q1349" s="8" t="n"/>
      <c r="R1349" s="8" t="n"/>
      <c r="S1349" s="8" t="n"/>
      <c r="T1349" s="7" t="inlineStr">
        <is>
          <t>SEM COTAÇÃO</t>
        </is>
      </c>
      <c r="U1349" s="8" t="n"/>
      <c r="V1349" s="14" t="n"/>
      <c r="W1349" s="14" t="n"/>
      <c r="X1349" s="7" t="inlineStr"/>
      <c r="Y1349" s="7" t="inlineStr"/>
    </row>
    <row r="1350">
      <c r="A1350" s="7" t="n">
        <v>537021</v>
      </c>
      <c r="B1350" s="12" t="inlineStr">
        <is>
          <t>7896049528512</t>
        </is>
      </c>
      <c r="C1350" s="7" t="inlineStr">
        <is>
          <t>DES CREME HERBISSIMO 55G TRADICIONAL</t>
        </is>
      </c>
      <c r="D1350" s="7" t="inlineStr">
        <is>
          <t>PERF/COSME</t>
        </is>
      </c>
      <c r="E1350" s="7" t="inlineStr">
        <is>
          <t>A</t>
        </is>
      </c>
      <c r="F1350" s="13" t="n">
        <v>15</v>
      </c>
      <c r="G1350" s="13" t="n">
        <v>15</v>
      </c>
      <c r="H1350" s="8" t="n">
        <v>4.84</v>
      </c>
      <c r="I1350" s="8" t="n">
        <v>3.48</v>
      </c>
      <c r="J1350" s="8" t="n">
        <v>4.386666666666667</v>
      </c>
      <c r="K1350" s="8" t="n"/>
      <c r="L1350" s="8" t="n"/>
      <c r="M1350" s="8" t="n"/>
      <c r="N1350" s="8" t="n"/>
      <c r="O1350" s="8" t="n"/>
      <c r="P1350" s="8" t="n"/>
      <c r="Q1350" s="8" t="n"/>
      <c r="R1350" s="8" t="n"/>
      <c r="S1350" s="8" t="n"/>
      <c r="T1350" s="7" t="inlineStr">
        <is>
          <t>SEM COTAÇÃO</t>
        </is>
      </c>
      <c r="U1350" s="8" t="n"/>
      <c r="V1350" s="14" t="n"/>
      <c r="W1350" s="14" t="n"/>
      <c r="X1350" s="7" t="inlineStr"/>
      <c r="Y1350" s="7" t="inlineStr"/>
    </row>
    <row r="1351">
      <c r="A1351" s="7" t="n">
        <v>597171</v>
      </c>
      <c r="B1351" s="12" t="inlineStr">
        <is>
          <t>7791293033242</t>
        </is>
      </c>
      <c r="C1351" s="7" t="inlineStr">
        <is>
          <t>DES DOVE AER W ANTI BACT 150ML</t>
        </is>
      </c>
      <c r="D1351" s="7" t="inlineStr">
        <is>
          <t>ANTITRANSPIRANTE/DESODORANTE</t>
        </is>
      </c>
      <c r="E1351" s="7" t="inlineStr">
        <is>
          <t>C</t>
        </is>
      </c>
      <c r="F1351" s="13" t="n">
        <v>1</v>
      </c>
      <c r="G1351" s="13" t="n">
        <v>1</v>
      </c>
      <c r="H1351" s="8" t="n">
        <v>13.03</v>
      </c>
      <c r="I1351" s="8" t="n">
        <v>13.03</v>
      </c>
      <c r="J1351" s="8" t="n">
        <v>13.03</v>
      </c>
      <c r="K1351" s="8" t="n"/>
      <c r="L1351" s="8" t="n"/>
      <c r="M1351" s="8" t="n"/>
      <c r="N1351" s="8" t="n"/>
      <c r="O1351" s="8" t="n"/>
      <c r="P1351" s="8" t="n"/>
      <c r="Q1351" s="8" t="n"/>
      <c r="R1351" s="8" t="n"/>
      <c r="S1351" s="8" t="n"/>
      <c r="T1351" s="7" t="inlineStr">
        <is>
          <t>SEM COTAÇÃO</t>
        </is>
      </c>
      <c r="U1351" s="8" t="n"/>
      <c r="V1351" s="14" t="n"/>
      <c r="W1351" s="14" t="n"/>
      <c r="X1351" s="7" t="inlineStr"/>
      <c r="Y1351" s="7" t="inlineStr"/>
    </row>
    <row r="1352">
      <c r="A1352" s="7" t="n">
        <v>595411</v>
      </c>
      <c r="B1352" s="12" t="inlineStr">
        <is>
          <t>7791293033235</t>
        </is>
      </c>
      <c r="C1352" s="7" t="inlineStr">
        <is>
          <t>DES DOVE AER W BEAUT FIN 150ML</t>
        </is>
      </c>
      <c r="D1352" s="7" t="inlineStr">
        <is>
          <t>ANTITRANSPIRANTE/DESODORANTE</t>
        </is>
      </c>
      <c r="E1352" s="7" t="inlineStr">
        <is>
          <t>A</t>
        </is>
      </c>
      <c r="F1352" s="13" t="n">
        <v>11</v>
      </c>
      <c r="G1352" s="13" t="n">
        <v>11</v>
      </c>
      <c r="H1352" s="8" t="n">
        <v>14.2592</v>
      </c>
      <c r="I1352" s="8" t="n">
        <v>12.9183</v>
      </c>
      <c r="J1352" s="8" t="n">
        <v>13.81223333333333</v>
      </c>
      <c r="K1352" s="8" t="n"/>
      <c r="L1352" s="8" t="n"/>
      <c r="M1352" s="8" t="n"/>
      <c r="N1352" s="8" t="n"/>
      <c r="O1352" s="8" t="n"/>
      <c r="P1352" s="15" t="n">
        <v>14.58</v>
      </c>
      <c r="Q1352" s="8" t="n"/>
      <c r="R1352" s="8" t="n"/>
      <c r="S1352" s="8" t="n"/>
      <c r="T1352" s="7" t="inlineStr">
        <is>
          <t>NAZARIA</t>
        </is>
      </c>
      <c r="U1352" s="8" t="n">
        <v>14.58</v>
      </c>
      <c r="V1352" s="14">
        <f>U1352/J1352-1</f>
        <v/>
      </c>
      <c r="W1352" s="14">
        <f>U1352/H1352-1</f>
        <v/>
      </c>
      <c r="X1352" s="16" t="inlineStr">
        <is>
          <t>ACIMA +2.2%</t>
        </is>
      </c>
      <c r="Y1352" s="7" t="inlineStr"/>
    </row>
    <row r="1353">
      <c r="A1353" s="7" t="n">
        <v>595421</v>
      </c>
      <c r="B1353" s="12" t="inlineStr">
        <is>
          <t>7506306241169</t>
        </is>
      </c>
      <c r="C1353" s="7" t="inlineStr">
        <is>
          <t>DES DOVE AER W GO FRESH 150ML</t>
        </is>
      </c>
      <c r="D1353" s="7" t="inlineStr">
        <is>
          <t>ANTITRANSPIRANTE/DESODORANTE</t>
        </is>
      </c>
      <c r="E1353" s="7" t="inlineStr">
        <is>
          <t>A</t>
        </is>
      </c>
      <c r="F1353" s="13" t="n">
        <v>1</v>
      </c>
      <c r="G1353" s="13" t="n">
        <v>1</v>
      </c>
      <c r="H1353" s="8" t="n">
        <v>14.19</v>
      </c>
      <c r="I1353" s="8" t="n">
        <v>13.395</v>
      </c>
      <c r="J1353" s="8" t="n">
        <v>13.925</v>
      </c>
      <c r="K1353" s="8" t="n"/>
      <c r="L1353" s="8" t="n"/>
      <c r="M1353" s="8" t="n"/>
      <c r="N1353" s="8" t="n"/>
      <c r="O1353" s="8" t="n"/>
      <c r="P1353" s="15" t="n">
        <v>14.58</v>
      </c>
      <c r="Q1353" s="8" t="n"/>
      <c r="R1353" s="8" t="n"/>
      <c r="S1353" s="8" t="n"/>
      <c r="T1353" s="7" t="inlineStr">
        <is>
          <t>NAZARIA</t>
        </is>
      </c>
      <c r="U1353" s="8" t="n">
        <v>14.58</v>
      </c>
      <c r="V1353" s="14">
        <f>U1353/J1353-1</f>
        <v/>
      </c>
      <c r="W1353" s="14">
        <f>U1353/H1353-1</f>
        <v/>
      </c>
      <c r="X1353" s="16" t="inlineStr">
        <is>
          <t>ACIMA +2.7%</t>
        </is>
      </c>
      <c r="Y1353" s="7" t="inlineStr"/>
    </row>
    <row r="1354">
      <c r="A1354" s="7" t="n">
        <v>609971</v>
      </c>
      <c r="B1354" s="12" t="inlineStr">
        <is>
          <t>7891150081239</t>
        </is>
      </c>
      <c r="C1354" s="7" t="inlineStr">
        <is>
          <t>DES DOVE LEV MAIS POR MEN 250ML UN</t>
        </is>
      </c>
      <c r="D1354" s="7" t="inlineStr">
        <is>
          <t>ANTITRANSPIRANTE/DESODORANTE</t>
        </is>
      </c>
      <c r="E1354" s="7" t="inlineStr">
        <is>
          <t>A</t>
        </is>
      </c>
      <c r="F1354" s="13" t="n">
        <v>6</v>
      </c>
      <c r="G1354" s="13" t="n">
        <v>6</v>
      </c>
      <c r="H1354" s="8" t="n">
        <v>19.3533</v>
      </c>
      <c r="I1354" s="8" t="n">
        <v>19.3533</v>
      </c>
      <c r="J1354" s="8" t="n">
        <v>19.3533</v>
      </c>
      <c r="K1354" s="8" t="n"/>
      <c r="L1354" s="8" t="n"/>
      <c r="M1354" s="8" t="n"/>
      <c r="N1354" s="8" t="n"/>
      <c r="O1354" s="8" t="n"/>
      <c r="P1354" s="15" t="n">
        <v>20.92</v>
      </c>
      <c r="Q1354" s="8" t="n"/>
      <c r="R1354" s="8" t="n"/>
      <c r="S1354" s="8" t="n"/>
      <c r="T1354" s="7" t="inlineStr">
        <is>
          <t>NAZARIA</t>
        </is>
      </c>
      <c r="U1354" s="8" t="n">
        <v>20.92</v>
      </c>
      <c r="V1354" s="14">
        <f>U1354/J1354-1</f>
        <v/>
      </c>
      <c r="W1354" s="14">
        <f>U1354/H1354-1</f>
        <v/>
      </c>
      <c r="X1354" s="16" t="inlineStr">
        <is>
          <t>ACIMA +8.1%</t>
        </is>
      </c>
      <c r="Y1354" s="7" t="inlineStr"/>
    </row>
    <row r="1355">
      <c r="A1355" s="7" t="n">
        <v>628121</v>
      </c>
      <c r="B1355" s="12" t="inlineStr">
        <is>
          <t>78930780</t>
        </is>
      </c>
      <c r="C1355" s="7" t="inlineStr">
        <is>
          <t>DES DOVE R-ON MEN S/PERF.50ML</t>
        </is>
      </c>
      <c r="D1355" s="7" t="inlineStr">
        <is>
          <t>PERF/COSME</t>
        </is>
      </c>
      <c r="E1355" s="7" t="inlineStr">
        <is>
          <t>C</t>
        </is>
      </c>
      <c r="F1355" s="13" t="n">
        <v>1</v>
      </c>
      <c r="G1355" s="13" t="n">
        <v>1</v>
      </c>
      <c r="H1355" s="8" t="n">
        <v>8.111700000000001</v>
      </c>
      <c r="I1355" s="8" t="n">
        <v>8.111700000000001</v>
      </c>
      <c r="J1355" s="8" t="n">
        <v>8.111700000000001</v>
      </c>
      <c r="K1355" s="8" t="n"/>
      <c r="L1355" s="8" t="n"/>
      <c r="M1355" s="8" t="n"/>
      <c r="N1355" s="8" t="n"/>
      <c r="O1355" s="8" t="n"/>
      <c r="P1355" s="15" t="n">
        <v>9.289999999999999</v>
      </c>
      <c r="Q1355" s="8" t="n"/>
      <c r="R1355" s="8" t="n"/>
      <c r="S1355" s="8" t="n"/>
      <c r="T1355" s="7" t="inlineStr">
        <is>
          <t>NAZARIA</t>
        </is>
      </c>
      <c r="U1355" s="8" t="n">
        <v>9.289999999999999</v>
      </c>
      <c r="V1355" s="14">
        <f>U1355/J1355-1</f>
        <v/>
      </c>
      <c r="W1355" s="14">
        <f>U1355/H1355-1</f>
        <v/>
      </c>
      <c r="X1355" s="16" t="inlineStr">
        <is>
          <t>ACIMA +14.5%</t>
        </is>
      </c>
      <c r="Y1355" s="7" t="inlineStr"/>
    </row>
    <row r="1356">
      <c r="A1356" s="7" t="n">
        <v>612351</v>
      </c>
      <c r="B1356" s="12" t="inlineStr">
        <is>
          <t>7896049528529</t>
        </is>
      </c>
      <c r="C1356" s="7" t="inlineStr">
        <is>
          <t>DES HERBISSIMO CREME LAVANDA 55G</t>
        </is>
      </c>
      <c r="D1356" s="7" t="inlineStr">
        <is>
          <t>ANTITRANSPIRANTE/DESODORANTE</t>
        </is>
      </c>
      <c r="E1356" s="7" t="inlineStr">
        <is>
          <t>B</t>
        </is>
      </c>
      <c r="F1356" s="13" t="n">
        <v>12</v>
      </c>
      <c r="G1356" s="13" t="n">
        <v>12</v>
      </c>
      <c r="H1356" s="8" t="n">
        <v>4.84</v>
      </c>
      <c r="I1356" s="8" t="n">
        <v>3.63</v>
      </c>
      <c r="J1356" s="8" t="n">
        <v>4.436666666666667</v>
      </c>
      <c r="K1356" s="8" t="n"/>
      <c r="L1356" s="8" t="n"/>
      <c r="M1356" s="8" t="n"/>
      <c r="N1356" s="8" t="n"/>
      <c r="O1356" s="8" t="n"/>
      <c r="P1356" s="8" t="n"/>
      <c r="Q1356" s="8" t="n"/>
      <c r="R1356" s="8" t="n"/>
      <c r="S1356" s="8" t="n"/>
      <c r="T1356" s="7" t="inlineStr">
        <is>
          <t>SEM COTAÇÃO</t>
        </is>
      </c>
      <c r="U1356" s="8" t="n"/>
      <c r="V1356" s="14" t="n"/>
      <c r="W1356" s="14" t="n"/>
      <c r="X1356" s="7" t="inlineStr"/>
      <c r="Y1356" s="7" t="inlineStr"/>
    </row>
    <row r="1357">
      <c r="A1357" s="7" t="n">
        <v>873</v>
      </c>
      <c r="B1357" s="12" t="inlineStr">
        <is>
          <t>7898919412303</t>
        </is>
      </c>
      <c r="C1357" s="7" t="inlineStr">
        <is>
          <t>DES HID MONANGE I P EX 400ML</t>
        </is>
      </c>
      <c r="D1357" s="7" t="inlineStr">
        <is>
          <t>PERF/COSME</t>
        </is>
      </c>
      <c r="E1357" s="7" t="inlineStr">
        <is>
          <t>C</t>
        </is>
      </c>
      <c r="F1357" s="13" t="n">
        <v>1</v>
      </c>
      <c r="G1357" s="13" t="n">
        <v>1</v>
      </c>
      <c r="H1357" s="8" t="n">
        <v>11.19</v>
      </c>
      <c r="I1357" s="8" t="n">
        <v>11.19</v>
      </c>
      <c r="J1357" s="8" t="n">
        <v>11.19</v>
      </c>
      <c r="K1357" s="8" t="n"/>
      <c r="L1357" s="8" t="n"/>
      <c r="M1357" s="8" t="n"/>
      <c r="N1357" s="8" t="n"/>
      <c r="O1357" s="8" t="n"/>
      <c r="P1357" s="8" t="n"/>
      <c r="Q1357" s="8" t="n"/>
      <c r="R1357" s="8" t="n"/>
      <c r="S1357" s="8" t="n"/>
      <c r="T1357" s="7" t="inlineStr">
        <is>
          <t>SEM COTAÇÃO</t>
        </is>
      </c>
      <c r="U1357" s="8" t="n"/>
      <c r="V1357" s="14" t="n"/>
      <c r="W1357" s="14" t="n"/>
      <c r="X1357" s="7" t="inlineStr"/>
      <c r="Y1357" s="7" t="inlineStr"/>
    </row>
    <row r="1358">
      <c r="A1358" s="7" t="n">
        <v>600931</v>
      </c>
      <c r="B1358" s="12" t="inlineStr">
        <is>
          <t>7897042015856</t>
        </is>
      </c>
      <c r="C1358" s="7" t="inlineStr">
        <is>
          <t>DES HID SKALA AMEND D 400ML</t>
        </is>
      </c>
      <c r="D1358" s="7" t="inlineStr">
        <is>
          <t>PERF/COSME</t>
        </is>
      </c>
      <c r="E1358" s="7" t="inlineStr">
        <is>
          <t>C</t>
        </is>
      </c>
      <c r="F1358" s="13" t="n">
        <v>1</v>
      </c>
      <c r="G1358" s="13" t="n">
        <v>1</v>
      </c>
      <c r="H1358" s="8" t="n">
        <v>5.63</v>
      </c>
      <c r="I1358" s="8" t="n">
        <v>5.63</v>
      </c>
      <c r="J1358" s="8" t="n">
        <v>5.63</v>
      </c>
      <c r="K1358" s="8" t="n"/>
      <c r="L1358" s="8" t="n"/>
      <c r="M1358" s="8" t="n"/>
      <c r="N1358" s="8" t="n"/>
      <c r="O1358" s="8" t="n"/>
      <c r="P1358" s="8" t="n"/>
      <c r="Q1358" s="8" t="n"/>
      <c r="R1358" s="8" t="n"/>
      <c r="S1358" s="8" t="n"/>
      <c r="T1358" s="7" t="inlineStr">
        <is>
          <t>SEM COTAÇÃO</t>
        </is>
      </c>
      <c r="U1358" s="8" t="n"/>
      <c r="V1358" s="14" t="n"/>
      <c r="W1358" s="14" t="n"/>
      <c r="X1358" s="7" t="inlineStr"/>
      <c r="Y1358" s="7" t="inlineStr"/>
    </row>
    <row r="1359">
      <c r="A1359" s="7" t="n">
        <v>610331</v>
      </c>
      <c r="B1359" s="12" t="inlineStr">
        <is>
          <t>7897042015979</t>
        </is>
      </c>
      <c r="C1359" s="7" t="inlineStr">
        <is>
          <t>DES HID SKALA L E ROSAS 400ML</t>
        </is>
      </c>
      <c r="D1359" s="7" t="inlineStr">
        <is>
          <t>COND/SHAM/CREM/SIMILARES</t>
        </is>
      </c>
      <c r="E1359" s="7" t="inlineStr">
        <is>
          <t>C</t>
        </is>
      </c>
      <c r="F1359" s="13" t="n">
        <v>2</v>
      </c>
      <c r="G1359" s="13" t="n">
        <v>2</v>
      </c>
      <c r="H1359" s="8" t="n">
        <v>5.63</v>
      </c>
      <c r="I1359" s="8" t="n">
        <v>5.63</v>
      </c>
      <c r="J1359" s="8" t="n">
        <v>5.63</v>
      </c>
      <c r="K1359" s="8" t="n"/>
      <c r="L1359" s="8" t="n"/>
      <c r="M1359" s="8" t="n"/>
      <c r="N1359" s="8" t="n"/>
      <c r="O1359" s="8" t="n"/>
      <c r="P1359" s="8" t="n"/>
      <c r="Q1359" s="8" t="n"/>
      <c r="R1359" s="8" t="n"/>
      <c r="S1359" s="8" t="n"/>
      <c r="T1359" s="7" t="inlineStr">
        <is>
          <t>SEM COTAÇÃO</t>
        </is>
      </c>
      <c r="U1359" s="8" t="n"/>
      <c r="V1359" s="14" t="n"/>
      <c r="W1359" s="14" t="n"/>
      <c r="X1359" s="7" t="inlineStr"/>
      <c r="Y1359" s="7" t="inlineStr"/>
    </row>
    <row r="1360">
      <c r="A1360" s="7" t="n">
        <v>569321</v>
      </c>
      <c r="B1360" s="12" t="inlineStr">
        <is>
          <t>7896235353300</t>
        </is>
      </c>
      <c r="C1360" s="7" t="inlineStr">
        <is>
          <t>DES LEITE COLONIA TOQ CARI 100ML</t>
        </is>
      </c>
      <c r="D1360" s="7" t="inlineStr">
        <is>
          <t>PERF/COSME</t>
        </is>
      </c>
      <c r="E1360" s="7" t="inlineStr">
        <is>
          <t>B</t>
        </is>
      </c>
      <c r="F1360" s="13" t="n">
        <v>1</v>
      </c>
      <c r="G1360" s="13" t="n">
        <v>1</v>
      </c>
      <c r="H1360" s="8" t="n">
        <v>5.19</v>
      </c>
      <c r="I1360" s="8" t="n">
        <v>5.19</v>
      </c>
      <c r="J1360" s="8" t="n">
        <v>5.19</v>
      </c>
      <c r="K1360" s="8" t="n"/>
      <c r="L1360" s="8" t="n"/>
      <c r="M1360" s="8" t="n"/>
      <c r="N1360" s="8" t="n"/>
      <c r="O1360" s="8" t="n"/>
      <c r="P1360" s="8" t="n"/>
      <c r="Q1360" s="8" t="n"/>
      <c r="R1360" s="8" t="n"/>
      <c r="S1360" s="8" t="n"/>
      <c r="T1360" s="7" t="inlineStr">
        <is>
          <t>SEM COTAÇÃO</t>
        </is>
      </c>
      <c r="U1360" s="8" t="n"/>
      <c r="V1360" s="14" t="n"/>
      <c r="W1360" s="14" t="n"/>
      <c r="X1360" s="7" t="inlineStr"/>
      <c r="Y1360" s="7" t="inlineStr"/>
    </row>
    <row r="1361">
      <c r="A1361" s="7" t="n">
        <v>591801</v>
      </c>
      <c r="B1361" s="12" t="inlineStr">
        <is>
          <t>78923409</t>
        </is>
      </c>
      <c r="C1361" s="7" t="inlineStr">
        <is>
          <t>DES R-ON REXONA MEN ACT 50ML</t>
        </is>
      </c>
      <c r="D1361" s="7" t="inlineStr">
        <is>
          <t>ANTITRANSPIRANTE/DESODORANTE</t>
        </is>
      </c>
      <c r="E1361" s="7" t="inlineStr">
        <is>
          <t>B</t>
        </is>
      </c>
      <c r="F1361" s="13" t="n">
        <v>1</v>
      </c>
      <c r="G1361" s="13" t="n">
        <v>1</v>
      </c>
      <c r="H1361" s="8" t="n">
        <v>7.65</v>
      </c>
      <c r="I1361" s="8" t="n">
        <v>7.5</v>
      </c>
      <c r="J1361" s="8" t="n">
        <v>7.55</v>
      </c>
      <c r="K1361" s="8" t="n"/>
      <c r="L1361" s="8" t="n"/>
      <c r="M1361" s="8" t="n"/>
      <c r="N1361" s="8" t="n"/>
      <c r="O1361" s="8" t="n"/>
      <c r="P1361" s="15" t="n">
        <v>8.27</v>
      </c>
      <c r="Q1361" s="8" t="n"/>
      <c r="R1361" s="8" t="n"/>
      <c r="S1361" s="8" t="n"/>
      <c r="T1361" s="7" t="inlineStr">
        <is>
          <t>NAZARIA</t>
        </is>
      </c>
      <c r="U1361" s="8" t="n">
        <v>8.27</v>
      </c>
      <c r="V1361" s="14">
        <f>U1361/J1361-1</f>
        <v/>
      </c>
      <c r="W1361" s="14">
        <f>U1361/H1361-1</f>
        <v/>
      </c>
      <c r="X1361" s="16" t="inlineStr">
        <is>
          <t>ACIMA +8.1%</t>
        </is>
      </c>
      <c r="Y1361" s="7" t="inlineStr"/>
    </row>
    <row r="1362">
      <c r="A1362" s="7" t="n">
        <v>566461</v>
      </c>
      <c r="B1362" s="12" t="inlineStr">
        <is>
          <t>78925472</t>
        </is>
      </c>
      <c r="C1362" s="7" t="inlineStr">
        <is>
          <t>DES R-ON REXONA MEN INVIS.50ML</t>
        </is>
      </c>
      <c r="D1362" s="7" t="inlineStr">
        <is>
          <t>ANTITRANSPIRANTE/DESODORANTE</t>
        </is>
      </c>
      <c r="E1362" s="7" t="inlineStr">
        <is>
          <t>C</t>
        </is>
      </c>
      <c r="F1362" s="13" t="n">
        <v>2</v>
      </c>
      <c r="G1362" s="13" t="n">
        <v>2</v>
      </c>
      <c r="H1362" s="8" t="n">
        <v>5.48</v>
      </c>
      <c r="I1362" s="8" t="n">
        <v>5.48</v>
      </c>
      <c r="J1362" s="8" t="n">
        <v>5.48</v>
      </c>
      <c r="K1362" s="8" t="n"/>
      <c r="L1362" s="8" t="n"/>
      <c r="M1362" s="8" t="n"/>
      <c r="N1362" s="8" t="n"/>
      <c r="O1362" s="8" t="n"/>
      <c r="P1362" s="8" t="n">
        <v>8.27</v>
      </c>
      <c r="Q1362" s="8" t="n"/>
      <c r="R1362" s="8" t="n"/>
      <c r="S1362" s="8" t="n"/>
      <c r="T1362" s="7" t="inlineStr">
        <is>
          <t>SEM COTAÇÃO</t>
        </is>
      </c>
      <c r="U1362" s="8" t="n"/>
      <c r="V1362" s="14" t="n"/>
      <c r="W1362" s="14" t="n"/>
      <c r="X1362" s="7" t="inlineStr"/>
      <c r="Y1362" s="7" t="inlineStr">
        <is>
          <t>NAZARIA: sem estoque</t>
        </is>
      </c>
    </row>
    <row r="1363">
      <c r="A1363" s="7" t="n">
        <v>566481</v>
      </c>
      <c r="B1363" s="12" t="inlineStr">
        <is>
          <t>78924345</t>
        </is>
      </c>
      <c r="C1363" s="7" t="inlineStr">
        <is>
          <t>DES R-ON REXONA W.BAMBOO 50ML</t>
        </is>
      </c>
      <c r="D1363" s="7" t="inlineStr">
        <is>
          <t>ANTITRANSPIRANTE/DESODORANTE</t>
        </is>
      </c>
      <c r="E1363" s="7" t="inlineStr">
        <is>
          <t>B</t>
        </is>
      </c>
      <c r="F1363" s="13" t="n">
        <v>11</v>
      </c>
      <c r="G1363" s="13" t="n">
        <v>11</v>
      </c>
      <c r="H1363" s="8" t="n">
        <v>7.78</v>
      </c>
      <c r="I1363" s="8" t="n">
        <v>7.78</v>
      </c>
      <c r="J1363" s="8" t="n">
        <v>7.78</v>
      </c>
      <c r="K1363" s="8" t="n"/>
      <c r="L1363" s="8" t="n"/>
      <c r="M1363" s="8" t="n"/>
      <c r="N1363" s="8" t="n"/>
      <c r="O1363" s="8" t="n"/>
      <c r="P1363" s="15" t="n">
        <v>8.27</v>
      </c>
      <c r="Q1363" s="8" t="n"/>
      <c r="R1363" s="8" t="n"/>
      <c r="S1363" s="8" t="n"/>
      <c r="T1363" s="7" t="inlineStr">
        <is>
          <t>NAZARIA</t>
        </is>
      </c>
      <c r="U1363" s="8" t="n">
        <v>8.27</v>
      </c>
      <c r="V1363" s="14">
        <f>U1363/J1363-1</f>
        <v/>
      </c>
      <c r="W1363" s="14">
        <f>U1363/H1363-1</f>
        <v/>
      </c>
      <c r="X1363" s="16" t="inlineStr">
        <is>
          <t>ACIMA +6.3%</t>
        </is>
      </c>
      <c r="Y1363" s="7" t="inlineStr"/>
    </row>
    <row r="1364">
      <c r="A1364" s="7" t="n">
        <v>591811</v>
      </c>
      <c r="B1364" s="12" t="inlineStr">
        <is>
          <t>78924352</t>
        </is>
      </c>
      <c r="C1364" s="7" t="inlineStr">
        <is>
          <t>DES R-ON REXONA W.COTTON 50ML</t>
        </is>
      </c>
      <c r="D1364" s="7" t="inlineStr">
        <is>
          <t>ANTITRANSPIRANTE/DESODORANTE</t>
        </is>
      </c>
      <c r="E1364" s="7" t="inlineStr">
        <is>
          <t>B</t>
        </is>
      </c>
      <c r="F1364" s="13" t="n">
        <v>1</v>
      </c>
      <c r="G1364" s="13" t="n">
        <v>1</v>
      </c>
      <c r="H1364" s="8" t="n">
        <v>7.9967</v>
      </c>
      <c r="I1364" s="8" t="n">
        <v>7.9967</v>
      </c>
      <c r="J1364" s="8" t="n">
        <v>7.9967</v>
      </c>
      <c r="K1364" s="8" t="n"/>
      <c r="L1364" s="8" t="n"/>
      <c r="M1364" s="8" t="n"/>
      <c r="N1364" s="8" t="n"/>
      <c r="O1364" s="8" t="n"/>
      <c r="P1364" s="15" t="n">
        <v>8.27</v>
      </c>
      <c r="Q1364" s="8" t="n"/>
      <c r="R1364" s="8" t="n"/>
      <c r="S1364" s="8" t="n"/>
      <c r="T1364" s="7" t="inlineStr">
        <is>
          <t>NAZARIA</t>
        </is>
      </c>
      <c r="U1364" s="8" t="n">
        <v>8.27</v>
      </c>
      <c r="V1364" s="14">
        <f>U1364/J1364-1</f>
        <v/>
      </c>
      <c r="W1364" s="14">
        <f>U1364/H1364-1</f>
        <v/>
      </c>
      <c r="X1364" s="16" t="inlineStr">
        <is>
          <t>ACIMA +3.4%</t>
        </is>
      </c>
      <c r="Y1364" s="7" t="inlineStr"/>
    </row>
    <row r="1365">
      <c r="A1365" s="7" t="n">
        <v>570341</v>
      </c>
      <c r="B1365" s="12" t="inlineStr">
        <is>
          <t>7891150068735</t>
        </is>
      </c>
      <c r="C1365" s="7" t="inlineStr">
        <is>
          <t>DES REXONA AER MEN CL SP 150ML</t>
        </is>
      </c>
      <c r="D1365" s="7" t="inlineStr">
        <is>
          <t>PERF/COSME</t>
        </is>
      </c>
      <c r="E1365" s="7" t="inlineStr">
        <is>
          <t>C</t>
        </is>
      </c>
      <c r="F1365" s="13" t="n">
        <v>1</v>
      </c>
      <c r="G1365" s="13" t="n">
        <v>1</v>
      </c>
      <c r="H1365" s="8" t="n">
        <v>12.64</v>
      </c>
      <c r="I1365" s="8" t="n">
        <v>12.64</v>
      </c>
      <c r="J1365" s="8" t="n">
        <v>12.64</v>
      </c>
      <c r="K1365" s="8" t="n"/>
      <c r="L1365" s="8" t="n"/>
      <c r="M1365" s="8" t="n"/>
      <c r="N1365" s="8" t="n"/>
      <c r="O1365" s="8" t="n"/>
      <c r="P1365" s="15" t="n">
        <v>15.18</v>
      </c>
      <c r="Q1365" s="8" t="n"/>
      <c r="R1365" s="8" t="n"/>
      <c r="S1365" s="8" t="n"/>
      <c r="T1365" s="7" t="inlineStr">
        <is>
          <t>NAZARIA</t>
        </is>
      </c>
      <c r="U1365" s="8" t="n">
        <v>15.18</v>
      </c>
      <c r="V1365" s="14">
        <f>U1365/J1365-1</f>
        <v/>
      </c>
      <c r="W1365" s="14">
        <f>U1365/H1365-1</f>
        <v/>
      </c>
      <c r="X1365" s="16" t="inlineStr">
        <is>
          <t>ACIMA +20.1%</t>
        </is>
      </c>
      <c r="Y1365" s="7" t="inlineStr"/>
    </row>
    <row r="1366">
      <c r="A1366" s="7" t="n">
        <v>570381</v>
      </c>
      <c r="B1366" s="12" t="inlineStr">
        <is>
          <t>7891150064300</t>
        </is>
      </c>
      <c r="C1366" s="7" t="inlineStr">
        <is>
          <t>DES REXONA AER W CL.EXT.D.150</t>
        </is>
      </c>
      <c r="D1366" s="7" t="inlineStr">
        <is>
          <t>PERF/COSME</t>
        </is>
      </c>
      <c r="E1366" s="7" t="inlineStr">
        <is>
          <t>C</t>
        </is>
      </c>
      <c r="F1366" s="13" t="n">
        <v>1</v>
      </c>
      <c r="G1366" s="13" t="n">
        <v>1</v>
      </c>
      <c r="H1366" s="8" t="n">
        <v>14.73</v>
      </c>
      <c r="I1366" s="8" t="n">
        <v>14.73</v>
      </c>
      <c r="J1366" s="8" t="n">
        <v>14.73</v>
      </c>
      <c r="K1366" s="8" t="n"/>
      <c r="L1366" s="8" t="n"/>
      <c r="M1366" s="8" t="n"/>
      <c r="N1366" s="8" t="n"/>
      <c r="O1366" s="8" t="n"/>
      <c r="P1366" s="15" t="n">
        <v>15.18</v>
      </c>
      <c r="Q1366" s="8" t="n"/>
      <c r="R1366" s="8" t="n"/>
      <c r="S1366" s="8" t="n"/>
      <c r="T1366" s="7" t="inlineStr">
        <is>
          <t>NAZARIA</t>
        </is>
      </c>
      <c r="U1366" s="8" t="n">
        <v>15.18</v>
      </c>
      <c r="V1366" s="14">
        <f>U1366/J1366-1</f>
        <v/>
      </c>
      <c r="W1366" s="14">
        <f>U1366/H1366-1</f>
        <v/>
      </c>
      <c r="X1366" s="16" t="inlineStr">
        <is>
          <t>ACIMA +3.1%</t>
        </is>
      </c>
      <c r="Y1366" s="7" t="inlineStr"/>
    </row>
    <row r="1367">
      <c r="A1367" s="7" t="n">
        <v>613971</v>
      </c>
      <c r="B1367" s="12" t="inlineStr">
        <is>
          <t>27791293035806</t>
        </is>
      </c>
      <c r="C1367" s="7" t="inlineStr">
        <is>
          <t>DES REXONA AERO POWDER FEM.</t>
        </is>
      </c>
      <c r="D1367" s="7" t="inlineStr">
        <is>
          <t>ANTITRANSPIRANTE/DESODORANTE</t>
        </is>
      </c>
      <c r="E1367" s="7" t="inlineStr">
        <is>
          <t>A</t>
        </is>
      </c>
      <c r="F1367" s="13" t="n">
        <v>2</v>
      </c>
      <c r="G1367" s="13" t="n">
        <v>2</v>
      </c>
      <c r="H1367" s="8" t="n">
        <v>14.29</v>
      </c>
      <c r="I1367" s="8" t="n">
        <v>14.29</v>
      </c>
      <c r="J1367" s="8" t="n">
        <v>14.29</v>
      </c>
      <c r="K1367" s="8" t="n"/>
      <c r="L1367" s="8" t="n"/>
      <c r="M1367" s="8" t="n"/>
      <c r="N1367" s="8" t="n"/>
      <c r="O1367" s="8" t="n"/>
      <c r="P1367" s="8" t="n"/>
      <c r="Q1367" s="8" t="n"/>
      <c r="R1367" s="8" t="n"/>
      <c r="S1367" s="8" t="n"/>
      <c r="T1367" s="7" t="inlineStr">
        <is>
          <t>SEM COTAÇÃO</t>
        </is>
      </c>
      <c r="U1367" s="8" t="n"/>
      <c r="V1367" s="14" t="n"/>
      <c r="W1367" s="14" t="n"/>
      <c r="X1367" s="7" t="inlineStr"/>
      <c r="Y1367" s="7" t="inlineStr"/>
    </row>
    <row r="1368">
      <c r="A1368" s="7" t="n">
        <v>628161</v>
      </c>
      <c r="B1368" s="12" t="inlineStr">
        <is>
          <t>78938625</t>
        </is>
      </c>
      <c r="C1368" s="7" t="inlineStr">
        <is>
          <t>DES REXONA R-ON MEN S/PE 50ML</t>
        </is>
      </c>
      <c r="D1368" s="7" t="inlineStr">
        <is>
          <t>PERF/COSME</t>
        </is>
      </c>
      <c r="E1368" s="7" t="inlineStr">
        <is>
          <t>C</t>
        </is>
      </c>
      <c r="F1368" s="13" t="n">
        <v>2</v>
      </c>
      <c r="G1368" s="13" t="n">
        <v>2</v>
      </c>
      <c r="H1368" s="8" t="n">
        <v>7.84</v>
      </c>
      <c r="I1368" s="8" t="n">
        <v>7.84</v>
      </c>
      <c r="J1368" s="8" t="n">
        <v>7.84</v>
      </c>
      <c r="K1368" s="8" t="n"/>
      <c r="L1368" s="8" t="n"/>
      <c r="M1368" s="8" t="n"/>
      <c r="N1368" s="8" t="n"/>
      <c r="O1368" s="8" t="n"/>
      <c r="P1368" s="15" t="n">
        <v>8.27</v>
      </c>
      <c r="Q1368" s="8" t="n"/>
      <c r="R1368" s="8" t="n"/>
      <c r="S1368" s="8" t="n"/>
      <c r="T1368" s="7" t="inlineStr">
        <is>
          <t>NAZARIA</t>
        </is>
      </c>
      <c r="U1368" s="8" t="n">
        <v>8.27</v>
      </c>
      <c r="V1368" s="14">
        <f>U1368/J1368-1</f>
        <v/>
      </c>
      <c r="W1368" s="14">
        <f>U1368/H1368-1</f>
        <v/>
      </c>
      <c r="X1368" s="16" t="inlineStr">
        <is>
          <t>ACIMA +5.5%</t>
        </is>
      </c>
      <c r="Y1368" s="7" t="inlineStr"/>
    </row>
    <row r="1369">
      <c r="A1369" s="7" t="n">
        <v>615851</v>
      </c>
      <c r="B1369" s="12" t="inlineStr">
        <is>
          <t>75058845</t>
        </is>
      </c>
      <c r="C1369" s="7" t="inlineStr">
        <is>
          <t>DES REXONA R-ON W ANT INV 50ML</t>
        </is>
      </c>
      <c r="D1369" s="7" t="inlineStr">
        <is>
          <t>PERF/COSME</t>
        </is>
      </c>
      <c r="E1369" s="7" t="inlineStr">
        <is>
          <t>C</t>
        </is>
      </c>
      <c r="F1369" s="13" t="n">
        <v>2</v>
      </c>
      <c r="G1369" s="13" t="n">
        <v>2</v>
      </c>
      <c r="H1369" s="8" t="n">
        <v>5.48</v>
      </c>
      <c r="I1369" s="8" t="n">
        <v>5.48</v>
      </c>
      <c r="J1369" s="8" t="n">
        <v>5.48</v>
      </c>
      <c r="K1369" s="8" t="n"/>
      <c r="L1369" s="8" t="n"/>
      <c r="M1369" s="8" t="n"/>
      <c r="N1369" s="8" t="n"/>
      <c r="O1369" s="8" t="n"/>
      <c r="P1369" s="15" t="n">
        <v>8.27</v>
      </c>
      <c r="Q1369" s="8" t="n"/>
      <c r="R1369" s="8" t="n"/>
      <c r="S1369" s="8" t="n"/>
      <c r="T1369" s="7" t="inlineStr">
        <is>
          <t>NAZARIA</t>
        </is>
      </c>
      <c r="U1369" s="8" t="n">
        <v>8.27</v>
      </c>
      <c r="V1369" s="14">
        <f>U1369/J1369-1</f>
        <v/>
      </c>
      <c r="W1369" s="14">
        <f>U1369/H1369-1</f>
        <v/>
      </c>
      <c r="X1369" s="16" t="inlineStr">
        <is>
          <t>ACIMA +50.9%</t>
        </is>
      </c>
      <c r="Y1369" s="7" t="inlineStr"/>
    </row>
    <row r="1370">
      <c r="A1370" s="7" t="n">
        <v>610351</v>
      </c>
      <c r="B1370" s="12" t="inlineStr">
        <is>
          <t>7897042008773</t>
        </is>
      </c>
      <c r="C1370" s="7" t="inlineStr">
        <is>
          <t>DES SKALA R-ON F M EXTREME 60ML</t>
        </is>
      </c>
      <c r="D1370" s="7" t="inlineStr">
        <is>
          <t>COND/SHAM/CREM/SIMILARES</t>
        </is>
      </c>
      <c r="E1370" s="7" t="inlineStr">
        <is>
          <t>C</t>
        </is>
      </c>
      <c r="F1370" s="13" t="n">
        <v>5</v>
      </c>
      <c r="G1370" s="13" t="n">
        <v>5</v>
      </c>
      <c r="H1370" s="8" t="n">
        <v>5.39</v>
      </c>
      <c r="I1370" s="8" t="n">
        <v>5.39</v>
      </c>
      <c r="J1370" s="8" t="n">
        <v>5.39</v>
      </c>
      <c r="K1370" s="8" t="n"/>
      <c r="L1370" s="8" t="n"/>
      <c r="M1370" s="8" t="n"/>
      <c r="N1370" s="8" t="n"/>
      <c r="O1370" s="8" t="n"/>
      <c r="P1370" s="8" t="n"/>
      <c r="Q1370" s="8" t="n"/>
      <c r="R1370" s="8" t="n"/>
      <c r="S1370" s="8" t="n"/>
      <c r="T1370" s="7" t="inlineStr">
        <is>
          <t>SEM COTAÇÃO</t>
        </is>
      </c>
      <c r="U1370" s="8" t="n"/>
      <c r="V1370" s="14" t="n"/>
      <c r="W1370" s="14" t="n"/>
      <c r="X1370" s="7" t="inlineStr"/>
      <c r="Y1370" s="7" t="inlineStr"/>
    </row>
    <row r="1371">
      <c r="A1371" s="7" t="n">
        <v>571081</v>
      </c>
      <c r="B1371" s="12" t="inlineStr">
        <is>
          <t>7896049508514</t>
        </is>
      </c>
      <c r="C1371" s="7" t="inlineStr">
        <is>
          <t>DES TABU CREME 55G</t>
        </is>
      </c>
      <c r="D1371" s="7" t="inlineStr">
        <is>
          <t>ANTITRANSPIRANTE/DESODORANTE</t>
        </is>
      </c>
      <c r="E1371" s="7" t="inlineStr">
        <is>
          <t>B</t>
        </is>
      </c>
      <c r="F1371" s="13" t="n">
        <v>5</v>
      </c>
      <c r="G1371" s="13" t="n">
        <v>5</v>
      </c>
      <c r="H1371" s="8" t="n">
        <v>4.09</v>
      </c>
      <c r="I1371" s="8" t="n">
        <v>4.09</v>
      </c>
      <c r="J1371" s="8" t="n">
        <v>4.09</v>
      </c>
      <c r="K1371" s="8" t="n"/>
      <c r="L1371" s="8" t="n"/>
      <c r="M1371" s="8" t="n"/>
      <c r="N1371" s="8" t="n"/>
      <c r="O1371" s="8" t="n"/>
      <c r="P1371" s="8" t="n"/>
      <c r="Q1371" s="8" t="n"/>
      <c r="R1371" s="8" t="n"/>
      <c r="S1371" s="8" t="n"/>
      <c r="T1371" s="7" t="inlineStr">
        <is>
          <t>SEM COTAÇÃO</t>
        </is>
      </c>
      <c r="U1371" s="8" t="n"/>
      <c r="V1371" s="14" t="n"/>
      <c r="W1371" s="14" t="n"/>
      <c r="X1371" s="7" t="inlineStr"/>
      <c r="Y1371" s="7" t="inlineStr"/>
    </row>
    <row r="1372">
      <c r="A1372" s="7" t="n">
        <v>619871</v>
      </c>
      <c r="B1372" s="12" t="inlineStr">
        <is>
          <t>7896049508521</t>
        </is>
      </c>
      <c r="C1372" s="7" t="inlineStr">
        <is>
          <t>DES TABU CREME FLORES</t>
        </is>
      </c>
      <c r="D1372" s="7" t="inlineStr">
        <is>
          <t>ANTITRANSPIRANTE/DESODORANTE</t>
        </is>
      </c>
      <c r="E1372" s="7" t="inlineStr">
        <is>
          <t>C</t>
        </is>
      </c>
      <c r="F1372" s="13" t="n">
        <v>2</v>
      </c>
      <c r="G1372" s="13" t="n">
        <v>2</v>
      </c>
      <c r="H1372" s="8" t="n">
        <v>4.75</v>
      </c>
      <c r="I1372" s="8" t="n">
        <v>4.75</v>
      </c>
      <c r="J1372" s="8" t="n">
        <v>4.75</v>
      </c>
      <c r="K1372" s="8" t="n"/>
      <c r="L1372" s="8" t="n"/>
      <c r="M1372" s="8" t="n"/>
      <c r="N1372" s="8" t="n"/>
      <c r="O1372" s="8" t="n"/>
      <c r="P1372" s="8" t="n"/>
      <c r="Q1372" s="8" t="n"/>
      <c r="R1372" s="8" t="n"/>
      <c r="S1372" s="8" t="n"/>
      <c r="T1372" s="7" t="inlineStr">
        <is>
          <t>SEM COTAÇÃO</t>
        </is>
      </c>
      <c r="U1372" s="8" t="n"/>
      <c r="V1372" s="14" t="n"/>
      <c r="W1372" s="14" t="n"/>
      <c r="X1372" s="7" t="inlineStr"/>
      <c r="Y1372" s="7" t="inlineStr"/>
    </row>
    <row r="1373">
      <c r="A1373" s="7" t="n">
        <v>576661</v>
      </c>
      <c r="B1373" s="12" t="inlineStr">
        <is>
          <t>7891150073098</t>
        </is>
      </c>
      <c r="C1373" s="7" t="inlineStr">
        <is>
          <t>DES. DOVE AER.W.CL.OR.150ML</t>
        </is>
      </c>
      <c r="D1373" s="7" t="inlineStr">
        <is>
          <t>PERF/COSME</t>
        </is>
      </c>
      <c r="E1373" s="7" t="inlineStr">
        <is>
          <t>C</t>
        </is>
      </c>
      <c r="F1373" s="13" t="n">
        <v>2</v>
      </c>
      <c r="G1373" s="13" t="n">
        <v>2</v>
      </c>
      <c r="H1373" s="8" t="n">
        <v>14.26</v>
      </c>
      <c r="I1373" s="8" t="n">
        <v>14.26</v>
      </c>
      <c r="J1373" s="8" t="n">
        <v>14.26</v>
      </c>
      <c r="K1373" s="8" t="n"/>
      <c r="L1373" s="8" t="n"/>
      <c r="M1373" s="8" t="n"/>
      <c r="N1373" s="8" t="n"/>
      <c r="O1373" s="8" t="n"/>
      <c r="P1373" s="15" t="n">
        <v>15.78</v>
      </c>
      <c r="Q1373" s="8" t="n"/>
      <c r="R1373" s="8" t="n"/>
      <c r="S1373" s="8" t="n"/>
      <c r="T1373" s="7" t="inlineStr">
        <is>
          <t>NAZARIA</t>
        </is>
      </c>
      <c r="U1373" s="8" t="n">
        <v>15.78</v>
      </c>
      <c r="V1373" s="14">
        <f>U1373/J1373-1</f>
        <v/>
      </c>
      <c r="W1373" s="14">
        <f>U1373/H1373-1</f>
        <v/>
      </c>
      <c r="X1373" s="16" t="inlineStr">
        <is>
          <t>ACIMA +10.7%</t>
        </is>
      </c>
      <c r="Y1373" s="7" t="inlineStr"/>
    </row>
    <row r="1374">
      <c r="A1374" s="7" t="n">
        <v>614191</v>
      </c>
      <c r="B1374" s="12" t="inlineStr">
        <is>
          <t>7896044936923</t>
        </is>
      </c>
      <c r="C1374" s="7" t="inlineStr">
        <is>
          <t>DES. GIOVANNA BABY CLASSIC 150ML</t>
        </is>
      </c>
      <c r="D1374" s="7" t="inlineStr">
        <is>
          <t>PERF/COSME</t>
        </is>
      </c>
      <c r="E1374" s="7" t="inlineStr">
        <is>
          <t>C</t>
        </is>
      </c>
      <c r="F1374" s="13" t="n">
        <v>1</v>
      </c>
      <c r="G1374" s="13" t="n">
        <v>1</v>
      </c>
      <c r="H1374" s="8" t="n">
        <v>5.2</v>
      </c>
      <c r="I1374" s="8" t="n">
        <v>5.2</v>
      </c>
      <c r="J1374" s="8" t="n">
        <v>5.2</v>
      </c>
      <c r="K1374" s="8" t="n"/>
      <c r="L1374" s="8" t="n"/>
      <c r="M1374" s="8" t="n"/>
      <c r="N1374" s="8" t="n"/>
      <c r="O1374" s="8" t="n"/>
      <c r="P1374" s="8" t="n"/>
      <c r="Q1374" s="8" t="n"/>
      <c r="R1374" s="8" t="n"/>
      <c r="S1374" s="8" t="n"/>
      <c r="T1374" s="7" t="inlineStr">
        <is>
          <t>SEM COTAÇÃO</t>
        </is>
      </c>
      <c r="U1374" s="8" t="n"/>
      <c r="V1374" s="14" t="n"/>
      <c r="W1374" s="14" t="n"/>
      <c r="X1374" s="7" t="inlineStr"/>
      <c r="Y1374" s="7" t="inlineStr"/>
    </row>
    <row r="1375">
      <c r="A1375" s="7" t="n">
        <v>582781</v>
      </c>
      <c r="B1375" s="12" t="inlineStr">
        <is>
          <t>7896235354192</t>
        </is>
      </c>
      <c r="C1375" s="7" t="inlineStr">
        <is>
          <t>DES. HID. MONANGE P.NORMAL 200M</t>
        </is>
      </c>
      <c r="D1375" s="7" t="inlineStr">
        <is>
          <t>PERF/COSME</t>
        </is>
      </c>
      <c r="E1375" s="7" t="inlineStr">
        <is>
          <t>C</t>
        </is>
      </c>
      <c r="F1375" s="13" t="n">
        <v>5</v>
      </c>
      <c r="G1375" s="13" t="n">
        <v>5</v>
      </c>
      <c r="H1375" s="8" t="n">
        <v>8.65</v>
      </c>
      <c r="I1375" s="8" t="n">
        <v>8.65</v>
      </c>
      <c r="J1375" s="8" t="n">
        <v>8.65</v>
      </c>
      <c r="K1375" s="8" t="n"/>
      <c r="L1375" s="8" t="n"/>
      <c r="M1375" s="8" t="n"/>
      <c r="N1375" s="8" t="n"/>
      <c r="O1375" s="8" t="n"/>
      <c r="P1375" s="8" t="n"/>
      <c r="Q1375" s="8" t="n"/>
      <c r="R1375" s="8" t="n"/>
      <c r="S1375" s="8" t="n"/>
      <c r="T1375" s="7" t="inlineStr">
        <is>
          <t>SEM COTAÇÃO</t>
        </is>
      </c>
      <c r="U1375" s="8" t="n"/>
      <c r="V1375" s="14" t="n"/>
      <c r="W1375" s="14" t="n"/>
      <c r="X1375" s="7" t="inlineStr"/>
      <c r="Y1375" s="7" t="inlineStr"/>
    </row>
    <row r="1376">
      <c r="A1376" s="7" t="n">
        <v>589681</v>
      </c>
      <c r="B1376" s="12" t="inlineStr">
        <is>
          <t>7898919411931</t>
        </is>
      </c>
      <c r="C1376" s="7" t="inlineStr">
        <is>
          <t>DES. OLEO PAIXAO AM. TEN. 100ML</t>
        </is>
      </c>
      <c r="D1376" s="7" t="inlineStr">
        <is>
          <t>PERF/COSME</t>
        </is>
      </c>
      <c r="E1376" s="7" t="inlineStr">
        <is>
          <t>B</t>
        </is>
      </c>
      <c r="F1376" s="13" t="n">
        <v>7</v>
      </c>
      <c r="G1376" s="13" t="n">
        <v>7</v>
      </c>
      <c r="H1376" s="8" t="n">
        <v>10.95</v>
      </c>
      <c r="I1376" s="8" t="n">
        <v>9.619999999999999</v>
      </c>
      <c r="J1376" s="8" t="n">
        <v>10.50666666666667</v>
      </c>
      <c r="K1376" s="8" t="n"/>
      <c r="L1376" s="8" t="n"/>
      <c r="M1376" s="8" t="n"/>
      <c r="N1376" s="8" t="n"/>
      <c r="O1376" s="8" t="n"/>
      <c r="P1376" s="8" t="n"/>
      <c r="Q1376" s="8" t="n"/>
      <c r="R1376" s="8" t="n"/>
      <c r="S1376" s="8" t="n"/>
      <c r="T1376" s="7" t="inlineStr">
        <is>
          <t>SEM COTAÇÃO</t>
        </is>
      </c>
      <c r="U1376" s="8" t="n"/>
      <c r="V1376" s="14" t="n"/>
      <c r="W1376" s="14" t="n"/>
      <c r="X1376" s="7" t="inlineStr"/>
      <c r="Y1376" s="7" t="inlineStr"/>
    </row>
    <row r="1377">
      <c r="A1377" s="7" t="n">
        <v>589671</v>
      </c>
      <c r="B1377" s="12" t="inlineStr">
        <is>
          <t>7898919411917</t>
        </is>
      </c>
      <c r="C1377" s="7" t="inlineStr">
        <is>
          <t>DES. OLEO PAIXAO AM.AV.100ML</t>
        </is>
      </c>
      <c r="D1377" s="7" t="inlineStr">
        <is>
          <t>PERF/COSME</t>
        </is>
      </c>
      <c r="E1377" s="7" t="inlineStr">
        <is>
          <t>A</t>
        </is>
      </c>
      <c r="F1377" s="13" t="n">
        <v>7</v>
      </c>
      <c r="G1377" s="13" t="n">
        <v>7</v>
      </c>
      <c r="H1377" s="8" t="n">
        <v>10.95</v>
      </c>
      <c r="I1377" s="8" t="n">
        <v>9.619999999999999</v>
      </c>
      <c r="J1377" s="8" t="n">
        <v>10.50666666666667</v>
      </c>
      <c r="K1377" s="8" t="n"/>
      <c r="L1377" s="8" t="n"/>
      <c r="M1377" s="8" t="n"/>
      <c r="N1377" s="8" t="n"/>
      <c r="O1377" s="8" t="n"/>
      <c r="P1377" s="8" t="n"/>
      <c r="Q1377" s="8" t="n"/>
      <c r="R1377" s="8" t="n"/>
      <c r="S1377" s="8" t="n"/>
      <c r="T1377" s="7" t="inlineStr">
        <is>
          <t>SEM COTAÇÃO</t>
        </is>
      </c>
      <c r="U1377" s="8" t="n"/>
      <c r="V1377" s="14" t="n"/>
      <c r="W1377" s="14" t="n"/>
      <c r="X1377" s="7" t="inlineStr"/>
      <c r="Y1377" s="7" t="inlineStr"/>
    </row>
    <row r="1378">
      <c r="A1378" s="7" t="n">
        <v>604301</v>
      </c>
      <c r="B1378" s="12" t="inlineStr">
        <is>
          <t>7891150080966</t>
        </is>
      </c>
      <c r="C1378" s="7" t="inlineStr">
        <is>
          <t>DES.AXE AER.MARINE 152ML</t>
        </is>
      </c>
      <c r="D1378" s="7" t="inlineStr">
        <is>
          <t>PERF/COSME</t>
        </is>
      </c>
      <c r="E1378" s="7" t="inlineStr">
        <is>
          <t>B</t>
        </is>
      </c>
      <c r="F1378" s="13" t="n">
        <v>3</v>
      </c>
      <c r="G1378" s="13" t="n">
        <v>3</v>
      </c>
      <c r="H1378" s="8" t="n">
        <v>10.545</v>
      </c>
      <c r="I1378" s="8" t="n">
        <v>9.896000000000001</v>
      </c>
      <c r="J1378" s="8" t="n">
        <v>10.32866666666667</v>
      </c>
      <c r="K1378" s="8" t="n"/>
      <c r="L1378" s="8" t="n"/>
      <c r="M1378" s="8" t="n"/>
      <c r="N1378" s="8" t="n"/>
      <c r="O1378" s="8" t="n"/>
      <c r="P1378" s="15" t="n">
        <v>10.89</v>
      </c>
      <c r="Q1378" s="8" t="n"/>
      <c r="R1378" s="8" t="n"/>
      <c r="S1378" s="8" t="n"/>
      <c r="T1378" s="7" t="inlineStr">
        <is>
          <t>NAZARIA</t>
        </is>
      </c>
      <c r="U1378" s="8" t="n">
        <v>10.89</v>
      </c>
      <c r="V1378" s="14">
        <f>U1378/J1378-1</f>
        <v/>
      </c>
      <c r="W1378" s="14">
        <f>U1378/H1378-1</f>
        <v/>
      </c>
      <c r="X1378" s="16" t="inlineStr">
        <is>
          <t>ACIMA +3.3%</t>
        </is>
      </c>
      <c r="Y1378" s="7" t="inlineStr"/>
    </row>
    <row r="1379">
      <c r="A1379" s="7" t="n">
        <v>604311</v>
      </c>
      <c r="B1379" s="12" t="inlineStr">
        <is>
          <t>7891150080973</t>
        </is>
      </c>
      <c r="C1379" s="7" t="inlineStr">
        <is>
          <t>DES.AXE AER.MUSK 152ML</t>
        </is>
      </c>
      <c r="D1379" s="7" t="inlineStr">
        <is>
          <t>PERF/COSME</t>
        </is>
      </c>
      <c r="E1379" s="7" t="inlineStr">
        <is>
          <t>C</t>
        </is>
      </c>
      <c r="F1379" s="13" t="n">
        <v>1</v>
      </c>
      <c r="G1379" s="13" t="n">
        <v>1</v>
      </c>
      <c r="H1379" s="8" t="n">
        <v>9.449999999999999</v>
      </c>
      <c r="I1379" s="8" t="n">
        <v>9.449999999999999</v>
      </c>
      <c r="J1379" s="8" t="n">
        <v>9.449999999999999</v>
      </c>
      <c r="K1379" s="8" t="n"/>
      <c r="L1379" s="8" t="n"/>
      <c r="M1379" s="8" t="n"/>
      <c r="N1379" s="8" t="n"/>
      <c r="O1379" s="8" t="n"/>
      <c r="P1379" s="8" t="n">
        <v>10.89</v>
      </c>
      <c r="Q1379" s="8" t="n"/>
      <c r="R1379" s="8" t="n"/>
      <c r="S1379" s="8" t="n"/>
      <c r="T1379" s="7" t="inlineStr">
        <is>
          <t>SEM COTAÇÃO</t>
        </is>
      </c>
      <c r="U1379" s="8" t="n"/>
      <c r="V1379" s="14" t="n"/>
      <c r="W1379" s="14" t="n"/>
      <c r="X1379" s="7" t="inlineStr"/>
      <c r="Y1379" s="7" t="inlineStr">
        <is>
          <t>NAZARIA: sem estoque</t>
        </is>
      </c>
    </row>
    <row r="1380">
      <c r="A1380" s="7" t="n">
        <v>604321</v>
      </c>
      <c r="B1380" s="12" t="inlineStr">
        <is>
          <t>7506306233362</t>
        </is>
      </c>
      <c r="C1380" s="7" t="inlineStr">
        <is>
          <t>DES.AXE AER.URBAN 152ML</t>
        </is>
      </c>
      <c r="D1380" s="7" t="inlineStr">
        <is>
          <t>PERF/COSME</t>
        </is>
      </c>
      <c r="E1380" s="7" t="inlineStr">
        <is>
          <t>C</t>
        </is>
      </c>
      <c r="F1380" s="13" t="n">
        <v>2</v>
      </c>
      <c r="G1380" s="13" t="n">
        <v>2</v>
      </c>
      <c r="H1380" s="8" t="n">
        <v>10.0017</v>
      </c>
      <c r="I1380" s="8" t="n">
        <v>10.0017</v>
      </c>
      <c r="J1380" s="8" t="n">
        <v>10.0017</v>
      </c>
      <c r="K1380" s="8" t="n"/>
      <c r="L1380" s="8" t="n"/>
      <c r="M1380" s="8" t="n"/>
      <c r="N1380" s="8" t="n"/>
      <c r="O1380" s="8" t="n"/>
      <c r="P1380" s="15" t="n">
        <v>10.89</v>
      </c>
      <c r="Q1380" s="8" t="n"/>
      <c r="R1380" s="8" t="n"/>
      <c r="S1380" s="8" t="n"/>
      <c r="T1380" s="7" t="inlineStr">
        <is>
          <t>NAZARIA</t>
        </is>
      </c>
      <c r="U1380" s="8" t="n">
        <v>10.89</v>
      </c>
      <c r="V1380" s="14">
        <f>U1380/J1380-1</f>
        <v/>
      </c>
      <c r="W1380" s="14">
        <f>U1380/H1380-1</f>
        <v/>
      </c>
      <c r="X1380" s="16" t="inlineStr">
        <is>
          <t>ACIMA +8.9%</t>
        </is>
      </c>
      <c r="Y1380" s="7" t="inlineStr"/>
    </row>
    <row r="1381">
      <c r="A1381" s="7" t="n">
        <v>646801</v>
      </c>
      <c r="B1381" s="12" t="inlineStr">
        <is>
          <t>7896049526198</t>
        </is>
      </c>
      <c r="C1381" s="7" t="inlineStr">
        <is>
          <t>DES.HERB.CR.TWIST CL.AZUL 45G</t>
        </is>
      </c>
      <c r="D1381" s="7" t="inlineStr">
        <is>
          <t>ANTITRANSPIRANTE/DESODORANTE</t>
        </is>
      </c>
      <c r="E1381" s="7" t="inlineStr">
        <is>
          <t>C</t>
        </is>
      </c>
      <c r="F1381" s="13" t="n">
        <v>2</v>
      </c>
      <c r="G1381" s="13" t="n">
        <v>2</v>
      </c>
      <c r="H1381" s="8" t="n">
        <v>6.37</v>
      </c>
      <c r="I1381" s="8" t="n">
        <v>6.37</v>
      </c>
      <c r="J1381" s="8" t="n">
        <v>6.37</v>
      </c>
      <c r="K1381" s="8" t="n"/>
      <c r="L1381" s="8" t="n"/>
      <c r="M1381" s="8" t="n"/>
      <c r="N1381" s="8" t="n"/>
      <c r="O1381" s="8" t="n"/>
      <c r="P1381" s="8" t="n"/>
      <c r="Q1381" s="8" t="n"/>
      <c r="R1381" s="8" t="n"/>
      <c r="S1381" s="8" t="n"/>
      <c r="T1381" s="7" t="inlineStr">
        <is>
          <t>SEM COTAÇÃO</t>
        </is>
      </c>
      <c r="U1381" s="8" t="n"/>
      <c r="V1381" s="14" t="n"/>
      <c r="W1381" s="14" t="n"/>
      <c r="X1381" s="7" t="inlineStr"/>
      <c r="Y1381" s="7" t="inlineStr"/>
    </row>
    <row r="1382">
      <c r="A1382" s="7" t="n">
        <v>646821</v>
      </c>
      <c r="B1382" s="12" t="inlineStr">
        <is>
          <t>7896049526174</t>
        </is>
      </c>
      <c r="C1382" s="7" t="inlineStr">
        <is>
          <t>DES.HERB.CR.TWIST HIBISCO 45G</t>
        </is>
      </c>
      <c r="D1382" s="7" t="inlineStr">
        <is>
          <t>ANTITRANSPIRANTE/DESODORANTE</t>
        </is>
      </c>
      <c r="E1382" s="7" t="inlineStr">
        <is>
          <t>C</t>
        </is>
      </c>
      <c r="F1382" s="13" t="n">
        <v>5</v>
      </c>
      <c r="G1382" s="13" t="n">
        <v>5</v>
      </c>
      <c r="H1382" s="8" t="n">
        <v>9.23</v>
      </c>
      <c r="I1382" s="8" t="n">
        <v>6.17</v>
      </c>
      <c r="J1382" s="8" t="n">
        <v>8.210000000000001</v>
      </c>
      <c r="K1382" s="8" t="n"/>
      <c r="L1382" s="8" t="n"/>
      <c r="M1382" s="8" t="n"/>
      <c r="N1382" s="8" t="n"/>
      <c r="O1382" s="8" t="n"/>
      <c r="P1382" s="8" t="n"/>
      <c r="Q1382" s="8" t="n"/>
      <c r="R1382" s="8" t="n"/>
      <c r="S1382" s="8" t="n"/>
      <c r="T1382" s="7" t="inlineStr">
        <is>
          <t>SEM COTAÇÃO</t>
        </is>
      </c>
      <c r="U1382" s="8" t="n"/>
      <c r="V1382" s="14" t="n"/>
      <c r="W1382" s="14" t="n"/>
      <c r="X1382" s="7" t="inlineStr"/>
      <c r="Y1382" s="7" t="inlineStr"/>
    </row>
    <row r="1383">
      <c r="A1383" s="7" t="n">
        <v>646831</v>
      </c>
      <c r="B1383" s="12" t="inlineStr">
        <is>
          <t>7896049526228</t>
        </is>
      </c>
      <c r="C1383" s="7" t="inlineStr">
        <is>
          <t>DES.HERB.CR.TWIST LAVANDA 45G</t>
        </is>
      </c>
      <c r="D1383" s="7" t="inlineStr">
        <is>
          <t>ANTITRANSPIRANTE/DESODORANTE</t>
        </is>
      </c>
      <c r="E1383" s="7" t="inlineStr">
        <is>
          <t>C</t>
        </is>
      </c>
      <c r="F1383" s="13" t="n">
        <v>3</v>
      </c>
      <c r="G1383" s="13" t="n">
        <v>3</v>
      </c>
      <c r="H1383" s="8" t="n">
        <v>6.17</v>
      </c>
      <c r="I1383" s="8" t="n">
        <v>6.17</v>
      </c>
      <c r="J1383" s="8" t="n">
        <v>6.169999999999999</v>
      </c>
      <c r="K1383" s="8" t="n"/>
      <c r="L1383" s="8" t="n"/>
      <c r="M1383" s="8" t="n"/>
      <c r="N1383" s="8" t="n"/>
      <c r="O1383" s="8" t="n"/>
      <c r="P1383" s="8" t="n"/>
      <c r="Q1383" s="8" t="n"/>
      <c r="R1383" s="8" t="n"/>
      <c r="S1383" s="8" t="n"/>
      <c r="T1383" s="7" t="inlineStr">
        <is>
          <t>SEM COTAÇÃO</t>
        </is>
      </c>
      <c r="U1383" s="8" t="n"/>
      <c r="V1383" s="14" t="n"/>
      <c r="W1383" s="14" t="n"/>
      <c r="X1383" s="7" t="inlineStr"/>
      <c r="Y1383" s="7" t="inlineStr"/>
    </row>
    <row r="1384">
      <c r="A1384" s="7" t="n">
        <v>646841</v>
      </c>
      <c r="B1384" s="12" t="inlineStr">
        <is>
          <t>7896049526150</t>
        </is>
      </c>
      <c r="C1384" s="7" t="inlineStr">
        <is>
          <t>DES.HERB.CR.TWIST NEUTRO 45G</t>
        </is>
      </c>
      <c r="D1384" s="7" t="inlineStr">
        <is>
          <t>ANTITRANSPIRANTE/DESODORANTE</t>
        </is>
      </c>
      <c r="E1384" s="7" t="inlineStr">
        <is>
          <t>C</t>
        </is>
      </c>
      <c r="F1384" s="13" t="n">
        <v>1</v>
      </c>
      <c r="G1384" s="13" t="n">
        <v>1</v>
      </c>
      <c r="H1384" s="8" t="n">
        <v>7.1</v>
      </c>
      <c r="I1384" s="8" t="n">
        <v>7.1</v>
      </c>
      <c r="J1384" s="8" t="n">
        <v>7.099999999999999</v>
      </c>
      <c r="K1384" s="8" t="n"/>
      <c r="L1384" s="8" t="n"/>
      <c r="M1384" s="8" t="n"/>
      <c r="N1384" s="8" t="n"/>
      <c r="O1384" s="8" t="n"/>
      <c r="P1384" s="8" t="n"/>
      <c r="Q1384" s="8" t="n"/>
      <c r="R1384" s="8" t="n"/>
      <c r="S1384" s="8" t="n"/>
      <c r="T1384" s="7" t="inlineStr">
        <is>
          <t>SEM COTAÇÃO</t>
        </is>
      </c>
      <c r="U1384" s="8" t="n"/>
      <c r="V1384" s="14" t="n"/>
      <c r="W1384" s="14" t="n"/>
      <c r="X1384" s="7" t="inlineStr"/>
      <c r="Y1384" s="7" t="inlineStr"/>
    </row>
    <row r="1385">
      <c r="A1385" s="7" t="n">
        <v>646851</v>
      </c>
      <c r="B1385" s="12" t="inlineStr">
        <is>
          <t>7896049526167</t>
        </is>
      </c>
      <c r="C1385" s="7" t="inlineStr">
        <is>
          <t>DES.HERB.CR.TWIST SENSIT.45G</t>
        </is>
      </c>
      <c r="D1385" s="7" t="inlineStr">
        <is>
          <t>ANTITRANSPIRANTE/DESODORANTE</t>
        </is>
      </c>
      <c r="E1385" s="7" t="inlineStr">
        <is>
          <t>C</t>
        </is>
      </c>
      <c r="F1385" s="13" t="n">
        <v>2</v>
      </c>
      <c r="G1385" s="13" t="n">
        <v>2</v>
      </c>
      <c r="H1385" s="8" t="n">
        <v>9.23</v>
      </c>
      <c r="I1385" s="8" t="n">
        <v>9.23</v>
      </c>
      <c r="J1385" s="8" t="n">
        <v>9.23</v>
      </c>
      <c r="K1385" s="8" t="n"/>
      <c r="L1385" s="8" t="n"/>
      <c r="M1385" s="8" t="n"/>
      <c r="N1385" s="8" t="n"/>
      <c r="O1385" s="8" t="n"/>
      <c r="P1385" s="8" t="n"/>
      <c r="Q1385" s="8" t="n"/>
      <c r="R1385" s="8" t="n"/>
      <c r="S1385" s="8" t="n"/>
      <c r="T1385" s="7" t="inlineStr">
        <is>
          <t>SEM COTAÇÃO</t>
        </is>
      </c>
      <c r="U1385" s="8" t="n"/>
      <c r="V1385" s="14" t="n"/>
      <c r="W1385" s="14" t="n"/>
      <c r="X1385" s="7" t="inlineStr"/>
      <c r="Y1385" s="7" t="inlineStr"/>
    </row>
    <row r="1386">
      <c r="A1386" s="7" t="n">
        <v>646861</v>
      </c>
      <c r="B1386" s="12" t="inlineStr">
        <is>
          <t>7896049526211</t>
        </is>
      </c>
      <c r="C1386" s="7" t="inlineStr">
        <is>
          <t>DES.HERB.CR.TWIST TRADIC.45G</t>
        </is>
      </c>
      <c r="D1386" s="7" t="inlineStr">
        <is>
          <t>ANTITRANSPIRANTE/DESODORANTE</t>
        </is>
      </c>
      <c r="E1386" s="7" t="inlineStr">
        <is>
          <t>C</t>
        </is>
      </c>
      <c r="F1386" s="13" t="n">
        <v>5</v>
      </c>
      <c r="G1386" s="13" t="n">
        <v>5</v>
      </c>
      <c r="H1386" s="8" t="n">
        <v>9.23</v>
      </c>
      <c r="I1386" s="8" t="n">
        <v>9.23</v>
      </c>
      <c r="J1386" s="8" t="n">
        <v>9.23</v>
      </c>
      <c r="K1386" s="8" t="n"/>
      <c r="L1386" s="8" t="n"/>
      <c r="M1386" s="8" t="n"/>
      <c r="N1386" s="8" t="n"/>
      <c r="O1386" s="8" t="n"/>
      <c r="P1386" s="8" t="n"/>
      <c r="Q1386" s="8" t="n"/>
      <c r="R1386" s="8" t="n"/>
      <c r="S1386" s="8" t="n"/>
      <c r="T1386" s="7" t="inlineStr">
        <is>
          <t>SEM COTAÇÃO</t>
        </is>
      </c>
      <c r="U1386" s="8" t="n"/>
      <c r="V1386" s="14" t="n"/>
      <c r="W1386" s="14" t="n"/>
      <c r="X1386" s="7" t="inlineStr"/>
      <c r="Y1386" s="7" t="inlineStr"/>
    </row>
    <row r="1387">
      <c r="A1387" s="7" t="n">
        <v>646871</v>
      </c>
      <c r="B1387" s="12" t="inlineStr">
        <is>
          <t>7896049526235</t>
        </is>
      </c>
      <c r="C1387" s="7" t="inlineStr">
        <is>
          <t>DES.HERB.CR.TWIST VANILLA 45G</t>
        </is>
      </c>
      <c r="D1387" s="7" t="inlineStr">
        <is>
          <t>ANTITRANSPIRANTE/DESODORANTE</t>
        </is>
      </c>
      <c r="E1387" s="7" t="inlineStr">
        <is>
          <t>C</t>
        </is>
      </c>
      <c r="F1387" s="13" t="n">
        <v>1</v>
      </c>
      <c r="G1387" s="13" t="n">
        <v>1</v>
      </c>
      <c r="H1387" s="8" t="n">
        <v>9.23</v>
      </c>
      <c r="I1387" s="8" t="n">
        <v>9.23</v>
      </c>
      <c r="J1387" s="8" t="n">
        <v>9.23</v>
      </c>
      <c r="K1387" s="8" t="n"/>
      <c r="L1387" s="8" t="n"/>
      <c r="M1387" s="8" t="n"/>
      <c r="N1387" s="8" t="n"/>
      <c r="O1387" s="8" t="n"/>
      <c r="P1387" s="8" t="n"/>
      <c r="Q1387" s="8" t="n"/>
      <c r="R1387" s="8" t="n"/>
      <c r="S1387" s="8" t="n"/>
      <c r="T1387" s="7" t="inlineStr">
        <is>
          <t>SEM COTAÇÃO</t>
        </is>
      </c>
      <c r="U1387" s="8" t="n"/>
      <c r="V1387" s="14" t="n"/>
      <c r="W1387" s="14" t="n"/>
      <c r="X1387" s="7" t="inlineStr"/>
      <c r="Y1387" s="7" t="inlineStr"/>
    </row>
    <row r="1388">
      <c r="A1388" s="7" t="n">
        <v>646881</v>
      </c>
      <c r="B1388" s="12" t="inlineStr">
        <is>
          <t>7896049525740</t>
        </is>
      </c>
      <c r="C1388" s="7" t="inlineStr">
        <is>
          <t>DES.HERB.CREM.BIO CEDRO 55G</t>
        </is>
      </c>
      <c r="D1388" s="7" t="inlineStr">
        <is>
          <t>ANTITRANSPIRANTE/DESODORANTE</t>
        </is>
      </c>
      <c r="E1388" s="7" t="inlineStr">
        <is>
          <t>C</t>
        </is>
      </c>
      <c r="F1388" s="13" t="n">
        <v>5</v>
      </c>
      <c r="G1388" s="13" t="n">
        <v>5</v>
      </c>
      <c r="H1388" s="8" t="n">
        <v>3.2</v>
      </c>
      <c r="I1388" s="8" t="n">
        <v>3.2</v>
      </c>
      <c r="J1388" s="8" t="n">
        <v>3.200000000000001</v>
      </c>
      <c r="K1388" s="8" t="n"/>
      <c r="L1388" s="8" t="n"/>
      <c r="M1388" s="8" t="n"/>
      <c r="N1388" s="8" t="n"/>
      <c r="O1388" s="8" t="n"/>
      <c r="P1388" s="8" t="n"/>
      <c r="Q1388" s="8" t="n"/>
      <c r="R1388" s="8" t="n"/>
      <c r="S1388" s="8" t="n"/>
      <c r="T1388" s="7" t="inlineStr">
        <is>
          <t>SEM COTAÇÃO</t>
        </is>
      </c>
      <c r="U1388" s="8" t="n"/>
      <c r="V1388" s="14" t="n"/>
      <c r="W1388" s="14" t="n"/>
      <c r="X1388" s="7" t="inlineStr"/>
      <c r="Y1388" s="7" t="inlineStr"/>
    </row>
    <row r="1389">
      <c r="A1389" s="7" t="n">
        <v>604401</v>
      </c>
      <c r="B1389" s="12" t="inlineStr">
        <is>
          <t>4005900937520</t>
        </is>
      </c>
      <c r="C1389" s="7" t="inlineStr">
        <is>
          <t>DES.NIVEA AER.FEM.B.&amp;AMP;PEARL 15</t>
        </is>
      </c>
      <c r="D1389" s="7" t="inlineStr">
        <is>
          <t>PERF/COSME</t>
        </is>
      </c>
      <c r="E1389" s="7" t="inlineStr">
        <is>
          <t>C</t>
        </is>
      </c>
      <c r="F1389" s="13" t="n">
        <v>2</v>
      </c>
      <c r="G1389" s="13" t="n">
        <v>2</v>
      </c>
      <c r="H1389" s="8" t="n">
        <v>10.37</v>
      </c>
      <c r="I1389" s="8" t="n">
        <v>10.37</v>
      </c>
      <c r="J1389" s="8" t="n">
        <v>10.37</v>
      </c>
      <c r="K1389" s="8" t="n"/>
      <c r="L1389" s="8" t="n"/>
      <c r="M1389" s="8" t="n"/>
      <c r="N1389" s="8" t="n"/>
      <c r="O1389" s="8" t="n"/>
      <c r="P1389" s="8" t="n">
        <v>13.25</v>
      </c>
      <c r="Q1389" s="8" t="n"/>
      <c r="R1389" s="8" t="n"/>
      <c r="S1389" s="8" t="n"/>
      <c r="T1389" s="7" t="inlineStr">
        <is>
          <t>SEM COTAÇÃO</t>
        </is>
      </c>
      <c r="U1389" s="8" t="n"/>
      <c r="V1389" s="14" t="n"/>
      <c r="W1389" s="14" t="n"/>
      <c r="X1389" s="7" t="inlineStr"/>
      <c r="Y1389" s="7" t="inlineStr">
        <is>
          <t>NAZARIA: sem estoque</t>
        </is>
      </c>
    </row>
    <row r="1390">
      <c r="A1390" s="7" t="n">
        <v>604491</v>
      </c>
      <c r="B1390" s="12" t="inlineStr">
        <is>
          <t>4005808257669</t>
        </is>
      </c>
      <c r="C1390" s="7" t="inlineStr">
        <is>
          <t>DES.NIVEA R-ON FEM.PERAB.50ML</t>
        </is>
      </c>
      <c r="D1390" s="7" t="inlineStr">
        <is>
          <t>ANTITRANSPIRANTE/DESODORANTE</t>
        </is>
      </c>
      <c r="E1390" s="7" t="inlineStr">
        <is>
          <t>B</t>
        </is>
      </c>
      <c r="F1390" s="13" t="n">
        <v>1</v>
      </c>
      <c r="G1390" s="13" t="n">
        <v>1</v>
      </c>
      <c r="H1390" s="8" t="n">
        <v>7.91</v>
      </c>
      <c r="I1390" s="8" t="n">
        <v>7.07</v>
      </c>
      <c r="J1390" s="8" t="n">
        <v>7.63</v>
      </c>
      <c r="K1390" s="8" t="n"/>
      <c r="L1390" s="8" t="n"/>
      <c r="M1390" s="15" t="n">
        <v>6.56</v>
      </c>
      <c r="N1390" s="8" t="n"/>
      <c r="O1390" s="8" t="n"/>
      <c r="P1390" s="8" t="n">
        <v>8.92</v>
      </c>
      <c r="Q1390" s="8" t="n"/>
      <c r="R1390" s="8" t="n"/>
      <c r="S1390" s="8" t="n"/>
      <c r="T1390" s="7" t="inlineStr">
        <is>
          <t>EPAN</t>
        </is>
      </c>
      <c r="U1390" s="8" t="n">
        <v>6.56</v>
      </c>
      <c r="V1390" s="14">
        <f>U1390/J1390-1</f>
        <v/>
      </c>
      <c r="W1390" s="14">
        <f>U1390/H1390-1</f>
        <v/>
      </c>
      <c r="X1390" s="17" t="inlineStr">
        <is>
          <t>OK (≤ menor hist.)</t>
        </is>
      </c>
      <c r="Y1390" s="7" t="inlineStr"/>
    </row>
    <row r="1391">
      <c r="A1391" s="7" t="n">
        <v>655321</v>
      </c>
      <c r="B1391" s="12" t="inlineStr">
        <is>
          <t>7908020504122</t>
        </is>
      </c>
      <c r="C1391" s="7" t="inlineStr">
        <is>
          <t>DESATIVADO - FLORALON 100MG FR 12 CAP</t>
        </is>
      </c>
      <c r="D1391" s="7" t="inlineStr">
        <is>
          <t>SIMILAR</t>
        </is>
      </c>
      <c r="E1391" s="7" t="inlineStr">
        <is>
          <t>C</t>
        </is>
      </c>
      <c r="F1391" s="13" t="n">
        <v>1</v>
      </c>
      <c r="G1391" s="13" t="n">
        <v>1</v>
      </c>
      <c r="H1391" s="8" t="n">
        <v>8.941700000000001</v>
      </c>
      <c r="I1391" s="8" t="n">
        <v>8.941700000000001</v>
      </c>
      <c r="J1391" s="8" t="n">
        <v>8.941700000000001</v>
      </c>
      <c r="K1391" s="8" t="n"/>
      <c r="L1391" s="8" t="n"/>
      <c r="M1391" s="8" t="n"/>
      <c r="N1391" s="8" t="n"/>
      <c r="O1391" s="8" t="n"/>
      <c r="P1391" s="8" t="n"/>
      <c r="Q1391" s="8" t="n"/>
      <c r="R1391" s="8" t="n"/>
      <c r="S1391" s="8" t="n"/>
      <c r="T1391" s="7" t="inlineStr">
        <is>
          <t>SEM COTAÇÃO</t>
        </is>
      </c>
      <c r="U1391" s="8" t="n"/>
      <c r="V1391" s="14" t="n"/>
      <c r="W1391" s="14" t="n"/>
      <c r="X1391" s="7" t="inlineStr"/>
      <c r="Y1391" s="7" t="inlineStr"/>
    </row>
    <row r="1392">
      <c r="A1392" s="7" t="n">
        <v>602271</v>
      </c>
      <c r="B1392" s="12" t="inlineStr">
        <is>
          <t>7896150014560</t>
        </is>
      </c>
      <c r="C1392" s="7" t="inlineStr">
        <is>
          <t>DESC PO YAMA 20G AMETISTA</t>
        </is>
      </c>
      <c r="D1392" s="7" t="inlineStr">
        <is>
          <t>PERF/COSME</t>
        </is>
      </c>
      <c r="E1392" s="7" t="inlineStr">
        <is>
          <t>C</t>
        </is>
      </c>
      <c r="F1392" s="13" t="n">
        <v>2</v>
      </c>
      <c r="G1392" s="13" t="n">
        <v>2</v>
      </c>
      <c r="H1392" s="8" t="n">
        <v>5.37</v>
      </c>
      <c r="I1392" s="8" t="n">
        <v>5.37</v>
      </c>
      <c r="J1392" s="8" t="n">
        <v>5.37</v>
      </c>
      <c r="K1392" s="8" t="n"/>
      <c r="L1392" s="8" t="n"/>
      <c r="M1392" s="8" t="n"/>
      <c r="N1392" s="8" t="n"/>
      <c r="O1392" s="8" t="n"/>
      <c r="P1392" s="8" t="n"/>
      <c r="Q1392" s="8" t="n"/>
      <c r="R1392" s="8" t="n"/>
      <c r="S1392" s="8" t="n"/>
      <c r="T1392" s="7" t="inlineStr">
        <is>
          <t>SEM COTAÇÃO</t>
        </is>
      </c>
      <c r="U1392" s="8" t="n"/>
      <c r="V1392" s="14" t="n"/>
      <c r="W1392" s="14" t="n"/>
      <c r="X1392" s="7" t="inlineStr"/>
      <c r="Y1392" s="7" t="inlineStr"/>
    </row>
    <row r="1393">
      <c r="A1393" s="7" t="n">
        <v>602241</v>
      </c>
      <c r="B1393" s="12" t="inlineStr">
        <is>
          <t>7896150012801</t>
        </is>
      </c>
      <c r="C1393" s="7" t="inlineStr">
        <is>
          <t>DESC PO YAMA 20G CAMOMILA</t>
        </is>
      </c>
      <c r="D1393" s="7" t="inlineStr">
        <is>
          <t>PERF/COSME</t>
        </is>
      </c>
      <c r="E1393" s="7" t="inlineStr">
        <is>
          <t>C</t>
        </is>
      </c>
      <c r="F1393" s="13" t="n">
        <v>2</v>
      </c>
      <c r="G1393" s="13" t="n">
        <v>2</v>
      </c>
      <c r="H1393" s="8" t="n">
        <v>5.37</v>
      </c>
      <c r="I1393" s="8" t="n">
        <v>5.37</v>
      </c>
      <c r="J1393" s="8" t="n">
        <v>5.37</v>
      </c>
      <c r="K1393" s="8" t="n"/>
      <c r="L1393" s="8" t="n"/>
      <c r="M1393" s="8" t="n"/>
      <c r="N1393" s="8" t="n"/>
      <c r="O1393" s="8" t="n"/>
      <c r="P1393" s="8" t="n"/>
      <c r="Q1393" s="8" t="n"/>
      <c r="R1393" s="8" t="n"/>
      <c r="S1393" s="8" t="n"/>
      <c r="T1393" s="7" t="inlineStr">
        <is>
          <t>SEM COTAÇÃO</t>
        </is>
      </c>
      <c r="U1393" s="8" t="n"/>
      <c r="V1393" s="14" t="n"/>
      <c r="W1393" s="14" t="n"/>
      <c r="X1393" s="7" t="inlineStr"/>
      <c r="Y1393" s="7" t="inlineStr"/>
    </row>
    <row r="1394">
      <c r="A1394" s="7" t="n">
        <v>629081</v>
      </c>
      <c r="B1394" s="12" t="inlineStr">
        <is>
          <t>7896150019497</t>
        </is>
      </c>
      <c r="C1394" s="7" t="inlineStr">
        <is>
          <t>DESC PO YAMA 20G PEROLADO</t>
        </is>
      </c>
      <c r="D1394" s="7" t="inlineStr">
        <is>
          <t>USO INTERNO</t>
        </is>
      </c>
      <c r="E1394" s="7" t="inlineStr">
        <is>
          <t>C</t>
        </is>
      </c>
      <c r="F1394" s="13" t="n">
        <v>3</v>
      </c>
      <c r="G1394" s="13" t="n">
        <v>3</v>
      </c>
      <c r="H1394" s="8" t="n"/>
      <c r="I1394" s="8" t="n"/>
      <c r="J1394" s="8" t="n"/>
      <c r="K1394" s="8" t="n"/>
      <c r="L1394" s="8" t="n"/>
      <c r="M1394" s="8" t="n"/>
      <c r="N1394" s="8" t="n"/>
      <c r="O1394" s="8" t="n"/>
      <c r="P1394" s="8" t="n"/>
      <c r="Q1394" s="8" t="n"/>
      <c r="R1394" s="8" t="n"/>
      <c r="S1394" s="8" t="n"/>
      <c r="T1394" s="7" t="inlineStr">
        <is>
          <t>SEM COTAÇÃO</t>
        </is>
      </c>
      <c r="U1394" s="8" t="n"/>
      <c r="V1394" s="14" t="n"/>
      <c r="W1394" s="14" t="n"/>
      <c r="X1394" s="7" t="inlineStr"/>
      <c r="Y1394" s="7" t="inlineStr"/>
    </row>
    <row r="1395">
      <c r="A1395" s="7" t="n">
        <v>608591</v>
      </c>
      <c r="B1395" s="12" t="inlineStr">
        <is>
          <t>7896150001409</t>
        </is>
      </c>
      <c r="C1395" s="7" t="inlineStr">
        <is>
          <t>DESC PO YAMA 20G QUERATINA</t>
        </is>
      </c>
      <c r="D1395" s="7" t="inlineStr">
        <is>
          <t>PERF/COSME</t>
        </is>
      </c>
      <c r="E1395" s="7" t="inlineStr">
        <is>
          <t>C</t>
        </is>
      </c>
      <c r="F1395" s="13" t="n">
        <v>3</v>
      </c>
      <c r="G1395" s="13" t="n">
        <v>3</v>
      </c>
      <c r="H1395" s="8" t="n">
        <v>5.37</v>
      </c>
      <c r="I1395" s="8" t="n">
        <v>5.37</v>
      </c>
      <c r="J1395" s="8" t="n">
        <v>5.37</v>
      </c>
      <c r="K1395" s="8" t="n"/>
      <c r="L1395" s="8" t="n"/>
      <c r="M1395" s="8" t="n"/>
      <c r="N1395" s="8" t="n"/>
      <c r="O1395" s="8" t="n"/>
      <c r="P1395" s="8" t="n"/>
      <c r="Q1395" s="8" t="n"/>
      <c r="R1395" s="8" t="n"/>
      <c r="S1395" s="8" t="n"/>
      <c r="T1395" s="7" t="inlineStr">
        <is>
          <t>SEM COTAÇÃO</t>
        </is>
      </c>
      <c r="U1395" s="8" t="n"/>
      <c r="V1395" s="14" t="n"/>
      <c r="W1395" s="14" t="n"/>
      <c r="X1395" s="7" t="inlineStr"/>
      <c r="Y1395" s="7" t="inlineStr"/>
    </row>
    <row r="1396">
      <c r="A1396" s="7" t="n">
        <v>622061</v>
      </c>
      <c r="B1396" s="12" t="inlineStr">
        <is>
          <t>07896150024989</t>
        </is>
      </c>
      <c r="C1396" s="7" t="inlineStr">
        <is>
          <t>DESC PO YAMA 50G ACIDO HIALURONICO</t>
        </is>
      </c>
      <c r="D1396" s="7" t="inlineStr">
        <is>
          <t>PERF/COSME</t>
        </is>
      </c>
      <c r="E1396" s="7" t="inlineStr">
        <is>
          <t>C</t>
        </is>
      </c>
      <c r="F1396" s="13" t="n">
        <v>1</v>
      </c>
      <c r="G1396" s="13" t="n">
        <v>1</v>
      </c>
      <c r="H1396" s="8" t="n">
        <v>10.11</v>
      </c>
      <c r="I1396" s="8" t="n">
        <v>10.11</v>
      </c>
      <c r="J1396" s="8" t="n">
        <v>10.11</v>
      </c>
      <c r="K1396" s="8" t="n"/>
      <c r="L1396" s="8" t="n"/>
      <c r="M1396" s="8" t="n"/>
      <c r="N1396" s="8" t="n"/>
      <c r="O1396" s="8" t="n"/>
      <c r="P1396" s="8" t="n"/>
      <c r="Q1396" s="8" t="n"/>
      <c r="R1396" s="8" t="n"/>
      <c r="S1396" s="8" t="n"/>
      <c r="T1396" s="7" t="inlineStr">
        <is>
          <t>SEM COTAÇÃO</t>
        </is>
      </c>
      <c r="U1396" s="8" t="n"/>
      <c r="V1396" s="14" t="n"/>
      <c r="W1396" s="14" t="n"/>
      <c r="X1396" s="7" t="inlineStr"/>
      <c r="Y1396" s="7" t="inlineStr"/>
    </row>
    <row r="1397">
      <c r="A1397" s="7" t="n">
        <v>621721</v>
      </c>
      <c r="B1397" s="12" t="inlineStr">
        <is>
          <t>7896150002574</t>
        </is>
      </c>
      <c r="C1397" s="7" t="inlineStr">
        <is>
          <t>DESC PO YAMA 50G AMMONIA FREE</t>
        </is>
      </c>
      <c r="D1397" s="7" t="inlineStr">
        <is>
          <t>PERF/COSME</t>
        </is>
      </c>
      <c r="E1397" s="7" t="inlineStr">
        <is>
          <t>C</t>
        </is>
      </c>
      <c r="F1397" s="13" t="n">
        <v>2</v>
      </c>
      <c r="G1397" s="13" t="n">
        <v>2</v>
      </c>
      <c r="H1397" s="8" t="n">
        <v>9.31</v>
      </c>
      <c r="I1397" s="8" t="n">
        <v>9.31</v>
      </c>
      <c r="J1397" s="8" t="n">
        <v>9.31</v>
      </c>
      <c r="K1397" s="8" t="n"/>
      <c r="L1397" s="8" t="n"/>
      <c r="M1397" s="8" t="n"/>
      <c r="N1397" s="8" t="n"/>
      <c r="O1397" s="8" t="n"/>
      <c r="P1397" s="8" t="n"/>
      <c r="Q1397" s="8" t="n"/>
      <c r="R1397" s="8" t="n"/>
      <c r="S1397" s="8" t="n"/>
      <c r="T1397" s="7" t="inlineStr">
        <is>
          <t>SEM COTAÇÃO</t>
        </is>
      </c>
      <c r="U1397" s="8" t="n"/>
      <c r="V1397" s="14" t="n"/>
      <c r="W1397" s="14" t="n"/>
      <c r="X1397" s="7" t="inlineStr"/>
      <c r="Y1397" s="7" t="inlineStr"/>
    </row>
    <row r="1398">
      <c r="A1398" s="7" t="n">
        <v>583381</v>
      </c>
      <c r="B1398" s="12" t="inlineStr"/>
      <c r="C1398" s="7" t="inlineStr">
        <is>
          <t>DESC PO YAMA 50G GERMEN DE TRIGO</t>
        </is>
      </c>
      <c r="D1398" s="7" t="inlineStr">
        <is>
          <t>PERF/COSME</t>
        </is>
      </c>
      <c r="E1398" s="7" t="inlineStr">
        <is>
          <t>A</t>
        </is>
      </c>
      <c r="F1398" s="13" t="n">
        <v>4</v>
      </c>
      <c r="G1398" s="13" t="n">
        <v>4</v>
      </c>
      <c r="H1398" s="8" t="n">
        <v>9.66</v>
      </c>
      <c r="I1398" s="8" t="n">
        <v>9.66</v>
      </c>
      <c r="J1398" s="8" t="n">
        <v>9.66</v>
      </c>
      <c r="K1398" s="8" t="n"/>
      <c r="L1398" s="8" t="n"/>
      <c r="M1398" s="8" t="n"/>
      <c r="N1398" s="8" t="n"/>
      <c r="O1398" s="8" t="n"/>
      <c r="P1398" s="8" t="n"/>
      <c r="Q1398" s="8" t="n"/>
      <c r="R1398" s="8" t="n"/>
      <c r="S1398" s="8" t="n"/>
      <c r="T1398" s="7" t="inlineStr">
        <is>
          <t>SEM COTAÇÃO</t>
        </is>
      </c>
      <c r="U1398" s="8" t="n"/>
      <c r="V1398" s="14" t="n"/>
      <c r="W1398" s="14" t="n"/>
      <c r="X1398" s="7" t="inlineStr"/>
      <c r="Y1398" s="7" t="inlineStr"/>
    </row>
    <row r="1399">
      <c r="A1399" s="7" t="n">
        <v>575821</v>
      </c>
      <c r="B1399" s="12" t="inlineStr">
        <is>
          <t>7896150019503</t>
        </is>
      </c>
      <c r="C1399" s="7" t="inlineStr">
        <is>
          <t>DESC PO YAMA 50G PEROLADO</t>
        </is>
      </c>
      <c r="D1399" s="7" t="inlineStr">
        <is>
          <t>PERF/COSME</t>
        </is>
      </c>
      <c r="E1399" s="7" t="inlineStr">
        <is>
          <t>C</t>
        </is>
      </c>
      <c r="F1399" s="13" t="n">
        <v>2</v>
      </c>
      <c r="G1399" s="13" t="n">
        <v>2</v>
      </c>
      <c r="H1399" s="8" t="n">
        <v>10.16</v>
      </c>
      <c r="I1399" s="8" t="n">
        <v>10.16</v>
      </c>
      <c r="J1399" s="8" t="n">
        <v>10.16</v>
      </c>
      <c r="K1399" s="8" t="n"/>
      <c r="L1399" s="8" t="n"/>
      <c r="M1399" s="8" t="n"/>
      <c r="N1399" s="8" t="n"/>
      <c r="O1399" s="8" t="n"/>
      <c r="P1399" s="8" t="n"/>
      <c r="Q1399" s="8" t="n"/>
      <c r="R1399" s="8" t="n"/>
      <c r="S1399" s="8" t="n"/>
      <c r="T1399" s="7" t="inlineStr">
        <is>
          <t>SEM COTAÇÃO</t>
        </is>
      </c>
      <c r="U1399" s="8" t="n"/>
      <c r="V1399" s="14" t="n"/>
      <c r="W1399" s="14" t="n"/>
      <c r="X1399" s="7" t="inlineStr"/>
      <c r="Y1399" s="7" t="inlineStr"/>
    </row>
    <row r="1400">
      <c r="A1400" s="7" t="n">
        <v>575841</v>
      </c>
      <c r="B1400" s="12" t="inlineStr">
        <is>
          <t>7896150019534</t>
        </is>
      </c>
      <c r="C1400" s="7" t="inlineStr">
        <is>
          <t>DESC PO YAMA 50G PLATINADO</t>
        </is>
      </c>
      <c r="D1400" s="7" t="inlineStr">
        <is>
          <t>PERF/COSME</t>
        </is>
      </c>
      <c r="E1400" s="7" t="inlineStr">
        <is>
          <t>C</t>
        </is>
      </c>
      <c r="F1400" s="13" t="n">
        <v>5</v>
      </c>
      <c r="G1400" s="13" t="n">
        <v>5</v>
      </c>
      <c r="H1400" s="8" t="n">
        <v>10.7</v>
      </c>
      <c r="I1400" s="8" t="n">
        <v>10.7</v>
      </c>
      <c r="J1400" s="8" t="n">
        <v>10.7</v>
      </c>
      <c r="K1400" s="8" t="n"/>
      <c r="L1400" s="8" t="n"/>
      <c r="M1400" s="8" t="n"/>
      <c r="N1400" s="8" t="n"/>
      <c r="O1400" s="8" t="n"/>
      <c r="P1400" s="8" t="n"/>
      <c r="Q1400" s="8" t="n"/>
      <c r="R1400" s="8" t="n"/>
      <c r="S1400" s="8" t="n"/>
      <c r="T1400" s="7" t="inlineStr">
        <is>
          <t>SEM COTAÇÃO</t>
        </is>
      </c>
      <c r="U1400" s="8" t="n"/>
      <c r="V1400" s="14" t="n"/>
      <c r="W1400" s="14" t="n"/>
      <c r="X1400" s="7" t="inlineStr"/>
      <c r="Y1400" s="7" t="inlineStr"/>
    </row>
    <row r="1401">
      <c r="A1401" s="7" t="n">
        <v>583401</v>
      </c>
      <c r="B1401" s="12" t="inlineStr">
        <is>
          <t>7896150001751</t>
        </is>
      </c>
      <c r="C1401" s="7" t="inlineStr">
        <is>
          <t>DESC PO YAMA 50G QUERATINA</t>
        </is>
      </c>
      <c r="D1401" s="7" t="inlineStr">
        <is>
          <t>TINTAS/DESCOLORANTES</t>
        </is>
      </c>
      <c r="E1401" s="7" t="inlineStr">
        <is>
          <t>A</t>
        </is>
      </c>
      <c r="F1401" s="13" t="n">
        <v>8</v>
      </c>
      <c r="G1401" s="13" t="n">
        <v>8</v>
      </c>
      <c r="H1401" s="8" t="n">
        <v>9.66</v>
      </c>
      <c r="I1401" s="8" t="n">
        <v>9.66</v>
      </c>
      <c r="J1401" s="8" t="n">
        <v>9.66</v>
      </c>
      <c r="K1401" s="8" t="n"/>
      <c r="L1401" s="8" t="n"/>
      <c r="M1401" s="8" t="n"/>
      <c r="N1401" s="8" t="n"/>
      <c r="O1401" s="8" t="n"/>
      <c r="P1401" s="8" t="n"/>
      <c r="Q1401" s="8" t="n"/>
      <c r="R1401" s="8" t="n"/>
      <c r="S1401" s="8" t="n"/>
      <c r="T1401" s="7" t="inlineStr">
        <is>
          <t>SEM COTAÇÃO</t>
        </is>
      </c>
      <c r="U1401" s="8" t="n"/>
      <c r="V1401" s="14" t="n"/>
      <c r="W1401" s="14" t="n"/>
      <c r="X1401" s="7" t="inlineStr"/>
      <c r="Y1401" s="7" t="inlineStr"/>
    </row>
    <row r="1402">
      <c r="A1402" s="7" t="n">
        <v>649041</v>
      </c>
      <c r="B1402" s="12" t="inlineStr">
        <is>
          <t>7896902208612</t>
        </is>
      </c>
      <c r="C1402" s="7" t="inlineStr">
        <is>
          <t>DESCOL FARMAX 8G CAMOMILA P/CABELOS</t>
        </is>
      </c>
      <c r="D1402" s="7" t="inlineStr">
        <is>
          <t>PERF/COSME</t>
        </is>
      </c>
      <c r="E1402" s="7" t="inlineStr">
        <is>
          <t>C</t>
        </is>
      </c>
      <c r="F1402" s="13" t="n">
        <v>3</v>
      </c>
      <c r="G1402" s="13" t="n">
        <v>3</v>
      </c>
      <c r="H1402" s="8" t="n">
        <v>2.31</v>
      </c>
      <c r="I1402" s="8" t="n">
        <v>2.31</v>
      </c>
      <c r="J1402" s="8" t="n">
        <v>2.31</v>
      </c>
      <c r="K1402" s="8" t="n"/>
      <c r="L1402" s="8" t="n"/>
      <c r="M1402" s="8" t="n"/>
      <c r="N1402" s="15" t="n">
        <v>2.37</v>
      </c>
      <c r="O1402" s="8" t="n"/>
      <c r="P1402" s="8" t="n"/>
      <c r="Q1402" s="8" t="n"/>
      <c r="R1402" s="8" t="n"/>
      <c r="S1402" s="8" t="n"/>
      <c r="T1402" s="7" t="inlineStr">
        <is>
          <t>CENTROFARMA</t>
        </is>
      </c>
      <c r="U1402" s="8" t="n">
        <v>2.37</v>
      </c>
      <c r="V1402" s="14">
        <f>U1402/J1402-1</f>
        <v/>
      </c>
      <c r="W1402" s="14">
        <f>U1402/H1402-1</f>
        <v/>
      </c>
      <c r="X1402" s="16" t="inlineStr">
        <is>
          <t>ACIMA +2.6%</t>
        </is>
      </c>
      <c r="Y1402" s="7" t="inlineStr"/>
    </row>
    <row r="1403">
      <c r="A1403" s="7" t="n">
        <v>638511</v>
      </c>
      <c r="B1403" s="12" t="inlineStr">
        <is>
          <t>7896902208599</t>
        </is>
      </c>
      <c r="C1403" s="7" t="inlineStr">
        <is>
          <t>DESCOL FARMAX 8G QUERATIN P/CABELOS</t>
        </is>
      </c>
      <c r="D1403" s="7" t="inlineStr">
        <is>
          <t>COND/SHAM/CREM/SIMILARES</t>
        </is>
      </c>
      <c r="E1403" s="7" t="inlineStr">
        <is>
          <t>C</t>
        </is>
      </c>
      <c r="F1403" s="13" t="n">
        <v>3</v>
      </c>
      <c r="G1403" s="13" t="n">
        <v>3</v>
      </c>
      <c r="H1403" s="8" t="n">
        <v>2.25</v>
      </c>
      <c r="I1403" s="8" t="n">
        <v>2.25</v>
      </c>
      <c r="J1403" s="8" t="n">
        <v>2.25</v>
      </c>
      <c r="K1403" s="8" t="n"/>
      <c r="L1403" s="8" t="n"/>
      <c r="M1403" s="8" t="n"/>
      <c r="N1403" s="15" t="n">
        <v>2.37</v>
      </c>
      <c r="O1403" s="8" t="n"/>
      <c r="P1403" s="8" t="n"/>
      <c r="Q1403" s="8" t="n"/>
      <c r="R1403" s="8" t="n"/>
      <c r="S1403" s="8" t="n"/>
      <c r="T1403" s="7" t="inlineStr">
        <is>
          <t>CENTROFARMA</t>
        </is>
      </c>
      <c r="U1403" s="8" t="n">
        <v>2.37</v>
      </c>
      <c r="V1403" s="14">
        <f>U1403/J1403-1</f>
        <v/>
      </c>
      <c r="W1403" s="14">
        <f>U1403/H1403-1</f>
        <v/>
      </c>
      <c r="X1403" s="16" t="inlineStr">
        <is>
          <t>ACIMA +5.3%</t>
        </is>
      </c>
      <c r="Y1403" s="7" t="inlineStr"/>
    </row>
    <row r="1404">
      <c r="A1404" s="7" t="n">
        <v>607541</v>
      </c>
      <c r="B1404" s="12" t="inlineStr">
        <is>
          <t>7896902207400</t>
        </is>
      </c>
      <c r="C1404" s="7" t="inlineStr">
        <is>
          <t>DESCOL SUNLESS 8G DOURA PELOS-LARAR</t>
        </is>
      </c>
      <c r="D1404" s="7" t="inlineStr">
        <is>
          <t>PERF/COSME</t>
        </is>
      </c>
      <c r="E1404" s="7" t="inlineStr">
        <is>
          <t>C</t>
        </is>
      </c>
      <c r="F1404" s="13" t="n">
        <v>1</v>
      </c>
      <c r="G1404" s="13" t="n">
        <v>1</v>
      </c>
      <c r="H1404" s="8" t="n">
        <v>2.77</v>
      </c>
      <c r="I1404" s="8" t="n">
        <v>2.77</v>
      </c>
      <c r="J1404" s="8" t="n">
        <v>2.77</v>
      </c>
      <c r="K1404" s="8" t="n"/>
      <c r="L1404" s="8" t="n"/>
      <c r="M1404" s="8" t="n"/>
      <c r="N1404" s="8" t="n"/>
      <c r="O1404" s="8" t="n"/>
      <c r="P1404" s="8" t="n"/>
      <c r="Q1404" s="8" t="n"/>
      <c r="R1404" s="8" t="n"/>
      <c r="S1404" s="8" t="n"/>
      <c r="T1404" s="7" t="inlineStr">
        <is>
          <t>SEM COTAÇÃO</t>
        </is>
      </c>
      <c r="U1404" s="8" t="n"/>
      <c r="V1404" s="14" t="n"/>
      <c r="W1404" s="14" t="n"/>
      <c r="X1404" s="7" t="inlineStr"/>
      <c r="Y1404" s="7" t="inlineStr"/>
    </row>
    <row r="1405">
      <c r="A1405" s="7" t="n">
        <v>545101</v>
      </c>
      <c r="B1405" s="12" t="inlineStr">
        <is>
          <t>7896221802249</t>
        </is>
      </c>
      <c r="C1405" s="7" t="inlineStr">
        <is>
          <t>DESCOLORANTE MARCIA A MARINHAS</t>
        </is>
      </c>
      <c r="D1405" s="7" t="inlineStr">
        <is>
          <t>PERF/COSME</t>
        </is>
      </c>
      <c r="E1405" s="7" t="inlineStr">
        <is>
          <t>C</t>
        </is>
      </c>
      <c r="F1405" s="13" t="n">
        <v>8</v>
      </c>
      <c r="G1405" s="13" t="n">
        <v>8</v>
      </c>
      <c r="H1405" s="8" t="n">
        <v>3.39</v>
      </c>
      <c r="I1405" s="8" t="n">
        <v>3.39</v>
      </c>
      <c r="J1405" s="8" t="n">
        <v>3.39</v>
      </c>
      <c r="K1405" s="8" t="n"/>
      <c r="L1405" s="8" t="n"/>
      <c r="M1405" s="8" t="n"/>
      <c r="N1405" s="8" t="n"/>
      <c r="O1405" s="8" t="n"/>
      <c r="P1405" s="8" t="n"/>
      <c r="Q1405" s="8" t="n"/>
      <c r="R1405" s="8" t="n"/>
      <c r="S1405" s="8" t="n"/>
      <c r="T1405" s="7" t="inlineStr">
        <is>
          <t>SEM COTAÇÃO</t>
        </is>
      </c>
      <c r="U1405" s="8" t="n"/>
      <c r="V1405" s="14" t="n"/>
      <c r="W1405" s="14" t="n"/>
      <c r="X1405" s="7" t="inlineStr"/>
      <c r="Y1405" s="7" t="inlineStr"/>
    </row>
    <row r="1406">
      <c r="A1406" s="7" t="n">
        <v>642651</v>
      </c>
      <c r="B1406" s="12" t="inlineStr">
        <is>
          <t>7896221808128</t>
        </is>
      </c>
      <c r="C1406" s="7" t="inlineStr">
        <is>
          <t>DESCOLORANTE MARCIA AMETISTA 20G</t>
        </is>
      </c>
      <c r="D1406" s="7" t="inlineStr">
        <is>
          <t>PERF/COSME</t>
        </is>
      </c>
      <c r="E1406" s="7" t="inlineStr">
        <is>
          <t>C</t>
        </is>
      </c>
      <c r="F1406" s="13" t="n">
        <v>8</v>
      </c>
      <c r="G1406" s="13" t="n">
        <v>8</v>
      </c>
      <c r="H1406" s="8" t="n">
        <v>3.44</v>
      </c>
      <c r="I1406" s="8" t="n">
        <v>3.44</v>
      </c>
      <c r="J1406" s="8" t="n">
        <v>3.44</v>
      </c>
      <c r="K1406" s="8" t="n"/>
      <c r="L1406" s="8" t="n"/>
      <c r="M1406" s="8" t="n"/>
      <c r="N1406" s="8" t="n"/>
      <c r="O1406" s="8" t="n"/>
      <c r="P1406" s="8" t="n"/>
      <c r="Q1406" s="8" t="n"/>
      <c r="R1406" s="8" t="n"/>
      <c r="S1406" s="8" t="n"/>
      <c r="T1406" s="7" t="inlineStr">
        <is>
          <t>SEM COTAÇÃO</t>
        </is>
      </c>
      <c r="U1406" s="8" t="n"/>
      <c r="V1406" s="14" t="n"/>
      <c r="W1406" s="14" t="n"/>
      <c r="X1406" s="7" t="inlineStr"/>
      <c r="Y1406" s="7" t="inlineStr"/>
    </row>
    <row r="1407">
      <c r="A1407" s="7" t="n">
        <v>534781</v>
      </c>
      <c r="B1407" s="12" t="inlineStr">
        <is>
          <t>7896221802232</t>
        </is>
      </c>
      <c r="C1407" s="7" t="inlineStr">
        <is>
          <t>DESCOLORANTE MARCIA CAMOMILA</t>
        </is>
      </c>
      <c r="D1407" s="7" t="inlineStr">
        <is>
          <t>PERF/COSME</t>
        </is>
      </c>
      <c r="E1407" s="7" t="inlineStr">
        <is>
          <t>C</t>
        </is>
      </c>
      <c r="F1407" s="13" t="n">
        <v>3</v>
      </c>
      <c r="G1407" s="13" t="n">
        <v>3</v>
      </c>
      <c r="H1407" s="8" t="n">
        <v>3.39</v>
      </c>
      <c r="I1407" s="8" t="n">
        <v>3.39</v>
      </c>
      <c r="J1407" s="8" t="n">
        <v>3.39</v>
      </c>
      <c r="K1407" s="8" t="n"/>
      <c r="L1407" s="8" t="n"/>
      <c r="M1407" s="8" t="n"/>
      <c r="N1407" s="8" t="n"/>
      <c r="O1407" s="8" t="n"/>
      <c r="P1407" s="8" t="n"/>
      <c r="Q1407" s="8" t="n"/>
      <c r="R1407" s="8" t="n"/>
      <c r="S1407" s="8" t="n"/>
      <c r="T1407" s="7" t="inlineStr">
        <is>
          <t>SEM COTAÇÃO</t>
        </is>
      </c>
      <c r="U1407" s="8" t="n"/>
      <c r="V1407" s="14" t="n"/>
      <c r="W1407" s="14" t="n"/>
      <c r="X1407" s="7" t="inlineStr"/>
      <c r="Y1407" s="7" t="inlineStr"/>
    </row>
    <row r="1408">
      <c r="A1408" s="7" t="n">
        <v>642661</v>
      </c>
      <c r="B1408" s="12" t="inlineStr">
        <is>
          <t>7896221808050</t>
        </is>
      </c>
      <c r="C1408" s="7" t="inlineStr">
        <is>
          <t>DESCOLORANTE PO MARCIA ALGAS MARINHAS 8G</t>
        </is>
      </c>
      <c r="D1408" s="7" t="inlineStr">
        <is>
          <t>PERF/COSME</t>
        </is>
      </c>
      <c r="E1408" s="7" t="inlineStr">
        <is>
          <t>C</t>
        </is>
      </c>
      <c r="F1408" s="13" t="n">
        <v>3</v>
      </c>
      <c r="G1408" s="13" t="n">
        <v>3</v>
      </c>
      <c r="H1408" s="8" t="n">
        <v>1.29</v>
      </c>
      <c r="I1408" s="8" t="n">
        <v>1.29</v>
      </c>
      <c r="J1408" s="8" t="n">
        <v>1.29</v>
      </c>
      <c r="K1408" s="8" t="n"/>
      <c r="L1408" s="8" t="n"/>
      <c r="M1408" s="8" t="n"/>
      <c r="N1408" s="8" t="n"/>
      <c r="O1408" s="8" t="n"/>
      <c r="P1408" s="8" t="n"/>
      <c r="Q1408" s="8" t="n"/>
      <c r="R1408" s="8" t="n"/>
      <c r="S1408" s="8" t="n"/>
      <c r="T1408" s="7" t="inlineStr">
        <is>
          <t>SEM COTAÇÃO</t>
        </is>
      </c>
      <c r="U1408" s="8" t="n"/>
      <c r="V1408" s="14" t="n"/>
      <c r="W1408" s="14" t="n"/>
      <c r="X1408" s="7" t="inlineStr"/>
      <c r="Y1408" s="7" t="inlineStr"/>
    </row>
    <row r="1409">
      <c r="A1409" s="7" t="n">
        <v>631481</v>
      </c>
      <c r="B1409" s="12" t="inlineStr">
        <is>
          <t>7896221806377</t>
        </is>
      </c>
      <c r="C1409" s="7" t="inlineStr">
        <is>
          <t>DESCOLORANTE PO MARCIA CAMOMILA 8G</t>
        </is>
      </c>
      <c r="D1409" s="7" t="inlineStr">
        <is>
          <t>PERF/COSME</t>
        </is>
      </c>
      <c r="E1409" s="7" t="inlineStr">
        <is>
          <t>B</t>
        </is>
      </c>
      <c r="F1409" s="13" t="n">
        <v>18</v>
      </c>
      <c r="G1409" s="13" t="n">
        <v>18</v>
      </c>
      <c r="H1409" s="8" t="n">
        <v>1.66</v>
      </c>
      <c r="I1409" s="8" t="n">
        <v>1.66</v>
      </c>
      <c r="J1409" s="8" t="n">
        <v>1.66</v>
      </c>
      <c r="K1409" s="8" t="n"/>
      <c r="L1409" s="8" t="n"/>
      <c r="M1409" s="8" t="n"/>
      <c r="N1409" s="8" t="n"/>
      <c r="O1409" s="8" t="n"/>
      <c r="P1409" s="8" t="n"/>
      <c r="Q1409" s="8" t="n"/>
      <c r="R1409" s="8" t="n"/>
      <c r="S1409" s="8" t="n"/>
      <c r="T1409" s="7" t="inlineStr">
        <is>
          <t>SEM COTAÇÃO</t>
        </is>
      </c>
      <c r="U1409" s="8" t="n"/>
      <c r="V1409" s="14" t="n"/>
      <c r="W1409" s="14" t="n"/>
      <c r="X1409" s="7" t="inlineStr"/>
      <c r="Y1409" s="7" t="inlineStr"/>
    </row>
    <row r="1410">
      <c r="A1410" s="7" t="n">
        <v>631491</v>
      </c>
      <c r="B1410" s="12" t="inlineStr">
        <is>
          <t>7896221803772</t>
        </is>
      </c>
      <c r="C1410" s="7" t="inlineStr">
        <is>
          <t>DESCOLORANTE PO MARCIA G TRIGO 20G</t>
        </is>
      </c>
      <c r="D1410" s="7" t="inlineStr">
        <is>
          <t>PERF/COSME</t>
        </is>
      </c>
      <c r="E1410" s="7" t="inlineStr">
        <is>
          <t>C</t>
        </is>
      </c>
      <c r="F1410" s="13" t="n">
        <v>2</v>
      </c>
      <c r="G1410" s="13" t="n">
        <v>2</v>
      </c>
      <c r="H1410" s="8" t="n">
        <v>3.39</v>
      </c>
      <c r="I1410" s="8" t="n">
        <v>3.39</v>
      </c>
      <c r="J1410" s="8" t="n">
        <v>3.39</v>
      </c>
      <c r="K1410" s="8" t="n"/>
      <c r="L1410" s="8" t="n"/>
      <c r="M1410" s="8" t="n"/>
      <c r="N1410" s="8" t="n"/>
      <c r="O1410" s="8" t="n"/>
      <c r="P1410" s="8" t="n"/>
      <c r="Q1410" s="8" t="n"/>
      <c r="R1410" s="8" t="n"/>
      <c r="S1410" s="8" t="n"/>
      <c r="T1410" s="7" t="inlineStr">
        <is>
          <t>SEM COTAÇÃO</t>
        </is>
      </c>
      <c r="U1410" s="8" t="n"/>
      <c r="V1410" s="14" t="n"/>
      <c r="W1410" s="14" t="n"/>
      <c r="X1410" s="7" t="inlineStr"/>
      <c r="Y1410" s="7" t="inlineStr"/>
    </row>
    <row r="1411">
      <c r="A1411" s="7" t="n">
        <v>642671</v>
      </c>
      <c r="B1411" s="12" t="inlineStr">
        <is>
          <t>7896221806469</t>
        </is>
      </c>
      <c r="C1411" s="7" t="inlineStr">
        <is>
          <t>DESCOLORANTE PO MARCIA OLEO DE ARGAN 20G</t>
        </is>
      </c>
      <c r="D1411" s="7" t="inlineStr">
        <is>
          <t>PERF/COSME</t>
        </is>
      </c>
      <c r="E1411" s="7" t="inlineStr">
        <is>
          <t>C</t>
        </is>
      </c>
      <c r="F1411" s="13" t="n">
        <v>6</v>
      </c>
      <c r="G1411" s="13" t="n">
        <v>6</v>
      </c>
      <c r="H1411" s="8" t="n">
        <v>3.39</v>
      </c>
      <c r="I1411" s="8" t="n">
        <v>3.39</v>
      </c>
      <c r="J1411" s="8" t="n">
        <v>3.39</v>
      </c>
      <c r="K1411" s="8" t="n"/>
      <c r="L1411" s="8" t="n"/>
      <c r="M1411" s="8" t="n"/>
      <c r="N1411" s="8" t="n"/>
      <c r="O1411" s="8" t="n"/>
      <c r="P1411" s="8" t="n"/>
      <c r="Q1411" s="8" t="n"/>
      <c r="R1411" s="8" t="n"/>
      <c r="S1411" s="8" t="n"/>
      <c r="T1411" s="7" t="inlineStr">
        <is>
          <t>SEM COTAÇÃO</t>
        </is>
      </c>
      <c r="U1411" s="8" t="n"/>
      <c r="V1411" s="14" t="n"/>
      <c r="W1411" s="14" t="n"/>
      <c r="X1411" s="7" t="inlineStr"/>
      <c r="Y1411" s="7" t="inlineStr"/>
    </row>
    <row r="1412">
      <c r="A1412" s="7" t="n">
        <v>631501</v>
      </c>
      <c r="B1412" s="12" t="inlineStr">
        <is>
          <t>7896221807084</t>
        </is>
      </c>
      <c r="C1412" s="7" t="inlineStr">
        <is>
          <t>DESCOLORANTE PO MARCIA OLEO DE COCO 20G</t>
        </is>
      </c>
      <c r="D1412" s="7" t="inlineStr">
        <is>
          <t>PERF/COSME</t>
        </is>
      </c>
      <c r="E1412" s="7" t="inlineStr">
        <is>
          <t>C</t>
        </is>
      </c>
      <c r="F1412" s="13" t="n">
        <v>1</v>
      </c>
      <c r="G1412" s="13" t="n">
        <v>1</v>
      </c>
      <c r="H1412" s="8" t="n">
        <v>3.39</v>
      </c>
      <c r="I1412" s="8" t="n">
        <v>3.39</v>
      </c>
      <c r="J1412" s="8" t="n">
        <v>3.39</v>
      </c>
      <c r="K1412" s="8" t="n"/>
      <c r="L1412" s="8" t="n"/>
      <c r="M1412" s="8" t="n"/>
      <c r="N1412" s="8" t="n"/>
      <c r="O1412" s="8" t="n"/>
      <c r="P1412" s="8" t="n"/>
      <c r="Q1412" s="8" t="n"/>
      <c r="R1412" s="8" t="n"/>
      <c r="S1412" s="8" t="n"/>
      <c r="T1412" s="7" t="inlineStr">
        <is>
          <t>SEM COTAÇÃO</t>
        </is>
      </c>
      <c r="U1412" s="8" t="n"/>
      <c r="V1412" s="14" t="n"/>
      <c r="W1412" s="14" t="n"/>
      <c r="X1412" s="7" t="inlineStr"/>
      <c r="Y1412" s="7" t="inlineStr"/>
    </row>
    <row r="1413">
      <c r="A1413" s="7" t="n">
        <v>642681</v>
      </c>
      <c r="B1413" s="12" t="inlineStr">
        <is>
          <t>7896221807091</t>
        </is>
      </c>
      <c r="C1413" s="7" t="inlineStr">
        <is>
          <t>DESCOLORANTE PO MARCIA OLEO GIRASSOL 20G</t>
        </is>
      </c>
      <c r="D1413" s="7" t="inlineStr">
        <is>
          <t>PERF/COSME</t>
        </is>
      </c>
      <c r="E1413" s="7" t="inlineStr">
        <is>
          <t>C</t>
        </is>
      </c>
      <c r="F1413" s="13" t="n">
        <v>4</v>
      </c>
      <c r="G1413" s="13" t="n">
        <v>4</v>
      </c>
      <c r="H1413" s="8" t="n">
        <v>3.39</v>
      </c>
      <c r="I1413" s="8" t="n">
        <v>3.39</v>
      </c>
      <c r="J1413" s="8" t="n">
        <v>3.39</v>
      </c>
      <c r="K1413" s="8" t="n"/>
      <c r="L1413" s="8" t="n"/>
      <c r="M1413" s="8" t="n"/>
      <c r="N1413" s="8" t="n"/>
      <c r="O1413" s="8" t="n"/>
      <c r="P1413" s="8" t="n"/>
      <c r="Q1413" s="8" t="n"/>
      <c r="R1413" s="8" t="n"/>
      <c r="S1413" s="8" t="n"/>
      <c r="T1413" s="7" t="inlineStr">
        <is>
          <t>SEM COTAÇÃO</t>
        </is>
      </c>
      <c r="U1413" s="8" t="n"/>
      <c r="V1413" s="14" t="n"/>
      <c r="W1413" s="14" t="n"/>
      <c r="X1413" s="7" t="inlineStr"/>
      <c r="Y1413" s="7" t="inlineStr"/>
    </row>
    <row r="1414">
      <c r="A1414" s="7" t="n">
        <v>642691</v>
      </c>
      <c r="B1414" s="12" t="inlineStr">
        <is>
          <t>7896221800085</t>
        </is>
      </c>
      <c r="C1414" s="7" t="inlineStr">
        <is>
          <t>DESCOLORANTE PO MARCIA PROT SED 20G</t>
        </is>
      </c>
      <c r="D1414" s="7" t="inlineStr">
        <is>
          <t>PERF/COSME</t>
        </is>
      </c>
      <c r="E1414" s="7" t="inlineStr">
        <is>
          <t>C</t>
        </is>
      </c>
      <c r="F1414" s="13" t="n">
        <v>1</v>
      </c>
      <c r="G1414" s="13" t="n">
        <v>1</v>
      </c>
      <c r="H1414" s="8" t="n">
        <v>3.39</v>
      </c>
      <c r="I1414" s="8" t="n">
        <v>3.39</v>
      </c>
      <c r="J1414" s="8" t="n">
        <v>3.39</v>
      </c>
      <c r="K1414" s="8" t="n"/>
      <c r="L1414" s="8" t="n"/>
      <c r="M1414" s="8" t="n"/>
      <c r="N1414" s="8" t="n"/>
      <c r="O1414" s="8" t="n"/>
      <c r="P1414" s="8" t="n"/>
      <c r="Q1414" s="8" t="n"/>
      <c r="R1414" s="8" t="n"/>
      <c r="S1414" s="8" t="n"/>
      <c r="T1414" s="7" t="inlineStr">
        <is>
          <t>SEM COTAÇÃO</t>
        </is>
      </c>
      <c r="U1414" s="8" t="n"/>
      <c r="V1414" s="14" t="n"/>
      <c r="W1414" s="14" t="n"/>
      <c r="X1414" s="7" t="inlineStr"/>
      <c r="Y1414" s="7" t="inlineStr"/>
    </row>
    <row r="1415">
      <c r="A1415" s="7" t="n">
        <v>631511</v>
      </c>
      <c r="B1415" s="12" t="inlineStr">
        <is>
          <t>7896221806537</t>
        </is>
      </c>
      <c r="C1415" s="7" t="inlineStr">
        <is>
          <t>DESCOLORANTE PO MARCIA QUERATINA 20G</t>
        </is>
      </c>
      <c r="D1415" s="7" t="inlineStr">
        <is>
          <t>PERF/COSME</t>
        </is>
      </c>
      <c r="E1415" s="7" t="inlineStr">
        <is>
          <t>C</t>
        </is>
      </c>
      <c r="F1415" s="13" t="n">
        <v>4</v>
      </c>
      <c r="G1415" s="13" t="n">
        <v>4</v>
      </c>
      <c r="H1415" s="8" t="n">
        <v>4.06</v>
      </c>
      <c r="I1415" s="8" t="n">
        <v>4.06</v>
      </c>
      <c r="J1415" s="8" t="n">
        <v>4.06</v>
      </c>
      <c r="K1415" s="8" t="n"/>
      <c r="L1415" s="8" t="n"/>
      <c r="M1415" s="8" t="n"/>
      <c r="N1415" s="8" t="n"/>
      <c r="O1415" s="8" t="n"/>
      <c r="P1415" s="8" t="n"/>
      <c r="Q1415" s="8" t="n"/>
      <c r="R1415" s="8" t="n"/>
      <c r="S1415" s="8" t="n"/>
      <c r="T1415" s="7" t="inlineStr">
        <is>
          <t>SEM COTAÇÃO</t>
        </is>
      </c>
      <c r="U1415" s="8" t="n"/>
      <c r="V1415" s="14" t="n"/>
      <c r="W1415" s="14" t="n"/>
      <c r="X1415" s="7" t="inlineStr"/>
      <c r="Y1415" s="7" t="inlineStr"/>
    </row>
    <row r="1416">
      <c r="A1416" s="7" t="n">
        <v>359561</v>
      </c>
      <c r="B1416" s="12" t="inlineStr">
        <is>
          <t>7891106006132</t>
        </is>
      </c>
      <c r="C1416" s="7" t="inlineStr">
        <is>
          <t>DESCONTINUADO - PROTOVIT PLUS SOL ORAL FR GTS 20ML</t>
        </is>
      </c>
      <c r="D1416" s="7" t="inlineStr">
        <is>
          <t>RX - OTC</t>
        </is>
      </c>
      <c r="E1416" s="7" t="inlineStr">
        <is>
          <t>C</t>
        </is>
      </c>
      <c r="F1416" s="13" t="n">
        <v>2</v>
      </c>
      <c r="G1416" s="13" t="n">
        <v>2</v>
      </c>
      <c r="H1416" s="8" t="n">
        <v>12.8444</v>
      </c>
      <c r="I1416" s="8" t="n">
        <v>12.8444</v>
      </c>
      <c r="J1416" s="8" t="n">
        <v>12.8444</v>
      </c>
      <c r="K1416" s="8" t="n"/>
      <c r="L1416" s="8" t="n"/>
      <c r="M1416" s="8" t="n"/>
      <c r="N1416" s="8" t="n"/>
      <c r="O1416" s="8" t="n"/>
      <c r="P1416" s="8" t="n"/>
      <c r="Q1416" s="8" t="n"/>
      <c r="R1416" s="8" t="n"/>
      <c r="S1416" s="8" t="n"/>
      <c r="T1416" s="7" t="inlineStr">
        <is>
          <t>SEM COTAÇÃO</t>
        </is>
      </c>
      <c r="U1416" s="8" t="n"/>
      <c r="V1416" s="14" t="n"/>
      <c r="W1416" s="14" t="n"/>
      <c r="X1416" s="7" t="inlineStr"/>
      <c r="Y1416" s="7" t="inlineStr"/>
    </row>
    <row r="1417">
      <c r="A1417" s="7" t="n">
        <v>202221</v>
      </c>
      <c r="B1417" s="12" t="inlineStr">
        <is>
          <t>7896422521277</t>
        </is>
      </c>
      <c r="C1417" s="7" t="inlineStr">
        <is>
          <t>DESLORATADINA 0,5MG XPE FR 100ML+SER DOS</t>
        </is>
      </c>
      <c r="D1417" s="7" t="inlineStr">
        <is>
          <t>GENERICO</t>
        </is>
      </c>
      <c r="E1417" s="7" t="inlineStr">
        <is>
          <t>B</t>
        </is>
      </c>
      <c r="F1417" s="13" t="n">
        <v>10</v>
      </c>
      <c r="G1417" s="13" t="n">
        <v>10</v>
      </c>
      <c r="H1417" s="8" t="n">
        <v>10.7922</v>
      </c>
      <c r="I1417" s="8" t="n">
        <v>10.7922</v>
      </c>
      <c r="J1417" s="8" t="n">
        <v>10.7922</v>
      </c>
      <c r="K1417" s="8" t="n"/>
      <c r="L1417" s="8" t="n"/>
      <c r="M1417" s="8" t="n"/>
      <c r="N1417" s="8" t="n"/>
      <c r="O1417" s="8" t="n"/>
      <c r="P1417" s="8" t="n"/>
      <c r="Q1417" s="8" t="n"/>
      <c r="R1417" s="8" t="n"/>
      <c r="S1417" s="8" t="n"/>
      <c r="T1417" s="7" t="inlineStr">
        <is>
          <t>SEM COTAÇÃO</t>
        </is>
      </c>
      <c r="U1417" s="8" t="n"/>
      <c r="V1417" s="14" t="n"/>
      <c r="W1417" s="14" t="n"/>
      <c r="X1417" s="7" t="inlineStr"/>
      <c r="Y1417" s="7" t="inlineStr"/>
    </row>
    <row r="1418">
      <c r="A1418" s="7" t="n">
        <v>202201</v>
      </c>
      <c r="B1418" s="12" t="inlineStr">
        <is>
          <t>7896422521260</t>
        </is>
      </c>
      <c r="C1418" s="7" t="inlineStr">
        <is>
          <t>DESLORATADINA 0,5MG XPE FR 60ML+SER DOS</t>
        </is>
      </c>
      <c r="D1418" s="7" t="inlineStr">
        <is>
          <t>GENERICO</t>
        </is>
      </c>
      <c r="E1418" s="7" t="inlineStr">
        <is>
          <t>C</t>
        </is>
      </c>
      <c r="F1418" s="13" t="n">
        <v>1</v>
      </c>
      <c r="G1418" s="13" t="n">
        <v>1</v>
      </c>
      <c r="H1418" s="8" t="n">
        <v>7.53</v>
      </c>
      <c r="I1418" s="8" t="n">
        <v>7.53</v>
      </c>
      <c r="J1418" s="8" t="n">
        <v>7.53</v>
      </c>
      <c r="K1418" s="8" t="n"/>
      <c r="L1418" s="8" t="n"/>
      <c r="M1418" s="8" t="n"/>
      <c r="N1418" s="8" t="n"/>
      <c r="O1418" s="8" t="n"/>
      <c r="P1418" s="8" t="n"/>
      <c r="Q1418" s="8" t="n"/>
      <c r="R1418" s="8" t="n"/>
      <c r="S1418" s="8" t="n"/>
      <c r="T1418" s="7" t="inlineStr">
        <is>
          <t>SEM COTAÇÃO</t>
        </is>
      </c>
      <c r="U1418" s="8" t="n"/>
      <c r="V1418" s="14" t="n"/>
      <c r="W1418" s="14" t="n"/>
      <c r="X1418" s="7" t="inlineStr"/>
      <c r="Y1418" s="7" t="inlineStr"/>
    </row>
    <row r="1419">
      <c r="A1419" s="7" t="n">
        <v>203441</v>
      </c>
      <c r="B1419" s="12" t="inlineStr">
        <is>
          <t>7894916145459</t>
        </is>
      </c>
      <c r="C1419" s="7" t="inlineStr">
        <is>
          <t>DESLORATADINA 5MG CX 10 COMP REV</t>
        </is>
      </c>
      <c r="D1419" s="7" t="inlineStr">
        <is>
          <t>GENERICO</t>
        </is>
      </c>
      <c r="E1419" s="7" t="inlineStr">
        <is>
          <t>C</t>
        </is>
      </c>
      <c r="F1419" s="13" t="n">
        <v>1</v>
      </c>
      <c r="G1419" s="13" t="n">
        <v>1</v>
      </c>
      <c r="H1419" s="8" t="n">
        <v>6.79</v>
      </c>
      <c r="I1419" s="8" t="n">
        <v>6.79</v>
      </c>
      <c r="J1419" s="8" t="n">
        <v>6.79</v>
      </c>
      <c r="K1419" s="8" t="n"/>
      <c r="L1419" s="8" t="n"/>
      <c r="M1419" s="8" t="n"/>
      <c r="N1419" s="8" t="n"/>
      <c r="O1419" s="8" t="n"/>
      <c r="P1419" s="8" t="n"/>
      <c r="Q1419" s="8" t="n"/>
      <c r="R1419" s="15" t="n">
        <v>5.89</v>
      </c>
      <c r="S1419" s="8" t="n"/>
      <c r="T1419" s="7" t="inlineStr">
        <is>
          <t>BRASFARMA</t>
        </is>
      </c>
      <c r="U1419" s="8" t="n">
        <v>5.89</v>
      </c>
      <c r="V1419" s="14">
        <f>U1419/J1419-1</f>
        <v/>
      </c>
      <c r="W1419" s="14">
        <f>U1419/H1419-1</f>
        <v/>
      </c>
      <c r="X1419" s="17" t="inlineStr">
        <is>
          <t>OK (≤ menor hist.)</t>
        </is>
      </c>
      <c r="Y1419" s="7" t="inlineStr"/>
    </row>
    <row r="1420">
      <c r="A1420" s="7" t="n">
        <v>668951</v>
      </c>
      <c r="B1420" s="12" t="inlineStr">
        <is>
          <t>7896472520299</t>
        </is>
      </c>
      <c r="C1420" s="7" t="inlineStr">
        <is>
          <t>DESLORATADINA 5MG CX 10 COMP REV</t>
        </is>
      </c>
      <c r="D1420" s="7" t="inlineStr">
        <is>
          <t>GENERICO</t>
        </is>
      </c>
      <c r="E1420" s="7" t="inlineStr">
        <is>
          <t>A</t>
        </is>
      </c>
      <c r="F1420" s="13" t="n">
        <v>25</v>
      </c>
      <c r="G1420" s="13" t="n">
        <v>25</v>
      </c>
      <c r="H1420" s="8" t="n">
        <v>6.11</v>
      </c>
      <c r="I1420" s="8" t="n">
        <v>5.7026</v>
      </c>
      <c r="J1420" s="8" t="n">
        <v>5.974200000000001</v>
      </c>
      <c r="K1420" s="15" t="n">
        <v>4.83</v>
      </c>
      <c r="L1420" s="8" t="n"/>
      <c r="M1420" s="8" t="n"/>
      <c r="N1420" s="8" t="n"/>
      <c r="O1420" s="8" t="n"/>
      <c r="P1420" s="8" t="n"/>
      <c r="Q1420" s="8" t="n">
        <v>5.1</v>
      </c>
      <c r="R1420" s="8" t="n"/>
      <c r="S1420" s="8" t="n"/>
      <c r="T1420" s="7" t="inlineStr">
        <is>
          <t>DIMEC</t>
        </is>
      </c>
      <c r="U1420" s="8" t="n">
        <v>4.83</v>
      </c>
      <c r="V1420" s="14">
        <f>U1420/J1420-1</f>
        <v/>
      </c>
      <c r="W1420" s="14">
        <f>U1420/H1420-1</f>
        <v/>
      </c>
      <c r="X1420" s="17" t="inlineStr">
        <is>
          <t>OK (≤ menor hist.)</t>
        </is>
      </c>
      <c r="Y1420" s="7" t="inlineStr"/>
    </row>
    <row r="1421">
      <c r="A1421" s="7" t="n">
        <v>617991</v>
      </c>
      <c r="B1421" s="12" t="inlineStr">
        <is>
          <t>7791293028781</t>
        </is>
      </c>
      <c r="C1421" s="7" t="inlineStr">
        <is>
          <t>DESO AXE AER BS BLACK 150ML</t>
        </is>
      </c>
      <c r="D1421" s="7" t="inlineStr">
        <is>
          <t>PERF/COSME</t>
        </is>
      </c>
      <c r="E1421" s="7" t="inlineStr">
        <is>
          <t>C</t>
        </is>
      </c>
      <c r="F1421" s="13" t="n">
        <v>1</v>
      </c>
      <c r="G1421" s="13" t="n">
        <v>1</v>
      </c>
      <c r="H1421" s="8" t="n">
        <v>9.449999999999999</v>
      </c>
      <c r="I1421" s="8" t="n">
        <v>9.449999999999999</v>
      </c>
      <c r="J1421" s="8" t="n">
        <v>9.449999999999999</v>
      </c>
      <c r="K1421" s="8" t="n"/>
      <c r="L1421" s="8" t="n"/>
      <c r="M1421" s="8" t="n"/>
      <c r="N1421" s="8" t="n"/>
      <c r="O1421" s="8" t="n"/>
      <c r="P1421" s="15" t="n">
        <v>10.4</v>
      </c>
      <c r="Q1421" s="8" t="n"/>
      <c r="R1421" s="8" t="n"/>
      <c r="S1421" s="8" t="n"/>
      <c r="T1421" s="7" t="inlineStr">
        <is>
          <t>NAZARIA</t>
        </is>
      </c>
      <c r="U1421" s="8" t="n">
        <v>10.4</v>
      </c>
      <c r="V1421" s="14">
        <f>U1421/J1421-1</f>
        <v/>
      </c>
      <c r="W1421" s="14">
        <f>U1421/H1421-1</f>
        <v/>
      </c>
      <c r="X1421" s="16" t="inlineStr">
        <is>
          <t>ACIMA +10.1%</t>
        </is>
      </c>
      <c r="Y1421" s="7" t="inlineStr"/>
    </row>
    <row r="1422">
      <c r="A1422" s="7" t="n">
        <v>618001</v>
      </c>
      <c r="B1422" s="12" t="inlineStr">
        <is>
          <t>7791293025797</t>
        </is>
      </c>
      <c r="C1422" s="7" t="inlineStr">
        <is>
          <t>DESO AXE AER BS DARK TEMPT 89G</t>
        </is>
      </c>
      <c r="D1422" s="7" t="inlineStr">
        <is>
          <t>PERF/COSME</t>
        </is>
      </c>
      <c r="E1422" s="7" t="inlineStr">
        <is>
          <t>C</t>
        </is>
      </c>
      <c r="F1422" s="13" t="n">
        <v>2</v>
      </c>
      <c r="G1422" s="13" t="n">
        <v>2</v>
      </c>
      <c r="H1422" s="8" t="n">
        <v>9.531700000000001</v>
      </c>
      <c r="I1422" s="8" t="n">
        <v>9.531700000000001</v>
      </c>
      <c r="J1422" s="8" t="n">
        <v>9.531700000000001</v>
      </c>
      <c r="K1422" s="8" t="n"/>
      <c r="L1422" s="8" t="n"/>
      <c r="M1422" s="8" t="n"/>
      <c r="N1422" s="8" t="n"/>
      <c r="O1422" s="8" t="n"/>
      <c r="P1422" s="15" t="n">
        <v>10.89</v>
      </c>
      <c r="Q1422" s="8" t="n"/>
      <c r="R1422" s="8" t="n"/>
      <c r="S1422" s="8" t="n"/>
      <c r="T1422" s="7" t="inlineStr">
        <is>
          <t>NAZARIA</t>
        </is>
      </c>
      <c r="U1422" s="8" t="n">
        <v>10.89</v>
      </c>
      <c r="V1422" s="14">
        <f>U1422/J1422-1</f>
        <v/>
      </c>
      <c r="W1422" s="14">
        <f>U1422/H1422-1</f>
        <v/>
      </c>
      <c r="X1422" s="16" t="inlineStr">
        <is>
          <t>ACIMA +14.3%</t>
        </is>
      </c>
      <c r="Y1422" s="7" t="inlineStr"/>
    </row>
    <row r="1423">
      <c r="A1423" s="7" t="n">
        <v>589241</v>
      </c>
      <c r="B1423" s="12" t="inlineStr">
        <is>
          <t>78935068</t>
        </is>
      </c>
      <c r="C1423" s="7" t="inlineStr">
        <is>
          <t>DESOD DOVE 50ML GOFRESH ROMA E VERBENA M3</t>
        </is>
      </c>
      <c r="D1423" s="7" t="inlineStr">
        <is>
          <t>ANTITRANSPIRANTE/DESODORANTE</t>
        </is>
      </c>
      <c r="E1423" s="7" t="inlineStr">
        <is>
          <t>B</t>
        </is>
      </c>
      <c r="F1423" s="13" t="n">
        <v>7</v>
      </c>
      <c r="G1423" s="13" t="n">
        <v>7</v>
      </c>
      <c r="H1423" s="8" t="n">
        <v>6.79</v>
      </c>
      <c r="I1423" s="8" t="n">
        <v>6.79</v>
      </c>
      <c r="J1423" s="8" t="n">
        <v>6.79</v>
      </c>
      <c r="K1423" s="8" t="n"/>
      <c r="L1423" s="8" t="n"/>
      <c r="M1423" s="8" t="n"/>
      <c r="N1423" s="8" t="n"/>
      <c r="O1423" s="8" t="n"/>
      <c r="P1423" s="15" t="n">
        <v>9.289999999999999</v>
      </c>
      <c r="Q1423" s="8" t="n"/>
      <c r="R1423" s="8" t="n"/>
      <c r="S1423" s="8" t="n"/>
      <c r="T1423" s="7" t="inlineStr">
        <is>
          <t>NAZARIA</t>
        </is>
      </c>
      <c r="U1423" s="8" t="n">
        <v>9.289999999999999</v>
      </c>
      <c r="V1423" s="14">
        <f>U1423/J1423-1</f>
        <v/>
      </c>
      <c r="W1423" s="14">
        <f>U1423/H1423-1</f>
        <v/>
      </c>
      <c r="X1423" s="16" t="inlineStr">
        <is>
          <t>ACIMA +36.8%</t>
        </is>
      </c>
      <c r="Y1423" s="7" t="inlineStr"/>
    </row>
    <row r="1424">
      <c r="A1424" s="7" t="n">
        <v>464</v>
      </c>
      <c r="B1424" s="12" t="inlineStr">
        <is>
          <t>7891150068810</t>
        </is>
      </c>
      <c r="C1424" s="7" t="inlineStr">
        <is>
          <t>DESOD DOVE AERO 200ML INV DRY</t>
        </is>
      </c>
      <c r="D1424" s="7" t="inlineStr">
        <is>
          <t>PERF/COSME</t>
        </is>
      </c>
      <c r="E1424" s="7" t="inlineStr">
        <is>
          <t>A</t>
        </is>
      </c>
      <c r="F1424" s="13" t="n">
        <v>9</v>
      </c>
      <c r="G1424" s="13" t="n">
        <v>9</v>
      </c>
      <c r="H1424" s="8" t="n">
        <v>15.52</v>
      </c>
      <c r="I1424" s="8" t="n">
        <v>15.52</v>
      </c>
      <c r="J1424" s="8" t="n">
        <v>15.52</v>
      </c>
      <c r="K1424" s="8" t="n"/>
      <c r="L1424" s="8" t="n"/>
      <c r="M1424" s="8" t="n"/>
      <c r="N1424" s="8" t="n"/>
      <c r="O1424" s="8" t="n"/>
      <c r="P1424" s="8" t="n"/>
      <c r="Q1424" s="8" t="n"/>
      <c r="R1424" s="8" t="n"/>
      <c r="S1424" s="8" t="n"/>
      <c r="T1424" s="7" t="inlineStr">
        <is>
          <t>SEM COTAÇÃO</t>
        </is>
      </c>
      <c r="U1424" s="8" t="n"/>
      <c r="V1424" s="14" t="n"/>
      <c r="W1424" s="14" t="n"/>
      <c r="X1424" s="7" t="inlineStr"/>
      <c r="Y1424" s="7" t="inlineStr"/>
    </row>
    <row r="1425">
      <c r="A1425" s="7" t="n">
        <v>650511</v>
      </c>
      <c r="B1425" s="12" t="inlineStr">
        <is>
          <t>7891150068827</t>
        </is>
      </c>
      <c r="C1425" s="7" t="inlineStr">
        <is>
          <t>DESOD DOVE AERO 200ML ROMA IMP</t>
        </is>
      </c>
      <c r="D1425" s="7" t="inlineStr">
        <is>
          <t>PERF/COSME</t>
        </is>
      </c>
      <c r="E1425" s="7" t="inlineStr">
        <is>
          <t>C</t>
        </is>
      </c>
      <c r="F1425" s="13" t="n">
        <v>1</v>
      </c>
      <c r="G1425" s="13" t="n">
        <v>1</v>
      </c>
      <c r="H1425" s="8" t="n"/>
      <c r="I1425" s="8" t="n"/>
      <c r="J1425" s="8" t="n"/>
      <c r="K1425" s="8" t="n"/>
      <c r="L1425" s="8" t="n"/>
      <c r="M1425" s="8" t="n"/>
      <c r="N1425" s="8" t="n"/>
      <c r="O1425" s="8" t="n"/>
      <c r="P1425" s="8" t="n"/>
      <c r="Q1425" s="8" t="n"/>
      <c r="R1425" s="8" t="n"/>
      <c r="S1425" s="8" t="n"/>
      <c r="T1425" s="7" t="inlineStr">
        <is>
          <t>SEM COTAÇÃO</t>
        </is>
      </c>
      <c r="U1425" s="8" t="n"/>
      <c r="V1425" s="14" t="n"/>
      <c r="W1425" s="14" t="n"/>
      <c r="X1425" s="7" t="inlineStr"/>
      <c r="Y1425" s="7" t="inlineStr"/>
    </row>
    <row r="1426">
      <c r="A1426" s="7" t="n">
        <v>454</v>
      </c>
      <c r="B1426" s="12" t="inlineStr">
        <is>
          <t>7891150068841</t>
        </is>
      </c>
      <c r="C1426" s="7" t="inlineStr">
        <is>
          <t>DESOD REXONA AERO 200ML S/PERF</t>
        </is>
      </c>
      <c r="D1426" s="7" t="inlineStr">
        <is>
          <t>ANTITRANSPIRANTE/DESODORANTE</t>
        </is>
      </c>
      <c r="E1426" s="7" t="inlineStr">
        <is>
          <t>C</t>
        </is>
      </c>
      <c r="F1426" s="13" t="n">
        <v>1</v>
      </c>
      <c r="G1426" s="13" t="n">
        <v>1</v>
      </c>
      <c r="H1426" s="8" t="n"/>
      <c r="I1426" s="8" t="n"/>
      <c r="J1426" s="8" t="n"/>
      <c r="K1426" s="8" t="n"/>
      <c r="L1426" s="8" t="n"/>
      <c r="M1426" s="8" t="n"/>
      <c r="N1426" s="8" t="n"/>
      <c r="O1426" s="8" t="n"/>
      <c r="P1426" s="8" t="n"/>
      <c r="Q1426" s="8" t="n"/>
      <c r="R1426" s="8" t="n"/>
      <c r="S1426" s="8" t="n"/>
      <c r="T1426" s="7" t="inlineStr">
        <is>
          <t>SEM COTAÇÃO</t>
        </is>
      </c>
      <c r="U1426" s="8" t="n"/>
      <c r="V1426" s="14" t="n"/>
      <c r="W1426" s="14" t="n"/>
      <c r="X1426" s="7" t="inlineStr"/>
      <c r="Y1426" s="7" t="inlineStr"/>
    </row>
    <row r="1427">
      <c r="A1427" s="7" t="n">
        <v>566341</v>
      </c>
      <c r="B1427" s="12" t="inlineStr">
        <is>
          <t>7899674022004</t>
        </is>
      </c>
      <c r="C1427" s="7" t="inlineStr">
        <is>
          <t>DESOD. ABOVE AER. WOM SPORT 150ML UN</t>
        </is>
      </c>
      <c r="D1427" s="7" t="inlineStr">
        <is>
          <t>PERF/COSME</t>
        </is>
      </c>
      <c r="E1427" s="7" t="inlineStr">
        <is>
          <t>C</t>
        </is>
      </c>
      <c r="F1427" s="13" t="n">
        <v>1</v>
      </c>
      <c r="G1427" s="13" t="n">
        <v>1</v>
      </c>
      <c r="H1427" s="8" t="n">
        <v>7.98</v>
      </c>
      <c r="I1427" s="8" t="n">
        <v>7.98</v>
      </c>
      <c r="J1427" s="8" t="n">
        <v>7.98</v>
      </c>
      <c r="K1427" s="8" t="n"/>
      <c r="L1427" s="8" t="n"/>
      <c r="M1427" s="8" t="n"/>
      <c r="N1427" s="8" t="n"/>
      <c r="O1427" s="8" t="n"/>
      <c r="P1427" s="8" t="n"/>
      <c r="Q1427" s="8" t="n"/>
      <c r="R1427" s="8" t="n"/>
      <c r="S1427" s="8" t="n"/>
      <c r="T1427" s="7" t="inlineStr">
        <is>
          <t>SEM COTAÇÃO</t>
        </is>
      </c>
      <c r="U1427" s="8" t="n"/>
      <c r="V1427" s="14" t="n"/>
      <c r="W1427" s="14" t="n"/>
      <c r="X1427" s="7" t="inlineStr"/>
      <c r="Y1427" s="7" t="inlineStr"/>
    </row>
    <row r="1428">
      <c r="A1428" s="7" t="n">
        <v>566321</v>
      </c>
      <c r="B1428" s="12" t="inlineStr">
        <is>
          <t>7899674017093</t>
        </is>
      </c>
      <c r="C1428" s="7" t="inlineStr">
        <is>
          <t>DESOD. ABOVE AER. WOM. FRESH 150ML UN</t>
        </is>
      </c>
      <c r="D1428" s="7" t="inlineStr">
        <is>
          <t>ANTITRANSPIRANTE/DESODORANTE</t>
        </is>
      </c>
      <c r="E1428" s="7" t="inlineStr">
        <is>
          <t>C</t>
        </is>
      </c>
      <c r="F1428" s="13" t="n">
        <v>1</v>
      </c>
      <c r="G1428" s="13" t="n">
        <v>1</v>
      </c>
      <c r="H1428" s="8" t="n">
        <v>7.98</v>
      </c>
      <c r="I1428" s="8" t="n">
        <v>7.98</v>
      </c>
      <c r="J1428" s="8" t="n">
        <v>7.98</v>
      </c>
      <c r="K1428" s="8" t="n"/>
      <c r="L1428" s="8" t="n"/>
      <c r="M1428" s="8" t="n"/>
      <c r="N1428" s="8" t="n"/>
      <c r="O1428" s="8" t="n"/>
      <c r="P1428" s="8" t="n"/>
      <c r="Q1428" s="8" t="n"/>
      <c r="R1428" s="8" t="n"/>
      <c r="S1428" s="8" t="n"/>
      <c r="T1428" s="7" t="inlineStr">
        <is>
          <t>SEM COTAÇÃO</t>
        </is>
      </c>
      <c r="U1428" s="8" t="n"/>
      <c r="V1428" s="14" t="n"/>
      <c r="W1428" s="14" t="n"/>
      <c r="X1428" s="7" t="inlineStr"/>
      <c r="Y1428" s="7" t="inlineStr"/>
    </row>
    <row r="1429">
      <c r="A1429" s="7" t="n">
        <v>577921</v>
      </c>
      <c r="B1429" s="12" t="inlineStr">
        <is>
          <t>7899674017079</t>
        </is>
      </c>
      <c r="C1429" s="7" t="inlineStr">
        <is>
          <t>DESOD. ABOVE AER. WOM. LADY 150ML</t>
        </is>
      </c>
      <c r="D1429" s="7" t="inlineStr">
        <is>
          <t>ANTITRANSPIRANTE/DESODORANTE</t>
        </is>
      </c>
      <c r="E1429" s="7" t="inlineStr">
        <is>
          <t>C</t>
        </is>
      </c>
      <c r="F1429" s="13" t="n">
        <v>1</v>
      </c>
      <c r="G1429" s="13" t="n">
        <v>1</v>
      </c>
      <c r="H1429" s="8" t="n">
        <v>7.98</v>
      </c>
      <c r="I1429" s="8" t="n">
        <v>7.98</v>
      </c>
      <c r="J1429" s="8" t="n">
        <v>7.98</v>
      </c>
      <c r="K1429" s="8" t="n"/>
      <c r="L1429" s="8" t="n"/>
      <c r="M1429" s="8" t="n"/>
      <c r="N1429" s="8" t="n"/>
      <c r="O1429" s="8" t="n"/>
      <c r="P1429" s="8" t="n"/>
      <c r="Q1429" s="8" t="n"/>
      <c r="R1429" s="8" t="n"/>
      <c r="S1429" s="8" t="n"/>
      <c r="T1429" s="7" t="inlineStr">
        <is>
          <t>SEM COTAÇÃO</t>
        </is>
      </c>
      <c r="U1429" s="8" t="n"/>
      <c r="V1429" s="14" t="n"/>
      <c r="W1429" s="14" t="n"/>
      <c r="X1429" s="7" t="inlineStr"/>
      <c r="Y1429" s="7" t="inlineStr"/>
    </row>
    <row r="1430">
      <c r="A1430" s="7" t="n">
        <v>536061</v>
      </c>
      <c r="B1430" s="12" t="inlineStr">
        <is>
          <t>7896235353904</t>
        </is>
      </c>
      <c r="C1430" s="7" t="inlineStr">
        <is>
          <t>DESOD. MONANGE 90G DETOX FRESH</t>
        </is>
      </c>
      <c r="D1430" s="7" t="inlineStr">
        <is>
          <t>ANTITRANSPIRANTE/DESODORANTE</t>
        </is>
      </c>
      <c r="E1430" s="7" t="inlineStr">
        <is>
          <t>B</t>
        </is>
      </c>
      <c r="F1430" s="13" t="n">
        <v>1</v>
      </c>
      <c r="G1430" s="13" t="n">
        <v>1</v>
      </c>
      <c r="H1430" s="8" t="n">
        <v>8.359999999999999</v>
      </c>
      <c r="I1430" s="8" t="n">
        <v>8.359999999999999</v>
      </c>
      <c r="J1430" s="8" t="n">
        <v>8.359999999999999</v>
      </c>
      <c r="K1430" s="8" t="n"/>
      <c r="L1430" s="8" t="n"/>
      <c r="M1430" s="8" t="n"/>
      <c r="N1430" s="8" t="n"/>
      <c r="O1430" s="8" t="n"/>
      <c r="P1430" s="8" t="n"/>
      <c r="Q1430" s="8" t="n"/>
      <c r="R1430" s="8" t="n"/>
      <c r="S1430" s="8" t="n"/>
      <c r="T1430" s="7" t="inlineStr">
        <is>
          <t>SEM COTAÇÃO</t>
        </is>
      </c>
      <c r="U1430" s="8" t="n"/>
      <c r="V1430" s="14" t="n"/>
      <c r="W1430" s="14" t="n"/>
      <c r="X1430" s="7" t="inlineStr"/>
      <c r="Y1430" s="7" t="inlineStr"/>
    </row>
    <row r="1431">
      <c r="A1431" s="7" t="n">
        <v>536101</v>
      </c>
      <c r="B1431" s="12" t="inlineStr">
        <is>
          <t>7891350034622</t>
        </is>
      </c>
      <c r="C1431" s="7" t="inlineStr">
        <is>
          <t>DESOD. MONANGE 90G FLOR DE LAVANDA</t>
        </is>
      </c>
      <c r="D1431" s="7" t="inlineStr">
        <is>
          <t>ANTITRANSPIRANTE/DESODORANTE</t>
        </is>
      </c>
      <c r="E1431" s="7" t="inlineStr">
        <is>
          <t>B</t>
        </is>
      </c>
      <c r="F1431" s="13" t="n">
        <v>9</v>
      </c>
      <c r="G1431" s="13" t="n">
        <v>9</v>
      </c>
      <c r="H1431" s="8" t="n">
        <v>8.359999999999999</v>
      </c>
      <c r="I1431" s="8" t="n">
        <v>6.54</v>
      </c>
      <c r="J1431" s="8" t="n">
        <v>7.753333333333333</v>
      </c>
      <c r="K1431" s="8" t="n"/>
      <c r="L1431" s="8" t="n"/>
      <c r="M1431" s="8" t="n"/>
      <c r="N1431" s="8" t="n"/>
      <c r="O1431" s="8" t="n"/>
      <c r="P1431" s="8" t="n"/>
      <c r="Q1431" s="8" t="n"/>
      <c r="R1431" s="8" t="n"/>
      <c r="S1431" s="8" t="n"/>
      <c r="T1431" s="7" t="inlineStr">
        <is>
          <t>SEM COTAÇÃO</t>
        </is>
      </c>
      <c r="U1431" s="8" t="n"/>
      <c r="V1431" s="14" t="n"/>
      <c r="W1431" s="14" t="n"/>
      <c r="X1431" s="7" t="inlineStr"/>
      <c r="Y1431" s="7" t="inlineStr"/>
    </row>
    <row r="1432">
      <c r="A1432" s="7" t="n">
        <v>536081</v>
      </c>
      <c r="B1432" s="12" t="inlineStr">
        <is>
          <t>7891350034639</t>
        </is>
      </c>
      <c r="C1432" s="7" t="inlineStr">
        <is>
          <t>DESOD. MONANGE 90G FRUTAS VERMELHAS</t>
        </is>
      </c>
      <c r="D1432" s="7" t="inlineStr">
        <is>
          <t>ANTITRANSPIRANTE/DESODORANTE</t>
        </is>
      </c>
      <c r="E1432" s="7" t="inlineStr">
        <is>
          <t>A</t>
        </is>
      </c>
      <c r="F1432" s="13" t="n">
        <v>4</v>
      </c>
      <c r="G1432" s="13" t="n">
        <v>4</v>
      </c>
      <c r="H1432" s="8" t="n">
        <v>8.359999999999999</v>
      </c>
      <c r="I1432" s="8" t="n">
        <v>6.54</v>
      </c>
      <c r="J1432" s="8" t="n">
        <v>7.753333333333333</v>
      </c>
      <c r="K1432" s="8" t="n"/>
      <c r="L1432" s="8" t="n"/>
      <c r="M1432" s="8" t="n"/>
      <c r="N1432" s="8" t="n"/>
      <c r="O1432" s="8" t="n"/>
      <c r="P1432" s="8" t="n"/>
      <c r="Q1432" s="8" t="n"/>
      <c r="R1432" s="8" t="n"/>
      <c r="S1432" s="8" t="n"/>
      <c r="T1432" s="7" t="inlineStr">
        <is>
          <t>SEM COTAÇÃO</t>
        </is>
      </c>
      <c r="U1432" s="8" t="n"/>
      <c r="V1432" s="14" t="n"/>
      <c r="W1432" s="14" t="n"/>
      <c r="X1432" s="7" t="inlineStr"/>
      <c r="Y1432" s="7" t="inlineStr"/>
    </row>
    <row r="1433">
      <c r="A1433" s="7" t="n">
        <v>536141</v>
      </c>
      <c r="B1433" s="12" t="inlineStr">
        <is>
          <t>7891350034646</t>
        </is>
      </c>
      <c r="C1433" s="7" t="inlineStr">
        <is>
          <t>DESOD. MONANGE 90G HIDRATACAO INTENSIVA</t>
        </is>
      </c>
      <c r="D1433" s="7" t="inlineStr">
        <is>
          <t>PERF/COSME</t>
        </is>
      </c>
      <c r="E1433" s="7" t="inlineStr">
        <is>
          <t>B</t>
        </is>
      </c>
      <c r="F1433" s="13" t="n">
        <v>8</v>
      </c>
      <c r="G1433" s="13" t="n">
        <v>8</v>
      </c>
      <c r="H1433" s="8" t="n">
        <v>8.359999999999999</v>
      </c>
      <c r="I1433" s="8" t="n">
        <v>7.53</v>
      </c>
      <c r="J1433" s="8" t="n">
        <v>7.863333333333333</v>
      </c>
      <c r="K1433" s="8" t="n"/>
      <c r="L1433" s="8" t="n"/>
      <c r="M1433" s="8" t="n"/>
      <c r="N1433" s="8" t="n"/>
      <c r="O1433" s="8" t="n"/>
      <c r="P1433" s="8" t="n"/>
      <c r="Q1433" s="8" t="n"/>
      <c r="R1433" s="8" t="n"/>
      <c r="S1433" s="8" t="n"/>
      <c r="T1433" s="7" t="inlineStr">
        <is>
          <t>SEM COTAÇÃO</t>
        </is>
      </c>
      <c r="U1433" s="8" t="n"/>
      <c r="V1433" s="14" t="n"/>
      <c r="W1433" s="14" t="n"/>
      <c r="X1433" s="7" t="inlineStr"/>
      <c r="Y1433" s="7" t="inlineStr"/>
    </row>
    <row r="1434">
      <c r="A1434" s="7" t="n">
        <v>536121</v>
      </c>
      <c r="B1434" s="12" t="inlineStr">
        <is>
          <t>7898919411900</t>
        </is>
      </c>
      <c r="C1434" s="7" t="inlineStr">
        <is>
          <t>DESOD. MONANGE 90G INVISIVEL</t>
        </is>
      </c>
      <c r="D1434" s="7" t="inlineStr">
        <is>
          <t>ANTITRANSPIRANTE/DESODORANTE</t>
        </is>
      </c>
      <c r="E1434" s="7" t="inlineStr">
        <is>
          <t>B</t>
        </is>
      </c>
      <c r="F1434" s="13" t="n">
        <v>6</v>
      </c>
      <c r="G1434" s="13" t="n">
        <v>6</v>
      </c>
      <c r="H1434" s="8" t="n">
        <v>7.848</v>
      </c>
      <c r="I1434" s="8" t="n">
        <v>7.14</v>
      </c>
      <c r="J1434" s="8" t="n">
        <v>7.611999999999999</v>
      </c>
      <c r="K1434" s="8" t="n"/>
      <c r="L1434" s="8" t="n"/>
      <c r="M1434" s="8" t="n"/>
      <c r="N1434" s="8" t="n"/>
      <c r="O1434" s="8" t="n"/>
      <c r="P1434" s="8" t="n"/>
      <c r="Q1434" s="8" t="n"/>
      <c r="R1434" s="8" t="n"/>
      <c r="S1434" s="8" t="n"/>
      <c r="T1434" s="7" t="inlineStr">
        <is>
          <t>SEM COTAÇÃO</t>
        </is>
      </c>
      <c r="U1434" s="8" t="n"/>
      <c r="V1434" s="14" t="n"/>
      <c r="W1434" s="14" t="n"/>
      <c r="X1434" s="7" t="inlineStr"/>
      <c r="Y1434" s="7" t="inlineStr"/>
    </row>
    <row r="1435">
      <c r="A1435" s="7" t="n">
        <v>535901</v>
      </c>
      <c r="B1435" s="12" t="inlineStr">
        <is>
          <t>7891350032963</t>
        </is>
      </c>
      <c r="C1435" s="7" t="inlineStr">
        <is>
          <t>DESOD.ADIDAS 91G AEROSOL CLIMACOOL</t>
        </is>
      </c>
      <c r="D1435" s="7" t="inlineStr">
        <is>
          <t>PERF/COSME</t>
        </is>
      </c>
      <c r="E1435" s="7" t="inlineStr">
        <is>
          <t>C</t>
        </is>
      </c>
      <c r="F1435" s="13" t="n">
        <v>1</v>
      </c>
      <c r="G1435" s="13" t="n">
        <v>1</v>
      </c>
      <c r="H1435" s="8" t="n">
        <v>11.51</v>
      </c>
      <c r="I1435" s="8" t="n">
        <v>11.51</v>
      </c>
      <c r="J1435" s="8" t="n">
        <v>11.51</v>
      </c>
      <c r="K1435" s="8" t="n"/>
      <c r="L1435" s="8" t="n"/>
      <c r="M1435" s="8" t="n"/>
      <c r="N1435" s="8" t="n"/>
      <c r="O1435" s="8" t="n"/>
      <c r="P1435" s="8" t="n"/>
      <c r="Q1435" s="8" t="n"/>
      <c r="R1435" s="8" t="n"/>
      <c r="S1435" s="8" t="n"/>
      <c r="T1435" s="7" t="inlineStr">
        <is>
          <t>SEM COTAÇÃO</t>
        </is>
      </c>
      <c r="U1435" s="8" t="n"/>
      <c r="V1435" s="14" t="n"/>
      <c r="W1435" s="14" t="n"/>
      <c r="X1435" s="7" t="inlineStr"/>
      <c r="Y1435" s="7" t="inlineStr"/>
    </row>
    <row r="1436">
      <c r="A1436" s="7" t="n">
        <v>535981</v>
      </c>
      <c r="B1436" s="12" t="inlineStr">
        <is>
          <t>7891350032970</t>
        </is>
      </c>
      <c r="C1436" s="7" t="inlineStr">
        <is>
          <t>DESODORANTE AEROSOL INVISIBLE 90G/150 150ML BOZZANO</t>
        </is>
      </c>
      <c r="D1436" s="7" t="inlineStr">
        <is>
          <t>ANTITRANSPIRANTE/DESODORANTE</t>
        </is>
      </c>
      <c r="E1436" s="7" t="inlineStr">
        <is>
          <t>C</t>
        </is>
      </c>
      <c r="F1436" s="13" t="n">
        <v>1</v>
      </c>
      <c r="G1436" s="13" t="n">
        <v>1</v>
      </c>
      <c r="H1436" s="8" t="n">
        <v>8</v>
      </c>
      <c r="I1436" s="8" t="n">
        <v>8</v>
      </c>
      <c r="J1436" s="8" t="n">
        <v>8</v>
      </c>
      <c r="K1436" s="8" t="n"/>
      <c r="L1436" s="8" t="n"/>
      <c r="M1436" s="8" t="n"/>
      <c r="N1436" s="8" t="n"/>
      <c r="O1436" s="8" t="n"/>
      <c r="P1436" s="8" t="n"/>
      <c r="Q1436" s="8" t="n"/>
      <c r="R1436" s="8" t="n"/>
      <c r="S1436" s="8" t="n"/>
      <c r="T1436" s="7" t="inlineStr">
        <is>
          <t>SEM COTAÇÃO</t>
        </is>
      </c>
      <c r="U1436" s="8" t="n"/>
      <c r="V1436" s="14" t="n"/>
      <c r="W1436" s="14" t="n"/>
      <c r="X1436" s="7" t="inlineStr"/>
      <c r="Y1436" s="7" t="inlineStr"/>
    </row>
    <row r="1437">
      <c r="A1437" s="7" t="n">
        <v>537061</v>
      </c>
      <c r="B1437" s="12" t="inlineStr">
        <is>
          <t>7896806700014</t>
        </is>
      </c>
      <c r="C1437" s="7" t="inlineStr">
        <is>
          <t>DESODORANTE LEITE DE ROSAS 60ML UN</t>
        </is>
      </c>
      <c r="D1437" s="7" t="inlineStr">
        <is>
          <t>PERF/COSME</t>
        </is>
      </c>
      <c r="E1437" s="7" t="inlineStr">
        <is>
          <t>C</t>
        </is>
      </c>
      <c r="F1437" s="13" t="n">
        <v>1</v>
      </c>
      <c r="G1437" s="13" t="n">
        <v>1</v>
      </c>
      <c r="H1437" s="8" t="n">
        <v>3.2375</v>
      </c>
      <c r="I1437" s="8" t="n">
        <v>3.2375</v>
      </c>
      <c r="J1437" s="8" t="n">
        <v>3.237499999999999</v>
      </c>
      <c r="K1437" s="8" t="n"/>
      <c r="L1437" s="8" t="n"/>
      <c r="M1437" s="8" t="n"/>
      <c r="N1437" s="8" t="n"/>
      <c r="O1437" s="8" t="n"/>
      <c r="P1437" s="8" t="n"/>
      <c r="Q1437" s="8" t="n"/>
      <c r="R1437" s="8" t="n"/>
      <c r="S1437" s="8" t="n"/>
      <c r="T1437" s="7" t="inlineStr">
        <is>
          <t>SEM COTAÇÃO</t>
        </is>
      </c>
      <c r="U1437" s="8" t="n"/>
      <c r="V1437" s="14" t="n"/>
      <c r="W1437" s="14" t="n"/>
      <c r="X1437" s="7" t="inlineStr"/>
      <c r="Y1437" s="7" t="inlineStr"/>
    </row>
    <row r="1438">
      <c r="A1438" s="7" t="n">
        <v>535921</v>
      </c>
      <c r="B1438" s="12" t="inlineStr">
        <is>
          <t>7891350037807</t>
        </is>
      </c>
      <c r="C1438" s="7" t="inlineStr">
        <is>
          <t>DESODORANTE MASC AEROSOL COTY BOZZANO CARVAO ANTITRANSPIRANTE 90G</t>
        </is>
      </c>
      <c r="D1438" s="7" t="inlineStr">
        <is>
          <t>ANTITRANSPIRANTE/DESODORANTE</t>
        </is>
      </c>
      <c r="E1438" s="7" t="inlineStr">
        <is>
          <t>C</t>
        </is>
      </c>
      <c r="F1438" s="13" t="n">
        <v>1</v>
      </c>
      <c r="G1438" s="13" t="n">
        <v>1</v>
      </c>
      <c r="H1438" s="8" t="n">
        <v>6.85</v>
      </c>
      <c r="I1438" s="8" t="n">
        <v>6.85</v>
      </c>
      <c r="J1438" s="8" t="n">
        <v>6.849999999999999</v>
      </c>
      <c r="K1438" s="8" t="n"/>
      <c r="L1438" s="8" t="n"/>
      <c r="M1438" s="8" t="n"/>
      <c r="N1438" s="8" t="n"/>
      <c r="O1438" s="8" t="n"/>
      <c r="P1438" s="8" t="n"/>
      <c r="Q1438" s="8" t="n"/>
      <c r="R1438" s="8" t="n"/>
      <c r="S1438" s="8" t="n"/>
      <c r="T1438" s="7" t="inlineStr">
        <is>
          <t>SEM COTAÇÃO</t>
        </is>
      </c>
      <c r="U1438" s="8" t="n"/>
      <c r="V1438" s="14" t="n"/>
      <c r="W1438" s="14" t="n"/>
      <c r="X1438" s="7" t="inlineStr"/>
      <c r="Y1438" s="7" t="inlineStr"/>
    </row>
    <row r="1439">
      <c r="A1439" s="7" t="n">
        <v>553401</v>
      </c>
      <c r="B1439" s="12" t="inlineStr">
        <is>
          <t>7896020160069</t>
        </is>
      </c>
      <c r="C1439" s="7" t="inlineStr">
        <is>
          <t>DESODORANTE PÓ PARA OS PÉS BARUEL TENYS PÉ CANFORADO FRASCO 100G</t>
        </is>
      </c>
      <c r="D1439" s="7" t="inlineStr">
        <is>
          <t>PERF/COSME</t>
        </is>
      </c>
      <c r="E1439" s="7" t="inlineStr">
        <is>
          <t>C</t>
        </is>
      </c>
      <c r="F1439" s="13" t="n">
        <v>1</v>
      </c>
      <c r="G1439" s="13" t="n">
        <v>1</v>
      </c>
      <c r="H1439" s="8" t="n">
        <v>9.18</v>
      </c>
      <c r="I1439" s="8" t="n">
        <v>9.18</v>
      </c>
      <c r="J1439" s="8" t="n">
        <v>9.18</v>
      </c>
      <c r="K1439" s="8" t="n"/>
      <c r="L1439" s="8" t="n"/>
      <c r="M1439" s="8" t="n"/>
      <c r="N1439" s="8" t="n"/>
      <c r="O1439" s="8" t="n"/>
      <c r="P1439" s="8" t="n"/>
      <c r="Q1439" s="8" t="n"/>
      <c r="R1439" s="8" t="n"/>
      <c r="S1439" s="8" t="n"/>
      <c r="T1439" s="7" t="inlineStr">
        <is>
          <t>SEM COTAÇÃO</t>
        </is>
      </c>
      <c r="U1439" s="8" t="n"/>
      <c r="V1439" s="14" t="n"/>
      <c r="W1439" s="14" t="n"/>
      <c r="X1439" s="7" t="inlineStr"/>
      <c r="Y1439" s="7" t="inlineStr"/>
    </row>
    <row r="1440">
      <c r="A1440" s="7" t="n">
        <v>588641</v>
      </c>
      <c r="B1440" s="12" t="inlineStr"/>
      <c r="C1440" s="7" t="inlineStr">
        <is>
          <t>DESODORANTE REXONA 72H FRUTAS VERMELHAS 150ML/89G</t>
        </is>
      </c>
      <c r="D1440" s="7" t="inlineStr">
        <is>
          <t>PERF/COSME</t>
        </is>
      </c>
      <c r="E1440" s="7" t="inlineStr">
        <is>
          <t>A</t>
        </is>
      </c>
      <c r="F1440" s="13" t="n">
        <v>3</v>
      </c>
      <c r="G1440" s="13" t="n">
        <v>3</v>
      </c>
      <c r="H1440" s="8" t="n">
        <v>12.69</v>
      </c>
      <c r="I1440" s="8" t="n">
        <v>11.3367</v>
      </c>
      <c r="J1440" s="8" t="n">
        <v>12.2389</v>
      </c>
      <c r="K1440" s="8" t="n"/>
      <c r="L1440" s="8" t="n"/>
      <c r="M1440" s="8" t="n"/>
      <c r="N1440" s="8" t="n"/>
      <c r="O1440" s="8" t="n"/>
      <c r="P1440" s="8" t="n"/>
      <c r="Q1440" s="8" t="n"/>
      <c r="R1440" s="8" t="n"/>
      <c r="S1440" s="8" t="n"/>
      <c r="T1440" s="7" t="inlineStr">
        <is>
          <t>SEM COTAÇÃO</t>
        </is>
      </c>
      <c r="U1440" s="8" t="n"/>
      <c r="V1440" s="14" t="n"/>
      <c r="W1440" s="14" t="n"/>
      <c r="X1440" s="7" t="inlineStr"/>
      <c r="Y1440" s="7" t="inlineStr"/>
    </row>
    <row r="1441">
      <c r="A1441" s="7" t="n">
        <v>536241</v>
      </c>
      <c r="B1441" s="12" t="inlineStr">
        <is>
          <t>7891134004186</t>
        </is>
      </c>
      <c r="C1441" s="7" t="inlineStr">
        <is>
          <t>DESODORANTE SENADOR SPRAY CLASSIC</t>
        </is>
      </c>
      <c r="D1441" s="7" t="inlineStr">
        <is>
          <t>PERF/COSME</t>
        </is>
      </c>
      <c r="E1441" s="7" t="inlineStr">
        <is>
          <t>C</t>
        </is>
      </c>
      <c r="F1441" s="13" t="n">
        <v>1</v>
      </c>
      <c r="G1441" s="13" t="n">
        <v>1</v>
      </c>
      <c r="H1441" s="8" t="n"/>
      <c r="I1441" s="8" t="n"/>
      <c r="J1441" s="8" t="n"/>
      <c r="K1441" s="8" t="n"/>
      <c r="L1441" s="8" t="n"/>
      <c r="M1441" s="8" t="n"/>
      <c r="N1441" s="8" t="n"/>
      <c r="O1441" s="8" t="n"/>
      <c r="P1441" s="8" t="n"/>
      <c r="Q1441" s="8" t="n"/>
      <c r="R1441" s="8" t="n"/>
      <c r="S1441" s="8" t="n"/>
      <c r="T1441" s="7" t="inlineStr">
        <is>
          <t>SEM COTAÇÃO</t>
        </is>
      </c>
      <c r="U1441" s="8" t="n"/>
      <c r="V1441" s="14" t="n"/>
      <c r="W1441" s="14" t="n"/>
      <c r="X1441" s="7" t="inlineStr"/>
      <c r="Y1441" s="7" t="inlineStr"/>
    </row>
    <row r="1442">
      <c r="A1442" s="7" t="n">
        <v>534921</v>
      </c>
      <c r="B1442" s="12" t="inlineStr">
        <is>
          <t>7896020160106</t>
        </is>
      </c>
      <c r="C1442" s="7" t="inlineStr">
        <is>
          <t>DESODORANTE TENYS PE CONFORADO PO 60G BARUEL</t>
        </is>
      </c>
      <c r="D1442" s="7" t="inlineStr">
        <is>
          <t>PERF/COSME</t>
        </is>
      </c>
      <c r="E1442" s="7" t="inlineStr">
        <is>
          <t>C</t>
        </is>
      </c>
      <c r="F1442" s="13" t="n">
        <v>2</v>
      </c>
      <c r="G1442" s="13" t="n">
        <v>2</v>
      </c>
      <c r="H1442" s="8" t="n">
        <v>7.89</v>
      </c>
      <c r="I1442" s="8" t="n">
        <v>7.89</v>
      </c>
      <c r="J1442" s="8" t="n">
        <v>7.89</v>
      </c>
      <c r="K1442" s="8" t="n"/>
      <c r="L1442" s="8" t="n"/>
      <c r="M1442" s="8" t="n"/>
      <c r="N1442" s="8" t="n"/>
      <c r="O1442" s="8" t="n"/>
      <c r="P1442" s="8" t="n"/>
      <c r="Q1442" s="8" t="n"/>
      <c r="R1442" s="8" t="n"/>
      <c r="S1442" s="8" t="n"/>
      <c r="T1442" s="7" t="inlineStr">
        <is>
          <t>SEM COTAÇÃO</t>
        </is>
      </c>
      <c r="U1442" s="8" t="n"/>
      <c r="V1442" s="14" t="n"/>
      <c r="W1442" s="14" t="n"/>
      <c r="X1442" s="7" t="inlineStr"/>
      <c r="Y1442" s="7" t="inlineStr"/>
    </row>
    <row r="1443">
      <c r="A1443" s="7" t="n">
        <v>206061</v>
      </c>
      <c r="B1443" s="12" t="inlineStr">
        <is>
          <t>7898060132563</t>
        </is>
      </c>
      <c r="C1443" s="7" t="inlineStr">
        <is>
          <t>DESONIDA 0,5MG/G CREME DERM BG 30G</t>
        </is>
      </c>
      <c r="D1443" s="7" t="inlineStr">
        <is>
          <t>GENERICO</t>
        </is>
      </c>
      <c r="E1443" s="7" t="inlineStr">
        <is>
          <t>C</t>
        </is>
      </c>
      <c r="F1443" s="13" t="n">
        <v>2</v>
      </c>
      <c r="G1443" s="13" t="n">
        <v>2</v>
      </c>
      <c r="H1443" s="8" t="n">
        <v>6.65</v>
      </c>
      <c r="I1443" s="8" t="n">
        <v>6.65</v>
      </c>
      <c r="J1443" s="8" t="n">
        <v>6.650000000000001</v>
      </c>
      <c r="K1443" s="8" t="n"/>
      <c r="L1443" s="8" t="n"/>
      <c r="M1443" s="8" t="n"/>
      <c r="N1443" s="8" t="n"/>
      <c r="O1443" s="8" t="n"/>
      <c r="P1443" s="8" t="n"/>
      <c r="Q1443" s="8" t="n"/>
      <c r="R1443" s="8" t="n"/>
      <c r="S1443" s="8" t="n"/>
      <c r="T1443" s="7" t="inlineStr">
        <is>
          <t>SEM COTAÇÃO</t>
        </is>
      </c>
      <c r="U1443" s="8" t="n"/>
      <c r="V1443" s="14" t="n"/>
      <c r="W1443" s="14" t="n"/>
      <c r="X1443" s="7" t="inlineStr"/>
      <c r="Y1443" s="7" t="inlineStr"/>
    </row>
    <row r="1444">
      <c r="A1444" s="7" t="n">
        <v>661161</v>
      </c>
      <c r="B1444" s="12" t="inlineStr">
        <is>
          <t>7898569767556</t>
        </is>
      </c>
      <c r="C1444" s="7" t="inlineStr">
        <is>
          <t>DESVENLAFAXINA 50MG CX 30 COMP REV</t>
        </is>
      </c>
      <c r="D1444" s="7" t="inlineStr">
        <is>
          <t>GENERICO - CONTROLE</t>
        </is>
      </c>
      <c r="E1444" s="7" t="inlineStr">
        <is>
          <t>C</t>
        </is>
      </c>
      <c r="F1444" s="13" t="n">
        <v>1</v>
      </c>
      <c r="G1444" s="13" t="n">
        <v>1</v>
      </c>
      <c r="H1444" s="8" t="n">
        <v>24.56</v>
      </c>
      <c r="I1444" s="8" t="n">
        <v>24.56</v>
      </c>
      <c r="J1444" s="8" t="n">
        <v>24.56</v>
      </c>
      <c r="K1444" s="8" t="n"/>
      <c r="L1444" s="15" t="n">
        <v>29.27</v>
      </c>
      <c r="M1444" s="8" t="n"/>
      <c r="N1444" s="8" t="n"/>
      <c r="O1444" s="8" t="n"/>
      <c r="P1444" s="8" t="n">
        <v>34.08779</v>
      </c>
      <c r="Q1444" s="8" t="n">
        <v>32.03</v>
      </c>
      <c r="R1444" s="8" t="n"/>
      <c r="S1444" s="8" t="n"/>
      <c r="T1444" s="7" t="inlineStr">
        <is>
          <t>PLUSFARMA</t>
        </is>
      </c>
      <c r="U1444" s="8" t="n">
        <v>29.27</v>
      </c>
      <c r="V1444" s="14">
        <f>U1444/J1444-1</f>
        <v/>
      </c>
      <c r="W1444" s="14">
        <f>U1444/H1444-1</f>
        <v/>
      </c>
      <c r="X1444" s="16" t="inlineStr">
        <is>
          <t>ACIMA +19.2%</t>
        </is>
      </c>
      <c r="Y1444" s="7" t="inlineStr"/>
    </row>
    <row r="1445">
      <c r="A1445" s="7" t="n">
        <v>41803</v>
      </c>
      <c r="B1445" s="12" t="inlineStr"/>
      <c r="C1445" s="7" t="inlineStr">
        <is>
          <t>DEXA-CITONEURIN NFF C/3APX1ML (PGO)</t>
        </is>
      </c>
      <c r="D1445" s="7" t="inlineStr">
        <is>
          <t>RX</t>
        </is>
      </c>
      <c r="E1445" s="7" t="inlineStr">
        <is>
          <t>A</t>
        </is>
      </c>
      <c r="F1445" s="13" t="n">
        <v>13</v>
      </c>
      <c r="G1445" s="13" t="n">
        <v>13</v>
      </c>
      <c r="H1445" s="8" t="n">
        <v>37.23</v>
      </c>
      <c r="I1445" s="8" t="n">
        <v>33.1125</v>
      </c>
      <c r="J1445" s="8" t="n">
        <v>35.85749999999999</v>
      </c>
      <c r="K1445" s="8" t="n"/>
      <c r="L1445" s="8" t="n"/>
      <c r="M1445" s="8" t="n"/>
      <c r="N1445" s="8" t="n"/>
      <c r="O1445" s="8" t="n"/>
      <c r="P1445" s="8" t="n"/>
      <c r="Q1445" s="8" t="n"/>
      <c r="R1445" s="8" t="n"/>
      <c r="S1445" s="8" t="n"/>
      <c r="T1445" s="7" t="inlineStr">
        <is>
          <t>SEM COTAÇÃO</t>
        </is>
      </c>
      <c r="U1445" s="8" t="n"/>
      <c r="V1445" s="14" t="n"/>
      <c r="W1445" s="14" t="n"/>
      <c r="X1445" s="7" t="inlineStr"/>
      <c r="Y1445" s="7" t="inlineStr"/>
    </row>
    <row r="1446">
      <c r="A1446" s="7" t="n">
        <v>578141</v>
      </c>
      <c r="B1446" s="12" t="inlineStr">
        <is>
          <t>7899824400942</t>
        </is>
      </c>
      <c r="C1446" s="7" t="inlineStr">
        <is>
          <t>DEXADOR 5000MCG/ML SOL INJ 3AMP X 2ML+3AMP X 1ML</t>
        </is>
      </c>
      <c r="D1446" s="7" t="inlineStr">
        <is>
          <t>RX</t>
        </is>
      </c>
      <c r="E1446" s="7" t="inlineStr">
        <is>
          <t>B</t>
        </is>
      </c>
      <c r="F1446" s="13" t="n">
        <v>1</v>
      </c>
      <c r="G1446" s="13" t="n">
        <v>1</v>
      </c>
      <c r="H1446" s="8" t="n">
        <v>37.6</v>
      </c>
      <c r="I1446" s="8" t="n">
        <v>33.77</v>
      </c>
      <c r="J1446" s="8" t="n">
        <v>36.32333333333333</v>
      </c>
      <c r="K1446" s="8" t="n"/>
      <c r="L1446" s="8" t="n"/>
      <c r="M1446" s="15" t="n">
        <v>37.6</v>
      </c>
      <c r="N1446" s="8" t="n"/>
      <c r="O1446" s="8" t="n"/>
      <c r="P1446" s="8" t="n">
        <v>38.15009999999999</v>
      </c>
      <c r="Q1446" s="8" t="n"/>
      <c r="R1446" s="8" t="n"/>
      <c r="S1446" s="8" t="n"/>
      <c r="T1446" s="7" t="inlineStr">
        <is>
          <t>EPAN</t>
        </is>
      </c>
      <c r="U1446" s="8" t="n">
        <v>37.6</v>
      </c>
      <c r="V1446" s="14">
        <f>U1446/J1446-1</f>
        <v/>
      </c>
      <c r="W1446" s="14">
        <f>U1446/H1446-1</f>
        <v/>
      </c>
      <c r="X1446" s="17" t="inlineStr">
        <is>
          <t>OK (≤ últ. compra)</t>
        </is>
      </c>
      <c r="Y1446" s="7" t="inlineStr"/>
    </row>
    <row r="1447">
      <c r="A1447" s="7" t="n">
        <v>207901</v>
      </c>
      <c r="B1447" s="12" t="inlineStr">
        <is>
          <t>7896641808982</t>
        </is>
      </c>
      <c r="C1447" s="7" t="inlineStr">
        <is>
          <t>DEXILANT 30MG CX 30 CAP LIB RETARD</t>
        </is>
      </c>
      <c r="D1447" s="7" t="inlineStr">
        <is>
          <t>RX</t>
        </is>
      </c>
      <c r="E1447" s="7" t="inlineStr">
        <is>
          <t>A</t>
        </is>
      </c>
      <c r="F1447" s="13" t="n">
        <v>1</v>
      </c>
      <c r="G1447" s="13" t="n">
        <v>1</v>
      </c>
      <c r="H1447" s="8" t="n">
        <v>102.465</v>
      </c>
      <c r="I1447" s="8" t="n">
        <v>89.11499999999999</v>
      </c>
      <c r="J1447" s="8" t="n">
        <v>95.43833333333333</v>
      </c>
      <c r="K1447" s="8" t="n"/>
      <c r="L1447" s="8" t="n"/>
      <c r="M1447" s="8" t="n"/>
      <c r="N1447" s="8" t="n"/>
      <c r="O1447" s="8" t="n"/>
      <c r="P1447" s="15" t="n">
        <v>101.65</v>
      </c>
      <c r="Q1447" s="8" t="n"/>
      <c r="R1447" s="8" t="n"/>
      <c r="S1447" s="8" t="n"/>
      <c r="T1447" s="7" t="inlineStr">
        <is>
          <t>NAZARIA</t>
        </is>
      </c>
      <c r="U1447" s="8" t="n">
        <v>101.65</v>
      </c>
      <c r="V1447" s="14">
        <f>U1447/J1447-1</f>
        <v/>
      </c>
      <c r="W1447" s="14">
        <f>U1447/H1447-1</f>
        <v/>
      </c>
      <c r="X1447" s="17" t="inlineStr">
        <is>
          <t>OK (≤ últ. compra)</t>
        </is>
      </c>
      <c r="Y1447" s="7" t="inlineStr"/>
    </row>
    <row r="1448">
      <c r="A1448" s="7" t="n">
        <v>207821</v>
      </c>
      <c r="B1448" s="12" t="inlineStr">
        <is>
          <t>7896641809026</t>
        </is>
      </c>
      <c r="C1448" s="7" t="inlineStr">
        <is>
          <t>DEXILANT 60MG CX 30 CAP LIB RETARD</t>
        </is>
      </c>
      <c r="D1448" s="7" t="inlineStr">
        <is>
          <t>RX</t>
        </is>
      </c>
      <c r="E1448" s="7" t="inlineStr">
        <is>
          <t>A</t>
        </is>
      </c>
      <c r="F1448" s="13" t="n">
        <v>9</v>
      </c>
      <c r="G1448" s="13" t="n">
        <v>9</v>
      </c>
      <c r="H1448" s="8" t="n">
        <v>89.116</v>
      </c>
      <c r="I1448" s="8" t="n">
        <v>89.116</v>
      </c>
      <c r="J1448" s="8" t="n">
        <v>89.116</v>
      </c>
      <c r="K1448" s="8" t="n"/>
      <c r="L1448" s="8" t="n"/>
      <c r="M1448" s="8" t="n"/>
      <c r="N1448" s="8" t="n"/>
      <c r="O1448" s="8" t="n"/>
      <c r="P1448" s="15" t="n">
        <v>101.65</v>
      </c>
      <c r="Q1448" s="8" t="n"/>
      <c r="R1448" s="8" t="n"/>
      <c r="S1448" s="8" t="n"/>
      <c r="T1448" s="7" t="inlineStr">
        <is>
          <t>NAZARIA</t>
        </is>
      </c>
      <c r="U1448" s="8" t="n">
        <v>101.65</v>
      </c>
      <c r="V1448" s="14">
        <f>U1448/J1448-1</f>
        <v/>
      </c>
      <c r="W1448" s="14">
        <f>U1448/H1448-1</f>
        <v/>
      </c>
      <c r="X1448" s="16" t="inlineStr">
        <is>
          <t>ACIMA +14.1%</t>
        </is>
      </c>
      <c r="Y1448" s="7" t="inlineStr"/>
    </row>
    <row r="1449">
      <c r="A1449" s="7" t="n">
        <v>638251</v>
      </c>
      <c r="B1449" s="12" t="inlineStr">
        <is>
          <t>7899598008740</t>
        </is>
      </c>
      <c r="C1449" s="7" t="inlineStr">
        <is>
          <t>DIABO VERDE FTW INSANO ENERGETICO 150G</t>
        </is>
      </c>
      <c r="D1449" s="7" t="inlineStr">
        <is>
          <t>SUPLEMENTO</t>
        </is>
      </c>
      <c r="E1449" s="7" t="inlineStr">
        <is>
          <t>C</t>
        </is>
      </c>
      <c r="F1449" s="13" t="n">
        <v>1</v>
      </c>
      <c r="G1449" s="13" t="n">
        <v>1</v>
      </c>
      <c r="H1449" s="8" t="n">
        <v>56.91</v>
      </c>
      <c r="I1449" s="8" t="n">
        <v>56.91</v>
      </c>
      <c r="J1449" s="8" t="n">
        <v>56.91</v>
      </c>
      <c r="K1449" s="8" t="n"/>
      <c r="L1449" s="8" t="n"/>
      <c r="M1449" s="8" t="n"/>
      <c r="N1449" s="8" t="n"/>
      <c r="O1449" s="8" t="n"/>
      <c r="P1449" s="8" t="n"/>
      <c r="Q1449" s="8" t="n"/>
      <c r="R1449" s="8" t="n"/>
      <c r="S1449" s="15" t="n">
        <v>58</v>
      </c>
      <c r="T1449" s="7" t="inlineStr">
        <is>
          <t>AT_SUPLEMENTOS</t>
        </is>
      </c>
      <c r="U1449" s="8" t="n">
        <v>58</v>
      </c>
      <c r="V1449" s="14">
        <f>U1449/J1449-1</f>
        <v/>
      </c>
      <c r="W1449" s="14">
        <f>U1449/H1449-1</f>
        <v/>
      </c>
      <c r="X1449" s="16" t="inlineStr">
        <is>
          <t>ACIMA +1.9%</t>
        </is>
      </c>
      <c r="Y1449" s="7" t="inlineStr"/>
    </row>
    <row r="1450">
      <c r="A1450" s="7" t="n">
        <v>602171</v>
      </c>
      <c r="B1450" s="12" t="inlineStr">
        <is>
          <t>7898583666279</t>
        </is>
      </c>
      <c r="C1450" s="7" t="inlineStr">
        <is>
          <t>DIABO VERDE FTW INSANO FRUTAS AMARELAS 150G</t>
        </is>
      </c>
      <c r="D1450" s="7" t="inlineStr">
        <is>
          <t>SUPLEMENTO</t>
        </is>
      </c>
      <c r="E1450" s="7" t="inlineStr">
        <is>
          <t>B</t>
        </is>
      </c>
      <c r="F1450" s="13" t="n">
        <v>1</v>
      </c>
      <c r="G1450" s="13" t="n">
        <v>1</v>
      </c>
      <c r="H1450" s="8" t="n">
        <v>59.9</v>
      </c>
      <c r="I1450" s="8" t="n">
        <v>56.91</v>
      </c>
      <c r="J1450" s="8" t="n">
        <v>57.90666666666667</v>
      </c>
      <c r="K1450" s="8" t="n"/>
      <c r="L1450" s="8" t="n"/>
      <c r="M1450" s="8" t="n"/>
      <c r="N1450" s="8" t="n"/>
      <c r="O1450" s="8" t="n"/>
      <c r="P1450" s="8" t="n"/>
      <c r="Q1450" s="8" t="n"/>
      <c r="R1450" s="8" t="n"/>
      <c r="S1450" s="15" t="n">
        <v>58</v>
      </c>
      <c r="T1450" s="7" t="inlineStr">
        <is>
          <t>AT_SUPLEMENTOS</t>
        </is>
      </c>
      <c r="U1450" s="8" t="n">
        <v>58</v>
      </c>
      <c r="V1450" s="14">
        <f>U1450/J1450-1</f>
        <v/>
      </c>
      <c r="W1450" s="14">
        <f>U1450/H1450-1</f>
        <v/>
      </c>
      <c r="X1450" s="17" t="inlineStr">
        <is>
          <t>OK (≤ últ. compra)</t>
        </is>
      </c>
      <c r="Y1450" s="7" t="inlineStr"/>
    </row>
    <row r="1451">
      <c r="A1451" s="7" t="n">
        <v>602161</v>
      </c>
      <c r="B1451" s="12" t="inlineStr">
        <is>
          <t>7899598008733</t>
        </is>
      </c>
      <c r="C1451" s="7" t="inlineStr">
        <is>
          <t>DIABO VERDE FTW INSANO MACA VERDE 150G</t>
        </is>
      </c>
      <c r="D1451" s="7" t="inlineStr">
        <is>
          <t>SUPLEMENTO</t>
        </is>
      </c>
      <c r="E1451" s="7" t="inlineStr">
        <is>
          <t>C</t>
        </is>
      </c>
      <c r="F1451" s="13" t="n">
        <v>1</v>
      </c>
      <c r="G1451" s="13" t="n">
        <v>1</v>
      </c>
      <c r="H1451" s="8" t="n">
        <v>59.9</v>
      </c>
      <c r="I1451" s="8" t="n">
        <v>56.91</v>
      </c>
      <c r="J1451" s="8" t="n">
        <v>57.90666666666667</v>
      </c>
      <c r="K1451" s="8" t="n"/>
      <c r="L1451" s="8" t="n"/>
      <c r="M1451" s="8" t="n"/>
      <c r="N1451" s="8" t="n"/>
      <c r="O1451" s="8" t="n"/>
      <c r="P1451" s="8" t="n"/>
      <c r="Q1451" s="8" t="n"/>
      <c r="R1451" s="8" t="n"/>
      <c r="S1451" s="15" t="n">
        <v>58</v>
      </c>
      <c r="T1451" s="7" t="inlineStr">
        <is>
          <t>AT_SUPLEMENTOS</t>
        </is>
      </c>
      <c r="U1451" s="8" t="n">
        <v>58</v>
      </c>
      <c r="V1451" s="14">
        <f>U1451/J1451-1</f>
        <v/>
      </c>
      <c r="W1451" s="14">
        <f>U1451/H1451-1</f>
        <v/>
      </c>
      <c r="X1451" s="17" t="inlineStr">
        <is>
          <t>OK (≤ últ. compra)</t>
        </is>
      </c>
      <c r="Y1451" s="7" t="inlineStr"/>
    </row>
    <row r="1452">
      <c r="A1452" s="7" t="n">
        <v>638261</v>
      </c>
      <c r="B1452" s="12" t="inlineStr">
        <is>
          <t>7898583666538</t>
        </is>
      </c>
      <c r="C1452" s="7" t="inlineStr">
        <is>
          <t>DIABO VERDE FTW PRE WORKOUT LIMAO 150</t>
        </is>
      </c>
      <c r="D1452" s="7" t="inlineStr">
        <is>
          <t>SUPLEMENTO</t>
        </is>
      </c>
      <c r="E1452" s="7" t="inlineStr">
        <is>
          <t>B</t>
        </is>
      </c>
      <c r="F1452" s="13" t="n">
        <v>1</v>
      </c>
      <c r="G1452" s="13" t="n">
        <v>1</v>
      </c>
      <c r="H1452" s="8" t="n">
        <v>59.9</v>
      </c>
      <c r="I1452" s="8" t="n">
        <v>58.79</v>
      </c>
      <c r="J1452" s="8" t="n">
        <v>59.53</v>
      </c>
      <c r="K1452" s="8" t="n"/>
      <c r="L1452" s="8" t="n"/>
      <c r="M1452" s="8" t="n"/>
      <c r="N1452" s="8" t="n"/>
      <c r="O1452" s="8" t="n"/>
      <c r="P1452" s="8" t="n"/>
      <c r="Q1452" s="8" t="n"/>
      <c r="R1452" s="8" t="n"/>
      <c r="S1452" s="15" t="n">
        <v>58</v>
      </c>
      <c r="T1452" s="7" t="inlineStr">
        <is>
          <t>AT_SUPLEMENTOS</t>
        </is>
      </c>
      <c r="U1452" s="8" t="n">
        <v>58</v>
      </c>
      <c r="V1452" s="14">
        <f>U1452/J1452-1</f>
        <v/>
      </c>
      <c r="W1452" s="14">
        <f>U1452/H1452-1</f>
        <v/>
      </c>
      <c r="X1452" s="17" t="inlineStr">
        <is>
          <t>OK (≤ menor hist.)</t>
        </is>
      </c>
      <c r="Y1452" s="7" t="inlineStr"/>
    </row>
    <row r="1453">
      <c r="A1453" s="7" t="n">
        <v>655871</v>
      </c>
      <c r="B1453" s="12" t="inlineStr">
        <is>
          <t>7899598025495</t>
        </is>
      </c>
      <c r="C1453" s="7" t="inlineStr">
        <is>
          <t>DIABO VERDE PRE WORKOUT FTW FRUTAS VERMELHAS 150G</t>
        </is>
      </c>
      <c r="D1453" s="7" t="inlineStr">
        <is>
          <t>SUPLEMENTO</t>
        </is>
      </c>
      <c r="E1453" s="7" t="inlineStr">
        <is>
          <t>B</t>
        </is>
      </c>
      <c r="F1453" s="13" t="n">
        <v>1</v>
      </c>
      <c r="G1453" s="13" t="n">
        <v>1</v>
      </c>
      <c r="H1453" s="8" t="n">
        <v>59.9</v>
      </c>
      <c r="I1453" s="8" t="n">
        <v>56.91</v>
      </c>
      <c r="J1453" s="8" t="n">
        <v>57.90666666666667</v>
      </c>
      <c r="K1453" s="8" t="n"/>
      <c r="L1453" s="8" t="n"/>
      <c r="M1453" s="8" t="n"/>
      <c r="N1453" s="8" t="n"/>
      <c r="O1453" s="8" t="n"/>
      <c r="P1453" s="8" t="n"/>
      <c r="Q1453" s="8" t="n"/>
      <c r="R1453" s="8" t="n"/>
      <c r="S1453" s="15" t="n">
        <v>58</v>
      </c>
      <c r="T1453" s="7" t="inlineStr">
        <is>
          <t>AT_SUPLEMENTOS</t>
        </is>
      </c>
      <c r="U1453" s="8" t="n">
        <v>58</v>
      </c>
      <c r="V1453" s="14">
        <f>U1453/J1453-1</f>
        <v/>
      </c>
      <c r="W1453" s="14">
        <f>U1453/H1453-1</f>
        <v/>
      </c>
      <c r="X1453" s="17" t="inlineStr">
        <is>
          <t>OK (≤ últ. compra)</t>
        </is>
      </c>
      <c r="Y1453" s="7" t="inlineStr"/>
    </row>
    <row r="1454">
      <c r="A1454" s="7" t="n">
        <v>539561</v>
      </c>
      <c r="B1454" s="12" t="inlineStr">
        <is>
          <t>7891106913966</t>
        </is>
      </c>
      <c r="C1454" s="7" t="inlineStr">
        <is>
          <t>DIANE 35 2+0,035MG CX 21 DRG</t>
        </is>
      </c>
      <c r="D1454" s="7" t="inlineStr">
        <is>
          <t>RX</t>
        </is>
      </c>
      <c r="E1454" s="7" t="inlineStr">
        <is>
          <t>A</t>
        </is>
      </c>
      <c r="F1454" s="13" t="n">
        <v>5</v>
      </c>
      <c r="G1454" s="13" t="n">
        <v>5</v>
      </c>
      <c r="H1454" s="8" t="n">
        <v>32.08</v>
      </c>
      <c r="I1454" s="8" t="n">
        <v>27.875</v>
      </c>
      <c r="J1454" s="8" t="n">
        <v>30.225</v>
      </c>
      <c r="K1454" s="8" t="n"/>
      <c r="L1454" s="8" t="n"/>
      <c r="M1454" s="8" t="n">
        <v>32.08</v>
      </c>
      <c r="N1454" s="8" t="n"/>
      <c r="O1454" s="8" t="n"/>
      <c r="P1454" s="15" t="n">
        <v>31.1904</v>
      </c>
      <c r="Q1454" s="8" t="n"/>
      <c r="R1454" s="8" t="n"/>
      <c r="S1454" s="8" t="n"/>
      <c r="T1454" s="7" t="inlineStr">
        <is>
          <t>NAZARIA</t>
        </is>
      </c>
      <c r="U1454" s="8" t="n">
        <v>31.1904</v>
      </c>
      <c r="V1454" s="14">
        <f>U1454/J1454-1</f>
        <v/>
      </c>
      <c r="W1454" s="14">
        <f>U1454/H1454-1</f>
        <v/>
      </c>
      <c r="X1454" s="17" t="inlineStr">
        <is>
          <t>OK (≤ últ. compra)</t>
        </is>
      </c>
      <c r="Y1454" s="7" t="inlineStr"/>
    </row>
    <row r="1455">
      <c r="A1455" s="7" t="n">
        <v>4621</v>
      </c>
      <c r="B1455" s="12" t="inlineStr"/>
      <c r="C1455" s="7" t="inlineStr">
        <is>
          <t>DICLIN 2+0,035MG CX 21 COMP REV</t>
        </is>
      </c>
      <c r="D1455" s="7" t="inlineStr">
        <is>
          <t>RX</t>
        </is>
      </c>
      <c r="E1455" s="7" t="inlineStr">
        <is>
          <t>B</t>
        </is>
      </c>
      <c r="F1455" s="13" t="n">
        <v>1</v>
      </c>
      <c r="G1455" s="13" t="n">
        <v>1</v>
      </c>
      <c r="H1455" s="8" t="n">
        <v>18.035</v>
      </c>
      <c r="I1455" s="8" t="n">
        <v>16.73</v>
      </c>
      <c r="J1455" s="8" t="n">
        <v>17.415</v>
      </c>
      <c r="K1455" s="8" t="n"/>
      <c r="L1455" s="8" t="n"/>
      <c r="M1455" s="8" t="n"/>
      <c r="N1455" s="8" t="n"/>
      <c r="O1455" s="8" t="n"/>
      <c r="P1455" s="8" t="n"/>
      <c r="Q1455" s="8" t="n"/>
      <c r="R1455" s="8" t="n"/>
      <c r="S1455" s="8" t="n"/>
      <c r="T1455" s="7" t="inlineStr">
        <is>
          <t>SEM COTAÇÃO</t>
        </is>
      </c>
      <c r="U1455" s="8" t="n"/>
      <c r="V1455" s="14" t="n"/>
      <c r="W1455" s="14" t="n"/>
      <c r="X1455" s="7" t="inlineStr"/>
      <c r="Y1455" s="7" t="inlineStr"/>
    </row>
    <row r="1456">
      <c r="A1456" s="7" t="n">
        <v>417861</v>
      </c>
      <c r="B1456" s="12" t="inlineStr">
        <is>
          <t>7896523211855</t>
        </is>
      </c>
      <c r="C1456" s="7" t="inlineStr">
        <is>
          <t>DICLOFENACO RESINATO 15MG/ML SUS OR FR GOT X 20ML</t>
        </is>
      </c>
      <c r="D1456" s="7" t="inlineStr">
        <is>
          <t>GENERICO</t>
        </is>
      </c>
      <c r="E1456" s="7" t="inlineStr">
        <is>
          <t>C</t>
        </is>
      </c>
      <c r="F1456" s="13" t="n">
        <v>1</v>
      </c>
      <c r="G1456" s="13" t="n">
        <v>1</v>
      </c>
      <c r="H1456" s="8" t="n">
        <v>3.89</v>
      </c>
      <c r="I1456" s="8" t="n">
        <v>3.89</v>
      </c>
      <c r="J1456" s="8" t="n">
        <v>3.89</v>
      </c>
      <c r="K1456" s="8" t="n"/>
      <c r="L1456" s="8" t="n"/>
      <c r="M1456" s="8" t="n"/>
      <c r="N1456" s="8" t="n"/>
      <c r="O1456" s="8" t="n"/>
      <c r="P1456" s="8" t="n"/>
      <c r="Q1456" s="8" t="n"/>
      <c r="R1456" s="8" t="n"/>
      <c r="S1456" s="8" t="n"/>
      <c r="T1456" s="7" t="inlineStr">
        <is>
          <t>SEM COTAÇÃO</t>
        </is>
      </c>
      <c r="U1456" s="8" t="n"/>
      <c r="V1456" s="14" t="n"/>
      <c r="W1456" s="14" t="n"/>
      <c r="X1456" s="7" t="inlineStr"/>
      <c r="Y1456" s="7" t="inlineStr"/>
    </row>
    <row r="1457">
      <c r="A1457" s="7" t="n">
        <v>490121</v>
      </c>
      <c r="B1457" s="12" t="inlineStr">
        <is>
          <t>7897917004008</t>
        </is>
      </c>
      <c r="C1457" s="7" t="inlineStr">
        <is>
          <t>DICLOFENACO SODICO 50MG CX 20 COMP REV</t>
        </is>
      </c>
      <c r="D1457" s="7" t="inlineStr">
        <is>
          <t>GENERICO</t>
        </is>
      </c>
      <c r="E1457" s="7" t="inlineStr">
        <is>
          <t>C</t>
        </is>
      </c>
      <c r="F1457" s="13" t="n">
        <v>4</v>
      </c>
      <c r="G1457" s="13" t="n">
        <v>4</v>
      </c>
      <c r="H1457" s="8" t="n">
        <v>1.65</v>
      </c>
      <c r="I1457" s="8" t="n">
        <v>1.65</v>
      </c>
      <c r="J1457" s="8" t="n">
        <v>1.65</v>
      </c>
      <c r="K1457" s="15" t="n">
        <v>1.65</v>
      </c>
      <c r="L1457" s="8" t="n"/>
      <c r="M1457" s="8" t="n"/>
      <c r="N1457" s="8" t="n"/>
      <c r="O1457" s="8" t="n"/>
      <c r="P1457" s="8" t="n"/>
      <c r="Q1457" s="8" t="n">
        <v>2.2</v>
      </c>
      <c r="R1457" s="8" t="n">
        <v>1.84</v>
      </c>
      <c r="S1457" s="8" t="n"/>
      <c r="T1457" s="7" t="inlineStr">
        <is>
          <t>DIMEC</t>
        </is>
      </c>
      <c r="U1457" s="8" t="n">
        <v>1.65</v>
      </c>
      <c r="V1457" s="14">
        <f>U1457/J1457-1</f>
        <v/>
      </c>
      <c r="W1457" s="14">
        <f>U1457/H1457-1</f>
        <v/>
      </c>
      <c r="X1457" s="17" t="inlineStr">
        <is>
          <t>OK (≤ menor hist.)</t>
        </is>
      </c>
      <c r="Y1457" s="7" t="inlineStr"/>
    </row>
    <row r="1458">
      <c r="A1458" s="7" t="n">
        <v>150061</v>
      </c>
      <c r="B1458" s="12" t="inlineStr">
        <is>
          <t>7895296053044</t>
        </is>
      </c>
      <c r="C1458" s="7" t="inlineStr">
        <is>
          <t>DICLORIDRATO DE HIDROXIZINA 25MG CX 30 COMP</t>
        </is>
      </c>
      <c r="D1458" s="7" t="inlineStr">
        <is>
          <t>GENERICO</t>
        </is>
      </c>
      <c r="E1458" s="7" t="inlineStr">
        <is>
          <t>C</t>
        </is>
      </c>
      <c r="F1458" s="13" t="n">
        <v>1</v>
      </c>
      <c r="G1458" s="13" t="n">
        <v>1</v>
      </c>
      <c r="H1458" s="8" t="n">
        <v>26.56</v>
      </c>
      <c r="I1458" s="8" t="n">
        <v>26.56</v>
      </c>
      <c r="J1458" s="8" t="n">
        <v>26.56</v>
      </c>
      <c r="K1458" s="8" t="n">
        <v>28.96</v>
      </c>
      <c r="L1458" s="15" t="n">
        <v>28.55</v>
      </c>
      <c r="M1458" s="8" t="n"/>
      <c r="N1458" s="8" t="n"/>
      <c r="O1458" s="8" t="n"/>
      <c r="P1458" s="8" t="n"/>
      <c r="Q1458" s="8" t="n">
        <v>30.06</v>
      </c>
      <c r="R1458" s="8" t="n"/>
      <c r="S1458" s="8" t="n"/>
      <c r="T1458" s="7" t="inlineStr">
        <is>
          <t>PLUSFARMA</t>
        </is>
      </c>
      <c r="U1458" s="8" t="n">
        <v>28.55</v>
      </c>
      <c r="V1458" s="14">
        <f>U1458/J1458-1</f>
        <v/>
      </c>
      <c r="W1458" s="14">
        <f>U1458/H1458-1</f>
        <v/>
      </c>
      <c r="X1458" s="16" t="inlineStr">
        <is>
          <t>ACIMA +7.5%</t>
        </is>
      </c>
      <c r="Y1458" s="7" t="inlineStr"/>
    </row>
    <row r="1459">
      <c r="A1459" s="7" t="n">
        <v>214</v>
      </c>
      <c r="B1459" s="12" t="inlineStr">
        <is>
          <t>7898216367016</t>
        </is>
      </c>
      <c r="C1459" s="7" t="inlineStr">
        <is>
          <t>DICLORIDRATO DE LEVOCETIRIZINA</t>
        </is>
      </c>
      <c r="D1459" s="7" t="inlineStr">
        <is>
          <t>GENERICO</t>
        </is>
      </c>
      <c r="E1459" s="7" t="inlineStr">
        <is>
          <t>B</t>
        </is>
      </c>
      <c r="F1459" s="13" t="n">
        <v>6</v>
      </c>
      <c r="G1459" s="13" t="n">
        <v>6</v>
      </c>
      <c r="H1459" s="8" t="n">
        <v>8.48</v>
      </c>
      <c r="I1459" s="8" t="n">
        <v>8.48</v>
      </c>
      <c r="J1459" s="8" t="n">
        <v>8.48</v>
      </c>
      <c r="K1459" s="8" t="n">
        <v>9.17</v>
      </c>
      <c r="L1459" s="8" t="n"/>
      <c r="M1459" s="8" t="n"/>
      <c r="N1459" s="8" t="n"/>
      <c r="O1459" s="8" t="n">
        <v>11.67</v>
      </c>
      <c r="P1459" s="8" t="n"/>
      <c r="Q1459" s="8" t="n"/>
      <c r="R1459" s="15" t="n">
        <v>7.73</v>
      </c>
      <c r="S1459" s="8" t="n"/>
      <c r="T1459" s="7" t="inlineStr">
        <is>
          <t>BRASFARMA</t>
        </is>
      </c>
      <c r="U1459" s="8" t="n">
        <v>7.73</v>
      </c>
      <c r="V1459" s="14">
        <f>U1459/J1459-1</f>
        <v/>
      </c>
      <c r="W1459" s="14">
        <f>U1459/H1459-1</f>
        <v/>
      </c>
      <c r="X1459" s="17" t="inlineStr">
        <is>
          <t>OK (≤ menor hist.)</t>
        </is>
      </c>
      <c r="Y1459" s="7" t="inlineStr"/>
    </row>
    <row r="1460">
      <c r="A1460" s="7" t="n">
        <v>634331</v>
      </c>
      <c r="B1460" s="12" t="inlineStr">
        <is>
          <t>7897473207677</t>
        </is>
      </c>
      <c r="C1460" s="7" t="inlineStr">
        <is>
          <t>DICLORIDRATO DE LEVOCETIRIZINA 5,0MG CX 10 COMP REV</t>
        </is>
      </c>
      <c r="D1460" s="7" t="inlineStr">
        <is>
          <t>GENERICO</t>
        </is>
      </c>
      <c r="E1460" s="7" t="inlineStr">
        <is>
          <t>B</t>
        </is>
      </c>
      <c r="F1460" s="13" t="n">
        <v>4</v>
      </c>
      <c r="G1460" s="13" t="n">
        <v>4</v>
      </c>
      <c r="H1460" s="8" t="n">
        <v>10.055</v>
      </c>
      <c r="I1460" s="8" t="n">
        <v>10.055</v>
      </c>
      <c r="J1460" s="8" t="n">
        <v>10.055</v>
      </c>
      <c r="K1460" s="8" t="n"/>
      <c r="L1460" s="8" t="n"/>
      <c r="M1460" s="8" t="n"/>
      <c r="N1460" s="8" t="n"/>
      <c r="O1460" s="8" t="n"/>
      <c r="P1460" s="8" t="n"/>
      <c r="Q1460" s="8" t="n"/>
      <c r="R1460" s="8" t="n"/>
      <c r="S1460" s="8" t="n"/>
      <c r="T1460" s="7" t="inlineStr">
        <is>
          <t>SEM COTAÇÃO</t>
        </is>
      </c>
      <c r="U1460" s="8" t="n"/>
      <c r="V1460" s="14" t="n"/>
      <c r="W1460" s="14" t="n"/>
      <c r="X1460" s="7" t="inlineStr"/>
      <c r="Y1460" s="7" t="inlineStr"/>
    </row>
    <row r="1461">
      <c r="A1461" s="7" t="n">
        <v>662011</v>
      </c>
      <c r="B1461" s="12" t="inlineStr">
        <is>
          <t>7891058002688</t>
        </is>
      </c>
      <c r="C1461" s="7" t="inlineStr">
        <is>
          <t>DICLORIDRATO DE TRIMETAZIDINA 35MG 30CPR MED-GENERICO</t>
        </is>
      </c>
      <c r="D1461" s="7" t="inlineStr">
        <is>
          <t>GENERICO</t>
        </is>
      </c>
      <c r="E1461" s="7" t="inlineStr">
        <is>
          <t>B</t>
        </is>
      </c>
      <c r="F1461" s="13" t="n">
        <v>2</v>
      </c>
      <c r="G1461" s="13" t="n">
        <v>2</v>
      </c>
      <c r="H1461" s="8" t="n">
        <v>27.95</v>
      </c>
      <c r="I1461" s="8" t="n">
        <v>25.3067</v>
      </c>
      <c r="J1461" s="8" t="n">
        <v>27.0689</v>
      </c>
      <c r="K1461" s="8" t="n"/>
      <c r="L1461" s="8" t="n"/>
      <c r="M1461" s="8" t="n"/>
      <c r="N1461" s="8" t="n"/>
      <c r="O1461" s="8" t="n"/>
      <c r="P1461" s="15" t="n">
        <v>37.81044</v>
      </c>
      <c r="Q1461" s="8" t="n"/>
      <c r="R1461" s="8" t="n"/>
      <c r="S1461" s="8" t="n"/>
      <c r="T1461" s="7" t="inlineStr">
        <is>
          <t>NAZARIA</t>
        </is>
      </c>
      <c r="U1461" s="8" t="n">
        <v>37.81044</v>
      </c>
      <c r="V1461" s="14">
        <f>U1461/J1461-1</f>
        <v/>
      </c>
      <c r="W1461" s="14">
        <f>U1461/H1461-1</f>
        <v/>
      </c>
      <c r="X1461" s="16" t="inlineStr">
        <is>
          <t>ACIMA +35.3%</t>
        </is>
      </c>
      <c r="Y1461" s="7" t="inlineStr"/>
    </row>
    <row r="1462">
      <c r="A1462" s="7" t="n">
        <v>638271</v>
      </c>
      <c r="B1462" s="12" t="inlineStr">
        <is>
          <t>7899085567576</t>
        </is>
      </c>
      <c r="C1462" s="7" t="inlineStr">
        <is>
          <t>DILA PUMP ADAPTOGEN LIMONADA 150G</t>
        </is>
      </c>
      <c r="D1462" s="7" t="inlineStr">
        <is>
          <t>SUPLEMENTO</t>
        </is>
      </c>
      <c r="E1462" s="7" t="inlineStr">
        <is>
          <t>C</t>
        </is>
      </c>
      <c r="F1462" s="13" t="n">
        <v>1</v>
      </c>
      <c r="G1462" s="13" t="n">
        <v>1</v>
      </c>
      <c r="H1462" s="8" t="n">
        <v>51.21</v>
      </c>
      <c r="I1462" s="8" t="n">
        <v>51.21</v>
      </c>
      <c r="J1462" s="8" t="n">
        <v>51.21</v>
      </c>
      <c r="K1462" s="8" t="n"/>
      <c r="L1462" s="8" t="n"/>
      <c r="M1462" s="8" t="n"/>
      <c r="N1462" s="8" t="n"/>
      <c r="O1462" s="8" t="n"/>
      <c r="P1462" s="8" t="n"/>
      <c r="Q1462" s="8" t="n"/>
      <c r="R1462" s="8" t="n"/>
      <c r="S1462" s="15" t="n">
        <v>62</v>
      </c>
      <c r="T1462" s="7" t="inlineStr">
        <is>
          <t>AT_SUPLEMENTOS</t>
        </is>
      </c>
      <c r="U1462" s="8" t="n">
        <v>62</v>
      </c>
      <c r="V1462" s="14">
        <f>U1462/J1462-1</f>
        <v/>
      </c>
      <c r="W1462" s="14">
        <f>U1462/H1462-1</f>
        <v/>
      </c>
      <c r="X1462" s="16" t="inlineStr">
        <is>
          <t>ACIMA +21.1%</t>
        </is>
      </c>
      <c r="Y1462" s="7" t="inlineStr"/>
    </row>
    <row r="1463">
      <c r="A1463" s="7" t="n">
        <v>222121</v>
      </c>
      <c r="B1463" s="12" t="inlineStr">
        <is>
          <t>7898166041004</t>
        </is>
      </c>
      <c r="C1463" s="7" t="inlineStr">
        <is>
          <t>DIPIFARMA 500 MG/ML SOL INJ CX 100 AMP VD AMB X 2 ML (EMB HOSP)</t>
        </is>
      </c>
      <c r="D1463" s="7" t="inlineStr">
        <is>
          <t>CONVENIENCIA</t>
        </is>
      </c>
      <c r="E1463" s="7" t="inlineStr">
        <is>
          <t>C</t>
        </is>
      </c>
      <c r="F1463" s="13" t="n">
        <v>1</v>
      </c>
      <c r="G1463" s="13" t="n">
        <v>1</v>
      </c>
      <c r="H1463" s="8" t="n">
        <v>2.56</v>
      </c>
      <c r="I1463" s="8" t="n">
        <v>2.56</v>
      </c>
      <c r="J1463" s="8" t="n">
        <v>2.56</v>
      </c>
      <c r="K1463" s="15" t="n">
        <v>81</v>
      </c>
      <c r="L1463" s="8" t="n"/>
      <c r="M1463" s="8" t="n"/>
      <c r="N1463" s="8" t="n"/>
      <c r="O1463" s="8" t="n"/>
      <c r="P1463" s="8" t="n"/>
      <c r="Q1463" s="8" t="n"/>
      <c r="R1463" s="8" t="n"/>
      <c r="S1463" s="8" t="n"/>
      <c r="T1463" s="7" t="inlineStr">
        <is>
          <t>DIMEC</t>
        </is>
      </c>
      <c r="U1463" s="8" t="n">
        <v>81</v>
      </c>
      <c r="V1463" s="14">
        <f>U1463/J1463-1</f>
        <v/>
      </c>
      <c r="W1463" s="14">
        <f>U1463/H1463-1</f>
        <v/>
      </c>
      <c r="X1463" s="16" t="inlineStr">
        <is>
          <t>ACIMA +3064.1%</t>
        </is>
      </c>
      <c r="Y1463" s="7" t="inlineStr">
        <is>
          <t>DIMEC: conferir emb.</t>
        </is>
      </c>
    </row>
    <row r="1464">
      <c r="A1464" s="7" t="n">
        <v>664761</v>
      </c>
      <c r="B1464" s="12" t="inlineStr">
        <is>
          <t>7896523201887</t>
        </is>
      </c>
      <c r="C1464" s="7" t="inlineStr">
        <is>
          <t>DIPIRONA 1G CX 10 COMP</t>
        </is>
      </c>
      <c r="D1464" s="7" t="inlineStr">
        <is>
          <t>GENERICO</t>
        </is>
      </c>
      <c r="E1464" s="7" t="inlineStr">
        <is>
          <t>B</t>
        </is>
      </c>
      <c r="F1464" s="13" t="n">
        <v>119</v>
      </c>
      <c r="G1464" s="13" t="n">
        <v>119</v>
      </c>
      <c r="H1464" s="8" t="n">
        <v>3.99</v>
      </c>
      <c r="I1464" s="8" t="n">
        <v>3.99</v>
      </c>
      <c r="J1464" s="8" t="n">
        <v>3.99</v>
      </c>
      <c r="K1464" s="8" t="n"/>
      <c r="L1464" s="8" t="n"/>
      <c r="M1464" s="8" t="n"/>
      <c r="N1464" s="8" t="n"/>
      <c r="O1464" s="8" t="n"/>
      <c r="P1464" s="15" t="n">
        <v>11.56</v>
      </c>
      <c r="Q1464" s="8" t="n"/>
      <c r="R1464" s="8" t="n"/>
      <c r="S1464" s="8" t="n"/>
      <c r="T1464" s="7" t="inlineStr">
        <is>
          <t>NAZARIA</t>
        </is>
      </c>
      <c r="U1464" s="8" t="n">
        <v>11.56</v>
      </c>
      <c r="V1464" s="14">
        <f>U1464/J1464-1</f>
        <v/>
      </c>
      <c r="W1464" s="14">
        <f>U1464/H1464-1</f>
        <v/>
      </c>
      <c r="X1464" s="16" t="inlineStr">
        <is>
          <t>ACIMA +189.7%</t>
        </is>
      </c>
      <c r="Y1464" s="7" t="inlineStr">
        <is>
          <t>NAZARIA: conferir emb.</t>
        </is>
      </c>
    </row>
    <row r="1465">
      <c r="A1465" s="7" t="n">
        <v>558021</v>
      </c>
      <c r="B1465" s="12" t="inlineStr">
        <is>
          <t>00742832304719</t>
        </is>
      </c>
      <c r="C1465" s="7" t="inlineStr">
        <is>
          <t>DIPIRONA 500MG CT 10CP</t>
        </is>
      </c>
      <c r="D1465" s="7" t="inlineStr">
        <is>
          <t>GENERICO</t>
        </is>
      </c>
      <c r="E1465" s="7" t="inlineStr">
        <is>
          <t>C</t>
        </is>
      </c>
      <c r="F1465" s="13" t="n">
        <v>1</v>
      </c>
      <c r="G1465" s="13" t="n">
        <v>1</v>
      </c>
      <c r="H1465" s="8" t="n"/>
      <c r="I1465" s="8" t="n"/>
      <c r="J1465" s="8" t="n"/>
      <c r="K1465" s="15" t="n">
        <v>17.91</v>
      </c>
      <c r="L1465" s="8" t="n"/>
      <c r="M1465" s="8" t="n"/>
      <c r="N1465" s="8" t="n"/>
      <c r="O1465" s="8" t="n"/>
      <c r="P1465" s="8" t="n"/>
      <c r="Q1465" s="8" t="n"/>
      <c r="R1465" s="8" t="n"/>
      <c r="S1465" s="8" t="n"/>
      <c r="T1465" s="7" t="inlineStr">
        <is>
          <t>DIMEC</t>
        </is>
      </c>
      <c r="U1465" s="8" t="n">
        <v>17.91</v>
      </c>
      <c r="V1465" s="14" t="n"/>
      <c r="W1465" s="14" t="n"/>
      <c r="X1465" s="7" t="inlineStr">
        <is>
          <t>SEM HISTÓRICO</t>
        </is>
      </c>
      <c r="Y1465" s="7" t="inlineStr"/>
    </row>
    <row r="1466">
      <c r="A1466" s="7" t="n">
        <v>625321</v>
      </c>
      <c r="B1466" s="12" t="inlineStr">
        <is>
          <t>7891058002602</t>
        </is>
      </c>
      <c r="C1466" s="7" t="inlineStr">
        <is>
          <t>DIPIRONA MONOIDRATADA 1G CX 10 COMP</t>
        </is>
      </c>
      <c r="D1466" s="7" t="inlineStr">
        <is>
          <t>GENERICO</t>
        </is>
      </c>
      <c r="E1466" s="7" t="inlineStr">
        <is>
          <t>A</t>
        </is>
      </c>
      <c r="F1466" s="13" t="n">
        <v>74</v>
      </c>
      <c r="G1466" s="13" t="n">
        <v>74</v>
      </c>
      <c r="H1466" s="8" t="n">
        <v>6.9818</v>
      </c>
      <c r="I1466" s="8" t="n">
        <v>3.9342</v>
      </c>
      <c r="J1466" s="8" t="n">
        <v>5.965933333333333</v>
      </c>
      <c r="K1466" s="8" t="n"/>
      <c r="L1466" s="8" t="n"/>
      <c r="M1466" s="8" t="n"/>
      <c r="N1466" s="8" t="n"/>
      <c r="O1466" s="8" t="n"/>
      <c r="P1466" s="15" t="n">
        <v>10.88472</v>
      </c>
      <c r="Q1466" s="8" t="n"/>
      <c r="R1466" s="8" t="n"/>
      <c r="S1466" s="8" t="n"/>
      <c r="T1466" s="7" t="inlineStr">
        <is>
          <t>NAZARIA</t>
        </is>
      </c>
      <c r="U1466" s="8" t="n">
        <v>10.88472</v>
      </c>
      <c r="V1466" s="14">
        <f>U1466/J1466-1</f>
        <v/>
      </c>
      <c r="W1466" s="14">
        <f>U1466/H1466-1</f>
        <v/>
      </c>
      <c r="X1466" s="16" t="inlineStr">
        <is>
          <t>ACIMA +55.9%</t>
        </is>
      </c>
      <c r="Y1466" s="7" t="inlineStr"/>
    </row>
    <row r="1467">
      <c r="A1467" s="7" t="n">
        <v>222681</v>
      </c>
      <c r="B1467" s="12" t="inlineStr">
        <is>
          <t>7896422507059</t>
        </is>
      </c>
      <c r="C1467" s="7" t="inlineStr">
        <is>
          <t>DIPIRONA MONOIDRATADA 500MG CX 30 COMP</t>
        </is>
      </c>
      <c r="D1467" s="7" t="inlineStr">
        <is>
          <t>GENERICO</t>
        </is>
      </c>
      <c r="E1467" s="7" t="inlineStr">
        <is>
          <t>C</t>
        </is>
      </c>
      <c r="F1467" s="13" t="n">
        <v>1</v>
      </c>
      <c r="G1467" s="13" t="n">
        <v>1</v>
      </c>
      <c r="H1467" s="8" t="n">
        <v>5.535</v>
      </c>
      <c r="I1467" s="8" t="n">
        <v>4.76</v>
      </c>
      <c r="J1467" s="8" t="n">
        <v>5.273333333333333</v>
      </c>
      <c r="K1467" s="8" t="n"/>
      <c r="L1467" s="8" t="n"/>
      <c r="M1467" s="8" t="n"/>
      <c r="N1467" s="8" t="n"/>
      <c r="O1467" s="8" t="n"/>
      <c r="P1467" s="15" t="n">
        <v>15.631</v>
      </c>
      <c r="Q1467" s="8" t="n"/>
      <c r="R1467" s="8" t="n"/>
      <c r="S1467" s="8" t="n"/>
      <c r="T1467" s="7" t="inlineStr">
        <is>
          <t>NAZARIA</t>
        </is>
      </c>
      <c r="U1467" s="8" t="n">
        <v>15.631</v>
      </c>
      <c r="V1467" s="14">
        <f>U1467/J1467-1</f>
        <v/>
      </c>
      <c r="W1467" s="14">
        <f>U1467/H1467-1</f>
        <v/>
      </c>
      <c r="X1467" s="16" t="inlineStr">
        <is>
          <t>ACIMA +182.4%</t>
        </is>
      </c>
      <c r="Y1467" s="7" t="inlineStr">
        <is>
          <t>NAZARIA: conferir emb.</t>
        </is>
      </c>
    </row>
    <row r="1468">
      <c r="A1468" s="7" t="n">
        <v>221081</v>
      </c>
      <c r="B1468" s="12" t="inlineStr">
        <is>
          <t>7896422506229</t>
        </is>
      </c>
      <c r="C1468" s="7" t="inlineStr">
        <is>
          <t>DIPIRONA MONOIDRATADA 500MG/ML SOL ORAL FR GTS 10ML</t>
        </is>
      </c>
      <c r="D1468" s="7" t="inlineStr">
        <is>
          <t>GENERICO</t>
        </is>
      </c>
      <c r="E1468" s="7" t="inlineStr">
        <is>
          <t>A</t>
        </is>
      </c>
      <c r="F1468" s="13" t="n">
        <v>50</v>
      </c>
      <c r="G1468" s="13" t="n">
        <v>50</v>
      </c>
      <c r="H1468" s="8" t="n">
        <v>2.9836</v>
      </c>
      <c r="I1468" s="8" t="n">
        <v>1.2221</v>
      </c>
      <c r="J1468" s="8" t="n">
        <v>2.396433333333333</v>
      </c>
      <c r="K1468" s="8" t="n"/>
      <c r="L1468" s="8" t="n"/>
      <c r="M1468" s="8" t="n"/>
      <c r="N1468" s="8" t="n"/>
      <c r="O1468" s="8" t="n"/>
      <c r="P1468" s="15" t="n">
        <v>5.4288</v>
      </c>
      <c r="Q1468" s="8" t="n"/>
      <c r="R1468" s="8" t="n"/>
      <c r="S1468" s="8" t="n"/>
      <c r="T1468" s="7" t="inlineStr">
        <is>
          <t>NAZARIA</t>
        </is>
      </c>
      <c r="U1468" s="8" t="n">
        <v>5.4288</v>
      </c>
      <c r="V1468" s="14">
        <f>U1468/J1468-1</f>
        <v/>
      </c>
      <c r="W1468" s="14">
        <f>U1468/H1468-1</f>
        <v/>
      </c>
      <c r="X1468" s="16" t="inlineStr">
        <is>
          <t>ACIMA +82.0%</t>
        </is>
      </c>
      <c r="Y1468" s="7" t="inlineStr"/>
    </row>
    <row r="1469">
      <c r="A1469" s="7" t="n">
        <v>222661</v>
      </c>
      <c r="B1469" s="12" t="inlineStr">
        <is>
          <t>7896422506243</t>
        </is>
      </c>
      <c r="C1469" s="7" t="inlineStr">
        <is>
          <t>DIPIRONA MONOIDRATADA 50MG/ML SOL ORAL X 100ML+COP MED</t>
        </is>
      </c>
      <c r="D1469" s="7" t="inlineStr">
        <is>
          <t>GENERICO</t>
        </is>
      </c>
      <c r="E1469" s="7" t="inlineStr">
        <is>
          <t>A</t>
        </is>
      </c>
      <c r="F1469" s="13" t="n">
        <v>26</v>
      </c>
      <c r="G1469" s="13" t="n">
        <v>26</v>
      </c>
      <c r="H1469" s="8" t="n">
        <v>6.7696</v>
      </c>
      <c r="I1469" s="8" t="n">
        <v>5.805</v>
      </c>
      <c r="J1469" s="8" t="n">
        <v>6.447866666666667</v>
      </c>
      <c r="K1469" s="8" t="n"/>
      <c r="L1469" s="8" t="n"/>
      <c r="M1469" s="8" t="n"/>
      <c r="N1469" s="8" t="n"/>
      <c r="O1469" s="8" t="n"/>
      <c r="P1469" s="15" t="n">
        <v>10.9604</v>
      </c>
      <c r="Q1469" s="8" t="n"/>
      <c r="R1469" s="8" t="n"/>
      <c r="S1469" s="8" t="n"/>
      <c r="T1469" s="7" t="inlineStr">
        <is>
          <t>NAZARIA</t>
        </is>
      </c>
      <c r="U1469" s="8" t="n">
        <v>10.9604</v>
      </c>
      <c r="V1469" s="14">
        <f>U1469/J1469-1</f>
        <v/>
      </c>
      <c r="W1469" s="14">
        <f>U1469/H1469-1</f>
        <v/>
      </c>
      <c r="X1469" s="16" t="inlineStr">
        <is>
          <t>ACIMA +61.9%</t>
        </is>
      </c>
      <c r="Y1469" s="7" t="inlineStr"/>
    </row>
    <row r="1470">
      <c r="A1470" s="7" t="n">
        <v>35003</v>
      </c>
      <c r="B1470" s="12" t="inlineStr">
        <is>
          <t>7896714297101</t>
        </is>
      </c>
      <c r="C1470" s="7" t="inlineStr">
        <is>
          <t>DIPROPIONATO DE BETAMETASONA CREME 30GR</t>
        </is>
      </c>
      <c r="D1470" s="7" t="inlineStr">
        <is>
          <t>GENERICO</t>
        </is>
      </c>
      <c r="E1470" s="7" t="inlineStr">
        <is>
          <t>C</t>
        </is>
      </c>
      <c r="F1470" s="13" t="n">
        <v>2</v>
      </c>
      <c r="G1470" s="13" t="n">
        <v>2</v>
      </c>
      <c r="H1470" s="8" t="n">
        <v>15.61</v>
      </c>
      <c r="I1470" s="8" t="n">
        <v>15.61</v>
      </c>
      <c r="J1470" s="8" t="n">
        <v>15.61</v>
      </c>
      <c r="K1470" s="8" t="n"/>
      <c r="L1470" s="8" t="n"/>
      <c r="M1470" s="8" t="n"/>
      <c r="N1470" s="8" t="n"/>
      <c r="O1470" s="8" t="n"/>
      <c r="P1470" s="8" t="n"/>
      <c r="Q1470" s="15" t="n">
        <v>14.99</v>
      </c>
      <c r="R1470" s="8" t="n"/>
      <c r="S1470" s="8" t="n"/>
      <c r="T1470" s="7" t="inlineStr">
        <is>
          <t>MEDCENTRO</t>
        </is>
      </c>
      <c r="U1470" s="8" t="n">
        <v>14.99</v>
      </c>
      <c r="V1470" s="14">
        <f>U1470/J1470-1</f>
        <v/>
      </c>
      <c r="W1470" s="14">
        <f>U1470/H1470-1</f>
        <v/>
      </c>
      <c r="X1470" s="17" t="inlineStr">
        <is>
          <t>OK (≤ menor hist.)</t>
        </is>
      </c>
      <c r="Y1470" s="7" t="inlineStr"/>
    </row>
    <row r="1471">
      <c r="A1471" s="7" t="n">
        <v>627241</v>
      </c>
      <c r="B1471" s="12" t="inlineStr">
        <is>
          <t>7898932370871</t>
        </is>
      </c>
      <c r="C1471" s="7" t="inlineStr">
        <is>
          <t>DISPOSITIVO LAVAGEM NASAL 240ML UNICORNI</t>
        </is>
      </c>
      <c r="D1471" s="7" t="inlineStr">
        <is>
          <t>UTENSILIOS</t>
        </is>
      </c>
      <c r="E1471" s="7" t="inlineStr">
        <is>
          <t>C</t>
        </is>
      </c>
      <c r="F1471" s="13" t="n">
        <v>1</v>
      </c>
      <c r="G1471" s="13" t="n">
        <v>1</v>
      </c>
      <c r="H1471" s="8" t="n">
        <v>19.95</v>
      </c>
      <c r="I1471" s="8" t="n">
        <v>19.95</v>
      </c>
      <c r="J1471" s="8" t="n">
        <v>19.95</v>
      </c>
      <c r="K1471" s="8" t="n"/>
      <c r="L1471" s="8" t="n"/>
      <c r="M1471" s="8" t="n"/>
      <c r="N1471" s="8" t="n"/>
      <c r="O1471" s="8" t="n"/>
      <c r="P1471" s="8" t="n"/>
      <c r="Q1471" s="8" t="n"/>
      <c r="R1471" s="8" t="n"/>
      <c r="S1471" s="8" t="n"/>
      <c r="T1471" s="7" t="inlineStr">
        <is>
          <t>SEM COTAÇÃO</t>
        </is>
      </c>
      <c r="U1471" s="8" t="n"/>
      <c r="V1471" s="14" t="n"/>
      <c r="W1471" s="14" t="n"/>
      <c r="X1471" s="7" t="inlineStr"/>
      <c r="Y1471" s="7" t="inlineStr"/>
    </row>
    <row r="1472">
      <c r="A1472" s="7" t="n">
        <v>607311</v>
      </c>
      <c r="B1472" s="12" t="inlineStr">
        <is>
          <t>7896058593389</t>
        </is>
      </c>
      <c r="C1472" s="7" t="inlineStr">
        <is>
          <t>DISQUETI AMENDOIM CHOC CONF 39GR</t>
        </is>
      </c>
      <c r="D1472" s="7" t="inlineStr">
        <is>
          <t>CONVENIENCIA</t>
        </is>
      </c>
      <c r="E1472" s="7" t="inlineStr">
        <is>
          <t>A</t>
        </is>
      </c>
      <c r="F1472" s="13" t="n">
        <v>10</v>
      </c>
      <c r="G1472" s="13" t="n">
        <v>10</v>
      </c>
      <c r="H1472" s="8" t="n">
        <v>2.9835</v>
      </c>
      <c r="I1472" s="8" t="n">
        <v>2.6576</v>
      </c>
      <c r="J1472" s="8" t="n">
        <v>2.816366666666667</v>
      </c>
      <c r="K1472" s="8" t="n"/>
      <c r="L1472" s="8" t="n"/>
      <c r="M1472" s="8" t="n"/>
      <c r="N1472" s="8" t="n"/>
      <c r="O1472" s="8" t="n"/>
      <c r="P1472" s="8" t="n"/>
      <c r="Q1472" s="8" t="n"/>
      <c r="R1472" s="8" t="n"/>
      <c r="S1472" s="8" t="n"/>
      <c r="T1472" s="7" t="inlineStr">
        <is>
          <t>SEM COTAÇÃO</t>
        </is>
      </c>
      <c r="U1472" s="8" t="n"/>
      <c r="V1472" s="14" t="n"/>
      <c r="W1472" s="14" t="n"/>
      <c r="X1472" s="7" t="inlineStr"/>
      <c r="Y1472" s="7" t="inlineStr"/>
    </row>
    <row r="1473">
      <c r="A1473" s="7" t="n">
        <v>613161</v>
      </c>
      <c r="B1473" s="12" t="inlineStr">
        <is>
          <t>7896058599442</t>
        </is>
      </c>
      <c r="C1473" s="7" t="inlineStr">
        <is>
          <t>DISQUETI AMENDOIM CHOC CONF POUCH 120G</t>
        </is>
      </c>
      <c r="D1473" s="7" t="inlineStr">
        <is>
          <t>CONVENIENCIA</t>
        </is>
      </c>
      <c r="E1473" s="7" t="inlineStr">
        <is>
          <t>C</t>
        </is>
      </c>
      <c r="F1473" s="13" t="n">
        <v>1</v>
      </c>
      <c r="G1473" s="13" t="n">
        <v>1</v>
      </c>
      <c r="H1473" s="8" t="n">
        <v>8.26</v>
      </c>
      <c r="I1473" s="8" t="n">
        <v>8.26</v>
      </c>
      <c r="J1473" s="8" t="n">
        <v>8.26</v>
      </c>
      <c r="K1473" s="8" t="n"/>
      <c r="L1473" s="8" t="n"/>
      <c r="M1473" s="8" t="n"/>
      <c r="N1473" s="8" t="n"/>
      <c r="O1473" s="8" t="n"/>
      <c r="P1473" s="8" t="n"/>
      <c r="Q1473" s="8" t="n"/>
      <c r="R1473" s="8" t="n"/>
      <c r="S1473" s="8" t="n"/>
      <c r="T1473" s="7" t="inlineStr">
        <is>
          <t>SEM COTAÇÃO</t>
        </is>
      </c>
      <c r="U1473" s="8" t="n"/>
      <c r="V1473" s="14" t="n"/>
      <c r="W1473" s="14" t="n"/>
      <c r="X1473" s="7" t="inlineStr"/>
      <c r="Y1473" s="7" t="inlineStr"/>
    </row>
    <row r="1474">
      <c r="A1474" s="7" t="n">
        <v>633391</v>
      </c>
      <c r="B1474" s="12" t="inlineStr">
        <is>
          <t>7896058502145</t>
        </is>
      </c>
      <c r="C1474" s="7" t="inlineStr">
        <is>
          <t>DISQUETI CHOCO BANANA CONF 40G CR</t>
        </is>
      </c>
      <c r="D1474" s="7" t="inlineStr">
        <is>
          <t>CONVENIENCIA</t>
        </is>
      </c>
      <c r="E1474" s="7" t="inlineStr">
        <is>
          <t>C</t>
        </is>
      </c>
      <c r="F1474" s="13" t="n">
        <v>6</v>
      </c>
      <c r="G1474" s="13" t="n">
        <v>6</v>
      </c>
      <c r="H1474" s="8" t="n">
        <v>3.25</v>
      </c>
      <c r="I1474" s="8" t="n">
        <v>3.25</v>
      </c>
      <c r="J1474" s="8" t="n">
        <v>3.25</v>
      </c>
      <c r="K1474" s="8" t="n"/>
      <c r="L1474" s="8" t="n"/>
      <c r="M1474" s="8" t="n"/>
      <c r="N1474" s="8" t="n"/>
      <c r="O1474" s="8" t="n"/>
      <c r="P1474" s="8" t="n"/>
      <c r="Q1474" s="8" t="n"/>
      <c r="R1474" s="8" t="n"/>
      <c r="S1474" s="8" t="n"/>
      <c r="T1474" s="7" t="inlineStr">
        <is>
          <t>SEM COTAÇÃO</t>
        </is>
      </c>
      <c r="U1474" s="8" t="n"/>
      <c r="V1474" s="14" t="n"/>
      <c r="W1474" s="14" t="n"/>
      <c r="X1474" s="7" t="inlineStr"/>
      <c r="Y1474" s="7" t="inlineStr"/>
    </row>
    <row r="1475">
      <c r="A1475" s="7" t="n">
        <v>661791</v>
      </c>
      <c r="B1475" s="12" t="inlineStr">
        <is>
          <t>7896058502619</t>
        </is>
      </c>
      <c r="C1475" s="7" t="inlineStr">
        <is>
          <t>DISQUETI CHOCO BLUEBERRY CONF 40G CR 15X40G QTD. 1.00 CR</t>
        </is>
      </c>
      <c r="D1475" s="7" t="inlineStr">
        <is>
          <t>CONVENIENCIA</t>
        </is>
      </c>
      <c r="E1475" s="7" t="inlineStr">
        <is>
          <t>C</t>
        </is>
      </c>
      <c r="F1475" s="13" t="n">
        <v>1</v>
      </c>
      <c r="G1475" s="13" t="n">
        <v>1</v>
      </c>
      <c r="H1475" s="8" t="n">
        <v>2.7367</v>
      </c>
      <c r="I1475" s="8" t="n">
        <v>2.7367</v>
      </c>
      <c r="J1475" s="8" t="n">
        <v>2.7367</v>
      </c>
      <c r="K1475" s="8" t="n"/>
      <c r="L1475" s="8" t="n"/>
      <c r="M1475" s="8" t="n"/>
      <c r="N1475" s="8" t="n"/>
      <c r="O1475" s="8" t="n"/>
      <c r="P1475" s="8" t="n"/>
      <c r="Q1475" s="8" t="n"/>
      <c r="R1475" s="8" t="n"/>
      <c r="S1475" s="8" t="n"/>
      <c r="T1475" s="7" t="inlineStr">
        <is>
          <t>SEM COTAÇÃO</t>
        </is>
      </c>
      <c r="U1475" s="8" t="n"/>
      <c r="V1475" s="14" t="n"/>
      <c r="W1475" s="14" t="n"/>
      <c r="X1475" s="7" t="inlineStr"/>
      <c r="Y1475" s="7" t="inlineStr"/>
    </row>
    <row r="1476">
      <c r="A1476" s="7" t="n">
        <v>607301</v>
      </c>
      <c r="B1476" s="12" t="inlineStr">
        <is>
          <t>7896058593402</t>
        </is>
      </c>
      <c r="C1476" s="7" t="inlineStr">
        <is>
          <t>DISQUETI CHOCOLATE BRANCO CONF 40GR CR 40G</t>
        </is>
      </c>
      <c r="D1476" s="7" t="inlineStr">
        <is>
          <t>CONVENIENCIA</t>
        </is>
      </c>
      <c r="E1476" s="7" t="inlineStr">
        <is>
          <t>A</t>
        </is>
      </c>
      <c r="F1476" s="13" t="n">
        <v>4</v>
      </c>
      <c r="G1476" s="13" t="n">
        <v>4</v>
      </c>
      <c r="H1476" s="8" t="n">
        <v>3.2809</v>
      </c>
      <c r="I1476" s="8" t="n">
        <v>3.088</v>
      </c>
      <c r="J1476" s="8" t="n">
        <v>3.1523</v>
      </c>
      <c r="K1476" s="8" t="n"/>
      <c r="L1476" s="8" t="n"/>
      <c r="M1476" s="8" t="n"/>
      <c r="N1476" s="8" t="n"/>
      <c r="O1476" s="8" t="n"/>
      <c r="P1476" s="8" t="n"/>
      <c r="Q1476" s="8" t="n"/>
      <c r="R1476" s="8" t="n"/>
      <c r="S1476" s="8" t="n"/>
      <c r="T1476" s="7" t="inlineStr">
        <is>
          <t>SEM COTAÇÃO</t>
        </is>
      </c>
      <c r="U1476" s="8" t="n"/>
      <c r="V1476" s="14" t="n"/>
      <c r="W1476" s="14" t="n"/>
      <c r="X1476" s="7" t="inlineStr"/>
      <c r="Y1476" s="7" t="inlineStr"/>
    </row>
    <row r="1477">
      <c r="A1477" s="7" t="n">
        <v>596621</v>
      </c>
      <c r="B1477" s="12" t="inlineStr">
        <is>
          <t>7896058593365</t>
        </is>
      </c>
      <c r="C1477" s="7" t="inlineStr">
        <is>
          <t>DISQUETI CHOCOLATE CONF 40GR</t>
        </is>
      </c>
      <c r="D1477" s="7" t="inlineStr">
        <is>
          <t>CONVENIENCIA</t>
        </is>
      </c>
      <c r="E1477" s="7" t="inlineStr">
        <is>
          <t>A</t>
        </is>
      </c>
      <c r="F1477" s="13" t="n">
        <v>29</v>
      </c>
      <c r="G1477" s="13" t="n">
        <v>29</v>
      </c>
      <c r="H1477" s="8" t="n">
        <v>2.9835</v>
      </c>
      <c r="I1477" s="8" t="n">
        <v>2.6576</v>
      </c>
      <c r="J1477" s="8" t="n">
        <v>2.816366666666667</v>
      </c>
      <c r="K1477" s="8" t="n"/>
      <c r="L1477" s="8" t="n"/>
      <c r="M1477" s="8" t="n"/>
      <c r="N1477" s="8" t="n"/>
      <c r="O1477" s="8" t="n"/>
      <c r="P1477" s="8" t="n"/>
      <c r="Q1477" s="8" t="n"/>
      <c r="R1477" s="8" t="n"/>
      <c r="S1477" s="8" t="n"/>
      <c r="T1477" s="7" t="inlineStr">
        <is>
          <t>SEM COTAÇÃO</t>
        </is>
      </c>
      <c r="U1477" s="8" t="n"/>
      <c r="V1477" s="14" t="n"/>
      <c r="W1477" s="14" t="n"/>
      <c r="X1477" s="7" t="inlineStr"/>
      <c r="Y1477" s="7" t="inlineStr"/>
    </row>
    <row r="1478">
      <c r="A1478" s="7" t="n">
        <v>590921</v>
      </c>
      <c r="B1478" s="12" t="inlineStr">
        <is>
          <t>7896058599398</t>
        </is>
      </c>
      <c r="C1478" s="7" t="inlineStr">
        <is>
          <t>DISQUETI CHOCOLATE CONF 60G</t>
        </is>
      </c>
      <c r="D1478" s="7" t="inlineStr">
        <is>
          <t>CONVENIENCIA</t>
        </is>
      </c>
      <c r="E1478" s="7" t="inlineStr">
        <is>
          <t>A</t>
        </is>
      </c>
      <c r="F1478" s="13" t="n">
        <v>4</v>
      </c>
      <c r="G1478" s="13" t="n">
        <v>4</v>
      </c>
      <c r="H1478" s="8" t="n">
        <v>4.75</v>
      </c>
      <c r="I1478" s="8" t="n">
        <v>4.75</v>
      </c>
      <c r="J1478" s="8" t="n">
        <v>4.75</v>
      </c>
      <c r="K1478" s="8" t="n"/>
      <c r="L1478" s="8" t="n"/>
      <c r="M1478" s="8" t="n"/>
      <c r="N1478" s="8" t="n"/>
      <c r="O1478" s="8" t="n"/>
      <c r="P1478" s="8" t="n"/>
      <c r="Q1478" s="8" t="n"/>
      <c r="R1478" s="8" t="n"/>
      <c r="S1478" s="8" t="n"/>
      <c r="T1478" s="7" t="inlineStr">
        <is>
          <t>SEM COTAÇÃO</t>
        </is>
      </c>
      <c r="U1478" s="8" t="n"/>
      <c r="V1478" s="14" t="n"/>
      <c r="W1478" s="14" t="n"/>
      <c r="X1478" s="7" t="inlineStr"/>
      <c r="Y1478" s="7" t="inlineStr"/>
    </row>
    <row r="1479">
      <c r="A1479" s="7" t="n">
        <v>124261</v>
      </c>
      <c r="B1479" s="12" t="inlineStr">
        <is>
          <t>7891317010065</t>
        </is>
      </c>
      <c r="C1479" s="7" t="inlineStr">
        <is>
          <t>DIUPRESS 25+5MG CX 30 COMP</t>
        </is>
      </c>
      <c r="D1479" s="7" t="inlineStr">
        <is>
          <t>RX</t>
        </is>
      </c>
      <c r="E1479" s="7" t="inlineStr">
        <is>
          <t>B</t>
        </is>
      </c>
      <c r="F1479" s="13" t="n">
        <v>1</v>
      </c>
      <c r="G1479" s="13" t="n">
        <v>1</v>
      </c>
      <c r="H1479" s="8" t="n">
        <v>32.61</v>
      </c>
      <c r="I1479" s="8" t="n">
        <v>31.18</v>
      </c>
      <c r="J1479" s="8" t="n">
        <v>32.13333333333333</v>
      </c>
      <c r="K1479" s="8" t="n"/>
      <c r="L1479" s="8" t="n"/>
      <c r="M1479" s="8" t="n"/>
      <c r="N1479" s="8" t="n"/>
      <c r="O1479" s="8" t="n"/>
      <c r="P1479" s="15" t="n">
        <v>33.99619999999999</v>
      </c>
      <c r="Q1479" s="8" t="n"/>
      <c r="R1479" s="8" t="n"/>
      <c r="S1479" s="8" t="n"/>
      <c r="T1479" s="7" t="inlineStr">
        <is>
          <t>NAZARIA</t>
        </is>
      </c>
      <c r="U1479" s="8" t="n">
        <v>33.99619999999999</v>
      </c>
      <c r="V1479" s="14">
        <f>U1479/J1479-1</f>
        <v/>
      </c>
      <c r="W1479" s="14">
        <f>U1479/H1479-1</f>
        <v/>
      </c>
      <c r="X1479" s="16" t="inlineStr">
        <is>
          <t>ACIMA +4.3%</t>
        </is>
      </c>
      <c r="Y1479" s="7" t="inlineStr"/>
    </row>
    <row r="1480">
      <c r="A1480" s="7" t="n">
        <v>662711</v>
      </c>
      <c r="B1480" s="12" t="inlineStr"/>
      <c r="C1480" s="7" t="inlineStr">
        <is>
          <t>DOCTAR PLUS SH ANTI CASPA 240ML-DEMAIS PROD</t>
        </is>
      </c>
      <c r="D1480" s="7" t="inlineStr">
        <is>
          <t>RX - DERMO</t>
        </is>
      </c>
      <c r="E1480" s="7" t="inlineStr">
        <is>
          <t>A</t>
        </is>
      </c>
      <c r="F1480" s="13" t="n">
        <v>1</v>
      </c>
      <c r="G1480" s="13" t="n">
        <v>1</v>
      </c>
      <c r="H1480" s="8" t="n">
        <v>95.84</v>
      </c>
      <c r="I1480" s="8" t="n">
        <v>91.05</v>
      </c>
      <c r="J1480" s="8" t="n">
        <v>92.64666666666666</v>
      </c>
      <c r="K1480" s="8" t="n"/>
      <c r="L1480" s="8" t="n"/>
      <c r="M1480" s="8" t="n"/>
      <c r="N1480" s="8" t="n"/>
      <c r="O1480" s="8" t="n"/>
      <c r="P1480" s="8" t="n"/>
      <c r="Q1480" s="8" t="n"/>
      <c r="R1480" s="8" t="n"/>
      <c r="S1480" s="8" t="n"/>
      <c r="T1480" s="7" t="inlineStr">
        <is>
          <t>SEM COTAÇÃO</t>
        </is>
      </c>
      <c r="U1480" s="8" t="n"/>
      <c r="V1480" s="14" t="n"/>
      <c r="W1480" s="14" t="n"/>
      <c r="X1480" s="7" t="inlineStr"/>
      <c r="Y1480" s="7" t="inlineStr"/>
    </row>
    <row r="1481">
      <c r="A1481" s="7" t="n">
        <v>134841</v>
      </c>
      <c r="B1481" s="12" t="inlineStr"/>
      <c r="C1481" s="7" t="inlineStr">
        <is>
          <t>DOLAMIN FLEX 125+5,0MG CX 12 COMP REV</t>
        </is>
      </c>
      <c r="D1481" s="7" t="inlineStr">
        <is>
          <t>RX</t>
        </is>
      </c>
      <c r="E1481" s="7" t="inlineStr">
        <is>
          <t>A</t>
        </is>
      </c>
      <c r="F1481" s="13" t="n">
        <v>1</v>
      </c>
      <c r="G1481" s="13" t="n">
        <v>1</v>
      </c>
      <c r="H1481" s="8" t="n">
        <v>41.03</v>
      </c>
      <c r="I1481" s="8" t="n">
        <v>26.9</v>
      </c>
      <c r="J1481" s="8" t="n">
        <v>26.9</v>
      </c>
      <c r="K1481" s="8" t="n"/>
      <c r="L1481" s="8" t="n"/>
      <c r="M1481" s="8" t="n"/>
      <c r="N1481" s="8" t="n"/>
      <c r="O1481" s="8" t="n"/>
      <c r="P1481" s="8" t="n"/>
      <c r="Q1481" s="8" t="n"/>
      <c r="R1481" s="8" t="n"/>
      <c r="S1481" s="8" t="n"/>
      <c r="T1481" s="7" t="inlineStr">
        <is>
          <t>SEM COTAÇÃO</t>
        </is>
      </c>
      <c r="U1481" s="8" t="n"/>
      <c r="V1481" s="14" t="n"/>
      <c r="W1481" s="14" t="n"/>
      <c r="X1481" s="7" t="inlineStr"/>
      <c r="Y1481" s="7" t="inlineStr"/>
    </row>
    <row r="1482">
      <c r="A1482" s="7" t="n">
        <v>229241</v>
      </c>
      <c r="B1482" s="12" t="inlineStr">
        <is>
          <t>7894916145114</t>
        </is>
      </c>
      <c r="C1482" s="7" t="inlineStr">
        <is>
          <t>DOMPERIDONA 10MG CX 2BL X 15 COMP</t>
        </is>
      </c>
      <c r="D1482" s="7" t="inlineStr">
        <is>
          <t>GENERICO</t>
        </is>
      </c>
      <c r="E1482" s="7" t="inlineStr">
        <is>
          <t>C</t>
        </is>
      </c>
      <c r="F1482" s="13" t="n">
        <v>1</v>
      </c>
      <c r="G1482" s="13" t="n">
        <v>1</v>
      </c>
      <c r="H1482" s="8" t="n">
        <v>4.19</v>
      </c>
      <c r="I1482" s="8" t="n">
        <v>4.19</v>
      </c>
      <c r="J1482" s="8" t="n">
        <v>4.19</v>
      </c>
      <c r="K1482" s="8" t="n"/>
      <c r="L1482" s="8" t="n"/>
      <c r="M1482" s="8" t="n"/>
      <c r="N1482" s="8" t="n"/>
      <c r="O1482" s="8" t="n"/>
      <c r="P1482" s="8" t="n"/>
      <c r="Q1482" s="8" t="n">
        <v>4.11</v>
      </c>
      <c r="R1482" s="15" t="n">
        <v>4.03</v>
      </c>
      <c r="S1482" s="8" t="n"/>
      <c r="T1482" s="7" t="inlineStr">
        <is>
          <t>BRASFARMA</t>
        </is>
      </c>
      <c r="U1482" s="8" t="n">
        <v>4.03</v>
      </c>
      <c r="V1482" s="14">
        <f>U1482/J1482-1</f>
        <v/>
      </c>
      <c r="W1482" s="14">
        <f>U1482/H1482-1</f>
        <v/>
      </c>
      <c r="X1482" s="17" t="inlineStr">
        <is>
          <t>OK (≤ menor hist.)</t>
        </is>
      </c>
      <c r="Y1482" s="7" t="inlineStr"/>
    </row>
    <row r="1483">
      <c r="A1483" s="7" t="n">
        <v>526021</v>
      </c>
      <c r="B1483" s="12" t="inlineStr">
        <is>
          <t>7896523201054</t>
        </is>
      </c>
      <c r="C1483" s="7" t="inlineStr">
        <is>
          <t>DOMPERIDONA 10MG CX 30 COMP</t>
        </is>
      </c>
      <c r="D1483" s="7" t="inlineStr">
        <is>
          <t>GENERICO</t>
        </is>
      </c>
      <c r="E1483" s="7" t="inlineStr">
        <is>
          <t>A</t>
        </is>
      </c>
      <c r="F1483" s="13" t="n">
        <v>23</v>
      </c>
      <c r="G1483" s="13" t="n">
        <v>23</v>
      </c>
      <c r="H1483" s="8" t="n">
        <v>2.28</v>
      </c>
      <c r="I1483" s="8" t="n">
        <v>2.19</v>
      </c>
      <c r="J1483" s="8" t="n">
        <v>2.22</v>
      </c>
      <c r="K1483" s="15" t="n">
        <v>3.23</v>
      </c>
      <c r="L1483" s="8" t="n"/>
      <c r="M1483" s="8" t="n"/>
      <c r="N1483" s="8" t="n"/>
      <c r="O1483" s="8" t="n"/>
      <c r="P1483" s="8" t="n">
        <v>17.07</v>
      </c>
      <c r="Q1483" s="8" t="n"/>
      <c r="R1483" s="8" t="n"/>
      <c r="S1483" s="8" t="n"/>
      <c r="T1483" s="7" t="inlineStr">
        <is>
          <t>DIMEC</t>
        </is>
      </c>
      <c r="U1483" s="8" t="n">
        <v>3.23</v>
      </c>
      <c r="V1483" s="14">
        <f>U1483/J1483-1</f>
        <v/>
      </c>
      <c r="W1483" s="14">
        <f>U1483/H1483-1</f>
        <v/>
      </c>
      <c r="X1483" s="16" t="inlineStr">
        <is>
          <t>ACIMA +41.7%</t>
        </is>
      </c>
      <c r="Y1483" s="7" t="inlineStr">
        <is>
          <t>NAZARIA: conferir emb.</t>
        </is>
      </c>
    </row>
    <row r="1484">
      <c r="A1484" s="7" t="n">
        <v>401</v>
      </c>
      <c r="B1484" s="12" t="inlineStr"/>
      <c r="C1484" s="7" t="inlineStr">
        <is>
          <t>DORALGINA 30+300+30MG 10 COMP</t>
        </is>
      </c>
      <c r="D1484" s="7" t="inlineStr">
        <is>
          <t>SIMILAR</t>
        </is>
      </c>
      <c r="E1484" s="7" t="inlineStr">
        <is>
          <t>C</t>
        </is>
      </c>
      <c r="F1484" s="13" t="n">
        <v>1</v>
      </c>
      <c r="G1484" s="13" t="n">
        <v>1</v>
      </c>
      <c r="H1484" s="8" t="n">
        <v>7.04</v>
      </c>
      <c r="I1484" s="8" t="n">
        <v>7.04</v>
      </c>
      <c r="J1484" s="8" t="n">
        <v>7.04</v>
      </c>
      <c r="K1484" s="8" t="n"/>
      <c r="L1484" s="8" t="n"/>
      <c r="M1484" s="8" t="n"/>
      <c r="N1484" s="8" t="n"/>
      <c r="O1484" s="8" t="n"/>
      <c r="P1484" s="8" t="n"/>
      <c r="Q1484" s="8" t="n"/>
      <c r="R1484" s="8" t="n"/>
      <c r="S1484" s="8" t="n"/>
      <c r="T1484" s="7" t="inlineStr">
        <is>
          <t>SEM COTAÇÃO</t>
        </is>
      </c>
      <c r="U1484" s="8" t="n"/>
      <c r="V1484" s="14" t="n"/>
      <c r="W1484" s="14" t="n"/>
      <c r="X1484" s="7" t="inlineStr"/>
      <c r="Y1484" s="7" t="inlineStr"/>
    </row>
    <row r="1485">
      <c r="A1485" s="7" t="n">
        <v>15603</v>
      </c>
      <c r="B1485" s="12" t="inlineStr">
        <is>
          <t>7896058503227</t>
        </is>
      </c>
      <c r="C1485" s="7" t="inlineStr">
        <is>
          <t>DORI GELATINA BEIJO 13GR CR 12X13GR QTD. 3.00 CR</t>
        </is>
      </c>
      <c r="D1485" s="7" t="inlineStr">
        <is>
          <t>CONVENIENCIA</t>
        </is>
      </c>
      <c r="E1485" s="7" t="inlineStr">
        <is>
          <t>C</t>
        </is>
      </c>
      <c r="F1485" s="13" t="n">
        <v>5</v>
      </c>
      <c r="G1485" s="13" t="n">
        <v>5</v>
      </c>
      <c r="H1485" s="8" t="n">
        <v>0.91</v>
      </c>
      <c r="I1485" s="8" t="n">
        <v>0.91</v>
      </c>
      <c r="J1485" s="8" t="n">
        <v>0.91</v>
      </c>
      <c r="K1485" s="8" t="n"/>
      <c r="L1485" s="8" t="n"/>
      <c r="M1485" s="8" t="n"/>
      <c r="N1485" s="8" t="n"/>
      <c r="O1485" s="8" t="n"/>
      <c r="P1485" s="8" t="n"/>
      <c r="Q1485" s="8" t="n"/>
      <c r="R1485" s="8" t="n"/>
      <c r="S1485" s="8" t="n"/>
      <c r="T1485" s="7" t="inlineStr">
        <is>
          <t>SEM COTAÇÃO</t>
        </is>
      </c>
      <c r="U1485" s="8" t="n"/>
      <c r="V1485" s="14" t="n"/>
      <c r="W1485" s="14" t="n"/>
      <c r="X1485" s="7" t="inlineStr"/>
      <c r="Y1485" s="7" t="inlineStr"/>
    </row>
    <row r="1486">
      <c r="A1486" s="7" t="n">
        <v>15503</v>
      </c>
      <c r="B1486" s="12" t="inlineStr">
        <is>
          <t>7896058502589</t>
        </is>
      </c>
      <c r="C1486" s="7" t="inlineStr">
        <is>
          <t>DORI GELATINA BEIJO 60GR CX 16X60GR QTD. 3.00 CX</t>
        </is>
      </c>
      <c r="D1486" s="7" t="inlineStr">
        <is>
          <t>CONVENIENCIA</t>
        </is>
      </c>
      <c r="E1486" s="7" t="inlineStr">
        <is>
          <t>B</t>
        </is>
      </c>
      <c r="F1486" s="13" t="n">
        <v>5</v>
      </c>
      <c r="G1486" s="13" t="n">
        <v>5</v>
      </c>
      <c r="H1486" s="8" t="n">
        <v>2.84</v>
      </c>
      <c r="I1486" s="8" t="n">
        <v>2.84</v>
      </c>
      <c r="J1486" s="8" t="n">
        <v>2.84</v>
      </c>
      <c r="K1486" s="8" t="n"/>
      <c r="L1486" s="8" t="n"/>
      <c r="M1486" s="8" t="n"/>
      <c r="N1486" s="8" t="n"/>
      <c r="O1486" s="8" t="n"/>
      <c r="P1486" s="8" t="n"/>
      <c r="Q1486" s="8" t="n"/>
      <c r="R1486" s="8" t="n"/>
      <c r="S1486" s="8" t="n"/>
      <c r="T1486" s="7" t="inlineStr">
        <is>
          <t>SEM COTAÇÃO</t>
        </is>
      </c>
      <c r="U1486" s="8" t="n"/>
      <c r="V1486" s="14" t="n"/>
      <c r="W1486" s="14" t="n"/>
      <c r="X1486" s="7" t="inlineStr"/>
      <c r="Y1486" s="7" t="inlineStr"/>
    </row>
    <row r="1487">
      <c r="A1487" s="7" t="n">
        <v>613191</v>
      </c>
      <c r="B1487" s="12" t="inlineStr">
        <is>
          <t>7896058596748</t>
        </is>
      </c>
      <c r="C1487" s="7" t="inlineStr">
        <is>
          <t>DORI REG PESC GIRAFA FRAMBOESA 30GR CR 30X30GR</t>
        </is>
      </c>
      <c r="D1487" s="7" t="inlineStr">
        <is>
          <t>CONVENIENCIA</t>
        </is>
      </c>
      <c r="E1487" s="7" t="inlineStr">
        <is>
          <t>B</t>
        </is>
      </c>
      <c r="F1487" s="13" t="n">
        <v>10</v>
      </c>
      <c r="G1487" s="13" t="n">
        <v>10</v>
      </c>
      <c r="H1487" s="8" t="n">
        <v>1.32</v>
      </c>
      <c r="I1487" s="8" t="n">
        <v>1.28</v>
      </c>
      <c r="J1487" s="8" t="n">
        <v>1.306666666666667</v>
      </c>
      <c r="K1487" s="8" t="n"/>
      <c r="L1487" s="8" t="n"/>
      <c r="M1487" s="8" t="n"/>
      <c r="N1487" s="8" t="n"/>
      <c r="O1487" s="8" t="n"/>
      <c r="P1487" s="8" t="n"/>
      <c r="Q1487" s="8" t="n"/>
      <c r="R1487" s="8" t="n"/>
      <c r="S1487" s="8" t="n"/>
      <c r="T1487" s="7" t="inlineStr">
        <is>
          <t>SEM COTAÇÃO</t>
        </is>
      </c>
      <c r="U1487" s="8" t="n"/>
      <c r="V1487" s="14" t="n"/>
      <c r="W1487" s="14" t="n"/>
      <c r="X1487" s="7" t="inlineStr"/>
      <c r="Y1487" s="7" t="inlineStr"/>
    </row>
    <row r="1488">
      <c r="A1488" s="7" t="n">
        <v>599641</v>
      </c>
      <c r="B1488" s="12" t="inlineStr">
        <is>
          <t>7896058595468</t>
        </is>
      </c>
      <c r="C1488" s="7" t="inlineStr">
        <is>
          <t>DORI REG PESC GIRAFA MORANGO 30GR</t>
        </is>
      </c>
      <c r="D1488" s="7" t="inlineStr">
        <is>
          <t>CONVENIENCIA</t>
        </is>
      </c>
      <c r="E1488" s="7" t="inlineStr">
        <is>
          <t>B</t>
        </is>
      </c>
      <c r="F1488" s="13" t="n">
        <v>23</v>
      </c>
      <c r="G1488" s="13" t="n">
        <v>23</v>
      </c>
      <c r="H1488" s="8" t="n">
        <v>1.32</v>
      </c>
      <c r="I1488" s="8" t="n">
        <v>1.28</v>
      </c>
      <c r="J1488" s="8" t="n">
        <v>1.306666666666667</v>
      </c>
      <c r="K1488" s="8" t="n"/>
      <c r="L1488" s="8" t="n"/>
      <c r="M1488" s="8" t="n"/>
      <c r="N1488" s="8" t="n"/>
      <c r="O1488" s="8" t="n"/>
      <c r="P1488" s="8" t="n"/>
      <c r="Q1488" s="8" t="n"/>
      <c r="R1488" s="8" t="n"/>
      <c r="S1488" s="8" t="n"/>
      <c r="T1488" s="7" t="inlineStr">
        <is>
          <t>SEM COTAÇÃO</t>
        </is>
      </c>
      <c r="U1488" s="8" t="n"/>
      <c r="V1488" s="14" t="n"/>
      <c r="W1488" s="14" t="n"/>
      <c r="X1488" s="7" t="inlineStr"/>
      <c r="Y1488" s="7" t="inlineStr"/>
    </row>
    <row r="1489">
      <c r="A1489" s="7" t="n">
        <v>613091</v>
      </c>
      <c r="B1489" s="12" t="inlineStr">
        <is>
          <t>7896058595420</t>
        </is>
      </c>
      <c r="C1489" s="7" t="inlineStr">
        <is>
          <t>DORI REG PESC GIRAFA YOGURTE100 30GR CR 30X30GR</t>
        </is>
      </c>
      <c r="D1489" s="7" t="inlineStr">
        <is>
          <t>CONVENIENCIA</t>
        </is>
      </c>
      <c r="E1489" s="7" t="inlineStr">
        <is>
          <t>B</t>
        </is>
      </c>
      <c r="F1489" s="13" t="n">
        <v>6</v>
      </c>
      <c r="G1489" s="13" t="n">
        <v>6</v>
      </c>
      <c r="H1489" s="8" t="n">
        <v>1.32</v>
      </c>
      <c r="I1489" s="8" t="n">
        <v>1.28</v>
      </c>
      <c r="J1489" s="8" t="n">
        <v>1.306666666666667</v>
      </c>
      <c r="K1489" s="8" t="n"/>
      <c r="L1489" s="8" t="n"/>
      <c r="M1489" s="8" t="n"/>
      <c r="N1489" s="8" t="n"/>
      <c r="O1489" s="8" t="n"/>
      <c r="P1489" s="8" t="n"/>
      <c r="Q1489" s="8" t="n"/>
      <c r="R1489" s="8" t="n"/>
      <c r="S1489" s="8" t="n"/>
      <c r="T1489" s="7" t="inlineStr">
        <is>
          <t>SEM COTAÇÃO</t>
        </is>
      </c>
      <c r="U1489" s="8" t="n"/>
      <c r="V1489" s="14" t="n"/>
      <c r="W1489" s="14" t="n"/>
      <c r="X1489" s="7" t="inlineStr"/>
      <c r="Y1489" s="7" t="inlineStr"/>
    </row>
    <row r="1490">
      <c r="A1490" s="7" t="n">
        <v>613101</v>
      </c>
      <c r="B1490" s="12" t="inlineStr">
        <is>
          <t>7896058597356</t>
        </is>
      </c>
      <c r="C1490" s="7" t="inlineStr">
        <is>
          <t>DORI REG. T.RECH MORANGO ACIDO 17G</t>
        </is>
      </c>
      <c r="D1490" s="7" t="inlineStr">
        <is>
          <t>CONVENIENCIA</t>
        </is>
      </c>
      <c r="E1490" s="7" t="inlineStr">
        <is>
          <t>C</t>
        </is>
      </c>
      <c r="F1490" s="13" t="n">
        <v>10</v>
      </c>
      <c r="G1490" s="13" t="n">
        <v>10</v>
      </c>
      <c r="H1490" s="8" t="n">
        <v>0.92</v>
      </c>
      <c r="I1490" s="8" t="n">
        <v>0.92</v>
      </c>
      <c r="J1490" s="8" t="n">
        <v>0.92</v>
      </c>
      <c r="K1490" s="8" t="n"/>
      <c r="L1490" s="8" t="n"/>
      <c r="M1490" s="8" t="n"/>
      <c r="N1490" s="8" t="n"/>
      <c r="O1490" s="8" t="n"/>
      <c r="P1490" s="8" t="n"/>
      <c r="Q1490" s="8" t="n"/>
      <c r="R1490" s="8" t="n"/>
      <c r="S1490" s="8" t="n"/>
      <c r="T1490" s="7" t="inlineStr">
        <is>
          <t>SEM COTAÇÃO</t>
        </is>
      </c>
      <c r="U1490" s="8" t="n"/>
      <c r="V1490" s="14" t="n"/>
      <c r="W1490" s="14" t="n"/>
      <c r="X1490" s="7" t="inlineStr"/>
      <c r="Y1490" s="7" t="inlineStr"/>
    </row>
    <row r="1491">
      <c r="A1491" s="7" t="n">
        <v>613111</v>
      </c>
      <c r="B1491" s="12" t="inlineStr">
        <is>
          <t>7896058597370</t>
        </is>
      </c>
      <c r="C1491" s="7" t="inlineStr">
        <is>
          <t>DORI REG.T.RECH YOGURT100 ACID 17G CR 12X17G</t>
        </is>
      </c>
      <c r="D1491" s="7" t="inlineStr">
        <is>
          <t>CONVENIENCIA</t>
        </is>
      </c>
      <c r="E1491" s="7" t="inlineStr">
        <is>
          <t>C</t>
        </is>
      </c>
      <c r="F1491" s="13" t="n">
        <v>6</v>
      </c>
      <c r="G1491" s="13" t="n">
        <v>6</v>
      </c>
      <c r="H1491" s="8" t="n">
        <v>0.92</v>
      </c>
      <c r="I1491" s="8" t="n">
        <v>0.92</v>
      </c>
      <c r="J1491" s="8" t="n">
        <v>0.92</v>
      </c>
      <c r="K1491" s="8" t="n"/>
      <c r="L1491" s="8" t="n"/>
      <c r="M1491" s="8" t="n"/>
      <c r="N1491" s="8" t="n"/>
      <c r="O1491" s="8" t="n"/>
      <c r="P1491" s="8" t="n"/>
      <c r="Q1491" s="8" t="n"/>
      <c r="R1491" s="8" t="n"/>
      <c r="S1491" s="8" t="n"/>
      <c r="T1491" s="7" t="inlineStr">
        <is>
          <t>SEM COTAÇÃO</t>
        </is>
      </c>
      <c r="U1491" s="8" t="n"/>
      <c r="V1491" s="14" t="n"/>
      <c r="W1491" s="14" t="n"/>
      <c r="X1491" s="7" t="inlineStr"/>
      <c r="Y1491" s="7" t="inlineStr"/>
    </row>
    <row r="1492">
      <c r="A1492" s="7" t="n">
        <v>578361</v>
      </c>
      <c r="B1492" s="12" t="inlineStr">
        <is>
          <t>7896058595284</t>
        </is>
      </c>
      <c r="C1492" s="7" t="inlineStr">
        <is>
          <t>DORI REGALIZ TIJOLO 85GR UN QTD. 6.00 UN</t>
        </is>
      </c>
      <c r="D1492" s="7" t="inlineStr">
        <is>
          <t>CONVENIENCIA</t>
        </is>
      </c>
      <c r="E1492" s="7" t="inlineStr">
        <is>
          <t>C</t>
        </is>
      </c>
      <c r="F1492" s="13" t="n">
        <v>1</v>
      </c>
      <c r="G1492" s="13" t="n">
        <v>1</v>
      </c>
      <c r="H1492" s="8" t="n">
        <v>2.84</v>
      </c>
      <c r="I1492" s="8" t="n">
        <v>2.84</v>
      </c>
      <c r="J1492" s="8" t="n">
        <v>2.84</v>
      </c>
      <c r="K1492" s="8" t="n"/>
      <c r="L1492" s="8" t="n"/>
      <c r="M1492" s="8" t="n"/>
      <c r="N1492" s="8" t="n"/>
      <c r="O1492" s="8" t="n"/>
      <c r="P1492" s="8" t="n"/>
      <c r="Q1492" s="8" t="n"/>
      <c r="R1492" s="8" t="n"/>
      <c r="S1492" s="8" t="n"/>
      <c r="T1492" s="7" t="inlineStr">
        <is>
          <t>SEM COTAÇÃO</t>
        </is>
      </c>
      <c r="U1492" s="8" t="n"/>
      <c r="V1492" s="14" t="n"/>
      <c r="W1492" s="14" t="n"/>
      <c r="X1492" s="7" t="inlineStr"/>
      <c r="Y1492" s="7" t="inlineStr"/>
    </row>
    <row r="1493">
      <c r="A1493" s="7" t="n">
        <v>578401</v>
      </c>
      <c r="B1493" s="12" t="inlineStr">
        <is>
          <t>7896058595291</t>
        </is>
      </c>
      <c r="C1493" s="7" t="inlineStr">
        <is>
          <t>DORI REGALIZ TUBO MORANGO RECH 70GR UN</t>
        </is>
      </c>
      <c r="D1493" s="7" t="inlineStr">
        <is>
          <t>CONVENIENCIA</t>
        </is>
      </c>
      <c r="E1493" s="7" t="inlineStr">
        <is>
          <t>B</t>
        </is>
      </c>
      <c r="F1493" s="13" t="n">
        <v>4</v>
      </c>
      <c r="G1493" s="13" t="n">
        <v>4</v>
      </c>
      <c r="H1493" s="8" t="n">
        <v>3.15</v>
      </c>
      <c r="I1493" s="8" t="n">
        <v>3.15</v>
      </c>
      <c r="J1493" s="8" t="n">
        <v>3.15</v>
      </c>
      <c r="K1493" s="8" t="n"/>
      <c r="L1493" s="8" t="n"/>
      <c r="M1493" s="8" t="n"/>
      <c r="N1493" s="8" t="n"/>
      <c r="O1493" s="8" t="n"/>
      <c r="P1493" s="8" t="n"/>
      <c r="Q1493" s="8" t="n"/>
      <c r="R1493" s="8" t="n"/>
      <c r="S1493" s="8" t="n"/>
      <c r="T1493" s="7" t="inlineStr">
        <is>
          <t>SEM COTAÇÃO</t>
        </is>
      </c>
      <c r="U1493" s="8" t="n"/>
      <c r="V1493" s="14" t="n"/>
      <c r="W1493" s="14" t="n"/>
      <c r="X1493" s="7" t="inlineStr"/>
      <c r="Y1493" s="7" t="inlineStr"/>
    </row>
    <row r="1494">
      <c r="A1494" s="7" t="n">
        <v>599651</v>
      </c>
      <c r="B1494" s="12" t="inlineStr">
        <is>
          <t>7896058595314</t>
        </is>
      </c>
      <c r="C1494" s="7" t="inlineStr">
        <is>
          <t>DORI REGALIZ TUBO YOGURTE100 RECH 70GR</t>
        </is>
      </c>
      <c r="D1494" s="7" t="inlineStr">
        <is>
          <t>CONVENIENCIA</t>
        </is>
      </c>
      <c r="E1494" s="7" t="inlineStr">
        <is>
          <t>B</t>
        </is>
      </c>
      <c r="F1494" s="13" t="n">
        <v>7</v>
      </c>
      <c r="G1494" s="13" t="n">
        <v>7</v>
      </c>
      <c r="H1494" s="8" t="n">
        <v>3.15</v>
      </c>
      <c r="I1494" s="8" t="n">
        <v>3.15</v>
      </c>
      <c r="J1494" s="8" t="n">
        <v>3.15</v>
      </c>
      <c r="K1494" s="8" t="n"/>
      <c r="L1494" s="8" t="n"/>
      <c r="M1494" s="8" t="n"/>
      <c r="N1494" s="8" t="n"/>
      <c r="O1494" s="8" t="n"/>
      <c r="P1494" s="8" t="n"/>
      <c r="Q1494" s="8" t="n"/>
      <c r="R1494" s="8" t="n"/>
      <c r="S1494" s="8" t="n"/>
      <c r="T1494" s="7" t="inlineStr">
        <is>
          <t>SEM COTAÇÃO</t>
        </is>
      </c>
      <c r="U1494" s="8" t="n"/>
      <c r="V1494" s="14" t="n"/>
      <c r="W1494" s="14" t="n"/>
      <c r="X1494" s="7" t="inlineStr"/>
      <c r="Y1494" s="7" t="inlineStr"/>
    </row>
    <row r="1495">
      <c r="A1495" s="7" t="n">
        <v>2903</v>
      </c>
      <c r="B1495" s="12" t="inlineStr">
        <is>
          <t>7892840822446</t>
        </is>
      </c>
      <c r="C1495" s="7" t="inlineStr">
        <is>
          <t>DORITOS QUEIJO NACHO 120G</t>
        </is>
      </c>
      <c r="D1495" s="7" t="inlineStr">
        <is>
          <t>CONVENIENCIA</t>
        </is>
      </c>
      <c r="E1495" s="7" t="inlineStr">
        <is>
          <t>A</t>
        </is>
      </c>
      <c r="F1495" s="13" t="n">
        <v>9</v>
      </c>
      <c r="G1495" s="13" t="n">
        <v>9</v>
      </c>
      <c r="H1495" s="8" t="n">
        <v>14.53</v>
      </c>
      <c r="I1495" s="8" t="n">
        <v>14.53</v>
      </c>
      <c r="J1495" s="8" t="n">
        <v>14.53</v>
      </c>
      <c r="K1495" s="8" t="n"/>
      <c r="L1495" s="8" t="n"/>
      <c r="M1495" s="8" t="n"/>
      <c r="N1495" s="8" t="n"/>
      <c r="O1495" s="8" t="n"/>
      <c r="P1495" s="8" t="n"/>
      <c r="Q1495" s="8" t="n"/>
      <c r="R1495" s="8" t="n"/>
      <c r="S1495" s="8" t="n"/>
      <c r="T1495" s="7" t="inlineStr">
        <is>
          <t>SEM COTAÇÃO</t>
        </is>
      </c>
      <c r="U1495" s="8" t="n"/>
      <c r="V1495" s="14" t="n"/>
      <c r="W1495" s="14" t="n"/>
      <c r="X1495" s="7" t="inlineStr"/>
      <c r="Y1495" s="7" t="inlineStr"/>
    </row>
    <row r="1496">
      <c r="A1496" s="7" t="n">
        <v>13361</v>
      </c>
      <c r="B1496" s="12" t="inlineStr">
        <is>
          <t>7898179710065</t>
        </is>
      </c>
      <c r="C1496" s="7" t="inlineStr">
        <is>
          <t>DORMEC 100 MG C/10 (CARTELA)</t>
        </is>
      </c>
      <c r="D1496" s="7" t="inlineStr">
        <is>
          <t>SIMILAR</t>
        </is>
      </c>
      <c r="E1496" s="7" t="inlineStr">
        <is>
          <t>A</t>
        </is>
      </c>
      <c r="F1496" s="13" t="n">
        <v>21</v>
      </c>
      <c r="G1496" s="13" t="n">
        <v>413</v>
      </c>
      <c r="H1496" s="8" t="n">
        <v>0.5885</v>
      </c>
      <c r="I1496" s="8" t="n">
        <v>0.5855</v>
      </c>
      <c r="J1496" s="8" t="n">
        <v>0.5865</v>
      </c>
      <c r="K1496" s="15" t="n">
        <v>0.606</v>
      </c>
      <c r="L1496" s="8" t="n"/>
      <c r="M1496" s="8" t="n"/>
      <c r="N1496" s="8" t="n">
        <v>12.31</v>
      </c>
      <c r="O1496" s="8" t="n"/>
      <c r="P1496" s="8" t="n"/>
      <c r="Q1496" s="8" t="n">
        <v>12.98</v>
      </c>
      <c r="R1496" s="8" t="n"/>
      <c r="S1496" s="8" t="n"/>
      <c r="T1496" s="7" t="inlineStr">
        <is>
          <t>DIMEC</t>
        </is>
      </c>
      <c r="U1496" s="8" t="n">
        <v>0.606</v>
      </c>
      <c r="V1496" s="14">
        <f>U1496/J1496-1</f>
        <v/>
      </c>
      <c r="W1496" s="14">
        <f>U1496/H1496-1</f>
        <v/>
      </c>
      <c r="X1496" s="16" t="inlineStr">
        <is>
          <t>ACIMA +3.0%</t>
        </is>
      </c>
      <c r="Y1496" s="7" t="inlineStr">
        <is>
          <t>DIMEC: 1 emb = 20 un; CENTROFARMA: conferir emb.; MEDCENTRO: conferir emb.</t>
        </is>
      </c>
    </row>
    <row r="1497">
      <c r="A1497" s="7" t="n">
        <v>658241</v>
      </c>
      <c r="B1497" s="12" t="inlineStr">
        <is>
          <t>7898132985226</t>
        </is>
      </c>
      <c r="C1497" s="7" t="inlineStr">
        <is>
          <t>DOSE MEL 55ML</t>
        </is>
      </c>
      <c r="D1497" s="7" t="inlineStr">
        <is>
          <t>COND/SHAM/CREM/SIMILARES</t>
        </is>
      </c>
      <c r="E1497" s="7" t="inlineStr">
        <is>
          <t>C</t>
        </is>
      </c>
      <c r="F1497" s="13" t="n">
        <v>1</v>
      </c>
      <c r="G1497" s="13" t="n">
        <v>1</v>
      </c>
      <c r="H1497" s="8" t="n">
        <v>18.03</v>
      </c>
      <c r="I1497" s="8" t="n">
        <v>18.03</v>
      </c>
      <c r="J1497" s="8" t="n">
        <v>18.03</v>
      </c>
      <c r="K1497" s="8" t="n"/>
      <c r="L1497" s="8" t="n"/>
      <c r="M1497" s="8" t="n"/>
      <c r="N1497" s="8" t="n"/>
      <c r="O1497" s="8" t="n"/>
      <c r="P1497" s="8" t="n"/>
      <c r="Q1497" s="8" t="n"/>
      <c r="R1497" s="8" t="n"/>
      <c r="S1497" s="8" t="n"/>
      <c r="T1497" s="7" t="inlineStr">
        <is>
          <t>SEM COTAÇÃO</t>
        </is>
      </c>
      <c r="U1497" s="8" t="n"/>
      <c r="V1497" s="14" t="n"/>
      <c r="W1497" s="14" t="n"/>
      <c r="X1497" s="7" t="inlineStr"/>
      <c r="Y1497" s="7" t="inlineStr"/>
    </row>
    <row r="1498">
      <c r="A1498" s="7" t="n">
        <v>658251</v>
      </c>
      <c r="B1498" s="12" t="inlineStr">
        <is>
          <t>7898126407819</t>
        </is>
      </c>
      <c r="C1498" s="7" t="inlineStr">
        <is>
          <t>DOSE POS QUIMICA MANTEIGA DE ABACATE  30G</t>
        </is>
      </c>
      <c r="D1498" s="7" t="inlineStr">
        <is>
          <t>COND/SHAM/CREM/SIMILARES</t>
        </is>
      </c>
      <c r="E1498" s="7" t="inlineStr">
        <is>
          <t>C</t>
        </is>
      </c>
      <c r="F1498" s="13" t="n">
        <v>1</v>
      </c>
      <c r="G1498" s="13" t="n">
        <v>1</v>
      </c>
      <c r="H1498" s="8" t="n">
        <v>8.81</v>
      </c>
      <c r="I1498" s="8" t="n">
        <v>8.81</v>
      </c>
      <c r="J1498" s="8" t="n">
        <v>8.81</v>
      </c>
      <c r="K1498" s="8" t="n"/>
      <c r="L1498" s="8" t="n"/>
      <c r="M1498" s="8" t="n"/>
      <c r="N1498" s="8" t="n"/>
      <c r="O1498" s="8" t="n"/>
      <c r="P1498" s="8" t="n"/>
      <c r="Q1498" s="8" t="n"/>
      <c r="R1498" s="8" t="n"/>
      <c r="S1498" s="8" t="n"/>
      <c r="T1498" s="7" t="inlineStr">
        <is>
          <t>SEM COTAÇÃO</t>
        </is>
      </c>
      <c r="U1498" s="8" t="n"/>
      <c r="V1498" s="14" t="n"/>
      <c r="W1498" s="14" t="n"/>
      <c r="X1498" s="7" t="inlineStr"/>
      <c r="Y1498" s="7" t="inlineStr"/>
    </row>
    <row r="1499">
      <c r="A1499" s="7" t="n">
        <v>664601</v>
      </c>
      <c r="B1499" s="12" t="inlineStr">
        <is>
          <t>7898126407949</t>
        </is>
      </c>
      <c r="C1499" s="7" t="inlineStr">
        <is>
          <t>DOSE QUERAVIT CARGA DE QUERATINA  30GR</t>
        </is>
      </c>
      <c r="D1499" s="7" t="inlineStr">
        <is>
          <t>PERF/COSME</t>
        </is>
      </c>
      <c r="E1499" s="7" t="inlineStr">
        <is>
          <t>C</t>
        </is>
      </c>
      <c r="F1499" s="13" t="n">
        <v>1</v>
      </c>
      <c r="G1499" s="13" t="n">
        <v>1</v>
      </c>
      <c r="H1499" s="8" t="n">
        <v>9.66</v>
      </c>
      <c r="I1499" s="8" t="n">
        <v>9.66</v>
      </c>
      <c r="J1499" s="8" t="n">
        <v>9.66</v>
      </c>
      <c r="K1499" s="8" t="n"/>
      <c r="L1499" s="8" t="n"/>
      <c r="M1499" s="8" t="n"/>
      <c r="N1499" s="8" t="n"/>
      <c r="O1499" s="8" t="n"/>
      <c r="P1499" s="8" t="n"/>
      <c r="Q1499" s="8" t="n"/>
      <c r="R1499" s="8" t="n"/>
      <c r="S1499" s="8" t="n"/>
      <c r="T1499" s="7" t="inlineStr">
        <is>
          <t>SEM COTAÇÃO</t>
        </is>
      </c>
      <c r="U1499" s="8" t="n"/>
      <c r="V1499" s="14" t="n"/>
      <c r="W1499" s="14" t="n"/>
      <c r="X1499" s="7" t="inlineStr"/>
      <c r="Y1499" s="7" t="inlineStr"/>
    </row>
    <row r="1500">
      <c r="A1500" s="7" t="n">
        <v>664611</v>
      </c>
      <c r="B1500" s="12" t="inlineStr">
        <is>
          <t>7898126403439</t>
        </is>
      </c>
      <c r="C1500" s="7" t="inlineStr">
        <is>
          <t>DOSE TRITANO TUTANO 30GR</t>
        </is>
      </c>
      <c r="D1500" s="7" t="inlineStr">
        <is>
          <t>PERF/COSME</t>
        </is>
      </c>
      <c r="E1500" s="7" t="inlineStr">
        <is>
          <t>C</t>
        </is>
      </c>
      <c r="F1500" s="13" t="n">
        <v>1</v>
      </c>
      <c r="G1500" s="13" t="n">
        <v>1</v>
      </c>
      <c r="H1500" s="8" t="n">
        <v>8.81</v>
      </c>
      <c r="I1500" s="8" t="n">
        <v>8.81</v>
      </c>
      <c r="J1500" s="8" t="n">
        <v>8.81</v>
      </c>
      <c r="K1500" s="8" t="n"/>
      <c r="L1500" s="8" t="n"/>
      <c r="M1500" s="8" t="n"/>
      <c r="N1500" s="8" t="n"/>
      <c r="O1500" s="8" t="n"/>
      <c r="P1500" s="8" t="n"/>
      <c r="Q1500" s="8" t="n"/>
      <c r="R1500" s="8" t="n"/>
      <c r="S1500" s="8" t="n"/>
      <c r="T1500" s="7" t="inlineStr">
        <is>
          <t>SEM COTAÇÃO</t>
        </is>
      </c>
      <c r="U1500" s="8" t="n"/>
      <c r="V1500" s="14" t="n"/>
      <c r="W1500" s="14" t="n"/>
      <c r="X1500" s="7" t="inlineStr"/>
      <c r="Y1500" s="7" t="inlineStr"/>
    </row>
    <row r="1501">
      <c r="A1501" s="7" t="n">
        <v>664631</v>
      </c>
      <c r="B1501" s="12" t="inlineStr">
        <is>
          <t>7898132980856</t>
        </is>
      </c>
      <c r="C1501" s="7" t="inlineStr">
        <is>
          <t>DOSE UMECTANTE OLEO DE COCO 30G</t>
        </is>
      </c>
      <c r="D1501" s="7" t="inlineStr">
        <is>
          <t>PERF/COSME</t>
        </is>
      </c>
      <c r="E1501" s="7" t="inlineStr">
        <is>
          <t>C</t>
        </is>
      </c>
      <c r="F1501" s="13" t="n">
        <v>1</v>
      </c>
      <c r="G1501" s="13" t="n">
        <v>1</v>
      </c>
      <c r="H1501" s="8" t="n">
        <v>9.44</v>
      </c>
      <c r="I1501" s="8" t="n">
        <v>9.44</v>
      </c>
      <c r="J1501" s="8" t="n">
        <v>9.44</v>
      </c>
      <c r="K1501" s="8" t="n"/>
      <c r="L1501" s="8" t="n"/>
      <c r="M1501" s="8" t="n"/>
      <c r="N1501" s="8" t="n"/>
      <c r="O1501" s="8" t="n"/>
      <c r="P1501" s="8" t="n"/>
      <c r="Q1501" s="8" t="n"/>
      <c r="R1501" s="8" t="n"/>
      <c r="S1501" s="8" t="n"/>
      <c r="T1501" s="7" t="inlineStr">
        <is>
          <t>SEM COTAÇÃO</t>
        </is>
      </c>
      <c r="U1501" s="8" t="n"/>
      <c r="V1501" s="14" t="n"/>
      <c r="W1501" s="14" t="n"/>
      <c r="X1501" s="7" t="inlineStr"/>
      <c r="Y1501" s="7" t="inlineStr"/>
    </row>
    <row r="1502">
      <c r="A1502" s="7" t="n">
        <v>628961</v>
      </c>
      <c r="B1502" s="12" t="inlineStr">
        <is>
          <t>7891150026001</t>
        </is>
      </c>
      <c r="C1502" s="7" t="inlineStr">
        <is>
          <t>DOVE BABY LOCAO 200ML HID ENRIQUECIDA M3</t>
        </is>
      </c>
      <c r="D1502" s="7" t="inlineStr">
        <is>
          <t>BABY/KIDS</t>
        </is>
      </c>
      <c r="E1502" s="7" t="inlineStr">
        <is>
          <t>C</t>
        </is>
      </c>
      <c r="F1502" s="13" t="n">
        <v>1</v>
      </c>
      <c r="G1502" s="13" t="n">
        <v>1</v>
      </c>
      <c r="H1502" s="8" t="n">
        <v>23.14</v>
      </c>
      <c r="I1502" s="8" t="n">
        <v>23.14</v>
      </c>
      <c r="J1502" s="8" t="n">
        <v>23.14</v>
      </c>
      <c r="K1502" s="8" t="n"/>
      <c r="L1502" s="8" t="n"/>
      <c r="M1502" s="8" t="n"/>
      <c r="N1502" s="8" t="n"/>
      <c r="O1502" s="8" t="n"/>
      <c r="P1502" s="8" t="n">
        <v>21.86</v>
      </c>
      <c r="Q1502" s="8" t="n"/>
      <c r="R1502" s="8" t="n"/>
      <c r="S1502" s="8" t="n"/>
      <c r="T1502" s="7" t="inlineStr">
        <is>
          <t>SEM COTAÇÃO</t>
        </is>
      </c>
      <c r="U1502" s="8" t="n"/>
      <c r="V1502" s="14" t="n"/>
      <c r="W1502" s="14" t="n"/>
      <c r="X1502" s="7" t="inlineStr"/>
      <c r="Y1502" s="7" t="inlineStr">
        <is>
          <t>NAZARIA: sem estoque</t>
        </is>
      </c>
    </row>
    <row r="1503">
      <c r="A1503" s="7" t="n">
        <v>648681</v>
      </c>
      <c r="B1503" s="12" t="inlineStr">
        <is>
          <t>7891150074484</t>
        </is>
      </c>
      <c r="C1503" s="7" t="inlineStr">
        <is>
          <t>DOVE BABY LOCAO 200ML HID HORA DORMIR M3</t>
        </is>
      </c>
      <c r="D1503" s="7" t="inlineStr">
        <is>
          <t>PERF/COSME</t>
        </is>
      </c>
      <c r="E1503" s="7" t="inlineStr">
        <is>
          <t>C</t>
        </is>
      </c>
      <c r="F1503" s="13" t="n">
        <v>2</v>
      </c>
      <c r="G1503" s="13" t="n">
        <v>2</v>
      </c>
      <c r="H1503" s="8" t="n">
        <v>15.7867</v>
      </c>
      <c r="I1503" s="8" t="n">
        <v>15.7867</v>
      </c>
      <c r="J1503" s="8" t="n">
        <v>15.7867</v>
      </c>
      <c r="K1503" s="8" t="n"/>
      <c r="L1503" s="8" t="n"/>
      <c r="M1503" s="8" t="n"/>
      <c r="N1503" s="8" t="n"/>
      <c r="O1503" s="8" t="n"/>
      <c r="P1503" s="15" t="n">
        <v>21.32</v>
      </c>
      <c r="Q1503" s="8" t="n"/>
      <c r="R1503" s="8" t="n"/>
      <c r="S1503" s="8" t="n"/>
      <c r="T1503" s="7" t="inlineStr">
        <is>
          <t>NAZARIA</t>
        </is>
      </c>
      <c r="U1503" s="8" t="n">
        <v>21.32</v>
      </c>
      <c r="V1503" s="14">
        <f>U1503/J1503-1</f>
        <v/>
      </c>
      <c r="W1503" s="14">
        <f>U1503/H1503-1</f>
        <v/>
      </c>
      <c r="X1503" s="16" t="inlineStr">
        <is>
          <t>ACIMA +35.1%</t>
        </is>
      </c>
      <c r="Y1503" s="7" t="inlineStr"/>
    </row>
    <row r="1504">
      <c r="A1504" s="7" t="n">
        <v>625101</v>
      </c>
      <c r="B1504" s="12" t="inlineStr">
        <is>
          <t>7891150025967</t>
        </is>
      </c>
      <c r="C1504" s="7" t="inlineStr">
        <is>
          <t>DOVE BABY SB LIQ 200ML</t>
        </is>
      </c>
      <c r="D1504" s="7" t="inlineStr">
        <is>
          <t>PERF/COSME</t>
        </is>
      </c>
      <c r="E1504" s="7" t="inlineStr">
        <is>
          <t>C</t>
        </is>
      </c>
      <c r="F1504" s="13" t="n">
        <v>1</v>
      </c>
      <c r="G1504" s="13" t="n">
        <v>1</v>
      </c>
      <c r="H1504" s="8" t="n">
        <v>16.7</v>
      </c>
      <c r="I1504" s="8" t="n">
        <v>16.7</v>
      </c>
      <c r="J1504" s="8" t="n">
        <v>16.7</v>
      </c>
      <c r="K1504" s="8" t="n"/>
      <c r="L1504" s="8" t="n"/>
      <c r="M1504" s="8" t="n"/>
      <c r="N1504" s="8" t="n"/>
      <c r="O1504" s="8" t="n"/>
      <c r="P1504" s="8" t="n"/>
      <c r="Q1504" s="8" t="n"/>
      <c r="R1504" s="8" t="n"/>
      <c r="S1504" s="8" t="n"/>
      <c r="T1504" s="7" t="inlineStr">
        <is>
          <t>SEM COTAÇÃO</t>
        </is>
      </c>
      <c r="U1504" s="8" t="n"/>
      <c r="V1504" s="14" t="n"/>
      <c r="W1504" s="14" t="n"/>
      <c r="X1504" s="7" t="inlineStr"/>
      <c r="Y1504" s="7" t="inlineStr"/>
    </row>
    <row r="1505">
      <c r="A1505" s="7" t="n">
        <v>621661</v>
      </c>
      <c r="B1505" s="12" t="inlineStr">
        <is>
          <t>7891150025981</t>
        </is>
      </c>
      <c r="C1505" s="7" t="inlineStr">
        <is>
          <t>DOVE BABY SB LIQ 200ML HID ENRIQUECID M3</t>
        </is>
      </c>
      <c r="D1505" s="7" t="inlineStr">
        <is>
          <t>PERF/COSME</t>
        </is>
      </c>
      <c r="E1505" s="7" t="inlineStr">
        <is>
          <t>A</t>
        </is>
      </c>
      <c r="F1505" s="13" t="n">
        <v>5</v>
      </c>
      <c r="G1505" s="13" t="n">
        <v>5</v>
      </c>
      <c r="H1505" s="8" t="n">
        <v>14.6467</v>
      </c>
      <c r="I1505" s="8" t="n">
        <v>13.7525</v>
      </c>
      <c r="J1505" s="8" t="n">
        <v>14.34863333333333</v>
      </c>
      <c r="K1505" s="8" t="n"/>
      <c r="L1505" s="8" t="n"/>
      <c r="M1505" s="8" t="n"/>
      <c r="N1505" s="8" t="n"/>
      <c r="O1505" s="8" t="n"/>
      <c r="P1505" s="15" t="n">
        <v>14.98</v>
      </c>
      <c r="Q1505" s="8" t="n"/>
      <c r="R1505" s="8" t="n"/>
      <c r="S1505" s="8" t="n"/>
      <c r="T1505" s="7" t="inlineStr">
        <is>
          <t>NAZARIA</t>
        </is>
      </c>
      <c r="U1505" s="8" t="n">
        <v>14.98</v>
      </c>
      <c r="V1505" s="14">
        <f>U1505/J1505-1</f>
        <v/>
      </c>
      <c r="W1505" s="14">
        <f>U1505/H1505-1</f>
        <v/>
      </c>
      <c r="X1505" s="16" t="inlineStr">
        <is>
          <t>ACIMA +2.3%</t>
        </is>
      </c>
      <c r="Y1505" s="7" t="inlineStr"/>
    </row>
    <row r="1506">
      <c r="A1506" s="7" t="n">
        <v>631641</v>
      </c>
      <c r="B1506" s="12" t="inlineStr">
        <is>
          <t>7891150074491</t>
        </is>
      </c>
      <c r="C1506" s="7" t="inlineStr">
        <is>
          <t>DOVE BABY SB LIQ 200ML HID HORA DORMI M3</t>
        </is>
      </c>
      <c r="D1506" s="7" t="inlineStr">
        <is>
          <t>BABY/KIDS</t>
        </is>
      </c>
      <c r="E1506" s="7" t="inlineStr">
        <is>
          <t>C</t>
        </is>
      </c>
      <c r="F1506" s="13" t="n">
        <v>3</v>
      </c>
      <c r="G1506" s="13" t="n">
        <v>3</v>
      </c>
      <c r="H1506" s="8" t="n">
        <v>10.035</v>
      </c>
      <c r="I1506" s="8" t="n">
        <v>10.035</v>
      </c>
      <c r="J1506" s="8" t="n">
        <v>10.035</v>
      </c>
      <c r="K1506" s="8" t="n"/>
      <c r="L1506" s="8" t="n"/>
      <c r="M1506" s="8" t="n"/>
      <c r="N1506" s="8" t="n"/>
      <c r="O1506" s="8" t="n"/>
      <c r="P1506" s="8" t="n">
        <v>14.48</v>
      </c>
      <c r="Q1506" s="8" t="n"/>
      <c r="R1506" s="8" t="n"/>
      <c r="S1506" s="8" t="n"/>
      <c r="T1506" s="7" t="inlineStr">
        <is>
          <t>SEM COTAÇÃO</t>
        </is>
      </c>
      <c r="U1506" s="8" t="n"/>
      <c r="V1506" s="14" t="n"/>
      <c r="W1506" s="14" t="n"/>
      <c r="X1506" s="7" t="inlineStr"/>
      <c r="Y1506" s="7" t="inlineStr">
        <is>
          <t>NAZARIA: sem estoque</t>
        </is>
      </c>
    </row>
    <row r="1507">
      <c r="A1507" s="7" t="n">
        <v>621701</v>
      </c>
      <c r="B1507" s="12" t="inlineStr">
        <is>
          <t>7891150045316</t>
        </is>
      </c>
      <c r="C1507" s="7" t="inlineStr">
        <is>
          <t>DOVE BABY SH 200ML P/C CLAROS C/CAMOM</t>
        </is>
      </c>
      <c r="D1507" s="7" t="inlineStr">
        <is>
          <t>PERF/COSME</t>
        </is>
      </c>
      <c r="E1507" s="7" t="inlineStr">
        <is>
          <t>B</t>
        </is>
      </c>
      <c r="F1507" s="13" t="n">
        <v>2</v>
      </c>
      <c r="G1507" s="13" t="n">
        <v>2</v>
      </c>
      <c r="H1507" s="8" t="n">
        <v>12.1817</v>
      </c>
      <c r="I1507" s="8" t="n">
        <v>12.1817</v>
      </c>
      <c r="J1507" s="8" t="n">
        <v>12.1817</v>
      </c>
      <c r="K1507" s="8" t="n"/>
      <c r="L1507" s="8" t="n"/>
      <c r="M1507" s="8" t="n"/>
      <c r="N1507" s="8" t="n"/>
      <c r="O1507" s="8" t="n"/>
      <c r="P1507" s="8" t="n">
        <v>12.35</v>
      </c>
      <c r="Q1507" s="8" t="n"/>
      <c r="R1507" s="8" t="n"/>
      <c r="S1507" s="8" t="n"/>
      <c r="T1507" s="7" t="inlineStr">
        <is>
          <t>SEM COTAÇÃO</t>
        </is>
      </c>
      <c r="U1507" s="8" t="n"/>
      <c r="V1507" s="14" t="n"/>
      <c r="W1507" s="14" t="n"/>
      <c r="X1507" s="7" t="inlineStr"/>
      <c r="Y1507" s="7" t="inlineStr">
        <is>
          <t>NAZARIA: sem estoque</t>
        </is>
      </c>
    </row>
    <row r="1508">
      <c r="A1508" s="7" t="n">
        <v>629411</v>
      </c>
      <c r="B1508" s="12" t="inlineStr">
        <is>
          <t>7891150094963</t>
        </is>
      </c>
      <c r="C1508" s="7" t="inlineStr">
        <is>
          <t>DOVE CCP 200ML RECONSTRUCAO M3</t>
        </is>
      </c>
      <c r="D1508" s="7" t="inlineStr">
        <is>
          <t>PERF/COSME</t>
        </is>
      </c>
      <c r="E1508" s="7" t="inlineStr">
        <is>
          <t>C</t>
        </is>
      </c>
      <c r="F1508" s="13" t="n">
        <v>1</v>
      </c>
      <c r="G1508" s="13" t="n">
        <v>1</v>
      </c>
      <c r="H1508" s="8" t="n">
        <v>9.710000000000001</v>
      </c>
      <c r="I1508" s="8" t="n">
        <v>9.710000000000001</v>
      </c>
      <c r="J1508" s="8" t="n">
        <v>9.710000000000001</v>
      </c>
      <c r="K1508" s="8" t="n"/>
      <c r="L1508" s="8" t="n"/>
      <c r="M1508" s="8" t="n"/>
      <c r="N1508" s="8" t="n"/>
      <c r="O1508" s="8" t="n"/>
      <c r="P1508" s="8" t="n"/>
      <c r="Q1508" s="8" t="n"/>
      <c r="R1508" s="8" t="n"/>
      <c r="S1508" s="8" t="n"/>
      <c r="T1508" s="7" t="inlineStr">
        <is>
          <t>SEM COTAÇÃO</t>
        </is>
      </c>
      <c r="U1508" s="8" t="n"/>
      <c r="V1508" s="14" t="n"/>
      <c r="W1508" s="14" t="n"/>
      <c r="X1508" s="7" t="inlineStr"/>
      <c r="Y1508" s="7" t="inlineStr"/>
    </row>
    <row r="1509">
      <c r="A1509" s="7" t="n">
        <v>648611</v>
      </c>
      <c r="B1509" s="12" t="inlineStr">
        <is>
          <t>7891150080744</t>
        </is>
      </c>
      <c r="C1509" s="7" t="inlineStr">
        <is>
          <t>DOVE CCT 500G RITUAL DE REPARACAO M3</t>
        </is>
      </c>
      <c r="D1509" s="7" t="inlineStr">
        <is>
          <t>COND/SHAM/CREM/SIMILARES</t>
        </is>
      </c>
      <c r="E1509" s="7" t="inlineStr">
        <is>
          <t>B</t>
        </is>
      </c>
      <c r="F1509" s="13" t="n">
        <v>1</v>
      </c>
      <c r="G1509" s="13" t="n">
        <v>1</v>
      </c>
      <c r="H1509" s="8" t="n">
        <v>22.62</v>
      </c>
      <c r="I1509" s="8" t="n">
        <v>22.62</v>
      </c>
      <c r="J1509" s="8" t="n">
        <v>22.62</v>
      </c>
      <c r="K1509" s="8" t="n"/>
      <c r="L1509" s="8" t="n"/>
      <c r="M1509" s="8" t="n"/>
      <c r="N1509" s="8" t="n"/>
      <c r="O1509" s="8" t="n"/>
      <c r="P1509" s="8" t="n"/>
      <c r="Q1509" s="8" t="n"/>
      <c r="R1509" s="8" t="n"/>
      <c r="S1509" s="8" t="n"/>
      <c r="T1509" s="7" t="inlineStr">
        <is>
          <t>SEM COTAÇÃO</t>
        </is>
      </c>
      <c r="U1509" s="8" t="n"/>
      <c r="V1509" s="14" t="n"/>
      <c r="W1509" s="14" t="n"/>
      <c r="X1509" s="7" t="inlineStr"/>
      <c r="Y1509" s="7" t="inlineStr"/>
    </row>
    <row r="1510">
      <c r="A1510" s="7" t="n">
        <v>648581</v>
      </c>
      <c r="B1510" s="12" t="inlineStr">
        <is>
          <t>7891150060814</t>
        </is>
      </c>
      <c r="C1510" s="7" t="inlineStr">
        <is>
          <t>DOVE CO SUPER 170ML NUTRICAO FATOR 50 M3</t>
        </is>
      </c>
      <c r="D1510" s="7" t="inlineStr">
        <is>
          <t>PERF/COSME</t>
        </is>
      </c>
      <c r="E1510" s="7" t="inlineStr">
        <is>
          <t>C</t>
        </is>
      </c>
      <c r="F1510" s="13" t="n">
        <v>1</v>
      </c>
      <c r="G1510" s="13" t="n">
        <v>1</v>
      </c>
      <c r="H1510" s="8" t="n">
        <v>28.13</v>
      </c>
      <c r="I1510" s="8" t="n">
        <v>28.13</v>
      </c>
      <c r="J1510" s="8" t="n">
        <v>28.13</v>
      </c>
      <c r="K1510" s="8" t="n"/>
      <c r="L1510" s="8" t="n"/>
      <c r="M1510" s="8" t="n"/>
      <c r="N1510" s="8" t="n"/>
      <c r="O1510" s="8" t="n"/>
      <c r="P1510" s="8" t="n"/>
      <c r="Q1510" s="8" t="n"/>
      <c r="R1510" s="8" t="n"/>
      <c r="S1510" s="8" t="n"/>
      <c r="T1510" s="7" t="inlineStr">
        <is>
          <t>SEM COTAÇÃO</t>
        </is>
      </c>
      <c r="U1510" s="8" t="n"/>
      <c r="V1510" s="14" t="n"/>
      <c r="W1510" s="14" t="n"/>
      <c r="X1510" s="7" t="inlineStr"/>
      <c r="Y1510" s="7" t="inlineStr"/>
    </row>
    <row r="1511">
      <c r="A1511" s="7" t="n">
        <v>663061</v>
      </c>
      <c r="B1511" s="12" t="inlineStr">
        <is>
          <t>7891150096486</t>
        </is>
      </c>
      <c r="C1511" s="7" t="inlineStr">
        <is>
          <t>DOVE GEL LIMP FACIAL PL OLEOS E ACNEIC 150ML   UNIL %DN:17.00</t>
        </is>
      </c>
      <c r="D1511" s="7" t="inlineStr">
        <is>
          <t>RX - DERMO</t>
        </is>
      </c>
      <c r="E1511" s="7" t="inlineStr">
        <is>
          <t>B</t>
        </is>
      </c>
      <c r="F1511" s="13" t="n">
        <v>2</v>
      </c>
      <c r="G1511" s="13" t="n">
        <v>2</v>
      </c>
      <c r="H1511" s="8" t="n">
        <v>24.2358</v>
      </c>
      <c r="I1511" s="8" t="n">
        <v>24.2358</v>
      </c>
      <c r="J1511" s="8" t="n">
        <v>24.2358</v>
      </c>
      <c r="K1511" s="8" t="n"/>
      <c r="L1511" s="8" t="n"/>
      <c r="M1511" s="8" t="n"/>
      <c r="N1511" s="8" t="n"/>
      <c r="O1511" s="8" t="n"/>
      <c r="P1511" s="8" t="n"/>
      <c r="Q1511" s="8" t="n"/>
      <c r="R1511" s="8" t="n"/>
      <c r="S1511" s="8" t="n"/>
      <c r="T1511" s="7" t="inlineStr">
        <is>
          <t>SEM COTAÇÃO</t>
        </is>
      </c>
      <c r="U1511" s="8" t="n"/>
      <c r="V1511" s="14" t="n"/>
      <c r="W1511" s="14" t="n"/>
      <c r="X1511" s="7" t="inlineStr"/>
      <c r="Y1511" s="7" t="inlineStr"/>
    </row>
    <row r="1512">
      <c r="A1512" s="7" t="n">
        <v>663071</v>
      </c>
      <c r="B1512" s="12" t="inlineStr">
        <is>
          <t>7891150096509</t>
        </is>
      </c>
      <c r="C1512" s="7" t="inlineStr">
        <is>
          <t>DOVE GEL LIMP FACIAL PL SENS E OLEOS 150ML   UNIL %DN:17.00</t>
        </is>
      </c>
      <c r="D1512" s="7" t="inlineStr">
        <is>
          <t>RX - DERMO</t>
        </is>
      </c>
      <c r="E1512" s="7" t="inlineStr">
        <is>
          <t>B</t>
        </is>
      </c>
      <c r="F1512" s="13" t="n">
        <v>6</v>
      </c>
      <c r="G1512" s="13" t="n">
        <v>6</v>
      </c>
      <c r="H1512" s="8" t="n">
        <v>24.2358</v>
      </c>
      <c r="I1512" s="8" t="n">
        <v>24.2358</v>
      </c>
      <c r="J1512" s="8" t="n">
        <v>24.2358</v>
      </c>
      <c r="K1512" s="8" t="n"/>
      <c r="L1512" s="8" t="n"/>
      <c r="M1512" s="8" t="n"/>
      <c r="N1512" s="8" t="n"/>
      <c r="O1512" s="8" t="n"/>
      <c r="P1512" s="8" t="n"/>
      <c r="Q1512" s="8" t="n"/>
      <c r="R1512" s="8" t="n"/>
      <c r="S1512" s="8" t="n"/>
      <c r="T1512" s="7" t="inlineStr">
        <is>
          <t>SEM COTAÇÃO</t>
        </is>
      </c>
      <c r="U1512" s="8" t="n"/>
      <c r="V1512" s="14" t="n"/>
      <c r="W1512" s="14" t="n"/>
      <c r="X1512" s="7" t="inlineStr"/>
      <c r="Y1512" s="7" t="inlineStr"/>
    </row>
    <row r="1513">
      <c r="A1513" s="7" t="n">
        <v>656231</v>
      </c>
      <c r="B1513" s="12" t="inlineStr">
        <is>
          <t>7891150095816</t>
        </is>
      </c>
      <c r="C1513" s="7" t="inlineStr">
        <is>
          <t>DOVE HIDRAT CORP NIACINAMIDA 180ML</t>
        </is>
      </c>
      <c r="D1513" s="7" t="inlineStr">
        <is>
          <t>DERMOCOSMETICOS/COSMETICOS</t>
        </is>
      </c>
      <c r="E1513" s="7" t="inlineStr">
        <is>
          <t>C</t>
        </is>
      </c>
      <c r="F1513" s="13" t="n">
        <v>3</v>
      </c>
      <c r="G1513" s="13" t="n">
        <v>3</v>
      </c>
      <c r="H1513" s="8" t="n">
        <v>20.3392</v>
      </c>
      <c r="I1513" s="8" t="n">
        <v>17.4958</v>
      </c>
      <c r="J1513" s="8" t="n">
        <v>17.4958</v>
      </c>
      <c r="K1513" s="8" t="n"/>
      <c r="L1513" s="8" t="n"/>
      <c r="M1513" s="8" t="n"/>
      <c r="N1513" s="8" t="n"/>
      <c r="O1513" s="8" t="n"/>
      <c r="P1513" s="15" t="n">
        <v>22.79</v>
      </c>
      <c r="Q1513" s="8" t="n"/>
      <c r="R1513" s="8" t="n"/>
      <c r="S1513" s="8" t="n"/>
      <c r="T1513" s="7" t="inlineStr">
        <is>
          <t>NAZARIA</t>
        </is>
      </c>
      <c r="U1513" s="8" t="n">
        <v>22.79</v>
      </c>
      <c r="V1513" s="14">
        <f>U1513/J1513-1</f>
        <v/>
      </c>
      <c r="W1513" s="14">
        <f>U1513/H1513-1</f>
        <v/>
      </c>
      <c r="X1513" s="16" t="inlineStr">
        <is>
          <t>ACIMA +12.0%</t>
        </is>
      </c>
      <c r="Y1513" s="7" t="inlineStr"/>
    </row>
    <row r="1514">
      <c r="A1514" s="7" t="n">
        <v>627431</v>
      </c>
      <c r="B1514" s="12" t="inlineStr">
        <is>
          <t>7891150084155</t>
        </is>
      </c>
      <c r="C1514" s="7" t="inlineStr">
        <is>
          <t>DOVE MEN 89G CARE EUCALIPTO MENTA M3</t>
        </is>
      </c>
      <c r="D1514" s="7" t="inlineStr">
        <is>
          <t>ANTITRANSPIRANTE/DESODORANTE</t>
        </is>
      </c>
      <c r="E1514" s="7" t="inlineStr">
        <is>
          <t>C</t>
        </is>
      </c>
      <c r="F1514" s="13" t="n">
        <v>2</v>
      </c>
      <c r="G1514" s="13" t="n">
        <v>2</v>
      </c>
      <c r="H1514" s="8" t="n">
        <v>12.9867</v>
      </c>
      <c r="I1514" s="8" t="n">
        <v>12.9867</v>
      </c>
      <c r="J1514" s="8" t="n">
        <v>12.9867</v>
      </c>
      <c r="K1514" s="8" t="n"/>
      <c r="L1514" s="8" t="n"/>
      <c r="M1514" s="8" t="n"/>
      <c r="N1514" s="8" t="n"/>
      <c r="O1514" s="8" t="n"/>
      <c r="P1514" s="8" t="n"/>
      <c r="Q1514" s="8" t="n"/>
      <c r="R1514" s="8" t="n"/>
      <c r="S1514" s="8" t="n"/>
      <c r="T1514" s="7" t="inlineStr">
        <is>
          <t>SEM COTAÇÃO</t>
        </is>
      </c>
      <c r="U1514" s="8" t="n"/>
      <c r="V1514" s="14" t="n"/>
      <c r="W1514" s="14" t="n"/>
      <c r="X1514" s="7" t="inlineStr"/>
      <c r="Y1514" s="7" t="inlineStr"/>
    </row>
    <row r="1515">
      <c r="A1515" s="7" t="n">
        <v>627441</v>
      </c>
      <c r="B1515" s="12" t="inlineStr">
        <is>
          <t>7791293018874</t>
        </is>
      </c>
      <c r="C1515" s="7" t="inlineStr">
        <is>
          <t>DOVE MEN 89G CARE PROT ANTIBAC M3</t>
        </is>
      </c>
      <c r="D1515" s="7" t="inlineStr">
        <is>
          <t>ANTITRANSPIRANTE/DESODORANTE</t>
        </is>
      </c>
      <c r="E1515" s="7" t="inlineStr">
        <is>
          <t>C</t>
        </is>
      </c>
      <c r="F1515" s="13" t="n">
        <v>2</v>
      </c>
      <c r="G1515" s="13" t="n">
        <v>2</v>
      </c>
      <c r="H1515" s="8" t="n">
        <v>11.5517</v>
      </c>
      <c r="I1515" s="8" t="n">
        <v>11.5517</v>
      </c>
      <c r="J1515" s="8" t="n">
        <v>11.5517</v>
      </c>
      <c r="K1515" s="8" t="n"/>
      <c r="L1515" s="8" t="n"/>
      <c r="M1515" s="8" t="n"/>
      <c r="N1515" s="8" t="n"/>
      <c r="O1515" s="8" t="n"/>
      <c r="P1515" s="8" t="n"/>
      <c r="Q1515" s="8" t="n"/>
      <c r="R1515" s="8" t="n"/>
      <c r="S1515" s="8" t="n"/>
      <c r="T1515" s="7" t="inlineStr">
        <is>
          <t>SEM COTAÇÃO</t>
        </is>
      </c>
      <c r="U1515" s="8" t="n"/>
      <c r="V1515" s="14" t="n"/>
      <c r="W1515" s="14" t="n"/>
      <c r="X1515" s="7" t="inlineStr"/>
      <c r="Y1515" s="7" t="inlineStr"/>
    </row>
    <row r="1516">
      <c r="A1516" s="7" t="n">
        <v>645091</v>
      </c>
      <c r="B1516" s="12" t="inlineStr">
        <is>
          <t>7891150095847</t>
        </is>
      </c>
      <c r="C1516" s="7" t="inlineStr">
        <is>
          <t>DOVE SER CORP PRO PANTENOL 180ML   UNIL %DN:7.00</t>
        </is>
      </c>
      <c r="D1516" s="7" t="inlineStr">
        <is>
          <t>RX - DERMO</t>
        </is>
      </c>
      <c r="E1516" s="7" t="inlineStr">
        <is>
          <t>C</t>
        </is>
      </c>
      <c r="F1516" s="13" t="n">
        <v>1</v>
      </c>
      <c r="G1516" s="13" t="n">
        <v>1</v>
      </c>
      <c r="H1516" s="8" t="n">
        <v>22.39</v>
      </c>
      <c r="I1516" s="8" t="n">
        <v>22.39</v>
      </c>
      <c r="J1516" s="8" t="n">
        <v>22.39</v>
      </c>
      <c r="K1516" s="8" t="n"/>
      <c r="L1516" s="8" t="n"/>
      <c r="M1516" s="8" t="n"/>
      <c r="N1516" s="8" t="n"/>
      <c r="O1516" s="8" t="n"/>
      <c r="P1516" s="8" t="n">
        <v>22.79</v>
      </c>
      <c r="Q1516" s="8" t="n"/>
      <c r="R1516" s="8" t="n"/>
      <c r="S1516" s="8" t="n"/>
      <c r="T1516" s="7" t="inlineStr">
        <is>
          <t>SEM COTAÇÃO</t>
        </is>
      </c>
      <c r="U1516" s="8" t="n"/>
      <c r="V1516" s="14" t="n"/>
      <c r="W1516" s="14" t="n"/>
      <c r="X1516" s="7" t="inlineStr"/>
      <c r="Y1516" s="7" t="inlineStr">
        <is>
          <t>NAZARIA: sem estoque</t>
        </is>
      </c>
    </row>
    <row r="1517">
      <c r="A1517" s="7" t="n">
        <v>645101</v>
      </c>
      <c r="B1517" s="12" t="inlineStr">
        <is>
          <t>7891150095854</t>
        </is>
      </c>
      <c r="C1517" s="7" t="inlineStr">
        <is>
          <t>DOVE SER CORP PRO RETINOL 180ML   UNIL %DN:7.00</t>
        </is>
      </c>
      <c r="D1517" s="7" t="inlineStr">
        <is>
          <t>RX - DERMO</t>
        </is>
      </c>
      <c r="E1517" s="7" t="inlineStr">
        <is>
          <t>B</t>
        </is>
      </c>
      <c r="F1517" s="13" t="n">
        <v>2</v>
      </c>
      <c r="G1517" s="13" t="n">
        <v>2</v>
      </c>
      <c r="H1517" s="8" t="n">
        <v>20.91</v>
      </c>
      <c r="I1517" s="8" t="n">
        <v>20.6192</v>
      </c>
      <c r="J1517" s="8" t="n">
        <v>20.81306666666667</v>
      </c>
      <c r="K1517" s="8" t="n"/>
      <c r="L1517" s="8" t="n"/>
      <c r="M1517" s="15" t="n">
        <v>19.42</v>
      </c>
      <c r="N1517" s="8" t="n"/>
      <c r="O1517" s="8" t="n"/>
      <c r="P1517" s="8" t="n">
        <v>22.79</v>
      </c>
      <c r="Q1517" s="8" t="n"/>
      <c r="R1517" s="8" t="n"/>
      <c r="S1517" s="8" t="n"/>
      <c r="T1517" s="7" t="inlineStr">
        <is>
          <t>EPAN</t>
        </is>
      </c>
      <c r="U1517" s="8" t="n">
        <v>19.42</v>
      </c>
      <c r="V1517" s="14">
        <f>U1517/J1517-1</f>
        <v/>
      </c>
      <c r="W1517" s="14">
        <f>U1517/H1517-1</f>
        <v/>
      </c>
      <c r="X1517" s="17" t="inlineStr">
        <is>
          <t>OK (≤ menor hist.)</t>
        </is>
      </c>
      <c r="Y1517" s="7" t="inlineStr"/>
    </row>
    <row r="1518">
      <c r="A1518" s="7" t="n">
        <v>648781</v>
      </c>
      <c r="B1518" s="12" t="inlineStr">
        <is>
          <t>7891150021662</t>
        </is>
      </c>
      <c r="C1518" s="7" t="inlineStr">
        <is>
          <t>DOVE SH 200ML MEN 2EM1 FORCA RESISTEN M3</t>
        </is>
      </c>
      <c r="D1518" s="7" t="inlineStr">
        <is>
          <t>COND/SHAM/CREM/SIMILARES</t>
        </is>
      </c>
      <c r="E1518" s="7" t="inlineStr">
        <is>
          <t>C</t>
        </is>
      </c>
      <c r="F1518" s="13" t="n">
        <v>1</v>
      </c>
      <c r="G1518" s="13" t="n">
        <v>1</v>
      </c>
      <c r="H1518" s="8" t="n">
        <v>15.4</v>
      </c>
      <c r="I1518" s="8" t="n">
        <v>15.4</v>
      </c>
      <c r="J1518" s="8" t="n">
        <v>15.4</v>
      </c>
      <c r="K1518" s="8" t="n"/>
      <c r="L1518" s="8" t="n"/>
      <c r="M1518" s="8" t="n"/>
      <c r="N1518" s="8" t="n"/>
      <c r="O1518" s="8" t="n"/>
      <c r="P1518" s="15" t="n">
        <v>15.97</v>
      </c>
      <c r="Q1518" s="8" t="n"/>
      <c r="R1518" s="8" t="n"/>
      <c r="S1518" s="8" t="n"/>
      <c r="T1518" s="7" t="inlineStr">
        <is>
          <t>NAZARIA</t>
        </is>
      </c>
      <c r="U1518" s="8" t="n">
        <v>15.97</v>
      </c>
      <c r="V1518" s="14">
        <f>U1518/J1518-1</f>
        <v/>
      </c>
      <c r="W1518" s="14">
        <f>U1518/H1518-1</f>
        <v/>
      </c>
      <c r="X1518" s="16" t="inlineStr">
        <is>
          <t>ACIMA +3.7%</t>
        </is>
      </c>
      <c r="Y1518" s="7" t="inlineStr"/>
    </row>
    <row r="1519">
      <c r="A1519" s="7" t="n">
        <v>648771</v>
      </c>
      <c r="B1519" s="12" t="inlineStr">
        <is>
          <t>7891150068926</t>
        </is>
      </c>
      <c r="C1519" s="7" t="inlineStr">
        <is>
          <t>DOVE SH 200ML MEN 3EM1 SPORTS M3</t>
        </is>
      </c>
      <c r="D1519" s="7" t="inlineStr">
        <is>
          <t>COND/SHAM/CREM/SIMILARES</t>
        </is>
      </c>
      <c r="E1519" s="7" t="inlineStr">
        <is>
          <t>C</t>
        </is>
      </c>
      <c r="F1519" s="13" t="n">
        <v>1</v>
      </c>
      <c r="G1519" s="13" t="n">
        <v>1</v>
      </c>
      <c r="H1519" s="8" t="n">
        <v>15.4</v>
      </c>
      <c r="I1519" s="8" t="n">
        <v>15.4</v>
      </c>
      <c r="J1519" s="8" t="n">
        <v>15.4</v>
      </c>
      <c r="K1519" s="8" t="n"/>
      <c r="L1519" s="8" t="n"/>
      <c r="M1519" s="8" t="n"/>
      <c r="N1519" s="8" t="n"/>
      <c r="O1519" s="8" t="n"/>
      <c r="P1519" s="8" t="n"/>
      <c r="Q1519" s="8" t="n"/>
      <c r="R1519" s="8" t="n"/>
      <c r="S1519" s="8" t="n"/>
      <c r="T1519" s="7" t="inlineStr">
        <is>
          <t>SEM COTAÇÃO</t>
        </is>
      </c>
      <c r="U1519" s="8" t="n"/>
      <c r="V1519" s="14" t="n"/>
      <c r="W1519" s="14" t="n"/>
      <c r="X1519" s="7" t="inlineStr"/>
      <c r="Y1519" s="7" t="inlineStr"/>
    </row>
    <row r="1520">
      <c r="A1520" s="7" t="n">
        <v>648591</v>
      </c>
      <c r="B1520" s="12" t="inlineStr">
        <is>
          <t>7891150021709</t>
        </is>
      </c>
      <c r="C1520" s="7" t="inlineStr">
        <is>
          <t>DOVE SH 200ML MEN PROTECAO ANTICASPA M3</t>
        </is>
      </c>
      <c r="D1520" s="7" t="inlineStr">
        <is>
          <t>COND/SHAM/CREM/SIMILARES</t>
        </is>
      </c>
      <c r="E1520" s="7" t="inlineStr">
        <is>
          <t>C</t>
        </is>
      </c>
      <c r="F1520" s="13" t="n">
        <v>1</v>
      </c>
      <c r="G1520" s="13" t="n">
        <v>1</v>
      </c>
      <c r="H1520" s="8" t="n">
        <v>15.4</v>
      </c>
      <c r="I1520" s="8" t="n">
        <v>15.4</v>
      </c>
      <c r="J1520" s="8" t="n">
        <v>15.4</v>
      </c>
      <c r="K1520" s="8" t="n"/>
      <c r="L1520" s="8" t="n"/>
      <c r="M1520" s="8" t="n"/>
      <c r="N1520" s="8" t="n"/>
      <c r="O1520" s="8" t="n"/>
      <c r="P1520" s="15" t="n">
        <v>15.97</v>
      </c>
      <c r="Q1520" s="8" t="n"/>
      <c r="R1520" s="8" t="n"/>
      <c r="S1520" s="8" t="n"/>
      <c r="T1520" s="7" t="inlineStr">
        <is>
          <t>NAZARIA</t>
        </is>
      </c>
      <c r="U1520" s="8" t="n">
        <v>15.97</v>
      </c>
      <c r="V1520" s="14">
        <f>U1520/J1520-1</f>
        <v/>
      </c>
      <c r="W1520" s="14">
        <f>U1520/H1520-1</f>
        <v/>
      </c>
      <c r="X1520" s="16" t="inlineStr">
        <is>
          <t>ACIMA +3.7%</t>
        </is>
      </c>
      <c r="Y1520" s="7" t="inlineStr"/>
    </row>
    <row r="1521">
      <c r="A1521" s="7" t="n">
        <v>337761</v>
      </c>
      <c r="B1521" s="12" t="inlineStr">
        <is>
          <t>7896226108919</t>
        </is>
      </c>
      <c r="C1521" s="7" t="inlineStr">
        <is>
          <t>DOZEMAST 1000 MCG COM SUBL CT BL AL AL X 20</t>
        </is>
      </c>
      <c r="D1521" s="7" t="inlineStr">
        <is>
          <t>CONVENIENCIA</t>
        </is>
      </c>
      <c r="E1521" s="7" t="inlineStr">
        <is>
          <t>C</t>
        </is>
      </c>
      <c r="F1521" s="13" t="n">
        <v>1</v>
      </c>
      <c r="G1521" s="13" t="n">
        <v>1</v>
      </c>
      <c r="H1521" s="8" t="n">
        <v>45.4767</v>
      </c>
      <c r="I1521" s="8" t="n">
        <v>45.4767</v>
      </c>
      <c r="J1521" s="8" t="n">
        <v>45.4767</v>
      </c>
      <c r="K1521" s="8" t="n"/>
      <c r="L1521" s="8" t="n"/>
      <c r="M1521" s="8" t="n"/>
      <c r="N1521" s="8" t="n"/>
      <c r="O1521" s="8" t="n"/>
      <c r="P1521" s="15" t="n">
        <v>48.4903</v>
      </c>
      <c r="Q1521" s="8" t="n"/>
      <c r="R1521" s="8" t="n"/>
      <c r="S1521" s="8" t="n"/>
      <c r="T1521" s="7" t="inlineStr">
        <is>
          <t>NAZARIA</t>
        </is>
      </c>
      <c r="U1521" s="8" t="n">
        <v>48.4903</v>
      </c>
      <c r="V1521" s="14">
        <f>U1521/J1521-1</f>
        <v/>
      </c>
      <c r="W1521" s="14">
        <f>U1521/H1521-1</f>
        <v/>
      </c>
      <c r="X1521" s="16" t="inlineStr">
        <is>
          <t>ACIMA +6.6%</t>
        </is>
      </c>
      <c r="Y1521" s="7" t="inlineStr"/>
    </row>
    <row r="1522">
      <c r="A1522" s="7" t="n">
        <v>666711</v>
      </c>
      <c r="B1522" s="12" t="inlineStr">
        <is>
          <t>7891317042202</t>
        </is>
      </c>
      <c r="C1522" s="7" t="inlineStr">
        <is>
          <t>DOZI 1000MCG C/30 COMP SUB-OUTROS</t>
        </is>
      </c>
      <c r="D1522" s="7" t="inlineStr">
        <is>
          <t>RX</t>
        </is>
      </c>
      <c r="E1522" s="7" t="inlineStr">
        <is>
          <t>C</t>
        </is>
      </c>
      <c r="F1522" s="13" t="n">
        <v>1</v>
      </c>
      <c r="G1522" s="13" t="n">
        <v>1</v>
      </c>
      <c r="H1522" s="8" t="n">
        <v>44.048</v>
      </c>
      <c r="I1522" s="8" t="n">
        <v>44.048</v>
      </c>
      <c r="J1522" s="8" t="n">
        <v>44.048</v>
      </c>
      <c r="K1522" s="8" t="n"/>
      <c r="L1522" s="8" t="n"/>
      <c r="M1522" s="8" t="n">
        <v>22.99</v>
      </c>
      <c r="N1522" s="8" t="n"/>
      <c r="O1522" s="8" t="n"/>
      <c r="P1522" s="8" t="n"/>
      <c r="Q1522" s="8" t="n"/>
      <c r="R1522" s="8" t="n"/>
      <c r="S1522" s="8" t="n"/>
      <c r="T1522" s="7" t="inlineStr">
        <is>
          <t>SEM COTAÇÃO</t>
        </is>
      </c>
      <c r="U1522" s="8" t="n"/>
      <c r="V1522" s="14" t="n"/>
      <c r="W1522" s="14" t="n"/>
      <c r="X1522" s="7" t="inlineStr"/>
      <c r="Y1522" s="7" t="inlineStr">
        <is>
          <t>EPAN: sem estoque</t>
        </is>
      </c>
    </row>
    <row r="1523">
      <c r="A1523" s="7" t="n">
        <v>669071</v>
      </c>
      <c r="B1523" s="12" t="inlineStr"/>
      <c r="C1523" s="7" t="inlineStr">
        <is>
          <t>DRAMIN CAPS GEL (CARTELADO) PV</t>
        </is>
      </c>
      <c r="D1523" s="7" t="inlineStr">
        <is>
          <t>RX</t>
        </is>
      </c>
      <c r="E1523" s="7" t="inlineStr">
        <is>
          <t>C</t>
        </is>
      </c>
      <c r="F1523" s="13" t="n">
        <v>1</v>
      </c>
      <c r="G1523" s="13" t="n">
        <v>1</v>
      </c>
      <c r="H1523" s="8" t="n"/>
      <c r="I1523" s="8" t="n"/>
      <c r="J1523" s="8" t="n"/>
      <c r="K1523" s="8" t="n"/>
      <c r="L1523" s="8" t="n"/>
      <c r="M1523" s="8" t="n"/>
      <c r="N1523" s="8" t="n"/>
      <c r="O1523" s="8" t="n"/>
      <c r="P1523" s="8" t="n"/>
      <c r="Q1523" s="8" t="n"/>
      <c r="R1523" s="8" t="n"/>
      <c r="S1523" s="8" t="n"/>
      <c r="T1523" s="7" t="inlineStr">
        <is>
          <t>SEM COTAÇÃO</t>
        </is>
      </c>
      <c r="U1523" s="8" t="n"/>
      <c r="V1523" s="14" t="n"/>
      <c r="W1523" s="14" t="n"/>
      <c r="X1523" s="7" t="inlineStr"/>
      <c r="Y1523" s="7" t="inlineStr"/>
    </row>
    <row r="1524">
      <c r="A1524" s="7" t="n">
        <v>329901</v>
      </c>
      <c r="B1524" s="12" t="inlineStr">
        <is>
          <t>7897917002677</t>
        </is>
      </c>
      <c r="C1524" s="7" t="inlineStr">
        <is>
          <t>DRENOGRIP 500+30+2MG CX 120 COMP</t>
        </is>
      </c>
      <c r="D1524" s="7" t="inlineStr">
        <is>
          <t>SIMILAR</t>
        </is>
      </c>
      <c r="E1524" s="7" t="inlineStr">
        <is>
          <t>A</t>
        </is>
      </c>
      <c r="F1524" s="13" t="n">
        <v>5</v>
      </c>
      <c r="G1524" s="13" t="n">
        <v>100</v>
      </c>
      <c r="H1524" s="8" t="n">
        <v>0.874</v>
      </c>
      <c r="I1524" s="8" t="n">
        <v>0.874</v>
      </c>
      <c r="J1524" s="8" t="n">
        <v>0.874</v>
      </c>
      <c r="K1524" s="8" t="n"/>
      <c r="L1524" s="8" t="n"/>
      <c r="M1524" s="8" t="n"/>
      <c r="N1524" s="15" t="n">
        <v>20.03</v>
      </c>
      <c r="O1524" s="8" t="n"/>
      <c r="P1524" s="8" t="n"/>
      <c r="Q1524" s="8" t="n"/>
      <c r="R1524" s="8" t="n"/>
      <c r="S1524" s="8" t="n"/>
      <c r="T1524" s="7" t="inlineStr">
        <is>
          <t>CENTROFARMA</t>
        </is>
      </c>
      <c r="U1524" s="8" t="n">
        <v>20.03</v>
      </c>
      <c r="V1524" s="14">
        <f>U1524/J1524-1</f>
        <v/>
      </c>
      <c r="W1524" s="14">
        <f>U1524/H1524-1</f>
        <v/>
      </c>
      <c r="X1524" s="16" t="inlineStr">
        <is>
          <t>ACIMA +2191.8%</t>
        </is>
      </c>
      <c r="Y1524" s="7" t="inlineStr">
        <is>
          <t>CENTROFARMA: conferir emb.</t>
        </is>
      </c>
    </row>
    <row r="1525">
      <c r="A1525" s="7" t="n">
        <v>572701</v>
      </c>
      <c r="B1525" s="12" t="inlineStr">
        <is>
          <t>78938847</t>
        </is>
      </c>
      <c r="C1525" s="7" t="inlineStr">
        <is>
          <t>DROPP HALLS MORANGO 28G</t>
        </is>
      </c>
      <c r="D1525" s="7" t="inlineStr">
        <is>
          <t>CONVENIENCIA</t>
        </is>
      </c>
      <c r="E1525" s="7" t="inlineStr">
        <is>
          <t>B</t>
        </is>
      </c>
      <c r="F1525" s="13" t="n">
        <v>23</v>
      </c>
      <c r="G1525" s="13" t="n">
        <v>23</v>
      </c>
      <c r="H1525" s="8" t="n">
        <v>1.28</v>
      </c>
      <c r="I1525" s="8" t="n">
        <v>1.2</v>
      </c>
      <c r="J1525" s="8" t="n">
        <v>1.253333333333333</v>
      </c>
      <c r="K1525" s="8" t="n"/>
      <c r="L1525" s="8" t="n"/>
      <c r="M1525" s="8" t="n"/>
      <c r="N1525" s="8" t="n"/>
      <c r="O1525" s="8" t="n"/>
      <c r="P1525" s="8" t="n"/>
      <c r="Q1525" s="8" t="n"/>
      <c r="R1525" s="8" t="n"/>
      <c r="S1525" s="8" t="n"/>
      <c r="T1525" s="7" t="inlineStr">
        <is>
          <t>SEM COTAÇÃO</t>
        </is>
      </c>
      <c r="U1525" s="8" t="n"/>
      <c r="V1525" s="14" t="n"/>
      <c r="W1525" s="14" t="n"/>
      <c r="X1525" s="7" t="inlineStr"/>
      <c r="Y1525" s="7" t="inlineStr"/>
    </row>
    <row r="1526">
      <c r="A1526" s="7" t="n">
        <v>661721</v>
      </c>
      <c r="B1526" s="12" t="inlineStr">
        <is>
          <t>7891151039505</t>
        </is>
      </c>
      <c r="C1526" s="7" t="inlineStr">
        <is>
          <t>DROPS FREEG PLAY MOR REC CHOC</t>
        </is>
      </c>
      <c r="D1526" s="7" t="inlineStr">
        <is>
          <t>CONVENIENCIA</t>
        </is>
      </c>
      <c r="E1526" s="7" t="inlineStr">
        <is>
          <t>C</t>
        </is>
      </c>
      <c r="F1526" s="13" t="n">
        <v>1</v>
      </c>
      <c r="G1526" s="13" t="n">
        <v>5</v>
      </c>
      <c r="H1526" s="8" t="n">
        <v>0.9892</v>
      </c>
      <c r="I1526" s="8" t="n">
        <v>0.9892</v>
      </c>
      <c r="J1526" s="8" t="n">
        <v>0.9892</v>
      </c>
      <c r="K1526" s="8" t="n"/>
      <c r="L1526" s="8" t="n"/>
      <c r="M1526" s="8" t="n"/>
      <c r="N1526" s="8" t="n"/>
      <c r="O1526" s="8" t="n"/>
      <c r="P1526" s="8" t="n"/>
      <c r="Q1526" s="8" t="n"/>
      <c r="R1526" s="8" t="n"/>
      <c r="S1526" s="8" t="n"/>
      <c r="T1526" s="7" t="inlineStr">
        <is>
          <t>SEM COTAÇÃO</t>
        </is>
      </c>
      <c r="U1526" s="8" t="n"/>
      <c r="V1526" s="14" t="n"/>
      <c r="W1526" s="14" t="n"/>
      <c r="X1526" s="7" t="inlineStr"/>
      <c r="Y1526" s="7" t="inlineStr"/>
    </row>
    <row r="1527">
      <c r="A1527" s="7" t="n">
        <v>666561</v>
      </c>
      <c r="B1527" s="12" t="inlineStr">
        <is>
          <t>7891151039789</t>
        </is>
      </c>
      <c r="C1527" s="7" t="inlineStr">
        <is>
          <t>DROPS FREEGEL PLAY EXTRA FORTE 36DPX12UN DP</t>
        </is>
      </c>
      <c r="D1527" s="7" t="inlineStr">
        <is>
          <t>CONVENIENCIA</t>
        </is>
      </c>
      <c r="E1527" s="7" t="inlineStr">
        <is>
          <t>C</t>
        </is>
      </c>
      <c r="F1527" s="13" t="n">
        <v>1</v>
      </c>
      <c r="G1527" s="13" t="n">
        <v>7</v>
      </c>
      <c r="H1527" s="8" t="n">
        <v>0.3364</v>
      </c>
      <c r="I1527" s="8" t="n">
        <v>0.3364</v>
      </c>
      <c r="J1527" s="8" t="n">
        <v>0.3364</v>
      </c>
      <c r="K1527" s="8" t="n"/>
      <c r="L1527" s="8" t="n"/>
      <c r="M1527" s="8" t="n"/>
      <c r="N1527" s="8" t="n"/>
      <c r="O1527" s="8" t="n"/>
      <c r="P1527" s="8" t="n"/>
      <c r="Q1527" s="8" t="n"/>
      <c r="R1527" s="8" t="n"/>
      <c r="S1527" s="8" t="n"/>
      <c r="T1527" s="7" t="inlineStr">
        <is>
          <t>SEM COTAÇÃO</t>
        </is>
      </c>
      <c r="U1527" s="8" t="n"/>
      <c r="V1527" s="14" t="n"/>
      <c r="W1527" s="14" t="n"/>
      <c r="X1527" s="7" t="inlineStr"/>
      <c r="Y1527" s="7" t="inlineStr"/>
    </row>
    <row r="1528">
      <c r="A1528" s="7" t="n">
        <v>643271</v>
      </c>
      <c r="B1528" s="12" t="inlineStr">
        <is>
          <t>7891151039680</t>
        </is>
      </c>
      <c r="C1528" s="7" t="inlineStr">
        <is>
          <t>DROPS FREEGELLS PLAY VIT C 36X12UN DP QTD. 2.00 DP</t>
        </is>
      </c>
      <c r="D1528" s="7" t="inlineStr">
        <is>
          <t>CONVENIENCIA</t>
        </is>
      </c>
      <c r="E1528" s="7" t="inlineStr">
        <is>
          <t>C</t>
        </is>
      </c>
      <c r="F1528" s="13" t="n">
        <v>1</v>
      </c>
      <c r="G1528" s="13" t="n">
        <v>4</v>
      </c>
      <c r="H1528" s="8" t="n">
        <v>1.0092</v>
      </c>
      <c r="I1528" s="8" t="n">
        <v>1.0092</v>
      </c>
      <c r="J1528" s="8" t="n">
        <v>1.0092</v>
      </c>
      <c r="K1528" s="8" t="n"/>
      <c r="L1528" s="8" t="n"/>
      <c r="M1528" s="8" t="n"/>
      <c r="N1528" s="8" t="n"/>
      <c r="O1528" s="8" t="n"/>
      <c r="P1528" s="8" t="n"/>
      <c r="Q1528" s="8" t="n"/>
      <c r="R1528" s="8" t="n"/>
      <c r="S1528" s="8" t="n"/>
      <c r="T1528" s="7" t="inlineStr">
        <is>
          <t>SEM COTAÇÃO</t>
        </is>
      </c>
      <c r="U1528" s="8" t="n"/>
      <c r="V1528" s="14" t="n"/>
      <c r="W1528" s="14" t="n"/>
      <c r="X1528" s="7" t="inlineStr"/>
      <c r="Y1528" s="7" t="inlineStr"/>
    </row>
    <row r="1529">
      <c r="A1529" s="7" t="n">
        <v>579001</v>
      </c>
      <c r="B1529" s="12" t="inlineStr"/>
      <c r="C1529" s="7" t="inlineStr">
        <is>
          <t>DROPS FRUIT TELLA MORANGO</t>
        </is>
      </c>
      <c r="D1529" s="7" t="inlineStr">
        <is>
          <t>CONVENIENCIA</t>
        </is>
      </c>
      <c r="E1529" s="7" t="inlineStr">
        <is>
          <t>A</t>
        </is>
      </c>
      <c r="F1529" s="13" t="n">
        <v>2</v>
      </c>
      <c r="G1529" s="13" t="n">
        <v>17</v>
      </c>
      <c r="H1529" s="8" t="n">
        <v>2.605</v>
      </c>
      <c r="I1529" s="8" t="n">
        <v>2.3681</v>
      </c>
      <c r="J1529" s="8" t="n">
        <v>2.525966666666667</v>
      </c>
      <c r="K1529" s="8" t="n"/>
      <c r="L1529" s="8" t="n"/>
      <c r="M1529" s="8" t="n"/>
      <c r="N1529" s="8" t="n"/>
      <c r="O1529" s="8" t="n"/>
      <c r="P1529" s="8" t="n"/>
      <c r="Q1529" s="8" t="n"/>
      <c r="R1529" s="8" t="n"/>
      <c r="S1529" s="8" t="n"/>
      <c r="T1529" s="7" t="inlineStr">
        <is>
          <t>SEM COTAÇÃO</t>
        </is>
      </c>
      <c r="U1529" s="8" t="n"/>
      <c r="V1529" s="14" t="n"/>
      <c r="W1529" s="14" t="n"/>
      <c r="X1529" s="7" t="inlineStr"/>
      <c r="Y1529" s="7" t="inlineStr"/>
    </row>
    <row r="1530">
      <c r="A1530" s="7" t="n">
        <v>690801</v>
      </c>
      <c r="B1530" s="12" t="inlineStr"/>
      <c r="C1530" s="7" t="inlineStr">
        <is>
          <t>DROPS HALLS MELANCIA 28G</t>
        </is>
      </c>
      <c r="D1530" s="7" t="inlineStr">
        <is>
          <t>CONVENIENCIA</t>
        </is>
      </c>
      <c r="E1530" s="7" t="inlineStr">
        <is>
          <t>C</t>
        </is>
      </c>
      <c r="F1530" s="13" t="n">
        <v>4</v>
      </c>
      <c r="G1530" s="13" t="n">
        <v>4</v>
      </c>
      <c r="H1530" s="8" t="n">
        <v>1.15</v>
      </c>
      <c r="I1530" s="8" t="n">
        <v>1.15</v>
      </c>
      <c r="J1530" s="8" t="n">
        <v>1.15</v>
      </c>
      <c r="K1530" s="8" t="n"/>
      <c r="L1530" s="8" t="n"/>
      <c r="M1530" s="8" t="n"/>
      <c r="N1530" s="8" t="n"/>
      <c r="O1530" s="8" t="n"/>
      <c r="P1530" s="8" t="n"/>
      <c r="Q1530" s="8" t="n"/>
      <c r="R1530" s="8" t="n"/>
      <c r="S1530" s="8" t="n"/>
      <c r="T1530" s="7" t="inlineStr">
        <is>
          <t>SEM COTAÇÃO</t>
        </is>
      </c>
      <c r="U1530" s="8" t="n"/>
      <c r="V1530" s="14" t="n"/>
      <c r="W1530" s="14" t="n"/>
      <c r="X1530" s="7" t="inlineStr"/>
      <c r="Y1530" s="7" t="inlineStr"/>
    </row>
    <row r="1531">
      <c r="A1531" s="7" t="n">
        <v>595501</v>
      </c>
      <c r="B1531" s="12" t="inlineStr">
        <is>
          <t>78938861</t>
        </is>
      </c>
      <c r="C1531" s="7" t="inlineStr">
        <is>
          <t>DROPS HALLS UVA VERDE 28G</t>
        </is>
      </c>
      <c r="D1531" s="7" t="inlineStr">
        <is>
          <t>CONVENIENCIA</t>
        </is>
      </c>
      <c r="E1531" s="7" t="inlineStr">
        <is>
          <t>B</t>
        </is>
      </c>
      <c r="F1531" s="13" t="n">
        <v>20</v>
      </c>
      <c r="G1531" s="13" t="n">
        <v>20</v>
      </c>
      <c r="H1531" s="8" t="n">
        <v>1.28</v>
      </c>
      <c r="I1531" s="8" t="n">
        <v>1.2</v>
      </c>
      <c r="J1531" s="8" t="n">
        <v>1.253333333333333</v>
      </c>
      <c r="K1531" s="8" t="n"/>
      <c r="L1531" s="8" t="n"/>
      <c r="M1531" s="8" t="n"/>
      <c r="N1531" s="8" t="n"/>
      <c r="O1531" s="8" t="n"/>
      <c r="P1531" s="8" t="n"/>
      <c r="Q1531" s="8" t="n"/>
      <c r="R1531" s="8" t="n"/>
      <c r="S1531" s="8" t="n"/>
      <c r="T1531" s="7" t="inlineStr">
        <is>
          <t>SEM COTAÇÃO</t>
        </is>
      </c>
      <c r="U1531" s="8" t="n"/>
      <c r="V1531" s="14" t="n"/>
      <c r="W1531" s="14" t="n"/>
      <c r="X1531" s="7" t="inlineStr"/>
      <c r="Y1531" s="7" t="inlineStr"/>
    </row>
    <row r="1532">
      <c r="A1532" s="7" t="n">
        <v>631031</v>
      </c>
      <c r="B1532" s="12" t="inlineStr"/>
      <c r="C1532" s="7" t="inlineStr">
        <is>
          <t>DROPS ICEKISS EXTRA FORTE UNID</t>
        </is>
      </c>
      <c r="D1532" s="7" t="inlineStr">
        <is>
          <t>CONVENIENCIA</t>
        </is>
      </c>
      <c r="E1532" s="7" t="inlineStr">
        <is>
          <t>C</t>
        </is>
      </c>
      <c r="F1532" s="13" t="n">
        <v>2</v>
      </c>
      <c r="G1532" s="13" t="n">
        <v>17</v>
      </c>
      <c r="H1532" s="8" t="n">
        <v>1.1008</v>
      </c>
      <c r="I1532" s="8" t="n">
        <v>1.1008</v>
      </c>
      <c r="J1532" s="8" t="n">
        <v>1.1008</v>
      </c>
      <c r="K1532" s="8" t="n"/>
      <c r="L1532" s="8" t="n"/>
      <c r="M1532" s="8" t="n"/>
      <c r="N1532" s="8" t="n"/>
      <c r="O1532" s="8" t="n"/>
      <c r="P1532" s="8" t="n"/>
      <c r="Q1532" s="8" t="n"/>
      <c r="R1532" s="8" t="n"/>
      <c r="S1532" s="8" t="n"/>
      <c r="T1532" s="7" t="inlineStr">
        <is>
          <t>SEM COTAÇÃO</t>
        </is>
      </c>
      <c r="U1532" s="8" t="n"/>
      <c r="V1532" s="14" t="n"/>
      <c r="W1532" s="14" t="n"/>
      <c r="X1532" s="7" t="inlineStr"/>
      <c r="Y1532" s="7" t="inlineStr"/>
    </row>
    <row r="1533">
      <c r="A1533" s="7" t="n">
        <v>569661</v>
      </c>
      <c r="B1533" s="12" t="inlineStr">
        <is>
          <t>7896262304306</t>
        </is>
      </c>
      <c r="C1533" s="7" t="inlineStr">
        <is>
          <t>DROPS MENTOS MENTA 16X1</t>
        </is>
      </c>
      <c r="D1533" s="7" t="inlineStr">
        <is>
          <t>CONVENIENCIA</t>
        </is>
      </c>
      <c r="E1533" s="7" t="inlineStr">
        <is>
          <t>A</t>
        </is>
      </c>
      <c r="F1533" s="13" t="n">
        <v>2</v>
      </c>
      <c r="G1533" s="13" t="n">
        <v>27</v>
      </c>
      <c r="H1533" s="8" t="n">
        <v>2.2479</v>
      </c>
      <c r="I1533" s="8" t="n">
        <v>2.2219</v>
      </c>
      <c r="J1533" s="8" t="n">
        <v>2.239233333333333</v>
      </c>
      <c r="K1533" s="8" t="n"/>
      <c r="L1533" s="8" t="n"/>
      <c r="M1533" s="8" t="n"/>
      <c r="N1533" s="8" t="n"/>
      <c r="O1533" s="8" t="n"/>
      <c r="P1533" s="8" t="n"/>
      <c r="Q1533" s="8" t="n"/>
      <c r="R1533" s="8" t="n"/>
      <c r="S1533" s="8" t="n"/>
      <c r="T1533" s="7" t="inlineStr">
        <is>
          <t>SEM COTAÇÃO</t>
        </is>
      </c>
      <c r="U1533" s="8" t="n"/>
      <c r="V1533" s="14" t="n"/>
      <c r="W1533" s="14" t="n"/>
      <c r="X1533" s="7" t="inlineStr"/>
      <c r="Y1533" s="7" t="inlineStr"/>
    </row>
    <row r="1534">
      <c r="A1534" s="7" t="n">
        <v>569701</v>
      </c>
      <c r="B1534" s="12" t="inlineStr">
        <is>
          <t>7895144603087</t>
        </is>
      </c>
      <c r="C1534" s="7" t="inlineStr">
        <is>
          <t>DROPS MENTOS MOR YOGURT 16X1</t>
        </is>
      </c>
      <c r="D1534" s="7" t="inlineStr">
        <is>
          <t>CONVENIENCIA</t>
        </is>
      </c>
      <c r="E1534" s="7" t="inlineStr">
        <is>
          <t>A</t>
        </is>
      </c>
      <c r="F1534" s="13" t="n">
        <v>3</v>
      </c>
      <c r="G1534" s="13" t="n">
        <v>37</v>
      </c>
      <c r="H1534" s="8" t="n">
        <v>2.248</v>
      </c>
      <c r="I1534" s="8" t="n">
        <v>2.2219</v>
      </c>
      <c r="J1534" s="8" t="n">
        <v>2.2393</v>
      </c>
      <c r="K1534" s="8" t="n"/>
      <c r="L1534" s="8" t="n"/>
      <c r="M1534" s="8" t="n"/>
      <c r="N1534" s="8" t="n"/>
      <c r="O1534" s="8" t="n"/>
      <c r="P1534" s="8" t="n"/>
      <c r="Q1534" s="8" t="n"/>
      <c r="R1534" s="8" t="n"/>
      <c r="S1534" s="8" t="n"/>
      <c r="T1534" s="7" t="inlineStr">
        <is>
          <t>SEM COTAÇÃO</t>
        </is>
      </c>
      <c r="U1534" s="8" t="n"/>
      <c r="V1534" s="14" t="n"/>
      <c r="W1534" s="14" t="n"/>
      <c r="X1534" s="7" t="inlineStr"/>
      <c r="Y1534" s="7" t="inlineStr"/>
    </row>
    <row r="1535">
      <c r="A1535" s="7" t="n">
        <v>578921</v>
      </c>
      <c r="B1535" s="12" t="inlineStr">
        <is>
          <t>7896262304351</t>
        </is>
      </c>
      <c r="C1535" s="7" t="inlineStr">
        <is>
          <t>DROPS MENTOS STICK FRUIT 16UNIDADE</t>
        </is>
      </c>
      <c r="D1535" s="7" t="inlineStr">
        <is>
          <t>CONVENIENCIA</t>
        </is>
      </c>
      <c r="E1535" s="7" t="inlineStr">
        <is>
          <t>A</t>
        </is>
      </c>
      <c r="F1535" s="13" t="n">
        <v>2</v>
      </c>
      <c r="G1535" s="13" t="n">
        <v>31</v>
      </c>
      <c r="H1535" s="8" t="n">
        <v>2.2479</v>
      </c>
      <c r="I1535" s="8" t="n">
        <v>2.2219</v>
      </c>
      <c r="J1535" s="8" t="n">
        <v>2.239233333333333</v>
      </c>
      <c r="K1535" s="8" t="n"/>
      <c r="L1535" s="8" t="n"/>
      <c r="M1535" s="8" t="n"/>
      <c r="N1535" s="8" t="n"/>
      <c r="O1535" s="8" t="n"/>
      <c r="P1535" s="8" t="n"/>
      <c r="Q1535" s="8" t="n"/>
      <c r="R1535" s="8" t="n"/>
      <c r="S1535" s="8" t="n"/>
      <c r="T1535" s="7" t="inlineStr">
        <is>
          <t>SEM COTAÇÃO</t>
        </is>
      </c>
      <c r="U1535" s="8" t="n"/>
      <c r="V1535" s="14" t="n"/>
      <c r="W1535" s="14" t="n"/>
      <c r="X1535" s="7" t="inlineStr"/>
      <c r="Y1535" s="7" t="inlineStr"/>
    </row>
    <row r="1536">
      <c r="A1536" s="7" t="n">
        <v>578941</v>
      </c>
      <c r="B1536" s="12" t="inlineStr">
        <is>
          <t>7895144603063</t>
        </is>
      </c>
      <c r="C1536" s="7" t="inlineStr">
        <is>
          <t>DROPS MENTOS STICK FRUTAS VERMELHAS 16UNIDADE</t>
        </is>
      </c>
      <c r="D1536" s="7" t="inlineStr">
        <is>
          <t>CONVENIENCIA</t>
        </is>
      </c>
      <c r="E1536" s="7" t="inlineStr">
        <is>
          <t>A</t>
        </is>
      </c>
      <c r="F1536" s="13" t="n">
        <v>1</v>
      </c>
      <c r="G1536" s="13" t="n">
        <v>9</v>
      </c>
      <c r="H1536" s="8" t="n">
        <v>2.2479</v>
      </c>
      <c r="I1536" s="8" t="n">
        <v>2.2219</v>
      </c>
      <c r="J1536" s="8" t="n">
        <v>2.239233333333333</v>
      </c>
      <c r="K1536" s="8" t="n"/>
      <c r="L1536" s="8" t="n"/>
      <c r="M1536" s="8" t="n"/>
      <c r="N1536" s="8" t="n"/>
      <c r="O1536" s="8" t="n"/>
      <c r="P1536" s="8" t="n"/>
      <c r="Q1536" s="8" t="n"/>
      <c r="R1536" s="8" t="n"/>
      <c r="S1536" s="8" t="n"/>
      <c r="T1536" s="7" t="inlineStr">
        <is>
          <t>SEM COTAÇÃO</t>
        </is>
      </c>
      <c r="U1536" s="8" t="n"/>
      <c r="V1536" s="14" t="n"/>
      <c r="W1536" s="14" t="n"/>
      <c r="X1536" s="7" t="inlineStr"/>
      <c r="Y1536" s="7" t="inlineStr"/>
    </row>
    <row r="1537">
      <c r="A1537" s="7" t="n">
        <v>239061</v>
      </c>
      <c r="B1537" s="12" t="inlineStr">
        <is>
          <t>7898945030427</t>
        </is>
      </c>
      <c r="C1537" s="7" t="inlineStr">
        <is>
          <t>DROSPIRENONA+ETINILESTRADIOL 3+0,02MG CX 24 BL</t>
        </is>
      </c>
      <c r="D1537" s="7" t="inlineStr">
        <is>
          <t>GENERICO</t>
        </is>
      </c>
      <c r="E1537" s="7" t="inlineStr">
        <is>
          <t>C</t>
        </is>
      </c>
      <c r="F1537" s="13" t="n">
        <v>1</v>
      </c>
      <c r="G1537" s="13" t="n">
        <v>1</v>
      </c>
      <c r="H1537" s="8" t="n">
        <v>19.62</v>
      </c>
      <c r="I1537" s="8" t="n">
        <v>19.62</v>
      </c>
      <c r="J1537" s="8" t="n">
        <v>19.62</v>
      </c>
      <c r="K1537" s="8" t="n"/>
      <c r="L1537" s="8" t="n"/>
      <c r="M1537" s="8" t="n"/>
      <c r="N1537" s="8" t="n"/>
      <c r="O1537" s="8" t="n"/>
      <c r="P1537" s="8" t="n"/>
      <c r="Q1537" s="8" t="n"/>
      <c r="R1537" s="8" t="n"/>
      <c r="S1537" s="8" t="n"/>
      <c r="T1537" s="7" t="inlineStr">
        <is>
          <t>SEM COTAÇÃO</t>
        </is>
      </c>
      <c r="U1537" s="8" t="n"/>
      <c r="V1537" s="14" t="n"/>
      <c r="W1537" s="14" t="n"/>
      <c r="X1537" s="7" t="inlineStr"/>
      <c r="Y1537" s="7" t="inlineStr"/>
    </row>
    <row r="1538">
      <c r="A1538" s="7" t="n">
        <v>238761</v>
      </c>
      <c r="B1538" s="12" t="inlineStr">
        <is>
          <t>7895296100038</t>
        </is>
      </c>
      <c r="C1538" s="7" t="inlineStr">
        <is>
          <t>DROSPIRENONA+ETINILESTRADIOL 3+0,03MG CX 21 COMP REV</t>
        </is>
      </c>
      <c r="D1538" s="7" t="inlineStr">
        <is>
          <t>GENERICO</t>
        </is>
      </c>
      <c r="E1538" s="7" t="inlineStr">
        <is>
          <t>B</t>
        </is>
      </c>
      <c r="F1538" s="13" t="n">
        <v>11</v>
      </c>
      <c r="G1538" s="13" t="n">
        <v>11</v>
      </c>
      <c r="H1538" s="8" t="n">
        <v>10.44</v>
      </c>
      <c r="I1538" s="8" t="n">
        <v>8.948700000000001</v>
      </c>
      <c r="J1538" s="8" t="n">
        <v>9.9429</v>
      </c>
      <c r="K1538" s="8" t="n">
        <v>10.44</v>
      </c>
      <c r="L1538" s="15" t="n">
        <v>10.39</v>
      </c>
      <c r="M1538" s="8" t="n"/>
      <c r="N1538" s="8" t="n"/>
      <c r="O1538" s="8" t="n"/>
      <c r="P1538" s="8" t="n">
        <v>52.88</v>
      </c>
      <c r="Q1538" s="8" t="n"/>
      <c r="R1538" s="8" t="n"/>
      <c r="S1538" s="8" t="n"/>
      <c r="T1538" s="7" t="inlineStr">
        <is>
          <t>PLUSFARMA</t>
        </is>
      </c>
      <c r="U1538" s="8" t="n">
        <v>10.39</v>
      </c>
      <c r="V1538" s="14">
        <f>U1538/J1538-1</f>
        <v/>
      </c>
      <c r="W1538" s="14">
        <f>U1538/H1538-1</f>
        <v/>
      </c>
      <c r="X1538" s="17" t="inlineStr">
        <is>
          <t>OK (≤ últ. compra)</t>
        </is>
      </c>
      <c r="Y1538" s="7" t="inlineStr">
        <is>
          <t>NAZARIA: conferir emb.</t>
        </is>
      </c>
    </row>
    <row r="1539">
      <c r="A1539" s="7" t="n">
        <v>628421</v>
      </c>
      <c r="B1539" s="12" t="inlineStr">
        <is>
          <t>7891350041187</t>
        </is>
      </c>
      <c r="C1539" s="7" t="inlineStr">
        <is>
          <t>DSD AE ADIDAS 150ML</t>
        </is>
      </c>
      <c r="D1539" s="7" t="inlineStr">
        <is>
          <t>PERF/COSME</t>
        </is>
      </c>
      <c r="E1539" s="7" t="inlineStr">
        <is>
          <t>C</t>
        </is>
      </c>
      <c r="F1539" s="13" t="n">
        <v>1</v>
      </c>
      <c r="G1539" s="13" t="n">
        <v>1</v>
      </c>
      <c r="H1539" s="8" t="n">
        <v>11.51</v>
      </c>
      <c r="I1539" s="8" t="n">
        <v>11.51</v>
      </c>
      <c r="J1539" s="8" t="n">
        <v>11.51</v>
      </c>
      <c r="K1539" s="8" t="n"/>
      <c r="L1539" s="8" t="n"/>
      <c r="M1539" s="8" t="n"/>
      <c r="N1539" s="8" t="n"/>
      <c r="O1539" s="8" t="n"/>
      <c r="P1539" s="8" t="n"/>
      <c r="Q1539" s="8" t="n"/>
      <c r="R1539" s="8" t="n"/>
      <c r="S1539" s="8" t="n"/>
      <c r="T1539" s="7" t="inlineStr">
        <is>
          <t>SEM COTAÇÃO</t>
        </is>
      </c>
      <c r="U1539" s="8" t="n"/>
      <c r="V1539" s="14" t="n"/>
      <c r="W1539" s="14" t="n"/>
      <c r="X1539" s="7" t="inlineStr"/>
      <c r="Y1539" s="7" t="inlineStr"/>
    </row>
    <row r="1540">
      <c r="A1540" s="7" t="n">
        <v>628431</v>
      </c>
      <c r="B1540" s="12" t="inlineStr">
        <is>
          <t>7891350041163</t>
        </is>
      </c>
      <c r="C1540" s="7" t="inlineStr">
        <is>
          <t>DSD AE ADIDAS 150ML (MAS) POWER BOOSTE N</t>
        </is>
      </c>
      <c r="D1540" s="7" t="inlineStr">
        <is>
          <t>PERF/COSME</t>
        </is>
      </c>
      <c r="E1540" s="7" t="inlineStr">
        <is>
          <t>C</t>
        </is>
      </c>
      <c r="F1540" s="13" t="n">
        <v>1</v>
      </c>
      <c r="G1540" s="13" t="n">
        <v>1</v>
      </c>
      <c r="H1540" s="8" t="n">
        <v>11.51</v>
      </c>
      <c r="I1540" s="8" t="n">
        <v>11.51</v>
      </c>
      <c r="J1540" s="8" t="n">
        <v>11.51</v>
      </c>
      <c r="K1540" s="8" t="n"/>
      <c r="L1540" s="8" t="n"/>
      <c r="M1540" s="8" t="n"/>
      <c r="N1540" s="8" t="n"/>
      <c r="O1540" s="8" t="n"/>
      <c r="P1540" s="8" t="n"/>
      <c r="Q1540" s="8" t="n"/>
      <c r="R1540" s="8" t="n"/>
      <c r="S1540" s="8" t="n"/>
      <c r="T1540" s="7" t="inlineStr">
        <is>
          <t>SEM COTAÇÃO</t>
        </is>
      </c>
      <c r="U1540" s="8" t="n"/>
      <c r="V1540" s="14" t="n"/>
      <c r="W1540" s="14" t="n"/>
      <c r="X1540" s="7" t="inlineStr"/>
      <c r="Y1540" s="7" t="inlineStr"/>
    </row>
    <row r="1541">
      <c r="A1541" s="7" t="n">
        <v>628441</v>
      </c>
      <c r="B1541" s="12" t="inlineStr">
        <is>
          <t>7891350033915</t>
        </is>
      </c>
      <c r="C1541" s="7" t="inlineStr">
        <is>
          <t>DSD AE ADIDAS 150ML (MAS) PRO INVISIBLE</t>
        </is>
      </c>
      <c r="D1541" s="7" t="inlineStr">
        <is>
          <t>PERF/COSME</t>
        </is>
      </c>
      <c r="E1541" s="7" t="inlineStr">
        <is>
          <t>C</t>
        </is>
      </c>
      <c r="F1541" s="13" t="n">
        <v>1</v>
      </c>
      <c r="G1541" s="13" t="n">
        <v>1</v>
      </c>
      <c r="H1541" s="8" t="n">
        <v>11.51</v>
      </c>
      <c r="I1541" s="8" t="n">
        <v>11.51</v>
      </c>
      <c r="J1541" s="8" t="n">
        <v>11.51</v>
      </c>
      <c r="K1541" s="8" t="n"/>
      <c r="L1541" s="8" t="n"/>
      <c r="M1541" s="8" t="n"/>
      <c r="N1541" s="8" t="n"/>
      <c r="O1541" s="8" t="n"/>
      <c r="P1541" s="8" t="n"/>
      <c r="Q1541" s="8" t="n"/>
      <c r="R1541" s="8" t="n"/>
      <c r="S1541" s="8" t="n"/>
      <c r="T1541" s="7" t="inlineStr">
        <is>
          <t>SEM COTAÇÃO</t>
        </is>
      </c>
      <c r="U1541" s="8" t="n"/>
      <c r="V1541" s="14" t="n"/>
      <c r="W1541" s="14" t="n"/>
      <c r="X1541" s="7" t="inlineStr"/>
      <c r="Y1541" s="7" t="inlineStr"/>
    </row>
    <row r="1542">
      <c r="A1542" s="7" t="n">
        <v>628461</v>
      </c>
      <c r="B1542" s="12" t="inlineStr">
        <is>
          <t>7891350041194</t>
        </is>
      </c>
      <c r="C1542" s="7" t="inlineStr">
        <is>
          <t>DSD AE ADIDAS 150ML (MAS) UEFA CHAMPIONS</t>
        </is>
      </c>
      <c r="D1542" s="7" t="inlineStr">
        <is>
          <t>PERF/COSME</t>
        </is>
      </c>
      <c r="E1542" s="7" t="inlineStr">
        <is>
          <t>C</t>
        </is>
      </c>
      <c r="F1542" s="13" t="n">
        <v>1</v>
      </c>
      <c r="G1542" s="13" t="n">
        <v>1</v>
      </c>
      <c r="H1542" s="8" t="n">
        <v>11.51</v>
      </c>
      <c r="I1542" s="8" t="n">
        <v>11.51</v>
      </c>
      <c r="J1542" s="8" t="n">
        <v>11.51</v>
      </c>
      <c r="K1542" s="8" t="n"/>
      <c r="L1542" s="8" t="n"/>
      <c r="M1542" s="8" t="n"/>
      <c r="N1542" s="8" t="n"/>
      <c r="O1542" s="8" t="n"/>
      <c r="P1542" s="8" t="n"/>
      <c r="Q1542" s="8" t="n"/>
      <c r="R1542" s="8" t="n"/>
      <c r="S1542" s="8" t="n"/>
      <c r="T1542" s="7" t="inlineStr">
        <is>
          <t>SEM COTAÇÃO</t>
        </is>
      </c>
      <c r="U1542" s="8" t="n"/>
      <c r="V1542" s="14" t="n"/>
      <c r="W1542" s="14" t="n"/>
      <c r="X1542" s="7" t="inlineStr"/>
      <c r="Y1542" s="7" t="inlineStr"/>
    </row>
    <row r="1543">
      <c r="A1543" s="7" t="n">
        <v>635821</v>
      </c>
      <c r="B1543" s="12" t="inlineStr">
        <is>
          <t>7896049527782</t>
        </is>
      </c>
      <c r="C1543" s="7" t="inlineStr">
        <is>
          <t>DSD AE HERBISSIMO 150ML SNOW MOON</t>
        </is>
      </c>
      <c r="D1543" s="7" t="inlineStr">
        <is>
          <t>PERF/COSME</t>
        </is>
      </c>
      <c r="E1543" s="7" t="inlineStr">
        <is>
          <t>C</t>
        </is>
      </c>
      <c r="F1543" s="13" t="n">
        <v>1</v>
      </c>
      <c r="G1543" s="13" t="n">
        <v>1</v>
      </c>
      <c r="H1543" s="8" t="n">
        <v>7.03</v>
      </c>
      <c r="I1543" s="8" t="n">
        <v>7.03</v>
      </c>
      <c r="J1543" s="8" t="n">
        <v>7.03</v>
      </c>
      <c r="K1543" s="8" t="n"/>
      <c r="L1543" s="8" t="n"/>
      <c r="M1543" s="8" t="n"/>
      <c r="N1543" s="8" t="n"/>
      <c r="O1543" s="8" t="n"/>
      <c r="P1543" s="8" t="n"/>
      <c r="Q1543" s="8" t="n"/>
      <c r="R1543" s="8" t="n"/>
      <c r="S1543" s="8" t="n"/>
      <c r="T1543" s="7" t="inlineStr">
        <is>
          <t>SEM COTAÇÃO</t>
        </is>
      </c>
      <c r="U1543" s="8" t="n"/>
      <c r="V1543" s="14" t="n"/>
      <c r="W1543" s="14" t="n"/>
      <c r="X1543" s="7" t="inlineStr"/>
      <c r="Y1543" s="7" t="inlineStr"/>
    </row>
    <row r="1544">
      <c r="A1544" s="7" t="n">
        <v>652941</v>
      </c>
      <c r="B1544" s="12" t="inlineStr">
        <is>
          <t>7896049528284</t>
        </is>
      </c>
      <c r="C1544" s="7" t="inlineStr">
        <is>
          <t>DSD AE HERBISSIMO CARE 150ML LAVANDA</t>
        </is>
      </c>
      <c r="D1544" s="7" t="inlineStr">
        <is>
          <t>ANTITRANSPIRANTE/DESODORANTE</t>
        </is>
      </c>
      <c r="E1544" s="7" t="inlineStr">
        <is>
          <t>C</t>
        </is>
      </c>
      <c r="F1544" s="13" t="n">
        <v>1</v>
      </c>
      <c r="G1544" s="13" t="n">
        <v>1</v>
      </c>
      <c r="H1544" s="8" t="n">
        <v>10.15</v>
      </c>
      <c r="I1544" s="8" t="n">
        <v>10.15</v>
      </c>
      <c r="J1544" s="8" t="n">
        <v>10.15</v>
      </c>
      <c r="K1544" s="8" t="n"/>
      <c r="L1544" s="8" t="n"/>
      <c r="M1544" s="8" t="n"/>
      <c r="N1544" s="8" t="n"/>
      <c r="O1544" s="8" t="n"/>
      <c r="P1544" s="8" t="n"/>
      <c r="Q1544" s="8" t="n"/>
      <c r="R1544" s="8" t="n"/>
      <c r="S1544" s="8" t="n"/>
      <c r="T1544" s="7" t="inlineStr">
        <is>
          <t>SEM COTAÇÃO</t>
        </is>
      </c>
      <c r="U1544" s="8" t="n"/>
      <c r="V1544" s="14" t="n"/>
      <c r="W1544" s="14" t="n"/>
      <c r="X1544" s="7" t="inlineStr"/>
      <c r="Y1544" s="7" t="inlineStr"/>
    </row>
    <row r="1545">
      <c r="A1545" s="7" t="n">
        <v>635831</v>
      </c>
      <c r="B1545" s="12" t="inlineStr">
        <is>
          <t>7896049502604</t>
        </is>
      </c>
      <c r="C1545" s="7" t="inlineStr">
        <is>
          <t>DSD AE HERBISSIMO MENTOS 150ML FRUIT</t>
        </is>
      </c>
      <c r="D1545" s="7" t="inlineStr">
        <is>
          <t>PERF/COSME</t>
        </is>
      </c>
      <c r="E1545" s="7" t="inlineStr">
        <is>
          <t>C</t>
        </is>
      </c>
      <c r="F1545" s="13" t="n">
        <v>1</v>
      </c>
      <c r="G1545" s="13" t="n">
        <v>1</v>
      </c>
      <c r="H1545" s="8" t="n">
        <v>7.47</v>
      </c>
      <c r="I1545" s="8" t="n">
        <v>7.47</v>
      </c>
      <c r="J1545" s="8" t="n">
        <v>7.47</v>
      </c>
      <c r="K1545" s="8" t="n"/>
      <c r="L1545" s="8" t="n"/>
      <c r="M1545" s="8" t="n"/>
      <c r="N1545" s="8" t="n"/>
      <c r="O1545" s="8" t="n"/>
      <c r="P1545" s="8" t="n"/>
      <c r="Q1545" s="8" t="n"/>
      <c r="R1545" s="8" t="n"/>
      <c r="S1545" s="8" t="n"/>
      <c r="T1545" s="7" t="inlineStr">
        <is>
          <t>SEM COTAÇÃO</t>
        </is>
      </c>
      <c r="U1545" s="8" t="n"/>
      <c r="V1545" s="14" t="n"/>
      <c r="W1545" s="14" t="n"/>
      <c r="X1545" s="7" t="inlineStr"/>
      <c r="Y1545" s="7" t="inlineStr"/>
    </row>
    <row r="1546">
      <c r="A1546" s="7" t="n">
        <v>635841</v>
      </c>
      <c r="B1546" s="12" t="inlineStr">
        <is>
          <t>7896049502611</t>
        </is>
      </c>
      <c r="C1546" s="7" t="inlineStr">
        <is>
          <t>DSD AE HERBISSIMO MENTOS 150ML MINT</t>
        </is>
      </c>
      <c r="D1546" s="7" t="inlineStr">
        <is>
          <t>PERF/COSME</t>
        </is>
      </c>
      <c r="E1546" s="7" t="inlineStr">
        <is>
          <t>C</t>
        </is>
      </c>
      <c r="F1546" s="13" t="n">
        <v>3</v>
      </c>
      <c r="G1546" s="13" t="n">
        <v>3</v>
      </c>
      <c r="H1546" s="8" t="n">
        <v>7.16</v>
      </c>
      <c r="I1546" s="8" t="n">
        <v>7.16</v>
      </c>
      <c r="J1546" s="8" t="n">
        <v>7.16</v>
      </c>
      <c r="K1546" s="8" t="n"/>
      <c r="L1546" s="8" t="n"/>
      <c r="M1546" s="8" t="n"/>
      <c r="N1546" s="8" t="n"/>
      <c r="O1546" s="8" t="n"/>
      <c r="P1546" s="8" t="n"/>
      <c r="Q1546" s="8" t="n"/>
      <c r="R1546" s="8" t="n"/>
      <c r="S1546" s="8" t="n"/>
      <c r="T1546" s="7" t="inlineStr">
        <is>
          <t>SEM COTAÇÃO</t>
        </is>
      </c>
      <c r="U1546" s="8" t="n"/>
      <c r="V1546" s="14" t="n"/>
      <c r="W1546" s="14" t="n"/>
      <c r="X1546" s="7" t="inlineStr"/>
      <c r="Y1546" s="7" t="inlineStr"/>
    </row>
    <row r="1547">
      <c r="A1547" s="7" t="n">
        <v>609841</v>
      </c>
      <c r="B1547" s="12" t="inlineStr">
        <is>
          <t>7896235354208</t>
        </is>
      </c>
      <c r="C1547" s="7" t="inlineStr">
        <is>
          <t>DSD AE MONANGE 90G ESPORTE</t>
        </is>
      </c>
      <c r="D1547" s="7" t="inlineStr">
        <is>
          <t>PERF/COSME</t>
        </is>
      </c>
      <c r="E1547" s="7" t="inlineStr">
        <is>
          <t>B</t>
        </is>
      </c>
      <c r="F1547" s="13" t="n">
        <v>5</v>
      </c>
      <c r="G1547" s="13" t="n">
        <v>5</v>
      </c>
      <c r="H1547" s="8" t="n">
        <v>8.359999999999999</v>
      </c>
      <c r="I1547" s="8" t="n">
        <v>7.53</v>
      </c>
      <c r="J1547" s="8" t="n">
        <v>8.083333333333334</v>
      </c>
      <c r="K1547" s="8" t="n"/>
      <c r="L1547" s="8" t="n"/>
      <c r="M1547" s="8" t="n"/>
      <c r="N1547" s="8" t="n"/>
      <c r="O1547" s="8" t="n"/>
      <c r="P1547" s="8" t="n"/>
      <c r="Q1547" s="8" t="n"/>
      <c r="R1547" s="8" t="n"/>
      <c r="S1547" s="8" t="n"/>
      <c r="T1547" s="7" t="inlineStr">
        <is>
          <t>SEM COTAÇÃO</t>
        </is>
      </c>
      <c r="U1547" s="8" t="n"/>
      <c r="V1547" s="14" t="n"/>
      <c r="W1547" s="14" t="n"/>
      <c r="X1547" s="7" t="inlineStr"/>
      <c r="Y1547" s="7" t="inlineStr"/>
    </row>
    <row r="1548">
      <c r="A1548" s="7" t="n">
        <v>653161</v>
      </c>
      <c r="B1548" s="12" t="inlineStr">
        <is>
          <t>7896049508767</t>
        </is>
      </c>
      <c r="C1548" s="7" t="inlineStr">
        <is>
          <t>DSD AE TABU 150ML ZEN</t>
        </is>
      </c>
      <c r="D1548" s="7" t="inlineStr">
        <is>
          <t>ANTITRANSPIRANTE/DESODORANTE</t>
        </is>
      </c>
      <c r="E1548" s="7" t="inlineStr">
        <is>
          <t>C</t>
        </is>
      </c>
      <c r="F1548" s="13" t="n">
        <v>1</v>
      </c>
      <c r="G1548" s="13" t="n">
        <v>1</v>
      </c>
      <c r="H1548" s="8" t="n"/>
      <c r="I1548" s="8" t="n"/>
      <c r="J1548" s="8" t="n"/>
      <c r="K1548" s="8" t="n"/>
      <c r="L1548" s="8" t="n"/>
      <c r="M1548" s="8" t="n"/>
      <c r="N1548" s="8" t="n"/>
      <c r="O1548" s="8" t="n"/>
      <c r="P1548" s="8" t="n"/>
      <c r="Q1548" s="8" t="n"/>
      <c r="R1548" s="8" t="n"/>
      <c r="S1548" s="8" t="n"/>
      <c r="T1548" s="7" t="inlineStr">
        <is>
          <t>SEM COTAÇÃO</t>
        </is>
      </c>
      <c r="U1548" s="8" t="n"/>
      <c r="V1548" s="14" t="n"/>
      <c r="W1548" s="14" t="n"/>
      <c r="X1548" s="7" t="inlineStr"/>
      <c r="Y1548" s="7" t="inlineStr"/>
    </row>
    <row r="1549">
      <c r="A1549" s="7" t="n">
        <v>653151</v>
      </c>
      <c r="B1549" s="12" t="inlineStr">
        <is>
          <t>7896049508774</t>
        </is>
      </c>
      <c r="C1549" s="7" t="inlineStr">
        <is>
          <t>DSD AE TABU 150ML ZERO ALUMINIO</t>
        </is>
      </c>
      <c r="D1549" s="7" t="inlineStr">
        <is>
          <t>ANTITRANSPIRANTE/DESODORANTE</t>
        </is>
      </c>
      <c r="E1549" s="7" t="inlineStr">
        <is>
          <t>C</t>
        </is>
      </c>
      <c r="F1549" s="13" t="n">
        <v>1</v>
      </c>
      <c r="G1549" s="13" t="n">
        <v>1</v>
      </c>
      <c r="H1549" s="8" t="n"/>
      <c r="I1549" s="8" t="n"/>
      <c r="J1549" s="8" t="n"/>
      <c r="K1549" s="8" t="n"/>
      <c r="L1549" s="8" t="n"/>
      <c r="M1549" s="8" t="n"/>
      <c r="N1549" s="8" t="n"/>
      <c r="O1549" s="8" t="n"/>
      <c r="P1549" s="8" t="n"/>
      <c r="Q1549" s="8" t="n"/>
      <c r="R1549" s="8" t="n"/>
      <c r="S1549" s="8" t="n"/>
      <c r="T1549" s="7" t="inlineStr">
        <is>
          <t>SEM COTAÇÃO</t>
        </is>
      </c>
      <c r="U1549" s="8" t="n"/>
      <c r="V1549" s="14" t="n"/>
      <c r="W1549" s="14" t="n"/>
      <c r="X1549" s="7" t="inlineStr"/>
      <c r="Y1549" s="7" t="inlineStr"/>
    </row>
    <row r="1550">
      <c r="A1550" s="7" t="n">
        <v>638601</v>
      </c>
      <c r="B1550" s="12" t="inlineStr">
        <is>
          <t>7896049528604</t>
        </is>
      </c>
      <c r="C1550" s="7" t="inlineStr">
        <is>
          <t>DSD CR HERBISSIMO 55G FRESH</t>
        </is>
      </c>
      <c r="D1550" s="7" t="inlineStr">
        <is>
          <t>ANTITRANSPIRANTE/DESODORANTE</t>
        </is>
      </c>
      <c r="E1550" s="7" t="inlineStr">
        <is>
          <t>C</t>
        </is>
      </c>
      <c r="F1550" s="13" t="n">
        <v>6</v>
      </c>
      <c r="G1550" s="13" t="n">
        <v>6</v>
      </c>
      <c r="H1550" s="8" t="n">
        <v>4.75</v>
      </c>
      <c r="I1550" s="8" t="n">
        <v>4.75</v>
      </c>
      <c r="J1550" s="8" t="n">
        <v>4.75</v>
      </c>
      <c r="K1550" s="8" t="n"/>
      <c r="L1550" s="8" t="n"/>
      <c r="M1550" s="8" t="n"/>
      <c r="N1550" s="8" t="n"/>
      <c r="O1550" s="8" t="n"/>
      <c r="P1550" s="8" t="n"/>
      <c r="Q1550" s="8" t="n"/>
      <c r="R1550" s="8" t="n"/>
      <c r="S1550" s="8" t="n"/>
      <c r="T1550" s="7" t="inlineStr">
        <is>
          <t>SEM COTAÇÃO</t>
        </is>
      </c>
      <c r="U1550" s="8" t="n"/>
      <c r="V1550" s="14" t="n"/>
      <c r="W1550" s="14" t="n"/>
      <c r="X1550" s="7" t="inlineStr"/>
      <c r="Y1550" s="7" t="inlineStr"/>
    </row>
    <row r="1551">
      <c r="A1551" s="7" t="n">
        <v>635791</v>
      </c>
      <c r="B1551" s="12" t="inlineStr">
        <is>
          <t>7896049525726</t>
        </is>
      </c>
      <c r="C1551" s="7" t="inlineStr">
        <is>
          <t>DSD CR HERBISSIMO 55G HIBISCO</t>
        </is>
      </c>
      <c r="D1551" s="7" t="inlineStr">
        <is>
          <t>PERF/COSME</t>
        </is>
      </c>
      <c r="E1551" s="7" t="inlineStr">
        <is>
          <t>B</t>
        </is>
      </c>
      <c r="F1551" s="13" t="n">
        <v>9</v>
      </c>
      <c r="G1551" s="13" t="n">
        <v>9</v>
      </c>
      <c r="H1551" s="8" t="n">
        <v>4.84</v>
      </c>
      <c r="I1551" s="8" t="n">
        <v>3.34</v>
      </c>
      <c r="J1551" s="8" t="n">
        <v>4.34</v>
      </c>
      <c r="K1551" s="8" t="n"/>
      <c r="L1551" s="8" t="n"/>
      <c r="M1551" s="8" t="n"/>
      <c r="N1551" s="8" t="n"/>
      <c r="O1551" s="8" t="n"/>
      <c r="P1551" s="8" t="n"/>
      <c r="Q1551" s="8" t="n"/>
      <c r="R1551" s="8" t="n"/>
      <c r="S1551" s="8" t="n"/>
      <c r="T1551" s="7" t="inlineStr">
        <is>
          <t>SEM COTAÇÃO</t>
        </is>
      </c>
      <c r="U1551" s="8" t="n"/>
      <c r="V1551" s="14" t="n"/>
      <c r="W1551" s="14" t="n"/>
      <c r="X1551" s="7" t="inlineStr"/>
      <c r="Y1551" s="7" t="inlineStr"/>
    </row>
    <row r="1552">
      <c r="A1552" s="7" t="n">
        <v>652961</v>
      </c>
      <c r="B1552" s="12" t="inlineStr">
        <is>
          <t>7896049528734</t>
        </is>
      </c>
      <c r="C1552" s="7" t="inlineStr">
        <is>
          <t>DSD CR HERBISSIMO 55G KIDS</t>
        </is>
      </c>
      <c r="D1552" s="7" t="inlineStr">
        <is>
          <t>ANTITRANSPIRANTE/DESODORANTE</t>
        </is>
      </c>
      <c r="E1552" s="7" t="inlineStr">
        <is>
          <t>C</t>
        </is>
      </c>
      <c r="F1552" s="13" t="n">
        <v>3</v>
      </c>
      <c r="G1552" s="13" t="n">
        <v>3</v>
      </c>
      <c r="H1552" s="8" t="n">
        <v>4.75</v>
      </c>
      <c r="I1552" s="8" t="n">
        <v>4.75</v>
      </c>
      <c r="J1552" s="8" t="n">
        <v>4.75</v>
      </c>
      <c r="K1552" s="8" t="n"/>
      <c r="L1552" s="8" t="n"/>
      <c r="M1552" s="8" t="n"/>
      <c r="N1552" s="8" t="n"/>
      <c r="O1552" s="8" t="n"/>
      <c r="P1552" s="8" t="n"/>
      <c r="Q1552" s="8" t="n"/>
      <c r="R1552" s="8" t="n"/>
      <c r="S1552" s="8" t="n"/>
      <c r="T1552" s="7" t="inlineStr">
        <is>
          <t>SEM COTAÇÃO</t>
        </is>
      </c>
      <c r="U1552" s="8" t="n"/>
      <c r="V1552" s="14" t="n"/>
      <c r="W1552" s="14" t="n"/>
      <c r="X1552" s="7" t="inlineStr"/>
      <c r="Y1552" s="7" t="inlineStr"/>
    </row>
    <row r="1553">
      <c r="A1553" s="7" t="n">
        <v>652991</v>
      </c>
      <c r="B1553" s="12" t="inlineStr">
        <is>
          <t>7896049509948</t>
        </is>
      </c>
      <c r="C1553" s="7" t="inlineStr">
        <is>
          <t>DSD CR HERBISSIMO 55G LINHACA/COENZ</t>
        </is>
      </c>
      <c r="D1553" s="7" t="inlineStr">
        <is>
          <t>ANTITRANSPIRANTE/DESODORANTE</t>
        </is>
      </c>
      <c r="E1553" s="7" t="inlineStr">
        <is>
          <t>C</t>
        </is>
      </c>
      <c r="F1553" s="13" t="n">
        <v>2</v>
      </c>
      <c r="G1553" s="13" t="n">
        <v>2</v>
      </c>
      <c r="H1553" s="8" t="n">
        <v>9.41</v>
      </c>
      <c r="I1553" s="8" t="n">
        <v>9.41</v>
      </c>
      <c r="J1553" s="8" t="n">
        <v>9.41</v>
      </c>
      <c r="K1553" s="8" t="n"/>
      <c r="L1553" s="8" t="n"/>
      <c r="M1553" s="8" t="n"/>
      <c r="N1553" s="8" t="n"/>
      <c r="O1553" s="8" t="n"/>
      <c r="P1553" s="8" t="n"/>
      <c r="Q1553" s="8" t="n"/>
      <c r="R1553" s="8" t="n"/>
      <c r="S1553" s="8" t="n"/>
      <c r="T1553" s="7" t="inlineStr">
        <is>
          <t>SEM COTAÇÃO</t>
        </is>
      </c>
      <c r="U1553" s="8" t="n"/>
      <c r="V1553" s="14" t="n"/>
      <c r="W1553" s="14" t="n"/>
      <c r="X1553" s="7" t="inlineStr"/>
      <c r="Y1553" s="7" t="inlineStr"/>
    </row>
    <row r="1554">
      <c r="A1554" s="7" t="n">
        <v>614751</v>
      </c>
      <c r="B1554" s="12" t="inlineStr">
        <is>
          <t>7896049528574</t>
        </is>
      </c>
      <c r="C1554" s="7" t="inlineStr">
        <is>
          <t>DSD CR HERBISSIMO 55G VANILLA</t>
        </is>
      </c>
      <c r="D1554" s="7" t="inlineStr">
        <is>
          <t>PERF/COSME</t>
        </is>
      </c>
      <c r="E1554" s="7" t="inlineStr">
        <is>
          <t>A</t>
        </is>
      </c>
      <c r="F1554" s="13" t="n">
        <v>12</v>
      </c>
      <c r="G1554" s="13" t="n">
        <v>12</v>
      </c>
      <c r="H1554" s="8" t="n">
        <v>4.84</v>
      </c>
      <c r="I1554" s="8" t="n">
        <v>3.34</v>
      </c>
      <c r="J1554" s="8" t="n">
        <v>4.34</v>
      </c>
      <c r="K1554" s="8" t="n"/>
      <c r="L1554" s="8" t="n"/>
      <c r="M1554" s="8" t="n"/>
      <c r="N1554" s="8" t="n"/>
      <c r="O1554" s="8" t="n"/>
      <c r="P1554" s="8" t="n"/>
      <c r="Q1554" s="8" t="n"/>
      <c r="R1554" s="8" t="n"/>
      <c r="S1554" s="8" t="n"/>
      <c r="T1554" s="7" t="inlineStr">
        <is>
          <t>SEM COTAÇÃO</t>
        </is>
      </c>
      <c r="U1554" s="8" t="n"/>
      <c r="V1554" s="14" t="n"/>
      <c r="W1554" s="14" t="n"/>
      <c r="X1554" s="7" t="inlineStr"/>
      <c r="Y1554" s="7" t="inlineStr"/>
    </row>
    <row r="1555">
      <c r="A1555" s="7" t="n">
        <v>653001</v>
      </c>
      <c r="B1555" s="12" t="inlineStr">
        <is>
          <t>7896049509955</t>
        </is>
      </c>
      <c r="C1555" s="7" t="inlineStr">
        <is>
          <t>DSD CR HERBISSIMO 55G_COCO/VITAM C BSNG</t>
        </is>
      </c>
      <c r="D1555" s="7" t="inlineStr">
        <is>
          <t>ANTITRANSPIRANTE/DESODORANTE</t>
        </is>
      </c>
      <c r="E1555" s="7" t="inlineStr">
        <is>
          <t>C</t>
        </is>
      </c>
      <c r="F1555" s="13" t="n">
        <v>2</v>
      </c>
      <c r="G1555" s="13" t="n">
        <v>2</v>
      </c>
      <c r="H1555" s="8" t="n">
        <v>9.41</v>
      </c>
      <c r="I1555" s="8" t="n">
        <v>9.41</v>
      </c>
      <c r="J1555" s="8" t="n">
        <v>9.41</v>
      </c>
      <c r="K1555" s="8" t="n"/>
      <c r="L1555" s="8" t="n"/>
      <c r="M1555" s="8" t="n"/>
      <c r="N1555" s="8" t="n"/>
      <c r="O1555" s="8" t="n"/>
      <c r="P1555" s="8" t="n"/>
      <c r="Q1555" s="8" t="n"/>
      <c r="R1555" s="8" t="n"/>
      <c r="S1555" s="8" t="n"/>
      <c r="T1555" s="7" t="inlineStr">
        <is>
          <t>SEM COTAÇÃO</t>
        </is>
      </c>
      <c r="U1555" s="8" t="n"/>
      <c r="V1555" s="14" t="n"/>
      <c r="W1555" s="14" t="n"/>
      <c r="X1555" s="7" t="inlineStr"/>
      <c r="Y1555" s="7" t="inlineStr"/>
    </row>
    <row r="1556">
      <c r="A1556" s="7" t="n">
        <v>652981</v>
      </c>
      <c r="B1556" s="12" t="inlineStr">
        <is>
          <t>7896049509931</t>
        </is>
      </c>
      <c r="C1556" s="7" t="inlineStr">
        <is>
          <t>DSD CR HERBISSIMO 55G_MONOI/HIALURO BSNG</t>
        </is>
      </c>
      <c r="D1556" s="7" t="inlineStr">
        <is>
          <t>ANTITRANSPIRANTE/DESODORANTE</t>
        </is>
      </c>
      <c r="E1556" s="7" t="inlineStr">
        <is>
          <t>C</t>
        </is>
      </c>
      <c r="F1556" s="13" t="n">
        <v>2</v>
      </c>
      <c r="G1556" s="13" t="n">
        <v>2</v>
      </c>
      <c r="H1556" s="8" t="n">
        <v>6.43</v>
      </c>
      <c r="I1556" s="8" t="n">
        <v>6.43</v>
      </c>
      <c r="J1556" s="8" t="n">
        <v>6.43</v>
      </c>
      <c r="K1556" s="8" t="n"/>
      <c r="L1556" s="8" t="n"/>
      <c r="M1556" s="8" t="n"/>
      <c r="N1556" s="8" t="n"/>
      <c r="O1556" s="8" t="n"/>
      <c r="P1556" s="8" t="n"/>
      <c r="Q1556" s="8" t="n"/>
      <c r="R1556" s="8" t="n"/>
      <c r="S1556" s="8" t="n"/>
      <c r="T1556" s="7" t="inlineStr">
        <is>
          <t>SEM COTAÇÃO</t>
        </is>
      </c>
      <c r="U1556" s="8" t="n"/>
      <c r="V1556" s="14" t="n"/>
      <c r="W1556" s="14" t="n"/>
      <c r="X1556" s="7" t="inlineStr"/>
      <c r="Y1556" s="7" t="inlineStr"/>
    </row>
    <row r="1557">
      <c r="A1557" s="7" t="n">
        <v>652971</v>
      </c>
      <c r="B1557" s="12" t="inlineStr">
        <is>
          <t>7896049509924</t>
        </is>
      </c>
      <c r="C1557" s="7" t="inlineStr">
        <is>
          <t>DSD CR HERBISSIMO 55G_ROSA MOSQUETA BSNG</t>
        </is>
      </c>
      <c r="D1557" s="7" t="inlineStr">
        <is>
          <t>ANTITRANSPIRANTE/DESODORANTE</t>
        </is>
      </c>
      <c r="E1557" s="7" t="inlineStr">
        <is>
          <t>C</t>
        </is>
      </c>
      <c r="F1557" s="13" t="n">
        <v>6</v>
      </c>
      <c r="G1557" s="13" t="n">
        <v>6</v>
      </c>
      <c r="H1557" s="8" t="n">
        <v>6.63</v>
      </c>
      <c r="I1557" s="8" t="n">
        <v>6.43</v>
      </c>
      <c r="J1557" s="8" t="n">
        <v>6.43</v>
      </c>
      <c r="K1557" s="8" t="n"/>
      <c r="L1557" s="8" t="n"/>
      <c r="M1557" s="8" t="n"/>
      <c r="N1557" s="8" t="n"/>
      <c r="O1557" s="8" t="n"/>
      <c r="P1557" s="8" t="n"/>
      <c r="Q1557" s="8" t="n"/>
      <c r="R1557" s="8" t="n"/>
      <c r="S1557" s="8" t="n"/>
      <c r="T1557" s="7" t="inlineStr">
        <is>
          <t>SEM COTAÇÃO</t>
        </is>
      </c>
      <c r="U1557" s="8" t="n"/>
      <c r="V1557" s="14" t="n"/>
      <c r="W1557" s="14" t="n"/>
      <c r="X1557" s="7" t="inlineStr"/>
      <c r="Y1557" s="7" t="inlineStr"/>
    </row>
    <row r="1558">
      <c r="A1558" s="7" t="n">
        <v>638611</v>
      </c>
      <c r="B1558" s="12" t="inlineStr">
        <is>
          <t>7896049508538</t>
        </is>
      </c>
      <c r="C1558" s="7" t="inlineStr">
        <is>
          <t>DSD CR TABU 55G ROMANCE</t>
        </is>
      </c>
      <c r="D1558" s="7" t="inlineStr">
        <is>
          <t>ANTITRANSPIRANTE/DESODORANTE</t>
        </is>
      </c>
      <c r="E1558" s="7" t="inlineStr">
        <is>
          <t>B</t>
        </is>
      </c>
      <c r="F1558" s="13" t="n">
        <v>7</v>
      </c>
      <c r="G1558" s="13" t="n">
        <v>7</v>
      </c>
      <c r="H1558" s="8" t="n">
        <v>4.75</v>
      </c>
      <c r="I1558" s="8" t="n">
        <v>4.75</v>
      </c>
      <c r="J1558" s="8" t="n">
        <v>4.75</v>
      </c>
      <c r="K1558" s="8" t="n"/>
      <c r="L1558" s="8" t="n"/>
      <c r="M1558" s="8" t="n"/>
      <c r="N1558" s="8" t="n"/>
      <c r="O1558" s="8" t="n"/>
      <c r="P1558" s="8" t="n"/>
      <c r="Q1558" s="8" t="n"/>
      <c r="R1558" s="8" t="n"/>
      <c r="S1558" s="8" t="n"/>
      <c r="T1558" s="7" t="inlineStr">
        <is>
          <t>SEM COTAÇÃO</t>
        </is>
      </c>
      <c r="U1558" s="8" t="n"/>
      <c r="V1558" s="14" t="n"/>
      <c r="W1558" s="14" t="n"/>
      <c r="X1558" s="7" t="inlineStr"/>
      <c r="Y1558" s="7" t="inlineStr"/>
    </row>
    <row r="1559">
      <c r="A1559" s="7" t="n">
        <v>635801</v>
      </c>
      <c r="B1559" s="12" t="inlineStr">
        <is>
          <t>7896049508545</t>
        </is>
      </c>
      <c r="C1559" s="7" t="inlineStr">
        <is>
          <t>DSD CR TABU 55G SEGREDOS</t>
        </is>
      </c>
      <c r="D1559" s="7" t="inlineStr">
        <is>
          <t>PERF/COSME</t>
        </is>
      </c>
      <c r="E1559" s="7" t="inlineStr">
        <is>
          <t>B</t>
        </is>
      </c>
      <c r="F1559" s="13" t="n">
        <v>6</v>
      </c>
      <c r="G1559" s="13" t="n">
        <v>6</v>
      </c>
      <c r="H1559" s="8" t="n">
        <v>4.02</v>
      </c>
      <c r="I1559" s="8" t="n">
        <v>4.02</v>
      </c>
      <c r="J1559" s="8" t="n">
        <v>4.02</v>
      </c>
      <c r="K1559" s="8" t="n"/>
      <c r="L1559" s="8" t="n"/>
      <c r="M1559" s="8" t="n"/>
      <c r="N1559" s="8" t="n"/>
      <c r="O1559" s="8" t="n"/>
      <c r="P1559" s="8" t="n"/>
      <c r="Q1559" s="8" t="n"/>
      <c r="R1559" s="8" t="n"/>
      <c r="S1559" s="8" t="n"/>
      <c r="T1559" s="7" t="inlineStr">
        <is>
          <t>SEM COTAÇÃO</t>
        </is>
      </c>
      <c r="U1559" s="8" t="n"/>
      <c r="V1559" s="14" t="n"/>
      <c r="W1559" s="14" t="n"/>
      <c r="X1559" s="7" t="inlineStr"/>
      <c r="Y1559" s="7" t="inlineStr"/>
    </row>
    <row r="1560">
      <c r="A1560" s="7" t="n">
        <v>648541</v>
      </c>
      <c r="B1560" s="12" t="inlineStr">
        <is>
          <t>0000075076696</t>
        </is>
      </c>
      <c r="C1560" s="7" t="inlineStr">
        <is>
          <t>DSD DOVE MEN STICK 45G CARE COMFO PROT M3</t>
        </is>
      </c>
      <c r="D1560" s="7" t="inlineStr">
        <is>
          <t>ANTITRANSPIRANTE/DESODORANTE</t>
        </is>
      </c>
      <c r="E1560" s="7" t="inlineStr">
        <is>
          <t>C</t>
        </is>
      </c>
      <c r="F1560" s="13" t="n">
        <v>3</v>
      </c>
      <c r="G1560" s="13" t="n">
        <v>3</v>
      </c>
      <c r="H1560" s="8" t="n">
        <v>18.7033</v>
      </c>
      <c r="I1560" s="8" t="n">
        <v>18.7033</v>
      </c>
      <c r="J1560" s="8" t="n">
        <v>18.7033</v>
      </c>
      <c r="K1560" s="8" t="n"/>
      <c r="L1560" s="8" t="n"/>
      <c r="M1560" s="8" t="n"/>
      <c r="N1560" s="8" t="n"/>
      <c r="O1560" s="8" t="n"/>
      <c r="P1560" s="8" t="n"/>
      <c r="Q1560" s="8" t="n"/>
      <c r="R1560" s="8" t="n"/>
      <c r="S1560" s="8" t="n"/>
      <c r="T1560" s="7" t="inlineStr">
        <is>
          <t>SEM COTAÇÃO</t>
        </is>
      </c>
      <c r="U1560" s="8" t="n"/>
      <c r="V1560" s="14" t="n"/>
      <c r="W1560" s="14" t="n"/>
      <c r="X1560" s="7" t="inlineStr"/>
      <c r="Y1560" s="7" t="inlineStr"/>
    </row>
    <row r="1561">
      <c r="A1561" s="7" t="n">
        <v>648551</v>
      </c>
      <c r="B1561" s="12" t="inlineStr">
        <is>
          <t>0000075076719</t>
        </is>
      </c>
      <c r="C1561" s="7" t="inlineStr">
        <is>
          <t>DSD DOVE MEN STICK 45G CARE INVISI DRY M3</t>
        </is>
      </c>
      <c r="D1561" s="7" t="inlineStr">
        <is>
          <t>ANTITRANSPIRANTE/DESODORANTE</t>
        </is>
      </c>
      <c r="E1561" s="7" t="inlineStr">
        <is>
          <t>C</t>
        </is>
      </c>
      <c r="F1561" s="13" t="n">
        <v>2</v>
      </c>
      <c r="G1561" s="13" t="n">
        <v>2</v>
      </c>
      <c r="H1561" s="8" t="n">
        <v>18.7033</v>
      </c>
      <c r="I1561" s="8" t="n">
        <v>18.7033</v>
      </c>
      <c r="J1561" s="8" t="n">
        <v>18.7033</v>
      </c>
      <c r="K1561" s="8" t="n"/>
      <c r="L1561" s="8" t="n"/>
      <c r="M1561" s="8" t="n"/>
      <c r="N1561" s="8" t="n"/>
      <c r="O1561" s="8" t="n"/>
      <c r="P1561" s="15" t="n">
        <v>21.36</v>
      </c>
      <c r="Q1561" s="8" t="n"/>
      <c r="R1561" s="8" t="n"/>
      <c r="S1561" s="8" t="n"/>
      <c r="T1561" s="7" t="inlineStr">
        <is>
          <t>NAZARIA</t>
        </is>
      </c>
      <c r="U1561" s="8" t="n">
        <v>21.36</v>
      </c>
      <c r="V1561" s="14">
        <f>U1561/J1561-1</f>
        <v/>
      </c>
      <c r="W1561" s="14">
        <f>U1561/H1561-1</f>
        <v/>
      </c>
      <c r="X1561" s="16" t="inlineStr">
        <is>
          <t>ACIMA +14.2%</t>
        </is>
      </c>
      <c r="Y1561" s="7" t="inlineStr"/>
    </row>
    <row r="1562">
      <c r="A1562" s="7" t="n">
        <v>648561</v>
      </c>
      <c r="B1562" s="12" t="inlineStr">
        <is>
          <t>0000075076702</t>
        </is>
      </c>
      <c r="C1562" s="7" t="inlineStr">
        <is>
          <t>DSD DOVE MEN STICK 45G CARE SPORT FRES M3</t>
        </is>
      </c>
      <c r="D1562" s="7" t="inlineStr">
        <is>
          <t>ANTITRANSPIRANTE/DESODORANTE</t>
        </is>
      </c>
      <c r="E1562" s="7" t="inlineStr">
        <is>
          <t>C</t>
        </is>
      </c>
      <c r="F1562" s="13" t="n">
        <v>1</v>
      </c>
      <c r="G1562" s="13" t="n">
        <v>1</v>
      </c>
      <c r="H1562" s="8" t="n">
        <v>18.15</v>
      </c>
      <c r="I1562" s="8" t="n">
        <v>18.15</v>
      </c>
      <c r="J1562" s="8" t="n">
        <v>18.15</v>
      </c>
      <c r="K1562" s="8" t="n"/>
      <c r="L1562" s="8" t="n"/>
      <c r="M1562" s="8" t="n"/>
      <c r="N1562" s="8" t="n"/>
      <c r="O1562" s="8" t="n"/>
      <c r="P1562" s="15" t="n">
        <v>21.36</v>
      </c>
      <c r="Q1562" s="8" t="n"/>
      <c r="R1562" s="8" t="n"/>
      <c r="S1562" s="8" t="n"/>
      <c r="T1562" s="7" t="inlineStr">
        <is>
          <t>NAZARIA</t>
        </is>
      </c>
      <c r="U1562" s="8" t="n">
        <v>21.36</v>
      </c>
      <c r="V1562" s="14">
        <f>U1562/J1562-1</f>
        <v/>
      </c>
      <c r="W1562" s="14">
        <f>U1562/H1562-1</f>
        <v/>
      </c>
      <c r="X1562" s="16" t="inlineStr">
        <is>
          <t>ACIMA +17.7%</t>
        </is>
      </c>
      <c r="Y1562" s="7" t="inlineStr"/>
    </row>
    <row r="1563">
      <c r="A1563" s="7" t="n">
        <v>648531</v>
      </c>
      <c r="B1563" s="12" t="inlineStr">
        <is>
          <t>0079400500908</t>
        </is>
      </c>
      <c r="C1563" s="7" t="inlineStr">
        <is>
          <t>DSD DOVE STICK 45G FRESH M3</t>
        </is>
      </c>
      <c r="D1563" s="7" t="inlineStr">
        <is>
          <t>ANTITRANSPIRANTE/DESODORANTE</t>
        </is>
      </c>
      <c r="E1563" s="7" t="inlineStr">
        <is>
          <t>C</t>
        </is>
      </c>
      <c r="F1563" s="13" t="n">
        <v>1</v>
      </c>
      <c r="G1563" s="13" t="n">
        <v>1</v>
      </c>
      <c r="H1563" s="8" t="n">
        <v>16.8742</v>
      </c>
      <c r="I1563" s="8" t="n">
        <v>16.8742</v>
      </c>
      <c r="J1563" s="8" t="n">
        <v>16.8742</v>
      </c>
      <c r="K1563" s="8" t="n"/>
      <c r="L1563" s="8" t="n"/>
      <c r="M1563" s="8" t="n"/>
      <c r="N1563" s="8" t="n"/>
      <c r="O1563" s="8" t="n"/>
      <c r="P1563" s="8" t="n"/>
      <c r="Q1563" s="8" t="n"/>
      <c r="R1563" s="8" t="n"/>
      <c r="S1563" s="8" t="n"/>
      <c r="T1563" s="7" t="inlineStr">
        <is>
          <t>SEM COTAÇÃO</t>
        </is>
      </c>
      <c r="U1563" s="8" t="n"/>
      <c r="V1563" s="14" t="n"/>
      <c r="W1563" s="14" t="n"/>
      <c r="X1563" s="7" t="inlineStr"/>
      <c r="Y1563" s="7" t="inlineStr"/>
    </row>
    <row r="1564">
      <c r="A1564" s="7" t="n">
        <v>648641</v>
      </c>
      <c r="B1564" s="12" t="inlineStr">
        <is>
          <t>079400500205</t>
        </is>
      </c>
      <c r="C1564" s="7" t="inlineStr">
        <is>
          <t>DSD DOVE STICK 45G POWDER M3</t>
        </is>
      </c>
      <c r="D1564" s="7" t="inlineStr">
        <is>
          <t>ANTITRANSPIRANTE/DESODORANTE</t>
        </is>
      </c>
      <c r="E1564" s="7" t="inlineStr">
        <is>
          <t>C</t>
        </is>
      </c>
      <c r="F1564" s="13" t="n">
        <v>3</v>
      </c>
      <c r="G1564" s="13" t="n">
        <v>3</v>
      </c>
      <c r="H1564" s="8" t="n">
        <v>18.89</v>
      </c>
      <c r="I1564" s="8" t="n">
        <v>18.89</v>
      </c>
      <c r="J1564" s="8" t="n">
        <v>18.89</v>
      </c>
      <c r="K1564" s="8" t="n"/>
      <c r="L1564" s="8" t="n"/>
      <c r="M1564" s="8" t="n"/>
      <c r="N1564" s="8" t="n"/>
      <c r="O1564" s="8" t="n"/>
      <c r="P1564" s="8" t="n"/>
      <c r="Q1564" s="8" t="n"/>
      <c r="R1564" s="8" t="n"/>
      <c r="S1564" s="8" t="n"/>
      <c r="T1564" s="7" t="inlineStr">
        <is>
          <t>SEM COTAÇÃO</t>
        </is>
      </c>
      <c r="U1564" s="8" t="n"/>
      <c r="V1564" s="14" t="n"/>
      <c r="W1564" s="14" t="n"/>
      <c r="X1564" s="7" t="inlineStr"/>
      <c r="Y1564" s="7" t="inlineStr"/>
    </row>
    <row r="1565">
      <c r="A1565" s="7" t="n">
        <v>2553</v>
      </c>
      <c r="B1565" s="12" t="inlineStr"/>
      <c r="C1565" s="7" t="inlineStr">
        <is>
          <t>DSD RO FRANCIS 50ML (FEM) CLASS BRANCO</t>
        </is>
      </c>
      <c r="D1565" s="7" t="inlineStr">
        <is>
          <t>PERF/COSME</t>
        </is>
      </c>
      <c r="E1565" s="7" t="inlineStr">
        <is>
          <t>C</t>
        </is>
      </c>
      <c r="F1565" s="13" t="n">
        <v>1</v>
      </c>
      <c r="G1565" s="13" t="n">
        <v>1</v>
      </c>
      <c r="H1565" s="8" t="n">
        <v>8.16</v>
      </c>
      <c r="I1565" s="8" t="n">
        <v>8.16</v>
      </c>
      <c r="J1565" s="8" t="n">
        <v>8.16</v>
      </c>
      <c r="K1565" s="8" t="n"/>
      <c r="L1565" s="8" t="n"/>
      <c r="M1565" s="8" t="n"/>
      <c r="N1565" s="8" t="n"/>
      <c r="O1565" s="8" t="n"/>
      <c r="P1565" s="8" t="n"/>
      <c r="Q1565" s="8" t="n"/>
      <c r="R1565" s="8" t="n"/>
      <c r="S1565" s="8" t="n"/>
      <c r="T1565" s="7" t="inlineStr">
        <is>
          <t>SEM COTAÇÃO</t>
        </is>
      </c>
      <c r="U1565" s="8" t="n"/>
      <c r="V1565" s="14" t="n"/>
      <c r="W1565" s="14" t="n"/>
      <c r="X1565" s="7" t="inlineStr"/>
      <c r="Y1565" s="7" t="inlineStr"/>
    </row>
    <row r="1566">
      <c r="A1566" s="7" t="n">
        <v>628401</v>
      </c>
      <c r="B1566" s="12" t="inlineStr">
        <is>
          <t>7896235354420</t>
        </is>
      </c>
      <c r="C1566" s="7" t="inlineStr">
        <is>
          <t>DSD ROLL-ON MONANGE 50ML INTENSIVEL</t>
        </is>
      </c>
      <c r="D1566" s="7" t="inlineStr">
        <is>
          <t>PERF/COSME</t>
        </is>
      </c>
      <c r="E1566" s="7" t="inlineStr">
        <is>
          <t>B</t>
        </is>
      </c>
      <c r="F1566" s="13" t="n">
        <v>3</v>
      </c>
      <c r="G1566" s="13" t="n">
        <v>3</v>
      </c>
      <c r="H1566" s="8" t="n">
        <v>6.66</v>
      </c>
      <c r="I1566" s="8" t="n">
        <v>6.66</v>
      </c>
      <c r="J1566" s="8" t="n">
        <v>6.66</v>
      </c>
      <c r="K1566" s="8" t="n"/>
      <c r="L1566" s="8" t="n"/>
      <c r="M1566" s="8" t="n"/>
      <c r="N1566" s="8" t="n"/>
      <c r="O1566" s="8" t="n"/>
      <c r="P1566" s="8" t="n"/>
      <c r="Q1566" s="8" t="n"/>
      <c r="R1566" s="8" t="n"/>
      <c r="S1566" s="8" t="n"/>
      <c r="T1566" s="7" t="inlineStr">
        <is>
          <t>SEM COTAÇÃO</t>
        </is>
      </c>
      <c r="U1566" s="8" t="n"/>
      <c r="V1566" s="14" t="n"/>
      <c r="W1566" s="14" t="n"/>
      <c r="X1566" s="7" t="inlineStr"/>
      <c r="Y1566" s="7" t="inlineStr"/>
    </row>
    <row r="1567">
      <c r="A1567" s="7" t="n">
        <v>628411</v>
      </c>
      <c r="B1567" s="12" t="inlineStr">
        <is>
          <t>7896235354390</t>
        </is>
      </c>
      <c r="C1567" s="7" t="inlineStr">
        <is>
          <t>DSD ROLL-ON MONANGE 50ML SENSIVEL</t>
        </is>
      </c>
      <c r="D1567" s="7" t="inlineStr">
        <is>
          <t>PERF/COSME</t>
        </is>
      </c>
      <c r="E1567" s="7" t="inlineStr">
        <is>
          <t>C</t>
        </is>
      </c>
      <c r="F1567" s="13" t="n">
        <v>3</v>
      </c>
      <c r="G1567" s="13" t="n">
        <v>3</v>
      </c>
      <c r="H1567" s="8" t="n">
        <v>7.08</v>
      </c>
      <c r="I1567" s="8" t="n">
        <v>7.08</v>
      </c>
      <c r="J1567" s="8" t="n">
        <v>7.080000000000001</v>
      </c>
      <c r="K1567" s="8" t="n"/>
      <c r="L1567" s="8" t="n"/>
      <c r="M1567" s="8" t="n"/>
      <c r="N1567" s="8" t="n"/>
      <c r="O1567" s="8" t="n"/>
      <c r="P1567" s="8" t="n"/>
      <c r="Q1567" s="8" t="n"/>
      <c r="R1567" s="8" t="n"/>
      <c r="S1567" s="8" t="n"/>
      <c r="T1567" s="7" t="inlineStr">
        <is>
          <t>SEM COTAÇÃO</t>
        </is>
      </c>
      <c r="U1567" s="8" t="n"/>
      <c r="V1567" s="14" t="n"/>
      <c r="W1567" s="14" t="n"/>
      <c r="X1567" s="7" t="inlineStr"/>
      <c r="Y1567" s="7" t="inlineStr"/>
    </row>
    <row r="1568">
      <c r="A1568" s="7" t="n">
        <v>635981</v>
      </c>
      <c r="B1568" s="12" t="inlineStr">
        <is>
          <t>7891134006586</t>
        </is>
      </c>
      <c r="C1568" s="7" t="inlineStr">
        <is>
          <t>DSD SP SENADOR 90ML SEDUCTION</t>
        </is>
      </c>
      <c r="D1568" s="7" t="inlineStr">
        <is>
          <t>PERF/COSME</t>
        </is>
      </c>
      <c r="E1568" s="7" t="inlineStr">
        <is>
          <t>C</t>
        </is>
      </c>
      <c r="F1568" s="13" t="n">
        <v>1</v>
      </c>
      <c r="G1568" s="13" t="n">
        <v>1</v>
      </c>
      <c r="H1568" s="8" t="n">
        <v>7.65</v>
      </c>
      <c r="I1568" s="8" t="n">
        <v>7.65</v>
      </c>
      <c r="J1568" s="8" t="n">
        <v>7.650000000000001</v>
      </c>
      <c r="K1568" s="8" t="n"/>
      <c r="L1568" s="8" t="n"/>
      <c r="M1568" s="8" t="n"/>
      <c r="N1568" s="8" t="n"/>
      <c r="O1568" s="8" t="n"/>
      <c r="P1568" s="8" t="n"/>
      <c r="Q1568" s="8" t="n"/>
      <c r="R1568" s="8" t="n"/>
      <c r="S1568" s="8" t="n"/>
      <c r="T1568" s="7" t="inlineStr">
        <is>
          <t>SEM COTAÇÃO</t>
        </is>
      </c>
      <c r="U1568" s="8" t="n"/>
      <c r="V1568" s="14" t="n"/>
      <c r="W1568" s="14" t="n"/>
      <c r="X1568" s="7" t="inlineStr"/>
      <c r="Y1568" s="7" t="inlineStr"/>
    </row>
    <row r="1569">
      <c r="A1569" s="7" t="n">
        <v>648421</v>
      </c>
      <c r="B1569" s="12" t="inlineStr">
        <is>
          <t>7896044997191</t>
        </is>
      </c>
      <c r="C1569" s="7" t="inlineStr">
        <is>
          <t>DSP 260ML BODY SPL BLUE</t>
        </is>
      </c>
      <c r="D1569" s="7" t="inlineStr">
        <is>
          <t>PERF/COSME</t>
        </is>
      </c>
      <c r="E1569" s="7" t="inlineStr">
        <is>
          <t>C</t>
        </is>
      </c>
      <c r="F1569" s="13" t="n">
        <v>1</v>
      </c>
      <c r="G1569" s="13" t="n">
        <v>1</v>
      </c>
      <c r="H1569" s="8" t="n">
        <v>23.98</v>
      </c>
      <c r="I1569" s="8" t="n">
        <v>23.98</v>
      </c>
      <c r="J1569" s="8" t="n">
        <v>23.98</v>
      </c>
      <c r="K1569" s="8" t="n"/>
      <c r="L1569" s="8" t="n"/>
      <c r="M1569" s="8" t="n"/>
      <c r="N1569" s="8" t="n"/>
      <c r="O1569" s="8" t="n"/>
      <c r="P1569" s="8" t="n"/>
      <c r="Q1569" s="8" t="n"/>
      <c r="R1569" s="8" t="n"/>
      <c r="S1569" s="8" t="n"/>
      <c r="T1569" s="7" t="inlineStr">
        <is>
          <t>SEM COTAÇÃO</t>
        </is>
      </c>
      <c r="U1569" s="8" t="n"/>
      <c r="V1569" s="14" t="n"/>
      <c r="W1569" s="14" t="n"/>
      <c r="X1569" s="7" t="inlineStr"/>
      <c r="Y1569" s="7" t="inlineStr"/>
    </row>
    <row r="1570">
      <c r="A1570" s="7" t="n">
        <v>648411</v>
      </c>
      <c r="B1570" s="12" t="inlineStr">
        <is>
          <t>7896044997177</t>
        </is>
      </c>
      <c r="C1570" s="7" t="inlineStr">
        <is>
          <t>DSP 260ML BODY SPL CLASSIC</t>
        </is>
      </c>
      <c r="D1570" s="7" t="inlineStr">
        <is>
          <t>PERF/COSME</t>
        </is>
      </c>
      <c r="E1570" s="7" t="inlineStr">
        <is>
          <t>C</t>
        </is>
      </c>
      <c r="F1570" s="13" t="n">
        <v>1</v>
      </c>
      <c r="G1570" s="13" t="n">
        <v>1</v>
      </c>
      <c r="H1570" s="8" t="n">
        <v>24.54</v>
      </c>
      <c r="I1570" s="8" t="n">
        <v>24.54</v>
      </c>
      <c r="J1570" s="8" t="n">
        <v>24.54</v>
      </c>
      <c r="K1570" s="8" t="n"/>
      <c r="L1570" s="8" t="n"/>
      <c r="M1570" s="8" t="n"/>
      <c r="N1570" s="8" t="n"/>
      <c r="O1570" s="8" t="n"/>
      <c r="P1570" s="8" t="n"/>
      <c r="Q1570" s="8" t="n"/>
      <c r="R1570" s="8" t="n"/>
      <c r="S1570" s="8" t="n"/>
      <c r="T1570" s="7" t="inlineStr">
        <is>
          <t>SEM COTAÇÃO</t>
        </is>
      </c>
      <c r="U1570" s="8" t="n"/>
      <c r="V1570" s="14" t="n"/>
      <c r="W1570" s="14" t="n"/>
      <c r="X1570" s="7" t="inlineStr"/>
      <c r="Y1570" s="7" t="inlineStr"/>
    </row>
    <row r="1571">
      <c r="A1571" s="7" t="n">
        <v>655311</v>
      </c>
      <c r="B1571" s="12" t="inlineStr">
        <is>
          <t>7891317027179</t>
        </is>
      </c>
      <c r="C1571" s="7" t="inlineStr">
        <is>
          <t>DUALGI 200MG+500MG 12CPR</t>
        </is>
      </c>
      <c r="D1571" s="7" t="inlineStr">
        <is>
          <t>RX</t>
        </is>
      </c>
      <c r="E1571" s="7" t="inlineStr">
        <is>
          <t>B</t>
        </is>
      </c>
      <c r="F1571" s="13" t="n">
        <v>3</v>
      </c>
      <c r="G1571" s="13" t="n">
        <v>3</v>
      </c>
      <c r="H1571" s="8" t="n">
        <v>26.68</v>
      </c>
      <c r="I1571" s="8" t="n">
        <v>23.93</v>
      </c>
      <c r="J1571" s="8" t="n">
        <v>25.61</v>
      </c>
      <c r="K1571" s="8" t="n"/>
      <c r="L1571" s="8" t="n"/>
      <c r="M1571" s="8" t="n">
        <v>26.68</v>
      </c>
      <c r="N1571" s="8" t="n"/>
      <c r="O1571" s="8" t="n"/>
      <c r="P1571" s="8" t="n">
        <v>27.048</v>
      </c>
      <c r="Q1571" s="8" t="n"/>
      <c r="R1571" s="8" t="n"/>
      <c r="S1571" s="8" t="n"/>
      <c r="T1571" s="7" t="inlineStr">
        <is>
          <t>SEM COTAÇÃO</t>
        </is>
      </c>
      <c r="U1571" s="8" t="n"/>
      <c r="V1571" s="14" t="n"/>
      <c r="W1571" s="14" t="n"/>
      <c r="X1571" s="7" t="inlineStr"/>
      <c r="Y1571" s="7" t="inlineStr">
        <is>
          <t>EPAN: sem estoque; NAZARIA: sem estoque</t>
        </is>
      </c>
    </row>
    <row r="1572">
      <c r="A1572" s="7" t="n">
        <v>58961</v>
      </c>
      <c r="B1572" s="12" t="inlineStr">
        <is>
          <t>7896523210865</t>
        </is>
      </c>
      <c r="C1572" s="7" t="inlineStr">
        <is>
          <t>DUCODIL 5MG CX 20 COMP REV</t>
        </is>
      </c>
      <c r="D1572" s="7" t="inlineStr">
        <is>
          <t>SIMILAR</t>
        </is>
      </c>
      <c r="E1572" s="7" t="inlineStr">
        <is>
          <t>C</t>
        </is>
      </c>
      <c r="F1572" s="13" t="n">
        <v>2</v>
      </c>
      <c r="G1572" s="13" t="n">
        <v>2</v>
      </c>
      <c r="H1572" s="8" t="n">
        <v>3.19</v>
      </c>
      <c r="I1572" s="8" t="n">
        <v>3.19</v>
      </c>
      <c r="J1572" s="8" t="n">
        <v>3.19</v>
      </c>
      <c r="K1572" s="8" t="n"/>
      <c r="L1572" s="8" t="n"/>
      <c r="M1572" s="8" t="n"/>
      <c r="N1572" s="8" t="n"/>
      <c r="O1572" s="8" t="n"/>
      <c r="P1572" s="8" t="n"/>
      <c r="Q1572" s="8" t="n"/>
      <c r="R1572" s="8" t="n"/>
      <c r="S1572" s="8" t="n"/>
      <c r="T1572" s="7" t="inlineStr">
        <is>
          <t>SEM COTAÇÃO</t>
        </is>
      </c>
      <c r="U1572" s="8" t="n"/>
      <c r="V1572" s="14" t="n"/>
      <c r="W1572" s="14" t="n"/>
      <c r="X1572" s="7" t="inlineStr"/>
      <c r="Y1572" s="7" t="inlineStr"/>
    </row>
    <row r="1573">
      <c r="A1573" s="7" t="n">
        <v>341641</v>
      </c>
      <c r="B1573" s="12" t="inlineStr">
        <is>
          <t>7891317455569</t>
        </is>
      </c>
      <c r="C1573" s="7" t="inlineStr">
        <is>
          <t>DUOMO 2MG CX 30 COMP</t>
        </is>
      </c>
      <c r="D1573" s="7" t="inlineStr">
        <is>
          <t>RX</t>
        </is>
      </c>
      <c r="E1573" s="7" t="inlineStr">
        <is>
          <t>A</t>
        </is>
      </c>
      <c r="F1573" s="13" t="n">
        <v>4</v>
      </c>
      <c r="G1573" s="13" t="n">
        <v>4</v>
      </c>
      <c r="H1573" s="8" t="n">
        <v>30.62</v>
      </c>
      <c r="I1573" s="8" t="n">
        <v>28.95</v>
      </c>
      <c r="J1573" s="8" t="n">
        <v>30.06333333333333</v>
      </c>
      <c r="K1573" s="8" t="n"/>
      <c r="L1573" s="8" t="n"/>
      <c r="M1573" s="8" t="n"/>
      <c r="N1573" s="8" t="n"/>
      <c r="O1573" s="15" t="n">
        <v>30.95</v>
      </c>
      <c r="P1573" s="8" t="n">
        <v>32.3008</v>
      </c>
      <c r="Q1573" s="8" t="n"/>
      <c r="R1573" s="8" t="n"/>
      <c r="S1573" s="8" t="n"/>
      <c r="T1573" s="7" t="inlineStr">
        <is>
          <t>TAPAJOS</t>
        </is>
      </c>
      <c r="U1573" s="8" t="n">
        <v>30.95</v>
      </c>
      <c r="V1573" s="14">
        <f>U1573/J1573-1</f>
        <v/>
      </c>
      <c r="W1573" s="14">
        <f>U1573/H1573-1</f>
        <v/>
      </c>
      <c r="X1573" s="16" t="inlineStr">
        <is>
          <t>ACIMA +1.1%</t>
        </is>
      </c>
      <c r="Y1573" s="7" t="inlineStr"/>
    </row>
    <row r="1574">
      <c r="A1574" s="7" t="n">
        <v>309701</v>
      </c>
      <c r="B1574" s="12" t="inlineStr"/>
      <c r="C1574" s="7" t="inlineStr">
        <is>
          <t>DUPHALAC 667MG/ML XPE FR X 200ML</t>
        </is>
      </c>
      <c r="D1574" s="7" t="inlineStr">
        <is>
          <t>RX - OTC</t>
        </is>
      </c>
      <c r="E1574" s="7" t="inlineStr">
        <is>
          <t>A</t>
        </is>
      </c>
      <c r="F1574" s="13" t="n">
        <v>3</v>
      </c>
      <c r="G1574" s="13" t="n">
        <v>3</v>
      </c>
      <c r="H1574" s="8" t="n">
        <v>45.815</v>
      </c>
      <c r="I1574" s="8" t="n">
        <v>42.55</v>
      </c>
      <c r="J1574" s="8" t="n">
        <v>43.855</v>
      </c>
      <c r="K1574" s="8" t="n"/>
      <c r="L1574" s="8" t="n"/>
      <c r="M1574" s="8" t="n"/>
      <c r="N1574" s="8" t="n"/>
      <c r="O1574" s="8" t="n"/>
      <c r="P1574" s="8" t="n"/>
      <c r="Q1574" s="8" t="n"/>
      <c r="R1574" s="8" t="n"/>
      <c r="S1574" s="8" t="n"/>
      <c r="T1574" s="7" t="inlineStr">
        <is>
          <t>SEM COTAÇÃO</t>
        </is>
      </c>
      <c r="U1574" s="8" t="n"/>
      <c r="V1574" s="14" t="n"/>
      <c r="W1574" s="14" t="n"/>
      <c r="X1574" s="7" t="inlineStr"/>
      <c r="Y1574" s="7" t="inlineStr"/>
    </row>
    <row r="1575">
      <c r="A1575" s="7" t="n">
        <v>230701</v>
      </c>
      <c r="B1575" s="12" t="inlineStr">
        <is>
          <t>7892953003558</t>
        </is>
      </c>
      <c r="C1575" s="7" t="inlineStr">
        <is>
          <t>DUTAM 0,5+0,4MG CX 30 CAP LIB PROL</t>
        </is>
      </c>
      <c r="D1575" s="7" t="inlineStr">
        <is>
          <t>RX</t>
        </is>
      </c>
      <c r="E1575" s="7" t="inlineStr">
        <is>
          <t>A</t>
        </is>
      </c>
      <c r="F1575" s="13" t="n">
        <v>18</v>
      </c>
      <c r="G1575" s="13" t="n">
        <v>18</v>
      </c>
      <c r="H1575" s="8" t="n">
        <v>80.73</v>
      </c>
      <c r="I1575" s="8" t="n">
        <v>76.9175</v>
      </c>
      <c r="J1575" s="8" t="n">
        <v>79.45916666666666</v>
      </c>
      <c r="K1575" s="8" t="n"/>
      <c r="L1575" s="8" t="n"/>
      <c r="M1575" s="8" t="n"/>
      <c r="N1575" s="8" t="n"/>
      <c r="O1575" s="8" t="n"/>
      <c r="P1575" s="15" t="n">
        <v>93.9918</v>
      </c>
      <c r="Q1575" s="8" t="n"/>
      <c r="R1575" s="8" t="n"/>
      <c r="S1575" s="8" t="n"/>
      <c r="T1575" s="7" t="inlineStr">
        <is>
          <t>NAZARIA</t>
        </is>
      </c>
      <c r="U1575" s="8" t="n">
        <v>93.9918</v>
      </c>
      <c r="V1575" s="14">
        <f>U1575/J1575-1</f>
        <v/>
      </c>
      <c r="W1575" s="14">
        <f>U1575/H1575-1</f>
        <v/>
      </c>
      <c r="X1575" s="16" t="inlineStr">
        <is>
          <t>ACIMA +16.4%</t>
        </is>
      </c>
      <c r="Y1575" s="7" t="inlineStr"/>
    </row>
    <row r="1576">
      <c r="A1576" s="7" t="n">
        <v>230841</v>
      </c>
      <c r="B1576" s="12" t="inlineStr"/>
      <c r="C1576" s="7" t="inlineStr">
        <is>
          <t>EBASTEL 10MG CX 10 COMP</t>
        </is>
      </c>
      <c r="D1576" s="7" t="inlineStr">
        <is>
          <t>RX - OTC</t>
        </is>
      </c>
      <c r="E1576" s="7" t="inlineStr">
        <is>
          <t>A</t>
        </is>
      </c>
      <c r="F1576" s="13" t="n">
        <v>7</v>
      </c>
      <c r="G1576" s="13" t="n">
        <v>7</v>
      </c>
      <c r="H1576" s="8" t="n">
        <v>54.022</v>
      </c>
      <c r="I1576" s="8" t="n">
        <v>54.022</v>
      </c>
      <c r="J1576" s="8" t="n">
        <v>54.022</v>
      </c>
      <c r="K1576" s="8" t="n"/>
      <c r="L1576" s="8" t="n"/>
      <c r="M1576" s="8" t="n"/>
      <c r="N1576" s="8" t="n"/>
      <c r="O1576" s="8" t="n"/>
      <c r="P1576" s="8" t="n"/>
      <c r="Q1576" s="8" t="n"/>
      <c r="R1576" s="8" t="n"/>
      <c r="S1576" s="8" t="n"/>
      <c r="T1576" s="7" t="inlineStr">
        <is>
          <t>SEM COTAÇÃO</t>
        </is>
      </c>
      <c r="U1576" s="8" t="n"/>
      <c r="V1576" s="14" t="n"/>
      <c r="W1576" s="14" t="n"/>
      <c r="X1576" s="7" t="inlineStr"/>
      <c r="Y1576" s="7" t="inlineStr"/>
    </row>
    <row r="1577">
      <c r="A1577" s="7" t="n">
        <v>83081</v>
      </c>
      <c r="B1577" s="12" t="inlineStr"/>
      <c r="C1577" s="7" t="inlineStr">
        <is>
          <t>ECOFILM 5MG SOL OFT FR GTS 5ML</t>
        </is>
      </c>
      <c r="D1577" s="7" t="inlineStr">
        <is>
          <t>RX - OTC</t>
        </is>
      </c>
      <c r="E1577" s="7" t="inlineStr">
        <is>
          <t>A</t>
        </is>
      </c>
      <c r="F1577" s="13" t="n">
        <v>9</v>
      </c>
      <c r="G1577" s="13" t="n">
        <v>9</v>
      </c>
      <c r="H1577" s="8" t="n">
        <v>15.94</v>
      </c>
      <c r="I1577" s="8" t="n">
        <v>14.765</v>
      </c>
      <c r="J1577" s="8" t="n">
        <v>15.325</v>
      </c>
      <c r="K1577" s="8" t="n"/>
      <c r="L1577" s="8" t="n"/>
      <c r="M1577" s="8" t="n"/>
      <c r="N1577" s="8" t="n"/>
      <c r="O1577" s="8" t="n"/>
      <c r="P1577" s="8" t="n"/>
      <c r="Q1577" s="8" t="n"/>
      <c r="R1577" s="8" t="n"/>
      <c r="S1577" s="8" t="n"/>
      <c r="T1577" s="7" t="inlineStr">
        <is>
          <t>SEM COTAÇÃO</t>
        </is>
      </c>
      <c r="U1577" s="8" t="n"/>
      <c r="V1577" s="14" t="n"/>
      <c r="W1577" s="14" t="n"/>
      <c r="X1577" s="7" t="inlineStr"/>
      <c r="Y1577" s="7" t="inlineStr"/>
    </row>
    <row r="1578">
      <c r="A1578" s="7" t="n">
        <v>17403</v>
      </c>
      <c r="B1578" s="12" t="inlineStr">
        <is>
          <t>7896920306185</t>
        </is>
      </c>
      <c r="C1578" s="7" t="inlineStr">
        <is>
          <t>ECOVIT C TRIPLA ACAO 1G C/10 CPR EFERV</t>
        </is>
      </c>
      <c r="D1578" s="7" t="inlineStr">
        <is>
          <t>VITAMINA E SIMILARES</t>
        </is>
      </c>
      <c r="E1578" s="7" t="inlineStr">
        <is>
          <t>B</t>
        </is>
      </c>
      <c r="F1578" s="13" t="n">
        <v>1</v>
      </c>
      <c r="G1578" s="13" t="n">
        <v>1</v>
      </c>
      <c r="H1578" s="8" t="n"/>
      <c r="I1578" s="8" t="n"/>
      <c r="J1578" s="8" t="n"/>
      <c r="K1578" s="8" t="n"/>
      <c r="L1578" s="8" t="n"/>
      <c r="M1578" s="8" t="n"/>
      <c r="N1578" s="8" t="n"/>
      <c r="O1578" s="8" t="n"/>
      <c r="P1578" s="8" t="n"/>
      <c r="Q1578" s="8" t="n"/>
      <c r="R1578" s="8" t="n"/>
      <c r="S1578" s="8" t="n"/>
      <c r="T1578" s="7" t="inlineStr">
        <is>
          <t>SEM COTAÇÃO</t>
        </is>
      </c>
      <c r="U1578" s="8" t="n"/>
      <c r="V1578" s="14" t="n"/>
      <c r="W1578" s="14" t="n"/>
      <c r="X1578" s="7" t="inlineStr"/>
      <c r="Y1578" s="7" t="inlineStr"/>
    </row>
    <row r="1579">
      <c r="A1579" s="7" t="n">
        <v>629131</v>
      </c>
      <c r="B1579" s="12" t="inlineStr">
        <is>
          <t>7891024024386</t>
        </is>
      </c>
      <c r="C1579" s="7" t="inlineStr">
        <is>
          <t>ED COLGATE ESSENCIAL CLEAN MACIA M6</t>
        </is>
      </c>
      <c r="D1579" s="7" t="inlineStr">
        <is>
          <t>PERF/COSME</t>
        </is>
      </c>
      <c r="E1579" s="7" t="inlineStr">
        <is>
          <t>C</t>
        </is>
      </c>
      <c r="F1579" s="13" t="n">
        <v>1</v>
      </c>
      <c r="G1579" s="13" t="n">
        <v>1</v>
      </c>
      <c r="H1579" s="8" t="n">
        <v>4.26</v>
      </c>
      <c r="I1579" s="8" t="n">
        <v>4.26</v>
      </c>
      <c r="J1579" s="8" t="n">
        <v>4.26</v>
      </c>
      <c r="K1579" s="8" t="n"/>
      <c r="L1579" s="8" t="n"/>
      <c r="M1579" s="8" t="n"/>
      <c r="N1579" s="8" t="n"/>
      <c r="O1579" s="8" t="n"/>
      <c r="P1579" s="8" t="n"/>
      <c r="Q1579" s="8" t="n"/>
      <c r="R1579" s="8" t="n"/>
      <c r="S1579" s="8" t="n"/>
      <c r="T1579" s="7" t="inlineStr">
        <is>
          <t>SEM COTAÇÃO</t>
        </is>
      </c>
      <c r="U1579" s="8" t="n"/>
      <c r="V1579" s="14" t="n"/>
      <c r="W1579" s="14" t="n"/>
      <c r="X1579" s="7" t="inlineStr"/>
      <c r="Y1579" s="7" t="inlineStr"/>
    </row>
    <row r="1580">
      <c r="A1580" s="7" t="n">
        <v>573481</v>
      </c>
      <c r="B1580" s="12" t="inlineStr">
        <is>
          <t>7899706149211</t>
        </is>
      </c>
      <c r="C1580" s="7" t="inlineStr">
        <is>
          <t>EFFACLAR LRP CONCENTRADO 70G  LORE %DN:0.00</t>
        </is>
      </c>
      <c r="D1580" s="7" t="inlineStr">
        <is>
          <t>RX - DERMO</t>
        </is>
      </c>
      <c r="E1580" s="7" t="inlineStr">
        <is>
          <t>C</t>
        </is>
      </c>
      <c r="F1580" s="13" t="n">
        <v>1</v>
      </c>
      <c r="G1580" s="13" t="n">
        <v>1</v>
      </c>
      <c r="H1580" s="8" t="n">
        <v>56.61</v>
      </c>
      <c r="I1580" s="8" t="n">
        <v>56.61</v>
      </c>
      <c r="J1580" s="8" t="n">
        <v>56.60999999999999</v>
      </c>
      <c r="K1580" s="8" t="n"/>
      <c r="L1580" s="8" t="n"/>
      <c r="M1580" s="15" t="n">
        <v>47.46</v>
      </c>
      <c r="N1580" s="8" t="n"/>
      <c r="O1580" s="8" t="n"/>
      <c r="P1580" s="8" t="n">
        <v>69.93000000000001</v>
      </c>
      <c r="Q1580" s="8" t="n"/>
      <c r="R1580" s="8" t="n"/>
      <c r="S1580" s="8" t="n"/>
      <c r="T1580" s="7" t="inlineStr">
        <is>
          <t>EPAN</t>
        </is>
      </c>
      <c r="U1580" s="8" t="n">
        <v>47.46</v>
      </c>
      <c r="V1580" s="14">
        <f>U1580/J1580-1</f>
        <v/>
      </c>
      <c r="W1580" s="14">
        <f>U1580/H1580-1</f>
        <v/>
      </c>
      <c r="X1580" s="17" t="inlineStr">
        <is>
          <t>OK (≤ menor hist.)</t>
        </is>
      </c>
      <c r="Y1580" s="7" t="inlineStr"/>
    </row>
    <row r="1581">
      <c r="A1581" s="7" t="n">
        <v>675471</v>
      </c>
      <c r="B1581" s="12" t="inlineStr">
        <is>
          <t>7898647925878</t>
        </is>
      </c>
      <c r="C1581" s="7" t="inlineStr">
        <is>
          <t>ELASTICO BELLESA MEIA COLORIDA COM 6 UND</t>
        </is>
      </c>
      <c r="D1581" s="7" t="inlineStr">
        <is>
          <t>UTENSILIOS</t>
        </is>
      </c>
      <c r="E1581" s="7" t="inlineStr">
        <is>
          <t>C</t>
        </is>
      </c>
      <c r="F1581" s="13" t="n">
        <v>3</v>
      </c>
      <c r="G1581" s="13" t="n">
        <v>3</v>
      </c>
      <c r="H1581" s="8" t="n"/>
      <c r="I1581" s="8" t="n"/>
      <c r="J1581" s="8" t="n"/>
      <c r="K1581" s="8" t="n"/>
      <c r="L1581" s="8" t="n"/>
      <c r="M1581" s="8" t="n"/>
      <c r="N1581" s="8" t="n"/>
      <c r="O1581" s="8" t="n"/>
      <c r="P1581" s="8" t="n"/>
      <c r="Q1581" s="8" t="n"/>
      <c r="R1581" s="8" t="n"/>
      <c r="S1581" s="8" t="n"/>
      <c r="T1581" s="7" t="inlineStr">
        <is>
          <t>SEM COTAÇÃO</t>
        </is>
      </c>
      <c r="U1581" s="8" t="n"/>
      <c r="V1581" s="14" t="n"/>
      <c r="W1581" s="14" t="n"/>
      <c r="X1581" s="7" t="inlineStr"/>
      <c r="Y1581" s="7" t="inlineStr"/>
    </row>
    <row r="1582">
      <c r="A1582" s="7" t="n">
        <v>675411</v>
      </c>
      <c r="B1582" s="12" t="inlineStr"/>
      <c r="C1582" s="7" t="inlineStr">
        <is>
          <t>ELASTICO BELLESA MEIA PASTEL COM 6 UND</t>
        </is>
      </c>
      <c r="D1582" s="7" t="inlineStr">
        <is>
          <t>UTENSILIOS</t>
        </is>
      </c>
      <c r="E1582" s="7" t="inlineStr">
        <is>
          <t>C</t>
        </is>
      </c>
      <c r="F1582" s="13" t="n">
        <v>1</v>
      </c>
      <c r="G1582" s="13" t="n">
        <v>1</v>
      </c>
      <c r="H1582" s="8" t="n"/>
      <c r="I1582" s="8" t="n"/>
      <c r="J1582" s="8" t="n"/>
      <c r="K1582" s="8" t="n"/>
      <c r="L1582" s="8" t="n"/>
      <c r="M1582" s="8" t="n"/>
      <c r="N1582" s="8" t="n"/>
      <c r="O1582" s="8" t="n"/>
      <c r="P1582" s="8" t="n"/>
      <c r="Q1582" s="8" t="n"/>
      <c r="R1582" s="8" t="n"/>
      <c r="S1582" s="8" t="n"/>
      <c r="T1582" s="7" t="inlineStr">
        <is>
          <t>SEM COTAÇÃO</t>
        </is>
      </c>
      <c r="U1582" s="8" t="n"/>
      <c r="V1582" s="14" t="n"/>
      <c r="W1582" s="14" t="n"/>
      <c r="X1582" s="7" t="inlineStr"/>
      <c r="Y1582" s="7" t="inlineStr"/>
    </row>
    <row r="1583">
      <c r="A1583" s="7" t="n">
        <v>675491</v>
      </c>
      <c r="B1583" s="12" t="inlineStr">
        <is>
          <t>7898647922280</t>
        </is>
      </c>
      <c r="C1583" s="7" t="inlineStr">
        <is>
          <t>ELASTICO BELLESA PEROLA COM 1 UND</t>
        </is>
      </c>
      <c r="D1583" s="7" t="inlineStr">
        <is>
          <t>UTENSILIOS</t>
        </is>
      </c>
      <c r="E1583" s="7" t="inlineStr">
        <is>
          <t>C</t>
        </is>
      </c>
      <c r="F1583" s="13" t="n">
        <v>1</v>
      </c>
      <c r="G1583" s="13" t="n">
        <v>1</v>
      </c>
      <c r="H1583" s="8" t="n"/>
      <c r="I1583" s="8" t="n"/>
      <c r="J1583" s="8" t="n"/>
      <c r="K1583" s="8" t="n"/>
      <c r="L1583" s="8" t="n"/>
      <c r="M1583" s="8" t="n"/>
      <c r="N1583" s="8" t="n"/>
      <c r="O1583" s="8" t="n"/>
      <c r="P1583" s="8" t="n"/>
      <c r="Q1583" s="8" t="n"/>
      <c r="R1583" s="8" t="n"/>
      <c r="S1583" s="8" t="n"/>
      <c r="T1583" s="7" t="inlineStr">
        <is>
          <t>SEM COTAÇÃO</t>
        </is>
      </c>
      <c r="U1583" s="8" t="n"/>
      <c r="V1583" s="14" t="n"/>
      <c r="W1583" s="14" t="n"/>
      <c r="X1583" s="7" t="inlineStr"/>
      <c r="Y1583" s="7" t="inlineStr"/>
    </row>
    <row r="1584">
      <c r="A1584" s="7" t="n">
        <v>675431</v>
      </c>
      <c r="B1584" s="12" t="inlineStr">
        <is>
          <t>7898958060848</t>
        </is>
      </c>
      <c r="C1584" s="7" t="inlineStr">
        <is>
          <t>ELASTICO MEIA PRETO</t>
        </is>
      </c>
      <c r="D1584" s="7" t="inlineStr">
        <is>
          <t>UTENSILIOS</t>
        </is>
      </c>
      <c r="E1584" s="7" t="inlineStr">
        <is>
          <t>C</t>
        </is>
      </c>
      <c r="F1584" s="13" t="n">
        <v>2</v>
      </c>
      <c r="G1584" s="13" t="n">
        <v>2</v>
      </c>
      <c r="H1584" s="8" t="n"/>
      <c r="I1584" s="8" t="n"/>
      <c r="J1584" s="8" t="n"/>
      <c r="K1584" s="8" t="n"/>
      <c r="L1584" s="8" t="n"/>
      <c r="M1584" s="8" t="n"/>
      <c r="N1584" s="8" t="n"/>
      <c r="O1584" s="8" t="n"/>
      <c r="P1584" s="8" t="n"/>
      <c r="Q1584" s="8" t="n"/>
      <c r="R1584" s="8" t="n"/>
      <c r="S1584" s="8" t="n"/>
      <c r="T1584" s="7" t="inlineStr">
        <is>
          <t>SEM COTAÇÃO</t>
        </is>
      </c>
      <c r="U1584" s="8" t="n"/>
      <c r="V1584" s="14" t="n"/>
      <c r="W1584" s="14" t="n"/>
      <c r="X1584" s="7" t="inlineStr"/>
      <c r="Y1584" s="7" t="inlineStr"/>
    </row>
    <row r="1585">
      <c r="A1585" s="7" t="n">
        <v>675441</v>
      </c>
      <c r="B1585" s="12" t="inlineStr">
        <is>
          <t>7898647920910</t>
        </is>
      </c>
      <c r="C1585" s="7" t="inlineStr">
        <is>
          <t>ELASTICO PRETO COM ENFEITE COM 2 UND</t>
        </is>
      </c>
      <c r="D1585" s="7" t="inlineStr">
        <is>
          <t>UTENSILIOS</t>
        </is>
      </c>
      <c r="E1585" s="7" t="inlineStr">
        <is>
          <t>C</t>
        </is>
      </c>
      <c r="F1585" s="13" t="n">
        <v>1</v>
      </c>
      <c r="G1585" s="13" t="n">
        <v>1</v>
      </c>
      <c r="H1585" s="8" t="n"/>
      <c r="I1585" s="8" t="n"/>
      <c r="J1585" s="8" t="n"/>
      <c r="K1585" s="8" t="n"/>
      <c r="L1585" s="8" t="n"/>
      <c r="M1585" s="8" t="n"/>
      <c r="N1585" s="8" t="n"/>
      <c r="O1585" s="8" t="n"/>
      <c r="P1585" s="8" t="n"/>
      <c r="Q1585" s="8" t="n"/>
      <c r="R1585" s="8" t="n"/>
      <c r="S1585" s="8" t="n"/>
      <c r="T1585" s="7" t="inlineStr">
        <is>
          <t>SEM COTAÇÃO</t>
        </is>
      </c>
      <c r="U1585" s="8" t="n"/>
      <c r="V1585" s="14" t="n"/>
      <c r="W1585" s="14" t="n"/>
      <c r="X1585" s="7" t="inlineStr"/>
      <c r="Y1585" s="7" t="inlineStr"/>
    </row>
    <row r="1586">
      <c r="A1586" s="7" t="n">
        <v>675121</v>
      </c>
      <c r="B1586" s="12" t="inlineStr">
        <is>
          <t>7898958060831</t>
        </is>
      </c>
      <c r="C1586" s="7" t="inlineStr">
        <is>
          <t>ELASTICOS DE CABELO MEIA COLORIDO</t>
        </is>
      </c>
      <c r="D1586" s="7" t="inlineStr">
        <is>
          <t>UTENSILIOS</t>
        </is>
      </c>
      <c r="E1586" s="7" t="inlineStr">
        <is>
          <t>C</t>
        </is>
      </c>
      <c r="F1586" s="13" t="n">
        <v>2</v>
      </c>
      <c r="G1586" s="13" t="n">
        <v>2</v>
      </c>
      <c r="H1586" s="8" t="n"/>
      <c r="I1586" s="8" t="n"/>
      <c r="J1586" s="8" t="n"/>
      <c r="K1586" s="8" t="n"/>
      <c r="L1586" s="8" t="n"/>
      <c r="M1586" s="8" t="n"/>
      <c r="N1586" s="8" t="n"/>
      <c r="O1586" s="8" t="n"/>
      <c r="P1586" s="8" t="n"/>
      <c r="Q1586" s="8" t="n"/>
      <c r="R1586" s="8" t="n"/>
      <c r="S1586" s="8" t="n"/>
      <c r="T1586" s="7" t="inlineStr">
        <is>
          <t>SEM COTAÇÃO</t>
        </is>
      </c>
      <c r="U1586" s="8" t="n"/>
      <c r="V1586" s="14" t="n"/>
      <c r="W1586" s="14" t="n"/>
      <c r="X1586" s="7" t="inlineStr"/>
      <c r="Y1586" s="7" t="inlineStr"/>
    </row>
    <row r="1587">
      <c r="A1587" s="7" t="n">
        <v>3533</v>
      </c>
      <c r="B1587" s="12" t="inlineStr"/>
      <c r="C1587" s="7" t="inlineStr">
        <is>
          <t>ELIXIR COLEGORICO 30ML GTS</t>
        </is>
      </c>
      <c r="D1587" s="7" t="inlineStr">
        <is>
          <t>SIMILAR</t>
        </is>
      </c>
      <c r="E1587" s="7" t="inlineStr">
        <is>
          <t>C</t>
        </is>
      </c>
      <c r="F1587" s="13" t="n">
        <v>4</v>
      </c>
      <c r="G1587" s="13" t="n">
        <v>4</v>
      </c>
      <c r="H1587" s="8" t="n">
        <v>5.05</v>
      </c>
      <c r="I1587" s="8" t="n">
        <v>4.68</v>
      </c>
      <c r="J1587" s="8" t="n">
        <v>4.926666666666667</v>
      </c>
      <c r="K1587" s="8" t="n"/>
      <c r="L1587" s="8" t="n"/>
      <c r="M1587" s="8" t="n"/>
      <c r="N1587" s="8" t="n"/>
      <c r="O1587" s="8" t="n"/>
      <c r="P1587" s="8" t="n"/>
      <c r="Q1587" s="8" t="n"/>
      <c r="R1587" s="8" t="n"/>
      <c r="S1587" s="8" t="n"/>
      <c r="T1587" s="7" t="inlineStr">
        <is>
          <t>SEM COTAÇÃO</t>
        </is>
      </c>
      <c r="U1587" s="8" t="n"/>
      <c r="V1587" s="14" t="n"/>
      <c r="W1587" s="14" t="n"/>
      <c r="X1587" s="7" t="inlineStr"/>
      <c r="Y1587" s="7" t="inlineStr"/>
    </row>
    <row r="1588">
      <c r="A1588" s="7" t="n">
        <v>393461</v>
      </c>
      <c r="B1588" s="12" t="inlineStr">
        <is>
          <t>7896023701436</t>
        </is>
      </c>
      <c r="C1588" s="7" t="inlineStr">
        <is>
          <t>ELIXIR PAREGORICO 0,05ML/ML SOL OR FR GOT 30ML</t>
        </is>
      </c>
      <c r="D1588" s="7" t="inlineStr">
        <is>
          <t>RX</t>
        </is>
      </c>
      <c r="E1588" s="7" t="inlineStr">
        <is>
          <t>A</t>
        </is>
      </c>
      <c r="F1588" s="13" t="n">
        <v>13</v>
      </c>
      <c r="G1588" s="13" t="n">
        <v>13</v>
      </c>
      <c r="H1588" s="8" t="n">
        <v>10.65</v>
      </c>
      <c r="I1588" s="8" t="n">
        <v>10.65</v>
      </c>
      <c r="J1588" s="8" t="n">
        <v>10.65</v>
      </c>
      <c r="K1588" s="15" t="n">
        <v>10.65</v>
      </c>
      <c r="L1588" s="8" t="n"/>
      <c r="M1588" s="8" t="n"/>
      <c r="N1588" s="8" t="n">
        <v>15.24</v>
      </c>
      <c r="O1588" s="8" t="n"/>
      <c r="P1588" s="8" t="n">
        <v>21.37</v>
      </c>
      <c r="Q1588" s="8" t="n"/>
      <c r="R1588" s="8" t="n"/>
      <c r="S1588" s="8" t="n"/>
      <c r="T1588" s="7" t="inlineStr">
        <is>
          <t>DIMEC</t>
        </is>
      </c>
      <c r="U1588" s="8" t="n">
        <v>10.65</v>
      </c>
      <c r="V1588" s="14">
        <f>U1588/J1588-1</f>
        <v/>
      </c>
      <c r="W1588" s="14">
        <f>U1588/H1588-1</f>
        <v/>
      </c>
      <c r="X1588" s="17" t="inlineStr">
        <is>
          <t>OK (≤ menor hist.)</t>
        </is>
      </c>
      <c r="Y1588" s="7" t="inlineStr">
        <is>
          <t>NAZARIA: conferir emb.</t>
        </is>
      </c>
    </row>
    <row r="1589">
      <c r="A1589" s="7" t="n">
        <v>452521</v>
      </c>
      <c r="B1589" s="12" t="inlineStr">
        <is>
          <t>7898109240136</t>
        </is>
      </c>
      <c r="C1589" s="7" t="inlineStr">
        <is>
          <t>ELOTIN SOL OTO FR GTS 5ML</t>
        </is>
      </c>
      <c r="D1589" s="7" t="inlineStr">
        <is>
          <t>SIMILAR - ATB</t>
        </is>
      </c>
      <c r="E1589" s="7" t="inlineStr">
        <is>
          <t>C</t>
        </is>
      </c>
      <c r="F1589" s="13" t="n">
        <v>1</v>
      </c>
      <c r="G1589" s="13" t="n">
        <v>1</v>
      </c>
      <c r="H1589" s="8" t="n">
        <v>8.99</v>
      </c>
      <c r="I1589" s="8" t="n">
        <v>8.99</v>
      </c>
      <c r="J1589" s="8" t="n">
        <v>8.99</v>
      </c>
      <c r="K1589" s="8" t="n"/>
      <c r="L1589" s="8" t="n"/>
      <c r="M1589" s="8" t="n"/>
      <c r="N1589" s="8" t="n"/>
      <c r="O1589" s="8" t="n"/>
      <c r="P1589" s="15" t="n">
        <v>9.490500000000001</v>
      </c>
      <c r="Q1589" s="8" t="n"/>
      <c r="R1589" s="8" t="n"/>
      <c r="S1589" s="8" t="n"/>
      <c r="T1589" s="7" t="inlineStr">
        <is>
          <t>NAZARIA</t>
        </is>
      </c>
      <c r="U1589" s="8" t="n">
        <v>9.490500000000001</v>
      </c>
      <c r="V1589" s="14">
        <f>U1589/J1589-1</f>
        <v/>
      </c>
      <c r="W1589" s="14">
        <f>U1589/H1589-1</f>
        <v/>
      </c>
      <c r="X1589" s="16" t="inlineStr">
        <is>
          <t>ACIMA +5.6%</t>
        </is>
      </c>
      <c r="Y1589" s="7" t="inlineStr"/>
    </row>
    <row r="1590">
      <c r="A1590" s="7" t="n">
        <v>662701</v>
      </c>
      <c r="B1590" s="12" t="inlineStr">
        <is>
          <t>7908615060347</t>
        </is>
      </c>
      <c r="C1590" s="7" t="inlineStr">
        <is>
          <t>ELS GLYCOLIC GLOSS ACIDIF 200ML-DEMAIS PROD</t>
        </is>
      </c>
      <c r="D1590" s="7" t="inlineStr">
        <is>
          <t>PERF/COSME</t>
        </is>
      </c>
      <c r="E1590" s="7" t="inlineStr">
        <is>
          <t>C</t>
        </is>
      </c>
      <c r="F1590" s="13" t="n">
        <v>1</v>
      </c>
      <c r="G1590" s="13" t="n">
        <v>1</v>
      </c>
      <c r="H1590" s="8" t="n">
        <v>26.4033</v>
      </c>
      <c r="I1590" s="8" t="n">
        <v>26.4033</v>
      </c>
      <c r="J1590" s="8" t="n">
        <v>26.4033</v>
      </c>
      <c r="K1590" s="8" t="n"/>
      <c r="L1590" s="8" t="n"/>
      <c r="M1590" s="8" t="n"/>
      <c r="N1590" s="8" t="n"/>
      <c r="O1590" s="8" t="n"/>
      <c r="P1590" s="15" t="n">
        <v>42.19</v>
      </c>
      <c r="Q1590" s="8" t="n"/>
      <c r="R1590" s="8" t="n"/>
      <c r="S1590" s="8" t="n"/>
      <c r="T1590" s="7" t="inlineStr">
        <is>
          <t>NAZARIA</t>
        </is>
      </c>
      <c r="U1590" s="8" t="n">
        <v>42.19</v>
      </c>
      <c r="V1590" s="14">
        <f>U1590/J1590-1</f>
        <v/>
      </c>
      <c r="W1590" s="14">
        <f>U1590/H1590-1</f>
        <v/>
      </c>
      <c r="X1590" s="16" t="inlineStr">
        <is>
          <t>ACIMA +59.8%</t>
        </is>
      </c>
      <c r="Y1590" s="7" t="inlineStr"/>
    </row>
    <row r="1591">
      <c r="A1591" s="7" t="n">
        <v>575421</v>
      </c>
      <c r="B1591" s="12" t="inlineStr">
        <is>
          <t>7899026487260</t>
        </is>
      </c>
      <c r="C1591" s="7" t="inlineStr">
        <is>
          <t>ELSEVE CCP 250ML QUERA LISO 230 C</t>
        </is>
      </c>
      <c r="D1591" s="7" t="inlineStr">
        <is>
          <t>PERF/COSME</t>
        </is>
      </c>
      <c r="E1591" s="7" t="inlineStr">
        <is>
          <t>C</t>
        </is>
      </c>
      <c r="F1591" s="13" t="n">
        <v>2</v>
      </c>
      <c r="G1591" s="13" t="n">
        <v>2</v>
      </c>
      <c r="H1591" s="8" t="n">
        <v>13.46</v>
      </c>
      <c r="I1591" s="8" t="n">
        <v>13.46</v>
      </c>
      <c r="J1591" s="8" t="n">
        <v>13.46</v>
      </c>
      <c r="K1591" s="8" t="n"/>
      <c r="L1591" s="8" t="n"/>
      <c r="M1591" s="8" t="n"/>
      <c r="N1591" s="8" t="n"/>
      <c r="O1591" s="8" t="n"/>
      <c r="P1591" s="8" t="n"/>
      <c r="Q1591" s="8" t="n"/>
      <c r="R1591" s="8" t="n"/>
      <c r="S1591" s="8" t="n"/>
      <c r="T1591" s="7" t="inlineStr">
        <is>
          <t>SEM COTAÇÃO</t>
        </is>
      </c>
      <c r="U1591" s="8" t="n"/>
      <c r="V1591" s="14" t="n"/>
      <c r="W1591" s="14" t="n"/>
      <c r="X1591" s="7" t="inlineStr"/>
      <c r="Y1591" s="7" t="inlineStr"/>
    </row>
    <row r="1592">
      <c r="A1592" s="7" t="n">
        <v>629181</v>
      </c>
      <c r="B1592" s="12" t="inlineStr">
        <is>
          <t>7899706134156</t>
        </is>
      </c>
      <c r="C1592" s="7" t="inlineStr">
        <is>
          <t>ELSEVE SH 200ML HYD DETOX ZERO CASPA</t>
        </is>
      </c>
      <c r="D1592" s="7" t="inlineStr">
        <is>
          <t>PERF/COSME</t>
        </is>
      </c>
      <c r="E1592" s="7" t="inlineStr">
        <is>
          <t>C</t>
        </is>
      </c>
      <c r="F1592" s="13" t="n">
        <v>1</v>
      </c>
      <c r="G1592" s="13" t="n">
        <v>1</v>
      </c>
      <c r="H1592" s="8" t="n">
        <v>19.45</v>
      </c>
      <c r="I1592" s="8" t="n">
        <v>19.45</v>
      </c>
      <c r="J1592" s="8" t="n">
        <v>19.45</v>
      </c>
      <c r="K1592" s="8" t="n"/>
      <c r="L1592" s="8" t="n"/>
      <c r="M1592" s="8" t="n"/>
      <c r="N1592" s="8" t="n"/>
      <c r="O1592" s="8" t="n"/>
      <c r="P1592" s="8" t="n"/>
      <c r="Q1592" s="8" t="n"/>
      <c r="R1592" s="8" t="n"/>
      <c r="S1592" s="8" t="n"/>
      <c r="T1592" s="7" t="inlineStr">
        <is>
          <t>SEM COTAÇÃO</t>
        </is>
      </c>
      <c r="U1592" s="8" t="n"/>
      <c r="V1592" s="14" t="n"/>
      <c r="W1592" s="14" t="n"/>
      <c r="X1592" s="7" t="inlineStr"/>
      <c r="Y1592" s="7" t="inlineStr"/>
    </row>
    <row r="1593">
      <c r="A1593" s="7" t="n">
        <v>232001</v>
      </c>
      <c r="B1593" s="12" t="inlineStr">
        <is>
          <t>7908020502524</t>
        </is>
      </c>
      <c r="C1593" s="7" t="inlineStr">
        <is>
          <t>ENANTATO DE NORETISTERONA 50+5MG/ML SOL INJ AMP 1ML+SER</t>
        </is>
      </c>
      <c r="D1593" s="7" t="inlineStr">
        <is>
          <t>GENERICO</t>
        </is>
      </c>
      <c r="E1593" s="7" t="inlineStr">
        <is>
          <t>A</t>
        </is>
      </c>
      <c r="F1593" s="13" t="n">
        <v>124</v>
      </c>
      <c r="G1593" s="13" t="n">
        <v>124</v>
      </c>
      <c r="H1593" s="8" t="n">
        <v>8.619999999999999</v>
      </c>
      <c r="I1593" s="8" t="n">
        <v>8.619999999999999</v>
      </c>
      <c r="J1593" s="8" t="n">
        <v>8.619999999999999</v>
      </c>
      <c r="K1593" s="8" t="n"/>
      <c r="L1593" s="8" t="n"/>
      <c r="M1593" s="8" t="n"/>
      <c r="N1593" s="8" t="n"/>
      <c r="O1593" s="8" t="n"/>
      <c r="P1593" s="8" t="n"/>
      <c r="Q1593" s="8" t="n"/>
      <c r="R1593" s="8" t="n"/>
      <c r="S1593" s="8" t="n"/>
      <c r="T1593" s="7" t="inlineStr">
        <is>
          <t>SEM COTAÇÃO</t>
        </is>
      </c>
      <c r="U1593" s="8" t="n"/>
      <c r="V1593" s="14" t="n"/>
      <c r="W1593" s="14" t="n"/>
      <c r="X1593" s="7" t="inlineStr"/>
      <c r="Y1593" s="7" t="inlineStr"/>
    </row>
    <row r="1594">
      <c r="A1594" s="7" t="n">
        <v>659051</v>
      </c>
      <c r="B1594" s="12" t="inlineStr"/>
      <c r="C1594" s="7" t="inlineStr">
        <is>
          <t>ENDCOFF CARTELA C/4 MEL/LIMAO</t>
        </is>
      </c>
      <c r="D1594" s="7" t="inlineStr">
        <is>
          <t>DESATIVADO</t>
        </is>
      </c>
      <c r="E1594" s="7" t="inlineStr">
        <is>
          <t>C</t>
        </is>
      </c>
      <c r="F1594" s="13" t="n">
        <v>1</v>
      </c>
      <c r="G1594" s="13" t="n">
        <v>1</v>
      </c>
      <c r="H1594" s="8" t="n"/>
      <c r="I1594" s="8" t="n"/>
      <c r="J1594" s="8" t="n"/>
      <c r="K1594" s="8" t="n"/>
      <c r="L1594" s="8" t="n"/>
      <c r="M1594" s="8" t="n"/>
      <c r="N1594" s="8" t="n"/>
      <c r="O1594" s="8" t="n"/>
      <c r="P1594" s="8" t="n"/>
      <c r="Q1594" s="8" t="n"/>
      <c r="R1594" s="8" t="n"/>
      <c r="S1594" s="8" t="n"/>
      <c r="T1594" s="7" t="inlineStr">
        <is>
          <t>SEM COTAÇÃO</t>
        </is>
      </c>
      <c r="U1594" s="8" t="n"/>
      <c r="V1594" s="14" t="n"/>
      <c r="W1594" s="14" t="n"/>
      <c r="X1594" s="7" t="inlineStr"/>
      <c r="Y1594" s="7" t="inlineStr"/>
    </row>
    <row r="1595">
      <c r="A1595" s="7" t="n">
        <v>615751</v>
      </c>
      <c r="B1595" s="12" t="inlineStr">
        <is>
          <t>070847033318</t>
        </is>
      </c>
      <c r="C1595" s="7" t="inlineStr">
        <is>
          <t>ENERG MONSTER MANGO LOCO LATA 473ML</t>
        </is>
      </c>
      <c r="D1595" s="7" t="inlineStr">
        <is>
          <t>BEBIDAS GERAL</t>
        </is>
      </c>
      <c r="E1595" s="7" t="inlineStr">
        <is>
          <t>C</t>
        </is>
      </c>
      <c r="F1595" s="13" t="n">
        <v>1</v>
      </c>
      <c r="G1595" s="13" t="n">
        <v>1</v>
      </c>
      <c r="H1595" s="8" t="n"/>
      <c r="I1595" s="8" t="n"/>
      <c r="J1595" s="8" t="n"/>
      <c r="K1595" s="8" t="n"/>
      <c r="L1595" s="8" t="n"/>
      <c r="M1595" s="8" t="n"/>
      <c r="N1595" s="8" t="n"/>
      <c r="O1595" s="8" t="n"/>
      <c r="P1595" s="8" t="n"/>
      <c r="Q1595" s="8" t="n"/>
      <c r="R1595" s="8" t="n"/>
      <c r="S1595" s="8" t="n"/>
      <c r="T1595" s="7" t="inlineStr">
        <is>
          <t>SEM COTAÇÃO</t>
        </is>
      </c>
      <c r="U1595" s="8" t="n"/>
      <c r="V1595" s="14" t="n"/>
      <c r="W1595" s="14" t="n"/>
      <c r="X1595" s="7" t="inlineStr"/>
      <c r="Y1595" s="7" t="inlineStr"/>
    </row>
    <row r="1596">
      <c r="A1596" s="7" t="n">
        <v>624421</v>
      </c>
      <c r="B1596" s="12" t="inlineStr">
        <is>
          <t>1220000250031</t>
        </is>
      </c>
      <c r="C1596" s="7" t="inlineStr">
        <is>
          <t>ENERG MONSTER PACIFIC PUNCH LATA</t>
        </is>
      </c>
      <c r="D1596" s="7" t="inlineStr">
        <is>
          <t>BEBIDAS GERAL</t>
        </is>
      </c>
      <c r="E1596" s="7" t="inlineStr">
        <is>
          <t>C</t>
        </is>
      </c>
      <c r="F1596" s="13" t="n">
        <v>1</v>
      </c>
      <c r="G1596" s="13" t="n">
        <v>1</v>
      </c>
      <c r="H1596" s="8" t="n">
        <v>7.59</v>
      </c>
      <c r="I1596" s="8" t="n">
        <v>7.59</v>
      </c>
      <c r="J1596" s="8" t="n">
        <v>7.59</v>
      </c>
      <c r="K1596" s="8" t="n"/>
      <c r="L1596" s="8" t="n"/>
      <c r="M1596" s="8" t="n"/>
      <c r="N1596" s="8" t="n"/>
      <c r="O1596" s="8" t="n"/>
      <c r="P1596" s="8" t="n"/>
      <c r="Q1596" s="8" t="n"/>
      <c r="R1596" s="8" t="n"/>
      <c r="S1596" s="8" t="n"/>
      <c r="T1596" s="7" t="inlineStr">
        <is>
          <t>SEM COTAÇÃO</t>
        </is>
      </c>
      <c r="U1596" s="8" t="n"/>
      <c r="V1596" s="14" t="n"/>
      <c r="W1596" s="14" t="n"/>
      <c r="X1596" s="7" t="inlineStr"/>
      <c r="Y1596" s="7" t="inlineStr"/>
    </row>
    <row r="1597">
      <c r="A1597" s="7" t="n">
        <v>613291</v>
      </c>
      <c r="B1597" s="12" t="inlineStr">
        <is>
          <t>7897104910259</t>
        </is>
      </c>
      <c r="C1597" s="7" t="inlineStr">
        <is>
          <t>ENERGEL BLACK BODYACTION ABACAXI 30G/D10</t>
        </is>
      </c>
      <c r="D1597" s="7" t="inlineStr">
        <is>
          <t>SUPLEMENTO</t>
        </is>
      </c>
      <c r="E1597" s="7" t="inlineStr">
        <is>
          <t>C</t>
        </is>
      </c>
      <c r="F1597" s="13" t="n">
        <v>3</v>
      </c>
      <c r="G1597" s="13" t="n">
        <v>3</v>
      </c>
      <c r="H1597" s="8" t="n">
        <v>2.33</v>
      </c>
      <c r="I1597" s="8" t="n">
        <v>2.33</v>
      </c>
      <c r="J1597" s="8" t="n">
        <v>2.33</v>
      </c>
      <c r="K1597" s="8" t="n"/>
      <c r="L1597" s="8" t="n"/>
      <c r="M1597" s="8" t="n"/>
      <c r="N1597" s="8" t="n"/>
      <c r="O1597" s="8" t="n"/>
      <c r="P1597" s="8" t="n"/>
      <c r="Q1597" s="8" t="n"/>
      <c r="R1597" s="8" t="n"/>
      <c r="S1597" s="15" t="n">
        <v>2.96</v>
      </c>
      <c r="T1597" s="7" t="inlineStr">
        <is>
          <t>AT_SUPLEMENTOS</t>
        </is>
      </c>
      <c r="U1597" s="8" t="n">
        <v>2.96</v>
      </c>
      <c r="V1597" s="14">
        <f>U1597/J1597-1</f>
        <v/>
      </c>
      <c r="W1597" s="14">
        <f>U1597/H1597-1</f>
        <v/>
      </c>
      <c r="X1597" s="16" t="inlineStr">
        <is>
          <t>ACIMA +27.0%</t>
        </is>
      </c>
      <c r="Y1597" s="7" t="inlineStr"/>
    </row>
    <row r="1598">
      <c r="A1598" s="7" t="n">
        <v>657871</v>
      </c>
      <c r="B1598" s="12" t="inlineStr">
        <is>
          <t>7897104910310</t>
        </is>
      </c>
      <c r="C1598" s="7" t="inlineStr">
        <is>
          <t>ENERGEL BLACK BODYACTION ABACAXI 30G/D10 CX C/10</t>
        </is>
      </c>
      <c r="D1598" s="7" t="inlineStr">
        <is>
          <t>SUPLEMENTO</t>
        </is>
      </c>
      <c r="E1598" s="7" t="inlineStr">
        <is>
          <t>C</t>
        </is>
      </c>
      <c r="F1598" s="13" t="n">
        <v>1</v>
      </c>
      <c r="G1598" s="13" t="n">
        <v>1</v>
      </c>
      <c r="H1598" s="8" t="n">
        <v>2.33</v>
      </c>
      <c r="I1598" s="8" t="n">
        <v>2.33</v>
      </c>
      <c r="J1598" s="8" t="n">
        <v>2.33</v>
      </c>
      <c r="K1598" s="8" t="n"/>
      <c r="L1598" s="8" t="n"/>
      <c r="M1598" s="8" t="n"/>
      <c r="N1598" s="8" t="n"/>
      <c r="O1598" s="8" t="n"/>
      <c r="P1598" s="8" t="n"/>
      <c r="Q1598" s="8" t="n"/>
      <c r="R1598" s="8" t="n"/>
      <c r="S1598" s="15" t="n">
        <v>2.96</v>
      </c>
      <c r="T1598" s="7" t="inlineStr">
        <is>
          <t>AT_SUPLEMENTOS</t>
        </is>
      </c>
      <c r="U1598" s="8" t="n">
        <v>2.96</v>
      </c>
      <c r="V1598" s="14">
        <f>U1598/J1598-1</f>
        <v/>
      </c>
      <c r="W1598" s="14">
        <f>U1598/H1598-1</f>
        <v/>
      </c>
      <c r="X1598" s="16" t="inlineStr">
        <is>
          <t>ACIMA +27.0%</t>
        </is>
      </c>
      <c r="Y1598" s="7" t="inlineStr"/>
    </row>
    <row r="1599">
      <c r="A1599" s="7" t="n">
        <v>30103</v>
      </c>
      <c r="B1599" s="12" t="inlineStr">
        <is>
          <t>07897104909604</t>
        </is>
      </c>
      <c r="C1599" s="7" t="inlineStr">
        <is>
          <t>ENERGEL BLACK BODYACTION ACAI/GUARAN 30G</t>
        </is>
      </c>
      <c r="D1599" s="7" t="inlineStr">
        <is>
          <t>SUPLEMENTO</t>
        </is>
      </c>
      <c r="E1599" s="7" t="inlineStr">
        <is>
          <t>C</t>
        </is>
      </c>
      <c r="F1599" s="13" t="n">
        <v>2</v>
      </c>
      <c r="G1599" s="13" t="n">
        <v>2</v>
      </c>
      <c r="H1599" s="8" t="n">
        <v>2.93</v>
      </c>
      <c r="I1599" s="8" t="n">
        <v>2.93</v>
      </c>
      <c r="J1599" s="8" t="n">
        <v>2.93</v>
      </c>
      <c r="K1599" s="8" t="n"/>
      <c r="L1599" s="8" t="n"/>
      <c r="M1599" s="8" t="n"/>
      <c r="N1599" s="8" t="n"/>
      <c r="O1599" s="8" t="n"/>
      <c r="P1599" s="8" t="n"/>
      <c r="Q1599" s="8" t="n"/>
      <c r="R1599" s="8" t="n"/>
      <c r="S1599" s="15" t="n">
        <v>2.96</v>
      </c>
      <c r="T1599" s="7" t="inlineStr">
        <is>
          <t>AT_SUPLEMENTOS</t>
        </is>
      </c>
      <c r="U1599" s="8" t="n">
        <v>2.96</v>
      </c>
      <c r="V1599" s="14">
        <f>U1599/J1599-1</f>
        <v/>
      </c>
      <c r="W1599" s="14">
        <f>U1599/H1599-1</f>
        <v/>
      </c>
      <c r="X1599" s="16" t="inlineStr">
        <is>
          <t>ACIMA +1.0%</t>
        </is>
      </c>
      <c r="Y1599" s="7" t="inlineStr"/>
    </row>
    <row r="1600">
      <c r="A1600" s="7" t="n">
        <v>602151</v>
      </c>
      <c r="B1600" s="12" t="inlineStr">
        <is>
          <t>7897104910242</t>
        </is>
      </c>
      <c r="C1600" s="7" t="inlineStr">
        <is>
          <t>ENERGEL BLACK BODYACTION FRUTAS VERMELHAS 30G D/10</t>
        </is>
      </c>
      <c r="D1600" s="7" t="inlineStr">
        <is>
          <t>SUPLEMENTO</t>
        </is>
      </c>
      <c r="E1600" s="7" t="inlineStr">
        <is>
          <t>C</t>
        </is>
      </c>
      <c r="F1600" s="13" t="n">
        <v>1</v>
      </c>
      <c r="G1600" s="13" t="n">
        <v>2</v>
      </c>
      <c r="H1600" s="8" t="n">
        <v>23.3</v>
      </c>
      <c r="I1600" s="8" t="n">
        <v>23.3</v>
      </c>
      <c r="J1600" s="8" t="n">
        <v>23.3</v>
      </c>
      <c r="K1600" s="8" t="n"/>
      <c r="L1600" s="8" t="n"/>
      <c r="M1600" s="8" t="n"/>
      <c r="N1600" s="8" t="n"/>
      <c r="O1600" s="8" t="n"/>
      <c r="P1600" s="8" t="n"/>
      <c r="Q1600" s="8" t="n"/>
      <c r="R1600" s="8" t="n"/>
      <c r="S1600" s="15" t="n">
        <v>2.96</v>
      </c>
      <c r="T1600" s="7" t="inlineStr">
        <is>
          <t>AT_SUPLEMENTOS</t>
        </is>
      </c>
      <c r="U1600" s="8" t="n">
        <v>2.96</v>
      </c>
      <c r="V1600" s="14">
        <f>U1600/J1600-1</f>
        <v/>
      </c>
      <c r="W1600" s="14">
        <f>U1600/H1600-1</f>
        <v/>
      </c>
      <c r="X1600" s="17" t="inlineStr">
        <is>
          <t>OK (≤ menor hist.)</t>
        </is>
      </c>
      <c r="Y1600" s="7" t="inlineStr">
        <is>
          <t>AT_SUPLEMENTOS: conferir emb.</t>
        </is>
      </c>
    </row>
    <row r="1601">
      <c r="A1601" s="7" t="n">
        <v>29403</v>
      </c>
      <c r="B1601" s="12" t="inlineStr">
        <is>
          <t>7897104928445</t>
        </is>
      </c>
      <c r="C1601" s="7" t="inlineStr">
        <is>
          <t>ENERGEL BLACK BODYACTION LARAN/ACERO 30G</t>
        </is>
      </c>
      <c r="D1601" s="7" t="inlineStr">
        <is>
          <t>SUPLEMENTO</t>
        </is>
      </c>
      <c r="E1601" s="7" t="inlineStr">
        <is>
          <t>C</t>
        </is>
      </c>
      <c r="F1601" s="13" t="n">
        <v>1</v>
      </c>
      <c r="G1601" s="13" t="n">
        <v>1</v>
      </c>
      <c r="H1601" s="8" t="n">
        <v>3.18</v>
      </c>
      <c r="I1601" s="8" t="n">
        <v>3.18</v>
      </c>
      <c r="J1601" s="8" t="n">
        <v>3.18</v>
      </c>
      <c r="K1601" s="8" t="n"/>
      <c r="L1601" s="8" t="n"/>
      <c r="M1601" s="8" t="n"/>
      <c r="N1601" s="8" t="n"/>
      <c r="O1601" s="8" t="n"/>
      <c r="P1601" s="8" t="n"/>
      <c r="Q1601" s="8" t="n"/>
      <c r="R1601" s="8" t="n"/>
      <c r="S1601" s="15" t="n">
        <v>2.96</v>
      </c>
      <c r="T1601" s="7" t="inlineStr">
        <is>
          <t>AT_SUPLEMENTOS</t>
        </is>
      </c>
      <c r="U1601" s="8" t="n">
        <v>2.96</v>
      </c>
      <c r="V1601" s="14">
        <f>U1601/J1601-1</f>
        <v/>
      </c>
      <c r="W1601" s="14">
        <f>U1601/H1601-1</f>
        <v/>
      </c>
      <c r="X1601" s="17" t="inlineStr">
        <is>
          <t>OK (≤ menor hist.)</t>
        </is>
      </c>
      <c r="Y1601" s="7" t="inlineStr"/>
    </row>
    <row r="1602">
      <c r="A1602" s="7" t="n">
        <v>666581</v>
      </c>
      <c r="B1602" s="12" t="inlineStr">
        <is>
          <t>7897104926229</t>
        </is>
      </c>
      <c r="C1602" s="7" t="inlineStr">
        <is>
          <t>ENERGEL BLACK BODYACTION UVA D/10 30G CX C/10</t>
        </is>
      </c>
      <c r="D1602" s="7" t="inlineStr">
        <is>
          <t>SUPLEMENTO</t>
        </is>
      </c>
      <c r="E1602" s="7" t="inlineStr">
        <is>
          <t>C</t>
        </is>
      </c>
      <c r="F1602" s="13" t="n">
        <v>1</v>
      </c>
      <c r="G1602" s="13" t="n">
        <v>2</v>
      </c>
      <c r="H1602" s="8" t="n">
        <v>2.97</v>
      </c>
      <c r="I1602" s="8" t="n">
        <v>2.97</v>
      </c>
      <c r="J1602" s="8" t="n">
        <v>2.97</v>
      </c>
      <c r="K1602" s="8" t="n"/>
      <c r="L1602" s="8" t="n"/>
      <c r="M1602" s="8" t="n"/>
      <c r="N1602" s="8" t="n"/>
      <c r="O1602" s="8" t="n"/>
      <c r="P1602" s="8" t="n"/>
      <c r="Q1602" s="8" t="n"/>
      <c r="R1602" s="8" t="n"/>
      <c r="S1602" s="15" t="n">
        <v>2.96</v>
      </c>
      <c r="T1602" s="7" t="inlineStr">
        <is>
          <t>AT_SUPLEMENTOS</t>
        </is>
      </c>
      <c r="U1602" s="8" t="n">
        <v>2.96</v>
      </c>
      <c r="V1602" s="14">
        <f>U1602/J1602-1</f>
        <v/>
      </c>
      <c r="W1602" s="14">
        <f>U1602/H1602-1</f>
        <v/>
      </c>
      <c r="X1602" s="17" t="inlineStr">
        <is>
          <t>OK (≤ menor hist.)</t>
        </is>
      </c>
      <c r="Y1602" s="7" t="inlineStr"/>
    </row>
    <row r="1603">
      <c r="A1603" s="7" t="n">
        <v>654831</v>
      </c>
      <c r="B1603" s="12" t="inlineStr">
        <is>
          <t>7898080662262</t>
        </is>
      </c>
      <c r="C1603" s="7" t="inlineStr">
        <is>
          <t>ENERGETICO BALY LATA 250ML</t>
        </is>
      </c>
      <c r="D1603" s="7" t="inlineStr">
        <is>
          <t>BEBIDAS GERAL</t>
        </is>
      </c>
      <c r="E1603" s="7" t="inlineStr">
        <is>
          <t>C</t>
        </is>
      </c>
      <c r="F1603" s="13" t="n">
        <v>2</v>
      </c>
      <c r="G1603" s="13" t="n">
        <v>2</v>
      </c>
      <c r="H1603" s="8" t="n">
        <v>5.13</v>
      </c>
      <c r="I1603" s="8" t="n">
        <v>5.13</v>
      </c>
      <c r="J1603" s="8" t="n">
        <v>5.13</v>
      </c>
      <c r="K1603" s="8" t="n"/>
      <c r="L1603" s="8" t="n"/>
      <c r="M1603" s="8" t="n"/>
      <c r="N1603" s="8" t="n"/>
      <c r="O1603" s="8" t="n"/>
      <c r="P1603" s="8" t="n"/>
      <c r="Q1603" s="8" t="n"/>
      <c r="R1603" s="8" t="n"/>
      <c r="S1603" s="8" t="n"/>
      <c r="T1603" s="7" t="inlineStr">
        <is>
          <t>SEM COTAÇÃO</t>
        </is>
      </c>
      <c r="U1603" s="8" t="n"/>
      <c r="V1603" s="14" t="n"/>
      <c r="W1603" s="14" t="n"/>
      <c r="X1603" s="7" t="inlineStr"/>
      <c r="Y1603" s="7" t="inlineStr"/>
    </row>
    <row r="1604">
      <c r="A1604" s="7" t="n">
        <v>654881</v>
      </c>
      <c r="B1604" s="12" t="inlineStr">
        <is>
          <t>7898080664570</t>
        </is>
      </c>
      <c r="C1604" s="7" t="inlineStr">
        <is>
          <t>ENERGETICO BALY LT 250ML MACA VERDE</t>
        </is>
      </c>
      <c r="D1604" s="7" t="inlineStr">
        <is>
          <t>BABY/KIDS</t>
        </is>
      </c>
      <c r="E1604" s="7" t="inlineStr">
        <is>
          <t>C</t>
        </is>
      </c>
      <c r="F1604" s="13" t="n">
        <v>2</v>
      </c>
      <c r="G1604" s="13" t="n">
        <v>2</v>
      </c>
      <c r="H1604" s="8" t="n">
        <v>5.49</v>
      </c>
      <c r="I1604" s="8" t="n">
        <v>5.13</v>
      </c>
      <c r="J1604" s="8" t="n">
        <v>5.37</v>
      </c>
      <c r="K1604" s="8" t="n"/>
      <c r="L1604" s="8" t="n"/>
      <c r="M1604" s="8" t="n"/>
      <c r="N1604" s="8" t="n"/>
      <c r="O1604" s="8" t="n"/>
      <c r="P1604" s="8" t="n"/>
      <c r="Q1604" s="8" t="n"/>
      <c r="R1604" s="8" t="n"/>
      <c r="S1604" s="8" t="n"/>
      <c r="T1604" s="7" t="inlineStr">
        <is>
          <t>SEM COTAÇÃO</t>
        </is>
      </c>
      <c r="U1604" s="8" t="n"/>
      <c r="V1604" s="14" t="n"/>
      <c r="W1604" s="14" t="n"/>
      <c r="X1604" s="7" t="inlineStr"/>
      <c r="Y1604" s="7" t="inlineStr"/>
    </row>
    <row r="1605">
      <c r="A1605" s="7" t="n">
        <v>654841</v>
      </c>
      <c r="B1605" s="12" t="inlineStr">
        <is>
          <t>7898080664372</t>
        </is>
      </c>
      <c r="C1605" s="7" t="inlineStr">
        <is>
          <t>ENERGETICO BALY LT 250ML MELANCIA</t>
        </is>
      </c>
      <c r="D1605" s="7" t="inlineStr">
        <is>
          <t>BEBIDAS GERAL</t>
        </is>
      </c>
      <c r="E1605" s="7" t="inlineStr">
        <is>
          <t>C</t>
        </is>
      </c>
      <c r="F1605" s="13" t="n">
        <v>1</v>
      </c>
      <c r="G1605" s="13" t="n">
        <v>1</v>
      </c>
      <c r="H1605" s="8" t="n">
        <v>4.2</v>
      </c>
      <c r="I1605" s="8" t="n">
        <v>4.2</v>
      </c>
      <c r="J1605" s="8" t="n">
        <v>4.2</v>
      </c>
      <c r="K1605" s="8" t="n"/>
      <c r="L1605" s="8" t="n"/>
      <c r="M1605" s="8" t="n"/>
      <c r="N1605" s="8" t="n"/>
      <c r="O1605" s="8" t="n"/>
      <c r="P1605" s="8" t="n"/>
      <c r="Q1605" s="8" t="n"/>
      <c r="R1605" s="8" t="n"/>
      <c r="S1605" s="8" t="n"/>
      <c r="T1605" s="7" t="inlineStr">
        <is>
          <t>SEM COTAÇÃO</t>
        </is>
      </c>
      <c r="U1605" s="8" t="n"/>
      <c r="V1605" s="14" t="n"/>
      <c r="W1605" s="14" t="n"/>
      <c r="X1605" s="7" t="inlineStr"/>
      <c r="Y1605" s="7" t="inlineStr"/>
    </row>
    <row r="1606">
      <c r="A1606" s="7" t="n">
        <v>665701</v>
      </c>
      <c r="B1606" s="12" t="inlineStr">
        <is>
          <t>7898080665911</t>
        </is>
      </c>
      <c r="C1606" s="7" t="inlineStr">
        <is>
          <t>ENERGETICO BALY LTA 250ML CAIPIRINHA</t>
        </is>
      </c>
      <c r="D1606" s="7" t="inlineStr">
        <is>
          <t>BEBIDAS GERAL</t>
        </is>
      </c>
      <c r="E1606" s="7" t="inlineStr">
        <is>
          <t>C</t>
        </is>
      </c>
      <c r="F1606" s="13" t="n">
        <v>1</v>
      </c>
      <c r="G1606" s="13" t="n">
        <v>1</v>
      </c>
      <c r="H1606" s="8" t="n">
        <v>5.35</v>
      </c>
      <c r="I1606" s="8" t="n">
        <v>5.35</v>
      </c>
      <c r="J1606" s="8" t="n">
        <v>5.349999999999999</v>
      </c>
      <c r="K1606" s="8" t="n"/>
      <c r="L1606" s="8" t="n"/>
      <c r="M1606" s="8" t="n"/>
      <c r="N1606" s="8" t="n"/>
      <c r="O1606" s="8" t="n"/>
      <c r="P1606" s="8" t="n"/>
      <c r="Q1606" s="8" t="n"/>
      <c r="R1606" s="8" t="n"/>
      <c r="S1606" s="8" t="n"/>
      <c r="T1606" s="7" t="inlineStr">
        <is>
          <t>SEM COTAÇÃO</t>
        </is>
      </c>
      <c r="U1606" s="8" t="n"/>
      <c r="V1606" s="14" t="n"/>
      <c r="W1606" s="14" t="n"/>
      <c r="X1606" s="7" t="inlineStr"/>
      <c r="Y1606" s="7" t="inlineStr"/>
    </row>
    <row r="1607">
      <c r="A1607" s="7" t="n">
        <v>665691</v>
      </c>
      <c r="B1607" s="12" t="inlineStr">
        <is>
          <t>7898080664990</t>
        </is>
      </c>
      <c r="C1607" s="7" t="inlineStr">
        <is>
          <t>ENERGETICO BALY LTA 250ML MORANGO/PESSEG</t>
        </is>
      </c>
      <c r="D1607" s="7" t="inlineStr">
        <is>
          <t>BEBIDAS GERAL</t>
        </is>
      </c>
      <c r="E1607" s="7" t="inlineStr">
        <is>
          <t>C</t>
        </is>
      </c>
      <c r="F1607" s="13" t="n">
        <v>1</v>
      </c>
      <c r="G1607" s="13" t="n">
        <v>1</v>
      </c>
      <c r="H1607" s="8" t="n">
        <v>4.69</v>
      </c>
      <c r="I1607" s="8" t="n">
        <v>4.69</v>
      </c>
      <c r="J1607" s="8" t="n">
        <v>4.69</v>
      </c>
      <c r="K1607" s="8" t="n"/>
      <c r="L1607" s="8" t="n"/>
      <c r="M1607" s="8" t="n"/>
      <c r="N1607" s="8" t="n"/>
      <c r="O1607" s="8" t="n"/>
      <c r="P1607" s="8" t="n"/>
      <c r="Q1607" s="8" t="n"/>
      <c r="R1607" s="8" t="n"/>
      <c r="S1607" s="8" t="n"/>
      <c r="T1607" s="7" t="inlineStr">
        <is>
          <t>SEM COTAÇÃO</t>
        </is>
      </c>
      <c r="U1607" s="8" t="n"/>
      <c r="V1607" s="14" t="n"/>
      <c r="W1607" s="14" t="n"/>
      <c r="X1607" s="7" t="inlineStr"/>
      <c r="Y1607" s="7" t="inlineStr"/>
    </row>
    <row r="1608">
      <c r="A1608" s="7" t="n">
        <v>665681</v>
      </c>
      <c r="B1608" s="12" t="inlineStr">
        <is>
          <t>7898080664037</t>
        </is>
      </c>
      <c r="C1608" s="7" t="inlineStr">
        <is>
          <t>ENERGETICO BALY LTA 250ML TROPICAL</t>
        </is>
      </c>
      <c r="D1608" s="7" t="inlineStr">
        <is>
          <t>BEBIDAS GERAL</t>
        </is>
      </c>
      <c r="E1608" s="7" t="inlineStr">
        <is>
          <t>C</t>
        </is>
      </c>
      <c r="F1608" s="13" t="n">
        <v>1</v>
      </c>
      <c r="G1608" s="13" t="n">
        <v>1</v>
      </c>
      <c r="H1608" s="8" t="n">
        <v>4.69</v>
      </c>
      <c r="I1608" s="8" t="n">
        <v>4.69</v>
      </c>
      <c r="J1608" s="8" t="n">
        <v>4.69</v>
      </c>
      <c r="K1608" s="8" t="n"/>
      <c r="L1608" s="8" t="n"/>
      <c r="M1608" s="8" t="n"/>
      <c r="N1608" s="8" t="n"/>
      <c r="O1608" s="8" t="n"/>
      <c r="P1608" s="8" t="n"/>
      <c r="Q1608" s="8" t="n"/>
      <c r="R1608" s="8" t="n"/>
      <c r="S1608" s="8" t="n"/>
      <c r="T1608" s="7" t="inlineStr">
        <is>
          <t>SEM COTAÇÃO</t>
        </is>
      </c>
      <c r="U1608" s="8" t="n"/>
      <c r="V1608" s="14" t="n"/>
      <c r="W1608" s="14" t="n"/>
      <c r="X1608" s="7" t="inlineStr"/>
      <c r="Y1608" s="7" t="inlineStr"/>
    </row>
    <row r="1609">
      <c r="A1609" s="7" t="n">
        <v>665661</v>
      </c>
      <c r="B1609" s="12" t="inlineStr">
        <is>
          <t>7898080664396</t>
        </is>
      </c>
      <c r="C1609" s="7" t="inlineStr">
        <is>
          <t>ENERGETICO BALY LTA 473ML COCO/ACAI</t>
        </is>
      </c>
      <c r="D1609" s="7" t="inlineStr">
        <is>
          <t>BEBIDAS GERAL</t>
        </is>
      </c>
      <c r="E1609" s="7" t="inlineStr">
        <is>
          <t>C</t>
        </is>
      </c>
      <c r="F1609" s="13" t="n">
        <v>1</v>
      </c>
      <c r="G1609" s="13" t="n">
        <v>1</v>
      </c>
      <c r="H1609" s="8" t="n">
        <v>6.29</v>
      </c>
      <c r="I1609" s="8" t="n">
        <v>6.29</v>
      </c>
      <c r="J1609" s="8" t="n">
        <v>6.29</v>
      </c>
      <c r="K1609" s="8" t="n"/>
      <c r="L1609" s="8" t="n"/>
      <c r="M1609" s="8" t="n"/>
      <c r="N1609" s="8" t="n"/>
      <c r="O1609" s="8" t="n"/>
      <c r="P1609" s="8" t="n"/>
      <c r="Q1609" s="8" t="n"/>
      <c r="R1609" s="8" t="n"/>
      <c r="S1609" s="8" t="n"/>
      <c r="T1609" s="7" t="inlineStr">
        <is>
          <t>SEM COTAÇÃO</t>
        </is>
      </c>
      <c r="U1609" s="8" t="n"/>
      <c r="V1609" s="14" t="n"/>
      <c r="W1609" s="14" t="n"/>
      <c r="X1609" s="7" t="inlineStr"/>
      <c r="Y1609" s="7" t="inlineStr"/>
    </row>
    <row r="1610">
      <c r="A1610" s="7" t="n">
        <v>665651</v>
      </c>
      <c r="B1610" s="12" t="inlineStr">
        <is>
          <t>7898080664587</t>
        </is>
      </c>
      <c r="C1610" s="7" t="inlineStr">
        <is>
          <t>ENERGETICO BALY LTA 473ML MACA VERDE</t>
        </is>
      </c>
      <c r="D1610" s="7" t="inlineStr">
        <is>
          <t>BEBIDAS GERAL</t>
        </is>
      </c>
      <c r="E1610" s="7" t="inlineStr">
        <is>
          <t>C</t>
        </is>
      </c>
      <c r="F1610" s="13" t="n">
        <v>1</v>
      </c>
      <c r="G1610" s="13" t="n">
        <v>1</v>
      </c>
      <c r="H1610" s="8" t="n">
        <v>6.29</v>
      </c>
      <c r="I1610" s="8" t="n">
        <v>6.29</v>
      </c>
      <c r="J1610" s="8" t="n">
        <v>6.29</v>
      </c>
      <c r="K1610" s="8" t="n"/>
      <c r="L1610" s="8" t="n"/>
      <c r="M1610" s="8" t="n"/>
      <c r="N1610" s="8" t="n"/>
      <c r="O1610" s="8" t="n"/>
      <c r="P1610" s="8" t="n"/>
      <c r="Q1610" s="8" t="n"/>
      <c r="R1610" s="8" t="n"/>
      <c r="S1610" s="8" t="n"/>
      <c r="T1610" s="7" t="inlineStr">
        <is>
          <t>SEM COTAÇÃO</t>
        </is>
      </c>
      <c r="U1610" s="8" t="n"/>
      <c r="V1610" s="14" t="n"/>
      <c r="W1610" s="14" t="n"/>
      <c r="X1610" s="7" t="inlineStr"/>
      <c r="Y1610" s="7" t="inlineStr"/>
    </row>
    <row r="1611">
      <c r="A1611" s="7" t="n">
        <v>665631</v>
      </c>
      <c r="B1611" s="12" t="inlineStr">
        <is>
          <t>7898080664402</t>
        </is>
      </c>
      <c r="C1611" s="7" t="inlineStr">
        <is>
          <t>ENERGETICO BALY LTA 473ML MELANCIA</t>
        </is>
      </c>
      <c r="D1611" s="7" t="inlineStr">
        <is>
          <t>BEBIDAS GERAL</t>
        </is>
      </c>
      <c r="E1611" s="7" t="inlineStr">
        <is>
          <t>C</t>
        </is>
      </c>
      <c r="F1611" s="13" t="n">
        <v>1</v>
      </c>
      <c r="G1611" s="13" t="n">
        <v>1</v>
      </c>
      <c r="H1611" s="8" t="n">
        <v>6.29</v>
      </c>
      <c r="I1611" s="8" t="n">
        <v>6.29</v>
      </c>
      <c r="J1611" s="8" t="n">
        <v>6.29</v>
      </c>
      <c r="K1611" s="8" t="n"/>
      <c r="L1611" s="8" t="n"/>
      <c r="M1611" s="8" t="n"/>
      <c r="N1611" s="8" t="n"/>
      <c r="O1611" s="8" t="n"/>
      <c r="P1611" s="8" t="n"/>
      <c r="Q1611" s="8" t="n"/>
      <c r="R1611" s="8" t="n"/>
      <c r="S1611" s="8" t="n"/>
      <c r="T1611" s="7" t="inlineStr">
        <is>
          <t>SEM COTAÇÃO</t>
        </is>
      </c>
      <c r="U1611" s="8" t="n"/>
      <c r="V1611" s="14" t="n"/>
      <c r="W1611" s="14" t="n"/>
      <c r="X1611" s="7" t="inlineStr"/>
      <c r="Y1611" s="7" t="inlineStr"/>
    </row>
    <row r="1612">
      <c r="A1612" s="7" t="n">
        <v>665621</v>
      </c>
      <c r="B1612" s="12" t="inlineStr">
        <is>
          <t>7898080663733</t>
        </is>
      </c>
      <c r="C1612" s="7" t="inlineStr">
        <is>
          <t>ENERGETICO BALY LTA 473ML TRADICIONAL</t>
        </is>
      </c>
      <c r="D1612" s="7" t="inlineStr">
        <is>
          <t>BEBIDAS GERAL</t>
        </is>
      </c>
      <c r="E1612" s="7" t="inlineStr">
        <is>
          <t>C</t>
        </is>
      </c>
      <c r="F1612" s="13" t="n">
        <v>1</v>
      </c>
      <c r="G1612" s="13" t="n">
        <v>1</v>
      </c>
      <c r="H1612" s="8" t="n">
        <v>6.29</v>
      </c>
      <c r="I1612" s="8" t="n">
        <v>6.29</v>
      </c>
      <c r="J1612" s="8" t="n">
        <v>6.29</v>
      </c>
      <c r="K1612" s="8" t="n"/>
      <c r="L1612" s="8" t="n"/>
      <c r="M1612" s="8" t="n"/>
      <c r="N1612" s="8" t="n"/>
      <c r="O1612" s="8" t="n"/>
      <c r="P1612" s="8" t="n"/>
      <c r="Q1612" s="8" t="n"/>
      <c r="R1612" s="8" t="n"/>
      <c r="S1612" s="8" t="n"/>
      <c r="T1612" s="7" t="inlineStr">
        <is>
          <t>SEM COTAÇÃO</t>
        </is>
      </c>
      <c r="U1612" s="8" t="n"/>
      <c r="V1612" s="14" t="n"/>
      <c r="W1612" s="14" t="n"/>
      <c r="X1612" s="7" t="inlineStr"/>
      <c r="Y1612" s="7" t="inlineStr"/>
    </row>
    <row r="1613">
      <c r="A1613" s="7" t="n">
        <v>665611</v>
      </c>
      <c r="B1613" s="12" t="inlineStr">
        <is>
          <t>7898080664273</t>
        </is>
      </c>
      <c r="C1613" s="7" t="inlineStr">
        <is>
          <t>ENERGETICO BALY LTA 473ML TROPICAL</t>
        </is>
      </c>
      <c r="D1613" s="7" t="inlineStr">
        <is>
          <t>BEBIDAS GERAL</t>
        </is>
      </c>
      <c r="E1613" s="7" t="inlineStr">
        <is>
          <t>C</t>
        </is>
      </c>
      <c r="F1613" s="13" t="n">
        <v>1</v>
      </c>
      <c r="G1613" s="13" t="n">
        <v>1</v>
      </c>
      <c r="H1613" s="8" t="n">
        <v>6.29</v>
      </c>
      <c r="I1613" s="8" t="n">
        <v>6.29</v>
      </c>
      <c r="J1613" s="8" t="n">
        <v>6.29</v>
      </c>
      <c r="K1613" s="8" t="n"/>
      <c r="L1613" s="8" t="n"/>
      <c r="M1613" s="8" t="n"/>
      <c r="N1613" s="8" t="n"/>
      <c r="O1613" s="8" t="n"/>
      <c r="P1613" s="8" t="n"/>
      <c r="Q1613" s="8" t="n"/>
      <c r="R1613" s="8" t="n"/>
      <c r="S1613" s="8" t="n"/>
      <c r="T1613" s="7" t="inlineStr">
        <is>
          <t>SEM COTAÇÃO</t>
        </is>
      </c>
      <c r="U1613" s="8" t="n"/>
      <c r="V1613" s="14" t="n"/>
      <c r="W1613" s="14" t="n"/>
      <c r="X1613" s="7" t="inlineStr"/>
      <c r="Y1613" s="7" t="inlineStr"/>
    </row>
    <row r="1614">
      <c r="A1614" s="7" t="n">
        <v>661941</v>
      </c>
      <c r="B1614" s="12" t="inlineStr">
        <is>
          <t>7898080664945</t>
        </is>
      </c>
      <c r="C1614" s="7" t="inlineStr">
        <is>
          <t>ENERGETICO FLYNOW LT 250ML MELAN S/ACU</t>
        </is>
      </c>
      <c r="D1614" s="7" t="inlineStr">
        <is>
          <t>BEBIDAS GERAL</t>
        </is>
      </c>
      <c r="E1614" s="7" t="inlineStr">
        <is>
          <t>C</t>
        </is>
      </c>
      <c r="F1614" s="13" t="n">
        <v>1</v>
      </c>
      <c r="G1614" s="13" t="n">
        <v>1</v>
      </c>
      <c r="H1614" s="8" t="n"/>
      <c r="I1614" s="8" t="n"/>
      <c r="J1614" s="8" t="n"/>
      <c r="K1614" s="8" t="n"/>
      <c r="L1614" s="8" t="n"/>
      <c r="M1614" s="8" t="n"/>
      <c r="N1614" s="8" t="n"/>
      <c r="O1614" s="8" t="n"/>
      <c r="P1614" s="8" t="n"/>
      <c r="Q1614" s="8" t="n"/>
      <c r="R1614" s="8" t="n"/>
      <c r="S1614" s="8" t="n"/>
      <c r="T1614" s="7" t="inlineStr">
        <is>
          <t>SEM COTAÇÃO</t>
        </is>
      </c>
      <c r="U1614" s="8" t="n"/>
      <c r="V1614" s="14" t="n"/>
      <c r="W1614" s="14" t="n"/>
      <c r="X1614" s="7" t="inlineStr"/>
      <c r="Y1614" s="7" t="inlineStr"/>
    </row>
    <row r="1615">
      <c r="A1615" s="7" t="n">
        <v>661951</v>
      </c>
      <c r="B1615" s="12" t="inlineStr">
        <is>
          <t>7898080663849</t>
        </is>
      </c>
      <c r="C1615" s="7" t="inlineStr">
        <is>
          <t>ENERGETICO FLYNOW LT 250ML TRAD S/ACU</t>
        </is>
      </c>
      <c r="D1615" s="7" t="inlineStr">
        <is>
          <t>BEBIDAS GERAL</t>
        </is>
      </c>
      <c r="E1615" s="7" t="inlineStr">
        <is>
          <t>C</t>
        </is>
      </c>
      <c r="F1615" s="13" t="n">
        <v>1</v>
      </c>
      <c r="G1615" s="13" t="n">
        <v>1</v>
      </c>
      <c r="H1615" s="8" t="n">
        <v>4.69</v>
      </c>
      <c r="I1615" s="8" t="n">
        <v>4.69</v>
      </c>
      <c r="J1615" s="8" t="n">
        <v>4.69</v>
      </c>
      <c r="K1615" s="8" t="n"/>
      <c r="L1615" s="8" t="n"/>
      <c r="M1615" s="8" t="n"/>
      <c r="N1615" s="8" t="n"/>
      <c r="O1615" s="8" t="n"/>
      <c r="P1615" s="8" t="n"/>
      <c r="Q1615" s="8" t="n"/>
      <c r="R1615" s="8" t="n"/>
      <c r="S1615" s="8" t="n"/>
      <c r="T1615" s="7" t="inlineStr">
        <is>
          <t>SEM COTAÇÃO</t>
        </is>
      </c>
      <c r="U1615" s="8" t="n"/>
      <c r="V1615" s="14" t="n"/>
      <c r="W1615" s="14" t="n"/>
      <c r="X1615" s="7" t="inlineStr"/>
      <c r="Y1615" s="7" t="inlineStr"/>
    </row>
    <row r="1616">
      <c r="A1616" s="7" t="n">
        <v>624411</v>
      </c>
      <c r="B1616" s="12" t="inlineStr">
        <is>
          <t>070847022305</t>
        </is>
      </c>
      <c r="C1616" s="7" t="inlineStr">
        <is>
          <t>ENERGETICO MONSTER ABSOLUTELY ZERO LATA</t>
        </is>
      </c>
      <c r="D1616" s="7" t="inlineStr">
        <is>
          <t>BEBIDAS GERAL</t>
        </is>
      </c>
      <c r="E1616" s="7" t="inlineStr">
        <is>
          <t>C</t>
        </is>
      </c>
      <c r="F1616" s="13" t="n">
        <v>5</v>
      </c>
      <c r="G1616" s="13" t="n">
        <v>5</v>
      </c>
      <c r="H1616" s="8" t="n">
        <v>7.9742</v>
      </c>
      <c r="I1616" s="8" t="n">
        <v>1.5968</v>
      </c>
      <c r="J1616" s="8" t="n">
        <v>1.5968</v>
      </c>
      <c r="K1616" s="8" t="n"/>
      <c r="L1616" s="8" t="n"/>
      <c r="M1616" s="8" t="n"/>
      <c r="N1616" s="8" t="n"/>
      <c r="O1616" s="8" t="n"/>
      <c r="P1616" s="8" t="n"/>
      <c r="Q1616" s="8" t="n"/>
      <c r="R1616" s="8" t="n"/>
      <c r="S1616" s="8" t="n"/>
      <c r="T1616" s="7" t="inlineStr">
        <is>
          <t>SEM COTAÇÃO</t>
        </is>
      </c>
      <c r="U1616" s="8" t="n"/>
      <c r="V1616" s="14" t="n"/>
      <c r="W1616" s="14" t="n"/>
      <c r="X1616" s="7" t="inlineStr"/>
      <c r="Y1616" s="7" t="inlineStr"/>
    </row>
    <row r="1617">
      <c r="A1617" s="7" t="n">
        <v>600341</v>
      </c>
      <c r="B1617" s="12" t="inlineStr">
        <is>
          <t>7891024033425</t>
        </is>
      </c>
      <c r="C1617" s="7" t="inlineStr">
        <is>
          <t>ENX BUC COLGATE PERIOG EXTRA MINT 250ML</t>
        </is>
      </c>
      <c r="D1617" s="7" t="inlineStr">
        <is>
          <t>RX</t>
        </is>
      </c>
      <c r="E1617" s="7" t="inlineStr">
        <is>
          <t>A</t>
        </is>
      </c>
      <c r="F1617" s="13" t="n">
        <v>1</v>
      </c>
      <c r="G1617" s="13" t="n">
        <v>1</v>
      </c>
      <c r="H1617" s="8" t="n">
        <v>23.76</v>
      </c>
      <c r="I1617" s="8" t="n">
        <v>22.47</v>
      </c>
      <c r="J1617" s="8" t="n">
        <v>22.9</v>
      </c>
      <c r="K1617" s="8" t="n"/>
      <c r="L1617" s="8" t="n"/>
      <c r="M1617" s="8" t="n"/>
      <c r="N1617" s="8" t="n"/>
      <c r="O1617" s="8" t="n"/>
      <c r="P1617" s="15" t="n">
        <v>26.4</v>
      </c>
      <c r="Q1617" s="8" t="n"/>
      <c r="R1617" s="8" t="n"/>
      <c r="S1617" s="8" t="n"/>
      <c r="T1617" s="7" t="inlineStr">
        <is>
          <t>NAZARIA</t>
        </is>
      </c>
      <c r="U1617" s="8" t="n">
        <v>26.4</v>
      </c>
      <c r="V1617" s="14">
        <f>U1617/J1617-1</f>
        <v/>
      </c>
      <c r="W1617" s="14">
        <f>U1617/H1617-1</f>
        <v/>
      </c>
      <c r="X1617" s="16" t="inlineStr">
        <is>
          <t>ACIMA +11.1%</t>
        </is>
      </c>
      <c r="Y1617" s="7" t="inlineStr"/>
    </row>
    <row r="1618">
      <c r="A1618" s="7" t="n">
        <v>629731</v>
      </c>
      <c r="B1618" s="12" t="inlineStr">
        <is>
          <t>7897217404133</t>
        </is>
      </c>
      <c r="C1618" s="7" t="inlineStr">
        <is>
          <t>ENX BUCAL  HELLO KITTY 250ML</t>
        </is>
      </c>
      <c r="D1618" s="7" t="inlineStr">
        <is>
          <t>PERF/COSME</t>
        </is>
      </c>
      <c r="E1618" s="7" t="inlineStr">
        <is>
          <t>C</t>
        </is>
      </c>
      <c r="F1618" s="13" t="n">
        <v>1</v>
      </c>
      <c r="G1618" s="13" t="n">
        <v>1</v>
      </c>
      <c r="H1618" s="8" t="n">
        <v>11.94</v>
      </c>
      <c r="I1618" s="8" t="n">
        <v>11.94</v>
      </c>
      <c r="J1618" s="8" t="n">
        <v>11.94</v>
      </c>
      <c r="K1618" s="8" t="n"/>
      <c r="L1618" s="8" t="n"/>
      <c r="M1618" s="8" t="n"/>
      <c r="N1618" s="8" t="n"/>
      <c r="O1618" s="8" t="n"/>
      <c r="P1618" s="8" t="n"/>
      <c r="Q1618" s="8" t="n"/>
      <c r="R1618" s="8" t="n"/>
      <c r="S1618" s="8" t="n"/>
      <c r="T1618" s="7" t="inlineStr">
        <is>
          <t>SEM COTAÇÃO</t>
        </is>
      </c>
      <c r="U1618" s="8" t="n"/>
      <c r="V1618" s="14" t="n"/>
      <c r="W1618" s="14" t="n"/>
      <c r="X1618" s="7" t="inlineStr"/>
      <c r="Y1618" s="7" t="inlineStr"/>
    </row>
    <row r="1619">
      <c r="A1619" s="7" t="n">
        <v>593401</v>
      </c>
      <c r="B1619" s="12" t="inlineStr">
        <is>
          <t>7500435183505</t>
        </is>
      </c>
      <c r="C1619" s="7" t="inlineStr">
        <is>
          <t>ENX BUCAL ORAL B 100% 250ML</t>
        </is>
      </c>
      <c r="D1619" s="7" t="inlineStr">
        <is>
          <t>PERF/COSME</t>
        </is>
      </c>
      <c r="E1619" s="7" t="inlineStr">
        <is>
          <t>C</t>
        </is>
      </c>
      <c r="F1619" s="13" t="n">
        <v>1</v>
      </c>
      <c r="G1619" s="13" t="n">
        <v>1</v>
      </c>
      <c r="H1619" s="8" t="n">
        <v>13.3</v>
      </c>
      <c r="I1619" s="8" t="n">
        <v>13.3</v>
      </c>
      <c r="J1619" s="8" t="n">
        <v>13.3</v>
      </c>
      <c r="K1619" s="8" t="n"/>
      <c r="L1619" s="8" t="n"/>
      <c r="M1619" s="8" t="n"/>
      <c r="N1619" s="8" t="n"/>
      <c r="O1619" s="8" t="n"/>
      <c r="P1619" s="8" t="n"/>
      <c r="Q1619" s="8" t="n"/>
      <c r="R1619" s="8" t="n"/>
      <c r="S1619" s="8" t="n"/>
      <c r="T1619" s="7" t="inlineStr">
        <is>
          <t>SEM COTAÇÃO</t>
        </is>
      </c>
      <c r="U1619" s="8" t="n"/>
      <c r="V1619" s="14" t="n"/>
      <c r="W1619" s="14" t="n"/>
      <c r="X1619" s="7" t="inlineStr"/>
      <c r="Y1619" s="7" t="inlineStr"/>
    </row>
    <row r="1620">
      <c r="A1620" s="7" t="n">
        <v>594631</v>
      </c>
      <c r="B1620" s="12" t="inlineStr">
        <is>
          <t>7891051037878</t>
        </is>
      </c>
      <c r="C1620" s="7" t="inlineStr">
        <is>
          <t>ENX BUCAL ORAL B MENTA 250ML</t>
        </is>
      </c>
      <c r="D1620" s="7" t="inlineStr">
        <is>
          <t>PERF/COSME</t>
        </is>
      </c>
      <c r="E1620" s="7" t="inlineStr">
        <is>
          <t>C</t>
        </is>
      </c>
      <c r="F1620" s="13" t="n">
        <v>1</v>
      </c>
      <c r="G1620" s="13" t="n">
        <v>1</v>
      </c>
      <c r="H1620" s="8" t="n">
        <v>14.51</v>
      </c>
      <c r="I1620" s="8" t="n">
        <v>14.51</v>
      </c>
      <c r="J1620" s="8" t="n">
        <v>14.51</v>
      </c>
      <c r="K1620" s="8" t="n"/>
      <c r="L1620" s="8" t="n"/>
      <c r="M1620" s="8" t="n"/>
      <c r="N1620" s="8" t="n"/>
      <c r="O1620" s="8" t="n"/>
      <c r="P1620" s="8" t="n"/>
      <c r="Q1620" s="8" t="n"/>
      <c r="R1620" s="8" t="n"/>
      <c r="S1620" s="8" t="n"/>
      <c r="T1620" s="7" t="inlineStr">
        <is>
          <t>SEM COTAÇÃO</t>
        </is>
      </c>
      <c r="U1620" s="8" t="n"/>
      <c r="V1620" s="14" t="n"/>
      <c r="W1620" s="14" t="n"/>
      <c r="X1620" s="7" t="inlineStr"/>
      <c r="Y1620" s="7" t="inlineStr"/>
    </row>
    <row r="1621">
      <c r="A1621" s="7" t="n">
        <v>577481</v>
      </c>
      <c r="B1621" s="12" t="inlineStr">
        <is>
          <t>7891268400014</t>
        </is>
      </c>
      <c r="C1621" s="7" t="inlineStr">
        <is>
          <t>ENX. B. LIST. 250ML COOL MINT</t>
        </is>
      </c>
      <c r="D1621" s="7" t="inlineStr">
        <is>
          <t>PERF/COSME</t>
        </is>
      </c>
      <c r="E1621" s="7" t="inlineStr">
        <is>
          <t>C</t>
        </is>
      </c>
      <c r="F1621" s="13" t="n">
        <v>1</v>
      </c>
      <c r="G1621" s="13" t="n">
        <v>1</v>
      </c>
      <c r="H1621" s="8" t="n">
        <v>13.25</v>
      </c>
      <c r="I1621" s="8" t="n">
        <v>13.25</v>
      </c>
      <c r="J1621" s="8" t="n">
        <v>13.25</v>
      </c>
      <c r="K1621" s="8" t="n"/>
      <c r="L1621" s="8" t="n"/>
      <c r="M1621" s="8" t="n"/>
      <c r="N1621" s="8" t="n"/>
      <c r="O1621" s="8" t="n"/>
      <c r="P1621" s="8" t="n"/>
      <c r="Q1621" s="8" t="n"/>
      <c r="R1621" s="8" t="n"/>
      <c r="S1621" s="8" t="n"/>
      <c r="T1621" s="7" t="inlineStr">
        <is>
          <t>SEM COTAÇÃO</t>
        </is>
      </c>
      <c r="U1621" s="8" t="n"/>
      <c r="V1621" s="14" t="n"/>
      <c r="W1621" s="14" t="n"/>
      <c r="X1621" s="7" t="inlineStr"/>
      <c r="Y1621" s="7" t="inlineStr"/>
    </row>
    <row r="1622">
      <c r="A1622" s="7" t="n">
        <v>577461</v>
      </c>
      <c r="B1622" s="12" t="inlineStr">
        <is>
          <t>7891268400113</t>
        </is>
      </c>
      <c r="C1622" s="7" t="inlineStr">
        <is>
          <t>ENX. B. LIST. 500ML COOL MINT OF UN</t>
        </is>
      </c>
      <c r="D1622" s="7" t="inlineStr">
        <is>
          <t>PERF/COSME</t>
        </is>
      </c>
      <c r="E1622" s="7" t="inlineStr">
        <is>
          <t>C</t>
        </is>
      </c>
      <c r="F1622" s="13" t="n">
        <v>1</v>
      </c>
      <c r="G1622" s="13" t="n">
        <v>1</v>
      </c>
      <c r="H1622" s="8" t="n">
        <v>18.4167</v>
      </c>
      <c r="I1622" s="8" t="n">
        <v>18.4167</v>
      </c>
      <c r="J1622" s="8" t="n">
        <v>18.4167</v>
      </c>
      <c r="K1622" s="8" t="n"/>
      <c r="L1622" s="8" t="n"/>
      <c r="M1622" s="8" t="n"/>
      <c r="N1622" s="8" t="n"/>
      <c r="O1622" s="8" t="n"/>
      <c r="P1622" s="8" t="n"/>
      <c r="Q1622" s="8" t="n"/>
      <c r="R1622" s="8" t="n"/>
      <c r="S1622" s="8" t="n"/>
      <c r="T1622" s="7" t="inlineStr">
        <is>
          <t>SEM COTAÇÃO</t>
        </is>
      </c>
      <c r="U1622" s="8" t="n"/>
      <c r="V1622" s="14" t="n"/>
      <c r="W1622" s="14" t="n"/>
      <c r="X1622" s="7" t="inlineStr"/>
      <c r="Y1622" s="7" t="inlineStr"/>
    </row>
    <row r="1623">
      <c r="A1623" s="7" t="n">
        <v>556781</v>
      </c>
      <c r="B1623" s="12" t="inlineStr">
        <is>
          <t>7891010973902</t>
        </is>
      </c>
      <c r="C1623" s="7" t="inlineStr">
        <is>
          <t>ENXAGUANTE BUCAL ANTISSÉPTICO ZERO ÁLCOOL MENTA SUAVE LISTERINE COOL MINT 250ML</t>
        </is>
      </c>
      <c r="D1623" s="7" t="inlineStr">
        <is>
          <t>PERF/COSME</t>
        </is>
      </c>
      <c r="E1623" s="7" t="inlineStr">
        <is>
          <t>B</t>
        </is>
      </c>
      <c r="F1623" s="13" t="n">
        <v>5</v>
      </c>
      <c r="G1623" s="13" t="n">
        <v>5</v>
      </c>
      <c r="H1623" s="8" t="n">
        <v>13.43</v>
      </c>
      <c r="I1623" s="8" t="n">
        <v>13.43</v>
      </c>
      <c r="J1623" s="8" t="n">
        <v>13.43</v>
      </c>
      <c r="K1623" s="8" t="n"/>
      <c r="L1623" s="8" t="n"/>
      <c r="M1623" s="8" t="n"/>
      <c r="N1623" s="8" t="n"/>
      <c r="O1623" s="8" t="n"/>
      <c r="P1623" s="15" t="n">
        <v>15.08</v>
      </c>
      <c r="Q1623" s="8" t="n"/>
      <c r="R1623" s="8" t="n"/>
      <c r="S1623" s="8" t="n"/>
      <c r="T1623" s="7" t="inlineStr">
        <is>
          <t>NAZARIA</t>
        </is>
      </c>
      <c r="U1623" s="8" t="n">
        <v>15.08</v>
      </c>
      <c r="V1623" s="14">
        <f>U1623/J1623-1</f>
        <v/>
      </c>
      <c r="W1623" s="14">
        <f>U1623/H1623-1</f>
        <v/>
      </c>
      <c r="X1623" s="16" t="inlineStr">
        <is>
          <t>ACIMA +12.3%</t>
        </is>
      </c>
      <c r="Y1623" s="7" t="inlineStr"/>
    </row>
    <row r="1624">
      <c r="A1624" s="7" t="n">
        <v>579861</v>
      </c>
      <c r="B1624" s="12" t="inlineStr">
        <is>
          <t>7891024033050</t>
        </is>
      </c>
      <c r="C1624" s="7" t="inlineStr">
        <is>
          <t>ENXAGUANTE BUCAL TOTAL PLAX 250ML ICE GLACIAL</t>
        </is>
      </c>
      <c r="D1624" s="7" t="inlineStr">
        <is>
          <t>PERF/COSME</t>
        </is>
      </c>
      <c r="E1624" s="7" t="inlineStr">
        <is>
          <t>C</t>
        </is>
      </c>
      <c r="F1624" s="13" t="n">
        <v>1</v>
      </c>
      <c r="G1624" s="13" t="n">
        <v>1</v>
      </c>
      <c r="H1624" s="8" t="n">
        <v>12.1</v>
      </c>
      <c r="I1624" s="8" t="n">
        <v>12.1</v>
      </c>
      <c r="J1624" s="8" t="n">
        <v>12.1</v>
      </c>
      <c r="K1624" s="8" t="n"/>
      <c r="L1624" s="8" t="n"/>
      <c r="M1624" s="8" t="n"/>
      <c r="N1624" s="8" t="n"/>
      <c r="O1624" s="8" t="n"/>
      <c r="P1624" s="8" t="n"/>
      <c r="Q1624" s="8" t="n"/>
      <c r="R1624" s="8" t="n"/>
      <c r="S1624" s="8" t="n"/>
      <c r="T1624" s="7" t="inlineStr">
        <is>
          <t>SEM COTAÇÃO</t>
        </is>
      </c>
      <c r="U1624" s="8" t="n"/>
      <c r="V1624" s="14" t="n"/>
      <c r="W1624" s="14" t="n"/>
      <c r="X1624" s="7" t="inlineStr"/>
      <c r="Y1624" s="7" t="inlineStr"/>
    </row>
    <row r="1625">
      <c r="A1625" s="7" t="n">
        <v>599151</v>
      </c>
      <c r="B1625" s="12" t="inlineStr">
        <is>
          <t>7898040327910</t>
        </is>
      </c>
      <c r="C1625" s="7" t="inlineStr">
        <is>
          <t>ENZILAC 4500UI CX 30  COMP</t>
        </is>
      </c>
      <c r="D1625" s="7" t="inlineStr">
        <is>
          <t>RX - OTC</t>
        </is>
      </c>
      <c r="E1625" s="7" t="inlineStr">
        <is>
          <t>C</t>
        </is>
      </c>
      <c r="F1625" s="13" t="n">
        <v>1</v>
      </c>
      <c r="G1625" s="13" t="n">
        <v>1</v>
      </c>
      <c r="H1625" s="8" t="n">
        <v>23.42</v>
      </c>
      <c r="I1625" s="8" t="n">
        <v>23.42</v>
      </c>
      <c r="J1625" s="8" t="n">
        <v>23.42</v>
      </c>
      <c r="K1625" s="8" t="n"/>
      <c r="L1625" s="8" t="n"/>
      <c r="M1625" s="15" t="n">
        <v>22.24</v>
      </c>
      <c r="N1625" s="8" t="n"/>
      <c r="O1625" s="8" t="n"/>
      <c r="P1625" s="8" t="n">
        <v>25.4604</v>
      </c>
      <c r="Q1625" s="8" t="n"/>
      <c r="R1625" s="8" t="n"/>
      <c r="S1625" s="8" t="n"/>
      <c r="T1625" s="7" t="inlineStr">
        <is>
          <t>EPAN</t>
        </is>
      </c>
      <c r="U1625" s="8" t="n">
        <v>22.24</v>
      </c>
      <c r="V1625" s="14">
        <f>U1625/J1625-1</f>
        <v/>
      </c>
      <c r="W1625" s="14">
        <f>U1625/H1625-1</f>
        <v/>
      </c>
      <c r="X1625" s="17" t="inlineStr">
        <is>
          <t>OK (≤ menor hist.)</t>
        </is>
      </c>
      <c r="Y1625" s="7" t="inlineStr"/>
    </row>
    <row r="1626">
      <c r="A1626" s="7" t="n">
        <v>646151</v>
      </c>
      <c r="B1626" s="12" t="inlineStr">
        <is>
          <t>7896094922228</t>
        </is>
      </c>
      <c r="C1626" s="7" t="inlineStr">
        <is>
          <t>EPAREMA FLACONETES 10ML X 4</t>
        </is>
      </c>
      <c r="D1626" s="7" t="inlineStr">
        <is>
          <t>RX - OTC</t>
        </is>
      </c>
      <c r="E1626" s="7" t="inlineStr">
        <is>
          <t>C</t>
        </is>
      </c>
      <c r="F1626" s="13" t="n">
        <v>1</v>
      </c>
      <c r="G1626" s="13" t="n">
        <v>2</v>
      </c>
      <c r="H1626" s="8" t="n">
        <v>3.73</v>
      </c>
      <c r="I1626" s="8" t="n">
        <v>3.0125</v>
      </c>
      <c r="J1626" s="8" t="n">
        <v>3.012500000000001</v>
      </c>
      <c r="K1626" s="8" t="n"/>
      <c r="L1626" s="8" t="n"/>
      <c r="M1626" s="8" t="n">
        <v>15.5</v>
      </c>
      <c r="N1626" s="8" t="n"/>
      <c r="O1626" s="8" t="n"/>
      <c r="P1626" s="8" t="n"/>
      <c r="Q1626" s="8" t="n"/>
      <c r="R1626" s="8" t="n"/>
      <c r="S1626" s="8" t="n"/>
      <c r="T1626" s="7" t="inlineStr">
        <is>
          <t>SEM COTAÇÃO</t>
        </is>
      </c>
      <c r="U1626" s="8" t="n"/>
      <c r="V1626" s="14" t="n"/>
      <c r="W1626" s="14" t="n"/>
      <c r="X1626" s="7" t="inlineStr"/>
      <c r="Y1626" s="7" t="inlineStr">
        <is>
          <t>EPAN: sem estoque; conferir emb.</t>
        </is>
      </c>
    </row>
    <row r="1627">
      <c r="A1627" s="7" t="n">
        <v>15</v>
      </c>
      <c r="B1627" s="12" t="inlineStr">
        <is>
          <t>7896094903272</t>
        </is>
      </c>
      <c r="C1627" s="7" t="inlineStr">
        <is>
          <t>EPOCLER SOL ORAL FLACONETE CAIXA C/ 12</t>
        </is>
      </c>
      <c r="D1627" s="7" t="inlineStr">
        <is>
          <t>RX</t>
        </is>
      </c>
      <c r="E1627" s="7" t="inlineStr">
        <is>
          <t>A</t>
        </is>
      </c>
      <c r="F1627" s="13" t="n">
        <v>100</v>
      </c>
      <c r="G1627" s="13" t="n">
        <v>100</v>
      </c>
      <c r="H1627" s="8" t="n"/>
      <c r="I1627" s="8" t="n"/>
      <c r="J1627" s="8" t="n"/>
      <c r="K1627" s="8" t="n"/>
      <c r="L1627" s="8" t="n"/>
      <c r="M1627" s="8" t="n"/>
      <c r="N1627" s="8" t="n"/>
      <c r="O1627" s="15" t="n">
        <v>35.68</v>
      </c>
      <c r="P1627" s="8" t="n">
        <v>37.1542</v>
      </c>
      <c r="Q1627" s="8" t="n"/>
      <c r="R1627" s="8" t="n"/>
      <c r="S1627" s="8" t="n"/>
      <c r="T1627" s="7" t="inlineStr">
        <is>
          <t>TAPAJOS</t>
        </is>
      </c>
      <c r="U1627" s="8" t="n">
        <v>35.68</v>
      </c>
      <c r="V1627" s="14" t="n"/>
      <c r="W1627" s="14" t="n"/>
      <c r="X1627" s="7" t="inlineStr">
        <is>
          <t>SEM HISTÓRICO</t>
        </is>
      </c>
      <c r="Y1627" s="7" t="inlineStr"/>
    </row>
    <row r="1628">
      <c r="A1628" s="7" t="n">
        <v>646221</v>
      </c>
      <c r="B1628" s="12" t="inlineStr">
        <is>
          <t>7898687732955</t>
        </is>
      </c>
      <c r="C1628" s="7" t="inlineStr">
        <is>
          <t>EQUALIV CARTLIV MULTI X60 CAP</t>
        </is>
      </c>
      <c r="D1628" s="7" t="inlineStr">
        <is>
          <t>SIMILAR</t>
        </is>
      </c>
      <c r="E1628" s="7" t="inlineStr">
        <is>
          <t>C</t>
        </is>
      </c>
      <c r="F1628" s="13" t="n">
        <v>1</v>
      </c>
      <c r="G1628" s="13" t="n">
        <v>1</v>
      </c>
      <c r="H1628" s="8" t="n">
        <v>64.6925</v>
      </c>
      <c r="I1628" s="8" t="n">
        <v>64.6925</v>
      </c>
      <c r="J1628" s="8" t="n">
        <v>64.6925</v>
      </c>
      <c r="K1628" s="8" t="n"/>
      <c r="L1628" s="8" t="n"/>
      <c r="M1628" s="8" t="n"/>
      <c r="N1628" s="8" t="n"/>
      <c r="O1628" s="8" t="n"/>
      <c r="P1628" s="8" t="n"/>
      <c r="Q1628" s="8" t="n"/>
      <c r="R1628" s="8" t="n"/>
      <c r="S1628" s="8" t="n"/>
      <c r="T1628" s="7" t="inlineStr">
        <is>
          <t>SEM COTAÇÃO</t>
        </is>
      </c>
      <c r="U1628" s="8" t="n"/>
      <c r="V1628" s="14" t="n"/>
      <c r="W1628" s="14" t="n"/>
      <c r="X1628" s="7" t="inlineStr"/>
      <c r="Y1628" s="7" t="inlineStr"/>
    </row>
    <row r="1629">
      <c r="A1629" s="7" t="n">
        <v>604941</v>
      </c>
      <c r="B1629" s="12" t="inlineStr">
        <is>
          <t>7898687731996</t>
        </is>
      </c>
      <c r="C1629" s="7" t="inlineStr">
        <is>
          <t>EQUALIV MELATONINA 0,21MG X120</t>
        </is>
      </c>
      <c r="D1629" s="7" t="inlineStr">
        <is>
          <t>VITAMINA E SIMILARES</t>
        </is>
      </c>
      <c r="E1629" s="7" t="inlineStr">
        <is>
          <t>B</t>
        </is>
      </c>
      <c r="F1629" s="13" t="n">
        <v>1</v>
      </c>
      <c r="G1629" s="13" t="n">
        <v>1</v>
      </c>
      <c r="H1629" s="8" t="n">
        <v>18.9925</v>
      </c>
      <c r="I1629" s="8" t="n">
        <v>18.9925</v>
      </c>
      <c r="J1629" s="8" t="n">
        <v>18.9925</v>
      </c>
      <c r="K1629" s="15" t="n">
        <v>23.73</v>
      </c>
      <c r="L1629" s="8" t="n"/>
      <c r="M1629" s="8" t="n"/>
      <c r="N1629" s="8" t="n"/>
      <c r="O1629" s="8" t="n"/>
      <c r="P1629" s="8" t="n"/>
      <c r="Q1629" s="8" t="n"/>
      <c r="R1629" s="8" t="n"/>
      <c r="S1629" s="8" t="n"/>
      <c r="T1629" s="7" t="inlineStr">
        <is>
          <t>DIMEC</t>
        </is>
      </c>
      <c r="U1629" s="8" t="n">
        <v>23.73</v>
      </c>
      <c r="V1629" s="14">
        <f>U1629/J1629-1</f>
        <v/>
      </c>
      <c r="W1629" s="14">
        <f>U1629/H1629-1</f>
        <v/>
      </c>
      <c r="X1629" s="16" t="inlineStr">
        <is>
          <t>ACIMA +24.9%</t>
        </is>
      </c>
      <c r="Y1629" s="7" t="inlineStr"/>
    </row>
    <row r="1630">
      <c r="A1630" s="7" t="n">
        <v>604911</v>
      </c>
      <c r="B1630" s="12" t="inlineStr">
        <is>
          <t>7898687732931</t>
        </is>
      </c>
      <c r="C1630" s="7" t="inlineStr">
        <is>
          <t>EQUALIV MELATONINA TRIPTOFANO X60 CAP</t>
        </is>
      </c>
      <c r="D1630" s="7" t="inlineStr">
        <is>
          <t>VITAMINA E SIMILARES</t>
        </is>
      </c>
      <c r="E1630" s="7" t="inlineStr">
        <is>
          <t>C</t>
        </is>
      </c>
      <c r="F1630" s="13" t="n">
        <v>5</v>
      </c>
      <c r="G1630" s="13" t="n">
        <v>5</v>
      </c>
      <c r="H1630" s="8" t="n">
        <v>31.79</v>
      </c>
      <c r="I1630" s="8" t="n">
        <v>31.79</v>
      </c>
      <c r="J1630" s="8" t="n">
        <v>31.79</v>
      </c>
      <c r="K1630" s="8" t="n"/>
      <c r="L1630" s="8" t="n"/>
      <c r="M1630" s="8" t="n"/>
      <c r="N1630" s="8" t="n"/>
      <c r="O1630" s="8" t="n"/>
      <c r="P1630" s="8" t="n"/>
      <c r="Q1630" s="8" t="n"/>
      <c r="R1630" s="8" t="n"/>
      <c r="S1630" s="8" t="n"/>
      <c r="T1630" s="7" t="inlineStr">
        <is>
          <t>SEM COTAÇÃO</t>
        </is>
      </c>
      <c r="U1630" s="8" t="n"/>
      <c r="V1630" s="14" t="n"/>
      <c r="W1630" s="14" t="n"/>
      <c r="X1630" s="7" t="inlineStr"/>
      <c r="Y1630" s="7" t="inlineStr"/>
    </row>
    <row r="1631">
      <c r="A1631" s="7" t="n">
        <v>1194</v>
      </c>
      <c r="B1631" s="12" t="inlineStr">
        <is>
          <t>7901062405105</t>
        </is>
      </c>
      <c r="C1631" s="7" t="inlineStr">
        <is>
          <t>EQUALIV OMEGA 3 KIDS X30 CAP</t>
        </is>
      </c>
      <c r="D1631" s="7" t="inlineStr">
        <is>
          <t>VITAMINA E SIMILARES</t>
        </is>
      </c>
      <c r="E1631" s="7" t="inlineStr">
        <is>
          <t>B</t>
        </is>
      </c>
      <c r="F1631" s="13" t="n">
        <v>1</v>
      </c>
      <c r="G1631" s="13" t="n">
        <v>1</v>
      </c>
      <c r="H1631" s="8" t="n">
        <v>47.8733</v>
      </c>
      <c r="I1631" s="8" t="n">
        <v>47.8733</v>
      </c>
      <c r="J1631" s="8" t="n">
        <v>47.8733</v>
      </c>
      <c r="K1631" s="8" t="n"/>
      <c r="L1631" s="8" t="n"/>
      <c r="M1631" s="8" t="n"/>
      <c r="N1631" s="8" t="n"/>
      <c r="O1631" s="8" t="n"/>
      <c r="P1631" s="15" t="n">
        <v>68.25</v>
      </c>
      <c r="Q1631" s="8" t="n"/>
      <c r="R1631" s="8" t="n"/>
      <c r="S1631" s="8" t="n"/>
      <c r="T1631" s="7" t="inlineStr">
        <is>
          <t>NAZARIA</t>
        </is>
      </c>
      <c r="U1631" s="8" t="n">
        <v>68.25</v>
      </c>
      <c r="V1631" s="14">
        <f>U1631/J1631-1</f>
        <v/>
      </c>
      <c r="W1631" s="14">
        <f>U1631/H1631-1</f>
        <v/>
      </c>
      <c r="X1631" s="16" t="inlineStr">
        <is>
          <t>ACIMA +42.6%</t>
        </is>
      </c>
      <c r="Y1631" s="7" t="inlineStr"/>
    </row>
    <row r="1632">
      <c r="A1632" s="7" t="n">
        <v>604981</v>
      </c>
      <c r="B1632" s="12" t="inlineStr">
        <is>
          <t>7898687733648</t>
        </is>
      </c>
      <c r="C1632" s="7" t="inlineStr">
        <is>
          <t>EQUALIV OMEGA 3 PRO KIDS OIL X30 CAP</t>
        </is>
      </c>
      <c r="D1632" s="7" t="inlineStr">
        <is>
          <t>VITAMINA E SIMILARES</t>
        </is>
      </c>
      <c r="E1632" s="7" t="inlineStr">
        <is>
          <t>A</t>
        </is>
      </c>
      <c r="F1632" s="13" t="n">
        <v>1</v>
      </c>
      <c r="G1632" s="13" t="n">
        <v>1</v>
      </c>
      <c r="H1632" s="8" t="n">
        <v>46.12</v>
      </c>
      <c r="I1632" s="8" t="n">
        <v>46.12</v>
      </c>
      <c r="J1632" s="8" t="n">
        <v>46.12</v>
      </c>
      <c r="K1632" s="8" t="n"/>
      <c r="L1632" s="8" t="n"/>
      <c r="M1632" s="8" t="n"/>
      <c r="N1632" s="8" t="n"/>
      <c r="O1632" s="8" t="n"/>
      <c r="P1632" s="8" t="n"/>
      <c r="Q1632" s="8" t="n"/>
      <c r="R1632" s="8" t="n"/>
      <c r="S1632" s="8" t="n"/>
      <c r="T1632" s="7" t="inlineStr">
        <is>
          <t>SEM COTAÇÃO</t>
        </is>
      </c>
      <c r="U1632" s="8" t="n"/>
      <c r="V1632" s="14" t="n"/>
      <c r="W1632" s="14" t="n"/>
      <c r="X1632" s="7" t="inlineStr"/>
      <c r="Y1632" s="7" t="inlineStr"/>
    </row>
    <row r="1633">
      <c r="A1633" s="7" t="n">
        <v>631191</v>
      </c>
      <c r="B1633" s="12" t="inlineStr">
        <is>
          <t>7898687733693</t>
        </is>
      </c>
      <c r="C1633" s="7" t="inlineStr">
        <is>
          <t>EQUALIV OMEGA 3 ULTRA CAPS X120 CAP</t>
        </is>
      </c>
      <c r="D1633" s="7" t="inlineStr">
        <is>
          <t>VITAMINA E SIMILARES</t>
        </is>
      </c>
      <c r="E1633" s="7" t="inlineStr">
        <is>
          <t>B</t>
        </is>
      </c>
      <c r="F1633" s="13" t="n">
        <v>1</v>
      </c>
      <c r="G1633" s="13" t="n">
        <v>1</v>
      </c>
      <c r="H1633" s="8" t="n">
        <v>77.16</v>
      </c>
      <c r="I1633" s="8" t="n">
        <v>77.16</v>
      </c>
      <c r="J1633" s="8" t="n">
        <v>77.16</v>
      </c>
      <c r="K1633" s="8" t="n"/>
      <c r="L1633" s="8" t="n"/>
      <c r="M1633" s="8" t="n"/>
      <c r="N1633" s="8" t="n"/>
      <c r="O1633" s="8" t="n"/>
      <c r="P1633" s="15" t="n">
        <v>167.75</v>
      </c>
      <c r="Q1633" s="8" t="n"/>
      <c r="R1633" s="8" t="n"/>
      <c r="S1633" s="8" t="n"/>
      <c r="T1633" s="7" t="inlineStr">
        <is>
          <t>NAZARIA</t>
        </is>
      </c>
      <c r="U1633" s="8" t="n">
        <v>167.75</v>
      </c>
      <c r="V1633" s="14">
        <f>U1633/J1633-1</f>
        <v/>
      </c>
      <c r="W1633" s="14">
        <f>U1633/H1633-1</f>
        <v/>
      </c>
      <c r="X1633" s="16" t="inlineStr">
        <is>
          <t>ACIMA +117.4%</t>
        </is>
      </c>
      <c r="Y1633" s="7" t="inlineStr">
        <is>
          <t>NAZARIA: conferir emb.</t>
        </is>
      </c>
    </row>
    <row r="1634">
      <c r="A1634" s="7" t="n">
        <v>630341</v>
      </c>
      <c r="B1634" s="12" t="inlineStr">
        <is>
          <t>7898946433197</t>
        </is>
      </c>
      <c r="C1634" s="7" t="inlineStr">
        <is>
          <t>EQUALIV OMEGA 3 ULTRA CAPS X60 CAP</t>
        </is>
      </c>
      <c r="D1634" s="7" t="inlineStr">
        <is>
          <t>VITAMINA E SIMILARES</t>
        </is>
      </c>
      <c r="E1634" s="7" t="inlineStr">
        <is>
          <t>C</t>
        </is>
      </c>
      <c r="F1634" s="13" t="n">
        <v>1</v>
      </c>
      <c r="G1634" s="13" t="n">
        <v>1</v>
      </c>
      <c r="H1634" s="8" t="n">
        <v>68.1833</v>
      </c>
      <c r="I1634" s="8" t="n">
        <v>68.1833</v>
      </c>
      <c r="J1634" s="8" t="n">
        <v>68.1833</v>
      </c>
      <c r="K1634" s="8" t="n"/>
      <c r="L1634" s="8" t="n"/>
      <c r="M1634" s="8" t="n"/>
      <c r="N1634" s="8" t="n"/>
      <c r="O1634" s="8" t="n"/>
      <c r="P1634" s="8" t="n"/>
      <c r="Q1634" s="8" t="n"/>
      <c r="R1634" s="8" t="n"/>
      <c r="S1634" s="8" t="n"/>
      <c r="T1634" s="7" t="inlineStr">
        <is>
          <t>SEM COTAÇÃO</t>
        </is>
      </c>
      <c r="U1634" s="8" t="n"/>
      <c r="V1634" s="14" t="n"/>
      <c r="W1634" s="14" t="n"/>
      <c r="X1634" s="7" t="inlineStr"/>
      <c r="Y1634" s="7" t="inlineStr"/>
    </row>
    <row r="1635">
      <c r="A1635" s="7" t="n">
        <v>613351</v>
      </c>
      <c r="B1635" s="12" t="inlineStr">
        <is>
          <t>7898946434125</t>
        </is>
      </c>
      <c r="C1635" s="7" t="inlineStr">
        <is>
          <t>EQUALIV OMEGA 3 X120 CAP</t>
        </is>
      </c>
      <c r="D1635" s="7" t="inlineStr">
        <is>
          <t>VITAMINA E SIMILARES</t>
        </is>
      </c>
      <c r="E1635" s="7" t="inlineStr">
        <is>
          <t>C</t>
        </is>
      </c>
      <c r="F1635" s="13" t="n">
        <v>2</v>
      </c>
      <c r="G1635" s="13" t="n">
        <v>2</v>
      </c>
      <c r="H1635" s="8" t="n">
        <v>42.96</v>
      </c>
      <c r="I1635" s="8" t="n">
        <v>42.96</v>
      </c>
      <c r="J1635" s="8" t="n">
        <v>42.96</v>
      </c>
      <c r="K1635" s="8" t="n"/>
      <c r="L1635" s="8" t="n"/>
      <c r="M1635" s="8" t="n"/>
      <c r="N1635" s="8" t="n"/>
      <c r="O1635" s="8" t="n"/>
      <c r="P1635" s="8" t="n"/>
      <c r="Q1635" s="8" t="n"/>
      <c r="R1635" s="8" t="n"/>
      <c r="S1635" s="8" t="n"/>
      <c r="T1635" s="7" t="inlineStr">
        <is>
          <t>SEM COTAÇÃO</t>
        </is>
      </c>
      <c r="U1635" s="8" t="n"/>
      <c r="V1635" s="14" t="n"/>
      <c r="W1635" s="14" t="n"/>
      <c r="X1635" s="7" t="inlineStr"/>
      <c r="Y1635" s="7" t="inlineStr"/>
    </row>
    <row r="1636">
      <c r="A1636" s="7" t="n">
        <v>630291</v>
      </c>
      <c r="B1636" s="12" t="inlineStr">
        <is>
          <t>7898946433050</t>
        </is>
      </c>
      <c r="C1636" s="7" t="inlineStr">
        <is>
          <t>EQUALIV OMEGA 3 X90 CAP</t>
        </is>
      </c>
      <c r="D1636" s="7" t="inlineStr">
        <is>
          <t>VITAMINA E SIMILARES</t>
        </is>
      </c>
      <c r="E1636" s="7" t="inlineStr">
        <is>
          <t>C</t>
        </is>
      </c>
      <c r="F1636" s="13" t="n">
        <v>2</v>
      </c>
      <c r="G1636" s="13" t="n">
        <v>2</v>
      </c>
      <c r="H1636" s="8" t="n">
        <v>39.82</v>
      </c>
      <c r="I1636" s="8" t="n">
        <v>39.82</v>
      </c>
      <c r="J1636" s="8" t="n">
        <v>39.82</v>
      </c>
      <c r="K1636" s="8" t="n"/>
      <c r="L1636" s="8" t="n"/>
      <c r="M1636" s="8" t="n"/>
      <c r="N1636" s="8" t="n"/>
      <c r="O1636" s="8" t="n"/>
      <c r="P1636" s="8" t="n"/>
      <c r="Q1636" s="8" t="n"/>
      <c r="R1636" s="8" t="n"/>
      <c r="S1636" s="8" t="n"/>
      <c r="T1636" s="7" t="inlineStr">
        <is>
          <t>SEM COTAÇÃO</t>
        </is>
      </c>
      <c r="U1636" s="8" t="n"/>
      <c r="V1636" s="14" t="n"/>
      <c r="W1636" s="14" t="n"/>
      <c r="X1636" s="7" t="inlineStr"/>
      <c r="Y1636" s="7" t="inlineStr"/>
    </row>
    <row r="1637">
      <c r="A1637" s="7" t="n">
        <v>630301</v>
      </c>
      <c r="B1637" s="12" t="inlineStr">
        <is>
          <t>7898946434316</t>
        </is>
      </c>
      <c r="C1637" s="7" t="inlineStr">
        <is>
          <t>EQUALIV OMEGA MIX X60 CAP</t>
        </is>
      </c>
      <c r="D1637" s="7" t="inlineStr">
        <is>
          <t>VITAMINA E SIMILARES</t>
        </is>
      </c>
      <c r="E1637" s="7" t="inlineStr">
        <is>
          <t>C</t>
        </is>
      </c>
      <c r="F1637" s="13" t="n">
        <v>1</v>
      </c>
      <c r="G1637" s="13" t="n">
        <v>1</v>
      </c>
      <c r="H1637" s="8" t="n">
        <v>39.82</v>
      </c>
      <c r="I1637" s="8" t="n">
        <v>39.82</v>
      </c>
      <c r="J1637" s="8" t="n">
        <v>39.82</v>
      </c>
      <c r="K1637" s="8" t="n"/>
      <c r="L1637" s="8" t="n"/>
      <c r="M1637" s="8" t="n"/>
      <c r="N1637" s="8" t="n"/>
      <c r="O1637" s="8" t="n"/>
      <c r="P1637" s="8" t="n"/>
      <c r="Q1637" s="8" t="n"/>
      <c r="R1637" s="8" t="n"/>
      <c r="S1637" s="8" t="n"/>
      <c r="T1637" s="7" t="inlineStr">
        <is>
          <t>SEM COTAÇÃO</t>
        </is>
      </c>
      <c r="U1637" s="8" t="n"/>
      <c r="V1637" s="14" t="n"/>
      <c r="W1637" s="14" t="n"/>
      <c r="X1637" s="7" t="inlineStr"/>
      <c r="Y1637" s="7" t="inlineStr"/>
    </row>
    <row r="1638">
      <c r="A1638" s="7" t="n">
        <v>646231</v>
      </c>
      <c r="B1638" s="12" t="inlineStr">
        <is>
          <t>7898687737707</t>
        </is>
      </c>
      <c r="C1638" s="7" t="inlineStr">
        <is>
          <t>EQUALIV VITAMINA C 1G X10 CPR</t>
        </is>
      </c>
      <c r="D1638" s="7" t="inlineStr">
        <is>
          <t>SIMILAR</t>
        </is>
      </c>
      <c r="E1638" s="7" t="inlineStr">
        <is>
          <t>C</t>
        </is>
      </c>
      <c r="F1638" s="13" t="n">
        <v>3</v>
      </c>
      <c r="G1638" s="13" t="n">
        <v>3</v>
      </c>
      <c r="H1638" s="8" t="n">
        <v>8.300000000000001</v>
      </c>
      <c r="I1638" s="8" t="n">
        <v>8.300000000000001</v>
      </c>
      <c r="J1638" s="8" t="n">
        <v>8.300000000000001</v>
      </c>
      <c r="K1638" s="8" t="n"/>
      <c r="L1638" s="8" t="n"/>
      <c r="M1638" s="8" t="n"/>
      <c r="N1638" s="8" t="n"/>
      <c r="O1638" s="8" t="n"/>
      <c r="P1638" s="8" t="n"/>
      <c r="Q1638" s="8" t="n"/>
      <c r="R1638" s="8" t="n"/>
      <c r="S1638" s="8" t="n"/>
      <c r="T1638" s="7" t="inlineStr">
        <is>
          <t>SEM COTAÇÃO</t>
        </is>
      </c>
      <c r="U1638" s="8" t="n"/>
      <c r="V1638" s="14" t="n"/>
      <c r="W1638" s="14" t="n"/>
      <c r="X1638" s="7" t="inlineStr"/>
      <c r="Y1638" s="7" t="inlineStr"/>
    </row>
    <row r="1639">
      <c r="A1639" s="7" t="n">
        <v>631181</v>
      </c>
      <c r="B1639" s="12" t="inlineStr">
        <is>
          <t>7898687737714</t>
        </is>
      </c>
      <c r="C1639" s="7" t="inlineStr">
        <is>
          <t>EQUALIV VITAMINA C 1G X30 CPR</t>
        </is>
      </c>
      <c r="D1639" s="7" t="inlineStr">
        <is>
          <t>VITAMINA E SIMILARES</t>
        </is>
      </c>
      <c r="E1639" s="7" t="inlineStr">
        <is>
          <t>C</t>
        </is>
      </c>
      <c r="F1639" s="13" t="n">
        <v>1</v>
      </c>
      <c r="G1639" s="13" t="n">
        <v>1</v>
      </c>
      <c r="H1639" s="8" t="n">
        <v>20.9</v>
      </c>
      <c r="I1639" s="8" t="n">
        <v>20.9</v>
      </c>
      <c r="J1639" s="8" t="n">
        <v>20.9</v>
      </c>
      <c r="K1639" s="8" t="n"/>
      <c r="L1639" s="8" t="n"/>
      <c r="M1639" s="8" t="n"/>
      <c r="N1639" s="8" t="n"/>
      <c r="O1639" s="8" t="n"/>
      <c r="P1639" s="8" t="n"/>
      <c r="Q1639" s="15" t="n">
        <v>35</v>
      </c>
      <c r="R1639" s="8" t="n"/>
      <c r="S1639" s="8" t="n"/>
      <c r="T1639" s="7" t="inlineStr">
        <is>
          <t>MEDCENTRO</t>
        </is>
      </c>
      <c r="U1639" s="8" t="n">
        <v>35</v>
      </c>
      <c r="V1639" s="14">
        <f>U1639/J1639-1</f>
        <v/>
      </c>
      <c r="W1639" s="14">
        <f>U1639/H1639-1</f>
        <v/>
      </c>
      <c r="X1639" s="16" t="inlineStr">
        <is>
          <t>ACIMA +67.5%</t>
        </is>
      </c>
      <c r="Y1639" s="7" t="inlineStr"/>
    </row>
    <row r="1640">
      <c r="A1640" s="7" t="n">
        <v>604961</v>
      </c>
      <c r="B1640" s="12" t="inlineStr">
        <is>
          <t>7898687731910</t>
        </is>
      </c>
      <c r="C1640" s="7" t="inlineStr">
        <is>
          <t>EQUALIV VITAMINA CDZ X30 CPR</t>
        </is>
      </c>
      <c r="D1640" s="7" t="inlineStr">
        <is>
          <t>VITAMINA E SIMILARES</t>
        </is>
      </c>
      <c r="E1640" s="7" t="inlineStr">
        <is>
          <t>C</t>
        </is>
      </c>
      <c r="F1640" s="13" t="n">
        <v>2</v>
      </c>
      <c r="G1640" s="13" t="n">
        <v>2</v>
      </c>
      <c r="H1640" s="8" t="n">
        <v>17.455</v>
      </c>
      <c r="I1640" s="8" t="n">
        <v>17.455</v>
      </c>
      <c r="J1640" s="8" t="n">
        <v>17.455</v>
      </c>
      <c r="K1640" s="8" t="n"/>
      <c r="L1640" s="8" t="n"/>
      <c r="M1640" s="8" t="n"/>
      <c r="N1640" s="8" t="n"/>
      <c r="O1640" s="8" t="n"/>
      <c r="P1640" s="8" t="n"/>
      <c r="Q1640" s="8" t="n"/>
      <c r="R1640" s="8" t="n"/>
      <c r="S1640" s="8" t="n"/>
      <c r="T1640" s="7" t="inlineStr">
        <is>
          <t>SEM COTAÇÃO</t>
        </is>
      </c>
      <c r="U1640" s="8" t="n"/>
      <c r="V1640" s="14" t="n"/>
      <c r="W1640" s="14" t="n"/>
      <c r="X1640" s="7" t="inlineStr"/>
      <c r="Y1640" s="7" t="inlineStr"/>
    </row>
    <row r="1641">
      <c r="A1641" s="7" t="n">
        <v>623691</v>
      </c>
      <c r="B1641" s="12" t="inlineStr">
        <is>
          <t>7896714274423</t>
        </is>
      </c>
      <c r="C1641" s="7" t="inlineStr">
        <is>
          <t>EQUILIBRISSE 420MG CX 10 COMP REV</t>
        </is>
      </c>
      <c r="D1641" s="7" t="inlineStr">
        <is>
          <t>SIMILAR</t>
        </is>
      </c>
      <c r="E1641" s="7" t="inlineStr">
        <is>
          <t>C</t>
        </is>
      </c>
      <c r="F1641" s="13" t="n">
        <v>4</v>
      </c>
      <c r="G1641" s="13" t="n">
        <v>4</v>
      </c>
      <c r="H1641" s="8" t="n">
        <v>9.81</v>
      </c>
      <c r="I1641" s="8" t="n">
        <v>9.56</v>
      </c>
      <c r="J1641" s="8" t="n">
        <v>9.726666666666667</v>
      </c>
      <c r="K1641" s="8" t="n"/>
      <c r="L1641" s="8" t="n"/>
      <c r="M1641" s="8" t="n"/>
      <c r="N1641" s="8" t="n"/>
      <c r="O1641" s="15" t="n">
        <v>9.81</v>
      </c>
      <c r="P1641" s="8" t="n"/>
      <c r="Q1641" s="8" t="n"/>
      <c r="R1641" s="8" t="n"/>
      <c r="S1641" s="8" t="n"/>
      <c r="T1641" s="7" t="inlineStr">
        <is>
          <t>TAPAJOS</t>
        </is>
      </c>
      <c r="U1641" s="8" t="n">
        <v>9.81</v>
      </c>
      <c r="V1641" s="14">
        <f>U1641/J1641-1</f>
        <v/>
      </c>
      <c r="W1641" s="14">
        <f>U1641/H1641-1</f>
        <v/>
      </c>
      <c r="X1641" s="17" t="inlineStr">
        <is>
          <t>OK (≤ últ. compra)</t>
        </is>
      </c>
      <c r="Y1641" s="7" t="inlineStr"/>
    </row>
    <row r="1642">
      <c r="A1642" s="7" t="n">
        <v>611991</v>
      </c>
      <c r="B1642" s="12" t="inlineStr">
        <is>
          <t>7898157722707</t>
        </is>
      </c>
      <c r="C1642" s="7" t="inlineStr">
        <is>
          <t>EQUIPO MACROGOTAS MOD L2 - M25</t>
        </is>
      </c>
      <c r="D1642" s="7" t="inlineStr">
        <is>
          <t>UTENSILIOS</t>
        </is>
      </c>
      <c r="E1642" s="7" t="inlineStr">
        <is>
          <t>C</t>
        </is>
      </c>
      <c r="F1642" s="13" t="n">
        <v>5</v>
      </c>
      <c r="G1642" s="13" t="n">
        <v>5</v>
      </c>
      <c r="H1642" s="8" t="n">
        <v>1.49</v>
      </c>
      <c r="I1642" s="8" t="n">
        <v>1.49</v>
      </c>
      <c r="J1642" s="8" t="n">
        <v>1.49</v>
      </c>
      <c r="K1642" s="15" t="n">
        <v>0.9</v>
      </c>
      <c r="L1642" s="8" t="n"/>
      <c r="M1642" s="8" t="n"/>
      <c r="N1642" s="8" t="n"/>
      <c r="O1642" s="8" t="n"/>
      <c r="P1642" s="8" t="n"/>
      <c r="Q1642" s="8" t="n"/>
      <c r="R1642" s="8" t="n"/>
      <c r="S1642" s="8" t="n"/>
      <c r="T1642" s="7" t="inlineStr">
        <is>
          <t>DIMEC</t>
        </is>
      </c>
      <c r="U1642" s="8" t="n">
        <v>0.9</v>
      </c>
      <c r="V1642" s="14">
        <f>U1642/J1642-1</f>
        <v/>
      </c>
      <c r="W1642" s="14">
        <f>U1642/H1642-1</f>
        <v/>
      </c>
      <c r="X1642" s="17" t="inlineStr">
        <is>
          <t>OK (≤ menor hist.)</t>
        </is>
      </c>
      <c r="Y1642" s="7" t="inlineStr"/>
    </row>
    <row r="1643">
      <c r="A1643" s="7" t="n">
        <v>645261</v>
      </c>
      <c r="B1643" s="12" t="inlineStr">
        <is>
          <t>7891024021590</t>
        </is>
      </c>
      <c r="C1643" s="7" t="inlineStr">
        <is>
          <t>ESC DEN COLGATE ULTRA SOFT</t>
        </is>
      </c>
      <c r="D1643" s="7" t="inlineStr">
        <is>
          <t>ORTODONTICO</t>
        </is>
      </c>
      <c r="E1643" s="7" t="inlineStr">
        <is>
          <t>A</t>
        </is>
      </c>
      <c r="F1643" s="13" t="n">
        <v>5</v>
      </c>
      <c r="G1643" s="13" t="n">
        <v>5</v>
      </c>
      <c r="H1643" s="8" t="n">
        <v>20.07</v>
      </c>
      <c r="I1643" s="8" t="n">
        <v>20.07</v>
      </c>
      <c r="J1643" s="8" t="n">
        <v>20.07</v>
      </c>
      <c r="K1643" s="8" t="n"/>
      <c r="L1643" s="8" t="n"/>
      <c r="M1643" s="8" t="n"/>
      <c r="N1643" s="8" t="n"/>
      <c r="O1643" s="8" t="n"/>
      <c r="P1643" s="15" t="n">
        <v>20.71</v>
      </c>
      <c r="Q1643" s="8" t="n"/>
      <c r="R1643" s="8" t="n"/>
      <c r="S1643" s="8" t="n"/>
      <c r="T1643" s="7" t="inlineStr">
        <is>
          <t>NAZARIA</t>
        </is>
      </c>
      <c r="U1643" s="8" t="n">
        <v>20.71</v>
      </c>
      <c r="V1643" s="14">
        <f>U1643/J1643-1</f>
        <v/>
      </c>
      <c r="W1643" s="14">
        <f>U1643/H1643-1</f>
        <v/>
      </c>
      <c r="X1643" s="16" t="inlineStr">
        <is>
          <t>ACIMA +3.2%</t>
        </is>
      </c>
      <c r="Y1643" s="7" t="inlineStr"/>
    </row>
    <row r="1644">
      <c r="A1644" s="7" t="n">
        <v>633971</v>
      </c>
      <c r="B1644" s="12" t="inlineStr">
        <is>
          <t>7891055380123</t>
        </is>
      </c>
      <c r="C1644" s="7" t="inlineStr">
        <is>
          <t>ESC DENT BL PLUS CONDOR BR</t>
        </is>
      </c>
      <c r="D1644" s="7" t="inlineStr">
        <is>
          <t>PERF/COSME</t>
        </is>
      </c>
      <c r="E1644" s="7" t="inlineStr">
        <is>
          <t>C</t>
        </is>
      </c>
      <c r="F1644" s="13" t="n">
        <v>4</v>
      </c>
      <c r="G1644" s="13" t="n">
        <v>4</v>
      </c>
      <c r="H1644" s="8" t="n">
        <v>2.75</v>
      </c>
      <c r="I1644" s="8" t="n">
        <v>2.75</v>
      </c>
      <c r="J1644" s="8" t="n">
        <v>2.75</v>
      </c>
      <c r="K1644" s="8" t="n"/>
      <c r="L1644" s="8" t="n"/>
      <c r="M1644" s="8" t="n"/>
      <c r="N1644" s="8" t="n"/>
      <c r="O1644" s="8" t="n"/>
      <c r="P1644" s="8" t="n"/>
      <c r="Q1644" s="8" t="n"/>
      <c r="R1644" s="8" t="n"/>
      <c r="S1644" s="8" t="n"/>
      <c r="T1644" s="7" t="inlineStr">
        <is>
          <t>SEM COTAÇÃO</t>
        </is>
      </c>
      <c r="U1644" s="8" t="n"/>
      <c r="V1644" s="14" t="n"/>
      <c r="W1644" s="14" t="n"/>
      <c r="X1644" s="7" t="inlineStr"/>
      <c r="Y1644" s="7" t="inlineStr"/>
    </row>
    <row r="1645">
      <c r="A1645" s="7" t="n">
        <v>629711</v>
      </c>
      <c r="B1645" s="12" t="inlineStr">
        <is>
          <t>7897217403044</t>
        </is>
      </c>
      <c r="C1645" s="7" t="inlineStr">
        <is>
          <t>ESC DENT HELLO KITTY 341 INF HK C/VENTOSA</t>
        </is>
      </c>
      <c r="D1645" s="7" t="inlineStr">
        <is>
          <t>PERF/COSME</t>
        </is>
      </c>
      <c r="E1645" s="7" t="inlineStr">
        <is>
          <t>C</t>
        </is>
      </c>
      <c r="F1645" s="13" t="n">
        <v>2</v>
      </c>
      <c r="G1645" s="13" t="n">
        <v>2</v>
      </c>
      <c r="H1645" s="8" t="n">
        <v>9.779999999999999</v>
      </c>
      <c r="I1645" s="8" t="n">
        <v>9.779999999999999</v>
      </c>
      <c r="J1645" s="8" t="n">
        <v>9.779999999999999</v>
      </c>
      <c r="K1645" s="8" t="n"/>
      <c r="L1645" s="8" t="n"/>
      <c r="M1645" s="8" t="n"/>
      <c r="N1645" s="8" t="n"/>
      <c r="O1645" s="8" t="n"/>
      <c r="P1645" s="8" t="n"/>
      <c r="Q1645" s="8" t="n"/>
      <c r="R1645" s="8" t="n"/>
      <c r="S1645" s="8" t="n"/>
      <c r="T1645" s="7" t="inlineStr">
        <is>
          <t>SEM COTAÇÃO</t>
        </is>
      </c>
      <c r="U1645" s="8" t="n"/>
      <c r="V1645" s="14" t="n"/>
      <c r="W1645" s="14" t="n"/>
      <c r="X1645" s="7" t="inlineStr"/>
      <c r="Y1645" s="7" t="inlineStr"/>
    </row>
    <row r="1646">
      <c r="A1646" s="7" t="n">
        <v>654111</v>
      </c>
      <c r="B1646" s="12" t="inlineStr">
        <is>
          <t>7897217403709</t>
        </is>
      </c>
      <c r="C1646" s="7" t="inlineStr">
        <is>
          <t>ESC DENT JADEPRO 030 POPMAX MACIA UN</t>
        </is>
      </c>
      <c r="D1646" s="7" t="inlineStr">
        <is>
          <t>ORTODONTICO</t>
        </is>
      </c>
      <c r="E1646" s="7" t="inlineStr">
        <is>
          <t>C</t>
        </is>
      </c>
      <c r="F1646" s="13" t="n">
        <v>4</v>
      </c>
      <c r="G1646" s="13" t="n">
        <v>4</v>
      </c>
      <c r="H1646" s="8" t="n">
        <v>2.98</v>
      </c>
      <c r="I1646" s="8" t="n">
        <v>2.98</v>
      </c>
      <c r="J1646" s="8" t="n">
        <v>2.98</v>
      </c>
      <c r="K1646" s="8" t="n"/>
      <c r="L1646" s="8" t="n"/>
      <c r="M1646" s="8" t="n"/>
      <c r="N1646" s="8" t="n"/>
      <c r="O1646" s="8" t="n"/>
      <c r="P1646" s="8" t="n"/>
      <c r="Q1646" s="8" t="n"/>
      <c r="R1646" s="8" t="n"/>
      <c r="S1646" s="8" t="n"/>
      <c r="T1646" s="7" t="inlineStr">
        <is>
          <t>SEM COTAÇÃO</t>
        </is>
      </c>
      <c r="U1646" s="8" t="n"/>
      <c r="V1646" s="14" t="n"/>
      <c r="W1646" s="14" t="n"/>
      <c r="X1646" s="7" t="inlineStr"/>
      <c r="Y1646" s="7" t="inlineStr"/>
    </row>
    <row r="1647">
      <c r="A1647" s="7" t="n">
        <v>654101</v>
      </c>
      <c r="B1647" s="12" t="inlineStr">
        <is>
          <t>7897217403402</t>
        </is>
      </c>
      <c r="C1647" s="7" t="inlineStr">
        <is>
          <t>ESC DENT JADEPRO 031 POPMAX MED UN</t>
        </is>
      </c>
      <c r="D1647" s="7" t="inlineStr">
        <is>
          <t>ORTODONTICO</t>
        </is>
      </c>
      <c r="E1647" s="7" t="inlineStr">
        <is>
          <t>C</t>
        </is>
      </c>
      <c r="F1647" s="13" t="n">
        <v>3</v>
      </c>
      <c r="G1647" s="13" t="n">
        <v>3</v>
      </c>
      <c r="H1647" s="8" t="n">
        <v>2.98</v>
      </c>
      <c r="I1647" s="8" t="n">
        <v>2.98</v>
      </c>
      <c r="J1647" s="8" t="n">
        <v>2.98</v>
      </c>
      <c r="K1647" s="8" t="n"/>
      <c r="L1647" s="8" t="n"/>
      <c r="M1647" s="8" t="n"/>
      <c r="N1647" s="8" t="n"/>
      <c r="O1647" s="8" t="n"/>
      <c r="P1647" s="8" t="n"/>
      <c r="Q1647" s="8" t="n"/>
      <c r="R1647" s="8" t="n"/>
      <c r="S1647" s="8" t="n"/>
      <c r="T1647" s="7" t="inlineStr">
        <is>
          <t>SEM COTAÇÃO</t>
        </is>
      </c>
      <c r="U1647" s="8" t="n"/>
      <c r="V1647" s="14" t="n"/>
      <c r="W1647" s="14" t="n"/>
      <c r="X1647" s="7" t="inlineStr"/>
      <c r="Y1647" s="7" t="inlineStr"/>
    </row>
    <row r="1648">
      <c r="A1648" s="7" t="n">
        <v>654091</v>
      </c>
      <c r="B1648" s="12" t="inlineStr">
        <is>
          <t>7897217400142</t>
        </is>
      </c>
      <c r="C1648" s="7" t="inlineStr">
        <is>
          <t>ESC DENT JADEPRO 310 MAGIC INFANTIL UN</t>
        </is>
      </c>
      <c r="D1648" s="7" t="inlineStr">
        <is>
          <t>ORTODONTICO</t>
        </is>
      </c>
      <c r="E1648" s="7" t="inlineStr">
        <is>
          <t>C</t>
        </is>
      </c>
      <c r="F1648" s="13" t="n">
        <v>2</v>
      </c>
      <c r="G1648" s="13" t="n">
        <v>2</v>
      </c>
      <c r="H1648" s="8" t="n">
        <v>6.8</v>
      </c>
      <c r="I1648" s="8" t="n">
        <v>6.8</v>
      </c>
      <c r="J1648" s="8" t="n">
        <v>6.8</v>
      </c>
      <c r="K1648" s="8" t="n"/>
      <c r="L1648" s="8" t="n"/>
      <c r="M1648" s="8" t="n"/>
      <c r="N1648" s="8" t="n"/>
      <c r="O1648" s="8" t="n"/>
      <c r="P1648" s="8" t="n"/>
      <c r="Q1648" s="8" t="n"/>
      <c r="R1648" s="8" t="n"/>
      <c r="S1648" s="8" t="n"/>
      <c r="T1648" s="7" t="inlineStr">
        <is>
          <t>SEM COTAÇÃO</t>
        </is>
      </c>
      <c r="U1648" s="8" t="n"/>
      <c r="V1648" s="14" t="n"/>
      <c r="W1648" s="14" t="n"/>
      <c r="X1648" s="7" t="inlineStr"/>
      <c r="Y1648" s="7" t="inlineStr"/>
    </row>
    <row r="1649">
      <c r="A1649" s="7" t="n">
        <v>633981</v>
      </c>
      <c r="B1649" s="12" t="inlineStr">
        <is>
          <t>7891055337301</t>
        </is>
      </c>
      <c r="C1649" s="7" t="inlineStr">
        <is>
          <t>ESC DENTAL CONDOR PLUS MACIA</t>
        </is>
      </c>
      <c r="D1649" s="7" t="inlineStr">
        <is>
          <t>PERF/COSME</t>
        </is>
      </c>
      <c r="E1649" s="7" t="inlineStr">
        <is>
          <t>C</t>
        </is>
      </c>
      <c r="F1649" s="13" t="n">
        <v>6</v>
      </c>
      <c r="G1649" s="13" t="n">
        <v>6</v>
      </c>
      <c r="H1649" s="8" t="n">
        <v>3.0383</v>
      </c>
      <c r="I1649" s="8" t="n">
        <v>3.0383</v>
      </c>
      <c r="J1649" s="8" t="n">
        <v>3.0383</v>
      </c>
      <c r="K1649" s="8" t="n"/>
      <c r="L1649" s="8" t="n"/>
      <c r="M1649" s="8" t="n"/>
      <c r="N1649" s="8" t="n"/>
      <c r="O1649" s="8" t="n"/>
      <c r="P1649" s="8" t="n"/>
      <c r="Q1649" s="8" t="n"/>
      <c r="R1649" s="8" t="n"/>
      <c r="S1649" s="8" t="n"/>
      <c r="T1649" s="7" t="inlineStr">
        <is>
          <t>SEM COTAÇÃO</t>
        </is>
      </c>
      <c r="U1649" s="8" t="n"/>
      <c r="V1649" s="14" t="n"/>
      <c r="W1649" s="14" t="n"/>
      <c r="X1649" s="7" t="inlineStr"/>
      <c r="Y1649" s="7" t="inlineStr"/>
    </row>
    <row r="1650">
      <c r="A1650" s="7" t="n">
        <v>594331</v>
      </c>
      <c r="B1650" s="12" t="inlineStr">
        <is>
          <t>070942005111</t>
        </is>
      </c>
      <c r="C1650" s="7" t="inlineStr">
        <is>
          <t>ESC INTERDENTAL GUMSOFT PICK</t>
        </is>
      </c>
      <c r="D1650" s="7" t="inlineStr">
        <is>
          <t>ORTODONTICO</t>
        </is>
      </c>
      <c r="E1650" s="7" t="inlineStr">
        <is>
          <t>C</t>
        </is>
      </c>
      <c r="F1650" s="13" t="n">
        <v>1</v>
      </c>
      <c r="G1650" s="13" t="n">
        <v>1</v>
      </c>
      <c r="H1650" s="8" t="n">
        <v>21.99</v>
      </c>
      <c r="I1650" s="8" t="n">
        <v>21.99</v>
      </c>
      <c r="J1650" s="8" t="n">
        <v>21.99</v>
      </c>
      <c r="K1650" s="8" t="n"/>
      <c r="L1650" s="8" t="n"/>
      <c r="M1650" s="8" t="n"/>
      <c r="N1650" s="8" t="n"/>
      <c r="O1650" s="8" t="n"/>
      <c r="P1650" s="15" t="n">
        <v>21.5616</v>
      </c>
      <c r="Q1650" s="8" t="n"/>
      <c r="R1650" s="8" t="n"/>
      <c r="S1650" s="8" t="n"/>
      <c r="T1650" s="7" t="inlineStr">
        <is>
          <t>NAZARIA</t>
        </is>
      </c>
      <c r="U1650" s="8" t="n">
        <v>21.5616</v>
      </c>
      <c r="V1650" s="14">
        <f>U1650/J1650-1</f>
        <v/>
      </c>
      <c r="W1650" s="14">
        <f>U1650/H1650-1</f>
        <v/>
      </c>
      <c r="X1650" s="17" t="inlineStr">
        <is>
          <t>OK (≤ menor hist.)</t>
        </is>
      </c>
      <c r="Y1650" s="7" t="inlineStr">
        <is>
          <t>NAZARIA: preços divergentes entre EANs (usado menor)</t>
        </is>
      </c>
    </row>
    <row r="1651">
      <c r="A1651" s="7" t="n">
        <v>577421</v>
      </c>
      <c r="B1651" s="12" t="inlineStr">
        <is>
          <t>7891055682029</t>
        </is>
      </c>
      <c r="C1651" s="7" t="inlineStr">
        <is>
          <t>ESC. CAB. CONDOR MARISA CB/MAD. UN</t>
        </is>
      </c>
      <c r="D1651" s="7" t="inlineStr">
        <is>
          <t>PERF/COSME</t>
        </is>
      </c>
      <c r="E1651" s="7" t="inlineStr">
        <is>
          <t>C</t>
        </is>
      </c>
      <c r="F1651" s="13" t="n">
        <v>1</v>
      </c>
      <c r="G1651" s="13" t="n">
        <v>1</v>
      </c>
      <c r="H1651" s="8" t="n">
        <v>16.53</v>
      </c>
      <c r="I1651" s="8" t="n">
        <v>16.53</v>
      </c>
      <c r="J1651" s="8" t="n">
        <v>16.53</v>
      </c>
      <c r="K1651" s="8" t="n"/>
      <c r="L1651" s="8" t="n"/>
      <c r="M1651" s="8" t="n"/>
      <c r="N1651" s="8" t="n"/>
      <c r="O1651" s="8" t="n"/>
      <c r="P1651" s="8" t="n"/>
      <c r="Q1651" s="8" t="n"/>
      <c r="R1651" s="8" t="n"/>
      <c r="S1651" s="8" t="n"/>
      <c r="T1651" s="7" t="inlineStr">
        <is>
          <t>SEM COTAÇÃO</t>
        </is>
      </c>
      <c r="U1651" s="8" t="n"/>
      <c r="V1651" s="14" t="n"/>
      <c r="W1651" s="14" t="n"/>
      <c r="X1651" s="7" t="inlineStr"/>
      <c r="Y1651" s="7" t="inlineStr"/>
    </row>
    <row r="1652">
      <c r="A1652" s="7" t="n">
        <v>585101</v>
      </c>
      <c r="B1652" s="12" t="inlineStr"/>
      <c r="C1652" s="7" t="inlineStr">
        <is>
          <t>ESC. ORAL B 123 MEDIA 3X1</t>
        </is>
      </c>
      <c r="D1652" s="7" t="inlineStr">
        <is>
          <t>PERF/COSME</t>
        </is>
      </c>
      <c r="E1652" s="7" t="inlineStr">
        <is>
          <t>B</t>
        </is>
      </c>
      <c r="F1652" s="13" t="n">
        <v>1</v>
      </c>
      <c r="G1652" s="13" t="n">
        <v>1</v>
      </c>
      <c r="H1652" s="8" t="n">
        <v>10.64</v>
      </c>
      <c r="I1652" s="8" t="n">
        <v>10.36</v>
      </c>
      <c r="J1652" s="8" t="n">
        <v>10.54666666666667</v>
      </c>
      <c r="K1652" s="8" t="n"/>
      <c r="L1652" s="8" t="n"/>
      <c r="M1652" s="8" t="n"/>
      <c r="N1652" s="8" t="n"/>
      <c r="O1652" s="8" t="n"/>
      <c r="P1652" s="8" t="n"/>
      <c r="Q1652" s="8" t="n"/>
      <c r="R1652" s="8" t="n"/>
      <c r="S1652" s="8" t="n"/>
      <c r="T1652" s="7" t="inlineStr">
        <is>
          <t>SEM COTAÇÃO</t>
        </is>
      </c>
      <c r="U1652" s="8" t="n"/>
      <c r="V1652" s="14" t="n"/>
      <c r="W1652" s="14" t="n"/>
      <c r="X1652" s="7" t="inlineStr"/>
      <c r="Y1652" s="7" t="inlineStr"/>
    </row>
    <row r="1653">
      <c r="A1653" s="7" t="n">
        <v>646911</v>
      </c>
      <c r="B1653" s="12" t="inlineStr">
        <is>
          <t>7896480657291</t>
        </is>
      </c>
      <c r="C1653" s="7" t="inlineStr">
        <is>
          <t>ESC.ENLACE EVOL.MAC</t>
        </is>
      </c>
      <c r="D1653" s="7" t="inlineStr">
        <is>
          <t>ORTODONTICO</t>
        </is>
      </c>
      <c r="E1653" s="7" t="inlineStr">
        <is>
          <t>C</t>
        </is>
      </c>
      <c r="F1653" s="13" t="n">
        <v>1</v>
      </c>
      <c r="G1653" s="13" t="n">
        <v>1</v>
      </c>
      <c r="H1653" s="8" t="n">
        <v>9.1867</v>
      </c>
      <c r="I1653" s="8" t="n">
        <v>9.1867</v>
      </c>
      <c r="J1653" s="8" t="n">
        <v>9.1867</v>
      </c>
      <c r="K1653" s="8" t="n"/>
      <c r="L1653" s="8" t="n"/>
      <c r="M1653" s="8" t="n"/>
      <c r="N1653" s="8" t="n"/>
      <c r="O1653" s="8" t="n"/>
      <c r="P1653" s="8" t="n"/>
      <c r="Q1653" s="8" t="n"/>
      <c r="R1653" s="8" t="n"/>
      <c r="S1653" s="8" t="n"/>
      <c r="T1653" s="7" t="inlineStr">
        <is>
          <t>SEM COTAÇÃO</t>
        </is>
      </c>
      <c r="U1653" s="8" t="n"/>
      <c r="V1653" s="14" t="n"/>
      <c r="W1653" s="14" t="n"/>
      <c r="X1653" s="7" t="inlineStr"/>
      <c r="Y1653" s="7" t="inlineStr"/>
    </row>
    <row r="1654">
      <c r="A1654" s="7" t="n">
        <v>617221</v>
      </c>
      <c r="B1654" s="12" t="inlineStr">
        <is>
          <t>7896512914859</t>
        </is>
      </c>
      <c r="C1654" s="7" t="inlineStr">
        <is>
          <t>ESCALDA PES PINK 5SACH 15GR</t>
        </is>
      </c>
      <c r="D1654" s="7" t="inlineStr">
        <is>
          <t>DESATIVADO</t>
        </is>
      </c>
      <c r="E1654" s="7" t="inlineStr">
        <is>
          <t>C</t>
        </is>
      </c>
      <c r="F1654" s="13" t="n">
        <v>2</v>
      </c>
      <c r="G1654" s="13" t="n">
        <v>2</v>
      </c>
      <c r="H1654" s="8" t="n">
        <v>12.6067</v>
      </c>
      <c r="I1654" s="8" t="n">
        <v>12.6067</v>
      </c>
      <c r="J1654" s="8" t="n">
        <v>12.6067</v>
      </c>
      <c r="K1654" s="8" t="n"/>
      <c r="L1654" s="8" t="n"/>
      <c r="M1654" s="8" t="n"/>
      <c r="N1654" s="8" t="n"/>
      <c r="O1654" s="8" t="n"/>
      <c r="P1654" s="15" t="n">
        <v>19.16</v>
      </c>
      <c r="Q1654" s="8" t="n"/>
      <c r="R1654" s="8" t="n"/>
      <c r="S1654" s="8" t="n"/>
      <c r="T1654" s="7" t="inlineStr">
        <is>
          <t>NAZARIA</t>
        </is>
      </c>
      <c r="U1654" s="8" t="n">
        <v>19.16</v>
      </c>
      <c r="V1654" s="14">
        <f>U1654/J1654-1</f>
        <v/>
      </c>
      <c r="W1654" s="14">
        <f>U1654/H1654-1</f>
        <v/>
      </c>
      <c r="X1654" s="16" t="inlineStr">
        <is>
          <t>ACIMA +52.0%</t>
        </is>
      </c>
      <c r="Y1654" s="7" t="inlineStr"/>
    </row>
    <row r="1655">
      <c r="A1655" s="7" t="n">
        <v>632391</v>
      </c>
      <c r="B1655" s="12" t="inlineStr">
        <is>
          <t>7891055655924</t>
        </is>
      </c>
      <c r="C1655" s="7" t="inlineStr">
        <is>
          <t>ESCOVA CAB+PENTE BABY BARBIE 6X1/6782/972716</t>
        </is>
      </c>
      <c r="D1655" s="7" t="inlineStr">
        <is>
          <t>BABY/KIDS</t>
        </is>
      </c>
      <c r="E1655" s="7" t="inlineStr">
        <is>
          <t>C</t>
        </is>
      </c>
      <c r="F1655" s="13" t="n">
        <v>1</v>
      </c>
      <c r="G1655" s="13" t="n">
        <v>1</v>
      </c>
      <c r="H1655" s="8" t="n">
        <v>14.51</v>
      </c>
      <c r="I1655" s="8" t="n">
        <v>14.51</v>
      </c>
      <c r="J1655" s="8" t="n">
        <v>14.51</v>
      </c>
      <c r="K1655" s="8" t="n"/>
      <c r="L1655" s="8" t="n"/>
      <c r="M1655" s="8" t="n"/>
      <c r="N1655" s="8" t="n"/>
      <c r="O1655" s="8" t="n"/>
      <c r="P1655" s="8" t="n"/>
      <c r="Q1655" s="8" t="n"/>
      <c r="R1655" s="8" t="n"/>
      <c r="S1655" s="8" t="n"/>
      <c r="T1655" s="7" t="inlineStr">
        <is>
          <t>SEM COTAÇÃO</t>
        </is>
      </c>
      <c r="U1655" s="8" t="n"/>
      <c r="V1655" s="14" t="n"/>
      <c r="W1655" s="14" t="n"/>
      <c r="X1655" s="7" t="inlineStr"/>
      <c r="Y1655" s="7" t="inlineStr"/>
    </row>
    <row r="1656">
      <c r="A1656" s="7" t="n">
        <v>632341</v>
      </c>
      <c r="B1656" s="12" t="inlineStr">
        <is>
          <t>7891055653500</t>
        </is>
      </c>
      <c r="C1656" s="7" t="inlineStr">
        <is>
          <t>ESCOVA DE CABELO FROZEN GOTA/9874/972436</t>
        </is>
      </c>
      <c r="D1656" s="7" t="inlineStr">
        <is>
          <t>PERF/COSME</t>
        </is>
      </c>
      <c r="E1656" s="7" t="inlineStr">
        <is>
          <t>C</t>
        </is>
      </c>
      <c r="F1656" s="13" t="n">
        <v>1</v>
      </c>
      <c r="G1656" s="13" t="n">
        <v>1</v>
      </c>
      <c r="H1656" s="8" t="n">
        <v>20.42</v>
      </c>
      <c r="I1656" s="8" t="n">
        <v>20.42</v>
      </c>
      <c r="J1656" s="8" t="n">
        <v>20.42</v>
      </c>
      <c r="K1656" s="8" t="n"/>
      <c r="L1656" s="8" t="n"/>
      <c r="M1656" s="8" t="n"/>
      <c r="N1656" s="8" t="n"/>
      <c r="O1656" s="8" t="n"/>
      <c r="P1656" s="8" t="n"/>
      <c r="Q1656" s="8" t="n"/>
      <c r="R1656" s="8" t="n"/>
      <c r="S1656" s="8" t="n"/>
      <c r="T1656" s="7" t="inlineStr">
        <is>
          <t>SEM COTAÇÃO</t>
        </is>
      </c>
      <c r="U1656" s="8" t="n"/>
      <c r="V1656" s="14" t="n"/>
      <c r="W1656" s="14" t="n"/>
      <c r="X1656" s="7" t="inlineStr"/>
      <c r="Y1656" s="7" t="inlineStr"/>
    </row>
    <row r="1657">
      <c r="A1657" s="7" t="n">
        <v>632331</v>
      </c>
      <c r="B1657" s="12" t="inlineStr">
        <is>
          <t>7891055653401</t>
        </is>
      </c>
      <c r="C1657" s="7" t="inlineStr">
        <is>
          <t>ESCOVA DE CABELO FROZEN OVAL/9873/972435</t>
        </is>
      </c>
      <c r="D1657" s="7" t="inlineStr">
        <is>
          <t>BABY/KIDS</t>
        </is>
      </c>
      <c r="E1657" s="7" t="inlineStr">
        <is>
          <t>C</t>
        </is>
      </c>
      <c r="F1657" s="13" t="n">
        <v>1</v>
      </c>
      <c r="G1657" s="13" t="n">
        <v>1</v>
      </c>
      <c r="H1657" s="8" t="n">
        <v>15.65</v>
      </c>
      <c r="I1657" s="8" t="n">
        <v>15.65</v>
      </c>
      <c r="J1657" s="8" t="n">
        <v>15.65</v>
      </c>
      <c r="K1657" s="8" t="n"/>
      <c r="L1657" s="8" t="n"/>
      <c r="M1657" s="8" t="n"/>
      <c r="N1657" s="8" t="n"/>
      <c r="O1657" s="8" t="n"/>
      <c r="P1657" s="8" t="n"/>
      <c r="Q1657" s="8" t="n"/>
      <c r="R1657" s="8" t="n"/>
      <c r="S1657" s="8" t="n"/>
      <c r="T1657" s="7" t="inlineStr">
        <is>
          <t>SEM COTAÇÃO</t>
        </is>
      </c>
      <c r="U1657" s="8" t="n"/>
      <c r="V1657" s="14" t="n"/>
      <c r="W1657" s="14" t="n"/>
      <c r="X1657" s="7" t="inlineStr"/>
      <c r="Y1657" s="7" t="inlineStr"/>
    </row>
    <row r="1658">
      <c r="A1658" s="7" t="n">
        <v>629681</v>
      </c>
      <c r="B1658" s="12" t="inlineStr"/>
      <c r="C1658" s="7" t="inlineStr">
        <is>
          <t>ESCOVA DENT BS ACTION - MEDIA 1UN</t>
        </is>
      </c>
      <c r="D1658" s="7" t="inlineStr">
        <is>
          <t>PERF/COSME</t>
        </is>
      </c>
      <c r="E1658" s="7" t="inlineStr">
        <is>
          <t>B</t>
        </is>
      </c>
      <c r="F1658" s="13" t="n">
        <v>1</v>
      </c>
      <c r="G1658" s="13" t="n">
        <v>1</v>
      </c>
      <c r="H1658" s="8" t="n">
        <v>2.95</v>
      </c>
      <c r="I1658" s="8" t="n">
        <v>2.95</v>
      </c>
      <c r="J1658" s="8" t="n">
        <v>2.950000000000001</v>
      </c>
      <c r="K1658" s="8" t="n"/>
      <c r="L1658" s="8" t="n"/>
      <c r="M1658" s="8" t="n"/>
      <c r="N1658" s="8" t="n"/>
      <c r="O1658" s="8" t="n"/>
      <c r="P1658" s="8" t="n"/>
      <c r="Q1658" s="8" t="n"/>
      <c r="R1658" s="8" t="n"/>
      <c r="S1658" s="8" t="n"/>
      <c r="T1658" s="7" t="inlineStr">
        <is>
          <t>SEM COTAÇÃO</t>
        </is>
      </c>
      <c r="U1658" s="8" t="n"/>
      <c r="V1658" s="14" t="n"/>
      <c r="W1658" s="14" t="n"/>
      <c r="X1658" s="7" t="inlineStr"/>
      <c r="Y1658" s="7" t="inlineStr"/>
    </row>
    <row r="1659">
      <c r="A1659" s="7" t="n">
        <v>608101</v>
      </c>
      <c r="B1659" s="12" t="inlineStr"/>
      <c r="C1659" s="7" t="inlineStr">
        <is>
          <t>ESCOVA DENT JUNIOR P MACIA (2540) 01UN</t>
        </is>
      </c>
      <c r="D1659" s="7" t="inlineStr">
        <is>
          <t>PERF/COSME</t>
        </is>
      </c>
      <c r="E1659" s="7" t="inlineStr">
        <is>
          <t>C</t>
        </is>
      </c>
      <c r="F1659" s="13" t="n">
        <v>1</v>
      </c>
      <c r="G1659" s="13" t="n">
        <v>1</v>
      </c>
      <c r="H1659" s="8" t="n">
        <v>2.4</v>
      </c>
      <c r="I1659" s="8" t="n">
        <v>2.4</v>
      </c>
      <c r="J1659" s="8" t="n">
        <v>2.4</v>
      </c>
      <c r="K1659" s="8" t="n"/>
      <c r="L1659" s="8" t="n"/>
      <c r="M1659" s="8" t="n"/>
      <c r="N1659" s="8" t="n"/>
      <c r="O1659" s="8" t="n"/>
      <c r="P1659" s="8" t="n"/>
      <c r="Q1659" s="8" t="n"/>
      <c r="R1659" s="8" t="n"/>
      <c r="S1659" s="8" t="n"/>
      <c r="T1659" s="7" t="inlineStr">
        <is>
          <t>SEM COTAÇÃO</t>
        </is>
      </c>
      <c r="U1659" s="8" t="n"/>
      <c r="V1659" s="14" t="n"/>
      <c r="W1659" s="14" t="n"/>
      <c r="X1659" s="7" t="inlineStr"/>
      <c r="Y1659" s="7" t="inlineStr"/>
    </row>
    <row r="1660">
      <c r="A1660" s="7" t="n">
        <v>612831</v>
      </c>
      <c r="B1660" s="12" t="inlineStr">
        <is>
          <t>7897517925086</t>
        </is>
      </c>
      <c r="C1660" s="7" t="inlineStr">
        <is>
          <t>ESCOVA DENT KESS BASIC TDB MACIA UN</t>
        </is>
      </c>
      <c r="D1660" s="7" t="inlineStr">
        <is>
          <t>PERF/COSME</t>
        </is>
      </c>
      <c r="E1660" s="7" t="inlineStr">
        <is>
          <t>C</t>
        </is>
      </c>
      <c r="F1660" s="13" t="n">
        <v>3</v>
      </c>
      <c r="G1660" s="13" t="n">
        <v>3</v>
      </c>
      <c r="H1660" s="8" t="n">
        <v>2.95</v>
      </c>
      <c r="I1660" s="8" t="n">
        <v>2.95</v>
      </c>
      <c r="J1660" s="8" t="n">
        <v>2.950000000000001</v>
      </c>
      <c r="K1660" s="8" t="n"/>
      <c r="L1660" s="8" t="n"/>
      <c r="M1660" s="8" t="n"/>
      <c r="N1660" s="8" t="n"/>
      <c r="O1660" s="8" t="n"/>
      <c r="P1660" s="8" t="n"/>
      <c r="Q1660" s="8" t="n"/>
      <c r="R1660" s="8" t="n"/>
      <c r="S1660" s="8" t="n"/>
      <c r="T1660" s="7" t="inlineStr">
        <is>
          <t>SEM COTAÇÃO</t>
        </is>
      </c>
      <c r="U1660" s="8" t="n"/>
      <c r="V1660" s="14" t="n"/>
      <c r="W1660" s="14" t="n"/>
      <c r="X1660" s="7" t="inlineStr"/>
      <c r="Y1660" s="7" t="inlineStr"/>
    </row>
    <row r="1661">
      <c r="A1661" s="7" t="n">
        <v>612821</v>
      </c>
      <c r="B1661" s="12" t="inlineStr">
        <is>
          <t>7897517921002</t>
        </is>
      </c>
      <c r="C1661" s="7" t="inlineStr">
        <is>
          <t>ESCOVA DENT KESS DENTINHO</t>
        </is>
      </c>
      <c r="D1661" s="7" t="inlineStr">
        <is>
          <t>PERF/COSME</t>
        </is>
      </c>
      <c r="E1661" s="7" t="inlineStr">
        <is>
          <t>A</t>
        </is>
      </c>
      <c r="F1661" s="13" t="n">
        <v>7</v>
      </c>
      <c r="G1661" s="13" t="n">
        <v>7</v>
      </c>
      <c r="H1661" s="8" t="n">
        <v>7.79</v>
      </c>
      <c r="I1661" s="8" t="n">
        <v>7.36</v>
      </c>
      <c r="J1661" s="8" t="n">
        <v>7.503333333333334</v>
      </c>
      <c r="K1661" s="8" t="n"/>
      <c r="L1661" s="8" t="n"/>
      <c r="M1661" s="8" t="n"/>
      <c r="N1661" s="8" t="n"/>
      <c r="O1661" s="8" t="n"/>
      <c r="P1661" s="8" t="n"/>
      <c r="Q1661" s="8" t="n"/>
      <c r="R1661" s="8" t="n"/>
      <c r="S1661" s="8" t="n"/>
      <c r="T1661" s="7" t="inlineStr">
        <is>
          <t>SEM COTAÇÃO</t>
        </is>
      </c>
      <c r="U1661" s="8" t="n"/>
      <c r="V1661" s="14" t="n"/>
      <c r="W1661" s="14" t="n"/>
      <c r="X1661" s="7" t="inlineStr"/>
      <c r="Y1661" s="7" t="inlineStr"/>
    </row>
    <row r="1662">
      <c r="A1662" s="7" t="n">
        <v>620981</v>
      </c>
      <c r="B1662" s="12" t="inlineStr">
        <is>
          <t>7897517920876</t>
        </is>
      </c>
      <c r="C1662" s="7" t="inlineStr">
        <is>
          <t>ESCOVA DENT KESS PRO MACIA (2087) 12X01UN</t>
        </is>
      </c>
      <c r="D1662" s="7" t="inlineStr">
        <is>
          <t>PERF/COSME</t>
        </is>
      </c>
      <c r="E1662" s="7" t="inlineStr">
        <is>
          <t>C</t>
        </is>
      </c>
      <c r="F1662" s="13" t="n">
        <v>2</v>
      </c>
      <c r="G1662" s="13" t="n">
        <v>2</v>
      </c>
      <c r="H1662" s="8" t="n">
        <v>11.95</v>
      </c>
      <c r="I1662" s="8" t="n">
        <v>11.95</v>
      </c>
      <c r="J1662" s="8" t="n">
        <v>11.95</v>
      </c>
      <c r="K1662" s="8" t="n"/>
      <c r="L1662" s="8" t="n"/>
      <c r="M1662" s="8" t="n"/>
      <c r="N1662" s="8" t="n"/>
      <c r="O1662" s="8" t="n"/>
      <c r="P1662" s="8" t="n"/>
      <c r="Q1662" s="8" t="n"/>
      <c r="R1662" s="8" t="n"/>
      <c r="S1662" s="8" t="n"/>
      <c r="T1662" s="7" t="inlineStr">
        <is>
          <t>SEM COTAÇÃO</t>
        </is>
      </c>
      <c r="U1662" s="8" t="n"/>
      <c r="V1662" s="14" t="n"/>
      <c r="W1662" s="14" t="n"/>
      <c r="X1662" s="7" t="inlineStr"/>
      <c r="Y1662" s="7" t="inlineStr"/>
    </row>
    <row r="1663">
      <c r="A1663" s="7" t="n">
        <v>484</v>
      </c>
      <c r="B1663" s="12" t="inlineStr">
        <is>
          <t>7509546688091</t>
        </is>
      </c>
      <c r="C1663" s="7" t="inlineStr">
        <is>
          <t>ESCOVA DENTAL COLGATE COLORS C/2</t>
        </is>
      </c>
      <c r="D1663" s="7" t="inlineStr">
        <is>
          <t>PERF/COSME</t>
        </is>
      </c>
      <c r="E1663" s="7" t="inlineStr">
        <is>
          <t>B</t>
        </is>
      </c>
      <c r="F1663" s="13" t="n">
        <v>1</v>
      </c>
      <c r="G1663" s="13" t="n">
        <v>1</v>
      </c>
      <c r="H1663" s="8" t="n">
        <v>6.4283</v>
      </c>
      <c r="I1663" s="8" t="n">
        <v>6.4283</v>
      </c>
      <c r="J1663" s="8" t="n">
        <v>6.4283</v>
      </c>
      <c r="K1663" s="8" t="n"/>
      <c r="L1663" s="8" t="n"/>
      <c r="M1663" s="8" t="n"/>
      <c r="N1663" s="8" t="n"/>
      <c r="O1663" s="8" t="n"/>
      <c r="P1663" s="8" t="n">
        <v>7.78</v>
      </c>
      <c r="Q1663" s="8" t="n"/>
      <c r="R1663" s="8" t="n"/>
      <c r="S1663" s="8" t="n"/>
      <c r="T1663" s="7" t="inlineStr">
        <is>
          <t>SEM COTAÇÃO</t>
        </is>
      </c>
      <c r="U1663" s="8" t="n"/>
      <c r="V1663" s="14" t="n"/>
      <c r="W1663" s="14" t="n"/>
      <c r="X1663" s="7" t="inlineStr"/>
      <c r="Y1663" s="7" t="inlineStr">
        <is>
          <t>NAZARIA: sem estoque</t>
        </is>
      </c>
    </row>
    <row r="1664">
      <c r="A1664" s="7" t="n">
        <v>264</v>
      </c>
      <c r="B1664" s="12" t="inlineStr">
        <is>
          <t>7891010925543</t>
        </is>
      </c>
      <c r="C1664" s="7" t="inlineStr">
        <is>
          <t>ESCOVA DENTAL ECO</t>
        </is>
      </c>
      <c r="D1664" s="7" t="inlineStr">
        <is>
          <t>ORTODONTICO</t>
        </is>
      </c>
      <c r="E1664" s="7" t="inlineStr">
        <is>
          <t>C</t>
        </is>
      </c>
      <c r="F1664" s="13" t="n">
        <v>1</v>
      </c>
      <c r="G1664" s="13" t="n">
        <v>1</v>
      </c>
      <c r="H1664" s="8" t="n"/>
      <c r="I1664" s="8" t="n"/>
      <c r="J1664" s="8" t="n"/>
      <c r="K1664" s="8" t="n"/>
      <c r="L1664" s="8" t="n"/>
      <c r="M1664" s="8" t="n"/>
      <c r="N1664" s="8" t="n"/>
      <c r="O1664" s="8" t="n"/>
      <c r="P1664" s="8" t="n"/>
      <c r="Q1664" s="8" t="n"/>
      <c r="R1664" s="8" t="n"/>
      <c r="S1664" s="8" t="n"/>
      <c r="T1664" s="7" t="inlineStr">
        <is>
          <t>SEM COTAÇÃO</t>
        </is>
      </c>
      <c r="U1664" s="8" t="n"/>
      <c r="V1664" s="14" t="n"/>
      <c r="W1664" s="14" t="n"/>
      <c r="X1664" s="7" t="inlineStr"/>
      <c r="Y1664" s="7" t="inlineStr"/>
    </row>
    <row r="1665">
      <c r="A1665" s="7" t="n">
        <v>559621</v>
      </c>
      <c r="B1665" s="12" t="inlineStr">
        <is>
          <t>7897217402108</t>
        </is>
      </c>
      <c r="C1665" s="7" t="inlineStr">
        <is>
          <t>ESCOVA DENTAL JADEFROG HELLO KIT</t>
        </is>
      </c>
      <c r="D1665" s="7" t="inlineStr">
        <is>
          <t>PERF/COSME</t>
        </is>
      </c>
      <c r="E1665" s="7" t="inlineStr">
        <is>
          <t>C</t>
        </is>
      </c>
      <c r="F1665" s="13" t="n">
        <v>1</v>
      </c>
      <c r="G1665" s="13" t="n">
        <v>1</v>
      </c>
      <c r="H1665" s="8" t="n">
        <v>10.97</v>
      </c>
      <c r="I1665" s="8" t="n">
        <v>10.97</v>
      </c>
      <c r="J1665" s="8" t="n">
        <v>10.97</v>
      </c>
      <c r="K1665" s="8" t="n"/>
      <c r="L1665" s="8" t="n"/>
      <c r="M1665" s="8" t="n"/>
      <c r="N1665" s="8" t="n"/>
      <c r="O1665" s="8" t="n"/>
      <c r="P1665" s="8" t="n"/>
      <c r="Q1665" s="8" t="n"/>
      <c r="R1665" s="8" t="n"/>
      <c r="S1665" s="8" t="n"/>
      <c r="T1665" s="7" t="inlineStr">
        <is>
          <t>SEM COTAÇÃO</t>
        </is>
      </c>
      <c r="U1665" s="8" t="n"/>
      <c r="V1665" s="14" t="n"/>
      <c r="W1665" s="14" t="n"/>
      <c r="X1665" s="7" t="inlineStr"/>
      <c r="Y1665" s="7" t="inlineStr"/>
    </row>
    <row r="1666">
      <c r="A1666" s="7" t="n">
        <v>549701</v>
      </c>
      <c r="B1666" s="12" t="inlineStr">
        <is>
          <t>7500435134415</t>
        </is>
      </c>
      <c r="C1666" s="7" t="inlineStr">
        <is>
          <t>ESCOVA DENTAL MÉDIA ORAL-B PRO</t>
        </is>
      </c>
      <c r="D1666" s="7" t="inlineStr">
        <is>
          <t>ORTODONTICO</t>
        </is>
      </c>
      <c r="E1666" s="7" t="inlineStr">
        <is>
          <t>C</t>
        </is>
      </c>
      <c r="F1666" s="13" t="n">
        <v>2</v>
      </c>
      <c r="G1666" s="13" t="n">
        <v>2</v>
      </c>
      <c r="H1666" s="8" t="n">
        <v>3.51</v>
      </c>
      <c r="I1666" s="8" t="n">
        <v>3.51</v>
      </c>
      <c r="J1666" s="8" t="n">
        <v>3.51</v>
      </c>
      <c r="K1666" s="8" t="n"/>
      <c r="L1666" s="8" t="n"/>
      <c r="M1666" s="8" t="n"/>
      <c r="N1666" s="8" t="n"/>
      <c r="O1666" s="8" t="n"/>
      <c r="P1666" s="8" t="n"/>
      <c r="Q1666" s="8" t="n"/>
      <c r="R1666" s="8" t="n"/>
      <c r="S1666" s="8" t="n"/>
      <c r="T1666" s="7" t="inlineStr">
        <is>
          <t>SEM COTAÇÃO</t>
        </is>
      </c>
      <c r="U1666" s="8" t="n"/>
      <c r="V1666" s="14" t="n"/>
      <c r="W1666" s="14" t="n"/>
      <c r="X1666" s="7" t="inlineStr"/>
      <c r="Y1666" s="7" t="inlineStr"/>
    </row>
    <row r="1667">
      <c r="A1667" s="7" t="n">
        <v>626101</v>
      </c>
      <c r="B1667" s="12" t="inlineStr">
        <is>
          <t>070942123402</t>
        </is>
      </c>
      <c r="C1667" s="7" t="inlineStr">
        <is>
          <t>ESCOVA INFANTIL CRAYOLA 1UN</t>
        </is>
      </c>
      <c r="D1667" s="7" t="inlineStr">
        <is>
          <t>ORTODONTICO</t>
        </is>
      </c>
      <c r="E1667" s="7" t="inlineStr">
        <is>
          <t>C</t>
        </is>
      </c>
      <c r="F1667" s="13" t="n">
        <v>1</v>
      </c>
      <c r="G1667" s="13" t="n">
        <v>1</v>
      </c>
      <c r="H1667" s="8" t="n">
        <v>9.416700000000001</v>
      </c>
      <c r="I1667" s="8" t="n">
        <v>9.416700000000001</v>
      </c>
      <c r="J1667" s="8" t="n">
        <v>9.416700000000001</v>
      </c>
      <c r="K1667" s="8" t="n"/>
      <c r="L1667" s="8" t="n"/>
      <c r="M1667" s="8" t="n"/>
      <c r="N1667" s="8" t="n"/>
      <c r="O1667" s="8" t="n"/>
      <c r="P1667" s="8" t="n">
        <v>12.5376</v>
      </c>
      <c r="Q1667" s="8" t="n"/>
      <c r="R1667" s="8" t="n"/>
      <c r="S1667" s="8" t="n"/>
      <c r="T1667" s="7" t="inlineStr">
        <is>
          <t>SEM COTAÇÃO</t>
        </is>
      </c>
      <c r="U1667" s="8" t="n"/>
      <c r="V1667" s="14" t="n"/>
      <c r="W1667" s="14" t="n"/>
      <c r="X1667" s="7" t="inlineStr"/>
      <c r="Y1667" s="7" t="inlineStr">
        <is>
          <t>NAZARIA: sem estoque</t>
        </is>
      </c>
    </row>
    <row r="1668">
      <c r="A1668" s="7" t="n">
        <v>672401</v>
      </c>
      <c r="B1668" s="12" t="inlineStr">
        <is>
          <t>7897517919900</t>
        </is>
      </c>
      <c r="C1668" s="7" t="inlineStr">
        <is>
          <t>ESCOVA INTERDENTAL C/4 REFIS 1990</t>
        </is>
      </c>
      <c r="D1668" s="7" t="inlineStr">
        <is>
          <t>ORTODONTICO</t>
        </is>
      </c>
      <c r="E1668" s="7" t="inlineStr">
        <is>
          <t>B</t>
        </is>
      </c>
      <c r="F1668" s="13" t="n">
        <v>3</v>
      </c>
      <c r="G1668" s="13" t="n">
        <v>3</v>
      </c>
      <c r="H1668" s="8" t="n">
        <v>8.58</v>
      </c>
      <c r="I1668" s="8" t="n">
        <v>8.58</v>
      </c>
      <c r="J1668" s="8" t="n">
        <v>8.58</v>
      </c>
      <c r="K1668" s="8" t="n"/>
      <c r="L1668" s="8" t="n"/>
      <c r="M1668" s="8" t="n"/>
      <c r="N1668" s="8" t="n"/>
      <c r="O1668" s="8" t="n"/>
      <c r="P1668" s="8" t="n"/>
      <c r="Q1668" s="8" t="n"/>
      <c r="R1668" s="8" t="n"/>
      <c r="S1668" s="8" t="n"/>
      <c r="T1668" s="7" t="inlineStr">
        <is>
          <t>SEM COTAÇÃO</t>
        </is>
      </c>
      <c r="U1668" s="8" t="n"/>
      <c r="V1668" s="14" t="n"/>
      <c r="W1668" s="14" t="n"/>
      <c r="X1668" s="7" t="inlineStr"/>
      <c r="Y1668" s="7" t="inlineStr"/>
    </row>
    <row r="1669">
      <c r="A1669" s="7" t="n">
        <v>598871</v>
      </c>
      <c r="B1669" s="12" t="inlineStr">
        <is>
          <t>7897517901707</t>
        </is>
      </c>
      <c r="C1669" s="7" t="inlineStr">
        <is>
          <t>ESCOVA RICCA CRYSTAL RETANG. C/ALMOFADA UN</t>
        </is>
      </c>
      <c r="D1669" s="7" t="inlineStr">
        <is>
          <t>PERF/COSME</t>
        </is>
      </c>
      <c r="E1669" s="7" t="inlineStr">
        <is>
          <t>C</t>
        </is>
      </c>
      <c r="F1669" s="13" t="n">
        <v>1</v>
      </c>
      <c r="G1669" s="13" t="n">
        <v>1</v>
      </c>
      <c r="H1669" s="8" t="n">
        <v>36.65</v>
      </c>
      <c r="I1669" s="8" t="n">
        <v>36.65</v>
      </c>
      <c r="J1669" s="8" t="n">
        <v>36.65</v>
      </c>
      <c r="K1669" s="8" t="n"/>
      <c r="L1669" s="8" t="n"/>
      <c r="M1669" s="8" t="n"/>
      <c r="N1669" s="8" t="n"/>
      <c r="O1669" s="8" t="n"/>
      <c r="P1669" s="8" t="n"/>
      <c r="Q1669" s="8" t="n"/>
      <c r="R1669" s="8" t="n"/>
      <c r="S1669" s="8" t="n"/>
      <c r="T1669" s="7" t="inlineStr">
        <is>
          <t>SEM COTAÇÃO</t>
        </is>
      </c>
      <c r="U1669" s="8" t="n"/>
      <c r="V1669" s="14" t="n"/>
      <c r="W1669" s="14" t="n"/>
      <c r="X1669" s="7" t="inlineStr"/>
      <c r="Y1669" s="7" t="inlineStr"/>
    </row>
    <row r="1670">
      <c r="A1670" s="7" t="n">
        <v>633551</v>
      </c>
      <c r="B1670" s="12" t="inlineStr">
        <is>
          <t>7897517924270</t>
        </is>
      </c>
      <c r="C1670" s="7" t="inlineStr">
        <is>
          <t>ESCOVA RICCA PINK ALMOFADADA 01UN</t>
        </is>
      </c>
      <c r="D1670" s="7" t="inlineStr">
        <is>
          <t>PERF/COSME</t>
        </is>
      </c>
      <c r="E1670" s="7" t="inlineStr">
        <is>
          <t>C</t>
        </is>
      </c>
      <c r="F1670" s="13" t="n">
        <v>1</v>
      </c>
      <c r="G1670" s="13" t="n">
        <v>1</v>
      </c>
      <c r="H1670" s="8" t="n">
        <v>14.99</v>
      </c>
      <c r="I1670" s="8" t="n">
        <v>14.99</v>
      </c>
      <c r="J1670" s="8" t="n">
        <v>14.99</v>
      </c>
      <c r="K1670" s="8" t="n"/>
      <c r="L1670" s="8" t="n"/>
      <c r="M1670" s="8" t="n"/>
      <c r="N1670" s="8" t="n"/>
      <c r="O1670" s="8" t="n"/>
      <c r="P1670" s="8" t="n"/>
      <c r="Q1670" s="8" t="n"/>
      <c r="R1670" s="8" t="n"/>
      <c r="S1670" s="8" t="n"/>
      <c r="T1670" s="7" t="inlineStr">
        <is>
          <t>SEM COTAÇÃO</t>
        </is>
      </c>
      <c r="U1670" s="8" t="n"/>
      <c r="V1670" s="14" t="n"/>
      <c r="W1670" s="14" t="n"/>
      <c r="X1670" s="7" t="inlineStr"/>
      <c r="Y1670" s="7" t="inlineStr"/>
    </row>
    <row r="1671">
      <c r="A1671" s="7" t="n">
        <v>633451</v>
      </c>
      <c r="B1671" s="12" t="inlineStr">
        <is>
          <t>7898632473124</t>
        </is>
      </c>
      <c r="C1671" s="7" t="inlineStr">
        <is>
          <t>ESF LIMA DA PERSIA DIA A DIA 150G</t>
        </is>
      </c>
      <c r="D1671" s="7" t="inlineStr">
        <is>
          <t>PERF/COSME</t>
        </is>
      </c>
      <c r="E1671" s="7" t="inlineStr">
        <is>
          <t>C</t>
        </is>
      </c>
      <c r="F1671" s="13" t="n">
        <v>2</v>
      </c>
      <c r="G1671" s="13" t="n">
        <v>2</v>
      </c>
      <c r="H1671" s="8" t="n">
        <v>17.86</v>
      </c>
      <c r="I1671" s="8" t="n">
        <v>17.86</v>
      </c>
      <c r="J1671" s="8" t="n">
        <v>17.86</v>
      </c>
      <c r="K1671" s="8" t="n"/>
      <c r="L1671" s="8" t="n"/>
      <c r="M1671" s="8" t="n"/>
      <c r="N1671" s="8" t="n"/>
      <c r="O1671" s="8" t="n"/>
      <c r="P1671" s="8" t="n"/>
      <c r="Q1671" s="8" t="n"/>
      <c r="R1671" s="8" t="n"/>
      <c r="S1671" s="8" t="n"/>
      <c r="T1671" s="7" t="inlineStr">
        <is>
          <t>SEM COTAÇÃO</t>
        </is>
      </c>
      <c r="U1671" s="8" t="n"/>
      <c r="V1671" s="14" t="n"/>
      <c r="W1671" s="14" t="n"/>
      <c r="X1671" s="7" t="inlineStr"/>
      <c r="Y1671" s="7" t="inlineStr"/>
    </row>
    <row r="1672">
      <c r="A1672" s="7" t="n">
        <v>634231</v>
      </c>
      <c r="B1672" s="12" t="inlineStr">
        <is>
          <t>7898632473155</t>
        </is>
      </c>
      <c r="C1672" s="7" t="inlineStr">
        <is>
          <t>ESF LIMA DA PERSIA DIA A DIA 150G LABOTRAT</t>
        </is>
      </c>
      <c r="D1672" s="7" t="inlineStr">
        <is>
          <t>PERF/COSME</t>
        </is>
      </c>
      <c r="E1672" s="7" t="inlineStr">
        <is>
          <t>C</t>
        </is>
      </c>
      <c r="F1672" s="13" t="n">
        <v>3</v>
      </c>
      <c r="G1672" s="13" t="n">
        <v>3</v>
      </c>
      <c r="H1672" s="8" t="n">
        <v>12.96</v>
      </c>
      <c r="I1672" s="8" t="n">
        <v>12.96</v>
      </c>
      <c r="J1672" s="8" t="n">
        <v>12.96</v>
      </c>
      <c r="K1672" s="8" t="n"/>
      <c r="L1672" s="8" t="n"/>
      <c r="M1672" s="8" t="n"/>
      <c r="N1672" s="8" t="n"/>
      <c r="O1672" s="8" t="n"/>
      <c r="P1672" s="8" t="n"/>
      <c r="Q1672" s="8" t="n"/>
      <c r="R1672" s="8" t="n"/>
      <c r="S1672" s="8" t="n"/>
      <c r="T1672" s="7" t="inlineStr">
        <is>
          <t>SEM COTAÇÃO</t>
        </is>
      </c>
      <c r="U1672" s="8" t="n"/>
      <c r="V1672" s="14" t="n"/>
      <c r="W1672" s="14" t="n"/>
      <c r="X1672" s="7" t="inlineStr"/>
      <c r="Y1672" s="7" t="inlineStr"/>
    </row>
    <row r="1673">
      <c r="A1673" s="7" t="n">
        <v>633491</v>
      </c>
      <c r="B1673" s="12" t="inlineStr">
        <is>
          <t>7898632470390</t>
        </is>
      </c>
      <c r="C1673" s="7" t="inlineStr">
        <is>
          <t>ESF MARACUJA DIA A DIA 300G</t>
        </is>
      </c>
      <c r="D1673" s="7" t="inlineStr">
        <is>
          <t>PERF/COSME</t>
        </is>
      </c>
      <c r="E1673" s="7" t="inlineStr">
        <is>
          <t>C</t>
        </is>
      </c>
      <c r="F1673" s="13" t="n">
        <v>1</v>
      </c>
      <c r="G1673" s="13" t="n">
        <v>1</v>
      </c>
      <c r="H1673" s="8" t="n">
        <v>17.86</v>
      </c>
      <c r="I1673" s="8" t="n">
        <v>17.86</v>
      </c>
      <c r="J1673" s="8" t="n">
        <v>17.86</v>
      </c>
      <c r="K1673" s="8" t="n"/>
      <c r="L1673" s="8" t="n"/>
      <c r="M1673" s="8" t="n"/>
      <c r="N1673" s="8" t="n"/>
      <c r="O1673" s="8" t="n"/>
      <c r="P1673" s="8" t="n"/>
      <c r="Q1673" s="8" t="n"/>
      <c r="R1673" s="8" t="n"/>
      <c r="S1673" s="8" t="n"/>
      <c r="T1673" s="7" t="inlineStr">
        <is>
          <t>SEM COTAÇÃO</t>
        </is>
      </c>
      <c r="U1673" s="8" t="n"/>
      <c r="V1673" s="14" t="n"/>
      <c r="W1673" s="14" t="n"/>
      <c r="X1673" s="7" t="inlineStr"/>
      <c r="Y1673" s="7" t="inlineStr"/>
    </row>
    <row r="1674">
      <c r="A1674" s="7" t="n">
        <v>633481</v>
      </c>
      <c r="B1674" s="12" t="inlineStr">
        <is>
          <t>7898632472264</t>
        </is>
      </c>
      <c r="C1674" s="7" t="inlineStr">
        <is>
          <t>ESF MELANCIA DIA A DIA 330G</t>
        </is>
      </c>
      <c r="D1674" s="7" t="inlineStr">
        <is>
          <t>PERF/COSME</t>
        </is>
      </c>
      <c r="E1674" s="7" t="inlineStr">
        <is>
          <t>C</t>
        </is>
      </c>
      <c r="F1674" s="13" t="n">
        <v>3</v>
      </c>
      <c r="G1674" s="13" t="n">
        <v>3</v>
      </c>
      <c r="H1674" s="8" t="n">
        <v>17.86</v>
      </c>
      <c r="I1674" s="8" t="n">
        <v>17.86</v>
      </c>
      <c r="J1674" s="8" t="n">
        <v>17.86</v>
      </c>
      <c r="K1674" s="8" t="n"/>
      <c r="L1674" s="8" t="n"/>
      <c r="M1674" s="8" t="n"/>
      <c r="N1674" s="8" t="n"/>
      <c r="O1674" s="8" t="n"/>
      <c r="P1674" s="8" t="n"/>
      <c r="Q1674" s="8" t="n"/>
      <c r="R1674" s="8" t="n"/>
      <c r="S1674" s="8" t="n"/>
      <c r="T1674" s="7" t="inlineStr">
        <is>
          <t>SEM COTAÇÃO</t>
        </is>
      </c>
      <c r="U1674" s="8" t="n"/>
      <c r="V1674" s="14" t="n"/>
      <c r="W1674" s="14" t="n"/>
      <c r="X1674" s="7" t="inlineStr"/>
      <c r="Y1674" s="7" t="inlineStr"/>
    </row>
    <row r="1675">
      <c r="A1675" s="7" t="n">
        <v>633461</v>
      </c>
      <c r="B1675" s="12" t="inlineStr">
        <is>
          <t>7898632471083</t>
        </is>
      </c>
      <c r="C1675" s="7" t="inlineStr">
        <is>
          <t>ESF MORANGO DIA A DIA 300G</t>
        </is>
      </c>
      <c r="D1675" s="7" t="inlineStr">
        <is>
          <t>PERF/COSME</t>
        </is>
      </c>
      <c r="E1675" s="7" t="inlineStr">
        <is>
          <t>C</t>
        </is>
      </c>
      <c r="F1675" s="13" t="n">
        <v>3</v>
      </c>
      <c r="G1675" s="13" t="n">
        <v>3</v>
      </c>
      <c r="H1675" s="8" t="n">
        <v>17.86</v>
      </c>
      <c r="I1675" s="8" t="n">
        <v>17.86</v>
      </c>
      <c r="J1675" s="8" t="n">
        <v>17.86</v>
      </c>
      <c r="K1675" s="8" t="n"/>
      <c r="L1675" s="8" t="n"/>
      <c r="M1675" s="8" t="n"/>
      <c r="N1675" s="8" t="n"/>
      <c r="O1675" s="8" t="n"/>
      <c r="P1675" s="8" t="n"/>
      <c r="Q1675" s="8" t="n"/>
      <c r="R1675" s="8" t="n"/>
      <c r="S1675" s="8" t="n"/>
      <c r="T1675" s="7" t="inlineStr">
        <is>
          <t>SEM COTAÇÃO</t>
        </is>
      </c>
      <c r="U1675" s="8" t="n"/>
      <c r="V1675" s="14" t="n"/>
      <c r="W1675" s="14" t="n"/>
      <c r="X1675" s="7" t="inlineStr"/>
      <c r="Y1675" s="7" t="inlineStr"/>
    </row>
    <row r="1676">
      <c r="A1676" s="7" t="n">
        <v>636841</v>
      </c>
      <c r="B1676" s="12" t="inlineStr">
        <is>
          <t>7898632473131</t>
        </is>
      </c>
      <c r="C1676" s="7" t="inlineStr">
        <is>
          <t>ESF PESSEGO DIA A DIA 300G LABOTRAT</t>
        </is>
      </c>
      <c r="D1676" s="7" t="inlineStr">
        <is>
          <t>PERF/COSME</t>
        </is>
      </c>
      <c r="E1676" s="7" t="inlineStr">
        <is>
          <t>C</t>
        </is>
      </c>
      <c r="F1676" s="13" t="n">
        <v>1</v>
      </c>
      <c r="G1676" s="13" t="n">
        <v>1</v>
      </c>
      <c r="H1676" s="8" t="n">
        <v>17.86</v>
      </c>
      <c r="I1676" s="8" t="n">
        <v>17.86</v>
      </c>
      <c r="J1676" s="8" t="n">
        <v>17.86</v>
      </c>
      <c r="K1676" s="8" t="n"/>
      <c r="L1676" s="8" t="n"/>
      <c r="M1676" s="8" t="n"/>
      <c r="N1676" s="8" t="n"/>
      <c r="O1676" s="8" t="n"/>
      <c r="P1676" s="8" t="n"/>
      <c r="Q1676" s="8" t="n"/>
      <c r="R1676" s="8" t="n"/>
      <c r="S1676" s="8" t="n"/>
      <c r="T1676" s="7" t="inlineStr">
        <is>
          <t>SEM COTAÇÃO</t>
        </is>
      </c>
      <c r="U1676" s="8" t="n"/>
      <c r="V1676" s="14" t="n"/>
      <c r="W1676" s="14" t="n"/>
      <c r="X1676" s="7" t="inlineStr"/>
      <c r="Y1676" s="7" t="inlineStr"/>
    </row>
    <row r="1677">
      <c r="A1677" s="7" t="n">
        <v>633471</v>
      </c>
      <c r="B1677" s="12" t="inlineStr">
        <is>
          <t>7898632472240</t>
        </is>
      </c>
      <c r="C1677" s="7" t="inlineStr">
        <is>
          <t>ESF PITAYA DIA A DIA 300G</t>
        </is>
      </c>
      <c r="D1677" s="7" t="inlineStr">
        <is>
          <t>PERF/COSME</t>
        </is>
      </c>
      <c r="E1677" s="7" t="inlineStr">
        <is>
          <t>C</t>
        </is>
      </c>
      <c r="F1677" s="13" t="n">
        <v>2</v>
      </c>
      <c r="G1677" s="13" t="n">
        <v>2</v>
      </c>
      <c r="H1677" s="8" t="n">
        <v>17.86</v>
      </c>
      <c r="I1677" s="8" t="n">
        <v>17.86</v>
      </c>
      <c r="J1677" s="8" t="n">
        <v>17.86</v>
      </c>
      <c r="K1677" s="8" t="n"/>
      <c r="L1677" s="8" t="n"/>
      <c r="M1677" s="8" t="n"/>
      <c r="N1677" s="8" t="n"/>
      <c r="O1677" s="8" t="n"/>
      <c r="P1677" s="8" t="n"/>
      <c r="Q1677" s="8" t="n"/>
      <c r="R1677" s="8" t="n"/>
      <c r="S1677" s="8" t="n"/>
      <c r="T1677" s="7" t="inlineStr">
        <is>
          <t>SEM COTAÇÃO</t>
        </is>
      </c>
      <c r="U1677" s="8" t="n"/>
      <c r="V1677" s="14" t="n"/>
      <c r="W1677" s="14" t="n"/>
      <c r="X1677" s="7" t="inlineStr"/>
      <c r="Y1677" s="7" t="inlineStr"/>
    </row>
    <row r="1678">
      <c r="A1678" s="7" t="n">
        <v>667281</v>
      </c>
      <c r="B1678" s="12" t="inlineStr">
        <is>
          <t>0040141232090</t>
        </is>
      </c>
      <c r="C1678" s="7" t="inlineStr">
        <is>
          <t>ESF. CORP. MORANGO/COLAGENO LOVELY 280GR CX/24 - FACE BEAUTIFUL</t>
        </is>
      </c>
      <c r="D1678" s="7" t="inlineStr">
        <is>
          <t>PERF/COSME</t>
        </is>
      </c>
      <c r="E1678" s="7" t="inlineStr">
        <is>
          <t>C</t>
        </is>
      </c>
      <c r="F1678" s="13" t="n">
        <v>1</v>
      </c>
      <c r="G1678" s="13" t="n">
        <v>1</v>
      </c>
      <c r="H1678" s="8" t="n">
        <v>13.91</v>
      </c>
      <c r="I1678" s="8" t="n">
        <v>13.91</v>
      </c>
      <c r="J1678" s="8" t="n">
        <v>13.91</v>
      </c>
      <c r="K1678" s="8" t="n"/>
      <c r="L1678" s="8" t="n"/>
      <c r="M1678" s="8" t="n"/>
      <c r="N1678" s="8" t="n"/>
      <c r="O1678" s="8" t="n"/>
      <c r="P1678" s="8" t="n"/>
      <c r="Q1678" s="8" t="n"/>
      <c r="R1678" s="8" t="n"/>
      <c r="S1678" s="8" t="n"/>
      <c r="T1678" s="7" t="inlineStr">
        <is>
          <t>SEM COTAÇÃO</t>
        </is>
      </c>
      <c r="U1678" s="8" t="n"/>
      <c r="V1678" s="14" t="n"/>
      <c r="W1678" s="14" t="n"/>
      <c r="X1678" s="7" t="inlineStr"/>
      <c r="Y1678" s="7" t="inlineStr"/>
    </row>
    <row r="1679">
      <c r="A1679" s="7" t="n">
        <v>614271</v>
      </c>
      <c r="B1679" s="12" t="inlineStr">
        <is>
          <t>7898610078426</t>
        </is>
      </c>
      <c r="C1679" s="7" t="inlineStr">
        <is>
          <t>ESFOLI CORPO DOUR. MARACUJA 150G</t>
        </is>
      </c>
      <c r="D1679" s="7" t="inlineStr">
        <is>
          <t>PERF/COSME</t>
        </is>
      </c>
      <c r="E1679" s="7" t="inlineStr">
        <is>
          <t>C</t>
        </is>
      </c>
      <c r="F1679" s="13" t="n">
        <v>2</v>
      </c>
      <c r="G1679" s="13" t="n">
        <v>2</v>
      </c>
      <c r="H1679" s="8" t="n">
        <v>9.529999999999999</v>
      </c>
      <c r="I1679" s="8" t="n">
        <v>9.529999999999999</v>
      </c>
      <c r="J1679" s="8" t="n">
        <v>9.529999999999999</v>
      </c>
      <c r="K1679" s="8" t="n"/>
      <c r="L1679" s="8" t="n"/>
      <c r="M1679" s="8" t="n"/>
      <c r="N1679" s="8" t="n"/>
      <c r="O1679" s="8" t="n"/>
      <c r="P1679" s="8" t="n"/>
      <c r="Q1679" s="8" t="n"/>
      <c r="R1679" s="8" t="n"/>
      <c r="S1679" s="8" t="n"/>
      <c r="T1679" s="7" t="inlineStr">
        <is>
          <t>SEM COTAÇÃO</t>
        </is>
      </c>
      <c r="U1679" s="8" t="n"/>
      <c r="V1679" s="14" t="n"/>
      <c r="W1679" s="14" t="n"/>
      <c r="X1679" s="7" t="inlineStr"/>
      <c r="Y1679" s="7" t="inlineStr"/>
    </row>
    <row r="1680">
      <c r="A1680" s="7" t="n">
        <v>614281</v>
      </c>
      <c r="B1680" s="12" t="inlineStr">
        <is>
          <t>7898610078488</t>
        </is>
      </c>
      <c r="C1680" s="7" t="inlineStr">
        <is>
          <t>ESFOLI.CORPO  DOUR. MORANGO 150G</t>
        </is>
      </c>
      <c r="D1680" s="7" t="inlineStr">
        <is>
          <t>PERF/COSME</t>
        </is>
      </c>
      <c r="E1680" s="7" t="inlineStr">
        <is>
          <t>C</t>
        </is>
      </c>
      <c r="F1680" s="13" t="n">
        <v>2</v>
      </c>
      <c r="G1680" s="13" t="n">
        <v>2</v>
      </c>
      <c r="H1680" s="8" t="n">
        <v>9.529999999999999</v>
      </c>
      <c r="I1680" s="8" t="n">
        <v>9.529999999999999</v>
      </c>
      <c r="J1680" s="8" t="n">
        <v>9.529999999999999</v>
      </c>
      <c r="K1680" s="8" t="n"/>
      <c r="L1680" s="8" t="n"/>
      <c r="M1680" s="8" t="n"/>
      <c r="N1680" s="8" t="n"/>
      <c r="O1680" s="8" t="n"/>
      <c r="P1680" s="8" t="n"/>
      <c r="Q1680" s="8" t="n"/>
      <c r="R1680" s="8" t="n"/>
      <c r="S1680" s="8" t="n"/>
      <c r="T1680" s="7" t="inlineStr">
        <is>
          <t>SEM COTAÇÃO</t>
        </is>
      </c>
      <c r="U1680" s="8" t="n"/>
      <c r="V1680" s="14" t="n"/>
      <c r="W1680" s="14" t="n"/>
      <c r="X1680" s="7" t="inlineStr"/>
      <c r="Y1680" s="7" t="inlineStr"/>
    </row>
    <row r="1681">
      <c r="A1681" s="7" t="n">
        <v>656001</v>
      </c>
      <c r="B1681" s="12" t="inlineStr">
        <is>
          <t>7898975292253</t>
        </is>
      </c>
      <c r="C1681" s="7" t="inlineStr">
        <is>
          <t>ESFOLIANTE CORPORAL MORANGO BEAUTYLOO 340GR - FACE BEAUTIFUL</t>
        </is>
      </c>
      <c r="D1681" s="7" t="inlineStr">
        <is>
          <t>PERF/COSME</t>
        </is>
      </c>
      <c r="E1681" s="7" t="inlineStr">
        <is>
          <t>C</t>
        </is>
      </c>
      <c r="F1681" s="13" t="n">
        <v>1</v>
      </c>
      <c r="G1681" s="13" t="n">
        <v>1</v>
      </c>
      <c r="H1681" s="8" t="n">
        <v>21.46</v>
      </c>
      <c r="I1681" s="8" t="n">
        <v>21.46</v>
      </c>
      <c r="J1681" s="8" t="n">
        <v>21.46</v>
      </c>
      <c r="K1681" s="8" t="n"/>
      <c r="L1681" s="8" t="n"/>
      <c r="M1681" s="8" t="n"/>
      <c r="N1681" s="8" t="n"/>
      <c r="O1681" s="8" t="n"/>
      <c r="P1681" s="8" t="n"/>
      <c r="Q1681" s="8" t="n"/>
      <c r="R1681" s="8" t="n"/>
      <c r="S1681" s="8" t="n"/>
      <c r="T1681" s="7" t="inlineStr">
        <is>
          <t>SEM COTAÇÃO</t>
        </is>
      </c>
      <c r="U1681" s="8" t="n"/>
      <c r="V1681" s="14" t="n"/>
      <c r="W1681" s="14" t="n"/>
      <c r="X1681" s="7" t="inlineStr"/>
      <c r="Y1681" s="7" t="inlineStr"/>
    </row>
    <row r="1682">
      <c r="A1682" s="7" t="n">
        <v>617211</v>
      </c>
      <c r="B1682" s="12" t="inlineStr">
        <is>
          <t>7896512914248</t>
        </is>
      </c>
      <c r="C1682" s="7" t="inlineStr">
        <is>
          <t>ESFOLIANTE P POMES PINK 80GR</t>
        </is>
      </c>
      <c r="D1682" s="7" t="inlineStr">
        <is>
          <t>PERF/COSME</t>
        </is>
      </c>
      <c r="E1682" s="7" t="inlineStr">
        <is>
          <t>C</t>
        </is>
      </c>
      <c r="F1682" s="13" t="n">
        <v>1</v>
      </c>
      <c r="G1682" s="13" t="n">
        <v>1</v>
      </c>
      <c r="H1682" s="8" t="n">
        <v>14.82</v>
      </c>
      <c r="I1682" s="8" t="n">
        <v>14.82</v>
      </c>
      <c r="J1682" s="8" t="n">
        <v>14.82</v>
      </c>
      <c r="K1682" s="8" t="n"/>
      <c r="L1682" s="8" t="n"/>
      <c r="M1682" s="8" t="n"/>
      <c r="N1682" s="8" t="n"/>
      <c r="O1682" s="8" t="n"/>
      <c r="P1682" s="15" t="n">
        <v>18.95</v>
      </c>
      <c r="Q1682" s="8" t="n"/>
      <c r="R1682" s="8" t="n"/>
      <c r="S1682" s="8" t="n"/>
      <c r="T1682" s="7" t="inlineStr">
        <is>
          <t>NAZARIA</t>
        </is>
      </c>
      <c r="U1682" s="8" t="n">
        <v>18.95</v>
      </c>
      <c r="V1682" s="14">
        <f>U1682/J1682-1</f>
        <v/>
      </c>
      <c r="W1682" s="14">
        <f>U1682/H1682-1</f>
        <v/>
      </c>
      <c r="X1682" s="16" t="inlineStr">
        <is>
          <t>ACIMA +27.9%</t>
        </is>
      </c>
      <c r="Y1682" s="7" t="inlineStr"/>
    </row>
    <row r="1683">
      <c r="A1683" s="7" t="n">
        <v>672061</v>
      </c>
      <c r="B1683" s="12" t="inlineStr">
        <is>
          <t>7908966511215</t>
        </is>
      </c>
      <c r="C1683" s="7" t="inlineStr">
        <is>
          <t>ESM COL BARBIE BOSS 8ML</t>
        </is>
      </c>
      <c r="D1683" s="7" t="inlineStr">
        <is>
          <t>PERF/COSME</t>
        </is>
      </c>
      <c r="E1683" s="7" t="inlineStr">
        <is>
          <t>C</t>
        </is>
      </c>
      <c r="F1683" s="13" t="n">
        <v>1</v>
      </c>
      <c r="G1683" s="13" t="n">
        <v>1</v>
      </c>
      <c r="H1683" s="8" t="n">
        <v>5.8467</v>
      </c>
      <c r="I1683" s="8" t="n">
        <v>5.8467</v>
      </c>
      <c r="J1683" s="8" t="n">
        <v>5.846700000000001</v>
      </c>
      <c r="K1683" s="8" t="n"/>
      <c r="L1683" s="8" t="n"/>
      <c r="M1683" s="8" t="n"/>
      <c r="N1683" s="8" t="n"/>
      <c r="O1683" s="8" t="n"/>
      <c r="P1683" s="8" t="n">
        <v>6.87</v>
      </c>
      <c r="Q1683" s="8" t="n"/>
      <c r="R1683" s="8" t="n"/>
      <c r="S1683" s="8" t="n"/>
      <c r="T1683" s="7" t="inlineStr">
        <is>
          <t>SEM COTAÇÃO</t>
        </is>
      </c>
      <c r="U1683" s="8" t="n"/>
      <c r="V1683" s="14" t="n"/>
      <c r="W1683" s="14" t="n"/>
      <c r="X1683" s="7" t="inlineStr"/>
      <c r="Y1683" s="7" t="inlineStr">
        <is>
          <t>NAZARIA: sem estoque</t>
        </is>
      </c>
    </row>
    <row r="1684">
      <c r="A1684" s="7" t="n">
        <v>672081</v>
      </c>
      <c r="B1684" s="12" t="inlineStr">
        <is>
          <t>7908966511185</t>
        </is>
      </c>
      <c r="C1684" s="7" t="inlineStr">
        <is>
          <t>ESM COL BARBIE PODEROSA</t>
        </is>
      </c>
      <c r="D1684" s="7" t="inlineStr">
        <is>
          <t>PERF/COSME</t>
        </is>
      </c>
      <c r="E1684" s="7" t="inlineStr">
        <is>
          <t>C</t>
        </is>
      </c>
      <c r="F1684" s="13" t="n">
        <v>1</v>
      </c>
      <c r="G1684" s="13" t="n">
        <v>1</v>
      </c>
      <c r="H1684" s="8" t="n">
        <v>5.8467</v>
      </c>
      <c r="I1684" s="8" t="n">
        <v>5.8467</v>
      </c>
      <c r="J1684" s="8" t="n">
        <v>5.846700000000001</v>
      </c>
      <c r="K1684" s="8" t="n"/>
      <c r="L1684" s="8" t="n"/>
      <c r="M1684" s="8" t="n"/>
      <c r="N1684" s="8" t="n"/>
      <c r="O1684" s="8" t="n"/>
      <c r="P1684" s="8" t="n">
        <v>6.87</v>
      </c>
      <c r="Q1684" s="8" t="n"/>
      <c r="R1684" s="8" t="n"/>
      <c r="S1684" s="8" t="n"/>
      <c r="T1684" s="7" t="inlineStr">
        <is>
          <t>SEM COTAÇÃO</t>
        </is>
      </c>
      <c r="U1684" s="8" t="n"/>
      <c r="V1684" s="14" t="n"/>
      <c r="W1684" s="14" t="n"/>
      <c r="X1684" s="7" t="inlineStr"/>
      <c r="Y1684" s="7" t="inlineStr">
        <is>
          <t>NAZARIA: sem estoque</t>
        </is>
      </c>
    </row>
    <row r="1685">
      <c r="A1685" s="7" t="n">
        <v>647311</v>
      </c>
      <c r="B1685" s="12" t="inlineStr">
        <is>
          <t>7899706239127</t>
        </is>
      </c>
      <c r="C1685" s="7" t="inlineStr">
        <is>
          <t>ESM COL CR AQUI PEDIRAM FINI M6</t>
        </is>
      </c>
      <c r="D1685" s="7" t="inlineStr">
        <is>
          <t>PERF/COSME</t>
        </is>
      </c>
      <c r="E1685" s="7" t="inlineStr">
        <is>
          <t>C</t>
        </is>
      </c>
      <c r="F1685" s="13" t="n">
        <v>1</v>
      </c>
      <c r="G1685" s="13" t="n">
        <v>1</v>
      </c>
      <c r="H1685" s="8" t="n">
        <v>6.61</v>
      </c>
      <c r="I1685" s="8" t="n">
        <v>6.61</v>
      </c>
      <c r="J1685" s="8" t="n">
        <v>6.61</v>
      </c>
      <c r="K1685" s="8" t="n"/>
      <c r="L1685" s="8" t="n"/>
      <c r="M1685" s="8" t="n"/>
      <c r="N1685" s="8" t="n"/>
      <c r="O1685" s="8" t="n"/>
      <c r="P1685" s="8" t="n"/>
      <c r="Q1685" s="8" t="n"/>
      <c r="R1685" s="8" t="n"/>
      <c r="S1685" s="8" t="n"/>
      <c r="T1685" s="7" t="inlineStr">
        <is>
          <t>SEM COTAÇÃO</t>
        </is>
      </c>
      <c r="U1685" s="8" t="n"/>
      <c r="V1685" s="14" t="n"/>
      <c r="W1685" s="14" t="n"/>
      <c r="X1685" s="7" t="inlineStr"/>
      <c r="Y1685" s="7" t="inlineStr"/>
    </row>
    <row r="1686">
      <c r="A1686" s="7" t="n">
        <v>647321</v>
      </c>
      <c r="B1686" s="12" t="inlineStr">
        <is>
          <t>7899706239349</t>
        </is>
      </c>
      <c r="C1686" s="7" t="inlineStr">
        <is>
          <t>ESM COL CR AVISA QUE E FINI M6</t>
        </is>
      </c>
      <c r="D1686" s="7" t="inlineStr">
        <is>
          <t>PERF/COSME</t>
        </is>
      </c>
      <c r="E1686" s="7" t="inlineStr">
        <is>
          <t>C</t>
        </is>
      </c>
      <c r="F1686" s="13" t="n">
        <v>1</v>
      </c>
      <c r="G1686" s="13" t="n">
        <v>1</v>
      </c>
      <c r="H1686" s="8" t="n">
        <v>6.61</v>
      </c>
      <c r="I1686" s="8" t="n">
        <v>6.61</v>
      </c>
      <c r="J1686" s="8" t="n">
        <v>6.61</v>
      </c>
      <c r="K1686" s="8" t="n"/>
      <c r="L1686" s="8" t="n"/>
      <c r="M1686" s="8" t="n"/>
      <c r="N1686" s="8" t="n"/>
      <c r="O1686" s="8" t="n"/>
      <c r="P1686" s="8" t="n"/>
      <c r="Q1686" s="8" t="n"/>
      <c r="R1686" s="8" t="n"/>
      <c r="S1686" s="8" t="n"/>
      <c r="T1686" s="7" t="inlineStr">
        <is>
          <t>SEM COTAÇÃO</t>
        </is>
      </c>
      <c r="U1686" s="8" t="n"/>
      <c r="V1686" s="14" t="n"/>
      <c r="W1686" s="14" t="n"/>
      <c r="X1686" s="7" t="inlineStr"/>
      <c r="Y1686" s="7" t="inlineStr"/>
    </row>
    <row r="1687">
      <c r="A1687" s="7" t="n">
        <v>647361</v>
      </c>
      <c r="B1687" s="12" t="inlineStr">
        <is>
          <t>7899706239318</t>
        </is>
      </c>
      <c r="C1687" s="7" t="inlineStr">
        <is>
          <t>ESM COL CR FINI ME PATROCINA M6</t>
        </is>
      </c>
      <c r="D1687" s="7" t="inlineStr">
        <is>
          <t>PERF/COSME</t>
        </is>
      </c>
      <c r="E1687" s="7" t="inlineStr">
        <is>
          <t>C</t>
        </is>
      </c>
      <c r="F1687" s="13" t="n">
        <v>1</v>
      </c>
      <c r="G1687" s="13" t="n">
        <v>1</v>
      </c>
      <c r="H1687" s="8" t="n">
        <v>6.61</v>
      </c>
      <c r="I1687" s="8" t="n">
        <v>6.61</v>
      </c>
      <c r="J1687" s="8" t="n">
        <v>6.61</v>
      </c>
      <c r="K1687" s="8" t="n"/>
      <c r="L1687" s="8" t="n"/>
      <c r="M1687" s="8" t="n"/>
      <c r="N1687" s="8" t="n"/>
      <c r="O1687" s="8" t="n"/>
      <c r="P1687" s="8" t="n"/>
      <c r="Q1687" s="8" t="n"/>
      <c r="R1687" s="8" t="n"/>
      <c r="S1687" s="8" t="n"/>
      <c r="T1687" s="7" t="inlineStr">
        <is>
          <t>SEM COTAÇÃO</t>
        </is>
      </c>
      <c r="U1687" s="8" t="n"/>
      <c r="V1687" s="14" t="n"/>
      <c r="W1687" s="14" t="n"/>
      <c r="X1687" s="7" t="inlineStr"/>
      <c r="Y1687" s="7" t="inlineStr"/>
    </row>
    <row r="1688">
      <c r="A1688" s="7" t="n">
        <v>647331</v>
      </c>
      <c r="B1688" s="12" t="inlineStr">
        <is>
          <t>7899706239370</t>
        </is>
      </c>
      <c r="C1688" s="7" t="inlineStr">
        <is>
          <t>ESM COL CR NAO DIVIDO FINI M6</t>
        </is>
      </c>
      <c r="D1688" s="7" t="inlineStr">
        <is>
          <t>PERF/COSME</t>
        </is>
      </c>
      <c r="E1688" s="7" t="inlineStr">
        <is>
          <t>C</t>
        </is>
      </c>
      <c r="F1688" s="13" t="n">
        <v>1</v>
      </c>
      <c r="G1688" s="13" t="n">
        <v>1</v>
      </c>
      <c r="H1688" s="8" t="n">
        <v>6.61</v>
      </c>
      <c r="I1688" s="8" t="n">
        <v>6.61</v>
      </c>
      <c r="J1688" s="8" t="n">
        <v>6.61</v>
      </c>
      <c r="K1688" s="8" t="n"/>
      <c r="L1688" s="8" t="n"/>
      <c r="M1688" s="8" t="n"/>
      <c r="N1688" s="8" t="n"/>
      <c r="O1688" s="8" t="n"/>
      <c r="P1688" s="8" t="n"/>
      <c r="Q1688" s="8" t="n"/>
      <c r="R1688" s="8" t="n"/>
      <c r="S1688" s="8" t="n"/>
      <c r="T1688" s="7" t="inlineStr">
        <is>
          <t>SEM COTAÇÃO</t>
        </is>
      </c>
      <c r="U1688" s="8" t="n"/>
      <c r="V1688" s="14" t="n"/>
      <c r="W1688" s="14" t="n"/>
      <c r="X1688" s="7" t="inlineStr"/>
      <c r="Y1688" s="7" t="inlineStr"/>
    </row>
    <row r="1689">
      <c r="A1689" s="7" t="n">
        <v>647351</v>
      </c>
      <c r="B1689" s="12" t="inlineStr">
        <is>
          <t>7899706239400</t>
        </is>
      </c>
      <c r="C1689" s="7" t="inlineStr">
        <is>
          <t>ESM COL CR SOL EM FINI M6</t>
        </is>
      </c>
      <c r="D1689" s="7" t="inlineStr">
        <is>
          <t>PERF/COSME</t>
        </is>
      </c>
      <c r="E1689" s="7" t="inlineStr">
        <is>
          <t>C</t>
        </is>
      </c>
      <c r="F1689" s="13" t="n">
        <v>1</v>
      </c>
      <c r="G1689" s="13" t="n">
        <v>1</v>
      </c>
      <c r="H1689" s="8" t="n">
        <v>6.61</v>
      </c>
      <c r="I1689" s="8" t="n">
        <v>6.61</v>
      </c>
      <c r="J1689" s="8" t="n">
        <v>6.61</v>
      </c>
      <c r="K1689" s="8" t="n"/>
      <c r="L1689" s="8" t="n"/>
      <c r="M1689" s="8" t="n"/>
      <c r="N1689" s="8" t="n"/>
      <c r="O1689" s="8" t="n"/>
      <c r="P1689" s="8" t="n"/>
      <c r="Q1689" s="8" t="n"/>
      <c r="R1689" s="8" t="n"/>
      <c r="S1689" s="8" t="n"/>
      <c r="T1689" s="7" t="inlineStr">
        <is>
          <t>SEM COTAÇÃO</t>
        </is>
      </c>
      <c r="U1689" s="8" t="n"/>
      <c r="V1689" s="14" t="n"/>
      <c r="W1689" s="14" t="n"/>
      <c r="X1689" s="7" t="inlineStr"/>
      <c r="Y1689" s="7" t="inlineStr"/>
    </row>
    <row r="1690">
      <c r="A1690" s="7" t="n">
        <v>647341</v>
      </c>
      <c r="B1690" s="12" t="inlineStr">
        <is>
          <t>7899706239288</t>
        </is>
      </c>
      <c r="C1690" s="7" t="inlineStr">
        <is>
          <t>ESM COL CR TA CHOVENDO FINI M6</t>
        </is>
      </c>
      <c r="D1690" s="7" t="inlineStr">
        <is>
          <t>PERF/COSME</t>
        </is>
      </c>
      <c r="E1690" s="7" t="inlineStr">
        <is>
          <t>C</t>
        </is>
      </c>
      <c r="F1690" s="13" t="n">
        <v>1</v>
      </c>
      <c r="G1690" s="13" t="n">
        <v>1</v>
      </c>
      <c r="H1690" s="8" t="n">
        <v>6.61</v>
      </c>
      <c r="I1690" s="8" t="n">
        <v>6.61</v>
      </c>
      <c r="J1690" s="8" t="n">
        <v>6.61</v>
      </c>
      <c r="K1690" s="8" t="n"/>
      <c r="L1690" s="8" t="n"/>
      <c r="M1690" s="8" t="n"/>
      <c r="N1690" s="8" t="n"/>
      <c r="O1690" s="8" t="n"/>
      <c r="P1690" s="8" t="n"/>
      <c r="Q1690" s="8" t="n"/>
      <c r="R1690" s="8" t="n"/>
      <c r="S1690" s="8" t="n"/>
      <c r="T1690" s="7" t="inlineStr">
        <is>
          <t>SEM COTAÇÃO</t>
        </is>
      </c>
      <c r="U1690" s="8" t="n"/>
      <c r="V1690" s="14" t="n"/>
      <c r="W1690" s="14" t="n"/>
      <c r="X1690" s="7" t="inlineStr"/>
      <c r="Y1690" s="7" t="inlineStr"/>
    </row>
    <row r="1691">
      <c r="A1691" s="7" t="n">
        <v>672091</v>
      </c>
      <c r="B1691" s="12" t="inlineStr">
        <is>
          <t>7908966511239</t>
        </is>
      </c>
      <c r="C1691" s="7" t="inlineStr">
        <is>
          <t>ESM COL KEN DISSE 8ML 6 UNID-DEMAIS PROD</t>
        </is>
      </c>
      <c r="D1691" s="7" t="inlineStr">
        <is>
          <t>PERF/COSME</t>
        </is>
      </c>
      <c r="E1691" s="7" t="inlineStr">
        <is>
          <t>C</t>
        </is>
      </c>
      <c r="F1691" s="13" t="n">
        <v>1</v>
      </c>
      <c r="G1691" s="13" t="n">
        <v>1</v>
      </c>
      <c r="H1691" s="8" t="n">
        <v>5.8467</v>
      </c>
      <c r="I1691" s="8" t="n">
        <v>5.8467</v>
      </c>
      <c r="J1691" s="8" t="n">
        <v>5.846700000000001</v>
      </c>
      <c r="K1691" s="8" t="n"/>
      <c r="L1691" s="8" t="n"/>
      <c r="M1691" s="8" t="n"/>
      <c r="N1691" s="8" t="n"/>
      <c r="O1691" s="8" t="n"/>
      <c r="P1691" s="8" t="n"/>
      <c r="Q1691" s="8" t="n"/>
      <c r="R1691" s="8" t="n"/>
      <c r="S1691" s="8" t="n"/>
      <c r="T1691" s="7" t="inlineStr">
        <is>
          <t>SEM COTAÇÃO</t>
        </is>
      </c>
      <c r="U1691" s="8" t="n"/>
      <c r="V1691" s="14" t="n"/>
      <c r="W1691" s="14" t="n"/>
      <c r="X1691" s="7" t="inlineStr"/>
      <c r="Y1691" s="7" t="inlineStr"/>
    </row>
    <row r="1692">
      <c r="A1692" s="7" t="n">
        <v>651781</v>
      </c>
      <c r="B1692" s="12" t="inlineStr">
        <is>
          <t>7908615090597</t>
        </is>
      </c>
      <c r="C1692" s="7" t="inlineStr">
        <is>
          <t>ESM COLORAMA AMARELO RADIAN 6UN-DEMAIS PROD</t>
        </is>
      </c>
      <c r="D1692" s="7" t="inlineStr">
        <is>
          <t>PERF/COSME</t>
        </is>
      </c>
      <c r="E1692" s="7" t="inlineStr">
        <is>
          <t>C</t>
        </is>
      </c>
      <c r="F1692" s="13" t="n">
        <v>1</v>
      </c>
      <c r="G1692" s="13" t="n">
        <v>1</v>
      </c>
      <c r="H1692" s="8" t="n">
        <v>5.0917</v>
      </c>
      <c r="I1692" s="8" t="n">
        <v>5.0917</v>
      </c>
      <c r="J1692" s="8" t="n">
        <v>5.0917</v>
      </c>
      <c r="K1692" s="8" t="n"/>
      <c r="L1692" s="8" t="n"/>
      <c r="M1692" s="8" t="n"/>
      <c r="N1692" s="8" t="n"/>
      <c r="O1692" s="8" t="n"/>
      <c r="P1692" s="8" t="n"/>
      <c r="Q1692" s="8" t="n"/>
      <c r="R1692" s="8" t="n"/>
      <c r="S1692" s="8" t="n"/>
      <c r="T1692" s="7" t="inlineStr">
        <is>
          <t>SEM COTAÇÃO</t>
        </is>
      </c>
      <c r="U1692" s="8" t="n"/>
      <c r="V1692" s="14" t="n"/>
      <c r="W1692" s="14" t="n"/>
      <c r="X1692" s="7" t="inlineStr"/>
      <c r="Y1692" s="7" t="inlineStr"/>
    </row>
    <row r="1693">
      <c r="A1693" s="7" t="n">
        <v>672101</v>
      </c>
      <c r="B1693" s="12" t="inlineStr">
        <is>
          <t>17899026413655</t>
        </is>
      </c>
      <c r="C1693" s="7" t="inlineStr">
        <is>
          <t>ESM COLORAMA CREM CHIC PELE</t>
        </is>
      </c>
      <c r="D1693" s="7" t="inlineStr">
        <is>
          <t>PERF/COSME</t>
        </is>
      </c>
      <c r="E1693" s="7" t="inlineStr">
        <is>
          <t>C</t>
        </is>
      </c>
      <c r="F1693" s="13" t="n">
        <v>1</v>
      </c>
      <c r="G1693" s="13" t="n">
        <v>1</v>
      </c>
      <c r="H1693" s="8" t="n">
        <v>4.225</v>
      </c>
      <c r="I1693" s="8" t="n">
        <v>4.225</v>
      </c>
      <c r="J1693" s="8" t="n">
        <v>4.225</v>
      </c>
      <c r="K1693" s="8" t="n"/>
      <c r="L1693" s="8" t="n"/>
      <c r="M1693" s="8" t="n"/>
      <c r="N1693" s="8" t="n"/>
      <c r="O1693" s="8" t="n"/>
      <c r="P1693" s="8" t="n"/>
      <c r="Q1693" s="8" t="n"/>
      <c r="R1693" s="8" t="n"/>
      <c r="S1693" s="8" t="n"/>
      <c r="T1693" s="7" t="inlineStr">
        <is>
          <t>SEM COTAÇÃO</t>
        </is>
      </c>
      <c r="U1693" s="8" t="n"/>
      <c r="V1693" s="14" t="n"/>
      <c r="W1693" s="14" t="n"/>
      <c r="X1693" s="7" t="inlineStr"/>
      <c r="Y1693" s="7" t="inlineStr"/>
    </row>
    <row r="1694">
      <c r="A1694" s="7" t="n">
        <v>672111</v>
      </c>
      <c r="B1694" s="12" t="inlineStr">
        <is>
          <t>17899026415352</t>
        </is>
      </c>
      <c r="C1694" s="7" t="inlineStr">
        <is>
          <t>ESM COLORAMA CREM JABUTICABA 6UN-DEMAIS PROD</t>
        </is>
      </c>
      <c r="D1694" s="7" t="inlineStr">
        <is>
          <t>PERF/COSME</t>
        </is>
      </c>
      <c r="E1694" s="7" t="inlineStr">
        <is>
          <t>C</t>
        </is>
      </c>
      <c r="F1694" s="13" t="n">
        <v>1</v>
      </c>
      <c r="G1694" s="13" t="n">
        <v>1</v>
      </c>
      <c r="H1694" s="8" t="n">
        <v>4.2267</v>
      </c>
      <c r="I1694" s="8" t="n">
        <v>4.2267</v>
      </c>
      <c r="J1694" s="8" t="n">
        <v>4.2267</v>
      </c>
      <c r="K1694" s="8" t="n"/>
      <c r="L1694" s="8" t="n"/>
      <c r="M1694" s="8" t="n"/>
      <c r="N1694" s="8" t="n"/>
      <c r="O1694" s="8" t="n"/>
      <c r="P1694" s="8" t="n"/>
      <c r="Q1694" s="8" t="n"/>
      <c r="R1694" s="8" t="n"/>
      <c r="S1694" s="8" t="n"/>
      <c r="T1694" s="7" t="inlineStr">
        <is>
          <t>SEM COTAÇÃO</t>
        </is>
      </c>
      <c r="U1694" s="8" t="n"/>
      <c r="V1694" s="14" t="n"/>
      <c r="W1694" s="14" t="n"/>
      <c r="X1694" s="7" t="inlineStr"/>
      <c r="Y1694" s="7" t="inlineStr"/>
    </row>
    <row r="1695">
      <c r="A1695" s="7" t="n">
        <v>672121</v>
      </c>
      <c r="B1695" s="12" t="inlineStr">
        <is>
          <t>17899026401720</t>
        </is>
      </c>
      <c r="C1695" s="7" t="inlineStr">
        <is>
          <t>ESM COLORAMA CUID BASE SETIM 6UN-DEMAIS PROD</t>
        </is>
      </c>
      <c r="D1695" s="7" t="inlineStr">
        <is>
          <t>PERF/COSME</t>
        </is>
      </c>
      <c r="E1695" s="7" t="inlineStr">
        <is>
          <t>C</t>
        </is>
      </c>
      <c r="F1695" s="13" t="n">
        <v>1</v>
      </c>
      <c r="G1695" s="13" t="n">
        <v>1</v>
      </c>
      <c r="H1695" s="8" t="n">
        <v>4.325</v>
      </c>
      <c r="I1695" s="8" t="n">
        <v>4.325</v>
      </c>
      <c r="J1695" s="8" t="n">
        <v>4.325</v>
      </c>
      <c r="K1695" s="8" t="n"/>
      <c r="L1695" s="8" t="n"/>
      <c r="M1695" s="8" t="n"/>
      <c r="N1695" s="8" t="n"/>
      <c r="O1695" s="8" t="n"/>
      <c r="P1695" s="8" t="n"/>
      <c r="Q1695" s="8" t="n"/>
      <c r="R1695" s="8" t="n"/>
      <c r="S1695" s="8" t="n"/>
      <c r="T1695" s="7" t="inlineStr">
        <is>
          <t>SEM COTAÇÃO</t>
        </is>
      </c>
      <c r="U1695" s="8" t="n"/>
      <c r="V1695" s="14" t="n"/>
      <c r="W1695" s="14" t="n"/>
      <c r="X1695" s="7" t="inlineStr"/>
      <c r="Y1695" s="7" t="inlineStr"/>
    </row>
    <row r="1696">
      <c r="A1696" s="7" t="n">
        <v>672131</v>
      </c>
      <c r="B1696" s="12" t="inlineStr">
        <is>
          <t>17899026422312</t>
        </is>
      </c>
      <c r="C1696" s="7" t="inlineStr">
        <is>
          <t>ESM COLORAMA INT COR</t>
        </is>
      </c>
      <c r="D1696" s="7" t="inlineStr">
        <is>
          <t>PERF/COSME</t>
        </is>
      </c>
      <c r="E1696" s="7" t="inlineStr">
        <is>
          <t>C</t>
        </is>
      </c>
      <c r="F1696" s="13" t="n">
        <v>1</v>
      </c>
      <c r="G1696" s="13" t="n">
        <v>1</v>
      </c>
      <c r="H1696" s="8" t="n">
        <v>5.8467</v>
      </c>
      <c r="I1696" s="8" t="n">
        <v>5.8467</v>
      </c>
      <c r="J1696" s="8" t="n">
        <v>5.846700000000001</v>
      </c>
      <c r="K1696" s="8" t="n"/>
      <c r="L1696" s="8" t="n"/>
      <c r="M1696" s="8" t="n"/>
      <c r="N1696" s="8" t="n"/>
      <c r="O1696" s="8" t="n"/>
      <c r="P1696" s="15" t="n">
        <v>6.87</v>
      </c>
      <c r="Q1696" s="8" t="n"/>
      <c r="R1696" s="8" t="n"/>
      <c r="S1696" s="8" t="n"/>
      <c r="T1696" s="7" t="inlineStr">
        <is>
          <t>NAZARIA</t>
        </is>
      </c>
      <c r="U1696" s="8" t="n">
        <v>6.87</v>
      </c>
      <c r="V1696" s="14">
        <f>U1696/J1696-1</f>
        <v/>
      </c>
      <c r="W1696" s="14">
        <f>U1696/H1696-1</f>
        <v/>
      </c>
      <c r="X1696" s="16" t="inlineStr">
        <is>
          <t>ACIMA +17.5%</t>
        </is>
      </c>
      <c r="Y1696" s="7" t="inlineStr"/>
    </row>
    <row r="1697">
      <c r="A1697" s="7" t="n">
        <v>651801</v>
      </c>
      <c r="B1697" s="12" t="inlineStr">
        <is>
          <t>7908615090627</t>
        </is>
      </c>
      <c r="C1697" s="7" t="inlineStr">
        <is>
          <t>ESM COLORAMA ROXO TEDIO 6UN-DEMAIS PROD</t>
        </is>
      </c>
      <c r="D1697" s="7" t="inlineStr">
        <is>
          <t>PERF/COSME</t>
        </is>
      </c>
      <c r="E1697" s="7" t="inlineStr">
        <is>
          <t>C</t>
        </is>
      </c>
      <c r="F1697" s="13" t="n">
        <v>1</v>
      </c>
      <c r="G1697" s="13" t="n">
        <v>1</v>
      </c>
      <c r="H1697" s="8" t="n">
        <v>5.2367</v>
      </c>
      <c r="I1697" s="8" t="n">
        <v>5.2367</v>
      </c>
      <c r="J1697" s="8" t="n">
        <v>5.2367</v>
      </c>
      <c r="K1697" s="8" t="n"/>
      <c r="L1697" s="8" t="n"/>
      <c r="M1697" s="8" t="n"/>
      <c r="N1697" s="8" t="n"/>
      <c r="O1697" s="8" t="n"/>
      <c r="P1697" s="8" t="n"/>
      <c r="Q1697" s="8" t="n"/>
      <c r="R1697" s="8" t="n"/>
      <c r="S1697" s="8" t="n"/>
      <c r="T1697" s="7" t="inlineStr">
        <is>
          <t>SEM COTAÇÃO</t>
        </is>
      </c>
      <c r="U1697" s="8" t="n"/>
      <c r="V1697" s="14" t="n"/>
      <c r="W1697" s="14" t="n"/>
      <c r="X1697" s="7" t="inlineStr"/>
      <c r="Y1697" s="7" t="inlineStr"/>
    </row>
    <row r="1698">
      <c r="A1698" s="7" t="n">
        <v>651811</v>
      </c>
      <c r="B1698" s="12" t="inlineStr">
        <is>
          <t>7908615090504</t>
        </is>
      </c>
      <c r="C1698" s="7" t="inlineStr">
        <is>
          <t>ESM COLORAMA VERDE INVEJA 6UN-DEMAIS PROD</t>
        </is>
      </c>
      <c r="D1698" s="7" t="inlineStr">
        <is>
          <t>PERF/COSME</t>
        </is>
      </c>
      <c r="E1698" s="7" t="inlineStr">
        <is>
          <t>C</t>
        </is>
      </c>
      <c r="F1698" s="13" t="n">
        <v>1</v>
      </c>
      <c r="G1698" s="13" t="n">
        <v>1</v>
      </c>
      <c r="H1698" s="8" t="n">
        <v>5.0917</v>
      </c>
      <c r="I1698" s="8" t="n">
        <v>5.0917</v>
      </c>
      <c r="J1698" s="8" t="n">
        <v>5.0917</v>
      </c>
      <c r="K1698" s="8" t="n"/>
      <c r="L1698" s="8" t="n"/>
      <c r="M1698" s="8" t="n"/>
      <c r="N1698" s="8" t="n"/>
      <c r="O1698" s="8" t="n"/>
      <c r="P1698" s="8" t="n"/>
      <c r="Q1698" s="8" t="n"/>
      <c r="R1698" s="8" t="n"/>
      <c r="S1698" s="8" t="n"/>
      <c r="T1698" s="7" t="inlineStr">
        <is>
          <t>SEM COTAÇÃO</t>
        </is>
      </c>
      <c r="U1698" s="8" t="n"/>
      <c r="V1698" s="14" t="n"/>
      <c r="W1698" s="14" t="n"/>
      <c r="X1698" s="7" t="inlineStr"/>
      <c r="Y1698" s="7" t="inlineStr"/>
    </row>
    <row r="1699">
      <c r="A1699" s="7" t="n">
        <v>651821</v>
      </c>
      <c r="B1699" s="12" t="inlineStr">
        <is>
          <t>7908615090658</t>
        </is>
      </c>
      <c r="C1699" s="7" t="inlineStr">
        <is>
          <t>ESM COLORAMA VERDINHO ENJOAD 6UN-DEMAIS PROD</t>
        </is>
      </c>
      <c r="D1699" s="7" t="inlineStr">
        <is>
          <t>PERF/COSME</t>
        </is>
      </c>
      <c r="E1699" s="7" t="inlineStr">
        <is>
          <t>C</t>
        </is>
      </c>
      <c r="F1699" s="13" t="n">
        <v>1</v>
      </c>
      <c r="G1699" s="13" t="n">
        <v>1</v>
      </c>
      <c r="H1699" s="8" t="n">
        <v>5.2383</v>
      </c>
      <c r="I1699" s="8" t="n">
        <v>5.2383</v>
      </c>
      <c r="J1699" s="8" t="n">
        <v>5.2383</v>
      </c>
      <c r="K1699" s="8" t="n"/>
      <c r="L1699" s="8" t="n"/>
      <c r="M1699" s="8" t="n"/>
      <c r="N1699" s="8" t="n"/>
      <c r="O1699" s="8" t="n"/>
      <c r="P1699" s="8" t="n"/>
      <c r="Q1699" s="8" t="n"/>
      <c r="R1699" s="8" t="n"/>
      <c r="S1699" s="8" t="n"/>
      <c r="T1699" s="7" t="inlineStr">
        <is>
          <t>SEM COTAÇÃO</t>
        </is>
      </c>
      <c r="U1699" s="8" t="n"/>
      <c r="V1699" s="14" t="n"/>
      <c r="W1699" s="14" t="n"/>
      <c r="X1699" s="7" t="inlineStr"/>
      <c r="Y1699" s="7" t="inlineStr"/>
    </row>
    <row r="1700">
      <c r="A1700" s="7" t="n">
        <v>701601</v>
      </c>
      <c r="B1700" s="12" t="inlineStr">
        <is>
          <t>7899026414617</t>
        </is>
      </c>
      <c r="C1700" s="7" t="inlineStr">
        <is>
          <t>ESM COL_CINT ALGODAO DOCE</t>
        </is>
      </c>
      <c r="D1700" s="7" t="inlineStr">
        <is>
          <t>PERF/COSME</t>
        </is>
      </c>
      <c r="E1700" s="7" t="inlineStr">
        <is>
          <t>C</t>
        </is>
      </c>
      <c r="F1700" s="13" t="n">
        <v>2</v>
      </c>
      <c r="G1700" s="13" t="n">
        <v>2</v>
      </c>
      <c r="H1700" s="8" t="n">
        <v>5.93</v>
      </c>
      <c r="I1700" s="8" t="n">
        <v>5.93</v>
      </c>
      <c r="J1700" s="8" t="n">
        <v>5.93</v>
      </c>
      <c r="K1700" s="8" t="n"/>
      <c r="L1700" s="8" t="n"/>
      <c r="M1700" s="8" t="n"/>
      <c r="N1700" s="8" t="n"/>
      <c r="O1700" s="8" t="n"/>
      <c r="P1700" s="8" t="n"/>
      <c r="Q1700" s="8" t="n"/>
      <c r="R1700" s="8" t="n"/>
      <c r="S1700" s="8" t="n"/>
      <c r="T1700" s="7" t="inlineStr">
        <is>
          <t>SEM COTAÇÃO</t>
        </is>
      </c>
      <c r="U1700" s="8" t="n"/>
      <c r="V1700" s="14" t="n"/>
      <c r="W1700" s="14" t="n"/>
      <c r="X1700" s="7" t="inlineStr"/>
      <c r="Y1700" s="7" t="inlineStr"/>
    </row>
    <row r="1701">
      <c r="A1701" s="7" t="n">
        <v>701501</v>
      </c>
      <c r="B1701" s="12" t="inlineStr">
        <is>
          <t>7899026422308</t>
        </is>
      </c>
      <c r="C1701" s="7" t="inlineStr">
        <is>
          <t>ESM COL_COBERTURA INTENSIFICADOR COR</t>
        </is>
      </c>
      <c r="D1701" s="7" t="inlineStr">
        <is>
          <t>PERF/COSME</t>
        </is>
      </c>
      <c r="E1701" s="7" t="inlineStr">
        <is>
          <t>B</t>
        </is>
      </c>
      <c r="F1701" s="13" t="n">
        <v>2</v>
      </c>
      <c r="G1701" s="13" t="n">
        <v>2</v>
      </c>
      <c r="H1701" s="8" t="n">
        <v>7.83</v>
      </c>
      <c r="I1701" s="8" t="n">
        <v>7.83</v>
      </c>
      <c r="J1701" s="8" t="n">
        <v>7.830000000000001</v>
      </c>
      <c r="K1701" s="8" t="n"/>
      <c r="L1701" s="8" t="n"/>
      <c r="M1701" s="8" t="n"/>
      <c r="N1701" s="8" t="n"/>
      <c r="O1701" s="8" t="n"/>
      <c r="P1701" s="8" t="n"/>
      <c r="Q1701" s="8" t="n"/>
      <c r="R1701" s="8" t="n"/>
      <c r="S1701" s="8" t="n"/>
      <c r="T1701" s="7" t="inlineStr">
        <is>
          <t>SEM COTAÇÃO</t>
        </is>
      </c>
      <c r="U1701" s="8" t="n"/>
      <c r="V1701" s="14" t="n"/>
      <c r="W1701" s="14" t="n"/>
      <c r="X1701" s="7" t="inlineStr"/>
      <c r="Y1701" s="7" t="inlineStr"/>
    </row>
    <row r="1702">
      <c r="A1702" s="7" t="n">
        <v>700901</v>
      </c>
      <c r="B1702" s="12" t="inlineStr">
        <is>
          <t>7899026407626</t>
        </is>
      </c>
      <c r="C1702" s="7" t="inlineStr">
        <is>
          <t>ESM COL_CREM FRANCA</t>
        </is>
      </c>
      <c r="D1702" s="7" t="inlineStr">
        <is>
          <t>PERF/COSME</t>
        </is>
      </c>
      <c r="E1702" s="7" t="inlineStr">
        <is>
          <t>C</t>
        </is>
      </c>
      <c r="F1702" s="13" t="n">
        <v>1</v>
      </c>
      <c r="G1702" s="13" t="n">
        <v>1</v>
      </c>
      <c r="H1702" s="8" t="n">
        <v>5.93</v>
      </c>
      <c r="I1702" s="8" t="n">
        <v>5.93</v>
      </c>
      <c r="J1702" s="8" t="n">
        <v>5.93</v>
      </c>
      <c r="K1702" s="8" t="n"/>
      <c r="L1702" s="8" t="n"/>
      <c r="M1702" s="8" t="n"/>
      <c r="N1702" s="8" t="n"/>
      <c r="O1702" s="8" t="n"/>
      <c r="P1702" s="8" t="n"/>
      <c r="Q1702" s="8" t="n"/>
      <c r="R1702" s="8" t="n"/>
      <c r="S1702" s="8" t="n"/>
      <c r="T1702" s="7" t="inlineStr">
        <is>
          <t>SEM COTAÇÃO</t>
        </is>
      </c>
      <c r="U1702" s="8" t="n"/>
      <c r="V1702" s="14" t="n"/>
      <c r="W1702" s="14" t="n"/>
      <c r="X1702" s="7" t="inlineStr"/>
      <c r="Y1702" s="7" t="inlineStr"/>
    </row>
    <row r="1703">
      <c r="A1703" s="7" t="n">
        <v>702501</v>
      </c>
      <c r="B1703" s="12" t="inlineStr">
        <is>
          <t>7899026415478</t>
        </is>
      </c>
      <c r="C1703" s="7" t="inlineStr">
        <is>
          <t>ESM COL_CREM JABUTICABA</t>
        </is>
      </c>
      <c r="D1703" s="7" t="inlineStr">
        <is>
          <t>PERF/COSME</t>
        </is>
      </c>
      <c r="E1703" s="7" t="inlineStr">
        <is>
          <t>C</t>
        </is>
      </c>
      <c r="F1703" s="13" t="n">
        <v>1</v>
      </c>
      <c r="G1703" s="13" t="n">
        <v>1</v>
      </c>
      <c r="H1703" s="8" t="n">
        <v>5.93</v>
      </c>
      <c r="I1703" s="8" t="n">
        <v>5.93</v>
      </c>
      <c r="J1703" s="8" t="n">
        <v>5.93</v>
      </c>
      <c r="K1703" s="8" t="n"/>
      <c r="L1703" s="8" t="n"/>
      <c r="M1703" s="8" t="n"/>
      <c r="N1703" s="8" t="n"/>
      <c r="O1703" s="8" t="n"/>
      <c r="P1703" s="15" t="n">
        <v>5.35</v>
      </c>
      <c r="Q1703" s="8" t="n"/>
      <c r="R1703" s="8" t="n"/>
      <c r="S1703" s="8" t="n"/>
      <c r="T1703" s="7" t="inlineStr">
        <is>
          <t>NAZARIA</t>
        </is>
      </c>
      <c r="U1703" s="8" t="n">
        <v>5.35</v>
      </c>
      <c r="V1703" s="14">
        <f>U1703/J1703-1</f>
        <v/>
      </c>
      <c r="W1703" s="14">
        <f>U1703/H1703-1</f>
        <v/>
      </c>
      <c r="X1703" s="17" t="inlineStr">
        <is>
          <t>OK (≤ menor hist.)</t>
        </is>
      </c>
      <c r="Y1703" s="7" t="inlineStr"/>
    </row>
    <row r="1704">
      <c r="A1704" s="7" t="n">
        <v>701001</v>
      </c>
      <c r="B1704" s="12" t="inlineStr">
        <is>
          <t>7899026401792</t>
        </is>
      </c>
      <c r="C1704" s="7" t="inlineStr">
        <is>
          <t>ESM COL_CUID BASE SETIM</t>
        </is>
      </c>
      <c r="D1704" s="7" t="inlineStr">
        <is>
          <t>PERF/COSME</t>
        </is>
      </c>
      <c r="E1704" s="7" t="inlineStr">
        <is>
          <t>C</t>
        </is>
      </c>
      <c r="F1704" s="13" t="n">
        <v>1</v>
      </c>
      <c r="G1704" s="13" t="n">
        <v>1</v>
      </c>
      <c r="H1704" s="8" t="n">
        <v>5.93</v>
      </c>
      <c r="I1704" s="8" t="n">
        <v>5.93</v>
      </c>
      <c r="J1704" s="8" t="n">
        <v>5.93</v>
      </c>
      <c r="K1704" s="8" t="n"/>
      <c r="L1704" s="8" t="n"/>
      <c r="M1704" s="8" t="n"/>
      <c r="N1704" s="8" t="n"/>
      <c r="O1704" s="8" t="n"/>
      <c r="P1704" s="8" t="n"/>
      <c r="Q1704" s="8" t="n"/>
      <c r="R1704" s="8" t="n"/>
      <c r="S1704" s="8" t="n"/>
      <c r="T1704" s="7" t="inlineStr">
        <is>
          <t>SEM COTAÇÃO</t>
        </is>
      </c>
      <c r="U1704" s="8" t="n"/>
      <c r="V1704" s="14" t="n"/>
      <c r="W1704" s="14" t="n"/>
      <c r="X1704" s="7" t="inlineStr"/>
      <c r="Y1704" s="7" t="inlineStr"/>
    </row>
    <row r="1705">
      <c r="A1705" s="7" t="n">
        <v>702901</v>
      </c>
      <c r="B1705" s="12" t="inlineStr">
        <is>
          <t>7899026419025</t>
        </is>
      </c>
      <c r="C1705" s="7" t="inlineStr">
        <is>
          <t>ESM COL_NUTRIBASE PRO-FORTALECIMENTO</t>
        </is>
      </c>
      <c r="D1705" s="7" t="inlineStr">
        <is>
          <t>PERF/COSME</t>
        </is>
      </c>
      <c r="E1705" s="7" t="inlineStr">
        <is>
          <t>C</t>
        </is>
      </c>
      <c r="F1705" s="13" t="n">
        <v>1</v>
      </c>
      <c r="G1705" s="13" t="n">
        <v>1</v>
      </c>
      <c r="H1705" s="8" t="n">
        <v>8.140000000000001</v>
      </c>
      <c r="I1705" s="8" t="n">
        <v>8.140000000000001</v>
      </c>
      <c r="J1705" s="8" t="n">
        <v>8.140000000000001</v>
      </c>
      <c r="K1705" s="8" t="n"/>
      <c r="L1705" s="8" t="n"/>
      <c r="M1705" s="8" t="n"/>
      <c r="N1705" s="8" t="n"/>
      <c r="O1705" s="8" t="n"/>
      <c r="P1705" s="8" t="n"/>
      <c r="Q1705" s="8" t="n"/>
      <c r="R1705" s="8" t="n"/>
      <c r="S1705" s="8" t="n"/>
      <c r="T1705" s="7" t="inlineStr">
        <is>
          <t>SEM COTAÇÃO</t>
        </is>
      </c>
      <c r="U1705" s="8" t="n"/>
      <c r="V1705" s="14" t="n"/>
      <c r="W1705" s="14" t="n"/>
      <c r="X1705" s="7" t="inlineStr"/>
      <c r="Y1705" s="7" t="inlineStr"/>
    </row>
    <row r="1706">
      <c r="A1706" s="7" t="n">
        <v>669441</v>
      </c>
      <c r="B1706" s="12" t="inlineStr">
        <is>
          <t>7896111970942</t>
        </is>
      </c>
      <c r="C1706" s="7" t="inlineStr">
        <is>
          <t>ESM IMPALA BASE CASCO DE CAVALO</t>
        </is>
      </c>
      <c r="D1706" s="7" t="inlineStr">
        <is>
          <t>PERF/COSME</t>
        </is>
      </c>
      <c r="E1706" s="7" t="inlineStr">
        <is>
          <t>C</t>
        </is>
      </c>
      <c r="F1706" s="13" t="n">
        <v>2</v>
      </c>
      <c r="G1706" s="13" t="n">
        <v>2</v>
      </c>
      <c r="H1706" s="8" t="n">
        <v>5.67</v>
      </c>
      <c r="I1706" s="8" t="n">
        <v>5.67</v>
      </c>
      <c r="J1706" s="8" t="n">
        <v>5.669999999999999</v>
      </c>
      <c r="K1706" s="8" t="n"/>
      <c r="L1706" s="8" t="n"/>
      <c r="M1706" s="8" t="n"/>
      <c r="N1706" s="8" t="n"/>
      <c r="O1706" s="8" t="n"/>
      <c r="P1706" s="8" t="n"/>
      <c r="Q1706" s="8" t="n"/>
      <c r="R1706" s="8" t="n"/>
      <c r="S1706" s="8" t="n"/>
      <c r="T1706" s="7" t="inlineStr">
        <is>
          <t>SEM COTAÇÃO</t>
        </is>
      </c>
      <c r="U1706" s="8" t="n"/>
      <c r="V1706" s="14" t="n"/>
      <c r="W1706" s="14" t="n"/>
      <c r="X1706" s="7" t="inlineStr"/>
      <c r="Y1706" s="7" t="inlineStr"/>
    </row>
    <row r="1707">
      <c r="A1707" s="7" t="n">
        <v>669461</v>
      </c>
      <c r="B1707" s="12" t="inlineStr">
        <is>
          <t>7896111995327</t>
        </is>
      </c>
      <c r="C1707" s="7" t="inlineStr">
        <is>
          <t>ESM IMPALA CR A COR DA MODA ADMIRE</t>
        </is>
      </c>
      <c r="D1707" s="7" t="inlineStr">
        <is>
          <t>PERF/COSME</t>
        </is>
      </c>
      <c r="E1707" s="7" t="inlineStr">
        <is>
          <t>C</t>
        </is>
      </c>
      <c r="F1707" s="13" t="n">
        <v>2</v>
      </c>
      <c r="G1707" s="13" t="n">
        <v>2</v>
      </c>
      <c r="H1707" s="8" t="n">
        <v>5.03</v>
      </c>
      <c r="I1707" s="8" t="n">
        <v>5.03</v>
      </c>
      <c r="J1707" s="8" t="n">
        <v>5.03</v>
      </c>
      <c r="K1707" s="8" t="n"/>
      <c r="L1707" s="8" t="n"/>
      <c r="M1707" s="8" t="n"/>
      <c r="N1707" s="8" t="n"/>
      <c r="O1707" s="8" t="n"/>
      <c r="P1707" s="8" t="n"/>
      <c r="Q1707" s="8" t="n"/>
      <c r="R1707" s="8" t="n"/>
      <c r="S1707" s="8" t="n"/>
      <c r="T1707" s="7" t="inlineStr">
        <is>
          <t>SEM COTAÇÃO</t>
        </is>
      </c>
      <c r="U1707" s="8" t="n"/>
      <c r="V1707" s="14" t="n"/>
      <c r="W1707" s="14" t="n"/>
      <c r="X1707" s="7" t="inlineStr"/>
      <c r="Y1707" s="7" t="inlineStr"/>
    </row>
    <row r="1708">
      <c r="A1708" s="7" t="n">
        <v>669471</v>
      </c>
      <c r="B1708" s="12" t="inlineStr">
        <is>
          <t>7896111997420</t>
        </is>
      </c>
      <c r="C1708" s="7" t="inlineStr">
        <is>
          <t>ESM IMPALA CR A COR DA MODA ALENCO</t>
        </is>
      </c>
      <c r="D1708" s="7" t="inlineStr">
        <is>
          <t>PERF/COSME</t>
        </is>
      </c>
      <c r="E1708" s="7" t="inlineStr">
        <is>
          <t>C</t>
        </is>
      </c>
      <c r="F1708" s="13" t="n">
        <v>1</v>
      </c>
      <c r="G1708" s="13" t="n">
        <v>1</v>
      </c>
      <c r="H1708" s="8" t="n">
        <v>5.03</v>
      </c>
      <c r="I1708" s="8" t="n">
        <v>5.03</v>
      </c>
      <c r="J1708" s="8" t="n">
        <v>5.03</v>
      </c>
      <c r="K1708" s="8" t="n"/>
      <c r="L1708" s="8" t="n"/>
      <c r="M1708" s="8" t="n"/>
      <c r="N1708" s="8" t="n"/>
      <c r="O1708" s="8" t="n"/>
      <c r="P1708" s="8" t="n"/>
      <c r="Q1708" s="8" t="n"/>
      <c r="R1708" s="8" t="n"/>
      <c r="S1708" s="8" t="n"/>
      <c r="T1708" s="7" t="inlineStr">
        <is>
          <t>SEM COTAÇÃO</t>
        </is>
      </c>
      <c r="U1708" s="8" t="n"/>
      <c r="V1708" s="14" t="n"/>
      <c r="W1708" s="14" t="n"/>
      <c r="X1708" s="7" t="inlineStr"/>
      <c r="Y1708" s="7" t="inlineStr"/>
    </row>
    <row r="1709">
      <c r="A1709" s="7" t="n">
        <v>641121</v>
      </c>
      <c r="B1709" s="12" t="inlineStr">
        <is>
          <t>7896111999981</t>
        </is>
      </c>
      <c r="C1709" s="7" t="inlineStr">
        <is>
          <t>ESM IMPALA CR A COR DA MODA SOSSEGO</t>
        </is>
      </c>
      <c r="D1709" s="7" t="inlineStr">
        <is>
          <t>PERF/COSME</t>
        </is>
      </c>
      <c r="E1709" s="7" t="inlineStr">
        <is>
          <t>C</t>
        </is>
      </c>
      <c r="F1709" s="13" t="n">
        <v>1</v>
      </c>
      <c r="G1709" s="13" t="n">
        <v>1</v>
      </c>
      <c r="H1709" s="8" t="n">
        <v>4.35</v>
      </c>
      <c r="I1709" s="8" t="n">
        <v>4.35</v>
      </c>
      <c r="J1709" s="8" t="n">
        <v>4.35</v>
      </c>
      <c r="K1709" s="8" t="n"/>
      <c r="L1709" s="8" t="n"/>
      <c r="M1709" s="8" t="n"/>
      <c r="N1709" s="8" t="n"/>
      <c r="O1709" s="8" t="n"/>
      <c r="P1709" s="8" t="n"/>
      <c r="Q1709" s="8" t="n"/>
      <c r="R1709" s="8" t="n"/>
      <c r="S1709" s="8" t="n"/>
      <c r="T1709" s="7" t="inlineStr">
        <is>
          <t>SEM COTAÇÃO</t>
        </is>
      </c>
      <c r="U1709" s="8" t="n"/>
      <c r="V1709" s="14" t="n"/>
      <c r="W1709" s="14" t="n"/>
      <c r="X1709" s="7" t="inlineStr"/>
      <c r="Y1709" s="7" t="inlineStr"/>
    </row>
    <row r="1710">
      <c r="A1710" s="7" t="n">
        <v>641161</v>
      </c>
      <c r="B1710" s="12" t="inlineStr">
        <is>
          <t>7896111999080</t>
        </is>
      </c>
      <c r="C1710" s="7" t="inlineStr">
        <is>
          <t>ESM IMPALA CR ANA CASTELA LACAD PERFEITA</t>
        </is>
      </c>
      <c r="D1710" s="7" t="inlineStr">
        <is>
          <t>PERF/COSME</t>
        </is>
      </c>
      <c r="E1710" s="7" t="inlineStr">
        <is>
          <t>C</t>
        </is>
      </c>
      <c r="F1710" s="13" t="n">
        <v>1</v>
      </c>
      <c r="G1710" s="13" t="n">
        <v>1</v>
      </c>
      <c r="H1710" s="8" t="n">
        <v>5</v>
      </c>
      <c r="I1710" s="8" t="n">
        <v>5</v>
      </c>
      <c r="J1710" s="8" t="n">
        <v>5</v>
      </c>
      <c r="K1710" s="8" t="n"/>
      <c r="L1710" s="8" t="n"/>
      <c r="M1710" s="8" t="n"/>
      <c r="N1710" s="8" t="n"/>
      <c r="O1710" s="8" t="n"/>
      <c r="P1710" s="8" t="n"/>
      <c r="Q1710" s="8" t="n"/>
      <c r="R1710" s="8" t="n"/>
      <c r="S1710" s="8" t="n"/>
      <c r="T1710" s="7" t="inlineStr">
        <is>
          <t>SEM COTAÇÃO</t>
        </is>
      </c>
      <c r="U1710" s="8" t="n"/>
      <c r="V1710" s="14" t="n"/>
      <c r="W1710" s="14" t="n"/>
      <c r="X1710" s="7" t="inlineStr"/>
      <c r="Y1710" s="7" t="inlineStr"/>
    </row>
    <row r="1711">
      <c r="A1711" s="7" t="n">
        <v>641151</v>
      </c>
      <c r="B1711" s="12" t="inlineStr">
        <is>
          <t>7896111999042</t>
        </is>
      </c>
      <c r="C1711" s="7" t="inlineStr">
        <is>
          <t>ESM IMPALA CR ANA CASTELA ROCA ROSA</t>
        </is>
      </c>
      <c r="D1711" s="7" t="inlineStr">
        <is>
          <t>PERF/COSME</t>
        </is>
      </c>
      <c r="E1711" s="7" t="inlineStr">
        <is>
          <t>C</t>
        </is>
      </c>
      <c r="F1711" s="13" t="n">
        <v>1</v>
      </c>
      <c r="G1711" s="13" t="n">
        <v>1</v>
      </c>
      <c r="H1711" s="8" t="n">
        <v>4.8</v>
      </c>
      <c r="I1711" s="8" t="n">
        <v>4.8</v>
      </c>
      <c r="J1711" s="8" t="n">
        <v>4.8</v>
      </c>
      <c r="K1711" s="8" t="n"/>
      <c r="L1711" s="8" t="n"/>
      <c r="M1711" s="8" t="n"/>
      <c r="N1711" s="8" t="n"/>
      <c r="O1711" s="8" t="n"/>
      <c r="P1711" s="8" t="n"/>
      <c r="Q1711" s="8" t="n"/>
      <c r="R1711" s="8" t="n"/>
      <c r="S1711" s="8" t="n"/>
      <c r="T1711" s="7" t="inlineStr">
        <is>
          <t>SEM COTAÇÃO</t>
        </is>
      </c>
      <c r="U1711" s="8" t="n"/>
      <c r="V1711" s="14" t="n"/>
      <c r="W1711" s="14" t="n"/>
      <c r="X1711" s="7" t="inlineStr"/>
      <c r="Y1711" s="7" t="inlineStr"/>
    </row>
    <row r="1712">
      <c r="A1712" s="7" t="n">
        <v>641141</v>
      </c>
      <c r="B1712" s="12" t="inlineStr">
        <is>
          <t>7896111999165</t>
        </is>
      </c>
      <c r="C1712" s="7" t="inlineStr">
        <is>
          <t>ESM IMPALA CR ANA CASTELA SEGUR A FIVELA</t>
        </is>
      </c>
      <c r="D1712" s="7" t="inlineStr">
        <is>
          <t>PERF/COSME</t>
        </is>
      </c>
      <c r="E1712" s="7" t="inlineStr">
        <is>
          <t>C</t>
        </is>
      </c>
      <c r="F1712" s="13" t="n">
        <v>1</v>
      </c>
      <c r="G1712" s="13" t="n">
        <v>1</v>
      </c>
      <c r="H1712" s="8" t="n">
        <v>5</v>
      </c>
      <c r="I1712" s="8" t="n">
        <v>5</v>
      </c>
      <c r="J1712" s="8" t="n">
        <v>5</v>
      </c>
      <c r="K1712" s="8" t="n"/>
      <c r="L1712" s="8" t="n"/>
      <c r="M1712" s="8" t="n"/>
      <c r="N1712" s="8" t="n"/>
      <c r="O1712" s="8" t="n"/>
      <c r="P1712" s="8" t="n"/>
      <c r="Q1712" s="8" t="n"/>
      <c r="R1712" s="8" t="n"/>
      <c r="S1712" s="8" t="n"/>
      <c r="T1712" s="7" t="inlineStr">
        <is>
          <t>SEM COTAÇÃO</t>
        </is>
      </c>
      <c r="U1712" s="8" t="n"/>
      <c r="V1712" s="14" t="n"/>
      <c r="W1712" s="14" t="n"/>
      <c r="X1712" s="7" t="inlineStr"/>
      <c r="Y1712" s="7" t="inlineStr"/>
    </row>
    <row r="1713">
      <c r="A1713" s="7" t="n">
        <v>641131</v>
      </c>
      <c r="B1713" s="12" t="inlineStr">
        <is>
          <t>7896111999240</t>
        </is>
      </c>
      <c r="C1713" s="7" t="inlineStr">
        <is>
          <t>ESM IMPALA CR ANA CASTELA SOLT O AGRONEJ</t>
        </is>
      </c>
      <c r="D1713" s="7" t="inlineStr">
        <is>
          <t>PERF/COSME</t>
        </is>
      </c>
      <c r="E1713" s="7" t="inlineStr">
        <is>
          <t>C</t>
        </is>
      </c>
      <c r="F1713" s="13" t="n">
        <v>1</v>
      </c>
      <c r="G1713" s="13" t="n">
        <v>1</v>
      </c>
      <c r="H1713" s="8" t="n">
        <v>5</v>
      </c>
      <c r="I1713" s="8" t="n">
        <v>5</v>
      </c>
      <c r="J1713" s="8" t="n">
        <v>5</v>
      </c>
      <c r="K1713" s="8" t="n"/>
      <c r="L1713" s="8" t="n"/>
      <c r="M1713" s="8" t="n"/>
      <c r="N1713" s="8" t="n"/>
      <c r="O1713" s="8" t="n"/>
      <c r="P1713" s="8" t="n"/>
      <c r="Q1713" s="8" t="n"/>
      <c r="R1713" s="8" t="n"/>
      <c r="S1713" s="8" t="n"/>
      <c r="T1713" s="7" t="inlineStr">
        <is>
          <t>SEM COTAÇÃO</t>
        </is>
      </c>
      <c r="U1713" s="8" t="n"/>
      <c r="V1713" s="14" t="n"/>
      <c r="W1713" s="14" t="n"/>
      <c r="X1713" s="7" t="inlineStr"/>
      <c r="Y1713" s="7" t="inlineStr"/>
    </row>
    <row r="1714">
      <c r="A1714" s="7" t="n">
        <v>640991</v>
      </c>
      <c r="B1714" s="12" t="inlineStr">
        <is>
          <t>7896111999660</t>
        </is>
      </c>
      <c r="C1714" s="7" t="inlineStr">
        <is>
          <t>ESM IMPALA GLITTER 3D NINGUEM ME SEGURA</t>
        </is>
      </c>
      <c r="D1714" s="7" t="inlineStr">
        <is>
          <t>PERF/COSME</t>
        </is>
      </c>
      <c r="E1714" s="7" t="inlineStr">
        <is>
          <t>C</t>
        </is>
      </c>
      <c r="F1714" s="13" t="n">
        <v>1</v>
      </c>
      <c r="G1714" s="13" t="n">
        <v>1</v>
      </c>
      <c r="H1714" s="8" t="n">
        <v>6.54</v>
      </c>
      <c r="I1714" s="8" t="n">
        <v>6.54</v>
      </c>
      <c r="J1714" s="8" t="n">
        <v>6.54</v>
      </c>
      <c r="K1714" s="8" t="n"/>
      <c r="L1714" s="8" t="n"/>
      <c r="M1714" s="8" t="n"/>
      <c r="N1714" s="8" t="n"/>
      <c r="O1714" s="8" t="n"/>
      <c r="P1714" s="8" t="n"/>
      <c r="Q1714" s="8" t="n"/>
      <c r="R1714" s="8" t="n"/>
      <c r="S1714" s="8" t="n"/>
      <c r="T1714" s="7" t="inlineStr">
        <is>
          <t>SEM COTAÇÃO</t>
        </is>
      </c>
      <c r="U1714" s="8" t="n"/>
      <c r="V1714" s="14" t="n"/>
      <c r="W1714" s="14" t="n"/>
      <c r="X1714" s="7" t="inlineStr"/>
      <c r="Y1714" s="7" t="inlineStr"/>
    </row>
    <row r="1715">
      <c r="A1715" s="7" t="n">
        <v>640961</v>
      </c>
      <c r="B1715" s="12" t="inlineStr">
        <is>
          <t>7896111999639</t>
        </is>
      </c>
      <c r="C1715" s="7" t="inlineStr">
        <is>
          <t>ESM IMPALA GLITTER 3D VIM BRILHAR</t>
        </is>
      </c>
      <c r="D1715" s="7" t="inlineStr">
        <is>
          <t>PERF/COSME</t>
        </is>
      </c>
      <c r="E1715" s="7" t="inlineStr">
        <is>
          <t>C</t>
        </is>
      </c>
      <c r="F1715" s="13" t="n">
        <v>1</v>
      </c>
      <c r="G1715" s="13" t="n">
        <v>1</v>
      </c>
      <c r="H1715" s="8" t="n">
        <v>6.54</v>
      </c>
      <c r="I1715" s="8" t="n">
        <v>6.54</v>
      </c>
      <c r="J1715" s="8" t="n">
        <v>6.54</v>
      </c>
      <c r="K1715" s="8" t="n"/>
      <c r="L1715" s="8" t="n"/>
      <c r="M1715" s="8" t="n"/>
      <c r="N1715" s="8" t="n"/>
      <c r="O1715" s="8" t="n"/>
      <c r="P1715" s="8" t="n"/>
      <c r="Q1715" s="8" t="n"/>
      <c r="R1715" s="8" t="n"/>
      <c r="S1715" s="8" t="n"/>
      <c r="T1715" s="7" t="inlineStr">
        <is>
          <t>SEM COTAÇÃO</t>
        </is>
      </c>
      <c r="U1715" s="8" t="n"/>
      <c r="V1715" s="14" t="n"/>
      <c r="W1715" s="14" t="n"/>
      <c r="X1715" s="7" t="inlineStr"/>
      <c r="Y1715" s="7" t="inlineStr"/>
    </row>
    <row r="1716">
      <c r="A1716" s="7" t="n">
        <v>640951</v>
      </c>
      <c r="B1716" s="12" t="inlineStr">
        <is>
          <t>7896111985779</t>
        </is>
      </c>
      <c r="C1716" s="7" t="inlineStr">
        <is>
          <t>ESM IMPALA GLITTER 3D VIVA COM AMOR</t>
        </is>
      </c>
      <c r="D1716" s="7" t="inlineStr">
        <is>
          <t>PERF/COSME</t>
        </is>
      </c>
      <c r="E1716" s="7" t="inlineStr">
        <is>
          <t>C</t>
        </is>
      </c>
      <c r="F1716" s="13" t="n">
        <v>2</v>
      </c>
      <c r="G1716" s="13" t="n">
        <v>2</v>
      </c>
      <c r="H1716" s="8" t="n">
        <v>6.54</v>
      </c>
      <c r="I1716" s="8" t="n">
        <v>6.54</v>
      </c>
      <c r="J1716" s="8" t="n">
        <v>6.54</v>
      </c>
      <c r="K1716" s="8" t="n"/>
      <c r="L1716" s="8" t="n"/>
      <c r="M1716" s="8" t="n"/>
      <c r="N1716" s="8" t="n"/>
      <c r="O1716" s="8" t="n"/>
      <c r="P1716" s="8" t="n"/>
      <c r="Q1716" s="8" t="n"/>
      <c r="R1716" s="8" t="n"/>
      <c r="S1716" s="8" t="n"/>
      <c r="T1716" s="7" t="inlineStr">
        <is>
          <t>SEM COTAÇÃO</t>
        </is>
      </c>
      <c r="U1716" s="8" t="n"/>
      <c r="V1716" s="14" t="n"/>
      <c r="W1716" s="14" t="n"/>
      <c r="X1716" s="7" t="inlineStr"/>
      <c r="Y1716" s="7" t="inlineStr"/>
    </row>
    <row r="1717">
      <c r="A1717" s="7" t="n">
        <v>635601</v>
      </c>
      <c r="B1717" s="12" t="inlineStr">
        <is>
          <t>7896111913550</t>
        </is>
      </c>
      <c r="C1717" s="7" t="inlineStr">
        <is>
          <t>ESM IMPALA INCOLOR TRATAMENTO 7,5ML</t>
        </is>
      </c>
      <c r="D1717" s="7" t="inlineStr">
        <is>
          <t>PERF/COSME</t>
        </is>
      </c>
      <c r="E1717" s="7" t="inlineStr">
        <is>
          <t>C</t>
        </is>
      </c>
      <c r="F1717" s="13" t="n">
        <v>1</v>
      </c>
      <c r="G1717" s="13" t="n">
        <v>1</v>
      </c>
      <c r="H1717" s="8" t="n">
        <v>4.33</v>
      </c>
      <c r="I1717" s="8" t="n">
        <v>4.33</v>
      </c>
      <c r="J1717" s="8" t="n">
        <v>4.33</v>
      </c>
      <c r="K1717" s="8" t="n"/>
      <c r="L1717" s="8" t="n"/>
      <c r="M1717" s="8" t="n"/>
      <c r="N1717" s="8" t="n"/>
      <c r="O1717" s="8" t="n"/>
      <c r="P1717" s="8" t="n"/>
      <c r="Q1717" s="8" t="n"/>
      <c r="R1717" s="8" t="n"/>
      <c r="S1717" s="8" t="n"/>
      <c r="T1717" s="7" t="inlineStr">
        <is>
          <t>SEM COTAÇÃO</t>
        </is>
      </c>
      <c r="U1717" s="8" t="n"/>
      <c r="V1717" s="14" t="n"/>
      <c r="W1717" s="14" t="n"/>
      <c r="X1717" s="7" t="inlineStr"/>
      <c r="Y1717" s="7" t="inlineStr"/>
    </row>
    <row r="1718">
      <c r="A1718" s="7" t="n">
        <v>635611</v>
      </c>
      <c r="B1718" s="12" t="inlineStr">
        <is>
          <t>7896111913789</t>
        </is>
      </c>
      <c r="C1718" s="7" t="inlineStr">
        <is>
          <t>ESM IMPALA OLEO SECANTE TRAT 7,5ML</t>
        </is>
      </c>
      <c r="D1718" s="7" t="inlineStr">
        <is>
          <t>PERF/COSME</t>
        </is>
      </c>
      <c r="E1718" s="7" t="inlineStr">
        <is>
          <t>C</t>
        </is>
      </c>
      <c r="F1718" s="13" t="n">
        <v>1</v>
      </c>
      <c r="G1718" s="13" t="n">
        <v>1</v>
      </c>
      <c r="H1718" s="8" t="n">
        <v>3.66</v>
      </c>
      <c r="I1718" s="8" t="n">
        <v>3.66</v>
      </c>
      <c r="J1718" s="8" t="n">
        <v>3.66</v>
      </c>
      <c r="K1718" s="8" t="n"/>
      <c r="L1718" s="8" t="n"/>
      <c r="M1718" s="8" t="n"/>
      <c r="N1718" s="8" t="n"/>
      <c r="O1718" s="8" t="n"/>
      <c r="P1718" s="8" t="n"/>
      <c r="Q1718" s="8" t="n"/>
      <c r="R1718" s="8" t="n"/>
      <c r="S1718" s="8" t="n"/>
      <c r="T1718" s="7" t="inlineStr">
        <is>
          <t>SEM COTAÇÃO</t>
        </is>
      </c>
      <c r="U1718" s="8" t="n"/>
      <c r="V1718" s="14" t="n"/>
      <c r="W1718" s="14" t="n"/>
      <c r="X1718" s="7" t="inlineStr"/>
      <c r="Y1718" s="7" t="inlineStr"/>
    </row>
    <row r="1719">
      <c r="A1719" s="7" t="n">
        <v>641081</v>
      </c>
      <c r="B1719" s="12" t="inlineStr">
        <is>
          <t>7896111919552</t>
        </is>
      </c>
      <c r="C1719" s="7" t="inlineStr">
        <is>
          <t>ESM IMPALA PEROL LUA CT</t>
        </is>
      </c>
      <c r="D1719" s="7" t="inlineStr">
        <is>
          <t>PERF/COSME</t>
        </is>
      </c>
      <c r="E1719" s="7" t="inlineStr">
        <is>
          <t>C</t>
        </is>
      </c>
      <c r="F1719" s="13" t="n">
        <v>2</v>
      </c>
      <c r="G1719" s="13" t="n">
        <v>2</v>
      </c>
      <c r="H1719" s="8" t="n">
        <v>5.03</v>
      </c>
      <c r="I1719" s="8" t="n">
        <v>5.03</v>
      </c>
      <c r="J1719" s="8" t="n">
        <v>5.03</v>
      </c>
      <c r="K1719" s="8" t="n"/>
      <c r="L1719" s="8" t="n"/>
      <c r="M1719" s="8" t="n"/>
      <c r="N1719" s="8" t="n"/>
      <c r="O1719" s="8" t="n"/>
      <c r="P1719" s="8" t="n"/>
      <c r="Q1719" s="8" t="n"/>
      <c r="R1719" s="8" t="n"/>
      <c r="S1719" s="8" t="n"/>
      <c r="T1719" s="7" t="inlineStr">
        <is>
          <t>SEM COTAÇÃO</t>
        </is>
      </c>
      <c r="U1719" s="8" t="n"/>
      <c r="V1719" s="14" t="n"/>
      <c r="W1719" s="14" t="n"/>
      <c r="X1719" s="7" t="inlineStr"/>
      <c r="Y1719" s="7" t="inlineStr"/>
    </row>
    <row r="1720">
      <c r="A1720" s="7" t="n">
        <v>641071</v>
      </c>
      <c r="B1720" s="12" t="inlineStr">
        <is>
          <t>7896111930731</t>
        </is>
      </c>
      <c r="C1720" s="7" t="inlineStr">
        <is>
          <t>ESM IMPALA PEROL PARAISO CT</t>
        </is>
      </c>
      <c r="D1720" s="7" t="inlineStr">
        <is>
          <t>PERF/COSME</t>
        </is>
      </c>
      <c r="E1720" s="7" t="inlineStr">
        <is>
          <t>C</t>
        </is>
      </c>
      <c r="F1720" s="13" t="n">
        <v>1</v>
      </c>
      <c r="G1720" s="13" t="n">
        <v>1</v>
      </c>
      <c r="H1720" s="8" t="n">
        <v>4.6</v>
      </c>
      <c r="I1720" s="8" t="n">
        <v>4.6</v>
      </c>
      <c r="J1720" s="8" t="n">
        <v>4.6</v>
      </c>
      <c r="K1720" s="8" t="n"/>
      <c r="L1720" s="8" t="n"/>
      <c r="M1720" s="8" t="n"/>
      <c r="N1720" s="8" t="n"/>
      <c r="O1720" s="8" t="n"/>
      <c r="P1720" s="8" t="n"/>
      <c r="Q1720" s="8" t="n"/>
      <c r="R1720" s="8" t="n"/>
      <c r="S1720" s="8" t="n"/>
      <c r="T1720" s="7" t="inlineStr">
        <is>
          <t>SEM COTAÇÃO</t>
        </is>
      </c>
      <c r="U1720" s="8" t="n"/>
      <c r="V1720" s="14" t="n"/>
      <c r="W1720" s="14" t="n"/>
      <c r="X1720" s="7" t="inlineStr"/>
      <c r="Y1720" s="7" t="inlineStr"/>
    </row>
    <row r="1721">
      <c r="A1721" s="7" t="n">
        <v>641101</v>
      </c>
      <c r="B1721" s="12" t="inlineStr">
        <is>
          <t>7896111940938</t>
        </is>
      </c>
      <c r="C1721" s="7" t="inlineStr">
        <is>
          <t>ESM IMPALA PEROL POLAR CT</t>
        </is>
      </c>
      <c r="D1721" s="7" t="inlineStr">
        <is>
          <t>PERF/COSME</t>
        </is>
      </c>
      <c r="E1721" s="7" t="inlineStr">
        <is>
          <t>C</t>
        </is>
      </c>
      <c r="F1721" s="13" t="n">
        <v>1</v>
      </c>
      <c r="G1721" s="13" t="n">
        <v>1</v>
      </c>
      <c r="H1721" s="8" t="n">
        <v>4.6</v>
      </c>
      <c r="I1721" s="8" t="n">
        <v>4.6</v>
      </c>
      <c r="J1721" s="8" t="n">
        <v>4.6</v>
      </c>
      <c r="K1721" s="8" t="n"/>
      <c r="L1721" s="8" t="n"/>
      <c r="M1721" s="8" t="n"/>
      <c r="N1721" s="8" t="n"/>
      <c r="O1721" s="8" t="n"/>
      <c r="P1721" s="8" t="n"/>
      <c r="Q1721" s="8" t="n"/>
      <c r="R1721" s="8" t="n"/>
      <c r="S1721" s="8" t="n"/>
      <c r="T1721" s="7" t="inlineStr">
        <is>
          <t>SEM COTAÇÃO</t>
        </is>
      </c>
      <c r="U1721" s="8" t="n"/>
      <c r="V1721" s="14" t="n"/>
      <c r="W1721" s="14" t="n"/>
      <c r="X1721" s="7" t="inlineStr"/>
      <c r="Y1721" s="7" t="inlineStr"/>
    </row>
    <row r="1722">
      <c r="A1722" s="7" t="n">
        <v>641041</v>
      </c>
      <c r="B1722" s="12" t="inlineStr">
        <is>
          <t>7896111921722</t>
        </is>
      </c>
      <c r="C1722" s="7" t="inlineStr">
        <is>
          <t>ESM IMPALA TRAT BASE FORT CT</t>
        </is>
      </c>
      <c r="D1722" s="7" t="inlineStr">
        <is>
          <t>PERF/COSME</t>
        </is>
      </c>
      <c r="E1722" s="7" t="inlineStr">
        <is>
          <t>C</t>
        </is>
      </c>
      <c r="F1722" s="13" t="n">
        <v>2</v>
      </c>
      <c r="G1722" s="13" t="n">
        <v>2</v>
      </c>
      <c r="H1722" s="8" t="n">
        <v>4.72</v>
      </c>
      <c r="I1722" s="8" t="n">
        <v>4.72</v>
      </c>
      <c r="J1722" s="8" t="n">
        <v>4.72</v>
      </c>
      <c r="K1722" s="8" t="n"/>
      <c r="L1722" s="8" t="n"/>
      <c r="M1722" s="8" t="n"/>
      <c r="N1722" s="8" t="n"/>
      <c r="O1722" s="8" t="n"/>
      <c r="P1722" s="8" t="n"/>
      <c r="Q1722" s="8" t="n"/>
      <c r="R1722" s="8" t="n"/>
      <c r="S1722" s="8" t="n"/>
      <c r="T1722" s="7" t="inlineStr">
        <is>
          <t>SEM COTAÇÃO</t>
        </is>
      </c>
      <c r="U1722" s="8" t="n"/>
      <c r="V1722" s="14" t="n"/>
      <c r="W1722" s="14" t="n"/>
      <c r="X1722" s="7" t="inlineStr"/>
      <c r="Y1722" s="7" t="inlineStr"/>
    </row>
    <row r="1723">
      <c r="A1723" s="7" t="n">
        <v>641051</v>
      </c>
      <c r="B1723" s="12" t="inlineStr">
        <is>
          <t>7896111907641</t>
        </is>
      </c>
      <c r="C1723" s="7" t="inlineStr">
        <is>
          <t>ESM IMPALA TRAT BASE P/UNHAS FRACAS</t>
        </is>
      </c>
      <c r="D1723" s="7" t="inlineStr">
        <is>
          <t>PERF/COSME</t>
        </is>
      </c>
      <c r="E1723" s="7" t="inlineStr">
        <is>
          <t>C</t>
        </is>
      </c>
      <c r="F1723" s="13" t="n">
        <v>1</v>
      </c>
      <c r="G1723" s="13" t="n">
        <v>1</v>
      </c>
      <c r="H1723" s="8" t="n">
        <v>4.72</v>
      </c>
      <c r="I1723" s="8" t="n">
        <v>4.72</v>
      </c>
      <c r="J1723" s="8" t="n">
        <v>4.72</v>
      </c>
      <c r="K1723" s="8" t="n"/>
      <c r="L1723" s="8" t="n"/>
      <c r="M1723" s="8" t="n"/>
      <c r="N1723" s="8" t="n"/>
      <c r="O1723" s="8" t="n"/>
      <c r="P1723" s="8" t="n"/>
      <c r="Q1723" s="8" t="n"/>
      <c r="R1723" s="8" t="n"/>
      <c r="S1723" s="8" t="n"/>
      <c r="T1723" s="7" t="inlineStr">
        <is>
          <t>SEM COTAÇÃO</t>
        </is>
      </c>
      <c r="U1723" s="8" t="n"/>
      <c r="V1723" s="14" t="n"/>
      <c r="W1723" s="14" t="n"/>
      <c r="X1723" s="7" t="inlineStr"/>
      <c r="Y1723" s="7" t="inlineStr"/>
    </row>
    <row r="1724">
      <c r="A1724" s="7" t="n">
        <v>656451</v>
      </c>
      <c r="B1724" s="12" t="inlineStr">
        <is>
          <t>7896111907672</t>
        </is>
      </c>
      <c r="C1724" s="7" t="inlineStr">
        <is>
          <t>ESM IMPALA TRAT OLEO SECANTE CT</t>
        </is>
      </c>
      <c r="D1724" s="7" t="inlineStr">
        <is>
          <t>PERF/COSME</t>
        </is>
      </c>
      <c r="E1724" s="7" t="inlineStr">
        <is>
          <t>C</t>
        </is>
      </c>
      <c r="F1724" s="13" t="n">
        <v>1</v>
      </c>
      <c r="G1724" s="13" t="n">
        <v>1</v>
      </c>
      <c r="H1724" s="8" t="n">
        <v>4.72</v>
      </c>
      <c r="I1724" s="8" t="n">
        <v>4.72</v>
      </c>
      <c r="J1724" s="8" t="n">
        <v>4.72</v>
      </c>
      <c r="K1724" s="8" t="n"/>
      <c r="L1724" s="8" t="n"/>
      <c r="M1724" s="8" t="n"/>
      <c r="N1724" s="8" t="n"/>
      <c r="O1724" s="8" t="n"/>
      <c r="P1724" s="8" t="n"/>
      <c r="Q1724" s="8" t="n"/>
      <c r="R1724" s="8" t="n"/>
      <c r="S1724" s="8" t="n"/>
      <c r="T1724" s="7" t="inlineStr">
        <is>
          <t>SEM COTAÇÃO</t>
        </is>
      </c>
      <c r="U1724" s="8" t="n"/>
      <c r="V1724" s="14" t="n"/>
      <c r="W1724" s="14" t="n"/>
      <c r="X1724" s="7" t="inlineStr"/>
      <c r="Y1724" s="7" t="inlineStr"/>
    </row>
    <row r="1725">
      <c r="A1725" s="7" t="n">
        <v>641111</v>
      </c>
      <c r="B1725" s="12" t="inlineStr">
        <is>
          <t>7896111954492</t>
        </is>
      </c>
      <c r="C1725" s="7" t="inlineStr">
        <is>
          <t>ESM IMPALA VERNIZ EXT BRILHO ESP CT</t>
        </is>
      </c>
      <c r="D1725" s="7" t="inlineStr">
        <is>
          <t>PERF/COSME</t>
        </is>
      </c>
      <c r="E1725" s="7" t="inlineStr">
        <is>
          <t>C</t>
        </is>
      </c>
      <c r="F1725" s="13" t="n">
        <v>1</v>
      </c>
      <c r="G1725" s="13" t="n">
        <v>1</v>
      </c>
      <c r="H1725" s="8" t="n">
        <v>4.99</v>
      </c>
      <c r="I1725" s="8" t="n">
        <v>4.99</v>
      </c>
      <c r="J1725" s="8" t="n">
        <v>4.99</v>
      </c>
      <c r="K1725" s="8" t="n"/>
      <c r="L1725" s="8" t="n"/>
      <c r="M1725" s="8" t="n"/>
      <c r="N1725" s="8" t="n"/>
      <c r="O1725" s="8" t="n"/>
      <c r="P1725" s="8" t="n"/>
      <c r="Q1725" s="8" t="n"/>
      <c r="R1725" s="8" t="n"/>
      <c r="S1725" s="8" t="n"/>
      <c r="T1725" s="7" t="inlineStr">
        <is>
          <t>SEM COTAÇÃO</t>
        </is>
      </c>
      <c r="U1725" s="8" t="n"/>
      <c r="V1725" s="14" t="n"/>
      <c r="W1725" s="14" t="n"/>
      <c r="X1725" s="7" t="inlineStr"/>
      <c r="Y1725" s="7" t="inlineStr"/>
    </row>
    <row r="1726">
      <c r="A1726" s="7" t="n">
        <v>667091</v>
      </c>
      <c r="B1726" s="12" t="inlineStr">
        <is>
          <t>7891350046250</t>
        </is>
      </c>
      <c r="C1726" s="7" t="inlineStr">
        <is>
          <t>ESM RISQ PARA VER.MELHOR 6UN 8ML-DEMAIS PROD</t>
        </is>
      </c>
      <c r="D1726" s="7" t="inlineStr">
        <is>
          <t>PERF/COSME</t>
        </is>
      </c>
      <c r="E1726" s="7" t="inlineStr">
        <is>
          <t>C</t>
        </is>
      </c>
      <c r="F1726" s="13" t="n">
        <v>1</v>
      </c>
      <c r="G1726" s="13" t="n">
        <v>1</v>
      </c>
      <c r="H1726" s="8" t="n"/>
      <c r="I1726" s="8" t="n"/>
      <c r="J1726" s="8" t="n"/>
      <c r="K1726" s="8" t="n"/>
      <c r="L1726" s="8" t="n"/>
      <c r="M1726" s="8" t="n"/>
      <c r="N1726" s="8" t="n"/>
      <c r="O1726" s="8" t="n"/>
      <c r="P1726" s="8" t="n"/>
      <c r="Q1726" s="8" t="n"/>
      <c r="R1726" s="8" t="n"/>
      <c r="S1726" s="8" t="n"/>
      <c r="T1726" s="7" t="inlineStr">
        <is>
          <t>SEM COTAÇÃO</t>
        </is>
      </c>
      <c r="U1726" s="8" t="n"/>
      <c r="V1726" s="14" t="n"/>
      <c r="W1726" s="14" t="n"/>
      <c r="X1726" s="7" t="inlineStr"/>
      <c r="Y1726" s="7" t="inlineStr"/>
    </row>
    <row r="1727">
      <c r="A1727" s="7" t="n">
        <v>667101</v>
      </c>
      <c r="B1727" s="12" t="inlineStr">
        <is>
          <t>7891350046175</t>
        </is>
      </c>
      <c r="C1727" s="7" t="inlineStr">
        <is>
          <t>ESM RISQUE ASAS LIBERD 6UN 8ML-DEMAIS PROD</t>
        </is>
      </c>
      <c r="D1727" s="7" t="inlineStr">
        <is>
          <t>PERF/COSME</t>
        </is>
      </c>
      <c r="E1727" s="7" t="inlineStr">
        <is>
          <t>C</t>
        </is>
      </c>
      <c r="F1727" s="13" t="n">
        <v>1</v>
      </c>
      <c r="G1727" s="13" t="n">
        <v>1</v>
      </c>
      <c r="H1727" s="8" t="n"/>
      <c r="I1727" s="8" t="n"/>
      <c r="J1727" s="8" t="n"/>
      <c r="K1727" s="8" t="n"/>
      <c r="L1727" s="8" t="n"/>
      <c r="M1727" s="8" t="n"/>
      <c r="N1727" s="8" t="n"/>
      <c r="O1727" s="8" t="n"/>
      <c r="P1727" s="8" t="n"/>
      <c r="Q1727" s="8" t="n"/>
      <c r="R1727" s="8" t="n"/>
      <c r="S1727" s="8" t="n"/>
      <c r="T1727" s="7" t="inlineStr">
        <is>
          <t>SEM COTAÇÃO</t>
        </is>
      </c>
      <c r="U1727" s="8" t="n"/>
      <c r="V1727" s="14" t="n"/>
      <c r="W1727" s="14" t="n"/>
      <c r="X1727" s="7" t="inlineStr"/>
      <c r="Y1727" s="7" t="inlineStr"/>
    </row>
    <row r="1728">
      <c r="A1728" s="7" t="n">
        <v>630801</v>
      </c>
      <c r="B1728" s="12" t="inlineStr">
        <is>
          <t>7891182040020</t>
        </is>
      </c>
      <c r="C1728" s="7" t="inlineStr">
        <is>
          <t>ESM RISQUE BASE ORQUI SEDA UNID</t>
        </is>
      </c>
      <c r="D1728" s="7" t="inlineStr">
        <is>
          <t>PERF/COSME</t>
        </is>
      </c>
      <c r="E1728" s="7" t="inlineStr">
        <is>
          <t>C</t>
        </is>
      </c>
      <c r="F1728" s="13" t="n">
        <v>1</v>
      </c>
      <c r="G1728" s="13" t="n">
        <v>1</v>
      </c>
      <c r="H1728" s="8" t="n">
        <v>4.09</v>
      </c>
      <c r="I1728" s="8" t="n">
        <v>3.99</v>
      </c>
      <c r="J1728" s="8" t="n">
        <v>4.056666666666667</v>
      </c>
      <c r="K1728" s="8" t="n"/>
      <c r="L1728" s="8" t="n"/>
      <c r="M1728" s="8" t="n"/>
      <c r="N1728" s="8" t="n"/>
      <c r="O1728" s="8" t="n"/>
      <c r="P1728" s="8" t="n"/>
      <c r="Q1728" s="8" t="n"/>
      <c r="R1728" s="8" t="n"/>
      <c r="S1728" s="8" t="n"/>
      <c r="T1728" s="7" t="inlineStr">
        <is>
          <t>SEM COTAÇÃO</t>
        </is>
      </c>
      <c r="U1728" s="8" t="n"/>
      <c r="V1728" s="14" t="n"/>
      <c r="W1728" s="14" t="n"/>
      <c r="X1728" s="7" t="inlineStr"/>
      <c r="Y1728" s="7" t="inlineStr"/>
    </row>
    <row r="1729">
      <c r="A1729" s="7" t="n">
        <v>630701</v>
      </c>
      <c r="B1729" s="12" t="inlineStr">
        <is>
          <t>7891182018715</t>
        </is>
      </c>
      <c r="C1729" s="7" t="inlineStr">
        <is>
          <t>ESM RISQUE CINT MINI SAIA UNID</t>
        </is>
      </c>
      <c r="D1729" s="7" t="inlineStr">
        <is>
          <t>PERF/COSME</t>
        </is>
      </c>
      <c r="E1729" s="7" t="inlineStr">
        <is>
          <t>C</t>
        </is>
      </c>
      <c r="F1729" s="13" t="n">
        <v>1</v>
      </c>
      <c r="G1729" s="13" t="n">
        <v>1</v>
      </c>
      <c r="H1729" s="8" t="n">
        <v>4.6033</v>
      </c>
      <c r="I1729" s="8" t="n">
        <v>4.6033</v>
      </c>
      <c r="J1729" s="8" t="n">
        <v>4.6033</v>
      </c>
      <c r="K1729" s="8" t="n"/>
      <c r="L1729" s="8" t="n"/>
      <c r="M1729" s="8" t="n"/>
      <c r="N1729" s="8" t="n"/>
      <c r="O1729" s="8" t="n"/>
      <c r="P1729" s="8" t="n"/>
      <c r="Q1729" s="8" t="n"/>
      <c r="R1729" s="8" t="n"/>
      <c r="S1729" s="8" t="n"/>
      <c r="T1729" s="7" t="inlineStr">
        <is>
          <t>SEM COTAÇÃO</t>
        </is>
      </c>
      <c r="U1729" s="8" t="n"/>
      <c r="V1729" s="14" t="n"/>
      <c r="W1729" s="14" t="n"/>
      <c r="X1729" s="7" t="inlineStr"/>
      <c r="Y1729" s="7" t="inlineStr"/>
    </row>
    <row r="1730">
      <c r="A1730" s="7" t="n">
        <v>630731</v>
      </c>
      <c r="B1730" s="12" t="inlineStr">
        <is>
          <t>7891182017053</t>
        </is>
      </c>
      <c r="C1730" s="7" t="inlineStr">
        <is>
          <t>ESM RISQUE CREM CARMIM UNID</t>
        </is>
      </c>
      <c r="D1730" s="7" t="inlineStr">
        <is>
          <t>PERF/COSME</t>
        </is>
      </c>
      <c r="E1730" s="7" t="inlineStr">
        <is>
          <t>C</t>
        </is>
      </c>
      <c r="F1730" s="13" t="n">
        <v>1</v>
      </c>
      <c r="G1730" s="13" t="n">
        <v>1</v>
      </c>
      <c r="H1730" s="8" t="n">
        <v>0.7633</v>
      </c>
      <c r="I1730" s="8" t="n">
        <v>0.7633</v>
      </c>
      <c r="J1730" s="8" t="n">
        <v>0.7633</v>
      </c>
      <c r="K1730" s="8" t="n"/>
      <c r="L1730" s="8" t="n"/>
      <c r="M1730" s="8" t="n"/>
      <c r="N1730" s="8" t="n"/>
      <c r="O1730" s="8" t="n"/>
      <c r="P1730" s="8" t="n"/>
      <c r="Q1730" s="8" t="n"/>
      <c r="R1730" s="8" t="n"/>
      <c r="S1730" s="8" t="n"/>
      <c r="T1730" s="7" t="inlineStr">
        <is>
          <t>SEM COTAÇÃO</t>
        </is>
      </c>
      <c r="U1730" s="8" t="n"/>
      <c r="V1730" s="14" t="n"/>
      <c r="W1730" s="14" t="n"/>
      <c r="X1730" s="7" t="inlineStr"/>
      <c r="Y1730" s="7" t="inlineStr"/>
    </row>
    <row r="1731">
      <c r="A1731" s="7" t="n">
        <v>630811</v>
      </c>
      <c r="B1731" s="12" t="inlineStr">
        <is>
          <t>7891182014649</t>
        </is>
      </c>
      <c r="C1731" s="7" t="inlineStr">
        <is>
          <t>ESM RISQUE CREM LICOR UNID</t>
        </is>
      </c>
      <c r="D1731" s="7" t="inlineStr">
        <is>
          <t>PERF/COSME</t>
        </is>
      </c>
      <c r="E1731" s="7" t="inlineStr">
        <is>
          <t>C</t>
        </is>
      </c>
      <c r="F1731" s="13" t="n">
        <v>1</v>
      </c>
      <c r="G1731" s="13" t="n">
        <v>1</v>
      </c>
      <c r="H1731" s="8" t="n">
        <v>4.12</v>
      </c>
      <c r="I1731" s="8" t="n">
        <v>4.12</v>
      </c>
      <c r="J1731" s="8" t="n">
        <v>4.12</v>
      </c>
      <c r="K1731" s="8" t="n"/>
      <c r="L1731" s="8" t="n"/>
      <c r="M1731" s="8" t="n"/>
      <c r="N1731" s="8" t="n"/>
      <c r="O1731" s="8" t="n"/>
      <c r="P1731" s="8" t="n"/>
      <c r="Q1731" s="8" t="n"/>
      <c r="R1731" s="8" t="n"/>
      <c r="S1731" s="8" t="n"/>
      <c r="T1731" s="7" t="inlineStr">
        <is>
          <t>SEM COTAÇÃO</t>
        </is>
      </c>
      <c r="U1731" s="8" t="n"/>
      <c r="V1731" s="14" t="n"/>
      <c r="W1731" s="14" t="n"/>
      <c r="X1731" s="7" t="inlineStr"/>
      <c r="Y1731" s="7" t="inlineStr"/>
    </row>
    <row r="1732">
      <c r="A1732" s="7" t="n">
        <v>630721</v>
      </c>
      <c r="B1732" s="12" t="inlineStr">
        <is>
          <t>7891182014878</t>
        </is>
      </c>
      <c r="C1732" s="7" t="inlineStr">
        <is>
          <t>ESM RISQUE CREM NUDE LAGRIMA VENUS UNID</t>
        </is>
      </c>
      <c r="D1732" s="7" t="inlineStr">
        <is>
          <t>PERF/COSME</t>
        </is>
      </c>
      <c r="E1732" s="7" t="inlineStr">
        <is>
          <t>C</t>
        </is>
      </c>
      <c r="F1732" s="13" t="n">
        <v>1</v>
      </c>
      <c r="G1732" s="13" t="n">
        <v>1</v>
      </c>
      <c r="H1732" s="8" t="n">
        <v>3.99</v>
      </c>
      <c r="I1732" s="8" t="n">
        <v>3.99</v>
      </c>
      <c r="J1732" s="8" t="n">
        <v>3.99</v>
      </c>
      <c r="K1732" s="8" t="n"/>
      <c r="L1732" s="8" t="n"/>
      <c r="M1732" s="8" t="n"/>
      <c r="N1732" s="8" t="n"/>
      <c r="O1732" s="8" t="n"/>
      <c r="P1732" s="8" t="n"/>
      <c r="Q1732" s="8" t="n"/>
      <c r="R1732" s="8" t="n"/>
      <c r="S1732" s="8" t="n"/>
      <c r="T1732" s="7" t="inlineStr">
        <is>
          <t>SEM COTAÇÃO</t>
        </is>
      </c>
      <c r="U1732" s="8" t="n"/>
      <c r="V1732" s="14" t="n"/>
      <c r="W1732" s="14" t="n"/>
      <c r="X1732" s="7" t="inlineStr"/>
      <c r="Y1732" s="7" t="inlineStr"/>
    </row>
    <row r="1733">
      <c r="A1733" s="7" t="n">
        <v>630781</v>
      </c>
      <c r="B1733" s="12" t="inlineStr">
        <is>
          <t>7891182810142</t>
        </is>
      </c>
      <c r="C1733" s="7" t="inlineStr">
        <is>
          <t>ESM RISQUE CREM REBU UNID</t>
        </is>
      </c>
      <c r="D1733" s="7" t="inlineStr">
        <is>
          <t>PERF/COSME</t>
        </is>
      </c>
      <c r="E1733" s="7" t="inlineStr">
        <is>
          <t>C</t>
        </is>
      </c>
      <c r="F1733" s="13" t="n">
        <v>1</v>
      </c>
      <c r="G1733" s="13" t="n">
        <v>1</v>
      </c>
      <c r="H1733" s="8" t="n">
        <v>4.6033</v>
      </c>
      <c r="I1733" s="8" t="n">
        <v>4.6033</v>
      </c>
      <c r="J1733" s="8" t="n">
        <v>4.6033</v>
      </c>
      <c r="K1733" s="8" t="n"/>
      <c r="L1733" s="8" t="n"/>
      <c r="M1733" s="8" t="n"/>
      <c r="N1733" s="8" t="n"/>
      <c r="O1733" s="8" t="n"/>
      <c r="P1733" s="8" t="n"/>
      <c r="Q1733" s="8" t="n"/>
      <c r="R1733" s="8" t="n"/>
      <c r="S1733" s="8" t="n"/>
      <c r="T1733" s="7" t="inlineStr">
        <is>
          <t>SEM COTAÇÃO</t>
        </is>
      </c>
      <c r="U1733" s="8" t="n"/>
      <c r="V1733" s="14" t="n"/>
      <c r="W1733" s="14" t="n"/>
      <c r="X1733" s="7" t="inlineStr"/>
      <c r="Y1733" s="7" t="inlineStr"/>
    </row>
    <row r="1734">
      <c r="A1734" s="7" t="n">
        <v>652801</v>
      </c>
      <c r="B1734" s="12" t="inlineStr">
        <is>
          <t>7891350043167</t>
        </is>
      </c>
      <c r="C1734" s="7" t="inlineStr">
        <is>
          <t>ESM RISQUE DORITOS ATE ULTIMA TORTI</t>
        </is>
      </c>
      <c r="D1734" s="7" t="inlineStr">
        <is>
          <t>PERF/COSME</t>
        </is>
      </c>
      <c r="E1734" s="7" t="inlineStr">
        <is>
          <t>C</t>
        </is>
      </c>
      <c r="F1734" s="13" t="n">
        <v>1</v>
      </c>
      <c r="G1734" s="13" t="n">
        <v>1</v>
      </c>
      <c r="H1734" s="8" t="n">
        <v>5.83</v>
      </c>
      <c r="I1734" s="8" t="n">
        <v>5.83</v>
      </c>
      <c r="J1734" s="8" t="n">
        <v>5.830000000000001</v>
      </c>
      <c r="K1734" s="8" t="n"/>
      <c r="L1734" s="8" t="n"/>
      <c r="M1734" s="8" t="n"/>
      <c r="N1734" s="8" t="n"/>
      <c r="O1734" s="8" t="n"/>
      <c r="P1734" s="8" t="n"/>
      <c r="Q1734" s="8" t="n"/>
      <c r="R1734" s="8" t="n"/>
      <c r="S1734" s="8" t="n"/>
      <c r="T1734" s="7" t="inlineStr">
        <is>
          <t>SEM COTAÇÃO</t>
        </is>
      </c>
      <c r="U1734" s="8" t="n"/>
      <c r="V1734" s="14" t="n"/>
      <c r="W1734" s="14" t="n"/>
      <c r="X1734" s="7" t="inlineStr"/>
      <c r="Y1734" s="7" t="inlineStr"/>
    </row>
    <row r="1735">
      <c r="A1735" s="7" t="n">
        <v>652781</v>
      </c>
      <c r="B1735" s="12" t="inlineStr">
        <is>
          <t>7891350043143</t>
        </is>
      </c>
      <c r="C1735" s="7" t="inlineStr">
        <is>
          <t>ESM RISQUE DORITOS MET MUCHO NACHO</t>
        </is>
      </c>
      <c r="D1735" s="7" t="inlineStr">
        <is>
          <t>PERF/COSME</t>
        </is>
      </c>
      <c r="E1735" s="7" t="inlineStr">
        <is>
          <t>C</t>
        </is>
      </c>
      <c r="F1735" s="13" t="n">
        <v>3</v>
      </c>
      <c r="G1735" s="13" t="n">
        <v>3</v>
      </c>
      <c r="H1735" s="8" t="n">
        <v>5.83</v>
      </c>
      <c r="I1735" s="8" t="n">
        <v>5.83</v>
      </c>
      <c r="J1735" s="8" t="n">
        <v>5.830000000000001</v>
      </c>
      <c r="K1735" s="8" t="n"/>
      <c r="L1735" s="8" t="n"/>
      <c r="M1735" s="8" t="n"/>
      <c r="N1735" s="8" t="n"/>
      <c r="O1735" s="8" t="n"/>
      <c r="P1735" s="8" t="n"/>
      <c r="Q1735" s="8" t="n"/>
      <c r="R1735" s="8" t="n"/>
      <c r="S1735" s="8" t="n"/>
      <c r="T1735" s="7" t="inlineStr">
        <is>
          <t>SEM COTAÇÃO</t>
        </is>
      </c>
      <c r="U1735" s="8" t="n"/>
      <c r="V1735" s="14" t="n"/>
      <c r="W1735" s="14" t="n"/>
      <c r="X1735" s="7" t="inlineStr"/>
      <c r="Y1735" s="7" t="inlineStr"/>
    </row>
    <row r="1736">
      <c r="A1736" s="7" t="n">
        <v>652791</v>
      </c>
      <c r="B1736" s="12" t="inlineStr">
        <is>
          <t>7891350043150</t>
        </is>
      </c>
      <c r="C1736" s="7" t="inlineStr">
        <is>
          <t>ESM RISQUE DORITOS MET NADA OBVIO</t>
        </is>
      </c>
      <c r="D1736" s="7" t="inlineStr">
        <is>
          <t>PERF/COSME</t>
        </is>
      </c>
      <c r="E1736" s="7" t="inlineStr">
        <is>
          <t>C</t>
        </is>
      </c>
      <c r="F1736" s="13" t="n">
        <v>1</v>
      </c>
      <c r="G1736" s="13" t="n">
        <v>1</v>
      </c>
      <c r="H1736" s="8" t="n">
        <v>5.83</v>
      </c>
      <c r="I1736" s="8" t="n">
        <v>5.83</v>
      </c>
      <c r="J1736" s="8" t="n">
        <v>5.830000000000001</v>
      </c>
      <c r="K1736" s="8" t="n"/>
      <c r="L1736" s="8" t="n"/>
      <c r="M1736" s="8" t="n"/>
      <c r="N1736" s="8" t="n"/>
      <c r="O1736" s="8" t="n"/>
      <c r="P1736" s="8" t="n"/>
      <c r="Q1736" s="8" t="n"/>
      <c r="R1736" s="8" t="n"/>
      <c r="S1736" s="8" t="n"/>
      <c r="T1736" s="7" t="inlineStr">
        <is>
          <t>SEM COTAÇÃO</t>
        </is>
      </c>
      <c r="U1736" s="8" t="n"/>
      <c r="V1736" s="14" t="n"/>
      <c r="W1736" s="14" t="n"/>
      <c r="X1736" s="7" t="inlineStr"/>
      <c r="Y1736" s="7" t="inlineStr"/>
    </row>
    <row r="1737">
      <c r="A1737" s="7" t="n">
        <v>647931</v>
      </c>
      <c r="B1737" s="12" t="inlineStr">
        <is>
          <t>7891350043136</t>
        </is>
      </c>
      <c r="C1737" s="7" t="inlineStr">
        <is>
          <t>ESM RISQUE DORITOS MET OUSADIA</t>
        </is>
      </c>
      <c r="D1737" s="7" t="inlineStr">
        <is>
          <t>PERF/COSME</t>
        </is>
      </c>
      <c r="E1737" s="7" t="inlineStr">
        <is>
          <t>C</t>
        </is>
      </c>
      <c r="F1737" s="13" t="n">
        <v>1</v>
      </c>
      <c r="G1737" s="13" t="n">
        <v>1</v>
      </c>
      <c r="H1737" s="8" t="n">
        <v>5.83</v>
      </c>
      <c r="I1737" s="8" t="n">
        <v>5.83</v>
      </c>
      <c r="J1737" s="8" t="n">
        <v>5.830000000000001</v>
      </c>
      <c r="K1737" s="8" t="n"/>
      <c r="L1737" s="8" t="n"/>
      <c r="M1737" s="8" t="n"/>
      <c r="N1737" s="8" t="n"/>
      <c r="O1737" s="8" t="n"/>
      <c r="P1737" s="8" t="n"/>
      <c r="Q1737" s="8" t="n"/>
      <c r="R1737" s="8" t="n"/>
      <c r="S1737" s="8" t="n"/>
      <c r="T1737" s="7" t="inlineStr">
        <is>
          <t>SEM COTAÇÃO</t>
        </is>
      </c>
      <c r="U1737" s="8" t="n"/>
      <c r="V1737" s="14" t="n"/>
      <c r="W1737" s="14" t="n"/>
      <c r="X1737" s="7" t="inlineStr"/>
      <c r="Y1737" s="7" t="inlineStr"/>
    </row>
    <row r="1738">
      <c r="A1738" s="7" t="n">
        <v>652811</v>
      </c>
      <c r="B1738" s="12" t="inlineStr">
        <is>
          <t>7891350043105</t>
        </is>
      </c>
      <c r="C1738" s="7" t="inlineStr">
        <is>
          <t>ESM RISQUE DORITOS ULTIMO DORITOS</t>
        </is>
      </c>
      <c r="D1738" s="7" t="inlineStr">
        <is>
          <t>PERF/COSME</t>
        </is>
      </c>
      <c r="E1738" s="7" t="inlineStr">
        <is>
          <t>C</t>
        </is>
      </c>
      <c r="F1738" s="13" t="n">
        <v>1</v>
      </c>
      <c r="G1738" s="13" t="n">
        <v>1</v>
      </c>
      <c r="H1738" s="8" t="n">
        <v>5.83</v>
      </c>
      <c r="I1738" s="8" t="n">
        <v>5.83</v>
      </c>
      <c r="J1738" s="8" t="n">
        <v>5.830000000000001</v>
      </c>
      <c r="K1738" s="8" t="n"/>
      <c r="L1738" s="8" t="n"/>
      <c r="M1738" s="8" t="n"/>
      <c r="N1738" s="8" t="n"/>
      <c r="O1738" s="8" t="n"/>
      <c r="P1738" s="8" t="n"/>
      <c r="Q1738" s="8" t="n"/>
      <c r="R1738" s="8" t="n"/>
      <c r="S1738" s="8" t="n"/>
      <c r="T1738" s="7" t="inlineStr">
        <is>
          <t>SEM COTAÇÃO</t>
        </is>
      </c>
      <c r="U1738" s="8" t="n"/>
      <c r="V1738" s="14" t="n"/>
      <c r="W1738" s="14" t="n"/>
      <c r="X1738" s="7" t="inlineStr"/>
      <c r="Y1738" s="7" t="inlineStr"/>
    </row>
    <row r="1739">
      <c r="A1739" s="7" t="n">
        <v>652821</v>
      </c>
      <c r="B1739" s="12" t="inlineStr">
        <is>
          <t>7891350045444</t>
        </is>
      </c>
      <c r="C1739" s="7" t="inlineStr">
        <is>
          <t>ESM RISQUE MANICORES MET ESMALTERAPIA</t>
        </is>
      </c>
      <c r="D1739" s="7" t="inlineStr">
        <is>
          <t>PERF/COSME</t>
        </is>
      </c>
      <c r="E1739" s="7" t="inlineStr">
        <is>
          <t>C</t>
        </is>
      </c>
      <c r="F1739" s="13" t="n">
        <v>1</v>
      </c>
      <c r="G1739" s="13" t="n">
        <v>1</v>
      </c>
      <c r="H1739" s="8" t="n">
        <v>6.24</v>
      </c>
      <c r="I1739" s="8" t="n">
        <v>6.24</v>
      </c>
      <c r="J1739" s="8" t="n">
        <v>6.239999999999999</v>
      </c>
      <c r="K1739" s="8" t="n"/>
      <c r="L1739" s="8" t="n"/>
      <c r="M1739" s="8" t="n"/>
      <c r="N1739" s="8" t="n"/>
      <c r="O1739" s="8" t="n"/>
      <c r="P1739" s="8" t="n"/>
      <c r="Q1739" s="8" t="n"/>
      <c r="R1739" s="8" t="n"/>
      <c r="S1739" s="8" t="n"/>
      <c r="T1739" s="7" t="inlineStr">
        <is>
          <t>SEM COTAÇÃO</t>
        </is>
      </c>
      <c r="U1739" s="8" t="n"/>
      <c r="V1739" s="14" t="n"/>
      <c r="W1739" s="14" t="n"/>
      <c r="X1739" s="7" t="inlineStr"/>
      <c r="Y1739" s="7" t="inlineStr"/>
    </row>
    <row r="1740">
      <c r="A1740" s="7" t="n">
        <v>652831</v>
      </c>
      <c r="B1740" s="12" t="inlineStr">
        <is>
          <t>7891350045468</t>
        </is>
      </c>
      <c r="C1740" s="7" t="inlineStr">
        <is>
          <t>ESM RISQUE MANICORES MET ESQUECE GRITTI</t>
        </is>
      </c>
      <c r="D1740" s="7" t="inlineStr">
        <is>
          <t>PERF/COSME</t>
        </is>
      </c>
      <c r="E1740" s="7" t="inlineStr">
        <is>
          <t>C</t>
        </is>
      </c>
      <c r="F1740" s="13" t="n">
        <v>1</v>
      </c>
      <c r="G1740" s="13" t="n">
        <v>1</v>
      </c>
      <c r="H1740" s="8" t="n">
        <v>6.24</v>
      </c>
      <c r="I1740" s="8" t="n">
        <v>6.24</v>
      </c>
      <c r="J1740" s="8" t="n">
        <v>6.239999999999999</v>
      </c>
      <c r="K1740" s="8" t="n"/>
      <c r="L1740" s="8" t="n"/>
      <c r="M1740" s="8" t="n"/>
      <c r="N1740" s="8" t="n"/>
      <c r="O1740" s="8" t="n"/>
      <c r="P1740" s="8" t="n"/>
      <c r="Q1740" s="8" t="n"/>
      <c r="R1740" s="8" t="n"/>
      <c r="S1740" s="8" t="n"/>
      <c r="T1740" s="7" t="inlineStr">
        <is>
          <t>SEM COTAÇÃO</t>
        </is>
      </c>
      <c r="U1740" s="8" t="n"/>
      <c r="V1740" s="14" t="n"/>
      <c r="W1740" s="14" t="n"/>
      <c r="X1740" s="7" t="inlineStr"/>
      <c r="Y1740" s="7" t="inlineStr"/>
    </row>
    <row r="1741">
      <c r="A1741" s="7" t="n">
        <v>652841</v>
      </c>
      <c r="B1741" s="12" t="inlineStr">
        <is>
          <t>7891350045451</t>
        </is>
      </c>
      <c r="C1741" s="7" t="inlineStr">
        <is>
          <t>ESM RISQUE MANICORES MET JOGA UNIVERSO</t>
        </is>
      </c>
      <c r="D1741" s="7" t="inlineStr">
        <is>
          <t>PERF/COSME</t>
        </is>
      </c>
      <c r="E1741" s="7" t="inlineStr">
        <is>
          <t>C</t>
        </is>
      </c>
      <c r="F1741" s="13" t="n">
        <v>1</v>
      </c>
      <c r="G1741" s="13" t="n">
        <v>1</v>
      </c>
      <c r="H1741" s="8" t="n">
        <v>6.24</v>
      </c>
      <c r="I1741" s="8" t="n">
        <v>6.24</v>
      </c>
      <c r="J1741" s="8" t="n">
        <v>6.239999999999999</v>
      </c>
      <c r="K1741" s="8" t="n"/>
      <c r="L1741" s="8" t="n"/>
      <c r="M1741" s="8" t="n"/>
      <c r="N1741" s="8" t="n"/>
      <c r="O1741" s="8" t="n"/>
      <c r="P1741" s="8" t="n"/>
      <c r="Q1741" s="8" t="n"/>
      <c r="R1741" s="8" t="n"/>
      <c r="S1741" s="8" t="n"/>
      <c r="T1741" s="7" t="inlineStr">
        <is>
          <t>SEM COTAÇÃO</t>
        </is>
      </c>
      <c r="U1741" s="8" t="n"/>
      <c r="V1741" s="14" t="n"/>
      <c r="W1741" s="14" t="n"/>
      <c r="X1741" s="7" t="inlineStr"/>
      <c r="Y1741" s="7" t="inlineStr"/>
    </row>
    <row r="1742">
      <c r="A1742" s="7" t="n">
        <v>666931</v>
      </c>
      <c r="B1742" s="12" t="inlineStr"/>
      <c r="C1742" s="7" t="inlineStr">
        <is>
          <t>ESM RISQUE PROFUN MEU EU 6UN 8ML-DEMAIS PROD</t>
        </is>
      </c>
      <c r="D1742" s="7" t="inlineStr">
        <is>
          <t>PERF/COSME</t>
        </is>
      </c>
      <c r="E1742" s="7" t="inlineStr">
        <is>
          <t>C</t>
        </is>
      </c>
      <c r="F1742" s="13" t="n">
        <v>1</v>
      </c>
      <c r="G1742" s="13" t="n">
        <v>1</v>
      </c>
      <c r="H1742" s="8" t="n"/>
      <c r="I1742" s="8" t="n"/>
      <c r="J1742" s="8" t="n"/>
      <c r="K1742" s="8" t="n"/>
      <c r="L1742" s="8" t="n"/>
      <c r="M1742" s="8" t="n"/>
      <c r="N1742" s="8" t="n"/>
      <c r="O1742" s="8" t="n"/>
      <c r="P1742" s="8" t="n"/>
      <c r="Q1742" s="8" t="n"/>
      <c r="R1742" s="8" t="n"/>
      <c r="S1742" s="8" t="n"/>
      <c r="T1742" s="7" t="inlineStr">
        <is>
          <t>SEM COTAÇÃO</t>
        </is>
      </c>
      <c r="U1742" s="8" t="n"/>
      <c r="V1742" s="14" t="n"/>
      <c r="W1742" s="14" t="n"/>
      <c r="X1742" s="7" t="inlineStr"/>
      <c r="Y1742" s="7" t="inlineStr"/>
    </row>
    <row r="1743">
      <c r="A1743" s="7" t="n">
        <v>670791</v>
      </c>
      <c r="B1743" s="12" t="inlineStr">
        <is>
          <t>7891350042962</t>
        </is>
      </c>
      <c r="C1743" s="7" t="inlineStr">
        <is>
          <t>ESM RISQUE REG CINT CICLETE ME ESQ 8ML</t>
        </is>
      </c>
      <c r="D1743" s="7" t="inlineStr">
        <is>
          <t>PERF/COSME</t>
        </is>
      </c>
      <c r="E1743" s="7" t="inlineStr">
        <is>
          <t>C</t>
        </is>
      </c>
      <c r="F1743" s="13" t="n">
        <v>1</v>
      </c>
      <c r="G1743" s="13" t="n">
        <v>1</v>
      </c>
      <c r="H1743" s="8" t="n">
        <v>3.99</v>
      </c>
      <c r="I1743" s="8" t="n">
        <v>3.99</v>
      </c>
      <c r="J1743" s="8" t="n">
        <v>3.99</v>
      </c>
      <c r="K1743" s="8" t="n"/>
      <c r="L1743" s="8" t="n"/>
      <c r="M1743" s="8" t="n"/>
      <c r="N1743" s="8" t="n"/>
      <c r="O1743" s="8" t="n"/>
      <c r="P1743" s="8" t="n"/>
      <c r="Q1743" s="8" t="n"/>
      <c r="R1743" s="8" t="n"/>
      <c r="S1743" s="8" t="n"/>
      <c r="T1743" s="7" t="inlineStr">
        <is>
          <t>SEM COTAÇÃO</t>
        </is>
      </c>
      <c r="U1743" s="8" t="n"/>
      <c r="V1743" s="14" t="n"/>
      <c r="W1743" s="14" t="n"/>
      <c r="X1743" s="7" t="inlineStr"/>
      <c r="Y1743" s="7" t="inlineStr"/>
    </row>
    <row r="1744">
      <c r="A1744" s="7" t="n">
        <v>670781</v>
      </c>
      <c r="B1744" s="12" t="inlineStr">
        <is>
          <t>7891182860017</t>
        </is>
      </c>
      <c r="C1744" s="7" t="inlineStr">
        <is>
          <t>ESM RISQUE REG CINT PLATINO 8ML</t>
        </is>
      </c>
      <c r="D1744" s="7" t="inlineStr">
        <is>
          <t>PERF/COSME</t>
        </is>
      </c>
      <c r="E1744" s="7" t="inlineStr">
        <is>
          <t>C</t>
        </is>
      </c>
      <c r="F1744" s="13" t="n">
        <v>1</v>
      </c>
      <c r="G1744" s="13" t="n">
        <v>1</v>
      </c>
      <c r="H1744" s="8" t="n">
        <v>3.99</v>
      </c>
      <c r="I1744" s="8" t="n">
        <v>3.99</v>
      </c>
      <c r="J1744" s="8" t="n">
        <v>3.99</v>
      </c>
      <c r="K1744" s="8" t="n"/>
      <c r="L1744" s="8" t="n"/>
      <c r="M1744" s="8" t="n"/>
      <c r="N1744" s="8" t="n"/>
      <c r="O1744" s="8" t="n"/>
      <c r="P1744" s="8" t="n"/>
      <c r="Q1744" s="8" t="n"/>
      <c r="R1744" s="8" t="n"/>
      <c r="S1744" s="8" t="n"/>
      <c r="T1744" s="7" t="inlineStr">
        <is>
          <t>SEM COTAÇÃO</t>
        </is>
      </c>
      <c r="U1744" s="8" t="n"/>
      <c r="V1744" s="14" t="n"/>
      <c r="W1744" s="14" t="n"/>
      <c r="X1744" s="7" t="inlineStr"/>
      <c r="Y1744" s="7" t="inlineStr"/>
    </row>
    <row r="1745">
      <c r="A1745" s="7" t="n">
        <v>635651</v>
      </c>
      <c r="B1745" s="12" t="inlineStr">
        <is>
          <t>7891182032353</t>
        </is>
      </c>
      <c r="C1745" s="7" t="inlineStr">
        <is>
          <t>ESM RISQUE REG CREM BEIJO 8ML</t>
        </is>
      </c>
      <c r="D1745" s="7" t="inlineStr">
        <is>
          <t>PERF/COSME</t>
        </is>
      </c>
      <c r="E1745" s="7" t="inlineStr">
        <is>
          <t>C</t>
        </is>
      </c>
      <c r="F1745" s="13" t="n">
        <v>1</v>
      </c>
      <c r="G1745" s="13" t="n">
        <v>1</v>
      </c>
      <c r="H1745" s="8" t="n">
        <v>3.99</v>
      </c>
      <c r="I1745" s="8" t="n">
        <v>3.99</v>
      </c>
      <c r="J1745" s="8" t="n">
        <v>3.99</v>
      </c>
      <c r="K1745" s="8" t="n"/>
      <c r="L1745" s="8" t="n"/>
      <c r="M1745" s="8" t="n"/>
      <c r="N1745" s="8" t="n"/>
      <c r="O1745" s="8" t="n"/>
      <c r="P1745" s="8" t="n"/>
      <c r="Q1745" s="8" t="n"/>
      <c r="R1745" s="8" t="n"/>
      <c r="S1745" s="8" t="n"/>
      <c r="T1745" s="7" t="inlineStr">
        <is>
          <t>SEM COTAÇÃO</t>
        </is>
      </c>
      <c r="U1745" s="8" t="n"/>
      <c r="V1745" s="14" t="n"/>
      <c r="W1745" s="14" t="n"/>
      <c r="X1745" s="7" t="inlineStr"/>
      <c r="Y1745" s="7" t="inlineStr"/>
    </row>
    <row r="1746">
      <c r="A1746" s="7" t="n">
        <v>635671</v>
      </c>
      <c r="B1746" s="12" t="inlineStr">
        <is>
          <t>7891182996341</t>
        </is>
      </c>
      <c r="C1746" s="7" t="inlineStr">
        <is>
          <t>ESM RISQUE REG CREM CAPPUCINO 8ML</t>
        </is>
      </c>
      <c r="D1746" s="7" t="inlineStr">
        <is>
          <t>PERF/COSME</t>
        </is>
      </c>
      <c r="E1746" s="7" t="inlineStr">
        <is>
          <t>C</t>
        </is>
      </c>
      <c r="F1746" s="13" t="n">
        <v>1</v>
      </c>
      <c r="G1746" s="13" t="n">
        <v>1</v>
      </c>
      <c r="H1746" s="8" t="n">
        <v>4.09</v>
      </c>
      <c r="I1746" s="8" t="n">
        <v>3.99</v>
      </c>
      <c r="J1746" s="8" t="n">
        <v>4.056666666666667</v>
      </c>
      <c r="K1746" s="8" t="n"/>
      <c r="L1746" s="8" t="n"/>
      <c r="M1746" s="8" t="n"/>
      <c r="N1746" s="8" t="n"/>
      <c r="O1746" s="8" t="n"/>
      <c r="P1746" s="8" t="n"/>
      <c r="Q1746" s="8" t="n"/>
      <c r="R1746" s="8" t="n"/>
      <c r="S1746" s="8" t="n"/>
      <c r="T1746" s="7" t="inlineStr">
        <is>
          <t>SEM COTAÇÃO</t>
        </is>
      </c>
      <c r="U1746" s="8" t="n"/>
      <c r="V1746" s="14" t="n"/>
      <c r="W1746" s="14" t="n"/>
      <c r="X1746" s="7" t="inlineStr"/>
      <c r="Y1746" s="7" t="inlineStr"/>
    </row>
    <row r="1747">
      <c r="A1747" s="7" t="n">
        <v>670771</v>
      </c>
      <c r="B1747" s="12" t="inlineStr">
        <is>
          <t>7891182031059</t>
        </is>
      </c>
      <c r="C1747" s="7" t="inlineStr">
        <is>
          <t>ESM RISQUE REG CREM DESEJO 8ML</t>
        </is>
      </c>
      <c r="D1747" s="7" t="inlineStr">
        <is>
          <t>PERF/COSME</t>
        </is>
      </c>
      <c r="E1747" s="7" t="inlineStr">
        <is>
          <t>C</t>
        </is>
      </c>
      <c r="F1747" s="13" t="n">
        <v>1</v>
      </c>
      <c r="G1747" s="13" t="n">
        <v>1</v>
      </c>
      <c r="H1747" s="8" t="n">
        <v>3.99</v>
      </c>
      <c r="I1747" s="8" t="n">
        <v>3.99</v>
      </c>
      <c r="J1747" s="8" t="n">
        <v>3.99</v>
      </c>
      <c r="K1747" s="8" t="n"/>
      <c r="L1747" s="8" t="n"/>
      <c r="M1747" s="8" t="n"/>
      <c r="N1747" s="8" t="n"/>
      <c r="O1747" s="8" t="n"/>
      <c r="P1747" s="8" t="n"/>
      <c r="Q1747" s="8" t="n"/>
      <c r="R1747" s="8" t="n"/>
      <c r="S1747" s="8" t="n"/>
      <c r="T1747" s="7" t="inlineStr">
        <is>
          <t>SEM COTAÇÃO</t>
        </is>
      </c>
      <c r="U1747" s="8" t="n"/>
      <c r="V1747" s="14" t="n"/>
      <c r="W1747" s="14" t="n"/>
      <c r="X1747" s="7" t="inlineStr"/>
      <c r="Y1747" s="7" t="inlineStr"/>
    </row>
    <row r="1748">
      <c r="A1748" s="7" t="n">
        <v>635691</v>
      </c>
      <c r="B1748" s="12" t="inlineStr">
        <is>
          <t>7891182001892</t>
        </is>
      </c>
      <c r="C1748" s="7" t="inlineStr">
        <is>
          <t>ESM RISQUE REG CREM PARIS 8ML</t>
        </is>
      </c>
      <c r="D1748" s="7" t="inlineStr">
        <is>
          <t>PERF/COSME</t>
        </is>
      </c>
      <c r="E1748" s="7" t="inlineStr">
        <is>
          <t>C</t>
        </is>
      </c>
      <c r="F1748" s="13" t="n">
        <v>1</v>
      </c>
      <c r="G1748" s="13" t="n">
        <v>1</v>
      </c>
      <c r="H1748" s="8" t="n">
        <v>4.12</v>
      </c>
      <c r="I1748" s="8" t="n">
        <v>3.99</v>
      </c>
      <c r="J1748" s="8" t="n">
        <v>4.076666666666667</v>
      </c>
      <c r="K1748" s="8" t="n"/>
      <c r="L1748" s="8" t="n"/>
      <c r="M1748" s="8" t="n"/>
      <c r="N1748" s="8" t="n"/>
      <c r="O1748" s="8" t="n"/>
      <c r="P1748" s="8" t="n"/>
      <c r="Q1748" s="8" t="n"/>
      <c r="R1748" s="8" t="n"/>
      <c r="S1748" s="8" t="n"/>
      <c r="T1748" s="7" t="inlineStr">
        <is>
          <t>SEM COTAÇÃO</t>
        </is>
      </c>
      <c r="U1748" s="8" t="n"/>
      <c r="V1748" s="14" t="n"/>
      <c r="W1748" s="14" t="n"/>
      <c r="X1748" s="7" t="inlineStr"/>
      <c r="Y1748" s="7" t="inlineStr"/>
    </row>
    <row r="1749">
      <c r="A1749" s="7" t="n">
        <v>670761</v>
      </c>
      <c r="B1749" s="12" t="inlineStr">
        <is>
          <t>7891182996648</t>
        </is>
      </c>
      <c r="C1749" s="7" t="inlineStr">
        <is>
          <t>ESM RISQUE REG CREM TAMARA 8ML</t>
        </is>
      </c>
      <c r="D1749" s="7" t="inlineStr">
        <is>
          <t>PERF/COSME</t>
        </is>
      </c>
      <c r="E1749" s="7" t="inlineStr">
        <is>
          <t>C</t>
        </is>
      </c>
      <c r="F1749" s="13" t="n">
        <v>1</v>
      </c>
      <c r="G1749" s="13" t="n">
        <v>1</v>
      </c>
      <c r="H1749" s="8" t="n">
        <v>3.99</v>
      </c>
      <c r="I1749" s="8" t="n">
        <v>3.99</v>
      </c>
      <c r="J1749" s="8" t="n">
        <v>3.99</v>
      </c>
      <c r="K1749" s="8" t="n"/>
      <c r="L1749" s="8" t="n"/>
      <c r="M1749" s="8" t="n"/>
      <c r="N1749" s="8" t="n"/>
      <c r="O1749" s="8" t="n"/>
      <c r="P1749" s="8" t="n"/>
      <c r="Q1749" s="8" t="n"/>
      <c r="R1749" s="8" t="n"/>
      <c r="S1749" s="8" t="n"/>
      <c r="T1749" s="7" t="inlineStr">
        <is>
          <t>SEM COTAÇÃO</t>
        </is>
      </c>
      <c r="U1749" s="8" t="n"/>
      <c r="V1749" s="14" t="n"/>
      <c r="W1749" s="14" t="n"/>
      <c r="X1749" s="7" t="inlineStr"/>
      <c r="Y1749" s="7" t="inlineStr"/>
    </row>
    <row r="1750">
      <c r="A1750" s="7" t="n">
        <v>670741</v>
      </c>
      <c r="B1750" s="12" t="inlineStr">
        <is>
          <t>7891350034134</t>
        </is>
      </c>
      <c r="C1750" s="7" t="inlineStr">
        <is>
          <t>ESM RISQUE REG LAVANDA ALMA 8ML</t>
        </is>
      </c>
      <c r="D1750" s="7" t="inlineStr">
        <is>
          <t>PERF/COSME</t>
        </is>
      </c>
      <c r="E1750" s="7" t="inlineStr">
        <is>
          <t>C</t>
        </is>
      </c>
      <c r="F1750" s="13" t="n">
        <v>1</v>
      </c>
      <c r="G1750" s="13" t="n">
        <v>1</v>
      </c>
      <c r="H1750" s="8" t="n">
        <v>3.99</v>
      </c>
      <c r="I1750" s="8" t="n">
        <v>3.99</v>
      </c>
      <c r="J1750" s="8" t="n">
        <v>3.99</v>
      </c>
      <c r="K1750" s="8" t="n"/>
      <c r="L1750" s="8" t="n"/>
      <c r="M1750" s="8" t="n"/>
      <c r="N1750" s="8" t="n"/>
      <c r="O1750" s="8" t="n"/>
      <c r="P1750" s="8" t="n"/>
      <c r="Q1750" s="8" t="n"/>
      <c r="R1750" s="8" t="n"/>
      <c r="S1750" s="8" t="n"/>
      <c r="T1750" s="7" t="inlineStr">
        <is>
          <t>SEM COTAÇÃO</t>
        </is>
      </c>
      <c r="U1750" s="8" t="n"/>
      <c r="V1750" s="14" t="n"/>
      <c r="W1750" s="14" t="n"/>
      <c r="X1750" s="7" t="inlineStr"/>
      <c r="Y1750" s="7" t="inlineStr"/>
    </row>
    <row r="1751">
      <c r="A1751" s="7" t="n">
        <v>670731</v>
      </c>
      <c r="B1751" s="12" t="inlineStr">
        <is>
          <t>7891350040593</t>
        </is>
      </c>
      <c r="C1751" s="7" t="inlineStr">
        <is>
          <t>ESM RISQUE REG MENTA LIZA 8ML</t>
        </is>
      </c>
      <c r="D1751" s="7" t="inlineStr">
        <is>
          <t>PERF/COSME</t>
        </is>
      </c>
      <c r="E1751" s="7" t="inlineStr">
        <is>
          <t>C</t>
        </is>
      </c>
      <c r="F1751" s="13" t="n">
        <v>1</v>
      </c>
      <c r="G1751" s="13" t="n">
        <v>1</v>
      </c>
      <c r="H1751" s="8" t="n">
        <v>4.09</v>
      </c>
      <c r="I1751" s="8" t="n">
        <v>3.99</v>
      </c>
      <c r="J1751" s="8" t="n">
        <v>4.056666666666667</v>
      </c>
      <c r="K1751" s="8" t="n"/>
      <c r="L1751" s="8" t="n"/>
      <c r="M1751" s="8" t="n"/>
      <c r="N1751" s="8" t="n"/>
      <c r="O1751" s="8" t="n"/>
      <c r="P1751" s="8" t="n"/>
      <c r="Q1751" s="8" t="n"/>
      <c r="R1751" s="8" t="n"/>
      <c r="S1751" s="8" t="n"/>
      <c r="T1751" s="7" t="inlineStr">
        <is>
          <t>SEM COTAÇÃO</t>
        </is>
      </c>
      <c r="U1751" s="8" t="n"/>
      <c r="V1751" s="14" t="n"/>
      <c r="W1751" s="14" t="n"/>
      <c r="X1751" s="7" t="inlineStr"/>
      <c r="Y1751" s="7" t="inlineStr"/>
    </row>
    <row r="1752">
      <c r="A1752" s="7" t="n">
        <v>670721</v>
      </c>
      <c r="B1752" s="12" t="inlineStr">
        <is>
          <t>7891182850087</t>
        </is>
      </c>
      <c r="C1752" s="7" t="inlineStr">
        <is>
          <t>ESM RISQUE REG NATURAL DUNA 8ML</t>
        </is>
      </c>
      <c r="D1752" s="7" t="inlineStr">
        <is>
          <t>PERF/COSME</t>
        </is>
      </c>
      <c r="E1752" s="7" t="inlineStr">
        <is>
          <t>C</t>
        </is>
      </c>
      <c r="F1752" s="13" t="n">
        <v>2</v>
      </c>
      <c r="G1752" s="13" t="n">
        <v>2</v>
      </c>
      <c r="H1752" s="8" t="n">
        <v>4.09</v>
      </c>
      <c r="I1752" s="8" t="n">
        <v>3.99</v>
      </c>
      <c r="J1752" s="8" t="n">
        <v>4.056666666666667</v>
      </c>
      <c r="K1752" s="8" t="n"/>
      <c r="L1752" s="8" t="n"/>
      <c r="M1752" s="8" t="n"/>
      <c r="N1752" s="8" t="n"/>
      <c r="O1752" s="8" t="n"/>
      <c r="P1752" s="8" t="n"/>
      <c r="Q1752" s="8" t="n"/>
      <c r="R1752" s="8" t="n"/>
      <c r="S1752" s="8" t="n"/>
      <c r="T1752" s="7" t="inlineStr">
        <is>
          <t>SEM COTAÇÃO</t>
        </is>
      </c>
      <c r="U1752" s="8" t="n"/>
      <c r="V1752" s="14" t="n"/>
      <c r="W1752" s="14" t="n"/>
      <c r="X1752" s="7" t="inlineStr"/>
      <c r="Y1752" s="7" t="inlineStr"/>
    </row>
    <row r="1753">
      <c r="A1753" s="7" t="n">
        <v>670711</v>
      </c>
      <c r="B1753" s="12" t="inlineStr">
        <is>
          <t>7891182850018</t>
        </is>
      </c>
      <c r="C1753" s="7" t="inlineStr">
        <is>
          <t>ESM RISQUE REG NATURAL INCOLOR 8ML</t>
        </is>
      </c>
      <c r="D1753" s="7" t="inlineStr">
        <is>
          <t>PERF/COSME</t>
        </is>
      </c>
      <c r="E1753" s="7" t="inlineStr">
        <is>
          <t>C</t>
        </is>
      </c>
      <c r="F1753" s="13" t="n">
        <v>3</v>
      </c>
      <c r="G1753" s="13" t="n">
        <v>3</v>
      </c>
      <c r="H1753" s="8" t="n">
        <v>4.09</v>
      </c>
      <c r="I1753" s="8" t="n">
        <v>3.99</v>
      </c>
      <c r="J1753" s="8" t="n">
        <v>4.056666666666667</v>
      </c>
      <c r="K1753" s="8" t="n"/>
      <c r="L1753" s="8" t="n"/>
      <c r="M1753" s="8" t="n"/>
      <c r="N1753" s="8" t="n"/>
      <c r="O1753" s="8" t="n"/>
      <c r="P1753" s="8" t="n"/>
      <c r="Q1753" s="8" t="n"/>
      <c r="R1753" s="8" t="n"/>
      <c r="S1753" s="8" t="n"/>
      <c r="T1753" s="7" t="inlineStr">
        <is>
          <t>SEM COTAÇÃO</t>
        </is>
      </c>
      <c r="U1753" s="8" t="n"/>
      <c r="V1753" s="14" t="n"/>
      <c r="W1753" s="14" t="n"/>
      <c r="X1753" s="7" t="inlineStr"/>
      <c r="Y1753" s="7" t="inlineStr"/>
    </row>
    <row r="1754">
      <c r="A1754" s="7" t="n">
        <v>670701</v>
      </c>
      <c r="B1754" s="12" t="inlineStr">
        <is>
          <t>7891182032988</t>
        </is>
      </c>
      <c r="C1754" s="7" t="inlineStr">
        <is>
          <t>ESM RISQUE REG NUDE 8ML</t>
        </is>
      </c>
      <c r="D1754" s="7" t="inlineStr">
        <is>
          <t>PERF/COSME</t>
        </is>
      </c>
      <c r="E1754" s="7" t="inlineStr">
        <is>
          <t>C</t>
        </is>
      </c>
      <c r="F1754" s="13" t="n">
        <v>2</v>
      </c>
      <c r="G1754" s="13" t="n">
        <v>2</v>
      </c>
      <c r="H1754" s="8" t="n">
        <v>4.09</v>
      </c>
      <c r="I1754" s="8" t="n">
        <v>3.99</v>
      </c>
      <c r="J1754" s="8" t="n">
        <v>4.056666666666667</v>
      </c>
      <c r="K1754" s="8" t="n"/>
      <c r="L1754" s="8" t="n"/>
      <c r="M1754" s="8" t="n"/>
      <c r="N1754" s="8" t="n"/>
      <c r="O1754" s="8" t="n"/>
      <c r="P1754" s="8" t="n"/>
      <c r="Q1754" s="8" t="n"/>
      <c r="R1754" s="8" t="n"/>
      <c r="S1754" s="8" t="n"/>
      <c r="T1754" s="7" t="inlineStr">
        <is>
          <t>SEM COTAÇÃO</t>
        </is>
      </c>
      <c r="U1754" s="8" t="n"/>
      <c r="V1754" s="14" t="n"/>
      <c r="W1754" s="14" t="n"/>
      <c r="X1754" s="7" t="inlineStr"/>
      <c r="Y1754" s="7" t="inlineStr"/>
    </row>
    <row r="1755">
      <c r="A1755" s="7" t="n">
        <v>630741</v>
      </c>
      <c r="B1755" s="12" t="inlineStr">
        <is>
          <t>7891182036023</t>
        </is>
      </c>
      <c r="C1755" s="7" t="inlineStr">
        <is>
          <t>ESM RISQUE RENDA  RENDINHA UNID</t>
        </is>
      </c>
      <c r="D1755" s="7" t="inlineStr">
        <is>
          <t>PERF/COSME</t>
        </is>
      </c>
      <c r="E1755" s="7" t="inlineStr">
        <is>
          <t>C</t>
        </is>
      </c>
      <c r="F1755" s="13" t="n">
        <v>5</v>
      </c>
      <c r="G1755" s="13" t="n">
        <v>5</v>
      </c>
      <c r="H1755" s="8" t="n">
        <v>4.12</v>
      </c>
      <c r="I1755" s="8" t="n">
        <v>3.99</v>
      </c>
      <c r="J1755" s="8" t="n">
        <v>4.056666666666667</v>
      </c>
      <c r="K1755" s="8" t="n"/>
      <c r="L1755" s="8" t="n"/>
      <c r="M1755" s="8" t="n"/>
      <c r="N1755" s="8" t="n"/>
      <c r="O1755" s="8" t="n"/>
      <c r="P1755" s="8" t="n"/>
      <c r="Q1755" s="8" t="n"/>
      <c r="R1755" s="8" t="n"/>
      <c r="S1755" s="8" t="n"/>
      <c r="T1755" s="7" t="inlineStr">
        <is>
          <t>SEM COTAÇÃO</t>
        </is>
      </c>
      <c r="U1755" s="8" t="n"/>
      <c r="V1755" s="14" t="n"/>
      <c r="W1755" s="14" t="n"/>
      <c r="X1755" s="7" t="inlineStr"/>
      <c r="Y1755" s="7" t="inlineStr"/>
    </row>
    <row r="1756">
      <c r="A1756" s="7" t="n">
        <v>667111</v>
      </c>
      <c r="B1756" s="12" t="inlineStr">
        <is>
          <t>7891350046205</t>
        </is>
      </c>
      <c r="C1756" s="7" t="inlineStr">
        <is>
          <t>ESM RISQUE SELVA PEDRA 6UN 8ML-DEMAIS PROD</t>
        </is>
      </c>
      <c r="D1756" s="7" t="inlineStr">
        <is>
          <t>PERF/COSME</t>
        </is>
      </c>
      <c r="E1756" s="7" t="inlineStr">
        <is>
          <t>C</t>
        </is>
      </c>
      <c r="F1756" s="13" t="n">
        <v>1</v>
      </c>
      <c r="G1756" s="13" t="n">
        <v>1</v>
      </c>
      <c r="H1756" s="8" t="n">
        <v>0.1169</v>
      </c>
      <c r="I1756" s="8" t="n">
        <v>0.1169</v>
      </c>
      <c r="J1756" s="8" t="n">
        <v>0.1169</v>
      </c>
      <c r="K1756" s="8" t="n"/>
      <c r="L1756" s="8" t="n"/>
      <c r="M1756" s="8" t="n"/>
      <c r="N1756" s="8" t="n"/>
      <c r="O1756" s="8" t="n"/>
      <c r="P1756" s="8" t="n"/>
      <c r="Q1756" s="8" t="n"/>
      <c r="R1756" s="8" t="n"/>
      <c r="S1756" s="8" t="n"/>
      <c r="T1756" s="7" t="inlineStr">
        <is>
          <t>SEM COTAÇÃO</t>
        </is>
      </c>
      <c r="U1756" s="8" t="n"/>
      <c r="V1756" s="14" t="n"/>
      <c r="W1756" s="14" t="n"/>
      <c r="X1756" s="7" t="inlineStr"/>
      <c r="Y1756" s="7" t="inlineStr"/>
    </row>
    <row r="1757">
      <c r="A1757" s="7" t="n">
        <v>667121</v>
      </c>
      <c r="B1757" s="12" t="inlineStr">
        <is>
          <t>7891350046182</t>
        </is>
      </c>
      <c r="C1757" s="7" t="inlineStr">
        <is>
          <t>ESM RISQUE VERDELIRIO 6UN 8ML-DEMAIS PROD</t>
        </is>
      </c>
      <c r="D1757" s="7" t="inlineStr">
        <is>
          <t>PERF/COSME</t>
        </is>
      </c>
      <c r="E1757" s="7" t="inlineStr">
        <is>
          <t>C</t>
        </is>
      </c>
      <c r="F1757" s="13" t="n">
        <v>1</v>
      </c>
      <c r="G1757" s="13" t="n">
        <v>1</v>
      </c>
      <c r="H1757" s="8" t="n"/>
      <c r="I1757" s="8" t="n"/>
      <c r="J1757" s="8" t="n"/>
      <c r="K1757" s="8" t="n"/>
      <c r="L1757" s="8" t="n"/>
      <c r="M1757" s="8" t="n"/>
      <c r="N1757" s="8" t="n"/>
      <c r="O1757" s="8" t="n"/>
      <c r="P1757" s="8" t="n"/>
      <c r="Q1757" s="8" t="n"/>
      <c r="R1757" s="8" t="n"/>
      <c r="S1757" s="8" t="n"/>
      <c r="T1757" s="7" t="inlineStr">
        <is>
          <t>SEM COTAÇÃO</t>
        </is>
      </c>
      <c r="U1757" s="8" t="n"/>
      <c r="V1757" s="14" t="n"/>
      <c r="W1757" s="14" t="n"/>
      <c r="X1757" s="7" t="inlineStr"/>
      <c r="Y1757" s="7" t="inlineStr"/>
    </row>
    <row r="1758">
      <c r="A1758" s="7" t="n">
        <v>652861</v>
      </c>
      <c r="B1758" s="12" t="inlineStr">
        <is>
          <t>7891182023139</t>
        </is>
      </c>
      <c r="C1758" s="7" t="inlineStr">
        <is>
          <t>ESM RISQUE_CARE BASE FORTALECEDOR</t>
        </is>
      </c>
      <c r="D1758" s="7" t="inlineStr">
        <is>
          <t>PERF/COSME</t>
        </is>
      </c>
      <c r="E1758" s="7" t="inlineStr">
        <is>
          <t>C</t>
        </is>
      </c>
      <c r="F1758" s="13" t="n">
        <v>1</v>
      </c>
      <c r="G1758" s="13" t="n">
        <v>1</v>
      </c>
      <c r="H1758" s="8" t="n">
        <v>4.09</v>
      </c>
      <c r="I1758" s="8" t="n">
        <v>3.99</v>
      </c>
      <c r="J1758" s="8" t="n">
        <v>4.056666666666667</v>
      </c>
      <c r="K1758" s="8" t="n"/>
      <c r="L1758" s="8" t="n"/>
      <c r="M1758" s="8" t="n"/>
      <c r="N1758" s="8" t="n"/>
      <c r="O1758" s="8" t="n"/>
      <c r="P1758" s="8" t="n"/>
      <c r="Q1758" s="8" t="n"/>
      <c r="R1758" s="8" t="n"/>
      <c r="S1758" s="8" t="n"/>
      <c r="T1758" s="7" t="inlineStr">
        <is>
          <t>SEM COTAÇÃO</t>
        </is>
      </c>
      <c r="U1758" s="8" t="n"/>
      <c r="V1758" s="14" t="n"/>
      <c r="W1758" s="14" t="n"/>
      <c r="X1758" s="7" t="inlineStr"/>
      <c r="Y1758" s="7" t="inlineStr"/>
    </row>
    <row r="1759">
      <c r="A1759" s="7" t="n">
        <v>652881</v>
      </c>
      <c r="B1759" s="12" t="inlineStr">
        <is>
          <t>7891182040143</t>
        </is>
      </c>
      <c r="C1759" s="7" t="inlineStr">
        <is>
          <t>ESM RISQUE_CARE BASE SEDA</t>
        </is>
      </c>
      <c r="D1759" s="7" t="inlineStr">
        <is>
          <t>PERF/COSME</t>
        </is>
      </c>
      <c r="E1759" s="7" t="inlineStr">
        <is>
          <t>C</t>
        </is>
      </c>
      <c r="F1759" s="13" t="n">
        <v>2</v>
      </c>
      <c r="G1759" s="13" t="n">
        <v>2</v>
      </c>
      <c r="H1759" s="8" t="n">
        <v>4.33</v>
      </c>
      <c r="I1759" s="8" t="n">
        <v>4.33</v>
      </c>
      <c r="J1759" s="8" t="n">
        <v>4.33</v>
      </c>
      <c r="K1759" s="8" t="n"/>
      <c r="L1759" s="8" t="n"/>
      <c r="M1759" s="8" t="n"/>
      <c r="N1759" s="8" t="n"/>
      <c r="O1759" s="8" t="n"/>
      <c r="P1759" s="8" t="n"/>
      <c r="Q1759" s="8" t="n"/>
      <c r="R1759" s="8" t="n"/>
      <c r="S1759" s="8" t="n"/>
      <c r="T1759" s="7" t="inlineStr">
        <is>
          <t>SEM COTAÇÃO</t>
        </is>
      </c>
      <c r="U1759" s="8" t="n"/>
      <c r="V1759" s="14" t="n"/>
      <c r="W1759" s="14" t="n"/>
      <c r="X1759" s="7" t="inlineStr"/>
      <c r="Y1759" s="7" t="inlineStr"/>
    </row>
    <row r="1760">
      <c r="A1760" s="7" t="n">
        <v>647971</v>
      </c>
      <c r="B1760" s="12" t="inlineStr">
        <is>
          <t>7891182991933</t>
        </is>
      </c>
      <c r="C1760" s="7" t="inlineStr">
        <is>
          <t>ESM RISQUE_CARE COBERT BRILHANTE</t>
        </is>
      </c>
      <c r="D1760" s="7" t="inlineStr">
        <is>
          <t>PERF/COSME</t>
        </is>
      </c>
      <c r="E1760" s="7" t="inlineStr">
        <is>
          <t>C</t>
        </is>
      </c>
      <c r="F1760" s="13" t="n">
        <v>4</v>
      </c>
      <c r="G1760" s="13" t="n">
        <v>4</v>
      </c>
      <c r="H1760" s="8" t="n">
        <v>4.12</v>
      </c>
      <c r="I1760" s="8" t="n">
        <v>3.99</v>
      </c>
      <c r="J1760" s="8" t="n">
        <v>4.056666666666667</v>
      </c>
      <c r="K1760" s="8" t="n"/>
      <c r="L1760" s="8" t="n"/>
      <c r="M1760" s="8" t="n"/>
      <c r="N1760" s="8" t="n"/>
      <c r="O1760" s="8" t="n"/>
      <c r="P1760" s="8" t="n"/>
      <c r="Q1760" s="8" t="n"/>
      <c r="R1760" s="8" t="n"/>
      <c r="S1760" s="8" t="n"/>
      <c r="T1760" s="7" t="inlineStr">
        <is>
          <t>SEM COTAÇÃO</t>
        </is>
      </c>
      <c r="U1760" s="8" t="n"/>
      <c r="V1760" s="14" t="n"/>
      <c r="W1760" s="14" t="n"/>
      <c r="X1760" s="7" t="inlineStr"/>
      <c r="Y1760" s="7" t="inlineStr"/>
    </row>
    <row r="1761">
      <c r="A1761" s="7" t="n">
        <v>647961</v>
      </c>
      <c r="B1761" s="12" t="inlineStr">
        <is>
          <t>7891182018814</t>
        </is>
      </c>
      <c r="C1761" s="7" t="inlineStr">
        <is>
          <t>ESM RISQUE_CINT MINI SAIA</t>
        </is>
      </c>
      <c r="D1761" s="7" t="inlineStr">
        <is>
          <t>PERF/COSME</t>
        </is>
      </c>
      <c r="E1761" s="7" t="inlineStr">
        <is>
          <t>C</t>
        </is>
      </c>
      <c r="F1761" s="13" t="n">
        <v>1</v>
      </c>
      <c r="G1761" s="13" t="n">
        <v>1</v>
      </c>
      <c r="H1761" s="8" t="n">
        <v>3.99</v>
      </c>
      <c r="I1761" s="8" t="n">
        <v>3.99</v>
      </c>
      <c r="J1761" s="8" t="n">
        <v>3.99</v>
      </c>
      <c r="K1761" s="8" t="n"/>
      <c r="L1761" s="8" t="n"/>
      <c r="M1761" s="8" t="n"/>
      <c r="N1761" s="8" t="n"/>
      <c r="O1761" s="8" t="n"/>
      <c r="P1761" s="8" t="n"/>
      <c r="Q1761" s="8" t="n"/>
      <c r="R1761" s="8" t="n"/>
      <c r="S1761" s="8" t="n"/>
      <c r="T1761" s="7" t="inlineStr">
        <is>
          <t>SEM COTAÇÃO</t>
        </is>
      </c>
      <c r="U1761" s="8" t="n"/>
      <c r="V1761" s="14" t="n"/>
      <c r="W1761" s="14" t="n"/>
      <c r="X1761" s="7" t="inlineStr"/>
      <c r="Y1761" s="7" t="inlineStr"/>
    </row>
    <row r="1762">
      <c r="A1762" s="7" t="n">
        <v>648031</v>
      </c>
      <c r="B1762" s="12" t="inlineStr">
        <is>
          <t>7891182860024</t>
        </is>
      </c>
      <c r="C1762" s="7" t="inlineStr">
        <is>
          <t>ESM RISQUE_CINT PEROLA</t>
        </is>
      </c>
      <c r="D1762" s="7" t="inlineStr">
        <is>
          <t>PERF/COSME</t>
        </is>
      </c>
      <c r="E1762" s="7" t="inlineStr">
        <is>
          <t>C</t>
        </is>
      </c>
      <c r="F1762" s="13" t="n">
        <v>3</v>
      </c>
      <c r="G1762" s="13" t="n">
        <v>3</v>
      </c>
      <c r="H1762" s="8" t="n">
        <v>4.09</v>
      </c>
      <c r="I1762" s="8" t="n">
        <v>3.99</v>
      </c>
      <c r="J1762" s="8" t="n">
        <v>4.056666666666667</v>
      </c>
      <c r="K1762" s="8" t="n"/>
      <c r="L1762" s="8" t="n"/>
      <c r="M1762" s="8" t="n"/>
      <c r="N1762" s="8" t="n"/>
      <c r="O1762" s="8" t="n"/>
      <c r="P1762" s="8" t="n"/>
      <c r="Q1762" s="8" t="n"/>
      <c r="R1762" s="8" t="n"/>
      <c r="S1762" s="8" t="n"/>
      <c r="T1762" s="7" t="inlineStr">
        <is>
          <t>SEM COTAÇÃO</t>
        </is>
      </c>
      <c r="U1762" s="8" t="n"/>
      <c r="V1762" s="14" t="n"/>
      <c r="W1762" s="14" t="n"/>
      <c r="X1762" s="7" t="inlineStr"/>
      <c r="Y1762" s="7" t="inlineStr"/>
    </row>
    <row r="1763">
      <c r="A1763" s="7" t="n">
        <v>652871</v>
      </c>
      <c r="B1763" s="12" t="inlineStr">
        <is>
          <t>7891182840095</t>
        </is>
      </c>
      <c r="C1763" s="7" t="inlineStr">
        <is>
          <t>ESM RISQUE_CREM ASTRAL</t>
        </is>
      </c>
      <c r="D1763" s="7" t="inlineStr">
        <is>
          <t>PERF/COSME</t>
        </is>
      </c>
      <c r="E1763" s="7" t="inlineStr">
        <is>
          <t>C</t>
        </is>
      </c>
      <c r="F1763" s="13" t="n">
        <v>1</v>
      </c>
      <c r="G1763" s="13" t="n">
        <v>1</v>
      </c>
      <c r="H1763" s="8" t="n">
        <v>4.58</v>
      </c>
      <c r="I1763" s="8" t="n">
        <v>4.58</v>
      </c>
      <c r="J1763" s="8" t="n">
        <v>4.58</v>
      </c>
      <c r="K1763" s="8" t="n"/>
      <c r="L1763" s="8" t="n"/>
      <c r="M1763" s="8" t="n"/>
      <c r="N1763" s="8" t="n"/>
      <c r="O1763" s="8" t="n"/>
      <c r="P1763" s="8" t="n"/>
      <c r="Q1763" s="8" t="n"/>
      <c r="R1763" s="8" t="n"/>
      <c r="S1763" s="8" t="n"/>
      <c r="T1763" s="7" t="inlineStr">
        <is>
          <t>SEM COTAÇÃO</t>
        </is>
      </c>
      <c r="U1763" s="8" t="n"/>
      <c r="V1763" s="14" t="n"/>
      <c r="W1763" s="14" t="n"/>
      <c r="X1763" s="7" t="inlineStr"/>
      <c r="Y1763" s="7" t="inlineStr"/>
    </row>
    <row r="1764">
      <c r="A1764" s="7" t="n">
        <v>648041</v>
      </c>
      <c r="B1764" s="12" t="inlineStr">
        <is>
          <t>7891182996662</t>
        </is>
      </c>
      <c r="C1764" s="7" t="inlineStr">
        <is>
          <t>ESM RISQUE_CREM BALI</t>
        </is>
      </c>
      <c r="D1764" s="7" t="inlineStr">
        <is>
          <t>PERF/COSME</t>
        </is>
      </c>
      <c r="E1764" s="7" t="inlineStr">
        <is>
          <t>C</t>
        </is>
      </c>
      <c r="F1764" s="13" t="n">
        <v>1</v>
      </c>
      <c r="G1764" s="13" t="n">
        <v>1</v>
      </c>
      <c r="H1764" s="8" t="n">
        <v>3.99</v>
      </c>
      <c r="I1764" s="8" t="n">
        <v>3.99</v>
      </c>
      <c r="J1764" s="8" t="n">
        <v>3.99</v>
      </c>
      <c r="K1764" s="8" t="n"/>
      <c r="L1764" s="8" t="n"/>
      <c r="M1764" s="8" t="n"/>
      <c r="N1764" s="8" t="n"/>
      <c r="O1764" s="8" t="n"/>
      <c r="P1764" s="8" t="n"/>
      <c r="Q1764" s="8" t="n"/>
      <c r="R1764" s="8" t="n"/>
      <c r="S1764" s="8" t="n"/>
      <c r="T1764" s="7" t="inlineStr">
        <is>
          <t>SEM COTAÇÃO</t>
        </is>
      </c>
      <c r="U1764" s="8" t="n"/>
      <c r="V1764" s="14" t="n"/>
      <c r="W1764" s="14" t="n"/>
      <c r="X1764" s="7" t="inlineStr"/>
      <c r="Y1764" s="7" t="inlineStr"/>
    </row>
    <row r="1765">
      <c r="A1765" s="7" t="n">
        <v>648021</v>
      </c>
      <c r="B1765" s="12" t="inlineStr">
        <is>
          <t>7891182032452</t>
        </is>
      </c>
      <c r="C1765" s="7" t="inlineStr">
        <is>
          <t>ESM RISQUE_CREM BEIJO</t>
        </is>
      </c>
      <c r="D1765" s="7" t="inlineStr">
        <is>
          <t>PERF/COSME</t>
        </is>
      </c>
      <c r="E1765" s="7" t="inlineStr">
        <is>
          <t>C</t>
        </is>
      </c>
      <c r="F1765" s="13" t="n">
        <v>2</v>
      </c>
      <c r="G1765" s="13" t="n">
        <v>2</v>
      </c>
      <c r="H1765" s="8" t="n">
        <v>4.58</v>
      </c>
      <c r="I1765" s="8" t="n">
        <v>4.58</v>
      </c>
      <c r="J1765" s="8" t="n">
        <v>4.58</v>
      </c>
      <c r="K1765" s="8" t="n"/>
      <c r="L1765" s="8" t="n"/>
      <c r="M1765" s="8" t="n"/>
      <c r="N1765" s="8" t="n"/>
      <c r="O1765" s="8" t="n"/>
      <c r="P1765" s="8" t="n"/>
      <c r="Q1765" s="8" t="n"/>
      <c r="R1765" s="8" t="n"/>
      <c r="S1765" s="8" t="n"/>
      <c r="T1765" s="7" t="inlineStr">
        <is>
          <t>SEM COTAÇÃO</t>
        </is>
      </c>
      <c r="U1765" s="8" t="n"/>
      <c r="V1765" s="14" t="n"/>
      <c r="W1765" s="14" t="n"/>
      <c r="X1765" s="7" t="inlineStr"/>
      <c r="Y1765" s="7" t="inlineStr"/>
    </row>
    <row r="1766">
      <c r="A1766" s="7" t="n">
        <v>647981</v>
      </c>
      <c r="B1766" s="12" t="inlineStr">
        <is>
          <t>7891182840019</t>
        </is>
      </c>
      <c r="C1766" s="7" t="inlineStr">
        <is>
          <t>ESM RISQUE_CREM BIANCO PURISSIMO</t>
        </is>
      </c>
      <c r="D1766" s="7" t="inlineStr">
        <is>
          <t>PERF/COSME</t>
        </is>
      </c>
      <c r="E1766" s="7" t="inlineStr">
        <is>
          <t>C</t>
        </is>
      </c>
      <c r="F1766" s="13" t="n">
        <v>2</v>
      </c>
      <c r="G1766" s="13" t="n">
        <v>2</v>
      </c>
      <c r="H1766" s="8" t="n">
        <v>4.58</v>
      </c>
      <c r="I1766" s="8" t="n">
        <v>4.58</v>
      </c>
      <c r="J1766" s="8" t="n">
        <v>4.58</v>
      </c>
      <c r="K1766" s="8" t="n"/>
      <c r="L1766" s="8" t="n"/>
      <c r="M1766" s="8" t="n"/>
      <c r="N1766" s="8" t="n"/>
      <c r="O1766" s="8" t="n"/>
      <c r="P1766" s="8" t="n"/>
      <c r="Q1766" s="8" t="n"/>
      <c r="R1766" s="8" t="n"/>
      <c r="S1766" s="8" t="n"/>
      <c r="T1766" s="7" t="inlineStr">
        <is>
          <t>SEM COTAÇÃO</t>
        </is>
      </c>
      <c r="U1766" s="8" t="n"/>
      <c r="V1766" s="14" t="n"/>
      <c r="W1766" s="14" t="n"/>
      <c r="X1766" s="7" t="inlineStr"/>
      <c r="Y1766" s="7" t="inlineStr"/>
    </row>
    <row r="1767">
      <c r="A1767" s="7" t="n">
        <v>652761</v>
      </c>
      <c r="B1767" s="12" t="inlineStr">
        <is>
          <t>7891182020206</t>
        </is>
      </c>
      <c r="C1767" s="7" t="inlineStr">
        <is>
          <t>ESM RISQUE_CREM ESCARLATE</t>
        </is>
      </c>
      <c r="D1767" s="7" t="inlineStr">
        <is>
          <t>COND/SHAM/CREM/SIMILARES</t>
        </is>
      </c>
      <c r="E1767" s="7" t="inlineStr">
        <is>
          <t>C</t>
        </is>
      </c>
      <c r="F1767" s="13" t="n">
        <v>1</v>
      </c>
      <c r="G1767" s="13" t="n">
        <v>1</v>
      </c>
      <c r="H1767" s="8" t="n">
        <v>4.58</v>
      </c>
      <c r="I1767" s="8" t="n">
        <v>4.58</v>
      </c>
      <c r="J1767" s="8" t="n">
        <v>4.58</v>
      </c>
      <c r="K1767" s="8" t="n"/>
      <c r="L1767" s="8" t="n"/>
      <c r="M1767" s="8" t="n"/>
      <c r="N1767" s="8" t="n"/>
      <c r="O1767" s="8" t="n"/>
      <c r="P1767" s="8" t="n"/>
      <c r="Q1767" s="8" t="n"/>
      <c r="R1767" s="8" t="n"/>
      <c r="S1767" s="8" t="n"/>
      <c r="T1767" s="7" t="inlineStr">
        <is>
          <t>SEM COTAÇÃO</t>
        </is>
      </c>
      <c r="U1767" s="8" t="n"/>
      <c r="V1767" s="14" t="n"/>
      <c r="W1767" s="14" t="n"/>
      <c r="X1767" s="7" t="inlineStr"/>
      <c r="Y1767" s="7" t="inlineStr"/>
    </row>
    <row r="1768">
      <c r="A1768" s="7" t="n">
        <v>652901</v>
      </c>
      <c r="B1768" s="12" t="inlineStr">
        <is>
          <t>7891182840200</t>
        </is>
      </c>
      <c r="C1768" s="7" t="inlineStr">
        <is>
          <t>ESM RISQUE_CREM GABRIELA</t>
        </is>
      </c>
      <c r="D1768" s="7" t="inlineStr">
        <is>
          <t>PERF/COSME</t>
        </is>
      </c>
      <c r="E1768" s="7" t="inlineStr">
        <is>
          <t>C</t>
        </is>
      </c>
      <c r="F1768" s="13" t="n">
        <v>2</v>
      </c>
      <c r="G1768" s="13" t="n">
        <v>2</v>
      </c>
      <c r="H1768" s="8" t="n">
        <v>3.99</v>
      </c>
      <c r="I1768" s="8" t="n">
        <v>3.99</v>
      </c>
      <c r="J1768" s="8" t="n">
        <v>3.99</v>
      </c>
      <c r="K1768" s="8" t="n"/>
      <c r="L1768" s="8" t="n"/>
      <c r="M1768" s="8" t="n"/>
      <c r="N1768" s="8" t="n"/>
      <c r="O1768" s="8" t="n"/>
      <c r="P1768" s="8" t="n"/>
      <c r="Q1768" s="8" t="n"/>
      <c r="R1768" s="8" t="n"/>
      <c r="S1768" s="8" t="n"/>
      <c r="T1768" s="7" t="inlineStr">
        <is>
          <t>SEM COTAÇÃO</t>
        </is>
      </c>
      <c r="U1768" s="8" t="n"/>
      <c r="V1768" s="14" t="n"/>
      <c r="W1768" s="14" t="n"/>
      <c r="X1768" s="7" t="inlineStr"/>
      <c r="Y1768" s="7" t="inlineStr"/>
    </row>
    <row r="1769">
      <c r="A1769" s="7" t="n">
        <v>652891</v>
      </c>
      <c r="B1769" s="12" t="inlineStr">
        <is>
          <t>7891182015226</t>
        </is>
      </c>
      <c r="C1769" s="7" t="inlineStr">
        <is>
          <t>ESM RISQUE_CREM NINFA</t>
        </is>
      </c>
      <c r="D1769" s="7" t="inlineStr">
        <is>
          <t>PERF/COSME</t>
        </is>
      </c>
      <c r="E1769" s="7" t="inlineStr">
        <is>
          <t>C</t>
        </is>
      </c>
      <c r="F1769" s="13" t="n">
        <v>1</v>
      </c>
      <c r="G1769" s="13" t="n">
        <v>1</v>
      </c>
      <c r="H1769" s="8" t="n">
        <v>4.58</v>
      </c>
      <c r="I1769" s="8" t="n">
        <v>4.58</v>
      </c>
      <c r="J1769" s="8" t="n">
        <v>4.58</v>
      </c>
      <c r="K1769" s="8" t="n"/>
      <c r="L1769" s="8" t="n"/>
      <c r="M1769" s="8" t="n"/>
      <c r="N1769" s="8" t="n"/>
      <c r="O1769" s="8" t="n"/>
      <c r="P1769" s="8" t="n"/>
      <c r="Q1769" s="8" t="n"/>
      <c r="R1769" s="8" t="n"/>
      <c r="S1769" s="8" t="n"/>
      <c r="T1769" s="7" t="inlineStr">
        <is>
          <t>SEM COTAÇÃO</t>
        </is>
      </c>
      <c r="U1769" s="8" t="n"/>
      <c r="V1769" s="14" t="n"/>
      <c r="W1769" s="14" t="n"/>
      <c r="X1769" s="7" t="inlineStr"/>
      <c r="Y1769" s="7" t="inlineStr"/>
    </row>
    <row r="1770">
      <c r="A1770" s="7" t="n">
        <v>648061</v>
      </c>
      <c r="B1770" s="12" t="inlineStr">
        <is>
          <t>7891182014809</t>
        </is>
      </c>
      <c r="C1770" s="7" t="inlineStr">
        <is>
          <t>ESM RISQUE_CREM NUDE LAGRIMA VENUS</t>
        </is>
      </c>
      <c r="D1770" s="7" t="inlineStr">
        <is>
          <t>PERF/COSME</t>
        </is>
      </c>
      <c r="E1770" s="7" t="inlineStr">
        <is>
          <t>C</t>
        </is>
      </c>
      <c r="F1770" s="13" t="n">
        <v>1</v>
      </c>
      <c r="G1770" s="13" t="n">
        <v>1</v>
      </c>
      <c r="H1770" s="8" t="n">
        <v>4.58</v>
      </c>
      <c r="I1770" s="8" t="n">
        <v>4.58</v>
      </c>
      <c r="J1770" s="8" t="n">
        <v>4.58</v>
      </c>
      <c r="K1770" s="8" t="n"/>
      <c r="L1770" s="8" t="n"/>
      <c r="M1770" s="8" t="n"/>
      <c r="N1770" s="8" t="n"/>
      <c r="O1770" s="8" t="n"/>
      <c r="P1770" s="8" t="n"/>
      <c r="Q1770" s="8" t="n"/>
      <c r="R1770" s="8" t="n"/>
      <c r="S1770" s="8" t="n"/>
      <c r="T1770" s="7" t="inlineStr">
        <is>
          <t>SEM COTAÇÃO</t>
        </is>
      </c>
      <c r="U1770" s="8" t="n"/>
      <c r="V1770" s="14" t="n"/>
      <c r="W1770" s="14" t="n"/>
      <c r="X1770" s="7" t="inlineStr"/>
      <c r="Y1770" s="7" t="inlineStr"/>
    </row>
    <row r="1771">
      <c r="A1771" s="7" t="n">
        <v>652741</v>
      </c>
      <c r="B1771" s="12" t="inlineStr">
        <is>
          <t>7891182840149</t>
        </is>
      </c>
      <c r="C1771" s="7" t="inlineStr">
        <is>
          <t>ESM RISQUE_CREM REBU</t>
        </is>
      </c>
      <c r="D1771" s="7" t="inlineStr">
        <is>
          <t>COND/SHAM/CREM/SIMILARES</t>
        </is>
      </c>
      <c r="E1771" s="7" t="inlineStr">
        <is>
          <t>C</t>
        </is>
      </c>
      <c r="F1771" s="13" t="n">
        <v>2</v>
      </c>
      <c r="G1771" s="13" t="n">
        <v>2</v>
      </c>
      <c r="H1771" s="8" t="n">
        <v>3.99</v>
      </c>
      <c r="I1771" s="8" t="n">
        <v>3.99</v>
      </c>
      <c r="J1771" s="8" t="n">
        <v>3.99</v>
      </c>
      <c r="K1771" s="8" t="n"/>
      <c r="L1771" s="8" t="n"/>
      <c r="M1771" s="8" t="n"/>
      <c r="N1771" s="8" t="n"/>
      <c r="O1771" s="8" t="n"/>
      <c r="P1771" s="8" t="n"/>
      <c r="Q1771" s="8" t="n"/>
      <c r="R1771" s="8" t="n"/>
      <c r="S1771" s="8" t="n"/>
      <c r="T1771" s="7" t="inlineStr">
        <is>
          <t>SEM COTAÇÃO</t>
        </is>
      </c>
      <c r="U1771" s="8" t="n"/>
      <c r="V1771" s="14" t="n"/>
      <c r="W1771" s="14" t="n"/>
      <c r="X1771" s="7" t="inlineStr"/>
      <c r="Y1771" s="7" t="inlineStr"/>
    </row>
    <row r="1772">
      <c r="A1772" s="7" t="n">
        <v>652751</v>
      </c>
      <c r="B1772" s="12" t="inlineStr">
        <is>
          <t>7891182996600</t>
        </is>
      </c>
      <c r="C1772" s="7" t="inlineStr">
        <is>
          <t>ESM RISQUE_CREM_ULTRA CAPPUCCINO</t>
        </is>
      </c>
      <c r="D1772" s="7" t="inlineStr">
        <is>
          <t>COND/SHAM/CREM/SIMILARES</t>
        </is>
      </c>
      <c r="E1772" s="7" t="inlineStr">
        <is>
          <t>C</t>
        </is>
      </c>
      <c r="F1772" s="13" t="n">
        <v>2</v>
      </c>
      <c r="G1772" s="13" t="n">
        <v>2</v>
      </c>
      <c r="H1772" s="8" t="n">
        <v>4.58</v>
      </c>
      <c r="I1772" s="8" t="n">
        <v>4.58</v>
      </c>
      <c r="J1772" s="8" t="n">
        <v>4.58</v>
      </c>
      <c r="K1772" s="8" t="n"/>
      <c r="L1772" s="8" t="n"/>
      <c r="M1772" s="8" t="n"/>
      <c r="N1772" s="8" t="n"/>
      <c r="O1772" s="8" t="n"/>
      <c r="P1772" s="8" t="n"/>
      <c r="Q1772" s="8" t="n"/>
      <c r="R1772" s="8" t="n"/>
      <c r="S1772" s="8" t="n"/>
      <c r="T1772" s="7" t="inlineStr">
        <is>
          <t>SEM COTAÇÃO</t>
        </is>
      </c>
      <c r="U1772" s="8" t="n"/>
      <c r="V1772" s="14" t="n"/>
      <c r="W1772" s="14" t="n"/>
      <c r="X1772" s="7" t="inlineStr"/>
      <c r="Y1772" s="7" t="inlineStr"/>
    </row>
    <row r="1773">
      <c r="A1773" s="7" t="n">
        <v>648091</v>
      </c>
      <c r="B1773" s="12" t="inlineStr">
        <is>
          <t>7891182033640</t>
        </is>
      </c>
      <c r="C1773" s="7" t="inlineStr">
        <is>
          <t>ESM RISQUE_CREM_ULTRA PRETO SEPIA</t>
        </is>
      </c>
      <c r="D1773" s="7" t="inlineStr">
        <is>
          <t>PERF/COSME</t>
        </is>
      </c>
      <c r="E1773" s="7" t="inlineStr">
        <is>
          <t>C</t>
        </is>
      </c>
      <c r="F1773" s="13" t="n">
        <v>1</v>
      </c>
      <c r="G1773" s="13" t="n">
        <v>1</v>
      </c>
      <c r="H1773" s="8" t="n">
        <v>3.99</v>
      </c>
      <c r="I1773" s="8" t="n">
        <v>3.99</v>
      </c>
      <c r="J1773" s="8" t="n">
        <v>3.99</v>
      </c>
      <c r="K1773" s="8" t="n"/>
      <c r="L1773" s="8" t="n"/>
      <c r="M1773" s="8" t="n"/>
      <c r="N1773" s="8" t="n"/>
      <c r="O1773" s="8" t="n"/>
      <c r="P1773" s="8" t="n"/>
      <c r="Q1773" s="8" t="n"/>
      <c r="R1773" s="8" t="n"/>
      <c r="S1773" s="8" t="n"/>
      <c r="T1773" s="7" t="inlineStr">
        <is>
          <t>SEM COTAÇÃO</t>
        </is>
      </c>
      <c r="U1773" s="8" t="n"/>
      <c r="V1773" s="14" t="n"/>
      <c r="W1773" s="14" t="n"/>
      <c r="X1773" s="7" t="inlineStr"/>
      <c r="Y1773" s="7" t="inlineStr"/>
    </row>
    <row r="1774">
      <c r="A1774" s="7" t="n">
        <v>648071</v>
      </c>
      <c r="B1774" s="12" t="inlineStr">
        <is>
          <t>7891182014700</t>
        </is>
      </c>
      <c r="C1774" s="7" t="inlineStr">
        <is>
          <t>ESM RISQUE_METAL MACA AMOR</t>
        </is>
      </c>
      <c r="D1774" s="7" t="inlineStr">
        <is>
          <t>PERF/COSME</t>
        </is>
      </c>
      <c r="E1774" s="7" t="inlineStr">
        <is>
          <t>C</t>
        </is>
      </c>
      <c r="F1774" s="13" t="n">
        <v>2</v>
      </c>
      <c r="G1774" s="13" t="n">
        <v>2</v>
      </c>
      <c r="H1774" s="8" t="n">
        <v>4.09</v>
      </c>
      <c r="I1774" s="8" t="n">
        <v>3.99</v>
      </c>
      <c r="J1774" s="8" t="n">
        <v>4.056666666666667</v>
      </c>
      <c r="K1774" s="8" t="n"/>
      <c r="L1774" s="8" t="n"/>
      <c r="M1774" s="8" t="n"/>
      <c r="N1774" s="8" t="n"/>
      <c r="O1774" s="8" t="n"/>
      <c r="P1774" s="8" t="n"/>
      <c r="Q1774" s="8" t="n"/>
      <c r="R1774" s="8" t="n"/>
      <c r="S1774" s="8" t="n"/>
      <c r="T1774" s="7" t="inlineStr">
        <is>
          <t>SEM COTAÇÃO</t>
        </is>
      </c>
      <c r="U1774" s="8" t="n"/>
      <c r="V1774" s="14" t="n"/>
      <c r="W1774" s="14" t="n"/>
      <c r="X1774" s="7" t="inlineStr"/>
      <c r="Y1774" s="7" t="inlineStr"/>
    </row>
    <row r="1775">
      <c r="A1775" s="7" t="n">
        <v>648051</v>
      </c>
      <c r="B1775" s="12" t="inlineStr">
        <is>
          <t>7891182850100</t>
        </is>
      </c>
      <c r="C1775" s="7" t="inlineStr">
        <is>
          <t>ESM RISQUE_NAT ANGELICA</t>
        </is>
      </c>
      <c r="D1775" s="7" t="inlineStr">
        <is>
          <t>PERF/COSME</t>
        </is>
      </c>
      <c r="E1775" s="7" t="inlineStr">
        <is>
          <t>C</t>
        </is>
      </c>
      <c r="F1775" s="13" t="n">
        <v>1</v>
      </c>
      <c r="G1775" s="13" t="n">
        <v>1</v>
      </c>
      <c r="H1775" s="8" t="n">
        <v>4.12</v>
      </c>
      <c r="I1775" s="8" t="n">
        <v>4.12</v>
      </c>
      <c r="J1775" s="8" t="n">
        <v>4.12</v>
      </c>
      <c r="K1775" s="8" t="n"/>
      <c r="L1775" s="8" t="n"/>
      <c r="M1775" s="8" t="n"/>
      <c r="N1775" s="8" t="n"/>
      <c r="O1775" s="8" t="n"/>
      <c r="P1775" s="8" t="n"/>
      <c r="Q1775" s="8" t="n"/>
      <c r="R1775" s="8" t="n"/>
      <c r="S1775" s="8" t="n"/>
      <c r="T1775" s="7" t="inlineStr">
        <is>
          <t>SEM COTAÇÃO</t>
        </is>
      </c>
      <c r="U1775" s="8" t="n"/>
      <c r="V1775" s="14" t="n"/>
      <c r="W1775" s="14" t="n"/>
      <c r="X1775" s="7" t="inlineStr"/>
      <c r="Y1775" s="7" t="inlineStr"/>
    </row>
    <row r="1776">
      <c r="A1776" s="7" t="n">
        <v>235621</v>
      </c>
      <c r="B1776" s="12" t="inlineStr">
        <is>
          <t>7894916510202</t>
        </is>
      </c>
      <c r="C1776" s="7" t="inlineStr">
        <is>
          <t>ESOGASTRO IBP KIT 14ESO 14CLA 28AMOX+28ESO-S</t>
        </is>
      </c>
      <c r="D1776" s="7" t="inlineStr">
        <is>
          <t>RX - REFERENCIA - ATB</t>
        </is>
      </c>
      <c r="E1776" s="7" t="inlineStr">
        <is>
          <t>A</t>
        </is>
      </c>
      <c r="F1776" s="13" t="n">
        <v>2</v>
      </c>
      <c r="G1776" s="13" t="n">
        <v>2</v>
      </c>
      <c r="H1776" s="8" t="n">
        <v>272.59</v>
      </c>
      <c r="I1776" s="8" t="n">
        <v>242.54</v>
      </c>
      <c r="J1776" s="8" t="n">
        <v>261.6066666666666</v>
      </c>
      <c r="K1776" s="8" t="n"/>
      <c r="L1776" s="8" t="n"/>
      <c r="M1776" s="8" t="n"/>
      <c r="N1776" s="8" t="n"/>
      <c r="O1776" s="8" t="n"/>
      <c r="P1776" s="15" t="n">
        <v>272.07375</v>
      </c>
      <c r="Q1776" s="8" t="n"/>
      <c r="R1776" s="8" t="n"/>
      <c r="S1776" s="8" t="n"/>
      <c r="T1776" s="7" t="inlineStr">
        <is>
          <t>NAZARIA</t>
        </is>
      </c>
      <c r="U1776" s="8" t="n">
        <v>272.07375</v>
      </c>
      <c r="V1776" s="14">
        <f>U1776/J1776-1</f>
        <v/>
      </c>
      <c r="W1776" s="14">
        <f>U1776/H1776-1</f>
        <v/>
      </c>
      <c r="X1776" s="17" t="inlineStr">
        <is>
          <t>OK (≤ últ. compra)</t>
        </is>
      </c>
      <c r="Y1776" s="7" t="inlineStr"/>
    </row>
    <row r="1777">
      <c r="A1777" s="7" t="n">
        <v>234561</v>
      </c>
      <c r="B1777" s="12" t="inlineStr">
        <is>
          <t>7896206425869</t>
        </is>
      </c>
      <c r="C1777" s="7" t="inlineStr">
        <is>
          <t>ESOMEPRAZOL MAGNESIO TRIIDRATADO 20MG CX 28 COMP REV</t>
        </is>
      </c>
      <c r="D1777" s="7" t="inlineStr">
        <is>
          <t>GENERICO</t>
        </is>
      </c>
      <c r="E1777" s="7" t="inlineStr">
        <is>
          <t>A</t>
        </is>
      </c>
      <c r="F1777" s="13" t="n">
        <v>4</v>
      </c>
      <c r="G1777" s="13" t="n">
        <v>4</v>
      </c>
      <c r="H1777" s="8" t="n">
        <v>27.154</v>
      </c>
      <c r="I1777" s="8" t="n">
        <v>24.8683</v>
      </c>
      <c r="J1777" s="8" t="n">
        <v>26.3921</v>
      </c>
      <c r="K1777" s="8" t="n"/>
      <c r="L1777" s="8" t="n"/>
      <c r="M1777" s="8" t="n"/>
      <c r="N1777" s="8" t="n"/>
      <c r="O1777" s="8" t="n"/>
      <c r="P1777" s="15" t="n">
        <v>54.008</v>
      </c>
      <c r="Q1777" s="8" t="n"/>
      <c r="R1777" s="8" t="n"/>
      <c r="S1777" s="8" t="n"/>
      <c r="T1777" s="7" t="inlineStr">
        <is>
          <t>NAZARIA</t>
        </is>
      </c>
      <c r="U1777" s="8" t="n">
        <v>54.008</v>
      </c>
      <c r="V1777" s="14">
        <f>U1777/J1777-1</f>
        <v/>
      </c>
      <c r="W1777" s="14">
        <f>U1777/H1777-1</f>
        <v/>
      </c>
      <c r="X1777" s="16" t="inlineStr">
        <is>
          <t>ACIMA +98.9%</t>
        </is>
      </c>
      <c r="Y1777" s="7" t="inlineStr"/>
    </row>
    <row r="1778">
      <c r="A1778" s="7" t="n">
        <v>234861</v>
      </c>
      <c r="B1778" s="12" t="inlineStr">
        <is>
          <t>7895296128124</t>
        </is>
      </c>
      <c r="C1778" s="7" t="inlineStr">
        <is>
          <t>ESOP 20MG CX 28 COMP REV</t>
        </is>
      </c>
      <c r="D1778" s="7" t="inlineStr">
        <is>
          <t>SIMILAR</t>
        </is>
      </c>
      <c r="E1778" s="7" t="inlineStr">
        <is>
          <t>C</t>
        </is>
      </c>
      <c r="F1778" s="13" t="n">
        <v>1</v>
      </c>
      <c r="G1778" s="13" t="n">
        <v>1</v>
      </c>
      <c r="H1778" s="8" t="n">
        <v>21.71</v>
      </c>
      <c r="I1778" s="8" t="n">
        <v>21.71</v>
      </c>
      <c r="J1778" s="8" t="n">
        <v>21.71</v>
      </c>
      <c r="K1778" s="15" t="n">
        <v>24.96</v>
      </c>
      <c r="L1778" s="8" t="n"/>
      <c r="M1778" s="8" t="n"/>
      <c r="N1778" s="8" t="n"/>
      <c r="O1778" s="8" t="n"/>
      <c r="P1778" s="8" t="n"/>
      <c r="Q1778" s="8" t="n"/>
      <c r="R1778" s="8" t="n">
        <v>25.47</v>
      </c>
      <c r="S1778" s="8" t="n"/>
      <c r="T1778" s="7" t="inlineStr">
        <is>
          <t>DIMEC</t>
        </is>
      </c>
      <c r="U1778" s="8" t="n">
        <v>24.96</v>
      </c>
      <c r="V1778" s="14">
        <f>U1778/J1778-1</f>
        <v/>
      </c>
      <c r="W1778" s="14">
        <f>U1778/H1778-1</f>
        <v/>
      </c>
      <c r="X1778" s="16" t="inlineStr">
        <is>
          <t>ACIMA +15.0%</t>
        </is>
      </c>
      <c r="Y1778" s="7" t="inlineStr"/>
    </row>
    <row r="1779">
      <c r="A1779" s="7" t="n">
        <v>234881</v>
      </c>
      <c r="B1779" s="12" t="inlineStr">
        <is>
          <t>7895296128162</t>
        </is>
      </c>
      <c r="C1779" s="7" t="inlineStr">
        <is>
          <t>ESOP 40MG CX 28 COMP REV</t>
        </is>
      </c>
      <c r="D1779" s="7" t="inlineStr">
        <is>
          <t>SIMILAR</t>
        </is>
      </c>
      <c r="E1779" s="7" t="inlineStr">
        <is>
          <t>C</t>
        </is>
      </c>
      <c r="F1779" s="13" t="n">
        <v>1</v>
      </c>
      <c r="G1779" s="13" t="n">
        <v>1</v>
      </c>
      <c r="H1779" s="8" t="n">
        <v>41.75</v>
      </c>
      <c r="I1779" s="8" t="n">
        <v>41.75</v>
      </c>
      <c r="J1779" s="8" t="n">
        <v>41.75</v>
      </c>
      <c r="K1779" s="15" t="n">
        <v>43.2</v>
      </c>
      <c r="L1779" s="8" t="n"/>
      <c r="M1779" s="8" t="n"/>
      <c r="N1779" s="8" t="n">
        <v>43.92</v>
      </c>
      <c r="O1779" s="8" t="n"/>
      <c r="P1779" s="8" t="n"/>
      <c r="Q1779" s="8" t="n"/>
      <c r="R1779" s="8" t="n">
        <v>43.45</v>
      </c>
      <c r="S1779" s="8" t="n"/>
      <c r="T1779" s="7" t="inlineStr">
        <is>
          <t>DIMEC</t>
        </is>
      </c>
      <c r="U1779" s="8" t="n">
        <v>43.2</v>
      </c>
      <c r="V1779" s="14">
        <f>U1779/J1779-1</f>
        <v/>
      </c>
      <c r="W1779" s="14">
        <f>U1779/H1779-1</f>
        <v/>
      </c>
      <c r="X1779" s="16" t="inlineStr">
        <is>
          <t>ACIMA +3.5%</t>
        </is>
      </c>
      <c r="Y1779" s="7" t="inlineStr"/>
    </row>
    <row r="1780">
      <c r="A1780" s="7" t="n">
        <v>601481</v>
      </c>
      <c r="B1780" s="12" t="inlineStr">
        <is>
          <t>7899828213180</t>
        </is>
      </c>
      <c r="C1780" s="7" t="inlineStr">
        <is>
          <t>ESPACADOR INCOTERM E100 ADUL INF</t>
        </is>
      </c>
      <c r="D1780" s="7" t="inlineStr">
        <is>
          <t>UTENSILIOS</t>
        </is>
      </c>
      <c r="E1780" s="7" t="inlineStr">
        <is>
          <t>C</t>
        </is>
      </c>
      <c r="F1780" s="13" t="n">
        <v>1</v>
      </c>
      <c r="G1780" s="13" t="n">
        <v>1</v>
      </c>
      <c r="H1780" s="8" t="n">
        <v>33.415</v>
      </c>
      <c r="I1780" s="8" t="n">
        <v>33.415</v>
      </c>
      <c r="J1780" s="8" t="n">
        <v>33.415</v>
      </c>
      <c r="K1780" s="8" t="n"/>
      <c r="L1780" s="8" t="n"/>
      <c r="M1780" s="8" t="n"/>
      <c r="N1780" s="8" t="n"/>
      <c r="O1780" s="8" t="n"/>
      <c r="P1780" s="15" t="n">
        <v>49.31</v>
      </c>
      <c r="Q1780" s="8" t="n"/>
      <c r="R1780" s="8" t="n"/>
      <c r="S1780" s="8" t="n"/>
      <c r="T1780" s="7" t="inlineStr">
        <is>
          <t>NAZARIA</t>
        </is>
      </c>
      <c r="U1780" s="8" t="n">
        <v>49.31</v>
      </c>
      <c r="V1780" s="14">
        <f>U1780/J1780-1</f>
        <v/>
      </c>
      <c r="W1780" s="14">
        <f>U1780/H1780-1</f>
        <v/>
      </c>
      <c r="X1780" s="16" t="inlineStr">
        <is>
          <t>ACIMA +47.6%</t>
        </is>
      </c>
      <c r="Y1780" s="7" t="inlineStr"/>
    </row>
    <row r="1781">
      <c r="A1781" s="7" t="n">
        <v>570961</v>
      </c>
      <c r="B1781" s="12" t="inlineStr"/>
      <c r="C1781" s="7" t="inlineStr">
        <is>
          <t>ESPACADOR P/MEDICAMENTO EM AROSOL ADULTO E INFANTIL</t>
        </is>
      </c>
      <c r="D1781" s="7" t="inlineStr">
        <is>
          <t>UTENSILIOS</t>
        </is>
      </c>
      <c r="E1781" s="7" t="inlineStr">
        <is>
          <t>B</t>
        </is>
      </c>
      <c r="F1781" s="13" t="n">
        <v>1</v>
      </c>
      <c r="G1781" s="13" t="n">
        <v>1</v>
      </c>
      <c r="H1781" s="8" t="n">
        <v>23.24</v>
      </c>
      <c r="I1781" s="8" t="n">
        <v>23.24</v>
      </c>
      <c r="J1781" s="8" t="n">
        <v>23.24</v>
      </c>
      <c r="K1781" s="8" t="n"/>
      <c r="L1781" s="8" t="n"/>
      <c r="M1781" s="8" t="n"/>
      <c r="N1781" s="8" t="n"/>
      <c r="O1781" s="8" t="n"/>
      <c r="P1781" s="8" t="n"/>
      <c r="Q1781" s="8" t="n"/>
      <c r="R1781" s="8" t="n"/>
      <c r="S1781" s="8" t="n"/>
      <c r="T1781" s="7" t="inlineStr">
        <is>
          <t>SEM COTAÇÃO</t>
        </is>
      </c>
      <c r="U1781" s="8" t="n"/>
      <c r="V1781" s="14" t="n"/>
      <c r="W1781" s="14" t="n"/>
      <c r="X1781" s="7" t="inlineStr"/>
      <c r="Y1781" s="7" t="inlineStr"/>
    </row>
    <row r="1782">
      <c r="A1782" s="7" t="n">
        <v>613791</v>
      </c>
      <c r="B1782" s="12" t="inlineStr">
        <is>
          <t>7896544900073</t>
        </is>
      </c>
      <c r="C1782" s="7" t="inlineStr">
        <is>
          <t>ESPARAD IMP MISSNER 1,2CMX4,5M</t>
        </is>
      </c>
      <c r="D1782" s="7" t="inlineStr">
        <is>
          <t>CURATIVO</t>
        </is>
      </c>
      <c r="E1782" s="7" t="inlineStr">
        <is>
          <t>A</t>
        </is>
      </c>
      <c r="F1782" s="13" t="n">
        <v>2</v>
      </c>
      <c r="G1782" s="13" t="n">
        <v>2</v>
      </c>
      <c r="H1782" s="8" t="n">
        <v>2.83</v>
      </c>
      <c r="I1782" s="8" t="n">
        <v>2.83</v>
      </c>
      <c r="J1782" s="8" t="n">
        <v>2.83</v>
      </c>
      <c r="K1782" s="15" t="n">
        <v>2.83</v>
      </c>
      <c r="L1782" s="8" t="n"/>
      <c r="M1782" s="8" t="n"/>
      <c r="N1782" s="8" t="n"/>
      <c r="O1782" s="8" t="n"/>
      <c r="P1782" s="8" t="n">
        <v>3.02</v>
      </c>
      <c r="Q1782" s="8" t="n">
        <v>3.83</v>
      </c>
      <c r="R1782" s="8" t="n">
        <v>3.21</v>
      </c>
      <c r="S1782" s="8" t="n"/>
      <c r="T1782" s="7" t="inlineStr">
        <is>
          <t>DIMEC</t>
        </is>
      </c>
      <c r="U1782" s="8" t="n">
        <v>2.83</v>
      </c>
      <c r="V1782" s="14">
        <f>U1782/J1782-1</f>
        <v/>
      </c>
      <c r="W1782" s="14">
        <f>U1782/H1782-1</f>
        <v/>
      </c>
      <c r="X1782" s="17" t="inlineStr">
        <is>
          <t>OK (≤ menor hist.)</t>
        </is>
      </c>
      <c r="Y1782" s="7" t="inlineStr"/>
    </row>
    <row r="1783">
      <c r="A1783" s="7" t="n">
        <v>648331</v>
      </c>
      <c r="B1783" s="12" t="inlineStr">
        <is>
          <t>7898108640944</t>
        </is>
      </c>
      <c r="C1783" s="7" t="inlineStr">
        <is>
          <t>ESPARAD IMPERM SANFARMA 50MMX4,5M</t>
        </is>
      </c>
      <c r="D1783" s="7" t="inlineStr">
        <is>
          <t>CURATIVO</t>
        </is>
      </c>
      <c r="E1783" s="7" t="inlineStr">
        <is>
          <t>C</t>
        </is>
      </c>
      <c r="F1783" s="13" t="n">
        <v>1</v>
      </c>
      <c r="G1783" s="13" t="n">
        <v>1</v>
      </c>
      <c r="H1783" s="8" t="n">
        <v>11.4</v>
      </c>
      <c r="I1783" s="8" t="n">
        <v>11.4</v>
      </c>
      <c r="J1783" s="8" t="n">
        <v>11.4</v>
      </c>
      <c r="K1783" s="8" t="n"/>
      <c r="L1783" s="8" t="n">
        <v>13.85</v>
      </c>
      <c r="M1783" s="8" t="n"/>
      <c r="N1783" s="8" t="n"/>
      <c r="O1783" s="8" t="n"/>
      <c r="P1783" s="8" t="n">
        <v>11.761</v>
      </c>
      <c r="Q1783" s="8" t="n"/>
      <c r="R1783" s="15" t="n">
        <v>11.29</v>
      </c>
      <c r="S1783" s="8" t="n"/>
      <c r="T1783" s="7" t="inlineStr">
        <is>
          <t>BRASFARMA</t>
        </is>
      </c>
      <c r="U1783" s="8" t="n">
        <v>11.29</v>
      </c>
      <c r="V1783" s="14">
        <f>U1783/J1783-1</f>
        <v/>
      </c>
      <c r="W1783" s="14">
        <f>U1783/H1783-1</f>
        <v/>
      </c>
      <c r="X1783" s="17" t="inlineStr">
        <is>
          <t>OK (≤ menor hist.)</t>
        </is>
      </c>
      <c r="Y1783" s="7" t="inlineStr"/>
    </row>
    <row r="1784">
      <c r="A1784" s="7" t="n">
        <v>656561</v>
      </c>
      <c r="B1784" s="12" t="inlineStr">
        <is>
          <t>7891040089956</t>
        </is>
      </c>
      <c r="C1784" s="7" t="inlineStr">
        <is>
          <t>ESPARAD NEXCARE 3M BRANCO 12MMX3M</t>
        </is>
      </c>
      <c r="D1784" s="7" t="inlineStr">
        <is>
          <t>CURATIVO</t>
        </is>
      </c>
      <c r="E1784" s="7" t="inlineStr">
        <is>
          <t>C</t>
        </is>
      </c>
      <c r="F1784" s="13" t="n">
        <v>1</v>
      </c>
      <c r="G1784" s="13" t="n">
        <v>1</v>
      </c>
      <c r="H1784" s="8" t="n">
        <v>3.5533</v>
      </c>
      <c r="I1784" s="8" t="n">
        <v>3.5533</v>
      </c>
      <c r="J1784" s="8" t="n">
        <v>3.5533</v>
      </c>
      <c r="K1784" s="8" t="n"/>
      <c r="L1784" s="8" t="n"/>
      <c r="M1784" s="8" t="n"/>
      <c r="N1784" s="8" t="n"/>
      <c r="O1784" s="8" t="n"/>
      <c r="P1784" s="8" t="n"/>
      <c r="Q1784" s="8" t="n"/>
      <c r="R1784" s="8" t="n"/>
      <c r="S1784" s="8" t="n"/>
      <c r="T1784" s="7" t="inlineStr">
        <is>
          <t>SEM COTAÇÃO</t>
        </is>
      </c>
      <c r="U1784" s="8" t="n"/>
      <c r="V1784" s="14" t="n"/>
      <c r="W1784" s="14" t="n"/>
      <c r="X1784" s="7" t="inlineStr"/>
      <c r="Y1784" s="7" t="inlineStr"/>
    </row>
    <row r="1785">
      <c r="A1785" s="7" t="n">
        <v>540961</v>
      </c>
      <c r="B1785" s="12" t="inlineStr">
        <is>
          <t>7896544910102</t>
        </is>
      </c>
      <c r="C1785" s="7" t="inlineStr">
        <is>
          <t>ESPARADRAPO BRANCO 10 X 4,5</t>
        </is>
      </c>
      <c r="D1785" s="7" t="inlineStr">
        <is>
          <t>CURATIVO</t>
        </is>
      </c>
      <c r="E1785" s="7" t="inlineStr">
        <is>
          <t>A</t>
        </is>
      </c>
      <c r="F1785" s="13" t="n">
        <v>13</v>
      </c>
      <c r="G1785" s="13" t="n">
        <v>13</v>
      </c>
      <c r="H1785" s="8" t="n">
        <v>12.32</v>
      </c>
      <c r="I1785" s="8" t="n">
        <v>12.32</v>
      </c>
      <c r="J1785" s="8" t="n">
        <v>12.32</v>
      </c>
      <c r="K1785" s="15" t="n">
        <v>12.33</v>
      </c>
      <c r="L1785" s="8" t="n"/>
      <c r="M1785" s="8" t="n"/>
      <c r="N1785" s="8" t="n">
        <v>13.97</v>
      </c>
      <c r="O1785" s="8" t="n"/>
      <c r="P1785" s="8" t="n">
        <v>13.37</v>
      </c>
      <c r="Q1785" s="8" t="n"/>
      <c r="R1785" s="8" t="n"/>
      <c r="S1785" s="8" t="n"/>
      <c r="T1785" s="7" t="inlineStr">
        <is>
          <t>DIMEC</t>
        </is>
      </c>
      <c r="U1785" s="8" t="n">
        <v>12.33</v>
      </c>
      <c r="V1785" s="14">
        <f>U1785/J1785-1</f>
        <v/>
      </c>
      <c r="W1785" s="14">
        <f>U1785/H1785-1</f>
        <v/>
      </c>
      <c r="X1785" s="16" t="inlineStr">
        <is>
          <t>ACIMA +0.1%</t>
        </is>
      </c>
      <c r="Y1785" s="7" t="inlineStr"/>
    </row>
    <row r="1786">
      <c r="A1786" s="7" t="n">
        <v>651561</v>
      </c>
      <c r="B1786" s="12" t="inlineStr">
        <is>
          <t>7891800669299</t>
        </is>
      </c>
      <c r="C1786" s="7" t="inlineStr">
        <is>
          <t>ESPARADRAPO CREMER BEGE 1,2CMX3M   CREM %DN:11.00</t>
        </is>
      </c>
      <c r="D1786" s="7" t="inlineStr">
        <is>
          <t>CURATIVO</t>
        </is>
      </c>
      <c r="E1786" s="7" t="inlineStr">
        <is>
          <t>C</t>
        </is>
      </c>
      <c r="F1786" s="13" t="n">
        <v>6</v>
      </c>
      <c r="G1786" s="13" t="n">
        <v>6</v>
      </c>
      <c r="H1786" s="8" t="n">
        <v>3.59</v>
      </c>
      <c r="I1786" s="8" t="n">
        <v>3.59</v>
      </c>
      <c r="J1786" s="8" t="n">
        <v>3.59</v>
      </c>
      <c r="K1786" s="8" t="n"/>
      <c r="L1786" s="8" t="n"/>
      <c r="M1786" s="8" t="n"/>
      <c r="N1786" s="8" t="n"/>
      <c r="O1786" s="8" t="n"/>
      <c r="P1786" s="15" t="n">
        <v>3.492</v>
      </c>
      <c r="Q1786" s="8" t="n"/>
      <c r="R1786" s="8" t="n"/>
      <c r="S1786" s="8" t="n"/>
      <c r="T1786" s="7" t="inlineStr">
        <is>
          <t>NAZARIA</t>
        </is>
      </c>
      <c r="U1786" s="8" t="n">
        <v>3.492</v>
      </c>
      <c r="V1786" s="14">
        <f>U1786/J1786-1</f>
        <v/>
      </c>
      <c r="W1786" s="14">
        <f>U1786/H1786-1</f>
        <v/>
      </c>
      <c r="X1786" s="17" t="inlineStr">
        <is>
          <t>OK (≤ menor hist.)</t>
        </is>
      </c>
      <c r="Y1786" s="7" t="inlineStr"/>
    </row>
    <row r="1787">
      <c r="A1787" s="7" t="n">
        <v>541301</v>
      </c>
      <c r="B1787" s="12" t="inlineStr">
        <is>
          <t>7896544925014</t>
        </is>
      </c>
      <c r="C1787" s="7" t="inlineStr">
        <is>
          <t>ESPARADRAPO IMP BRANCO 2,5CM X 0,90MTS UND QTD. 14.00 UN</t>
        </is>
      </c>
      <c r="D1787" s="7" t="inlineStr">
        <is>
          <t>CURATIVO</t>
        </is>
      </c>
      <c r="E1787" s="7" t="inlineStr">
        <is>
          <t>A</t>
        </is>
      </c>
      <c r="F1787" s="13" t="n">
        <v>17</v>
      </c>
      <c r="G1787" s="13" t="n">
        <v>17</v>
      </c>
      <c r="H1787" s="8" t="n">
        <v>2.15</v>
      </c>
      <c r="I1787" s="8" t="n">
        <v>2.15</v>
      </c>
      <c r="J1787" s="8" t="n">
        <v>2.15</v>
      </c>
      <c r="K1787" s="15" t="n">
        <v>2.15</v>
      </c>
      <c r="L1787" s="8" t="n"/>
      <c r="M1787" s="8" t="n"/>
      <c r="N1787" s="8" t="n">
        <v>2.58</v>
      </c>
      <c r="O1787" s="8" t="n"/>
      <c r="P1787" s="8" t="n">
        <v>2.35</v>
      </c>
      <c r="Q1787" s="8" t="n"/>
      <c r="R1787" s="8" t="n"/>
      <c r="S1787" s="8" t="n"/>
      <c r="T1787" s="7" t="inlineStr">
        <is>
          <t>DIMEC</t>
        </is>
      </c>
      <c r="U1787" s="8" t="n">
        <v>2.15</v>
      </c>
      <c r="V1787" s="14">
        <f>U1787/J1787-1</f>
        <v/>
      </c>
      <c r="W1787" s="14">
        <f>U1787/H1787-1</f>
        <v/>
      </c>
      <c r="X1787" s="17" t="inlineStr">
        <is>
          <t>OK (≤ menor hist.)</t>
        </is>
      </c>
      <c r="Y1787" s="7" t="inlineStr"/>
    </row>
    <row r="1788">
      <c r="A1788" s="7" t="n">
        <v>541421</v>
      </c>
      <c r="B1788" s="12" t="inlineStr">
        <is>
          <t>7896544925458</t>
        </is>
      </c>
      <c r="C1788" s="7" t="inlineStr">
        <is>
          <t>ESPARADRAPO IMP BRANCO 2,5CM X 4,5MTS UND QTD. 10.00 UN</t>
        </is>
      </c>
      <c r="D1788" s="7" t="inlineStr">
        <is>
          <t>CURATIVO</t>
        </is>
      </c>
      <c r="E1788" s="7" t="inlineStr">
        <is>
          <t>A</t>
        </is>
      </c>
      <c r="F1788" s="13" t="n">
        <v>41</v>
      </c>
      <c r="G1788" s="13" t="n">
        <v>41</v>
      </c>
      <c r="H1788" s="8" t="n">
        <v>3.71</v>
      </c>
      <c r="I1788" s="8" t="n">
        <v>3.71</v>
      </c>
      <c r="J1788" s="8" t="n">
        <v>3.71</v>
      </c>
      <c r="K1788" s="15" t="n">
        <v>3.71</v>
      </c>
      <c r="L1788" s="8" t="n"/>
      <c r="M1788" s="8" t="n"/>
      <c r="N1788" s="8" t="n">
        <v>4.37</v>
      </c>
      <c r="O1788" s="8" t="n"/>
      <c r="P1788" s="8" t="n">
        <v>4.05</v>
      </c>
      <c r="Q1788" s="8" t="n"/>
      <c r="R1788" s="8" t="n"/>
      <c r="S1788" s="8" t="n"/>
      <c r="T1788" s="7" t="inlineStr">
        <is>
          <t>DIMEC</t>
        </is>
      </c>
      <c r="U1788" s="8" t="n">
        <v>3.71</v>
      </c>
      <c r="V1788" s="14">
        <f>U1788/J1788-1</f>
        <v/>
      </c>
      <c r="W1788" s="14">
        <f>U1788/H1788-1</f>
        <v/>
      </c>
      <c r="X1788" s="17" t="inlineStr">
        <is>
          <t>OK (≤ menor hist.)</t>
        </is>
      </c>
      <c r="Y1788" s="7" t="inlineStr"/>
    </row>
    <row r="1789">
      <c r="A1789" s="7" t="n">
        <v>552501</v>
      </c>
      <c r="B1789" s="12" t="inlineStr">
        <is>
          <t>7896544910058</t>
        </is>
      </c>
      <c r="C1789" s="7" t="inlineStr">
        <is>
          <t>ESPARADRAPO IMPERM. BRANCO 5CMX4,5M</t>
        </is>
      </c>
      <c r="D1789" s="7" t="inlineStr">
        <is>
          <t>CURATIVO</t>
        </is>
      </c>
      <c r="E1789" s="7" t="inlineStr">
        <is>
          <t>A</t>
        </is>
      </c>
      <c r="F1789" s="13" t="n">
        <v>14</v>
      </c>
      <c r="G1789" s="13" t="n">
        <v>14</v>
      </c>
      <c r="H1789" s="8" t="n">
        <v>5.98</v>
      </c>
      <c r="I1789" s="8" t="n">
        <v>5.97</v>
      </c>
      <c r="J1789" s="8" t="n">
        <v>5.973333333333333</v>
      </c>
      <c r="K1789" s="15" t="n">
        <v>5.98</v>
      </c>
      <c r="L1789" s="8" t="n"/>
      <c r="M1789" s="8" t="n"/>
      <c r="N1789" s="8" t="n">
        <v>6.9</v>
      </c>
      <c r="O1789" s="8" t="n"/>
      <c r="P1789" s="8" t="n">
        <v>6.49</v>
      </c>
      <c r="Q1789" s="8" t="n"/>
      <c r="R1789" s="8" t="n"/>
      <c r="S1789" s="8" t="n"/>
      <c r="T1789" s="7" t="inlineStr">
        <is>
          <t>DIMEC</t>
        </is>
      </c>
      <c r="U1789" s="8" t="n">
        <v>5.98</v>
      </c>
      <c r="V1789" s="14">
        <f>U1789/J1789-1</f>
        <v/>
      </c>
      <c r="W1789" s="14">
        <f>U1789/H1789-1</f>
        <v/>
      </c>
      <c r="X1789" s="17" t="inlineStr">
        <is>
          <t>OK (≤ últ. compra)</t>
        </is>
      </c>
      <c r="Y1789" s="7" t="inlineStr"/>
    </row>
    <row r="1790">
      <c r="A1790" s="7" t="n">
        <v>552861</v>
      </c>
      <c r="B1790" s="12" t="inlineStr">
        <is>
          <t>7891800628425</t>
        </is>
      </c>
      <c r="C1790" s="7" t="inlineStr">
        <is>
          <t>ESPARADRAPO SALVELOX 1,2CMX4,5M</t>
        </is>
      </c>
      <c r="D1790" s="7" t="inlineStr">
        <is>
          <t>CURATIVO</t>
        </is>
      </c>
      <c r="E1790" s="7" t="inlineStr">
        <is>
          <t>C</t>
        </is>
      </c>
      <c r="F1790" s="13" t="n">
        <v>1</v>
      </c>
      <c r="G1790" s="13" t="n">
        <v>1</v>
      </c>
      <c r="H1790" s="8" t="n">
        <v>2.59</v>
      </c>
      <c r="I1790" s="8" t="n">
        <v>2.59</v>
      </c>
      <c r="J1790" s="8" t="n">
        <v>2.59</v>
      </c>
      <c r="K1790" s="8" t="n"/>
      <c r="L1790" s="8" t="n"/>
      <c r="M1790" s="8" t="n"/>
      <c r="N1790" s="8" t="n"/>
      <c r="O1790" s="8" t="n"/>
      <c r="P1790" s="15" t="n">
        <v>2.8712</v>
      </c>
      <c r="Q1790" s="8" t="n"/>
      <c r="R1790" s="8" t="n"/>
      <c r="S1790" s="8" t="n"/>
      <c r="T1790" s="7" t="inlineStr">
        <is>
          <t>NAZARIA</t>
        </is>
      </c>
      <c r="U1790" s="8" t="n">
        <v>2.8712</v>
      </c>
      <c r="V1790" s="14">
        <f>U1790/J1790-1</f>
        <v/>
      </c>
      <c r="W1790" s="14">
        <f>U1790/H1790-1</f>
        <v/>
      </c>
      <c r="X1790" s="16" t="inlineStr">
        <is>
          <t>ACIMA +10.9%</t>
        </is>
      </c>
      <c r="Y1790" s="7" t="inlineStr"/>
    </row>
    <row r="1791">
      <c r="A1791" s="7" t="n">
        <v>552901</v>
      </c>
      <c r="B1791" s="12" t="inlineStr">
        <is>
          <t>7891800628418</t>
        </is>
      </c>
      <c r="C1791" s="7" t="inlineStr">
        <is>
          <t>ESPARADRAPO SALVELOX 2,5CMX90CM</t>
        </is>
      </c>
      <c r="D1791" s="7" t="inlineStr">
        <is>
          <t>CURATIVO</t>
        </is>
      </c>
      <c r="E1791" s="7" t="inlineStr">
        <is>
          <t>C</t>
        </is>
      </c>
      <c r="F1791" s="13" t="n">
        <v>1</v>
      </c>
      <c r="G1791" s="13" t="n">
        <v>1</v>
      </c>
      <c r="H1791" s="8" t="n">
        <v>1.5425</v>
      </c>
      <c r="I1791" s="8" t="n">
        <v>1.5425</v>
      </c>
      <c r="J1791" s="8" t="n">
        <v>1.5425</v>
      </c>
      <c r="K1791" s="8" t="n"/>
      <c r="L1791" s="8" t="n"/>
      <c r="M1791" s="8" t="n"/>
      <c r="N1791" s="8" t="n"/>
      <c r="O1791" s="8" t="n"/>
      <c r="P1791" s="15" t="n">
        <v>1.843</v>
      </c>
      <c r="Q1791" s="8" t="n"/>
      <c r="R1791" s="8" t="n"/>
      <c r="S1791" s="8" t="n"/>
      <c r="T1791" s="7" t="inlineStr">
        <is>
          <t>NAZARIA</t>
        </is>
      </c>
      <c r="U1791" s="8" t="n">
        <v>1.843</v>
      </c>
      <c r="V1791" s="14">
        <f>U1791/J1791-1</f>
        <v/>
      </c>
      <c r="W1791" s="14">
        <f>U1791/H1791-1</f>
        <v/>
      </c>
      <c r="X1791" s="16" t="inlineStr">
        <is>
          <t>ACIMA +19.5%</t>
        </is>
      </c>
      <c r="Y1791" s="7" t="inlineStr"/>
    </row>
    <row r="1792">
      <c r="A1792" s="7" t="n">
        <v>578121</v>
      </c>
      <c r="B1792" s="12" t="inlineStr">
        <is>
          <t>7891800628432</t>
        </is>
      </c>
      <c r="C1792" s="7" t="inlineStr">
        <is>
          <t>ESPARADRAPO SALVELOX 5CMX4,5M</t>
        </is>
      </c>
      <c r="D1792" s="7" t="inlineStr">
        <is>
          <t>CURATIVO</t>
        </is>
      </c>
      <c r="E1792" s="7" t="inlineStr">
        <is>
          <t>C</t>
        </is>
      </c>
      <c r="F1792" s="13" t="n">
        <v>9</v>
      </c>
      <c r="G1792" s="13" t="n">
        <v>9</v>
      </c>
      <c r="H1792" s="8" t="n">
        <v>6.844</v>
      </c>
      <c r="I1792" s="8" t="n">
        <v>6.48</v>
      </c>
      <c r="J1792" s="8" t="n">
        <v>6.722666666666666</v>
      </c>
      <c r="K1792" s="8" t="n"/>
      <c r="L1792" s="8" t="n"/>
      <c r="M1792" s="8" t="n"/>
      <c r="N1792" s="8" t="n"/>
      <c r="O1792" s="8" t="n"/>
      <c r="P1792" s="15" t="n">
        <v>6.6542</v>
      </c>
      <c r="Q1792" s="8" t="n"/>
      <c r="R1792" s="8" t="n"/>
      <c r="S1792" s="8" t="n"/>
      <c r="T1792" s="7" t="inlineStr">
        <is>
          <t>NAZARIA</t>
        </is>
      </c>
      <c r="U1792" s="8" t="n">
        <v>6.6542</v>
      </c>
      <c r="V1792" s="14">
        <f>U1792/J1792-1</f>
        <v/>
      </c>
      <c r="W1792" s="14">
        <f>U1792/H1792-1</f>
        <v/>
      </c>
      <c r="X1792" s="17" t="inlineStr">
        <is>
          <t>OK (≤ últ. compra)</t>
        </is>
      </c>
      <c r="Y1792" s="7" t="inlineStr"/>
    </row>
    <row r="1793">
      <c r="A1793" s="7" t="n">
        <v>618551</v>
      </c>
      <c r="B1793" s="12" t="inlineStr">
        <is>
          <t>7897517903015</t>
        </is>
      </c>
      <c r="C1793" s="7" t="inlineStr">
        <is>
          <t>ESPONJA P/ BANHO PEQUENA RICCA UN</t>
        </is>
      </c>
      <c r="D1793" s="7" t="inlineStr">
        <is>
          <t>PERF/COSME</t>
        </is>
      </c>
      <c r="E1793" s="7" t="inlineStr">
        <is>
          <t>B</t>
        </is>
      </c>
      <c r="F1793" s="13" t="n">
        <v>2</v>
      </c>
      <c r="G1793" s="13" t="n">
        <v>2</v>
      </c>
      <c r="H1793" s="8" t="n">
        <v>7.99</v>
      </c>
      <c r="I1793" s="8" t="n">
        <v>7.99</v>
      </c>
      <c r="J1793" s="8" t="n">
        <v>7.989999999999999</v>
      </c>
      <c r="K1793" s="8" t="n"/>
      <c r="L1793" s="8" t="n"/>
      <c r="M1793" s="8" t="n"/>
      <c r="N1793" s="8" t="n"/>
      <c r="O1793" s="8" t="n"/>
      <c r="P1793" s="8" t="n"/>
      <c r="Q1793" s="8" t="n"/>
      <c r="R1793" s="8" t="n"/>
      <c r="S1793" s="8" t="n"/>
      <c r="T1793" s="7" t="inlineStr">
        <is>
          <t>SEM COTAÇÃO</t>
        </is>
      </c>
      <c r="U1793" s="8" t="n"/>
      <c r="V1793" s="14" t="n"/>
      <c r="W1793" s="14" t="n"/>
      <c r="X1793" s="7" t="inlineStr"/>
      <c r="Y1793" s="7" t="inlineStr"/>
    </row>
    <row r="1794">
      <c r="A1794" s="7" t="n">
        <v>589961</v>
      </c>
      <c r="B1794" s="12" t="inlineStr">
        <is>
          <t>7891350025187</t>
        </is>
      </c>
      <c r="C1794" s="7" t="inlineStr">
        <is>
          <t>ESPUMA BARB BOZZ PELE SEN 193ML</t>
        </is>
      </c>
      <c r="D1794" s="7" t="inlineStr">
        <is>
          <t>PERF/COSME</t>
        </is>
      </c>
      <c r="E1794" s="7" t="inlineStr">
        <is>
          <t>C</t>
        </is>
      </c>
      <c r="F1794" s="13" t="n">
        <v>1</v>
      </c>
      <c r="G1794" s="13" t="n">
        <v>1</v>
      </c>
      <c r="H1794" s="8" t="n">
        <v>13.94</v>
      </c>
      <c r="I1794" s="8" t="n">
        <v>13.94</v>
      </c>
      <c r="J1794" s="8" t="n">
        <v>13.94</v>
      </c>
      <c r="K1794" s="8" t="n"/>
      <c r="L1794" s="8" t="n"/>
      <c r="M1794" s="8" t="n"/>
      <c r="N1794" s="8" t="n"/>
      <c r="O1794" s="8" t="n"/>
      <c r="P1794" s="8" t="n"/>
      <c r="Q1794" s="8" t="n"/>
      <c r="R1794" s="8" t="n"/>
      <c r="S1794" s="8" t="n"/>
      <c r="T1794" s="7" t="inlineStr">
        <is>
          <t>SEM COTAÇÃO</t>
        </is>
      </c>
      <c r="U1794" s="8" t="n"/>
      <c r="V1794" s="14" t="n"/>
      <c r="W1794" s="14" t="n"/>
      <c r="X1794" s="7" t="inlineStr"/>
      <c r="Y1794" s="7" t="inlineStr"/>
    </row>
    <row r="1795">
      <c r="A1795" s="7" t="n">
        <v>604531</v>
      </c>
      <c r="B1795" s="12" t="inlineStr">
        <is>
          <t>7891350000092</t>
        </is>
      </c>
      <c r="C1795" s="7" t="inlineStr">
        <is>
          <t>ESPUMA BARB.BOZZ.HIDRAT.193G</t>
        </is>
      </c>
      <c r="D1795" s="7" t="inlineStr">
        <is>
          <t>PERF/COSME</t>
        </is>
      </c>
      <c r="E1795" s="7" t="inlineStr">
        <is>
          <t>C</t>
        </is>
      </c>
      <c r="F1795" s="13" t="n">
        <v>1</v>
      </c>
      <c r="G1795" s="13" t="n">
        <v>1</v>
      </c>
      <c r="H1795" s="8" t="n">
        <v>12.44</v>
      </c>
      <c r="I1795" s="8" t="n">
        <v>12.44</v>
      </c>
      <c r="J1795" s="8" t="n">
        <v>12.44</v>
      </c>
      <c r="K1795" s="8" t="n"/>
      <c r="L1795" s="8" t="n"/>
      <c r="M1795" s="8" t="n"/>
      <c r="N1795" s="8" t="n"/>
      <c r="O1795" s="8" t="n"/>
      <c r="P1795" s="8" t="n"/>
      <c r="Q1795" s="8" t="n"/>
      <c r="R1795" s="8" t="n"/>
      <c r="S1795" s="8" t="n"/>
      <c r="T1795" s="7" t="inlineStr">
        <is>
          <t>SEM COTAÇÃO</t>
        </is>
      </c>
      <c r="U1795" s="8" t="n"/>
      <c r="V1795" s="14" t="n"/>
      <c r="W1795" s="14" t="n"/>
      <c r="X1795" s="7" t="inlineStr"/>
      <c r="Y1795" s="7" t="inlineStr"/>
    </row>
    <row r="1796">
      <c r="A1796" s="7" t="n">
        <v>631231</v>
      </c>
      <c r="B1796" s="12" t="inlineStr">
        <is>
          <t>7500435219754</t>
        </is>
      </c>
      <c r="C1796" s="7" t="inlineStr">
        <is>
          <t>ESPUMA BARBEAR GILLETTE CARVAO 150G</t>
        </is>
      </c>
      <c r="D1796" s="7" t="inlineStr">
        <is>
          <t>PERF/COSME</t>
        </is>
      </c>
      <c r="E1796" s="7" t="inlineStr">
        <is>
          <t>B</t>
        </is>
      </c>
      <c r="F1796" s="13" t="n">
        <v>1</v>
      </c>
      <c r="G1796" s="13" t="n">
        <v>1</v>
      </c>
      <c r="H1796" s="8" t="n">
        <v>17.21</v>
      </c>
      <c r="I1796" s="8" t="n">
        <v>17.21</v>
      </c>
      <c r="J1796" s="8" t="n">
        <v>17.21</v>
      </c>
      <c r="K1796" s="8" t="n"/>
      <c r="L1796" s="8" t="n"/>
      <c r="M1796" s="8" t="n"/>
      <c r="N1796" s="8" t="n"/>
      <c r="O1796" s="8" t="n"/>
      <c r="P1796" s="8" t="n"/>
      <c r="Q1796" s="8" t="n"/>
      <c r="R1796" s="8" t="n"/>
      <c r="S1796" s="8" t="n"/>
      <c r="T1796" s="7" t="inlineStr">
        <is>
          <t>SEM COTAÇÃO</t>
        </is>
      </c>
      <c r="U1796" s="8" t="n"/>
      <c r="V1796" s="14" t="n"/>
      <c r="W1796" s="14" t="n"/>
      <c r="X1796" s="7" t="inlineStr"/>
      <c r="Y1796" s="7" t="inlineStr"/>
    </row>
    <row r="1797">
      <c r="A1797" s="7" t="n">
        <v>582421</v>
      </c>
      <c r="B1797" s="12" t="inlineStr">
        <is>
          <t>4005900648327</t>
        </is>
      </c>
      <c r="C1797" s="7" t="inlineStr">
        <is>
          <t>ESPUMA DE BARB NIVEA DEEP BLACK 200ML</t>
        </is>
      </c>
      <c r="D1797" s="7" t="inlineStr">
        <is>
          <t>PERF/COSME</t>
        </is>
      </c>
      <c r="E1797" s="7" t="inlineStr">
        <is>
          <t>C</t>
        </is>
      </c>
      <c r="F1797" s="13" t="n">
        <v>1</v>
      </c>
      <c r="G1797" s="13" t="n">
        <v>1</v>
      </c>
      <c r="H1797" s="8" t="n">
        <v>28.74</v>
      </c>
      <c r="I1797" s="8" t="n">
        <v>28.74</v>
      </c>
      <c r="J1797" s="8" t="n">
        <v>28.74</v>
      </c>
      <c r="K1797" s="8" t="n"/>
      <c r="L1797" s="8" t="n"/>
      <c r="M1797" s="8" t="n"/>
      <c r="N1797" s="8" t="n"/>
      <c r="O1797" s="8" t="n"/>
      <c r="P1797" s="15" t="n">
        <v>32.58</v>
      </c>
      <c r="Q1797" s="8" t="n"/>
      <c r="R1797" s="8" t="n"/>
      <c r="S1797" s="8" t="n"/>
      <c r="T1797" s="7" t="inlineStr">
        <is>
          <t>NAZARIA</t>
        </is>
      </c>
      <c r="U1797" s="8" t="n">
        <v>32.58</v>
      </c>
      <c r="V1797" s="14">
        <f>U1797/J1797-1</f>
        <v/>
      </c>
      <c r="W1797" s="14">
        <f>U1797/H1797-1</f>
        <v/>
      </c>
      <c r="X1797" s="16" t="inlineStr">
        <is>
          <t>ACIMA +13.4%</t>
        </is>
      </c>
      <c r="Y1797" s="7" t="inlineStr"/>
    </row>
    <row r="1798">
      <c r="A1798" s="7" t="n">
        <v>582441</v>
      </c>
      <c r="B1798" s="12" t="inlineStr">
        <is>
          <t>4005808817009</t>
        </is>
      </c>
      <c r="C1798" s="7" t="inlineStr">
        <is>
          <t>ESPUMA DE BARB NIVEA ORIG PROT 200ML</t>
        </is>
      </c>
      <c r="D1798" s="7" t="inlineStr">
        <is>
          <t>PERF/COSME</t>
        </is>
      </c>
      <c r="E1798" s="7" t="inlineStr">
        <is>
          <t>C</t>
        </is>
      </c>
      <c r="F1798" s="13" t="n">
        <v>1</v>
      </c>
      <c r="G1798" s="13" t="n">
        <v>1</v>
      </c>
      <c r="H1798" s="8" t="n">
        <v>26.67</v>
      </c>
      <c r="I1798" s="8" t="n">
        <v>26.67</v>
      </c>
      <c r="J1798" s="8" t="n">
        <v>26.67</v>
      </c>
      <c r="K1798" s="8" t="n"/>
      <c r="L1798" s="8" t="n"/>
      <c r="M1798" s="8" t="n"/>
      <c r="N1798" s="8" t="n"/>
      <c r="O1798" s="8" t="n"/>
      <c r="P1798" s="15" t="n">
        <v>32.58</v>
      </c>
      <c r="Q1798" s="8" t="n"/>
      <c r="R1798" s="8" t="n"/>
      <c r="S1798" s="8" t="n"/>
      <c r="T1798" s="7" t="inlineStr">
        <is>
          <t>NAZARIA</t>
        </is>
      </c>
      <c r="U1798" s="8" t="n">
        <v>32.58</v>
      </c>
      <c r="V1798" s="14">
        <f>U1798/J1798-1</f>
        <v/>
      </c>
      <c r="W1798" s="14">
        <f>U1798/H1798-1</f>
        <v/>
      </c>
      <c r="X1798" s="16" t="inlineStr">
        <is>
          <t>ACIMA +22.2%</t>
        </is>
      </c>
      <c r="Y1798" s="7" t="inlineStr"/>
    </row>
    <row r="1799">
      <c r="A1799" s="7" t="n">
        <v>38203</v>
      </c>
      <c r="B1799" s="12" t="inlineStr">
        <is>
          <t>7898601061406</t>
        </is>
      </c>
      <c r="C1799" s="7" t="inlineStr">
        <is>
          <t>ESTABILIZADOR DE TORNOZELO PT G KSN043</t>
        </is>
      </c>
      <c r="D1799" s="7" t="inlineStr">
        <is>
          <t>ORTOPEDICO</t>
        </is>
      </c>
      <c r="E1799" s="7" t="inlineStr">
        <is>
          <t>B</t>
        </is>
      </c>
      <c r="F1799" s="13" t="n">
        <v>1</v>
      </c>
      <c r="G1799" s="13" t="n">
        <v>1</v>
      </c>
      <c r="H1799" s="8" t="n">
        <v>44</v>
      </c>
      <c r="I1799" s="8" t="n">
        <v>44</v>
      </c>
      <c r="J1799" s="8" t="n">
        <v>44</v>
      </c>
      <c r="K1799" s="8" t="n"/>
      <c r="L1799" s="8" t="n"/>
      <c r="M1799" s="8" t="n"/>
      <c r="N1799" s="15" t="n">
        <v>57.04</v>
      </c>
      <c r="O1799" s="8" t="n"/>
      <c r="P1799" s="8" t="n"/>
      <c r="Q1799" s="8" t="n"/>
      <c r="R1799" s="8" t="n"/>
      <c r="S1799" s="8" t="n"/>
      <c r="T1799" s="7" t="inlineStr">
        <is>
          <t>CENTROFARMA</t>
        </is>
      </c>
      <c r="U1799" s="8" t="n">
        <v>57.04</v>
      </c>
      <c r="V1799" s="14">
        <f>U1799/J1799-1</f>
        <v/>
      </c>
      <c r="W1799" s="14">
        <f>U1799/H1799-1</f>
        <v/>
      </c>
      <c r="X1799" s="16" t="inlineStr">
        <is>
          <t>ACIMA +29.6%</t>
        </is>
      </c>
      <c r="Y1799" s="7" t="inlineStr"/>
    </row>
    <row r="1800">
      <c r="A1800" s="7" t="n">
        <v>660381</v>
      </c>
      <c r="B1800" s="12" t="inlineStr">
        <is>
          <t>7908414435063</t>
        </is>
      </c>
      <c r="C1800" s="7" t="inlineStr">
        <is>
          <t>ESTETOSCOPIO CABECA SIMPLES</t>
        </is>
      </c>
      <c r="D1800" s="7" t="inlineStr">
        <is>
          <t>UTENSILIOS</t>
        </is>
      </c>
      <c r="E1800" s="7" t="inlineStr">
        <is>
          <t>C</t>
        </is>
      </c>
      <c r="F1800" s="13" t="n">
        <v>1</v>
      </c>
      <c r="G1800" s="13" t="n">
        <v>1</v>
      </c>
      <c r="H1800" s="8" t="n">
        <v>16.89</v>
      </c>
      <c r="I1800" s="8" t="n">
        <v>16.89</v>
      </c>
      <c r="J1800" s="8" t="n">
        <v>16.89</v>
      </c>
      <c r="K1800" s="8" t="n"/>
      <c r="L1800" s="8" t="n"/>
      <c r="M1800" s="8" t="n"/>
      <c r="N1800" s="8" t="n"/>
      <c r="O1800" s="8" t="n"/>
      <c r="P1800" s="8" t="n"/>
      <c r="Q1800" s="8" t="n"/>
      <c r="R1800" s="8" t="n"/>
      <c r="S1800" s="8" t="n"/>
      <c r="T1800" s="7" t="inlineStr">
        <is>
          <t>SEM COTAÇÃO</t>
        </is>
      </c>
      <c r="U1800" s="8" t="n"/>
      <c r="V1800" s="14" t="n"/>
      <c r="W1800" s="14" t="n"/>
      <c r="X1800" s="7" t="inlineStr"/>
      <c r="Y1800" s="7" t="inlineStr"/>
    </row>
    <row r="1801">
      <c r="A1801" s="7" t="n">
        <v>671341</v>
      </c>
      <c r="B1801" s="12" t="inlineStr">
        <is>
          <t>7899952320709</t>
        </is>
      </c>
      <c r="C1801" s="7" t="inlineStr">
        <is>
          <t>ESTOJO PATRICIA ABRAVANEL ESSENCE KIT SHAMPOO 60ML + COLONIA 25ML</t>
        </is>
      </c>
      <c r="D1801" s="7" t="inlineStr">
        <is>
          <t>PERF/COSME</t>
        </is>
      </c>
      <c r="E1801" s="7" t="inlineStr">
        <is>
          <t>C</t>
        </is>
      </c>
      <c r="F1801" s="13" t="n">
        <v>1</v>
      </c>
      <c r="G1801" s="13" t="n">
        <v>1</v>
      </c>
      <c r="H1801" s="8" t="n">
        <v>29.94</v>
      </c>
      <c r="I1801" s="8" t="n">
        <v>29.94</v>
      </c>
      <c r="J1801" s="8" t="n">
        <v>29.94</v>
      </c>
      <c r="K1801" s="8" t="n"/>
      <c r="L1801" s="8" t="n"/>
      <c r="M1801" s="8" t="n"/>
      <c r="N1801" s="8" t="n"/>
      <c r="O1801" s="8" t="n"/>
      <c r="P1801" s="8" t="n"/>
      <c r="Q1801" s="8" t="n"/>
      <c r="R1801" s="8" t="n"/>
      <c r="S1801" s="8" t="n"/>
      <c r="T1801" s="7" t="inlineStr">
        <is>
          <t>SEM COTAÇÃO</t>
        </is>
      </c>
      <c r="U1801" s="8" t="n"/>
      <c r="V1801" s="14" t="n"/>
      <c r="W1801" s="14" t="n"/>
      <c r="X1801" s="7" t="inlineStr"/>
      <c r="Y1801" s="7" t="inlineStr"/>
    </row>
    <row r="1802">
      <c r="A1802" s="7" t="n">
        <v>631171</v>
      </c>
      <c r="B1802" s="12" t="inlineStr">
        <is>
          <t>7898687733990</t>
        </is>
      </c>
      <c r="C1802" s="7" t="inlineStr">
        <is>
          <t>ETODOLACO 500MG CX 14 COMP REV</t>
        </is>
      </c>
      <c r="D1802" s="7" t="inlineStr">
        <is>
          <t>GENERICO</t>
        </is>
      </c>
      <c r="E1802" s="7" t="inlineStr">
        <is>
          <t>C</t>
        </is>
      </c>
      <c r="F1802" s="13" t="n">
        <v>13</v>
      </c>
      <c r="G1802" s="13" t="n">
        <v>13</v>
      </c>
      <c r="H1802" s="8" t="n">
        <v>16.3492</v>
      </c>
      <c r="I1802" s="8" t="n">
        <v>16.3492</v>
      </c>
      <c r="J1802" s="8" t="n">
        <v>16.3492</v>
      </c>
      <c r="K1802" s="15" t="n">
        <v>19.83</v>
      </c>
      <c r="L1802" s="8" t="n"/>
      <c r="M1802" s="8" t="n"/>
      <c r="N1802" s="8" t="n">
        <v>20.09</v>
      </c>
      <c r="O1802" s="8" t="n"/>
      <c r="P1802" s="8" t="n">
        <v>20.129958</v>
      </c>
      <c r="Q1802" s="8" t="n">
        <v>20.27</v>
      </c>
      <c r="R1802" s="8" t="n"/>
      <c r="S1802" s="8" t="n"/>
      <c r="T1802" s="7" t="inlineStr">
        <is>
          <t>DIMEC</t>
        </is>
      </c>
      <c r="U1802" s="8" t="n">
        <v>19.83</v>
      </c>
      <c r="V1802" s="14">
        <f>U1802/J1802-1</f>
        <v/>
      </c>
      <c r="W1802" s="14">
        <f>U1802/H1802-1</f>
        <v/>
      </c>
      <c r="X1802" s="16" t="inlineStr">
        <is>
          <t>ACIMA +21.3%</t>
        </is>
      </c>
      <c r="Y1802" s="7" t="inlineStr">
        <is>
          <t>NAZARIA: sem estoque</t>
        </is>
      </c>
    </row>
    <row r="1803">
      <c r="A1803" s="7" t="n">
        <v>658021</v>
      </c>
      <c r="B1803" s="12" t="inlineStr">
        <is>
          <t>4005900995520</t>
        </is>
      </c>
      <c r="C1803" s="7" t="inlineStr">
        <is>
          <t>EUCERIN HYDRO FLUID SUN FPS60 50ML</t>
        </is>
      </c>
      <c r="D1803" s="7" t="inlineStr">
        <is>
          <t>RX - DERMO</t>
        </is>
      </c>
      <c r="E1803" s="7" t="inlineStr">
        <is>
          <t>C</t>
        </is>
      </c>
      <c r="F1803" s="13" t="n">
        <v>1</v>
      </c>
      <c r="G1803" s="13" t="n">
        <v>1</v>
      </c>
      <c r="H1803" s="8" t="n">
        <v>75.47</v>
      </c>
      <c r="I1803" s="8" t="n">
        <v>75.47</v>
      </c>
      <c r="J1803" s="8" t="n">
        <v>75.47</v>
      </c>
      <c r="K1803" s="8" t="n"/>
      <c r="L1803" s="8" t="n"/>
      <c r="M1803" s="8" t="n"/>
      <c r="N1803" s="8" t="n"/>
      <c r="O1803" s="8" t="n"/>
      <c r="P1803" s="8" t="n">
        <v>75.47</v>
      </c>
      <c r="Q1803" s="8" t="n"/>
      <c r="R1803" s="8" t="n"/>
      <c r="S1803" s="8" t="n"/>
      <c r="T1803" s="7" t="inlineStr">
        <is>
          <t>SEM COTAÇÃO</t>
        </is>
      </c>
      <c r="U1803" s="8" t="n"/>
      <c r="V1803" s="14" t="n"/>
      <c r="W1803" s="14" t="n"/>
      <c r="X1803" s="7" t="inlineStr"/>
      <c r="Y1803" s="7" t="inlineStr">
        <is>
          <t>NAZARIA: sem estoque</t>
        </is>
      </c>
    </row>
    <row r="1804">
      <c r="A1804" s="7" t="n">
        <v>634911</v>
      </c>
      <c r="B1804" s="12" t="inlineStr">
        <is>
          <t>7891033517855</t>
        </is>
      </c>
      <c r="C1804" s="7" t="inlineStr">
        <is>
          <t>EUDORA BABY LOC HID 200ML</t>
        </is>
      </c>
      <c r="D1804" s="7" t="inlineStr">
        <is>
          <t>PERF/COSME</t>
        </is>
      </c>
      <c r="E1804" s="7" t="inlineStr">
        <is>
          <t>C</t>
        </is>
      </c>
      <c r="F1804" s="13" t="n">
        <v>1</v>
      </c>
      <c r="G1804" s="13" t="n">
        <v>1</v>
      </c>
      <c r="H1804" s="8" t="n">
        <v>34.86</v>
      </c>
      <c r="I1804" s="8" t="n">
        <v>34.86</v>
      </c>
      <c r="J1804" s="8" t="n">
        <v>34.86</v>
      </c>
      <c r="K1804" s="8" t="n"/>
      <c r="L1804" s="8" t="n"/>
      <c r="M1804" s="8" t="n"/>
      <c r="N1804" s="8" t="n"/>
      <c r="O1804" s="8" t="n"/>
      <c r="P1804" s="8" t="n"/>
      <c r="Q1804" s="8" t="n"/>
      <c r="R1804" s="8" t="n"/>
      <c r="S1804" s="8" t="n"/>
      <c r="T1804" s="7" t="inlineStr">
        <is>
          <t>SEM COTAÇÃO</t>
        </is>
      </c>
      <c r="U1804" s="8" t="n"/>
      <c r="V1804" s="14" t="n"/>
      <c r="W1804" s="14" t="n"/>
      <c r="X1804" s="7" t="inlineStr"/>
      <c r="Y1804" s="7" t="inlineStr"/>
    </row>
    <row r="1805">
      <c r="A1805" s="7" t="n">
        <v>642951</v>
      </c>
      <c r="B1805" s="12" t="inlineStr">
        <is>
          <t>7894913003745</t>
        </is>
      </c>
      <c r="C1805" s="7" t="inlineStr">
        <is>
          <t>EXOMUC ADULTO MEL/LIMAO 120ML</t>
        </is>
      </c>
      <c r="D1805" s="7" t="inlineStr">
        <is>
          <t>VITAMINA E SIMILARES</t>
        </is>
      </c>
      <c r="E1805" s="7" t="inlineStr">
        <is>
          <t>C</t>
        </is>
      </c>
      <c r="F1805" s="13" t="n">
        <v>1</v>
      </c>
      <c r="G1805" s="13" t="n">
        <v>1</v>
      </c>
      <c r="H1805" s="8" t="n">
        <v>16.33</v>
      </c>
      <c r="I1805" s="8" t="n">
        <v>16.33</v>
      </c>
      <c r="J1805" s="8" t="n">
        <v>16.33</v>
      </c>
      <c r="K1805" s="8" t="n"/>
      <c r="L1805" s="8" t="n"/>
      <c r="M1805" s="8" t="n"/>
      <c r="N1805" s="15" t="n">
        <v>13.82</v>
      </c>
      <c r="O1805" s="8" t="n"/>
      <c r="P1805" s="8" t="n"/>
      <c r="Q1805" s="8" t="n"/>
      <c r="R1805" s="8" t="n"/>
      <c r="S1805" s="8" t="n"/>
      <c r="T1805" s="7" t="inlineStr">
        <is>
          <t>CENTROFARMA</t>
        </is>
      </c>
      <c r="U1805" s="8" t="n">
        <v>13.82</v>
      </c>
      <c r="V1805" s="14">
        <f>U1805/J1805-1</f>
        <v/>
      </c>
      <c r="W1805" s="14">
        <f>U1805/H1805-1</f>
        <v/>
      </c>
      <c r="X1805" s="17" t="inlineStr">
        <is>
          <t>OK (≤ menor hist.)</t>
        </is>
      </c>
      <c r="Y1805" s="7" t="inlineStr"/>
    </row>
    <row r="1806">
      <c r="A1806" s="7" t="n">
        <v>303461</v>
      </c>
      <c r="B1806" s="12" t="inlineStr">
        <is>
          <t>7896004812168</t>
        </is>
      </c>
      <c r="C1806" s="7" t="inlineStr">
        <is>
          <t>EXPEC XPE FR 120ML</t>
        </is>
      </c>
      <c r="D1806" s="7" t="inlineStr">
        <is>
          <t>SIMILAR</t>
        </is>
      </c>
      <c r="E1806" s="7" t="inlineStr">
        <is>
          <t>A</t>
        </is>
      </c>
      <c r="F1806" s="13" t="n">
        <v>3</v>
      </c>
      <c r="G1806" s="13" t="n">
        <v>3</v>
      </c>
      <c r="H1806" s="8" t="n">
        <v>16.86</v>
      </c>
      <c r="I1806" s="8" t="n">
        <v>14</v>
      </c>
      <c r="J1806" s="8" t="n">
        <v>15.90666666666667</v>
      </c>
      <c r="K1806" s="8" t="n"/>
      <c r="L1806" s="8" t="n"/>
      <c r="M1806" s="8" t="n"/>
      <c r="N1806" s="8" t="n">
        <v>24.82</v>
      </c>
      <c r="O1806" s="8" t="n">
        <v>25</v>
      </c>
      <c r="P1806" s="8" t="n">
        <v>40.62</v>
      </c>
      <c r="Q1806" s="8" t="n">
        <v>24.09</v>
      </c>
      <c r="R1806" s="15" t="n">
        <v>22.99</v>
      </c>
      <c r="S1806" s="8" t="n"/>
      <c r="T1806" s="7" t="inlineStr">
        <is>
          <t>BRASFARMA</t>
        </is>
      </c>
      <c r="U1806" s="8" t="n">
        <v>22.99</v>
      </c>
      <c r="V1806" s="14">
        <f>U1806/J1806-1</f>
        <v/>
      </c>
      <c r="W1806" s="14">
        <f>U1806/H1806-1</f>
        <v/>
      </c>
      <c r="X1806" s="16" t="inlineStr">
        <is>
          <t>ACIMA +36.4%</t>
        </is>
      </c>
      <c r="Y1806" s="7" t="inlineStr">
        <is>
          <t>NAZARIA: sem estoque; conferir emb.</t>
        </is>
      </c>
    </row>
    <row r="1807">
      <c r="A1807" s="7" t="n">
        <v>273221</v>
      </c>
      <c r="B1807" s="12" t="inlineStr">
        <is>
          <t>7894164005031</t>
        </is>
      </c>
      <c r="C1807" s="7" t="inlineStr">
        <is>
          <t>EXPECTOVIC 13,333 MG/ML XPE CT FR PLAS TRANS X 120 ML+ COP</t>
        </is>
      </c>
      <c r="D1807" s="7" t="inlineStr">
        <is>
          <t>SIMILAR</t>
        </is>
      </c>
      <c r="E1807" s="7" t="inlineStr">
        <is>
          <t>C</t>
        </is>
      </c>
      <c r="F1807" s="13" t="n">
        <v>1</v>
      </c>
      <c r="G1807" s="13" t="n">
        <v>1</v>
      </c>
      <c r="H1807" s="8" t="n">
        <v>5.95</v>
      </c>
      <c r="I1807" s="8" t="n">
        <v>5.95</v>
      </c>
      <c r="J1807" s="8" t="n">
        <v>5.95</v>
      </c>
      <c r="K1807" s="8" t="n"/>
      <c r="L1807" s="8" t="n"/>
      <c r="M1807" s="8" t="n"/>
      <c r="N1807" s="8" t="n"/>
      <c r="O1807" s="8" t="n"/>
      <c r="P1807" s="8" t="n"/>
      <c r="Q1807" s="8" t="n"/>
      <c r="R1807" s="8" t="n"/>
      <c r="S1807" s="8" t="n"/>
      <c r="T1807" s="7" t="inlineStr">
        <is>
          <t>SEM COTAÇÃO</t>
        </is>
      </c>
      <c r="U1807" s="8" t="n"/>
      <c r="V1807" s="14" t="n"/>
      <c r="W1807" s="14" t="n"/>
      <c r="X1807" s="7" t="inlineStr"/>
      <c r="Y1807" s="7" t="inlineStr"/>
    </row>
    <row r="1808">
      <c r="A1808" s="7" t="n">
        <v>637031</v>
      </c>
      <c r="B1808" s="12" t="inlineStr"/>
      <c r="C1808" s="7" t="inlineStr">
        <is>
          <t>EXPECTOVIC 13,333MG/ML XPE FR 120ML+COP MED</t>
        </is>
      </c>
      <c r="D1808" s="7" t="inlineStr">
        <is>
          <t>GENERICO</t>
        </is>
      </c>
      <c r="E1808" s="7" t="inlineStr">
        <is>
          <t>B</t>
        </is>
      </c>
      <c r="F1808" s="13" t="n">
        <v>3</v>
      </c>
      <c r="G1808" s="13" t="n">
        <v>3</v>
      </c>
      <c r="H1808" s="8" t="n">
        <v>14.4967</v>
      </c>
      <c r="I1808" s="8" t="n">
        <v>14.4967</v>
      </c>
      <c r="J1808" s="8" t="n">
        <v>14.4967</v>
      </c>
      <c r="K1808" s="8" t="n"/>
      <c r="L1808" s="8" t="n"/>
      <c r="M1808" s="8" t="n"/>
      <c r="N1808" s="8" t="n"/>
      <c r="O1808" s="8" t="n"/>
      <c r="P1808" s="8" t="n"/>
      <c r="Q1808" s="8" t="n"/>
      <c r="R1808" s="8" t="n"/>
      <c r="S1808" s="8" t="n"/>
      <c r="T1808" s="7" t="inlineStr">
        <is>
          <t>SEM COTAÇÃO</t>
        </is>
      </c>
      <c r="U1808" s="8" t="n"/>
      <c r="V1808" s="14" t="n"/>
      <c r="W1808" s="14" t="n"/>
      <c r="X1808" s="7" t="inlineStr"/>
      <c r="Y1808" s="7" t="inlineStr"/>
    </row>
    <row r="1809">
      <c r="A1809" s="7" t="n">
        <v>605921</v>
      </c>
      <c r="B1809" s="12" t="inlineStr">
        <is>
          <t>7896148500662</t>
        </is>
      </c>
      <c r="C1809" s="7" t="inlineStr">
        <is>
          <t>EXTRATO DE PROPOLIS SPRAY 35ML (FIT)</t>
        </is>
      </c>
      <c r="D1809" s="7" t="inlineStr">
        <is>
          <t>SIMILAR</t>
        </is>
      </c>
      <c r="E1809" s="7" t="inlineStr">
        <is>
          <t>C</t>
        </is>
      </c>
      <c r="F1809" s="13" t="n">
        <v>1</v>
      </c>
      <c r="G1809" s="13" t="n">
        <v>1</v>
      </c>
      <c r="H1809" s="8" t="n">
        <v>20.46</v>
      </c>
      <c r="I1809" s="8" t="n">
        <v>20.46</v>
      </c>
      <c r="J1809" s="8" t="n">
        <v>20.46</v>
      </c>
      <c r="K1809" s="8" t="n"/>
      <c r="L1809" s="8" t="n"/>
      <c r="M1809" s="8" t="n"/>
      <c r="N1809" s="8" t="n"/>
      <c r="O1809" s="8" t="n"/>
      <c r="P1809" s="8" t="n"/>
      <c r="Q1809" s="8" t="n"/>
      <c r="R1809" s="8" t="n"/>
      <c r="S1809" s="8" t="n"/>
      <c r="T1809" s="7" t="inlineStr">
        <is>
          <t>SEM COTAÇÃO</t>
        </is>
      </c>
      <c r="U1809" s="8" t="n"/>
      <c r="V1809" s="14" t="n"/>
      <c r="W1809" s="14" t="n"/>
      <c r="X1809" s="7" t="inlineStr"/>
      <c r="Y1809" s="7" t="inlineStr"/>
    </row>
    <row r="1810">
      <c r="A1810" s="7" t="n">
        <v>607431</v>
      </c>
      <c r="B1810" s="12" t="inlineStr">
        <is>
          <t>7897732607897</t>
        </is>
      </c>
      <c r="C1810" s="7" t="inlineStr">
        <is>
          <t>EXTRATO DE PROPOLIS VERDE 30ML</t>
        </is>
      </c>
      <c r="D1810" s="7" t="inlineStr">
        <is>
          <t>OTC</t>
        </is>
      </c>
      <c r="E1810" s="7" t="inlineStr">
        <is>
          <t>A</t>
        </is>
      </c>
      <c r="F1810" s="13" t="n">
        <v>6</v>
      </c>
      <c r="G1810" s="13" t="n">
        <v>6</v>
      </c>
      <c r="H1810" s="8" t="n">
        <v>9.51</v>
      </c>
      <c r="I1810" s="8" t="n">
        <v>9.51</v>
      </c>
      <c r="J1810" s="8" t="n">
        <v>9.51</v>
      </c>
      <c r="K1810" s="15" t="n">
        <v>9.76</v>
      </c>
      <c r="L1810" s="8" t="n"/>
      <c r="M1810" s="8" t="n"/>
      <c r="N1810" s="8" t="n">
        <v>10.01</v>
      </c>
      <c r="O1810" s="8" t="n"/>
      <c r="P1810" s="8" t="n">
        <v>11.13</v>
      </c>
      <c r="Q1810" s="8" t="n">
        <v>11.88</v>
      </c>
      <c r="R1810" s="8" t="n"/>
      <c r="S1810" s="8" t="n"/>
      <c r="T1810" s="7" t="inlineStr">
        <is>
          <t>DIMEC</t>
        </is>
      </c>
      <c r="U1810" s="8" t="n">
        <v>9.76</v>
      </c>
      <c r="V1810" s="14">
        <f>U1810/J1810-1</f>
        <v/>
      </c>
      <c r="W1810" s="14">
        <f>U1810/H1810-1</f>
        <v/>
      </c>
      <c r="X1810" s="16" t="inlineStr">
        <is>
          <t>ACIMA +2.6%</t>
        </is>
      </c>
      <c r="Y1810" s="7" t="inlineStr">
        <is>
          <t>NAZARIA: sem estoque</t>
        </is>
      </c>
    </row>
    <row r="1811">
      <c r="A1811" s="7" t="n">
        <v>660351</v>
      </c>
      <c r="B1811" s="12" t="inlineStr">
        <is>
          <t>7896472521845</t>
        </is>
      </c>
      <c r="C1811" s="7" t="inlineStr">
        <is>
          <t>EZETIMIBA 10MG 30 CPR</t>
        </is>
      </c>
      <c r="D1811" s="7" t="inlineStr">
        <is>
          <t>GENERICO</t>
        </is>
      </c>
      <c r="E1811" s="7" t="inlineStr">
        <is>
          <t>C</t>
        </is>
      </c>
      <c r="F1811" s="13" t="n">
        <v>6</v>
      </c>
      <c r="G1811" s="13" t="n">
        <v>6</v>
      </c>
      <c r="H1811" s="8" t="n">
        <v>15.99</v>
      </c>
      <c r="I1811" s="8" t="n">
        <v>15.99</v>
      </c>
      <c r="J1811" s="8" t="n">
        <v>15.99</v>
      </c>
      <c r="K1811" s="8" t="n">
        <v>16.73</v>
      </c>
      <c r="L1811" s="15" t="n">
        <v>16.49</v>
      </c>
      <c r="M1811" s="8" t="n"/>
      <c r="N1811" s="8" t="n"/>
      <c r="O1811" s="8" t="n"/>
      <c r="P1811" s="8" t="n"/>
      <c r="Q1811" s="8" t="n">
        <v>17.73</v>
      </c>
      <c r="R1811" s="8" t="n"/>
      <c r="S1811" s="8" t="n"/>
      <c r="T1811" s="7" t="inlineStr">
        <is>
          <t>PLUSFARMA</t>
        </is>
      </c>
      <c r="U1811" s="8" t="n">
        <v>16.49</v>
      </c>
      <c r="V1811" s="14">
        <f>U1811/J1811-1</f>
        <v/>
      </c>
      <c r="W1811" s="14">
        <f>U1811/H1811-1</f>
        <v/>
      </c>
      <c r="X1811" s="16" t="inlineStr">
        <is>
          <t>ACIMA +3.1%</t>
        </is>
      </c>
      <c r="Y1811" s="7" t="inlineStr"/>
    </row>
    <row r="1812">
      <c r="A1812" s="7" t="n">
        <v>243061</v>
      </c>
      <c r="B1812" s="12" t="inlineStr">
        <is>
          <t>7898569762674</t>
        </is>
      </c>
      <c r="C1812" s="7" t="inlineStr">
        <is>
          <t>EZETIMIBA 10MG CX 30 COMP REV</t>
        </is>
      </c>
      <c r="D1812" s="7" t="inlineStr">
        <is>
          <t>GENERICO</t>
        </is>
      </c>
      <c r="E1812" s="7" t="inlineStr">
        <is>
          <t>A</t>
        </is>
      </c>
      <c r="F1812" s="13" t="n">
        <v>14</v>
      </c>
      <c r="G1812" s="13" t="n">
        <v>14</v>
      </c>
      <c r="H1812" s="8" t="n">
        <v>15.58</v>
      </c>
      <c r="I1812" s="8" t="n">
        <v>13.1</v>
      </c>
      <c r="J1812" s="8" t="n">
        <v>14.75333333333333</v>
      </c>
      <c r="K1812" s="8" t="n">
        <v>16.45</v>
      </c>
      <c r="L1812" s="8" t="n">
        <v>17.1</v>
      </c>
      <c r="M1812" s="8" t="n"/>
      <c r="N1812" s="15" t="n">
        <v>16.4</v>
      </c>
      <c r="O1812" s="8" t="n"/>
      <c r="P1812" s="8" t="n">
        <v>23.426449</v>
      </c>
      <c r="Q1812" s="8" t="n">
        <v>17.66</v>
      </c>
      <c r="R1812" s="8" t="n"/>
      <c r="S1812" s="8" t="n"/>
      <c r="T1812" s="7" t="inlineStr">
        <is>
          <t>CENTROFARMA</t>
        </is>
      </c>
      <c r="U1812" s="8" t="n">
        <v>16.4</v>
      </c>
      <c r="V1812" s="14">
        <f>U1812/J1812-1</f>
        <v/>
      </c>
      <c r="W1812" s="14">
        <f>U1812/H1812-1</f>
        <v/>
      </c>
      <c r="X1812" s="16" t="inlineStr">
        <is>
          <t>ACIMA +5.3%</t>
        </is>
      </c>
      <c r="Y1812" s="7" t="inlineStr"/>
    </row>
    <row r="1813">
      <c r="A1813" s="7" t="n">
        <v>642961</v>
      </c>
      <c r="B1813" s="12" t="inlineStr">
        <is>
          <t>7894913002922</t>
        </is>
      </c>
      <c r="C1813" s="7" t="inlineStr">
        <is>
          <t>F GARENA 180ML</t>
        </is>
      </c>
      <c r="D1813" s="7" t="inlineStr">
        <is>
          <t>VITAMINA E SIMILARES</t>
        </is>
      </c>
      <c r="E1813" s="7" t="inlineStr">
        <is>
          <t>C</t>
        </is>
      </c>
      <c r="F1813" s="13" t="n">
        <v>1</v>
      </c>
      <c r="G1813" s="13" t="n">
        <v>1</v>
      </c>
      <c r="H1813" s="8" t="n">
        <v>16.6</v>
      </c>
      <c r="I1813" s="8" t="n">
        <v>16.6</v>
      </c>
      <c r="J1813" s="8" t="n">
        <v>16.6</v>
      </c>
      <c r="K1813" s="8" t="n"/>
      <c r="L1813" s="8" t="n"/>
      <c r="M1813" s="8" t="n"/>
      <c r="N1813" s="15" t="n">
        <v>15.49</v>
      </c>
      <c r="O1813" s="8" t="n"/>
      <c r="P1813" s="8" t="n"/>
      <c r="Q1813" s="8" t="n"/>
      <c r="R1813" s="8" t="n"/>
      <c r="S1813" s="8" t="n"/>
      <c r="T1813" s="7" t="inlineStr">
        <is>
          <t>CENTROFARMA</t>
        </is>
      </c>
      <c r="U1813" s="8" t="n">
        <v>15.49</v>
      </c>
      <c r="V1813" s="14">
        <f>U1813/J1813-1</f>
        <v/>
      </c>
      <c r="W1813" s="14">
        <f>U1813/H1813-1</f>
        <v/>
      </c>
      <c r="X1813" s="17" t="inlineStr">
        <is>
          <t>OK (≤ menor hist.)</t>
        </is>
      </c>
      <c r="Y1813" s="7" t="inlineStr"/>
    </row>
    <row r="1814">
      <c r="A1814" s="7" t="n">
        <v>490681</v>
      </c>
      <c r="B1814" s="12" t="inlineStr">
        <is>
          <t>7896004777221</t>
        </is>
      </c>
      <c r="C1814" s="7" t="inlineStr">
        <is>
          <t>FACOBA 5+1MG/ML SOL OFT FR 5ML-L</t>
        </is>
      </c>
      <c r="D1814" s="7" t="inlineStr">
        <is>
          <t>RX - SIMILAR - ATB</t>
        </is>
      </c>
      <c r="E1814" s="7" t="inlineStr">
        <is>
          <t>A</t>
        </is>
      </c>
      <c r="F1814" s="13" t="n">
        <v>1</v>
      </c>
      <c r="G1814" s="13" t="n">
        <v>1</v>
      </c>
      <c r="H1814" s="8" t="n">
        <v>43.99</v>
      </c>
      <c r="I1814" s="8" t="n">
        <v>32.78</v>
      </c>
      <c r="J1814" s="8" t="n">
        <v>34.20333333333333</v>
      </c>
      <c r="K1814" s="8" t="n"/>
      <c r="L1814" s="8" t="n"/>
      <c r="M1814" s="8" t="n"/>
      <c r="N1814" s="8" t="n"/>
      <c r="O1814" s="8" t="n"/>
      <c r="P1814" s="15" t="n">
        <v>35.78</v>
      </c>
      <c r="Q1814" s="8" t="n"/>
      <c r="R1814" s="8" t="n"/>
      <c r="S1814" s="8" t="n"/>
      <c r="T1814" s="7" t="inlineStr">
        <is>
          <t>NAZARIA</t>
        </is>
      </c>
      <c r="U1814" s="8" t="n">
        <v>35.78</v>
      </c>
      <c r="V1814" s="14">
        <f>U1814/J1814-1</f>
        <v/>
      </c>
      <c r="W1814" s="14">
        <f>U1814/H1814-1</f>
        <v/>
      </c>
      <c r="X1814" s="17" t="inlineStr">
        <is>
          <t>OK (≤ últ. compra)</t>
        </is>
      </c>
      <c r="Y1814" s="7" t="inlineStr"/>
    </row>
    <row r="1815">
      <c r="A1815" s="7" t="n">
        <v>599221</v>
      </c>
      <c r="B1815" s="12" t="inlineStr">
        <is>
          <t>7894900093001</t>
        </is>
      </c>
      <c r="C1815" s="7" t="inlineStr">
        <is>
          <t>FANTA GUARANA 350ML</t>
        </is>
      </c>
      <c r="D1815" s="7" t="inlineStr">
        <is>
          <t>BEBIDAS GERAL</t>
        </is>
      </c>
      <c r="E1815" s="7" t="inlineStr">
        <is>
          <t>C</t>
        </is>
      </c>
      <c r="F1815" s="13" t="n">
        <v>1</v>
      </c>
      <c r="G1815" s="13" t="n">
        <v>1</v>
      </c>
      <c r="H1815" s="8" t="n"/>
      <c r="I1815" s="8" t="n"/>
      <c r="J1815" s="8" t="n"/>
      <c r="K1815" s="8" t="n"/>
      <c r="L1815" s="8" t="n"/>
      <c r="M1815" s="8" t="n"/>
      <c r="N1815" s="8" t="n"/>
      <c r="O1815" s="8" t="n"/>
      <c r="P1815" s="8" t="n"/>
      <c r="Q1815" s="8" t="n"/>
      <c r="R1815" s="8" t="n"/>
      <c r="S1815" s="8" t="n"/>
      <c r="T1815" s="7" t="inlineStr">
        <is>
          <t>SEM COTAÇÃO</t>
        </is>
      </c>
      <c r="U1815" s="8" t="n"/>
      <c r="V1815" s="14" t="n"/>
      <c r="W1815" s="14" t="n"/>
      <c r="X1815" s="7" t="inlineStr"/>
      <c r="Y1815" s="7" t="inlineStr"/>
    </row>
    <row r="1816">
      <c r="A1816" s="7" t="n">
        <v>583621</v>
      </c>
      <c r="B1816" s="12" t="inlineStr">
        <is>
          <t>7894900030013</t>
        </is>
      </c>
      <c r="C1816" s="7" t="inlineStr">
        <is>
          <t>FANTA LARANJA LATA 350ML</t>
        </is>
      </c>
      <c r="D1816" s="7" t="inlineStr">
        <is>
          <t>BEBIDAS GERAL</t>
        </is>
      </c>
      <c r="E1816" s="7" t="inlineStr">
        <is>
          <t>A</t>
        </is>
      </c>
      <c r="F1816" s="13" t="n">
        <v>15</v>
      </c>
      <c r="G1816" s="13" t="n">
        <v>15</v>
      </c>
      <c r="H1816" s="8" t="n">
        <v>2.5058</v>
      </c>
      <c r="I1816" s="8" t="n">
        <v>2.245</v>
      </c>
      <c r="J1816" s="8" t="n">
        <v>2.286133333333333</v>
      </c>
      <c r="K1816" s="8" t="n"/>
      <c r="L1816" s="8" t="n"/>
      <c r="M1816" s="8" t="n"/>
      <c r="N1816" s="8" t="n"/>
      <c r="O1816" s="8" t="n"/>
      <c r="P1816" s="8" t="n"/>
      <c r="Q1816" s="8" t="n"/>
      <c r="R1816" s="8" t="n"/>
      <c r="S1816" s="8" t="n"/>
      <c r="T1816" s="7" t="inlineStr">
        <is>
          <t>SEM COTAÇÃO</t>
        </is>
      </c>
      <c r="U1816" s="8" t="n"/>
      <c r="V1816" s="14" t="n"/>
      <c r="W1816" s="14" t="n"/>
      <c r="X1816" s="7" t="inlineStr"/>
      <c r="Y1816" s="7" t="inlineStr"/>
    </row>
    <row r="1817">
      <c r="A1817" s="7" t="n">
        <v>3823</v>
      </c>
      <c r="B1817" s="12" t="inlineStr">
        <is>
          <t>7894900030075</t>
        </is>
      </c>
      <c r="C1817" s="7" t="inlineStr">
        <is>
          <t>FANTA LARANJA LT 350ML</t>
        </is>
      </c>
      <c r="D1817" s="7" t="inlineStr">
        <is>
          <t>BEBIDAS GERAL</t>
        </is>
      </c>
      <c r="E1817" s="7" t="inlineStr">
        <is>
          <t>C</t>
        </is>
      </c>
      <c r="F1817" s="13" t="n">
        <v>1</v>
      </c>
      <c r="G1817" s="13" t="n">
        <v>1</v>
      </c>
      <c r="H1817" s="8" t="n">
        <v>2.2544</v>
      </c>
      <c r="I1817" s="8" t="n">
        <v>2.2544</v>
      </c>
      <c r="J1817" s="8" t="n">
        <v>2.2544</v>
      </c>
      <c r="K1817" s="8" t="n"/>
      <c r="L1817" s="8" t="n"/>
      <c r="M1817" s="8" t="n"/>
      <c r="N1817" s="8" t="n"/>
      <c r="O1817" s="8" t="n"/>
      <c r="P1817" s="8" t="n"/>
      <c r="Q1817" s="8" t="n"/>
      <c r="R1817" s="8" t="n"/>
      <c r="S1817" s="8" t="n"/>
      <c r="T1817" s="7" t="inlineStr">
        <is>
          <t>SEM COTAÇÃO</t>
        </is>
      </c>
      <c r="U1817" s="8" t="n"/>
      <c r="V1817" s="14" t="n"/>
      <c r="W1817" s="14" t="n"/>
      <c r="X1817" s="7" t="inlineStr"/>
      <c r="Y1817" s="7" t="inlineStr"/>
    </row>
    <row r="1818">
      <c r="A1818" s="7" t="n">
        <v>672801</v>
      </c>
      <c r="B1818" s="12" t="inlineStr">
        <is>
          <t>7894900150018</t>
        </is>
      </c>
      <c r="C1818" s="7" t="inlineStr">
        <is>
          <t>FANTA LARANJA SEM ACUCAR LATA 350ML</t>
        </is>
      </c>
      <c r="D1818" s="7" t="inlineStr">
        <is>
          <t>BEBIDAS GERAL</t>
        </is>
      </c>
      <c r="E1818" s="7" t="inlineStr">
        <is>
          <t>C</t>
        </is>
      </c>
      <c r="F1818" s="13" t="n">
        <v>2</v>
      </c>
      <c r="G1818" s="13" t="n">
        <v>2</v>
      </c>
      <c r="H1818" s="8" t="n">
        <v>2.3067</v>
      </c>
      <c r="I1818" s="8" t="n">
        <v>2.3067</v>
      </c>
      <c r="J1818" s="8" t="n">
        <v>2.3067</v>
      </c>
      <c r="K1818" s="8" t="n"/>
      <c r="L1818" s="8" t="n"/>
      <c r="M1818" s="8" t="n"/>
      <c r="N1818" s="8" t="n"/>
      <c r="O1818" s="8" t="n"/>
      <c r="P1818" s="8" t="n"/>
      <c r="Q1818" s="8" t="n"/>
      <c r="R1818" s="8" t="n"/>
      <c r="S1818" s="8" t="n"/>
      <c r="T1818" s="7" t="inlineStr">
        <is>
          <t>SEM COTAÇÃO</t>
        </is>
      </c>
      <c r="U1818" s="8" t="n"/>
      <c r="V1818" s="14" t="n"/>
      <c r="W1818" s="14" t="n"/>
      <c r="X1818" s="7" t="inlineStr"/>
      <c r="Y1818" s="7" t="inlineStr"/>
    </row>
    <row r="1819">
      <c r="A1819" s="7" t="n">
        <v>21941</v>
      </c>
      <c r="B1819" s="12" t="inlineStr">
        <is>
          <t>7898166040328</t>
        </is>
      </c>
      <c r="C1819" s="7" t="inlineStr">
        <is>
          <t>FARMACE -AGUA PARA INJECAO 1 ML/ML SOL INJ CX 200 AMP PLAS TRANS X 10 ML</t>
        </is>
      </c>
      <c r="D1819" s="7" t="inlineStr">
        <is>
          <t>UTENSILIOS</t>
        </is>
      </c>
      <c r="E1819" s="7" t="inlineStr">
        <is>
          <t>C</t>
        </is>
      </c>
      <c r="F1819" s="13" t="n">
        <v>1</v>
      </c>
      <c r="G1819" s="13" t="n">
        <v>1</v>
      </c>
      <c r="H1819" s="8" t="n">
        <v>0.45</v>
      </c>
      <c r="I1819" s="8" t="n">
        <v>0.45</v>
      </c>
      <c r="J1819" s="8" t="n">
        <v>0.45</v>
      </c>
      <c r="K1819" s="15" t="n">
        <v>0.32</v>
      </c>
      <c r="L1819" s="8" t="n"/>
      <c r="M1819" s="8" t="n"/>
      <c r="N1819" s="8" t="n"/>
      <c r="O1819" s="8" t="n"/>
      <c r="P1819" s="8" t="n"/>
      <c r="Q1819" s="8" t="n"/>
      <c r="R1819" s="8" t="n"/>
      <c r="S1819" s="8" t="n"/>
      <c r="T1819" s="7" t="inlineStr">
        <is>
          <t>DIMEC</t>
        </is>
      </c>
      <c r="U1819" s="8" t="n">
        <v>0.32</v>
      </c>
      <c r="V1819" s="14">
        <f>U1819/J1819-1</f>
        <v/>
      </c>
      <c r="W1819" s="14">
        <f>U1819/H1819-1</f>
        <v/>
      </c>
      <c r="X1819" s="17" t="inlineStr">
        <is>
          <t>OK (≤ menor hist.)</t>
        </is>
      </c>
      <c r="Y1819" s="7" t="inlineStr"/>
    </row>
    <row r="1820">
      <c r="A1820" s="7" t="n">
        <v>613831</v>
      </c>
      <c r="B1820" s="12" t="inlineStr">
        <is>
          <t>7896902234093</t>
        </is>
      </c>
      <c r="C1820" s="7" t="inlineStr">
        <is>
          <t>FARMAIODINE PVPI 10% 100ML</t>
        </is>
      </c>
      <c r="D1820" s="7" t="inlineStr">
        <is>
          <t>CURATIVO</t>
        </is>
      </c>
      <c r="E1820" s="7" t="inlineStr">
        <is>
          <t>C</t>
        </is>
      </c>
      <c r="F1820" s="13" t="n">
        <v>2</v>
      </c>
      <c r="G1820" s="13" t="n">
        <v>2</v>
      </c>
      <c r="H1820" s="8" t="n">
        <v>7.09</v>
      </c>
      <c r="I1820" s="8" t="n">
        <v>7.09</v>
      </c>
      <c r="J1820" s="8" t="n">
        <v>7.09</v>
      </c>
      <c r="K1820" s="8" t="n">
        <v>7.42</v>
      </c>
      <c r="L1820" s="8" t="n">
        <v>99999999</v>
      </c>
      <c r="M1820" s="8" t="n"/>
      <c r="N1820" s="8" t="n">
        <v>7.41</v>
      </c>
      <c r="O1820" s="8" t="n"/>
      <c r="P1820" s="15" t="n">
        <v>6.27</v>
      </c>
      <c r="Q1820" s="8" t="n"/>
      <c r="R1820" s="8" t="n"/>
      <c r="S1820" s="8" t="n"/>
      <c r="T1820" s="7" t="inlineStr">
        <is>
          <t>NAZARIA</t>
        </is>
      </c>
      <c r="U1820" s="8" t="n">
        <v>6.27</v>
      </c>
      <c r="V1820" s="14">
        <f>U1820/J1820-1</f>
        <v/>
      </c>
      <c r="W1820" s="14">
        <f>U1820/H1820-1</f>
        <v/>
      </c>
      <c r="X1820" s="17" t="inlineStr">
        <is>
          <t>OK (≤ menor hist.)</t>
        </is>
      </c>
      <c r="Y1820" s="7" t="inlineStr">
        <is>
          <t>PLUSFARMA: conferir emb.</t>
        </is>
      </c>
    </row>
    <row r="1821">
      <c r="A1821" s="7" t="n">
        <v>565341</v>
      </c>
      <c r="B1821" s="12" t="inlineStr">
        <is>
          <t>7896902213463</t>
        </is>
      </c>
      <c r="C1821" s="7" t="inlineStr">
        <is>
          <t>FARMAX AGUA OXIGENADA 70ML V30</t>
        </is>
      </c>
      <c r="D1821" s="7" t="inlineStr">
        <is>
          <t>PERF/COSME</t>
        </is>
      </c>
      <c r="E1821" s="7" t="inlineStr">
        <is>
          <t>C</t>
        </is>
      </c>
      <c r="F1821" s="13" t="n">
        <v>5</v>
      </c>
      <c r="G1821" s="13" t="n">
        <v>5</v>
      </c>
      <c r="H1821" s="8" t="n">
        <v>1.84</v>
      </c>
      <c r="I1821" s="8" t="n">
        <v>1.84</v>
      </c>
      <c r="J1821" s="8" t="n">
        <v>1.84</v>
      </c>
      <c r="K1821" s="8" t="n"/>
      <c r="L1821" s="8" t="n"/>
      <c r="M1821" s="8" t="n"/>
      <c r="N1821" s="15" t="n">
        <v>2.01</v>
      </c>
      <c r="O1821" s="8" t="n"/>
      <c r="P1821" s="8" t="n"/>
      <c r="Q1821" s="8" t="n"/>
      <c r="R1821" s="8" t="n"/>
      <c r="S1821" s="8" t="n"/>
      <c r="T1821" s="7" t="inlineStr">
        <is>
          <t>CENTROFARMA</t>
        </is>
      </c>
      <c r="U1821" s="8" t="n">
        <v>2.01</v>
      </c>
      <c r="V1821" s="14">
        <f>U1821/J1821-1</f>
        <v/>
      </c>
      <c r="W1821" s="14">
        <f>U1821/H1821-1</f>
        <v/>
      </c>
      <c r="X1821" s="16" t="inlineStr">
        <is>
          <t>ACIMA +9.2%</t>
        </is>
      </c>
      <c r="Y1821" s="7" t="inlineStr"/>
    </row>
    <row r="1822">
      <c r="A1822" s="7" t="n">
        <v>543981</v>
      </c>
      <c r="B1822" s="12" t="inlineStr">
        <is>
          <t>7896902213487</t>
        </is>
      </c>
      <c r="C1822" s="7" t="inlineStr">
        <is>
          <t>FARMAX AGUA OXIGENADA 70ML V40</t>
        </is>
      </c>
      <c r="D1822" s="7" t="inlineStr">
        <is>
          <t>PERF/COSME</t>
        </is>
      </c>
      <c r="E1822" s="7" t="inlineStr">
        <is>
          <t>C</t>
        </is>
      </c>
      <c r="F1822" s="13" t="n">
        <v>4</v>
      </c>
      <c r="G1822" s="13" t="n">
        <v>4</v>
      </c>
      <c r="H1822" s="8" t="n">
        <v>1.79</v>
      </c>
      <c r="I1822" s="8" t="n">
        <v>1.79</v>
      </c>
      <c r="J1822" s="8" t="n">
        <v>1.79</v>
      </c>
      <c r="K1822" s="8" t="n"/>
      <c r="L1822" s="8" t="n"/>
      <c r="M1822" s="8" t="n"/>
      <c r="N1822" s="15" t="n">
        <v>2.14</v>
      </c>
      <c r="O1822" s="8" t="n"/>
      <c r="P1822" s="8" t="n"/>
      <c r="Q1822" s="8" t="n"/>
      <c r="R1822" s="8" t="n"/>
      <c r="S1822" s="8" t="n"/>
      <c r="T1822" s="7" t="inlineStr">
        <is>
          <t>CENTROFARMA</t>
        </is>
      </c>
      <c r="U1822" s="8" t="n">
        <v>2.14</v>
      </c>
      <c r="V1822" s="14">
        <f>U1822/J1822-1</f>
        <v/>
      </c>
      <c r="W1822" s="14">
        <f>U1822/H1822-1</f>
        <v/>
      </c>
      <c r="X1822" s="16" t="inlineStr">
        <is>
          <t>ACIMA +19.6%</t>
        </is>
      </c>
      <c r="Y1822" s="7" t="inlineStr"/>
    </row>
    <row r="1823">
      <c r="A1823" s="7" t="n">
        <v>591221</v>
      </c>
      <c r="B1823" s="12" t="inlineStr">
        <is>
          <t>7898216362172</t>
        </is>
      </c>
      <c r="C1823" s="7" t="inlineStr">
        <is>
          <t>FARMOXICAM 20MG CX 10 CAP</t>
        </is>
      </c>
      <c r="D1823" s="7" t="inlineStr">
        <is>
          <t>SIMILAR</t>
        </is>
      </c>
      <c r="E1823" s="7" t="inlineStr">
        <is>
          <t>C</t>
        </is>
      </c>
      <c r="F1823" s="13" t="n">
        <v>4</v>
      </c>
      <c r="G1823" s="13" t="n">
        <v>4</v>
      </c>
      <c r="H1823" s="8" t="n">
        <v>3.52</v>
      </c>
      <c r="I1823" s="8" t="n">
        <v>3.52</v>
      </c>
      <c r="J1823" s="8" t="n">
        <v>3.52</v>
      </c>
      <c r="K1823" s="15" t="n">
        <v>4.4</v>
      </c>
      <c r="L1823" s="8" t="n"/>
      <c r="M1823" s="8" t="n"/>
      <c r="N1823" s="8" t="n">
        <v>4.41</v>
      </c>
      <c r="O1823" s="8" t="n"/>
      <c r="P1823" s="8" t="n"/>
      <c r="Q1823" s="8" t="n"/>
      <c r="R1823" s="8" t="n">
        <v>4.97</v>
      </c>
      <c r="S1823" s="8" t="n"/>
      <c r="T1823" s="7" t="inlineStr">
        <is>
          <t>DIMEC</t>
        </is>
      </c>
      <c r="U1823" s="8" t="n">
        <v>4.4</v>
      </c>
      <c r="V1823" s="14">
        <f>U1823/J1823-1</f>
        <v/>
      </c>
      <c r="W1823" s="14">
        <f>U1823/H1823-1</f>
        <v/>
      </c>
      <c r="X1823" s="16" t="inlineStr">
        <is>
          <t>ACIMA +25.0%</t>
        </is>
      </c>
      <c r="Y1823" s="7" t="inlineStr"/>
    </row>
    <row r="1824">
      <c r="A1824" s="7" t="n">
        <v>646991</v>
      </c>
      <c r="B1824" s="12" t="inlineStr">
        <is>
          <t>7500435185011</t>
        </is>
      </c>
      <c r="C1824" s="7" t="inlineStr">
        <is>
          <t>FEMIBION 1 C/28 COMP-DEMAIS PROD</t>
        </is>
      </c>
      <c r="D1824" s="7" t="inlineStr">
        <is>
          <t>RX - OTC</t>
        </is>
      </c>
      <c r="E1824" s="7" t="inlineStr">
        <is>
          <t>C</t>
        </is>
      </c>
      <c r="F1824" s="13" t="n">
        <v>1</v>
      </c>
      <c r="G1824" s="13" t="n">
        <v>1</v>
      </c>
      <c r="H1824" s="8" t="n">
        <v>69.4517</v>
      </c>
      <c r="I1824" s="8" t="n">
        <v>69.4517</v>
      </c>
      <c r="J1824" s="8" t="n">
        <v>69.4517</v>
      </c>
      <c r="K1824" s="8" t="n"/>
      <c r="L1824" s="8" t="n"/>
      <c r="M1824" s="8" t="n"/>
      <c r="N1824" s="8" t="n"/>
      <c r="O1824" s="8" t="n"/>
      <c r="P1824" s="15" t="n">
        <v>102.5525</v>
      </c>
      <c r="Q1824" s="8" t="n"/>
      <c r="R1824" s="8" t="n"/>
      <c r="S1824" s="8" t="n"/>
      <c r="T1824" s="7" t="inlineStr">
        <is>
          <t>NAZARIA</t>
        </is>
      </c>
      <c r="U1824" s="8" t="n">
        <v>102.5525</v>
      </c>
      <c r="V1824" s="14">
        <f>U1824/J1824-1</f>
        <v/>
      </c>
      <c r="W1824" s="14">
        <f>U1824/H1824-1</f>
        <v/>
      </c>
      <c r="X1824" s="16" t="inlineStr">
        <is>
          <t>ACIMA +47.7%</t>
        </is>
      </c>
      <c r="Y1824" s="7" t="inlineStr"/>
    </row>
    <row r="1825">
      <c r="A1825" s="7" t="n">
        <v>641971</v>
      </c>
      <c r="B1825" s="12" t="inlineStr">
        <is>
          <t>7500435185035</t>
        </is>
      </c>
      <c r="C1825" s="7" t="inlineStr">
        <is>
          <t>FEMIBION 3 C/28 COMP-DEMAIS PROD</t>
        </is>
      </c>
      <c r="D1825" s="7" t="inlineStr">
        <is>
          <t>RX - OTC</t>
        </is>
      </c>
      <c r="E1825" s="7" t="inlineStr">
        <is>
          <t>A</t>
        </is>
      </c>
      <c r="F1825" s="13" t="n">
        <v>5</v>
      </c>
      <c r="G1825" s="13" t="n">
        <v>5</v>
      </c>
      <c r="H1825" s="8" t="n">
        <v>127.5667</v>
      </c>
      <c r="I1825" s="8" t="n">
        <v>101.32</v>
      </c>
      <c r="J1825" s="8" t="n">
        <v>118.8178</v>
      </c>
      <c r="K1825" s="8" t="n"/>
      <c r="L1825" s="8" t="n"/>
      <c r="M1825" s="8" t="n"/>
      <c r="N1825" s="8" t="n"/>
      <c r="O1825" s="8" t="n"/>
      <c r="P1825" s="15" t="n">
        <v>136.8665</v>
      </c>
      <c r="Q1825" s="8" t="n"/>
      <c r="R1825" s="8" t="n"/>
      <c r="S1825" s="8" t="n"/>
      <c r="T1825" s="7" t="inlineStr">
        <is>
          <t>NAZARIA</t>
        </is>
      </c>
      <c r="U1825" s="8" t="n">
        <v>136.8665</v>
      </c>
      <c r="V1825" s="14">
        <f>U1825/J1825-1</f>
        <v/>
      </c>
      <c r="W1825" s="14">
        <f>U1825/H1825-1</f>
        <v/>
      </c>
      <c r="X1825" s="16" t="inlineStr">
        <is>
          <t>ACIMA +7.3%</t>
        </is>
      </c>
      <c r="Y1825" s="7" t="inlineStr"/>
    </row>
    <row r="1826">
      <c r="A1826" s="7" t="n">
        <v>676011</v>
      </c>
      <c r="B1826" s="12" t="inlineStr">
        <is>
          <t>7898483532094</t>
        </is>
      </c>
      <c r="C1826" s="7" t="inlineStr">
        <is>
          <t>FENO GREGO+BORO "B" 500 MG 60 CAPS. CX/48 - UNILIFE</t>
        </is>
      </c>
      <c r="D1826" s="7" t="inlineStr">
        <is>
          <t>VITAMINA E SIMILARES</t>
        </is>
      </c>
      <c r="E1826" s="7" t="inlineStr">
        <is>
          <t>A</t>
        </is>
      </c>
      <c r="F1826" s="13" t="n">
        <v>1</v>
      </c>
      <c r="G1826" s="13" t="n">
        <v>1</v>
      </c>
      <c r="H1826" s="8" t="n">
        <v>48.69</v>
      </c>
      <c r="I1826" s="8" t="n">
        <v>48.69</v>
      </c>
      <c r="J1826" s="8" t="n">
        <v>48.69</v>
      </c>
      <c r="K1826" s="8" t="n"/>
      <c r="L1826" s="8" t="n"/>
      <c r="M1826" s="8" t="n"/>
      <c r="N1826" s="8" t="n"/>
      <c r="O1826" s="8" t="n"/>
      <c r="P1826" s="8" t="n"/>
      <c r="Q1826" s="8" t="n"/>
      <c r="R1826" s="8" t="n"/>
      <c r="S1826" s="8" t="n"/>
      <c r="T1826" s="7" t="inlineStr">
        <is>
          <t>SEM COTAÇÃO</t>
        </is>
      </c>
      <c r="U1826" s="8" t="n"/>
      <c r="V1826" s="14" t="n"/>
      <c r="W1826" s="14" t="n"/>
      <c r="X1826" s="7" t="inlineStr"/>
      <c r="Y1826" s="7" t="inlineStr"/>
    </row>
    <row r="1827">
      <c r="A1827" s="7" t="n">
        <v>4781</v>
      </c>
      <c r="B1827" s="12" t="inlineStr">
        <is>
          <t>7908020502630</t>
        </is>
      </c>
      <c r="C1827" s="7" t="inlineStr">
        <is>
          <t>FERANE 35 2+0,035MG CX 21 COMP REV</t>
        </is>
      </c>
      <c r="D1827" s="7" t="inlineStr">
        <is>
          <t>SIMILAR</t>
        </is>
      </c>
      <c r="E1827" s="7" t="inlineStr">
        <is>
          <t>C</t>
        </is>
      </c>
      <c r="F1827" s="13" t="n">
        <v>1</v>
      </c>
      <c r="G1827" s="13" t="n">
        <v>1</v>
      </c>
      <c r="H1827" s="8" t="n">
        <v>26.9</v>
      </c>
      <c r="I1827" s="8" t="n">
        <v>26.9</v>
      </c>
      <c r="J1827" s="8" t="n">
        <v>26.9</v>
      </c>
      <c r="K1827" s="8" t="n"/>
      <c r="L1827" s="8" t="n"/>
      <c r="M1827" s="8" t="n"/>
      <c r="N1827" s="8" t="n"/>
      <c r="O1827" s="8" t="n"/>
      <c r="P1827" s="8" t="n"/>
      <c r="Q1827" s="8" t="n"/>
      <c r="R1827" s="8" t="n"/>
      <c r="S1827" s="8" t="n"/>
      <c r="T1827" s="7" t="inlineStr">
        <is>
          <t>SEM COTAÇÃO</t>
        </is>
      </c>
      <c r="U1827" s="8" t="n"/>
      <c r="V1827" s="14" t="n"/>
      <c r="W1827" s="14" t="n"/>
      <c r="X1827" s="7" t="inlineStr"/>
      <c r="Y1827" s="7" t="inlineStr"/>
    </row>
    <row r="1828">
      <c r="A1828" s="7" t="n">
        <v>623501</v>
      </c>
      <c r="B1828" s="12" t="inlineStr"/>
      <c r="C1828" s="7" t="inlineStr">
        <is>
          <t>FERRERO ROCHER 100G</t>
        </is>
      </c>
      <c r="D1828" s="7" t="inlineStr">
        <is>
          <t>CONVENIENCIA</t>
        </is>
      </c>
      <c r="E1828" s="7" t="inlineStr">
        <is>
          <t>A</t>
        </is>
      </c>
      <c r="F1828" s="13" t="n">
        <v>1</v>
      </c>
      <c r="G1828" s="13" t="n">
        <v>1</v>
      </c>
      <c r="H1828" s="8" t="n">
        <v>26.01</v>
      </c>
      <c r="I1828" s="8" t="n">
        <v>24.87</v>
      </c>
      <c r="J1828" s="8" t="n">
        <v>25.63</v>
      </c>
      <c r="K1828" s="8" t="n"/>
      <c r="L1828" s="8" t="n"/>
      <c r="M1828" s="8" t="n"/>
      <c r="N1828" s="8" t="n"/>
      <c r="O1828" s="8" t="n"/>
      <c r="P1828" s="8" t="n"/>
      <c r="Q1828" s="8" t="n"/>
      <c r="R1828" s="8" t="n"/>
      <c r="S1828" s="8" t="n"/>
      <c r="T1828" s="7" t="inlineStr">
        <is>
          <t>SEM COTAÇÃO</t>
        </is>
      </c>
      <c r="U1828" s="8" t="n"/>
      <c r="V1828" s="14" t="n"/>
      <c r="W1828" s="14" t="n"/>
      <c r="X1828" s="7" t="inlineStr"/>
      <c r="Y1828" s="7" t="inlineStr"/>
    </row>
    <row r="1829">
      <c r="A1829" s="7" t="n">
        <v>609821</v>
      </c>
      <c r="B1829" s="12" t="inlineStr">
        <is>
          <t>78909434</t>
        </is>
      </c>
      <c r="C1829" s="7" t="inlineStr">
        <is>
          <t>FERRERO ROCHER 37,5G UN</t>
        </is>
      </c>
      <c r="D1829" s="7" t="inlineStr">
        <is>
          <t>CONVENIENCIA</t>
        </is>
      </c>
      <c r="E1829" s="7" t="inlineStr">
        <is>
          <t>A</t>
        </is>
      </c>
      <c r="F1829" s="13" t="n">
        <v>14</v>
      </c>
      <c r="G1829" s="13" t="n">
        <v>14</v>
      </c>
      <c r="H1829" s="8" t="n">
        <v>8.380000000000001</v>
      </c>
      <c r="I1829" s="8" t="n">
        <v>7.89</v>
      </c>
      <c r="J1829" s="8" t="n">
        <v>8.216666666666667</v>
      </c>
      <c r="K1829" s="8" t="n"/>
      <c r="L1829" s="8" t="n"/>
      <c r="M1829" s="8" t="n"/>
      <c r="N1829" s="8" t="n"/>
      <c r="O1829" s="8" t="n"/>
      <c r="P1829" s="8" t="n"/>
      <c r="Q1829" s="8" t="n"/>
      <c r="R1829" s="8" t="n"/>
      <c r="S1829" s="8" t="n"/>
      <c r="T1829" s="7" t="inlineStr">
        <is>
          <t>SEM COTAÇÃO</t>
        </is>
      </c>
      <c r="U1829" s="8" t="n"/>
      <c r="V1829" s="14" t="n"/>
      <c r="W1829" s="14" t="n"/>
      <c r="X1829" s="7" t="inlineStr"/>
      <c r="Y1829" s="7" t="inlineStr"/>
    </row>
    <row r="1830">
      <c r="A1830" s="7" t="n">
        <v>430141</v>
      </c>
      <c r="B1830" s="12" t="inlineStr">
        <is>
          <t>7896014673124</t>
        </is>
      </c>
      <c r="C1830" s="7" t="inlineStr">
        <is>
          <t>FERROPURUM 20 MG/ML SOL INJ 5 AMP 5ML</t>
        </is>
      </c>
      <c r="D1830" s="7" t="inlineStr">
        <is>
          <t>RX</t>
        </is>
      </c>
      <c r="E1830" s="7" t="inlineStr">
        <is>
          <t>A</t>
        </is>
      </c>
      <c r="F1830" s="13" t="n">
        <v>9</v>
      </c>
      <c r="G1830" s="13" t="n">
        <v>9</v>
      </c>
      <c r="H1830" s="8" t="n">
        <v>69.76000000000001</v>
      </c>
      <c r="I1830" s="8" t="n">
        <v>51.6738</v>
      </c>
      <c r="J1830" s="8" t="n">
        <v>57.70143333333333</v>
      </c>
      <c r="K1830" s="8" t="n"/>
      <c r="L1830" s="8" t="n"/>
      <c r="M1830" s="8" t="n"/>
      <c r="N1830" s="8" t="n"/>
      <c r="O1830" s="8" t="n"/>
      <c r="P1830" s="15" t="n">
        <v>67.81409699999999</v>
      </c>
      <c r="Q1830" s="8" t="n">
        <v>68.76000000000001</v>
      </c>
      <c r="R1830" s="8" t="n"/>
      <c r="S1830" s="8" t="n"/>
      <c r="T1830" s="7" t="inlineStr">
        <is>
          <t>NAZARIA</t>
        </is>
      </c>
      <c r="U1830" s="8" t="n">
        <v>67.81409699999999</v>
      </c>
      <c r="V1830" s="14">
        <f>U1830/J1830-1</f>
        <v/>
      </c>
      <c r="W1830" s="14">
        <f>U1830/H1830-1</f>
        <v/>
      </c>
      <c r="X1830" s="17" t="inlineStr">
        <is>
          <t>OK (≤ últ. compra)</t>
        </is>
      </c>
      <c r="Y1830" s="7" t="inlineStr"/>
    </row>
    <row r="1831">
      <c r="A1831" s="7" t="n">
        <v>146841</v>
      </c>
      <c r="B1831" s="12" t="inlineStr"/>
      <c r="C1831" s="7" t="inlineStr">
        <is>
          <t>FEXX 180MG CX 10 COMP REV</t>
        </is>
      </c>
      <c r="D1831" s="7" t="inlineStr">
        <is>
          <t>SIMILAR</t>
        </is>
      </c>
      <c r="E1831" s="7" t="inlineStr">
        <is>
          <t>A</t>
        </is>
      </c>
      <c r="F1831" s="13" t="n">
        <v>18</v>
      </c>
      <c r="G1831" s="13" t="n">
        <v>18</v>
      </c>
      <c r="H1831" s="8" t="n">
        <v>5.16</v>
      </c>
      <c r="I1831" s="8" t="n">
        <v>5.16</v>
      </c>
      <c r="J1831" s="8" t="n">
        <v>5.16</v>
      </c>
      <c r="K1831" s="8" t="n"/>
      <c r="L1831" s="8" t="n"/>
      <c r="M1831" s="8" t="n"/>
      <c r="N1831" s="8" t="n"/>
      <c r="O1831" s="8" t="n"/>
      <c r="P1831" s="8" t="n"/>
      <c r="Q1831" s="8" t="n"/>
      <c r="R1831" s="8" t="n"/>
      <c r="S1831" s="8" t="n"/>
      <c r="T1831" s="7" t="inlineStr">
        <is>
          <t>SEM COTAÇÃO</t>
        </is>
      </c>
      <c r="U1831" s="8" t="n"/>
      <c r="V1831" s="14" t="n"/>
      <c r="W1831" s="14" t="n"/>
      <c r="X1831" s="7" t="inlineStr"/>
      <c r="Y1831" s="7" t="inlineStr"/>
    </row>
    <row r="1832">
      <c r="A1832" s="7" t="n">
        <v>626071</v>
      </c>
      <c r="B1832" s="12" t="inlineStr">
        <is>
          <t>7896023756849</t>
        </is>
      </c>
      <c r="C1832" s="7" t="inlineStr">
        <is>
          <t>FIGATIL 10ML FLACONETE</t>
        </is>
      </c>
      <c r="D1832" s="7" t="inlineStr">
        <is>
          <t>RX - OTC</t>
        </is>
      </c>
      <c r="E1832" s="7" t="inlineStr">
        <is>
          <t>A</t>
        </is>
      </c>
      <c r="F1832" s="13" t="n">
        <v>1</v>
      </c>
      <c r="G1832" s="13" t="n">
        <v>38</v>
      </c>
      <c r="H1832" s="8" t="n">
        <v>2.4223</v>
      </c>
      <c r="I1832" s="8" t="n">
        <v>1.1388</v>
      </c>
      <c r="J1832" s="8" t="n">
        <v>1.994466666666667</v>
      </c>
      <c r="K1832" s="8" t="n">
        <v>2.256458333333333</v>
      </c>
      <c r="L1832" s="8" t="n"/>
      <c r="M1832" s="8" t="n">
        <v>5.723958333333333</v>
      </c>
      <c r="N1832" s="15" t="n">
        <v>1.959583333333333</v>
      </c>
      <c r="O1832" s="8" t="n"/>
      <c r="P1832" s="8" t="n"/>
      <c r="Q1832" s="8" t="n"/>
      <c r="R1832" s="8" t="n"/>
      <c r="S1832" s="8" t="n"/>
      <c r="T1832" s="7" t="inlineStr">
        <is>
          <t>CENTROFARMA</t>
        </is>
      </c>
      <c r="U1832" s="8" t="n">
        <v>1.959583333333333</v>
      </c>
      <c r="V1832" s="14">
        <f>U1832/J1832-1</f>
        <v/>
      </c>
      <c r="W1832" s="14">
        <f>U1832/H1832-1</f>
        <v/>
      </c>
      <c r="X1832" s="17" t="inlineStr">
        <is>
          <t>OK (≤ últ. compra)</t>
        </is>
      </c>
      <c r="Y1832" s="7" t="inlineStr">
        <is>
          <t>DIMEC: 1 emb = 48 un; EPAN: 1 emb = 48 un; conferir emb.; CENTROFARMA: 1 emb = 48 un</t>
        </is>
      </c>
    </row>
    <row r="1833">
      <c r="A1833" s="7" t="n">
        <v>4813</v>
      </c>
      <c r="B1833" s="12" t="inlineStr">
        <is>
          <t>7898656166811</t>
        </is>
      </c>
      <c r="C1833" s="7" t="inlineStr">
        <is>
          <t>FIGEST EPATIBIO 60 FLACONETES 10ML</t>
        </is>
      </c>
      <c r="D1833" s="7" t="inlineStr">
        <is>
          <t>VITAMINA E SIMILARES</t>
        </is>
      </c>
      <c r="E1833" s="7" t="inlineStr">
        <is>
          <t>C</t>
        </is>
      </c>
      <c r="F1833" s="13" t="n">
        <v>1</v>
      </c>
      <c r="G1833" s="13" t="n">
        <v>27</v>
      </c>
      <c r="H1833" s="8" t="n"/>
      <c r="I1833" s="8" t="n"/>
      <c r="J1833" s="8" t="n"/>
      <c r="K1833" s="8" t="n"/>
      <c r="L1833" s="8" t="n"/>
      <c r="M1833" s="8" t="n"/>
      <c r="N1833" s="8" t="n"/>
      <c r="O1833" s="8" t="n"/>
      <c r="P1833" s="8" t="n"/>
      <c r="Q1833" s="8" t="n"/>
      <c r="R1833" s="8" t="n"/>
      <c r="S1833" s="8" t="n"/>
      <c r="T1833" s="7" t="inlineStr">
        <is>
          <t>SEM COTAÇÃO</t>
        </is>
      </c>
      <c r="U1833" s="8" t="n"/>
      <c r="V1833" s="14" t="n"/>
      <c r="W1833" s="14" t="n"/>
      <c r="X1833" s="7" t="inlineStr"/>
      <c r="Y1833" s="7" t="inlineStr"/>
    </row>
    <row r="1834">
      <c r="A1834" s="7" t="n">
        <v>616361</v>
      </c>
      <c r="B1834" s="12" t="inlineStr">
        <is>
          <t>7896523201504</t>
        </is>
      </c>
      <c r="C1834" s="7" t="inlineStr">
        <is>
          <t>FIGMED 200MG CAPS C/30</t>
        </is>
      </c>
      <c r="D1834" s="7" t="inlineStr">
        <is>
          <t>VITAMINA E SIMILARES</t>
        </is>
      </c>
      <c r="E1834" s="7" t="inlineStr">
        <is>
          <t>A</t>
        </is>
      </c>
      <c r="F1834" s="13" t="n">
        <v>13</v>
      </c>
      <c r="G1834" s="13" t="n">
        <v>13</v>
      </c>
      <c r="H1834" s="8" t="n">
        <v>35.69</v>
      </c>
      <c r="I1834" s="8" t="n">
        <v>31.99</v>
      </c>
      <c r="J1834" s="8" t="n">
        <v>33.83333333333333</v>
      </c>
      <c r="K1834" s="8" t="n"/>
      <c r="L1834" s="8" t="n"/>
      <c r="M1834" s="8" t="n"/>
      <c r="N1834" s="8" t="n"/>
      <c r="O1834" s="8" t="n"/>
      <c r="P1834" s="15" t="n">
        <v>30.53</v>
      </c>
      <c r="Q1834" s="8" t="n"/>
      <c r="R1834" s="8" t="n"/>
      <c r="S1834" s="8" t="n"/>
      <c r="T1834" s="7" t="inlineStr">
        <is>
          <t>NAZARIA</t>
        </is>
      </c>
      <c r="U1834" s="8" t="n">
        <v>30.53</v>
      </c>
      <c r="V1834" s="14">
        <f>U1834/J1834-1</f>
        <v/>
      </c>
      <c r="W1834" s="14">
        <f>U1834/H1834-1</f>
        <v/>
      </c>
      <c r="X1834" s="17" t="inlineStr">
        <is>
          <t>OK (≤ menor hist.)</t>
        </is>
      </c>
      <c r="Y1834" s="7" t="inlineStr"/>
    </row>
    <row r="1835">
      <c r="A1835" s="7" t="n">
        <v>663091</v>
      </c>
      <c r="B1835" s="12" t="inlineStr">
        <is>
          <t>7891150096301</t>
        </is>
      </c>
      <c r="C1835" s="7" t="inlineStr">
        <is>
          <t>FIN SEDA BOOM SER GL DEF FLEXIVEL 200ML   UNIL %DN:13.00</t>
        </is>
      </c>
      <c r="D1835" s="7" t="inlineStr">
        <is>
          <t>COND/SHAM/CREM/SIMILARES</t>
        </is>
      </c>
      <c r="E1835" s="7" t="inlineStr">
        <is>
          <t>C</t>
        </is>
      </c>
      <c r="F1835" s="13" t="n">
        <v>2</v>
      </c>
      <c r="G1835" s="13" t="n">
        <v>2</v>
      </c>
      <c r="H1835" s="8" t="n">
        <v>13.63</v>
      </c>
      <c r="I1835" s="8" t="n">
        <v>13.63</v>
      </c>
      <c r="J1835" s="8" t="n">
        <v>13.63</v>
      </c>
      <c r="K1835" s="8" t="n"/>
      <c r="L1835" s="8" t="n"/>
      <c r="M1835" s="8" t="n"/>
      <c r="N1835" s="8" t="n"/>
      <c r="O1835" s="8" t="n"/>
      <c r="P1835" s="8" t="n">
        <v>18.85</v>
      </c>
      <c r="Q1835" s="8" t="n"/>
      <c r="R1835" s="8" t="n"/>
      <c r="S1835" s="8" t="n"/>
      <c r="T1835" s="7" t="inlineStr">
        <is>
          <t>SEM COTAÇÃO</t>
        </is>
      </c>
      <c r="U1835" s="8" t="n"/>
      <c r="V1835" s="14" t="n"/>
      <c r="W1835" s="14" t="n"/>
      <c r="X1835" s="7" t="inlineStr"/>
      <c r="Y1835" s="7" t="inlineStr">
        <is>
          <t>NAZARIA: sem estoque</t>
        </is>
      </c>
    </row>
    <row r="1836">
      <c r="A1836" s="7" t="n">
        <v>664511</v>
      </c>
      <c r="B1836" s="12" t="inlineStr"/>
      <c r="C1836" s="7" t="inlineStr">
        <is>
          <t>FINALIZADOR ANTIUMIDADE COMBINACION 240ML X 1</t>
        </is>
      </c>
      <c r="D1836" s="7" t="inlineStr">
        <is>
          <t>COND/SHAM/CREM/SIMILARES</t>
        </is>
      </c>
      <c r="E1836" s="7" t="inlineStr">
        <is>
          <t>C</t>
        </is>
      </c>
      <c r="F1836" s="13" t="n">
        <v>1</v>
      </c>
      <c r="G1836" s="13" t="n">
        <v>1</v>
      </c>
      <c r="H1836" s="8" t="n">
        <v>20.1</v>
      </c>
      <c r="I1836" s="8" t="n">
        <v>20.1</v>
      </c>
      <c r="J1836" s="8" t="n">
        <v>20.1</v>
      </c>
      <c r="K1836" s="8" t="n"/>
      <c r="L1836" s="8" t="n"/>
      <c r="M1836" s="8" t="n"/>
      <c r="N1836" s="8" t="n"/>
      <c r="O1836" s="8" t="n"/>
      <c r="P1836" s="8" t="n"/>
      <c r="Q1836" s="8" t="n"/>
      <c r="R1836" s="8" t="n"/>
      <c r="S1836" s="8" t="n"/>
      <c r="T1836" s="7" t="inlineStr">
        <is>
          <t>SEM COTAÇÃO</t>
        </is>
      </c>
      <c r="U1836" s="8" t="n"/>
      <c r="V1836" s="14" t="n"/>
      <c r="W1836" s="14" t="n"/>
      <c r="X1836" s="7" t="inlineStr"/>
      <c r="Y1836" s="7" t="inlineStr"/>
    </row>
    <row r="1837">
      <c r="A1837" s="7" t="n">
        <v>599981</v>
      </c>
      <c r="B1837" s="12" t="inlineStr">
        <is>
          <t>7898132981815</t>
        </is>
      </c>
      <c r="C1837" s="7" t="inlineStr">
        <is>
          <t>FINALIZADOR CACHOS E CRESPOS 150GR</t>
        </is>
      </c>
      <c r="D1837" s="7" t="inlineStr">
        <is>
          <t>COND/SHAM/CREM/SIMILARES</t>
        </is>
      </c>
      <c r="E1837" s="7" t="inlineStr">
        <is>
          <t>C</t>
        </is>
      </c>
      <c r="F1837" s="13" t="n">
        <v>1</v>
      </c>
      <c r="G1837" s="13" t="n">
        <v>1</v>
      </c>
      <c r="H1837" s="8" t="n">
        <v>21.6</v>
      </c>
      <c r="I1837" s="8" t="n">
        <v>21.6</v>
      </c>
      <c r="J1837" s="8" t="n">
        <v>21.6</v>
      </c>
      <c r="K1837" s="8" t="n"/>
      <c r="L1837" s="8" t="n"/>
      <c r="M1837" s="8" t="n"/>
      <c r="N1837" s="8" t="n"/>
      <c r="O1837" s="8" t="n"/>
      <c r="P1837" s="8" t="n"/>
      <c r="Q1837" s="8" t="n"/>
      <c r="R1837" s="8" t="n"/>
      <c r="S1837" s="8" t="n"/>
      <c r="T1837" s="7" t="inlineStr">
        <is>
          <t>SEM COTAÇÃO</t>
        </is>
      </c>
      <c r="U1837" s="8" t="n"/>
      <c r="V1837" s="14" t="n"/>
      <c r="W1837" s="14" t="n"/>
      <c r="X1837" s="7" t="inlineStr"/>
      <c r="Y1837" s="7" t="inlineStr"/>
    </row>
    <row r="1838">
      <c r="A1838" s="7" t="n">
        <v>183</v>
      </c>
      <c r="B1838" s="12" t="inlineStr">
        <is>
          <t>7898132987329</t>
        </is>
      </c>
      <c r="C1838" s="7" t="inlineStr">
        <is>
          <t>FINALIZADOR CRESPO PODEROSO 300ML</t>
        </is>
      </c>
      <c r="D1838" s="7" t="inlineStr">
        <is>
          <t>COND/SHAM/CREM/SIMILARES</t>
        </is>
      </c>
      <c r="E1838" s="7" t="inlineStr">
        <is>
          <t>B</t>
        </is>
      </c>
      <c r="F1838" s="13" t="n">
        <v>1</v>
      </c>
      <c r="G1838" s="13" t="n">
        <v>1</v>
      </c>
      <c r="H1838" s="8" t="n">
        <v>16.29</v>
      </c>
      <c r="I1838" s="8" t="n">
        <v>16.29</v>
      </c>
      <c r="J1838" s="8" t="n">
        <v>16.29</v>
      </c>
      <c r="K1838" s="8" t="n"/>
      <c r="L1838" s="8" t="n"/>
      <c r="M1838" s="8" t="n"/>
      <c r="N1838" s="8" t="n"/>
      <c r="O1838" s="8" t="n"/>
      <c r="P1838" s="8" t="n"/>
      <c r="Q1838" s="8" t="n"/>
      <c r="R1838" s="8" t="n"/>
      <c r="S1838" s="8" t="n"/>
      <c r="T1838" s="7" t="inlineStr">
        <is>
          <t>SEM COTAÇÃO</t>
        </is>
      </c>
      <c r="U1838" s="8" t="n"/>
      <c r="V1838" s="14" t="n"/>
      <c r="W1838" s="14" t="n"/>
      <c r="X1838" s="7" t="inlineStr"/>
      <c r="Y1838" s="7" t="inlineStr"/>
    </row>
    <row r="1839">
      <c r="A1839" s="7" t="n">
        <v>659481</v>
      </c>
      <c r="B1839" s="12" t="inlineStr">
        <is>
          <t>7898126403651</t>
        </is>
      </c>
      <c r="C1839" s="7" t="inlineStr">
        <is>
          <t>FINALIZADOR KIDS 150GR</t>
        </is>
      </c>
      <c r="D1839" s="7" t="inlineStr">
        <is>
          <t>BABY/KIDS</t>
        </is>
      </c>
      <c r="E1839" s="7" t="inlineStr">
        <is>
          <t>C</t>
        </is>
      </c>
      <c r="F1839" s="13" t="n">
        <v>1</v>
      </c>
      <c r="G1839" s="13" t="n">
        <v>1</v>
      </c>
      <c r="H1839" s="8" t="n">
        <v>15.49</v>
      </c>
      <c r="I1839" s="8" t="n">
        <v>15.49</v>
      </c>
      <c r="J1839" s="8" t="n">
        <v>15.49</v>
      </c>
      <c r="K1839" s="8" t="n"/>
      <c r="L1839" s="8" t="n"/>
      <c r="M1839" s="8" t="n"/>
      <c r="N1839" s="8" t="n"/>
      <c r="O1839" s="8" t="n"/>
      <c r="P1839" s="8" t="n"/>
      <c r="Q1839" s="8" t="n"/>
      <c r="R1839" s="8" t="n"/>
      <c r="S1839" s="8" t="n"/>
      <c r="T1839" s="7" t="inlineStr">
        <is>
          <t>SEM COTAÇÃO</t>
        </is>
      </c>
      <c r="U1839" s="8" t="n"/>
      <c r="V1839" s="14" t="n"/>
      <c r="W1839" s="14" t="n"/>
      <c r="X1839" s="7" t="inlineStr"/>
      <c r="Y1839" s="7" t="inlineStr"/>
    </row>
    <row r="1840">
      <c r="A1840" s="7" t="n">
        <v>582101</v>
      </c>
      <c r="B1840" s="12" t="inlineStr">
        <is>
          <t>7898132982416</t>
        </is>
      </c>
      <c r="C1840" s="7" t="inlineStr">
        <is>
          <t>FINALIZADOR MAIS BRILHO 200G</t>
        </is>
      </c>
      <c r="D1840" s="7" t="inlineStr">
        <is>
          <t>PERF/COSME</t>
        </is>
      </c>
      <c r="E1840" s="7" t="inlineStr">
        <is>
          <t>C</t>
        </is>
      </c>
      <c r="F1840" s="13" t="n">
        <v>1</v>
      </c>
      <c r="G1840" s="13" t="n">
        <v>1</v>
      </c>
      <c r="H1840" s="8" t="n">
        <v>25.94</v>
      </c>
      <c r="I1840" s="8" t="n">
        <v>25.94</v>
      </c>
      <c r="J1840" s="8" t="n">
        <v>25.94</v>
      </c>
      <c r="K1840" s="8" t="n"/>
      <c r="L1840" s="8" t="n"/>
      <c r="M1840" s="8" t="n"/>
      <c r="N1840" s="8" t="n"/>
      <c r="O1840" s="8" t="n"/>
      <c r="P1840" s="8" t="n"/>
      <c r="Q1840" s="8" t="n"/>
      <c r="R1840" s="8" t="n"/>
      <c r="S1840" s="8" t="n"/>
      <c r="T1840" s="7" t="inlineStr">
        <is>
          <t>SEM COTAÇÃO</t>
        </is>
      </c>
      <c r="U1840" s="8" t="n"/>
      <c r="V1840" s="14" t="n"/>
      <c r="W1840" s="14" t="n"/>
      <c r="X1840" s="7" t="inlineStr"/>
      <c r="Y1840" s="7" t="inlineStr"/>
    </row>
    <row r="1841">
      <c r="A1841" s="7" t="n">
        <v>633191</v>
      </c>
      <c r="B1841" s="12" t="inlineStr">
        <is>
          <t>7898126404177</t>
        </is>
      </c>
      <c r="C1841" s="7" t="inlineStr">
        <is>
          <t>FINALIZADOR QUERAVIT 200 GR</t>
        </is>
      </c>
      <c r="D1841" s="7" t="inlineStr">
        <is>
          <t>PERF/COSME</t>
        </is>
      </c>
      <c r="E1841" s="7" t="inlineStr">
        <is>
          <t>C</t>
        </is>
      </c>
      <c r="F1841" s="13" t="n">
        <v>1</v>
      </c>
      <c r="G1841" s="13" t="n">
        <v>1</v>
      </c>
      <c r="H1841" s="8" t="n">
        <v>25.94</v>
      </c>
      <c r="I1841" s="8" t="n">
        <v>25.94</v>
      </c>
      <c r="J1841" s="8" t="n">
        <v>25.94</v>
      </c>
      <c r="K1841" s="8" t="n"/>
      <c r="L1841" s="8" t="n"/>
      <c r="M1841" s="8" t="n"/>
      <c r="N1841" s="8" t="n"/>
      <c r="O1841" s="8" t="n"/>
      <c r="P1841" s="8" t="n"/>
      <c r="Q1841" s="8" t="n"/>
      <c r="R1841" s="8" t="n"/>
      <c r="S1841" s="8" t="n"/>
      <c r="T1841" s="7" t="inlineStr">
        <is>
          <t>SEM COTAÇÃO</t>
        </is>
      </c>
      <c r="U1841" s="8" t="n"/>
      <c r="V1841" s="14" t="n"/>
      <c r="W1841" s="14" t="n"/>
      <c r="X1841" s="7" t="inlineStr"/>
      <c r="Y1841" s="7" t="inlineStr"/>
    </row>
    <row r="1842">
      <c r="A1842" s="7" t="n">
        <v>581901</v>
      </c>
      <c r="B1842" s="12" t="inlineStr">
        <is>
          <t>7898132980672</t>
        </is>
      </c>
      <c r="C1842" s="7" t="inlineStr">
        <is>
          <t>FINALIZADOR SPRAY MAIS LISO 100ML</t>
        </is>
      </c>
      <c r="D1842" s="7" t="inlineStr">
        <is>
          <t>PERF/COSME</t>
        </is>
      </c>
      <c r="E1842" s="7" t="inlineStr">
        <is>
          <t>C</t>
        </is>
      </c>
      <c r="F1842" s="13" t="n">
        <v>1</v>
      </c>
      <c r="G1842" s="13" t="n">
        <v>1</v>
      </c>
      <c r="H1842" s="8" t="n">
        <v>25.93</v>
      </c>
      <c r="I1842" s="8" t="n">
        <v>25.93</v>
      </c>
      <c r="J1842" s="8" t="n">
        <v>25.93</v>
      </c>
      <c r="K1842" s="8" t="n"/>
      <c r="L1842" s="8" t="n"/>
      <c r="M1842" s="8" t="n"/>
      <c r="N1842" s="8" t="n"/>
      <c r="O1842" s="8" t="n"/>
      <c r="P1842" s="8" t="n"/>
      <c r="Q1842" s="8" t="n"/>
      <c r="R1842" s="8" t="n"/>
      <c r="S1842" s="8" t="n"/>
      <c r="T1842" s="7" t="inlineStr">
        <is>
          <t>SEM COTAÇÃO</t>
        </is>
      </c>
      <c r="U1842" s="8" t="n"/>
      <c r="V1842" s="14" t="n"/>
      <c r="W1842" s="14" t="n"/>
      <c r="X1842" s="7" t="inlineStr"/>
      <c r="Y1842" s="7" t="inlineStr"/>
    </row>
    <row r="1843">
      <c r="A1843" s="7" t="n">
        <v>670481</v>
      </c>
      <c r="B1843" s="12" t="inlineStr">
        <is>
          <t>7908909600938</t>
        </is>
      </c>
      <c r="C1843" s="7" t="inlineStr">
        <is>
          <t>FINALIZADOR SPRAY RECONSTRUTOR BE.USE 210ML X</t>
        </is>
      </c>
      <c r="D1843" s="7" t="inlineStr">
        <is>
          <t>COND/SHAM/CREM/SIMILARES</t>
        </is>
      </c>
      <c r="E1843" s="7" t="inlineStr">
        <is>
          <t>C</t>
        </is>
      </c>
      <c r="F1843" s="13" t="n">
        <v>1</v>
      </c>
      <c r="G1843" s="13" t="n">
        <v>1</v>
      </c>
      <c r="H1843" s="8" t="n">
        <v>49.9</v>
      </c>
      <c r="I1843" s="8" t="n">
        <v>49.9</v>
      </c>
      <c r="J1843" s="8" t="n">
        <v>49.9</v>
      </c>
      <c r="K1843" s="8" t="n"/>
      <c r="L1843" s="8" t="n"/>
      <c r="M1843" s="8" t="n"/>
      <c r="N1843" s="8" t="n"/>
      <c r="O1843" s="8" t="n"/>
      <c r="P1843" s="8" t="n"/>
      <c r="Q1843" s="8" t="n"/>
      <c r="R1843" s="8" t="n"/>
      <c r="S1843" s="8" t="n"/>
      <c r="T1843" s="7" t="inlineStr">
        <is>
          <t>SEM COTAÇÃO</t>
        </is>
      </c>
      <c r="U1843" s="8" t="n"/>
      <c r="V1843" s="14" t="n"/>
      <c r="W1843" s="14" t="n"/>
      <c r="X1843" s="7" t="inlineStr"/>
      <c r="Y1843" s="7" t="inlineStr"/>
    </row>
    <row r="1844">
      <c r="A1844" s="7" t="n">
        <v>249121</v>
      </c>
      <c r="B1844" s="12" t="inlineStr">
        <is>
          <t>7896523227542</t>
        </is>
      </c>
      <c r="C1844" s="7" t="inlineStr">
        <is>
          <t>FINASTERIDA 1MG CX 30 COMP REV</t>
        </is>
      </c>
      <c r="D1844" s="7" t="inlineStr">
        <is>
          <t>GENERICO</t>
        </is>
      </c>
      <c r="E1844" s="7" t="inlineStr">
        <is>
          <t>B</t>
        </is>
      </c>
      <c r="F1844" s="13" t="n">
        <v>2</v>
      </c>
      <c r="G1844" s="13" t="n">
        <v>2</v>
      </c>
      <c r="H1844" s="8" t="n"/>
      <c r="I1844" s="8" t="n"/>
      <c r="J1844" s="8" t="n"/>
      <c r="K1844" s="8" t="n"/>
      <c r="L1844" s="8" t="n"/>
      <c r="M1844" s="8" t="n"/>
      <c r="N1844" s="8" t="n"/>
      <c r="O1844" s="8" t="n"/>
      <c r="P1844" s="15" t="n">
        <v>62.28</v>
      </c>
      <c r="Q1844" s="8" t="n"/>
      <c r="R1844" s="8" t="n"/>
      <c r="S1844" s="8" t="n"/>
      <c r="T1844" s="7" t="inlineStr">
        <is>
          <t>NAZARIA</t>
        </is>
      </c>
      <c r="U1844" s="8" t="n">
        <v>62.28</v>
      </c>
      <c r="V1844" s="14" t="n"/>
      <c r="W1844" s="14" t="n"/>
      <c r="X1844" s="7" t="inlineStr">
        <is>
          <t>SEM HISTÓRICO</t>
        </is>
      </c>
      <c r="Y1844" s="7" t="inlineStr"/>
    </row>
    <row r="1845">
      <c r="A1845" s="7" t="n">
        <v>248621</v>
      </c>
      <c r="B1845" s="12" t="inlineStr">
        <is>
          <t>7896523227559</t>
        </is>
      </c>
      <c r="C1845" s="7" t="inlineStr">
        <is>
          <t>FINASTERIDA 5MG CX 30 COMP REV</t>
        </is>
      </c>
      <c r="D1845" s="7" t="inlineStr">
        <is>
          <t>GENERICO</t>
        </is>
      </c>
      <c r="E1845" s="7" t="inlineStr">
        <is>
          <t>C</t>
        </is>
      </c>
      <c r="F1845" s="13" t="n">
        <v>2</v>
      </c>
      <c r="G1845" s="13" t="n">
        <v>2</v>
      </c>
      <c r="H1845" s="8" t="n">
        <v>10.99</v>
      </c>
      <c r="I1845" s="8" t="n">
        <v>10.99</v>
      </c>
      <c r="J1845" s="8" t="n">
        <v>10.99</v>
      </c>
      <c r="K1845" s="8" t="n"/>
      <c r="L1845" s="8" t="n"/>
      <c r="M1845" s="8" t="n"/>
      <c r="N1845" s="8" t="n"/>
      <c r="O1845" s="8" t="n"/>
      <c r="P1845" s="15" t="n">
        <v>95.7</v>
      </c>
      <c r="Q1845" s="8" t="n"/>
      <c r="R1845" s="8" t="n"/>
      <c r="S1845" s="8" t="n"/>
      <c r="T1845" s="7" t="inlineStr">
        <is>
          <t>NAZARIA</t>
        </is>
      </c>
      <c r="U1845" s="8" t="n">
        <v>95.7</v>
      </c>
      <c r="V1845" s="14">
        <f>U1845/J1845-1</f>
        <v/>
      </c>
      <c r="W1845" s="14">
        <f>U1845/H1845-1</f>
        <v/>
      </c>
      <c r="X1845" s="16" t="inlineStr">
        <is>
          <t>ACIMA +770.8%</t>
        </is>
      </c>
      <c r="Y1845" s="7" t="inlineStr">
        <is>
          <t>NAZARIA: conferir emb.</t>
        </is>
      </c>
    </row>
    <row r="1846">
      <c r="A1846" s="7" t="n">
        <v>249041</v>
      </c>
      <c r="B1846" s="12" t="inlineStr">
        <is>
          <t>7894916140348</t>
        </is>
      </c>
      <c r="C1846" s="7" t="inlineStr">
        <is>
          <t>FINASTERIDA 5MG CX 30 COMP REV</t>
        </is>
      </c>
      <c r="D1846" s="7" t="inlineStr">
        <is>
          <t>GENERICO</t>
        </is>
      </c>
      <c r="E1846" s="7" t="inlineStr">
        <is>
          <t>C</t>
        </is>
      </c>
      <c r="F1846" s="13" t="n">
        <v>1</v>
      </c>
      <c r="G1846" s="13" t="n">
        <v>1</v>
      </c>
      <c r="H1846" s="8" t="n">
        <v>15.75</v>
      </c>
      <c r="I1846" s="8" t="n">
        <v>15.75</v>
      </c>
      <c r="J1846" s="8" t="n">
        <v>15.75</v>
      </c>
      <c r="K1846" s="8" t="n"/>
      <c r="L1846" s="8" t="n"/>
      <c r="M1846" s="8" t="n"/>
      <c r="N1846" s="8" t="n"/>
      <c r="O1846" s="8" t="n"/>
      <c r="P1846" s="8" t="n"/>
      <c r="Q1846" s="15" t="n">
        <v>13.44</v>
      </c>
      <c r="R1846" s="8" t="n">
        <v>19.9</v>
      </c>
      <c r="S1846" s="8" t="n"/>
      <c r="T1846" s="7" t="inlineStr">
        <is>
          <t>MEDCENTRO</t>
        </is>
      </c>
      <c r="U1846" s="8" t="n">
        <v>13.44</v>
      </c>
      <c r="V1846" s="14">
        <f>U1846/J1846-1</f>
        <v/>
      </c>
      <c r="W1846" s="14">
        <f>U1846/H1846-1</f>
        <v/>
      </c>
      <c r="X1846" s="17" t="inlineStr">
        <is>
          <t>OK (≤ menor hist.)</t>
        </is>
      </c>
      <c r="Y1846" s="7" t="inlineStr"/>
    </row>
    <row r="1847">
      <c r="A1847" s="7" t="n">
        <v>249001</v>
      </c>
      <c r="B1847" s="12" t="inlineStr">
        <is>
          <t>7895296276047</t>
        </is>
      </c>
      <c r="C1847" s="7" t="inlineStr">
        <is>
          <t>FINASTERIDA 5MG CX 30 COMP REV</t>
        </is>
      </c>
      <c r="D1847" s="7" t="inlineStr">
        <is>
          <t>GENERICO</t>
        </is>
      </c>
      <c r="E1847" s="7" t="inlineStr">
        <is>
          <t>C</t>
        </is>
      </c>
      <c r="F1847" s="13" t="n">
        <v>2</v>
      </c>
      <c r="G1847" s="13" t="n">
        <v>2</v>
      </c>
      <c r="H1847" s="8" t="n">
        <v>18.78</v>
      </c>
      <c r="I1847" s="8" t="n">
        <v>18.78</v>
      </c>
      <c r="J1847" s="8" t="n">
        <v>18.78</v>
      </c>
      <c r="K1847" s="8" t="n"/>
      <c r="L1847" s="15" t="n">
        <v>19.99</v>
      </c>
      <c r="M1847" s="8" t="n"/>
      <c r="N1847" s="8" t="n"/>
      <c r="O1847" s="8" t="n"/>
      <c r="P1847" s="8" t="n">
        <v>107.19</v>
      </c>
      <c r="Q1847" s="8" t="n">
        <v>21.48</v>
      </c>
      <c r="R1847" s="8" t="n"/>
      <c r="S1847" s="8" t="n"/>
      <c r="T1847" s="7" t="inlineStr">
        <is>
          <t>PLUSFARMA</t>
        </is>
      </c>
      <c r="U1847" s="8" t="n">
        <v>19.99</v>
      </c>
      <c r="V1847" s="14">
        <f>U1847/J1847-1</f>
        <v/>
      </c>
      <c r="W1847" s="14">
        <f>U1847/H1847-1</f>
        <v/>
      </c>
      <c r="X1847" s="16" t="inlineStr">
        <is>
          <t>ACIMA +6.4%</t>
        </is>
      </c>
      <c r="Y1847" s="7" t="inlineStr">
        <is>
          <t>NAZARIA: conferir emb.</t>
        </is>
      </c>
    </row>
    <row r="1848">
      <c r="A1848" s="7" t="n">
        <v>631801</v>
      </c>
      <c r="B1848" s="12" t="inlineStr">
        <is>
          <t>7898279790387</t>
        </is>
      </c>
      <c r="C1848" s="7" t="inlineStr">
        <is>
          <t>FINI AROS DE MORANGO 90G</t>
        </is>
      </c>
      <c r="D1848" s="7" t="inlineStr">
        <is>
          <t>CONVENIENCIA</t>
        </is>
      </c>
      <c r="E1848" s="7" t="inlineStr">
        <is>
          <t>B</t>
        </is>
      </c>
      <c r="F1848" s="13" t="n">
        <v>2</v>
      </c>
      <c r="G1848" s="13" t="n">
        <v>2</v>
      </c>
      <c r="H1848" s="8" t="n">
        <v>6.06</v>
      </c>
      <c r="I1848" s="8" t="n">
        <v>5.97</v>
      </c>
      <c r="J1848" s="8" t="n">
        <v>6</v>
      </c>
      <c r="K1848" s="8" t="n"/>
      <c r="L1848" s="8" t="n"/>
      <c r="M1848" s="8" t="n"/>
      <c r="N1848" s="8" t="n"/>
      <c r="O1848" s="8" t="n"/>
      <c r="P1848" s="8" t="n"/>
      <c r="Q1848" s="8" t="n"/>
      <c r="R1848" s="8" t="n"/>
      <c r="S1848" s="8" t="n"/>
      <c r="T1848" s="7" t="inlineStr">
        <is>
          <t>SEM COTAÇÃO</t>
        </is>
      </c>
      <c r="U1848" s="8" t="n"/>
      <c r="V1848" s="14" t="n"/>
      <c r="W1848" s="14" t="n"/>
      <c r="X1848" s="7" t="inlineStr"/>
      <c r="Y1848" s="7" t="inlineStr"/>
    </row>
    <row r="1849">
      <c r="A1849" s="7" t="n">
        <v>669101</v>
      </c>
      <c r="B1849" s="12" t="inlineStr">
        <is>
          <t>7908228801986</t>
        </is>
      </c>
      <c r="C1849" s="7" t="inlineStr">
        <is>
          <t>FINI CHICLE CLASSICOS 14G DP 18UN</t>
        </is>
      </c>
      <c r="D1849" s="7" t="inlineStr">
        <is>
          <t>CONVENIENCIA</t>
        </is>
      </c>
      <c r="E1849" s="7" t="inlineStr">
        <is>
          <t>C</t>
        </is>
      </c>
      <c r="F1849" s="13" t="n">
        <v>14</v>
      </c>
      <c r="G1849" s="13" t="n">
        <v>14</v>
      </c>
      <c r="H1849" s="8" t="n">
        <v>0.7919</v>
      </c>
      <c r="I1849" s="8" t="n">
        <v>0.7919</v>
      </c>
      <c r="J1849" s="8" t="n">
        <v>0.7919</v>
      </c>
      <c r="K1849" s="8" t="n"/>
      <c r="L1849" s="8" t="n"/>
      <c r="M1849" s="8" t="n"/>
      <c r="N1849" s="8" t="n"/>
      <c r="O1849" s="8" t="n"/>
      <c r="P1849" s="8" t="n"/>
      <c r="Q1849" s="8" t="n"/>
      <c r="R1849" s="8" t="n"/>
      <c r="S1849" s="8" t="n"/>
      <c r="T1849" s="7" t="inlineStr">
        <is>
          <t>SEM COTAÇÃO</t>
        </is>
      </c>
      <c r="U1849" s="8" t="n"/>
      <c r="V1849" s="14" t="n"/>
      <c r="W1849" s="14" t="n"/>
      <c r="X1849" s="7" t="inlineStr"/>
      <c r="Y1849" s="7" t="inlineStr"/>
    </row>
    <row r="1850">
      <c r="A1850" s="7" t="n">
        <v>669111</v>
      </c>
      <c r="B1850" s="12" t="inlineStr">
        <is>
          <t>7908228802006</t>
        </is>
      </c>
      <c r="C1850" s="7" t="inlineStr">
        <is>
          <t>FINI CHICLE MORANGO 14G</t>
        </is>
      </c>
      <c r="D1850" s="7" t="inlineStr">
        <is>
          <t>CONVENIENCIA</t>
        </is>
      </c>
      <c r="E1850" s="7" t="inlineStr">
        <is>
          <t>C</t>
        </is>
      </c>
      <c r="F1850" s="13" t="n">
        <v>13</v>
      </c>
      <c r="G1850" s="13" t="n">
        <v>13</v>
      </c>
      <c r="H1850" s="8" t="n">
        <v>0.7919</v>
      </c>
      <c r="I1850" s="8" t="n">
        <v>0.7919</v>
      </c>
      <c r="J1850" s="8" t="n">
        <v>0.7919</v>
      </c>
      <c r="K1850" s="8" t="n"/>
      <c r="L1850" s="8" t="n"/>
      <c r="M1850" s="8" t="n"/>
      <c r="N1850" s="8" t="n"/>
      <c r="O1850" s="8" t="n"/>
      <c r="P1850" s="8" t="n"/>
      <c r="Q1850" s="8" t="n"/>
      <c r="R1850" s="8" t="n"/>
      <c r="S1850" s="8" t="n"/>
      <c r="T1850" s="7" t="inlineStr">
        <is>
          <t>SEM COTAÇÃO</t>
        </is>
      </c>
      <c r="U1850" s="8" t="n"/>
      <c r="V1850" s="14" t="n"/>
      <c r="W1850" s="14" t="n"/>
      <c r="X1850" s="7" t="inlineStr"/>
      <c r="Y1850" s="7" t="inlineStr"/>
    </row>
    <row r="1851">
      <c r="A1851" s="7" t="n">
        <v>673151</v>
      </c>
      <c r="B1851" s="12" t="inlineStr">
        <is>
          <t>7908228808152</t>
        </is>
      </c>
      <c r="C1851" s="7" t="inlineStr">
        <is>
          <t>FINI FAZENDO ARTE 80G</t>
        </is>
      </c>
      <c r="D1851" s="7" t="inlineStr">
        <is>
          <t>CONVENIENCIA</t>
        </is>
      </c>
      <c r="E1851" s="7" t="inlineStr">
        <is>
          <t>C</t>
        </is>
      </c>
      <c r="F1851" s="13" t="n">
        <v>5</v>
      </c>
      <c r="G1851" s="13" t="n">
        <v>5</v>
      </c>
      <c r="H1851" s="8" t="n">
        <v>5.97</v>
      </c>
      <c r="I1851" s="8" t="n">
        <v>5.97</v>
      </c>
      <c r="J1851" s="8" t="n">
        <v>5.97</v>
      </c>
      <c r="K1851" s="8" t="n"/>
      <c r="L1851" s="8" t="n"/>
      <c r="M1851" s="8" t="n"/>
      <c r="N1851" s="8" t="n"/>
      <c r="O1851" s="8" t="n"/>
      <c r="P1851" s="8" t="n"/>
      <c r="Q1851" s="8" t="n"/>
      <c r="R1851" s="8" t="n"/>
      <c r="S1851" s="8" t="n"/>
      <c r="T1851" s="7" t="inlineStr">
        <is>
          <t>SEM COTAÇÃO</t>
        </is>
      </c>
      <c r="U1851" s="8" t="n"/>
      <c r="V1851" s="14" t="n"/>
      <c r="W1851" s="14" t="n"/>
      <c r="X1851" s="7" t="inlineStr"/>
      <c r="Y1851" s="7" t="inlineStr"/>
    </row>
    <row r="1852">
      <c r="A1852" s="7" t="n">
        <v>1623</v>
      </c>
      <c r="B1852" s="12" t="inlineStr">
        <is>
          <t>7898279798307</t>
        </is>
      </c>
      <c r="C1852" s="7" t="inlineStr">
        <is>
          <t>FINI MARSH MORANGO 80G</t>
        </is>
      </c>
      <c r="D1852" s="7" t="inlineStr">
        <is>
          <t>CONVENIENCIA</t>
        </is>
      </c>
      <c r="E1852" s="7" t="inlineStr">
        <is>
          <t>C</t>
        </is>
      </c>
      <c r="F1852" s="13" t="n">
        <v>6</v>
      </c>
      <c r="G1852" s="13" t="n">
        <v>6</v>
      </c>
      <c r="H1852" s="8" t="n">
        <v>5.97</v>
      </c>
      <c r="I1852" s="8" t="n">
        <v>5.97</v>
      </c>
      <c r="J1852" s="8" t="n">
        <v>5.97</v>
      </c>
      <c r="K1852" s="8" t="n"/>
      <c r="L1852" s="8" t="n"/>
      <c r="M1852" s="8" t="n"/>
      <c r="N1852" s="8" t="n"/>
      <c r="O1852" s="8" t="n"/>
      <c r="P1852" s="8" t="n"/>
      <c r="Q1852" s="8" t="n"/>
      <c r="R1852" s="8" t="n"/>
      <c r="S1852" s="8" t="n"/>
      <c r="T1852" s="7" t="inlineStr">
        <is>
          <t>SEM COTAÇÃO</t>
        </is>
      </c>
      <c r="U1852" s="8" t="n"/>
      <c r="V1852" s="14" t="n"/>
      <c r="W1852" s="14" t="n"/>
      <c r="X1852" s="7" t="inlineStr"/>
      <c r="Y1852" s="7" t="inlineStr"/>
    </row>
    <row r="1853">
      <c r="A1853" s="7" t="n">
        <v>673171</v>
      </c>
      <c r="B1853" s="12" t="inlineStr">
        <is>
          <t>7908228807261</t>
        </is>
      </c>
      <c r="C1853" s="7" t="inlineStr">
        <is>
          <t>FINI MARSH PISTACHE 80G</t>
        </is>
      </c>
      <c r="D1853" s="7" t="inlineStr">
        <is>
          <t>CONVENIENCIA</t>
        </is>
      </c>
      <c r="E1853" s="7" t="inlineStr">
        <is>
          <t>C</t>
        </is>
      </c>
      <c r="F1853" s="13" t="n">
        <v>1</v>
      </c>
      <c r="G1853" s="13" t="n">
        <v>1</v>
      </c>
      <c r="H1853" s="8" t="n">
        <v>5.97</v>
      </c>
      <c r="I1853" s="8" t="n">
        <v>5.97</v>
      </c>
      <c r="J1853" s="8" t="n">
        <v>5.97</v>
      </c>
      <c r="K1853" s="8" t="n"/>
      <c r="L1853" s="8" t="n"/>
      <c r="M1853" s="8" t="n"/>
      <c r="N1853" s="8" t="n"/>
      <c r="O1853" s="8" t="n"/>
      <c r="P1853" s="8" t="n"/>
      <c r="Q1853" s="8" t="n"/>
      <c r="R1853" s="8" t="n"/>
      <c r="S1853" s="8" t="n"/>
      <c r="T1853" s="7" t="inlineStr">
        <is>
          <t>SEM COTAÇÃO</t>
        </is>
      </c>
      <c r="U1853" s="8" t="n"/>
      <c r="V1853" s="14" t="n"/>
      <c r="W1853" s="14" t="n"/>
      <c r="X1853" s="7" t="inlineStr"/>
      <c r="Y1853" s="7" t="inlineStr"/>
    </row>
    <row r="1854">
      <c r="A1854" s="7" t="n">
        <v>623311</v>
      </c>
      <c r="B1854" s="12" t="inlineStr">
        <is>
          <t>17898279791169</t>
        </is>
      </c>
      <c r="C1854" s="7" t="inlineStr">
        <is>
          <t>FINI MARSH TORCAO 80G</t>
        </is>
      </c>
      <c r="D1854" s="7" t="inlineStr">
        <is>
          <t>CONVENIENCIA</t>
        </is>
      </c>
      <c r="E1854" s="7" t="inlineStr">
        <is>
          <t>A</t>
        </is>
      </c>
      <c r="F1854" s="13" t="n">
        <v>15</v>
      </c>
      <c r="G1854" s="13" t="n">
        <v>15</v>
      </c>
      <c r="H1854" s="8" t="n">
        <v>6.06</v>
      </c>
      <c r="I1854" s="8" t="n">
        <v>5.97</v>
      </c>
      <c r="J1854" s="8" t="n">
        <v>6</v>
      </c>
      <c r="K1854" s="8" t="n"/>
      <c r="L1854" s="8" t="n"/>
      <c r="M1854" s="8" t="n"/>
      <c r="N1854" s="8" t="n"/>
      <c r="O1854" s="8" t="n"/>
      <c r="P1854" s="8" t="n"/>
      <c r="Q1854" s="8" t="n"/>
      <c r="R1854" s="8" t="n"/>
      <c r="S1854" s="8" t="n"/>
      <c r="T1854" s="7" t="inlineStr">
        <is>
          <t>SEM COTAÇÃO</t>
        </is>
      </c>
      <c r="U1854" s="8" t="n"/>
      <c r="V1854" s="14" t="n"/>
      <c r="W1854" s="14" t="n"/>
      <c r="X1854" s="7" t="inlineStr"/>
      <c r="Y1854" s="7" t="inlineStr"/>
    </row>
    <row r="1855">
      <c r="A1855" s="7" t="n">
        <v>25503</v>
      </c>
      <c r="B1855" s="12" t="inlineStr">
        <is>
          <t>7908228809463</t>
        </is>
      </c>
      <c r="C1855" s="7" t="inlineStr">
        <is>
          <t>FINI MORANGO SILVESTRE 80G</t>
        </is>
      </c>
      <c r="D1855" s="7" t="inlineStr">
        <is>
          <t>CONVENIENCIA</t>
        </is>
      </c>
      <c r="E1855" s="7" t="inlineStr">
        <is>
          <t>B</t>
        </is>
      </c>
      <c r="F1855" s="13" t="n">
        <v>7</v>
      </c>
      <c r="G1855" s="13" t="n">
        <v>7</v>
      </c>
      <c r="H1855" s="8" t="n">
        <v>6.06</v>
      </c>
      <c r="I1855" s="8" t="n">
        <v>6.06</v>
      </c>
      <c r="J1855" s="8" t="n">
        <v>6.06</v>
      </c>
      <c r="K1855" s="8" t="n"/>
      <c r="L1855" s="8" t="n"/>
      <c r="M1855" s="8" t="n"/>
      <c r="N1855" s="8" t="n"/>
      <c r="O1855" s="8" t="n"/>
      <c r="P1855" s="8" t="n"/>
      <c r="Q1855" s="8" t="n"/>
      <c r="R1855" s="8" t="n"/>
      <c r="S1855" s="8" t="n"/>
      <c r="T1855" s="7" t="inlineStr">
        <is>
          <t>SEM COTAÇÃO</t>
        </is>
      </c>
      <c r="U1855" s="8" t="n"/>
      <c r="V1855" s="14" t="n"/>
      <c r="W1855" s="14" t="n"/>
      <c r="X1855" s="7" t="inlineStr"/>
      <c r="Y1855" s="7" t="inlineStr"/>
    </row>
    <row r="1856">
      <c r="A1856" s="7" t="n">
        <v>669121</v>
      </c>
      <c r="B1856" s="12" t="inlineStr">
        <is>
          <t>7908228807230</t>
        </is>
      </c>
      <c r="C1856" s="7" t="inlineStr">
        <is>
          <t>FINI OCEANITOS 80G</t>
        </is>
      </c>
      <c r="D1856" s="7" t="inlineStr">
        <is>
          <t>CONVENIENCIA</t>
        </is>
      </c>
      <c r="E1856" s="7" t="inlineStr">
        <is>
          <t>B</t>
        </is>
      </c>
      <c r="F1856" s="13" t="n">
        <v>2</v>
      </c>
      <c r="G1856" s="13" t="n">
        <v>2</v>
      </c>
      <c r="H1856" s="8" t="n">
        <v>6.06</v>
      </c>
      <c r="I1856" s="8" t="n">
        <v>5.97</v>
      </c>
      <c r="J1856" s="8" t="n">
        <v>6</v>
      </c>
      <c r="K1856" s="8" t="n"/>
      <c r="L1856" s="8" t="n"/>
      <c r="M1856" s="8" t="n"/>
      <c r="N1856" s="8" t="n"/>
      <c r="O1856" s="8" t="n"/>
      <c r="P1856" s="8" t="n"/>
      <c r="Q1856" s="8" t="n"/>
      <c r="R1856" s="8" t="n"/>
      <c r="S1856" s="8" t="n"/>
      <c r="T1856" s="7" t="inlineStr">
        <is>
          <t>SEM COTAÇÃO</t>
        </is>
      </c>
      <c r="U1856" s="8" t="n"/>
      <c r="V1856" s="14" t="n"/>
      <c r="W1856" s="14" t="n"/>
      <c r="X1856" s="7" t="inlineStr"/>
      <c r="Y1856" s="7" t="inlineStr"/>
    </row>
    <row r="1857">
      <c r="A1857" s="7" t="n">
        <v>1783</v>
      </c>
      <c r="B1857" s="12" t="inlineStr">
        <is>
          <t>7908228802945</t>
        </is>
      </c>
      <c r="C1857" s="7" t="inlineStr">
        <is>
          <t>FINI PASTILHA 14G MENTA M40</t>
        </is>
      </c>
      <c r="D1857" s="7" t="inlineStr">
        <is>
          <t>CONVENIENCIA</t>
        </is>
      </c>
      <c r="E1857" s="7" t="inlineStr">
        <is>
          <t>C</t>
        </is>
      </c>
      <c r="F1857" s="13" t="n">
        <v>10</v>
      </c>
      <c r="G1857" s="13" t="n">
        <v>10</v>
      </c>
      <c r="H1857" s="8" t="n">
        <v>0.79</v>
      </c>
      <c r="I1857" s="8" t="n">
        <v>0.79</v>
      </c>
      <c r="J1857" s="8" t="n">
        <v>0.79</v>
      </c>
      <c r="K1857" s="8" t="n"/>
      <c r="L1857" s="8" t="n"/>
      <c r="M1857" s="8" t="n"/>
      <c r="N1857" s="8" t="n"/>
      <c r="O1857" s="8" t="n"/>
      <c r="P1857" s="8" t="n"/>
      <c r="Q1857" s="8" t="n"/>
      <c r="R1857" s="8" t="n"/>
      <c r="S1857" s="8" t="n"/>
      <c r="T1857" s="7" t="inlineStr">
        <is>
          <t>SEM COTAÇÃO</t>
        </is>
      </c>
      <c r="U1857" s="8" t="n"/>
      <c r="V1857" s="14" t="n"/>
      <c r="W1857" s="14" t="n"/>
      <c r="X1857" s="7" t="inlineStr"/>
      <c r="Y1857" s="7" t="inlineStr"/>
    </row>
    <row r="1858">
      <c r="A1858" s="7" t="n">
        <v>1773</v>
      </c>
      <c r="B1858" s="12" t="inlineStr">
        <is>
          <t>7908228802907</t>
        </is>
      </c>
      <c r="C1858" s="7" t="inlineStr">
        <is>
          <t>FINI PASTILHA 14G MORANGO MENTOLADO M40</t>
        </is>
      </c>
      <c r="D1858" s="7" t="inlineStr">
        <is>
          <t>CONVENIENCIA</t>
        </is>
      </c>
      <c r="E1858" s="7" t="inlineStr">
        <is>
          <t>C</t>
        </is>
      </c>
      <c r="F1858" s="13" t="n">
        <v>11</v>
      </c>
      <c r="G1858" s="13" t="n">
        <v>11</v>
      </c>
      <c r="H1858" s="8" t="n">
        <v>0.79</v>
      </c>
      <c r="I1858" s="8" t="n">
        <v>0.79</v>
      </c>
      <c r="J1858" s="8" t="n">
        <v>0.79</v>
      </c>
      <c r="K1858" s="8" t="n"/>
      <c r="L1858" s="8" t="n"/>
      <c r="M1858" s="8" t="n"/>
      <c r="N1858" s="8" t="n"/>
      <c r="O1858" s="8" t="n"/>
      <c r="P1858" s="8" t="n"/>
      <c r="Q1858" s="8" t="n"/>
      <c r="R1858" s="8" t="n"/>
      <c r="S1858" s="8" t="n"/>
      <c r="T1858" s="7" t="inlineStr">
        <is>
          <t>SEM COTAÇÃO</t>
        </is>
      </c>
      <c r="U1858" s="8" t="n"/>
      <c r="V1858" s="14" t="n"/>
      <c r="W1858" s="14" t="n"/>
      <c r="X1858" s="7" t="inlineStr"/>
      <c r="Y1858" s="7" t="inlineStr"/>
    </row>
    <row r="1859">
      <c r="A1859" s="7" t="n">
        <v>651881</v>
      </c>
      <c r="B1859" s="12" t="inlineStr">
        <is>
          <t>7908228802952</t>
        </is>
      </c>
      <c r="C1859" s="7" t="inlineStr">
        <is>
          <t>FINI PASTILHA MENTA DP 40UN</t>
        </is>
      </c>
      <c r="D1859" s="7" t="inlineStr">
        <is>
          <t>CONVENIENCIA</t>
        </is>
      </c>
      <c r="E1859" s="7" t="inlineStr">
        <is>
          <t>C</t>
        </is>
      </c>
      <c r="F1859" s="13" t="n">
        <v>1</v>
      </c>
      <c r="G1859" s="13" t="n">
        <v>1</v>
      </c>
      <c r="H1859" s="8" t="n">
        <v>0.82</v>
      </c>
      <c r="I1859" s="8" t="n">
        <v>0.82</v>
      </c>
      <c r="J1859" s="8" t="n">
        <v>0.82</v>
      </c>
      <c r="K1859" s="8" t="n"/>
      <c r="L1859" s="8" t="n"/>
      <c r="M1859" s="8" t="n"/>
      <c r="N1859" s="8" t="n"/>
      <c r="O1859" s="8" t="n"/>
      <c r="P1859" s="8" t="n"/>
      <c r="Q1859" s="8" t="n"/>
      <c r="R1859" s="8" t="n"/>
      <c r="S1859" s="8" t="n"/>
      <c r="T1859" s="7" t="inlineStr">
        <is>
          <t>SEM COTAÇÃO</t>
        </is>
      </c>
      <c r="U1859" s="8" t="n"/>
      <c r="V1859" s="14" t="n"/>
      <c r="W1859" s="14" t="n"/>
      <c r="X1859" s="7" t="inlineStr"/>
      <c r="Y1859" s="7" t="inlineStr"/>
    </row>
    <row r="1860">
      <c r="A1860" s="7" t="n">
        <v>631821</v>
      </c>
      <c r="B1860" s="12" t="inlineStr">
        <is>
          <t>7908228805120</t>
        </is>
      </c>
      <c r="C1860" s="7" t="inlineStr">
        <is>
          <t>FINI POLVO 80G</t>
        </is>
      </c>
      <c r="D1860" s="7" t="inlineStr">
        <is>
          <t>CONVENIENCIA</t>
        </is>
      </c>
      <c r="E1860" s="7" t="inlineStr">
        <is>
          <t>A</t>
        </is>
      </c>
      <c r="F1860" s="13" t="n">
        <v>6</v>
      </c>
      <c r="G1860" s="13" t="n">
        <v>6</v>
      </c>
      <c r="H1860" s="8" t="n">
        <v>6.06</v>
      </c>
      <c r="I1860" s="8" t="n">
        <v>5.97</v>
      </c>
      <c r="J1860" s="8" t="n">
        <v>6</v>
      </c>
      <c r="K1860" s="8" t="n"/>
      <c r="L1860" s="8" t="n"/>
      <c r="M1860" s="8" t="n"/>
      <c r="N1860" s="8" t="n"/>
      <c r="O1860" s="8" t="n"/>
      <c r="P1860" s="8" t="n"/>
      <c r="Q1860" s="8" t="n"/>
      <c r="R1860" s="8" t="n"/>
      <c r="S1860" s="8" t="n"/>
      <c r="T1860" s="7" t="inlineStr">
        <is>
          <t>SEM COTAÇÃO</t>
        </is>
      </c>
      <c r="U1860" s="8" t="n"/>
      <c r="V1860" s="14" t="n"/>
      <c r="W1860" s="14" t="n"/>
      <c r="X1860" s="7" t="inlineStr"/>
      <c r="Y1860" s="7" t="inlineStr"/>
    </row>
    <row r="1861">
      <c r="A1861" s="7" t="n">
        <v>631831</v>
      </c>
      <c r="B1861" s="12" t="inlineStr">
        <is>
          <t>7908228805151</t>
        </is>
      </c>
      <c r="C1861" s="7" t="inlineStr">
        <is>
          <t>FINI SAPO 80G</t>
        </is>
      </c>
      <c r="D1861" s="7" t="inlineStr">
        <is>
          <t>CONVENIENCIA</t>
        </is>
      </c>
      <c r="E1861" s="7" t="inlineStr">
        <is>
          <t>B</t>
        </is>
      </c>
      <c r="F1861" s="13" t="n">
        <v>9</v>
      </c>
      <c r="G1861" s="13" t="n">
        <v>9</v>
      </c>
      <c r="H1861" s="8" t="n">
        <v>6.06</v>
      </c>
      <c r="I1861" s="8" t="n">
        <v>5.97</v>
      </c>
      <c r="J1861" s="8" t="n">
        <v>6</v>
      </c>
      <c r="K1861" s="8" t="n"/>
      <c r="L1861" s="8" t="n"/>
      <c r="M1861" s="8" t="n"/>
      <c r="N1861" s="8" t="n"/>
      <c r="O1861" s="8" t="n"/>
      <c r="P1861" s="8" t="n"/>
      <c r="Q1861" s="8" t="n"/>
      <c r="R1861" s="8" t="n"/>
      <c r="S1861" s="8" t="n"/>
      <c r="T1861" s="7" t="inlineStr">
        <is>
          <t>SEM COTAÇÃO</t>
        </is>
      </c>
      <c r="U1861" s="8" t="n"/>
      <c r="V1861" s="14" t="n"/>
      <c r="W1861" s="14" t="n"/>
      <c r="X1861" s="7" t="inlineStr"/>
      <c r="Y1861" s="7" t="inlineStr"/>
    </row>
    <row r="1862">
      <c r="A1862" s="7" t="n">
        <v>669091</v>
      </c>
      <c r="B1862" s="12" t="inlineStr">
        <is>
          <t>7898591459214</t>
        </is>
      </c>
      <c r="C1862" s="7" t="inlineStr">
        <is>
          <t>FINI SORVETINHO 80G</t>
        </is>
      </c>
      <c r="D1862" s="7" t="inlineStr">
        <is>
          <t>CONVENIENCIA</t>
        </is>
      </c>
      <c r="E1862" s="7" t="inlineStr">
        <is>
          <t>B</t>
        </is>
      </c>
      <c r="F1862" s="13" t="n">
        <v>4</v>
      </c>
      <c r="G1862" s="13" t="n">
        <v>4</v>
      </c>
      <c r="H1862" s="8" t="n">
        <v>5.97</v>
      </c>
      <c r="I1862" s="8" t="n">
        <v>5.97</v>
      </c>
      <c r="J1862" s="8" t="n">
        <v>5.97</v>
      </c>
      <c r="K1862" s="8" t="n"/>
      <c r="L1862" s="8" t="n"/>
      <c r="M1862" s="8" t="n"/>
      <c r="N1862" s="8" t="n"/>
      <c r="O1862" s="8" t="n"/>
      <c r="P1862" s="8" t="n"/>
      <c r="Q1862" s="8" t="n"/>
      <c r="R1862" s="8" t="n"/>
      <c r="S1862" s="8" t="n"/>
      <c r="T1862" s="7" t="inlineStr">
        <is>
          <t>SEM COTAÇÃO</t>
        </is>
      </c>
      <c r="U1862" s="8" t="n"/>
      <c r="V1862" s="14" t="n"/>
      <c r="W1862" s="14" t="n"/>
      <c r="X1862" s="7" t="inlineStr"/>
      <c r="Y1862" s="7" t="inlineStr"/>
    </row>
    <row r="1863">
      <c r="A1863" s="7" t="n">
        <v>647401</v>
      </c>
      <c r="B1863" s="12" t="inlineStr">
        <is>
          <t>7898591459771</t>
        </is>
      </c>
      <c r="C1863" s="7" t="inlineStr">
        <is>
          <t>FINI TUBES 15G PINTA LINGUA M12</t>
        </is>
      </c>
      <c r="D1863" s="7" t="inlineStr">
        <is>
          <t>CONVENIENCIA</t>
        </is>
      </c>
      <c r="E1863" s="7" t="inlineStr">
        <is>
          <t>C</t>
        </is>
      </c>
      <c r="F1863" s="13" t="n">
        <v>1</v>
      </c>
      <c r="G1863" s="13" t="n">
        <v>1</v>
      </c>
      <c r="H1863" s="8" t="n">
        <v>0.89</v>
      </c>
      <c r="I1863" s="8" t="n">
        <v>0.89</v>
      </c>
      <c r="J1863" s="8" t="n">
        <v>0.89</v>
      </c>
      <c r="K1863" s="8" t="n"/>
      <c r="L1863" s="8" t="n"/>
      <c r="M1863" s="8" t="n"/>
      <c r="N1863" s="8" t="n"/>
      <c r="O1863" s="8" t="n"/>
      <c r="P1863" s="8" t="n"/>
      <c r="Q1863" s="8" t="n"/>
      <c r="R1863" s="8" t="n"/>
      <c r="S1863" s="8" t="n"/>
      <c r="T1863" s="7" t="inlineStr">
        <is>
          <t>SEM COTAÇÃO</t>
        </is>
      </c>
      <c r="U1863" s="8" t="n"/>
      <c r="V1863" s="14" t="n"/>
      <c r="W1863" s="14" t="n"/>
      <c r="X1863" s="7" t="inlineStr"/>
      <c r="Y1863" s="7" t="inlineStr"/>
    </row>
    <row r="1864">
      <c r="A1864" s="7" t="n">
        <v>647391</v>
      </c>
      <c r="B1864" s="12" t="inlineStr">
        <is>
          <t>7898591459498</t>
        </is>
      </c>
      <c r="C1864" s="7" t="inlineStr">
        <is>
          <t>FINI TUBES 15G TRES CORES AZEDINHO M12</t>
        </is>
      </c>
      <c r="D1864" s="7" t="inlineStr">
        <is>
          <t>CONVENIENCIA</t>
        </is>
      </c>
      <c r="E1864" s="7" t="inlineStr">
        <is>
          <t>C</t>
        </is>
      </c>
      <c r="F1864" s="13" t="n">
        <v>1</v>
      </c>
      <c r="G1864" s="13" t="n">
        <v>1</v>
      </c>
      <c r="H1864" s="8" t="n">
        <v>0.89</v>
      </c>
      <c r="I1864" s="8" t="n">
        <v>0.89</v>
      </c>
      <c r="J1864" s="8" t="n">
        <v>0.89</v>
      </c>
      <c r="K1864" s="8" t="n"/>
      <c r="L1864" s="8" t="n"/>
      <c r="M1864" s="8" t="n"/>
      <c r="N1864" s="8" t="n"/>
      <c r="O1864" s="8" t="n"/>
      <c r="P1864" s="8" t="n"/>
      <c r="Q1864" s="8" t="n"/>
      <c r="R1864" s="8" t="n"/>
      <c r="S1864" s="8" t="n"/>
      <c r="T1864" s="7" t="inlineStr">
        <is>
          <t>SEM COTAÇÃO</t>
        </is>
      </c>
      <c r="U1864" s="8" t="n"/>
      <c r="V1864" s="14" t="n"/>
      <c r="W1864" s="14" t="n"/>
      <c r="X1864" s="7" t="inlineStr"/>
      <c r="Y1864" s="7" t="inlineStr"/>
    </row>
    <row r="1865">
      <c r="A1865" s="7" t="n">
        <v>647411</v>
      </c>
      <c r="B1865" s="12" t="inlineStr">
        <is>
          <t>7898591457869</t>
        </is>
      </c>
      <c r="C1865" s="7" t="inlineStr">
        <is>
          <t>FINI TUBES 15G TWISTER AZEDINHO M12</t>
        </is>
      </c>
      <c r="D1865" s="7" t="inlineStr">
        <is>
          <t>CONVENIENCIA</t>
        </is>
      </c>
      <c r="E1865" s="7" t="inlineStr">
        <is>
          <t>C</t>
        </is>
      </c>
      <c r="F1865" s="13" t="n">
        <v>1</v>
      </c>
      <c r="G1865" s="13" t="n">
        <v>1</v>
      </c>
      <c r="H1865" s="8" t="n">
        <v>0.89</v>
      </c>
      <c r="I1865" s="8" t="n">
        <v>0.89</v>
      </c>
      <c r="J1865" s="8" t="n">
        <v>0.89</v>
      </c>
      <c r="K1865" s="8" t="n"/>
      <c r="L1865" s="8" t="n"/>
      <c r="M1865" s="8" t="n"/>
      <c r="N1865" s="8" t="n"/>
      <c r="O1865" s="8" t="n"/>
      <c r="P1865" s="8" t="n"/>
      <c r="Q1865" s="8" t="n"/>
      <c r="R1865" s="8" t="n"/>
      <c r="S1865" s="8" t="n"/>
      <c r="T1865" s="7" t="inlineStr">
        <is>
          <t>SEM COTAÇÃO</t>
        </is>
      </c>
      <c r="U1865" s="8" t="n"/>
      <c r="V1865" s="14" t="n"/>
      <c r="W1865" s="14" t="n"/>
      <c r="X1865" s="7" t="inlineStr"/>
      <c r="Y1865" s="7" t="inlineStr"/>
    </row>
    <row r="1866">
      <c r="A1866" s="7" t="n">
        <v>647381</v>
      </c>
      <c r="B1866" s="12" t="inlineStr">
        <is>
          <t>7908228804925</t>
        </is>
      </c>
      <c r="C1866" s="7" t="inlineStr">
        <is>
          <t>FINI TUBES 27G DESEN ESTIKA FRAMBOES M24</t>
        </is>
      </c>
      <c r="D1866" s="7" t="inlineStr">
        <is>
          <t>CONVENIENCIA</t>
        </is>
      </c>
      <c r="E1866" s="7" t="inlineStr">
        <is>
          <t>C</t>
        </is>
      </c>
      <c r="F1866" s="13" t="n">
        <v>1</v>
      </c>
      <c r="G1866" s="13" t="n">
        <v>1</v>
      </c>
      <c r="H1866" s="8" t="n">
        <v>1.71</v>
      </c>
      <c r="I1866" s="8" t="n">
        <v>1.71</v>
      </c>
      <c r="J1866" s="8" t="n">
        <v>1.71</v>
      </c>
      <c r="K1866" s="8" t="n"/>
      <c r="L1866" s="8" t="n"/>
      <c r="M1866" s="8" t="n"/>
      <c r="N1866" s="8" t="n"/>
      <c r="O1866" s="8" t="n"/>
      <c r="P1866" s="8" t="n"/>
      <c r="Q1866" s="8" t="n"/>
      <c r="R1866" s="8" t="n"/>
      <c r="S1866" s="8" t="n"/>
      <c r="T1866" s="7" t="inlineStr">
        <is>
          <t>SEM COTAÇÃO</t>
        </is>
      </c>
      <c r="U1866" s="8" t="n"/>
      <c r="V1866" s="14" t="n"/>
      <c r="W1866" s="14" t="n"/>
      <c r="X1866" s="7" t="inlineStr"/>
      <c r="Y1866" s="7" t="inlineStr"/>
    </row>
    <row r="1867">
      <c r="A1867" s="7" t="n">
        <v>647371</v>
      </c>
      <c r="B1867" s="12" t="inlineStr">
        <is>
          <t>7908228804826</t>
        </is>
      </c>
      <c r="C1867" s="7" t="inlineStr">
        <is>
          <t>FINI TUBES 27G DESEN ESTIKA TUT FRUT M24</t>
        </is>
      </c>
      <c r="D1867" s="7" t="inlineStr">
        <is>
          <t>CONVENIENCIA</t>
        </is>
      </c>
      <c r="E1867" s="7" t="inlineStr">
        <is>
          <t>C</t>
        </is>
      </c>
      <c r="F1867" s="13" t="n">
        <v>1</v>
      </c>
      <c r="G1867" s="13" t="n">
        <v>1</v>
      </c>
      <c r="H1867" s="8" t="n">
        <v>1.71</v>
      </c>
      <c r="I1867" s="8" t="n">
        <v>1.71</v>
      </c>
      <c r="J1867" s="8" t="n">
        <v>1.71</v>
      </c>
      <c r="K1867" s="8" t="n"/>
      <c r="L1867" s="8" t="n"/>
      <c r="M1867" s="8" t="n"/>
      <c r="N1867" s="8" t="n"/>
      <c r="O1867" s="8" t="n"/>
      <c r="P1867" s="8" t="n"/>
      <c r="Q1867" s="8" t="n"/>
      <c r="R1867" s="8" t="n"/>
      <c r="S1867" s="8" t="n"/>
      <c r="T1867" s="7" t="inlineStr">
        <is>
          <t>SEM COTAÇÃO</t>
        </is>
      </c>
      <c r="U1867" s="8" t="n"/>
      <c r="V1867" s="14" t="n"/>
      <c r="W1867" s="14" t="n"/>
      <c r="X1867" s="7" t="inlineStr"/>
      <c r="Y1867" s="7" t="inlineStr"/>
    </row>
    <row r="1868">
      <c r="A1868" s="7" t="n">
        <v>663701</v>
      </c>
      <c r="B1868" s="12" t="inlineStr">
        <is>
          <t>7908228805571</t>
        </is>
      </c>
      <c r="C1868" s="7" t="inlineStr">
        <is>
          <t>FINI TUBES 35G- MORANGO</t>
        </is>
      </c>
      <c r="D1868" s="7" t="inlineStr">
        <is>
          <t>CONVENIENCIA</t>
        </is>
      </c>
      <c r="E1868" s="7" t="inlineStr">
        <is>
          <t>C</t>
        </is>
      </c>
      <c r="F1868" s="13" t="n">
        <v>2</v>
      </c>
      <c r="G1868" s="13" t="n">
        <v>2</v>
      </c>
      <c r="H1868" s="8" t="n">
        <v>2.71</v>
      </c>
      <c r="I1868" s="8" t="n">
        <v>2.71</v>
      </c>
      <c r="J1868" s="8" t="n">
        <v>2.71</v>
      </c>
      <c r="K1868" s="8" t="n"/>
      <c r="L1868" s="8" t="n"/>
      <c r="M1868" s="8" t="n"/>
      <c r="N1868" s="8" t="n"/>
      <c r="O1868" s="8" t="n"/>
      <c r="P1868" s="8" t="n"/>
      <c r="Q1868" s="8" t="n"/>
      <c r="R1868" s="8" t="n"/>
      <c r="S1868" s="8" t="n"/>
      <c r="T1868" s="7" t="inlineStr">
        <is>
          <t>SEM COTAÇÃO</t>
        </is>
      </c>
      <c r="U1868" s="8" t="n"/>
      <c r="V1868" s="14" t="n"/>
      <c r="W1868" s="14" t="n"/>
      <c r="X1868" s="7" t="inlineStr"/>
      <c r="Y1868" s="7" t="inlineStr"/>
    </row>
    <row r="1869">
      <c r="A1869" s="7" t="n">
        <v>663711</v>
      </c>
      <c r="B1869" s="12" t="inlineStr">
        <is>
          <t>7908228805632</t>
        </is>
      </c>
      <c r="C1869" s="7" t="inlineStr">
        <is>
          <t>FINI TUBES 35G- TWISTER</t>
        </is>
      </c>
      <c r="D1869" s="7" t="inlineStr">
        <is>
          <t>CONVENIENCIA</t>
        </is>
      </c>
      <c r="E1869" s="7" t="inlineStr">
        <is>
          <t>C</t>
        </is>
      </c>
      <c r="F1869" s="13" t="n">
        <v>1</v>
      </c>
      <c r="G1869" s="13" t="n">
        <v>1</v>
      </c>
      <c r="H1869" s="8" t="n">
        <v>2.71</v>
      </c>
      <c r="I1869" s="8" t="n">
        <v>2.71</v>
      </c>
      <c r="J1869" s="8" t="n">
        <v>2.71</v>
      </c>
      <c r="K1869" s="8" t="n"/>
      <c r="L1869" s="8" t="n"/>
      <c r="M1869" s="8" t="n"/>
      <c r="N1869" s="8" t="n"/>
      <c r="O1869" s="8" t="n"/>
      <c r="P1869" s="8" t="n"/>
      <c r="Q1869" s="8" t="n"/>
      <c r="R1869" s="8" t="n"/>
      <c r="S1869" s="8" t="n"/>
      <c r="T1869" s="7" t="inlineStr">
        <is>
          <t>SEM COTAÇÃO</t>
        </is>
      </c>
      <c r="U1869" s="8" t="n"/>
      <c r="V1869" s="14" t="n"/>
      <c r="W1869" s="14" t="n"/>
      <c r="X1869" s="7" t="inlineStr"/>
      <c r="Y1869" s="7" t="inlineStr"/>
    </row>
    <row r="1870">
      <c r="A1870" s="7" t="n">
        <v>632001</v>
      </c>
      <c r="B1870" s="12" t="inlineStr">
        <is>
          <t>7908228801665</t>
        </is>
      </c>
      <c r="C1870" s="7" t="inlineStr">
        <is>
          <t>FINI TUBES SUPER GIGA IOGURTE 27G DP24UN</t>
        </is>
      </c>
      <c r="D1870" s="7" t="inlineStr">
        <is>
          <t>CONVENIENCIA</t>
        </is>
      </c>
      <c r="E1870" s="7" t="inlineStr">
        <is>
          <t>B</t>
        </is>
      </c>
      <c r="F1870" s="13" t="n">
        <v>28</v>
      </c>
      <c r="G1870" s="13" t="n">
        <v>28</v>
      </c>
      <c r="H1870" s="8" t="n">
        <v>1.77</v>
      </c>
      <c r="I1870" s="8" t="n">
        <v>1.77</v>
      </c>
      <c r="J1870" s="8" t="n">
        <v>1.77</v>
      </c>
      <c r="K1870" s="8" t="n"/>
      <c r="L1870" s="8" t="n"/>
      <c r="M1870" s="8" t="n"/>
      <c r="N1870" s="8" t="n"/>
      <c r="O1870" s="8" t="n"/>
      <c r="P1870" s="8" t="n"/>
      <c r="Q1870" s="8" t="n"/>
      <c r="R1870" s="8" t="n"/>
      <c r="S1870" s="8" t="n"/>
      <c r="T1870" s="7" t="inlineStr">
        <is>
          <t>SEM COTAÇÃO</t>
        </is>
      </c>
      <c r="U1870" s="8" t="n"/>
      <c r="V1870" s="14" t="n"/>
      <c r="W1870" s="14" t="n"/>
      <c r="X1870" s="7" t="inlineStr"/>
      <c r="Y1870" s="7" t="inlineStr"/>
    </row>
    <row r="1871">
      <c r="A1871" s="7" t="n">
        <v>632021</v>
      </c>
      <c r="B1871" s="12" t="inlineStr">
        <is>
          <t>7908228801689</t>
        </is>
      </c>
      <c r="C1871" s="7" t="inlineStr">
        <is>
          <t>FINI TUBES SUPER GIGA TWISTER 27G</t>
        </is>
      </c>
      <c r="D1871" s="7" t="inlineStr">
        <is>
          <t>CONVENIENCIA</t>
        </is>
      </c>
      <c r="E1871" s="7" t="inlineStr">
        <is>
          <t>C</t>
        </is>
      </c>
      <c r="F1871" s="13" t="n">
        <v>5</v>
      </c>
      <c r="G1871" s="13" t="n">
        <v>5</v>
      </c>
      <c r="H1871" s="8" t="n">
        <v>1.77</v>
      </c>
      <c r="I1871" s="8" t="n">
        <v>1.77</v>
      </c>
      <c r="J1871" s="8" t="n">
        <v>1.77</v>
      </c>
      <c r="K1871" s="8" t="n"/>
      <c r="L1871" s="8" t="n"/>
      <c r="M1871" s="8" t="n"/>
      <c r="N1871" s="8" t="n"/>
      <c r="O1871" s="8" t="n"/>
      <c r="P1871" s="8" t="n"/>
      <c r="Q1871" s="8" t="n"/>
      <c r="R1871" s="8" t="n"/>
      <c r="S1871" s="8" t="n"/>
      <c r="T1871" s="7" t="inlineStr">
        <is>
          <t>SEM COTAÇÃO</t>
        </is>
      </c>
      <c r="U1871" s="8" t="n"/>
      <c r="V1871" s="14" t="n"/>
      <c r="W1871" s="14" t="n"/>
      <c r="X1871" s="7" t="inlineStr"/>
      <c r="Y1871" s="7" t="inlineStr"/>
    </row>
    <row r="1872">
      <c r="A1872" s="7" t="n">
        <v>631851</v>
      </c>
      <c r="B1872" s="12" t="inlineStr">
        <is>
          <t>7908228805038</t>
        </is>
      </c>
      <c r="C1872" s="7" t="inlineStr">
        <is>
          <t>FINI TUBES TROPICAL TANGER/PESSEGO 80G</t>
        </is>
      </c>
      <c r="D1872" s="7" t="inlineStr">
        <is>
          <t>CONVENIENCIA</t>
        </is>
      </c>
      <c r="E1872" s="7" t="inlineStr">
        <is>
          <t>C</t>
        </is>
      </c>
      <c r="F1872" s="13" t="n">
        <v>1</v>
      </c>
      <c r="G1872" s="13" t="n">
        <v>1</v>
      </c>
      <c r="H1872" s="8" t="n">
        <v>5.075</v>
      </c>
      <c r="I1872" s="8" t="n">
        <v>5.075</v>
      </c>
      <c r="J1872" s="8" t="n">
        <v>5.075</v>
      </c>
      <c r="K1872" s="8" t="n"/>
      <c r="L1872" s="8" t="n"/>
      <c r="M1872" s="8" t="n"/>
      <c r="N1872" s="8" t="n"/>
      <c r="O1872" s="8" t="n"/>
      <c r="P1872" s="8" t="n"/>
      <c r="Q1872" s="8" t="n"/>
      <c r="R1872" s="8" t="n"/>
      <c r="S1872" s="8" t="n"/>
      <c r="T1872" s="7" t="inlineStr">
        <is>
          <t>SEM COTAÇÃO</t>
        </is>
      </c>
      <c r="U1872" s="8" t="n"/>
      <c r="V1872" s="14" t="n"/>
      <c r="W1872" s="14" t="n"/>
      <c r="X1872" s="7" t="inlineStr"/>
      <c r="Y1872" s="7" t="inlineStr"/>
    </row>
    <row r="1873">
      <c r="A1873" s="7" t="n">
        <v>631881</v>
      </c>
      <c r="B1873" s="12" t="inlineStr">
        <is>
          <t>7898591455001</t>
        </is>
      </c>
      <c r="C1873" s="7" t="inlineStr">
        <is>
          <t>FINI TUBES UVA BRILHO 80G</t>
        </is>
      </c>
      <c r="D1873" s="7" t="inlineStr">
        <is>
          <t>CONVENIENCIA</t>
        </is>
      </c>
      <c r="E1873" s="7" t="inlineStr">
        <is>
          <t>C</t>
        </is>
      </c>
      <c r="F1873" s="13" t="n">
        <v>2</v>
      </c>
      <c r="G1873" s="13" t="n">
        <v>2</v>
      </c>
      <c r="H1873" s="8" t="n">
        <v>5.97</v>
      </c>
      <c r="I1873" s="8" t="n">
        <v>5.97</v>
      </c>
      <c r="J1873" s="8" t="n">
        <v>5.97</v>
      </c>
      <c r="K1873" s="8" t="n"/>
      <c r="L1873" s="8" t="n"/>
      <c r="M1873" s="8" t="n"/>
      <c r="N1873" s="8" t="n"/>
      <c r="O1873" s="8" t="n"/>
      <c r="P1873" s="8" t="n"/>
      <c r="Q1873" s="8" t="n"/>
      <c r="R1873" s="8" t="n"/>
      <c r="S1873" s="8" t="n"/>
      <c r="T1873" s="7" t="inlineStr">
        <is>
          <t>SEM COTAÇÃO</t>
        </is>
      </c>
      <c r="U1873" s="8" t="n"/>
      <c r="V1873" s="14" t="n"/>
      <c r="W1873" s="14" t="n"/>
      <c r="X1873" s="7" t="inlineStr"/>
      <c r="Y1873" s="7" t="inlineStr"/>
    </row>
    <row r="1874">
      <c r="A1874" s="7" t="n">
        <v>567201</v>
      </c>
      <c r="B1874" s="12" t="inlineStr">
        <is>
          <t>7891010501105</t>
        </is>
      </c>
      <c r="C1874" s="7" t="inlineStr">
        <is>
          <t>FIO DEN REACH J J ESSENC MENTA 100M</t>
        </is>
      </c>
      <c r="D1874" s="7" t="inlineStr">
        <is>
          <t>PERF/COSME</t>
        </is>
      </c>
      <c r="E1874" s="7" t="inlineStr">
        <is>
          <t>C</t>
        </is>
      </c>
      <c r="F1874" s="13" t="n">
        <v>3</v>
      </c>
      <c r="G1874" s="13" t="n">
        <v>3</v>
      </c>
      <c r="H1874" s="8" t="n">
        <v>14.415</v>
      </c>
      <c r="I1874" s="8" t="n">
        <v>13.635</v>
      </c>
      <c r="J1874" s="8" t="n">
        <v>13.895</v>
      </c>
      <c r="K1874" s="8" t="n"/>
      <c r="L1874" s="8" t="n"/>
      <c r="M1874" s="8" t="n"/>
      <c r="N1874" s="8" t="n"/>
      <c r="O1874" s="8" t="n"/>
      <c r="P1874" s="15" t="n">
        <v>15.07</v>
      </c>
      <c r="Q1874" s="8" t="n"/>
      <c r="R1874" s="8" t="n"/>
      <c r="S1874" s="8" t="n"/>
      <c r="T1874" s="7" t="inlineStr">
        <is>
          <t>NAZARIA</t>
        </is>
      </c>
      <c r="U1874" s="8" t="n">
        <v>15.07</v>
      </c>
      <c r="V1874" s="14">
        <f>U1874/J1874-1</f>
        <v/>
      </c>
      <c r="W1874" s="14">
        <f>U1874/H1874-1</f>
        <v/>
      </c>
      <c r="X1874" s="16" t="inlineStr">
        <is>
          <t>ACIMA +4.5%</t>
        </is>
      </c>
      <c r="Y1874" s="7" t="inlineStr"/>
    </row>
    <row r="1875">
      <c r="A1875" s="7" t="n">
        <v>590071</v>
      </c>
      <c r="B1875" s="12" t="inlineStr">
        <is>
          <t>7891024183021</t>
        </is>
      </c>
      <c r="C1875" s="7" t="inlineStr">
        <is>
          <t>FIO DENT COLGATE MENTA 50M</t>
        </is>
      </c>
      <c r="D1875" s="7" t="inlineStr">
        <is>
          <t>PERF/COSME</t>
        </is>
      </c>
      <c r="E1875" s="7" t="inlineStr">
        <is>
          <t>C</t>
        </is>
      </c>
      <c r="F1875" s="13" t="n">
        <v>1</v>
      </c>
      <c r="G1875" s="13" t="n">
        <v>1</v>
      </c>
      <c r="H1875" s="8" t="n">
        <v>9.33</v>
      </c>
      <c r="I1875" s="8" t="n">
        <v>9.33</v>
      </c>
      <c r="J1875" s="8" t="n">
        <v>9.33</v>
      </c>
      <c r="K1875" s="8" t="n"/>
      <c r="L1875" s="8" t="n"/>
      <c r="M1875" s="8" t="n"/>
      <c r="N1875" s="8" t="n"/>
      <c r="O1875" s="8" t="n"/>
      <c r="P1875" s="8" t="n"/>
      <c r="Q1875" s="8" t="n"/>
      <c r="R1875" s="8" t="n"/>
      <c r="S1875" s="8" t="n"/>
      <c r="T1875" s="7" t="inlineStr">
        <is>
          <t>SEM COTAÇÃO</t>
        </is>
      </c>
      <c r="U1875" s="8" t="n"/>
      <c r="V1875" s="14" t="n"/>
      <c r="W1875" s="14" t="n"/>
      <c r="X1875" s="7" t="inlineStr"/>
      <c r="Y1875" s="7" t="inlineStr"/>
    </row>
    <row r="1876">
      <c r="A1876" s="7" t="n">
        <v>606091</v>
      </c>
      <c r="B1876" s="12" t="inlineStr">
        <is>
          <t>7896480657390</t>
        </is>
      </c>
      <c r="C1876" s="7" t="inlineStr">
        <is>
          <t>FIO DENT ENLACE 25M</t>
        </is>
      </c>
      <c r="D1876" s="7" t="inlineStr">
        <is>
          <t>PERF/COSME</t>
        </is>
      </c>
      <c r="E1876" s="7" t="inlineStr">
        <is>
          <t>B</t>
        </is>
      </c>
      <c r="F1876" s="13" t="n">
        <v>1</v>
      </c>
      <c r="G1876" s="13" t="n">
        <v>5</v>
      </c>
      <c r="H1876" s="8" t="n">
        <v>3.6033</v>
      </c>
      <c r="I1876" s="8" t="n">
        <v>3.6033</v>
      </c>
      <c r="J1876" s="8" t="n">
        <v>3.6033</v>
      </c>
      <c r="K1876" s="8" t="n"/>
      <c r="L1876" s="8" t="n"/>
      <c r="M1876" s="8" t="n"/>
      <c r="N1876" s="8" t="n"/>
      <c r="O1876" s="8" t="n"/>
      <c r="P1876" s="8" t="n"/>
      <c r="Q1876" s="8" t="n"/>
      <c r="R1876" s="8" t="n"/>
      <c r="S1876" s="8" t="n"/>
      <c r="T1876" s="7" t="inlineStr">
        <is>
          <t>SEM COTAÇÃO</t>
        </is>
      </c>
      <c r="U1876" s="8" t="n"/>
      <c r="V1876" s="14" t="n"/>
      <c r="W1876" s="14" t="n"/>
      <c r="X1876" s="7" t="inlineStr"/>
      <c r="Y1876" s="7" t="inlineStr"/>
    </row>
    <row r="1877">
      <c r="A1877" s="7" t="n">
        <v>606101</v>
      </c>
      <c r="B1877" s="12" t="inlineStr">
        <is>
          <t>7896480657413</t>
        </is>
      </c>
      <c r="C1877" s="7" t="inlineStr">
        <is>
          <t>FIO DENT ENLACE 50M</t>
        </is>
      </c>
      <c r="D1877" s="7" t="inlineStr">
        <is>
          <t>PERF/COSME</t>
        </is>
      </c>
      <c r="E1877" s="7" t="inlineStr">
        <is>
          <t>C</t>
        </is>
      </c>
      <c r="F1877" s="13" t="n">
        <v>1</v>
      </c>
      <c r="G1877" s="13" t="n">
        <v>1</v>
      </c>
      <c r="H1877" s="8" t="n">
        <v>3.4858</v>
      </c>
      <c r="I1877" s="8" t="n">
        <v>3.4858</v>
      </c>
      <c r="J1877" s="8" t="n">
        <v>3.4858</v>
      </c>
      <c r="K1877" s="8" t="n"/>
      <c r="L1877" s="8" t="n"/>
      <c r="M1877" s="8" t="n"/>
      <c r="N1877" s="8" t="n"/>
      <c r="O1877" s="8" t="n"/>
      <c r="P1877" s="8" t="n"/>
      <c r="Q1877" s="8" t="n"/>
      <c r="R1877" s="8" t="n"/>
      <c r="S1877" s="8" t="n"/>
      <c r="T1877" s="7" t="inlineStr">
        <is>
          <t>SEM COTAÇÃO</t>
        </is>
      </c>
      <c r="U1877" s="8" t="n"/>
      <c r="V1877" s="14" t="n"/>
      <c r="W1877" s="14" t="n"/>
      <c r="X1877" s="7" t="inlineStr"/>
      <c r="Y1877" s="7" t="inlineStr"/>
    </row>
    <row r="1878">
      <c r="A1878" s="7" t="n">
        <v>577401</v>
      </c>
      <c r="B1878" s="12" t="inlineStr">
        <is>
          <t>7891024183007</t>
        </is>
      </c>
      <c r="C1878" s="7" t="inlineStr">
        <is>
          <t>FIO DENT. COLGATE NYLON 50M</t>
        </is>
      </c>
      <c r="D1878" s="7" t="inlineStr">
        <is>
          <t>PERF/COSME</t>
        </is>
      </c>
      <c r="E1878" s="7" t="inlineStr">
        <is>
          <t>A</t>
        </is>
      </c>
      <c r="F1878" s="13" t="n">
        <v>1</v>
      </c>
      <c r="G1878" s="13" t="n">
        <v>1</v>
      </c>
      <c r="H1878" s="8" t="n">
        <v>11.65</v>
      </c>
      <c r="I1878" s="8" t="n">
        <v>9.529999999999999</v>
      </c>
      <c r="J1878" s="8" t="n">
        <v>10.8511</v>
      </c>
      <c r="K1878" s="8" t="n"/>
      <c r="L1878" s="8" t="n"/>
      <c r="M1878" s="8" t="n"/>
      <c r="N1878" s="8" t="n"/>
      <c r="O1878" s="8" t="n"/>
      <c r="P1878" s="15" t="n">
        <v>11.99</v>
      </c>
      <c r="Q1878" s="8" t="n"/>
      <c r="R1878" s="8" t="n"/>
      <c r="S1878" s="8" t="n"/>
      <c r="T1878" s="7" t="inlineStr">
        <is>
          <t>NAZARIA</t>
        </is>
      </c>
      <c r="U1878" s="8" t="n">
        <v>11.99</v>
      </c>
      <c r="V1878" s="14">
        <f>U1878/J1878-1</f>
        <v/>
      </c>
      <c r="W1878" s="14">
        <f>U1878/H1878-1</f>
        <v/>
      </c>
      <c r="X1878" s="16" t="inlineStr">
        <is>
          <t>ACIMA +2.9%</t>
        </is>
      </c>
      <c r="Y1878" s="7" t="inlineStr"/>
    </row>
    <row r="1879">
      <c r="A1879" s="7" t="n">
        <v>665811</v>
      </c>
      <c r="B1879" s="12" t="inlineStr">
        <is>
          <t>7891055539217</t>
        </is>
      </c>
      <c r="C1879" s="7" t="inlineStr">
        <is>
          <t>FIO DENT.CONDOR MENTA 6X50M OF</t>
        </is>
      </c>
      <c r="D1879" s="7" t="inlineStr">
        <is>
          <t>ORTODONTICO</t>
        </is>
      </c>
      <c r="E1879" s="7" t="inlineStr">
        <is>
          <t>C</t>
        </is>
      </c>
      <c r="F1879" s="13" t="n">
        <v>1</v>
      </c>
      <c r="G1879" s="13" t="n">
        <v>4</v>
      </c>
      <c r="H1879" s="8" t="n">
        <v>4.305</v>
      </c>
      <c r="I1879" s="8" t="n">
        <v>4.305</v>
      </c>
      <c r="J1879" s="8" t="n">
        <v>4.305</v>
      </c>
      <c r="K1879" s="8" t="n"/>
      <c r="L1879" s="8" t="n"/>
      <c r="M1879" s="8" t="n"/>
      <c r="N1879" s="8" t="n"/>
      <c r="O1879" s="8" t="n"/>
      <c r="P1879" s="8" t="n"/>
      <c r="Q1879" s="8" t="n"/>
      <c r="R1879" s="8" t="n"/>
      <c r="S1879" s="8" t="n"/>
      <c r="T1879" s="7" t="inlineStr">
        <is>
          <t>SEM COTAÇÃO</t>
        </is>
      </c>
      <c r="U1879" s="8" t="n"/>
      <c r="V1879" s="14" t="n"/>
      <c r="W1879" s="14" t="n"/>
      <c r="X1879" s="7" t="inlineStr"/>
      <c r="Y1879" s="7" t="inlineStr"/>
    </row>
    <row r="1880">
      <c r="A1880" s="7" t="n">
        <v>641581</v>
      </c>
      <c r="B1880" s="12" t="inlineStr">
        <is>
          <t>7898585292025</t>
        </is>
      </c>
      <c r="C1880" s="7" t="inlineStr">
        <is>
          <t>FIO DENTAL DENTIL ORIGINAL LV100PG50 12X1 REF= 2250$</t>
        </is>
      </c>
      <c r="D1880" s="7" t="inlineStr">
        <is>
          <t>ORTODONTICO</t>
        </is>
      </c>
      <c r="E1880" s="7" t="inlineStr">
        <is>
          <t>C</t>
        </is>
      </c>
      <c r="F1880" s="13" t="n">
        <v>1</v>
      </c>
      <c r="G1880" s="13" t="n">
        <v>1</v>
      </c>
      <c r="H1880" s="8" t="n">
        <v>6.4017</v>
      </c>
      <c r="I1880" s="8" t="n">
        <v>6.4017</v>
      </c>
      <c r="J1880" s="8" t="n">
        <v>6.401700000000001</v>
      </c>
      <c r="K1880" s="8" t="n"/>
      <c r="L1880" s="8" t="n"/>
      <c r="M1880" s="8" t="n"/>
      <c r="N1880" s="8" t="n"/>
      <c r="O1880" s="8" t="n"/>
      <c r="P1880" s="8" t="n"/>
      <c r="Q1880" s="8" t="n"/>
      <c r="R1880" s="8" t="n"/>
      <c r="S1880" s="8" t="n"/>
      <c r="T1880" s="7" t="inlineStr">
        <is>
          <t>SEM COTAÇÃO</t>
        </is>
      </c>
      <c r="U1880" s="8" t="n"/>
      <c r="V1880" s="14" t="n"/>
      <c r="W1880" s="14" t="n"/>
      <c r="X1880" s="7" t="inlineStr"/>
      <c r="Y1880" s="7" t="inlineStr"/>
    </row>
    <row r="1881">
      <c r="A1881" s="7" t="n">
        <v>672381</v>
      </c>
      <c r="B1881" s="12" t="inlineStr">
        <is>
          <t>7896444212702</t>
        </is>
      </c>
      <c r="C1881" s="7" t="inlineStr">
        <is>
          <t>FIO DENTAL HILLO VEGANO HORTELA 50M 828</t>
        </is>
      </c>
      <c r="D1881" s="7" t="inlineStr">
        <is>
          <t>ORTODONTICO</t>
        </is>
      </c>
      <c r="E1881" s="7" t="inlineStr">
        <is>
          <t>B</t>
        </is>
      </c>
      <c r="F1881" s="13" t="n">
        <v>1</v>
      </c>
      <c r="G1881" s="13" t="n">
        <v>1</v>
      </c>
      <c r="H1881" s="8" t="n">
        <v>4.25</v>
      </c>
      <c r="I1881" s="8" t="n">
        <v>4</v>
      </c>
      <c r="J1881" s="8" t="n">
        <v>4.166666666666667</v>
      </c>
      <c r="K1881" s="8" t="n"/>
      <c r="L1881" s="8" t="n"/>
      <c r="M1881" s="8" t="n"/>
      <c r="N1881" s="8" t="n"/>
      <c r="O1881" s="8" t="n"/>
      <c r="P1881" s="8" t="n"/>
      <c r="Q1881" s="8" t="n"/>
      <c r="R1881" s="8" t="n"/>
      <c r="S1881" s="8" t="n"/>
      <c r="T1881" s="7" t="inlineStr">
        <is>
          <t>SEM COTAÇÃO</t>
        </is>
      </c>
      <c r="U1881" s="8" t="n"/>
      <c r="V1881" s="14" t="n"/>
      <c r="W1881" s="14" t="n"/>
      <c r="X1881" s="7" t="inlineStr"/>
      <c r="Y1881" s="7" t="inlineStr"/>
    </row>
    <row r="1882">
      <c r="A1882" s="7" t="n">
        <v>647101</v>
      </c>
      <c r="B1882" s="12" t="inlineStr">
        <is>
          <t>7897517919986</t>
        </is>
      </c>
      <c r="C1882" s="7" t="inlineStr">
        <is>
          <t>FIO DENTAL KESS INDIVIDUAL C/30UN 12X1UN</t>
        </is>
      </c>
      <c r="D1882" s="7" t="inlineStr">
        <is>
          <t>ORTODONTICO</t>
        </is>
      </c>
      <c r="E1882" s="7" t="inlineStr">
        <is>
          <t>C</t>
        </is>
      </c>
      <c r="F1882" s="13" t="n">
        <v>1</v>
      </c>
      <c r="G1882" s="13" t="n">
        <v>1</v>
      </c>
      <c r="H1882" s="8" t="n">
        <v>6.81</v>
      </c>
      <c r="I1882" s="8" t="n">
        <v>6.81</v>
      </c>
      <c r="J1882" s="8" t="n">
        <v>6.81</v>
      </c>
      <c r="K1882" s="8" t="n"/>
      <c r="L1882" s="8" t="n"/>
      <c r="M1882" s="8" t="n"/>
      <c r="N1882" s="8" t="n"/>
      <c r="O1882" s="8" t="n"/>
      <c r="P1882" s="8" t="n"/>
      <c r="Q1882" s="8" t="n"/>
      <c r="R1882" s="8" t="n"/>
      <c r="S1882" s="8" t="n"/>
      <c r="T1882" s="7" t="inlineStr">
        <is>
          <t>SEM COTAÇÃO</t>
        </is>
      </c>
      <c r="U1882" s="8" t="n"/>
      <c r="V1882" s="14" t="n"/>
      <c r="W1882" s="14" t="n"/>
      <c r="X1882" s="7" t="inlineStr"/>
      <c r="Y1882" s="7" t="inlineStr"/>
    </row>
    <row r="1883">
      <c r="A1883" s="7" t="n">
        <v>560021</v>
      </c>
      <c r="B1883" s="12" t="inlineStr">
        <is>
          <t>7897517919979</t>
        </is>
      </c>
      <c r="C1883" s="7" t="inlineStr">
        <is>
          <t>FIO DENTAL KESS MENTA 11M</t>
        </is>
      </c>
      <c r="D1883" s="7" t="inlineStr">
        <is>
          <t>USO INTERNO</t>
        </is>
      </c>
      <c r="E1883" s="7" t="inlineStr">
        <is>
          <t>C</t>
        </is>
      </c>
      <c r="F1883" s="13" t="n">
        <v>1</v>
      </c>
      <c r="G1883" s="13" t="n">
        <v>1</v>
      </c>
      <c r="H1883" s="8" t="n">
        <v>3.95</v>
      </c>
      <c r="I1883" s="8" t="n">
        <v>3.95</v>
      </c>
      <c r="J1883" s="8" t="n">
        <v>3.950000000000001</v>
      </c>
      <c r="K1883" s="8" t="n"/>
      <c r="L1883" s="8" t="n"/>
      <c r="M1883" s="8" t="n"/>
      <c r="N1883" s="8" t="n"/>
      <c r="O1883" s="8" t="n"/>
      <c r="P1883" s="8" t="n"/>
      <c r="Q1883" s="8" t="n"/>
      <c r="R1883" s="8" t="n"/>
      <c r="S1883" s="8" t="n"/>
      <c r="T1883" s="7" t="inlineStr">
        <is>
          <t>SEM COTAÇÃO</t>
        </is>
      </c>
      <c r="U1883" s="8" t="n"/>
      <c r="V1883" s="14" t="n"/>
      <c r="W1883" s="14" t="n"/>
      <c r="X1883" s="7" t="inlineStr"/>
      <c r="Y1883" s="7" t="inlineStr"/>
    </row>
    <row r="1884">
      <c r="A1884" s="7" t="n">
        <v>562161</v>
      </c>
      <c r="B1884" s="12" t="inlineStr">
        <is>
          <t>7897517919962</t>
        </is>
      </c>
      <c r="C1884" s="7" t="inlineStr">
        <is>
          <t>FIO DENTAL KESS MENTA 50M UN</t>
        </is>
      </c>
      <c r="D1884" s="7" t="inlineStr">
        <is>
          <t>PERF/COSME</t>
        </is>
      </c>
      <c r="E1884" s="7" t="inlineStr">
        <is>
          <t>C</t>
        </is>
      </c>
      <c r="F1884" s="13" t="n">
        <v>3</v>
      </c>
      <c r="G1884" s="13" t="n">
        <v>3</v>
      </c>
      <c r="H1884" s="8" t="n">
        <v>5.99</v>
      </c>
      <c r="I1884" s="8" t="n">
        <v>5.99</v>
      </c>
      <c r="J1884" s="8" t="n">
        <v>5.989999999999999</v>
      </c>
      <c r="K1884" s="8" t="n"/>
      <c r="L1884" s="8" t="n"/>
      <c r="M1884" s="8" t="n"/>
      <c r="N1884" s="8" t="n"/>
      <c r="O1884" s="8" t="n"/>
      <c r="P1884" s="8" t="n"/>
      <c r="Q1884" s="8" t="n"/>
      <c r="R1884" s="8" t="n"/>
      <c r="S1884" s="8" t="n"/>
      <c r="T1884" s="7" t="inlineStr">
        <is>
          <t>SEM COTAÇÃO</t>
        </is>
      </c>
      <c r="U1884" s="8" t="n"/>
      <c r="V1884" s="14" t="n"/>
      <c r="W1884" s="14" t="n"/>
      <c r="X1884" s="7" t="inlineStr"/>
      <c r="Y1884" s="7" t="inlineStr"/>
    </row>
    <row r="1885">
      <c r="A1885" s="7" t="n">
        <v>614721</v>
      </c>
      <c r="B1885" s="12" t="inlineStr">
        <is>
          <t>7891010038908</t>
        </is>
      </c>
      <c r="C1885" s="7" t="inlineStr">
        <is>
          <t>FIO DT JOHNSON REACH 50M MENTA</t>
        </is>
      </c>
      <c r="D1885" s="7" t="inlineStr">
        <is>
          <t>PERF/COSME</t>
        </is>
      </c>
      <c r="E1885" s="7" t="inlineStr">
        <is>
          <t>B</t>
        </is>
      </c>
      <c r="F1885" s="13" t="n">
        <v>4</v>
      </c>
      <c r="G1885" s="13" t="n">
        <v>4</v>
      </c>
      <c r="H1885" s="8" t="n">
        <v>13.5833</v>
      </c>
      <c r="I1885" s="8" t="n">
        <v>13.1458</v>
      </c>
      <c r="J1885" s="8" t="n">
        <v>13.29163333333333</v>
      </c>
      <c r="K1885" s="8" t="n"/>
      <c r="L1885" s="8" t="n"/>
      <c r="M1885" s="8" t="n"/>
      <c r="N1885" s="8" t="n"/>
      <c r="O1885" s="8" t="n"/>
      <c r="P1885" s="15" t="n">
        <v>13.91</v>
      </c>
      <c r="Q1885" s="8" t="n"/>
      <c r="R1885" s="8" t="n"/>
      <c r="S1885" s="8" t="n"/>
      <c r="T1885" s="7" t="inlineStr">
        <is>
          <t>NAZARIA</t>
        </is>
      </c>
      <c r="U1885" s="8" t="n">
        <v>13.91</v>
      </c>
      <c r="V1885" s="14">
        <f>U1885/J1885-1</f>
        <v/>
      </c>
      <c r="W1885" s="14">
        <f>U1885/H1885-1</f>
        <v/>
      </c>
      <c r="X1885" s="16" t="inlineStr">
        <is>
          <t>ACIMA +2.4%</t>
        </is>
      </c>
      <c r="Y1885" s="7" t="inlineStr"/>
    </row>
    <row r="1886">
      <c r="A1886" s="7" t="n">
        <v>675321</v>
      </c>
      <c r="B1886" s="12" t="inlineStr">
        <is>
          <t>7898647920057</t>
        </is>
      </c>
      <c r="C1886" s="7" t="inlineStr">
        <is>
          <t>FIO TELEFONICO COM 2 UNIDADE</t>
        </is>
      </c>
      <c r="D1886" s="7" t="inlineStr">
        <is>
          <t>UTENSILIOS</t>
        </is>
      </c>
      <c r="E1886" s="7" t="inlineStr">
        <is>
          <t>C</t>
        </is>
      </c>
      <c r="F1886" s="13" t="n">
        <v>4</v>
      </c>
      <c r="G1886" s="13" t="n">
        <v>4</v>
      </c>
      <c r="H1886" s="8" t="n"/>
      <c r="I1886" s="8" t="n"/>
      <c r="J1886" s="8" t="n"/>
      <c r="K1886" s="8" t="n"/>
      <c r="L1886" s="8" t="n"/>
      <c r="M1886" s="8" t="n"/>
      <c r="N1886" s="8" t="n"/>
      <c r="O1886" s="8" t="n"/>
      <c r="P1886" s="8" t="n"/>
      <c r="Q1886" s="8" t="n"/>
      <c r="R1886" s="8" t="n"/>
      <c r="S1886" s="8" t="n"/>
      <c r="T1886" s="7" t="inlineStr">
        <is>
          <t>SEM COTAÇÃO</t>
        </is>
      </c>
      <c r="U1886" s="8" t="n"/>
      <c r="V1886" s="14" t="n"/>
      <c r="W1886" s="14" t="n"/>
      <c r="X1886" s="7" t="inlineStr"/>
      <c r="Y1886" s="7" t="inlineStr"/>
    </row>
    <row r="1887">
      <c r="A1887" s="7" t="n">
        <v>643971</v>
      </c>
      <c r="B1887" s="12" t="inlineStr">
        <is>
          <t>7896026172639</t>
        </is>
      </c>
      <c r="C1887" s="7" t="inlineStr">
        <is>
          <t>FISIOGEL HID PELE SECA 200G-DEMAIS PROD</t>
        </is>
      </c>
      <c r="D1887" s="7" t="inlineStr">
        <is>
          <t>RX - DERMO</t>
        </is>
      </c>
      <c r="E1887" s="7" t="inlineStr">
        <is>
          <t>B</t>
        </is>
      </c>
      <c r="F1887" s="13" t="n">
        <v>1</v>
      </c>
      <c r="G1887" s="13" t="n">
        <v>1</v>
      </c>
      <c r="H1887" s="8" t="n">
        <v>39.97</v>
      </c>
      <c r="I1887" s="8" t="n">
        <v>36.95</v>
      </c>
      <c r="J1887" s="8" t="n">
        <v>37.85666666666667</v>
      </c>
      <c r="K1887" s="8" t="n"/>
      <c r="L1887" s="8" t="n"/>
      <c r="M1887" s="15" t="n">
        <v>41.94</v>
      </c>
      <c r="N1887" s="8" t="n"/>
      <c r="O1887" s="8" t="n"/>
      <c r="P1887" s="8" t="n">
        <v>48.5388</v>
      </c>
      <c r="Q1887" s="8" t="n"/>
      <c r="R1887" s="8" t="n"/>
      <c r="S1887" s="8" t="n"/>
      <c r="T1887" s="7" t="inlineStr">
        <is>
          <t>EPAN</t>
        </is>
      </c>
      <c r="U1887" s="8" t="n">
        <v>41.94</v>
      </c>
      <c r="V1887" s="14">
        <f>U1887/J1887-1</f>
        <v/>
      </c>
      <c r="W1887" s="14">
        <f>U1887/H1887-1</f>
        <v/>
      </c>
      <c r="X1887" s="16" t="inlineStr">
        <is>
          <t>ACIMA +4.9%</t>
        </is>
      </c>
      <c r="Y1887" s="7" t="inlineStr"/>
    </row>
    <row r="1888">
      <c r="A1888" s="7" t="n">
        <v>532361</v>
      </c>
      <c r="B1888" s="12" t="inlineStr">
        <is>
          <t>7896544900011</t>
        </is>
      </c>
      <c r="C1888" s="7" t="inlineStr">
        <is>
          <t>FITA CIRUGICA MICRO 1,2X4,5 MISSNER</t>
        </is>
      </c>
      <c r="D1888" s="7" t="inlineStr">
        <is>
          <t>CURATIVO</t>
        </is>
      </c>
      <c r="E1888" s="7" t="inlineStr">
        <is>
          <t>A</t>
        </is>
      </c>
      <c r="F1888" s="13" t="n">
        <v>41</v>
      </c>
      <c r="G1888" s="13" t="n">
        <v>41</v>
      </c>
      <c r="H1888" s="8" t="n">
        <v>2.23</v>
      </c>
      <c r="I1888" s="8" t="n">
        <v>2.23</v>
      </c>
      <c r="J1888" s="8" t="n">
        <v>2.23</v>
      </c>
      <c r="K1888" s="15" t="n">
        <v>2.23</v>
      </c>
      <c r="L1888" s="8" t="n"/>
      <c r="M1888" s="8" t="n"/>
      <c r="N1888" s="8" t="n">
        <v>2.7</v>
      </c>
      <c r="O1888" s="8" t="n"/>
      <c r="P1888" s="8" t="n">
        <v>2.39</v>
      </c>
      <c r="Q1888" s="8" t="n">
        <v>3.01</v>
      </c>
      <c r="R1888" s="8" t="n">
        <v>2.69</v>
      </c>
      <c r="S1888" s="8" t="n"/>
      <c r="T1888" s="7" t="inlineStr">
        <is>
          <t>DIMEC</t>
        </is>
      </c>
      <c r="U1888" s="8" t="n">
        <v>2.23</v>
      </c>
      <c r="V1888" s="14">
        <f>U1888/J1888-1</f>
        <v/>
      </c>
      <c r="W1888" s="14">
        <f>U1888/H1888-1</f>
        <v/>
      </c>
      <c r="X1888" s="17" t="inlineStr">
        <is>
          <t>OK (≤ menor hist.)</t>
        </is>
      </c>
      <c r="Y1888" s="7" t="inlineStr"/>
    </row>
    <row r="1889">
      <c r="A1889" s="7" t="n">
        <v>532401</v>
      </c>
      <c r="B1889" s="12" t="inlineStr">
        <is>
          <t>7896544900097</t>
        </is>
      </c>
      <c r="C1889" s="7" t="inlineStr">
        <is>
          <t>FITA CIRURGICA MICROPOROSA MISSNER 2,5CM X 4,5M</t>
        </is>
      </c>
      <c r="D1889" s="7" t="inlineStr">
        <is>
          <t>CURATIVO</t>
        </is>
      </c>
      <c r="E1889" s="7" t="inlineStr">
        <is>
          <t>A</t>
        </is>
      </c>
      <c r="F1889" s="13" t="n">
        <v>95</v>
      </c>
      <c r="G1889" s="13" t="n">
        <v>95</v>
      </c>
      <c r="H1889" s="8" t="n">
        <v>3.14</v>
      </c>
      <c r="I1889" s="8" t="n">
        <v>3.14</v>
      </c>
      <c r="J1889" s="8" t="n">
        <v>3.14</v>
      </c>
      <c r="K1889" s="15" t="n">
        <v>3.14</v>
      </c>
      <c r="L1889" s="8" t="n"/>
      <c r="M1889" s="8" t="n"/>
      <c r="N1889" s="8" t="n"/>
      <c r="O1889" s="8" t="n"/>
      <c r="P1889" s="8" t="n">
        <v>3.41</v>
      </c>
      <c r="Q1889" s="8" t="n">
        <v>4.38</v>
      </c>
      <c r="R1889" s="8" t="n">
        <v>3.86</v>
      </c>
      <c r="S1889" s="8" t="n"/>
      <c r="T1889" s="7" t="inlineStr">
        <is>
          <t>DIMEC</t>
        </is>
      </c>
      <c r="U1889" s="8" t="n">
        <v>3.14</v>
      </c>
      <c r="V1889" s="14">
        <f>U1889/J1889-1</f>
        <v/>
      </c>
      <c r="W1889" s="14">
        <f>U1889/H1889-1</f>
        <v/>
      </c>
      <c r="X1889" s="17" t="inlineStr">
        <is>
          <t>OK (≤ menor hist.)</t>
        </is>
      </c>
      <c r="Y1889" s="7" t="inlineStr"/>
    </row>
    <row r="1890">
      <c r="A1890" s="7" t="n">
        <v>3023</v>
      </c>
      <c r="B1890" s="12" t="inlineStr">
        <is>
          <t>746507426157</t>
        </is>
      </c>
      <c r="C1890" s="7" t="inlineStr">
        <is>
          <t>FITA DE KINESIO 5CM X 5M AZUL</t>
        </is>
      </c>
      <c r="D1890" s="7" t="inlineStr">
        <is>
          <t>UTENSILIOS</t>
        </is>
      </c>
      <c r="E1890" s="7" t="inlineStr">
        <is>
          <t>C</t>
        </is>
      </c>
      <c r="F1890" s="13" t="n">
        <v>1</v>
      </c>
      <c r="G1890" s="13" t="n">
        <v>1</v>
      </c>
      <c r="H1890" s="8" t="n">
        <v>19.44</v>
      </c>
      <c r="I1890" s="8" t="n">
        <v>19.44</v>
      </c>
      <c r="J1890" s="8" t="n">
        <v>19.44</v>
      </c>
      <c r="K1890" s="8" t="n"/>
      <c r="L1890" s="8" t="n"/>
      <c r="M1890" s="8" t="n"/>
      <c r="N1890" s="8" t="n"/>
      <c r="O1890" s="8" t="n"/>
      <c r="P1890" s="8" t="n"/>
      <c r="Q1890" s="8" t="n"/>
      <c r="R1890" s="8" t="n"/>
      <c r="S1890" s="8" t="n"/>
      <c r="T1890" s="7" t="inlineStr">
        <is>
          <t>SEM COTAÇÃO</t>
        </is>
      </c>
      <c r="U1890" s="8" t="n"/>
      <c r="V1890" s="14" t="n"/>
      <c r="W1890" s="14" t="n"/>
      <c r="X1890" s="7" t="inlineStr"/>
      <c r="Y1890" s="7" t="inlineStr"/>
    </row>
    <row r="1891">
      <c r="A1891" s="7" t="n">
        <v>606871</v>
      </c>
      <c r="B1891" s="12" t="inlineStr">
        <is>
          <t>7899838831992</t>
        </is>
      </c>
      <c r="C1891" s="7" t="inlineStr">
        <is>
          <t>FITA DE KINESIO 5CM X 5M BEGE</t>
        </is>
      </c>
      <c r="D1891" s="7" t="inlineStr">
        <is>
          <t>ORTOPEDICO</t>
        </is>
      </c>
      <c r="E1891" s="7" t="inlineStr">
        <is>
          <t>C</t>
        </is>
      </c>
      <c r="F1891" s="13" t="n">
        <v>1</v>
      </c>
      <c r="G1891" s="13" t="n">
        <v>1</v>
      </c>
      <c r="H1891" s="8" t="n">
        <v>20.48</v>
      </c>
      <c r="I1891" s="8" t="n">
        <v>20.48</v>
      </c>
      <c r="J1891" s="8" t="n">
        <v>20.48</v>
      </c>
      <c r="K1891" s="15" t="n">
        <v>20.48</v>
      </c>
      <c r="L1891" s="8" t="n"/>
      <c r="M1891" s="8" t="n"/>
      <c r="N1891" s="8" t="n">
        <v>22.02</v>
      </c>
      <c r="O1891" s="8" t="n"/>
      <c r="P1891" s="8" t="n"/>
      <c r="Q1891" s="8" t="n"/>
      <c r="R1891" s="8" t="n"/>
      <c r="S1891" s="8" t="n"/>
      <c r="T1891" s="7" t="inlineStr">
        <is>
          <t>DIMEC</t>
        </is>
      </c>
      <c r="U1891" s="8" t="n">
        <v>20.48</v>
      </c>
      <c r="V1891" s="14">
        <f>U1891/J1891-1</f>
        <v/>
      </c>
      <c r="W1891" s="14">
        <f>U1891/H1891-1</f>
        <v/>
      </c>
      <c r="X1891" s="17" t="inlineStr">
        <is>
          <t>OK (≤ menor hist.)</t>
        </is>
      </c>
      <c r="Y1891" s="7" t="inlineStr"/>
    </row>
    <row r="1892">
      <c r="A1892" s="7" t="n">
        <v>3013</v>
      </c>
      <c r="B1892" s="12" t="inlineStr">
        <is>
          <t>746507426133</t>
        </is>
      </c>
      <c r="C1892" s="7" t="inlineStr">
        <is>
          <t>FITA DE KINESIO 5CM X 5M BEGE</t>
        </is>
      </c>
      <c r="D1892" s="7" t="inlineStr">
        <is>
          <t>UTENSILIOS</t>
        </is>
      </c>
      <c r="E1892" s="7" t="inlineStr">
        <is>
          <t>C</t>
        </is>
      </c>
      <c r="F1892" s="13" t="n">
        <v>2</v>
      </c>
      <c r="G1892" s="13" t="n">
        <v>2</v>
      </c>
      <c r="H1892" s="8" t="n">
        <v>19.16</v>
      </c>
      <c r="I1892" s="8" t="n">
        <v>19.16</v>
      </c>
      <c r="J1892" s="8" t="n">
        <v>19.16</v>
      </c>
      <c r="K1892" s="8" t="n"/>
      <c r="L1892" s="8" t="n"/>
      <c r="M1892" s="8" t="n"/>
      <c r="N1892" s="8" t="n"/>
      <c r="O1892" s="8" t="n"/>
      <c r="P1892" s="8" t="n"/>
      <c r="Q1892" s="8" t="n"/>
      <c r="R1892" s="8" t="n"/>
      <c r="S1892" s="8" t="n"/>
      <c r="T1892" s="7" t="inlineStr">
        <is>
          <t>SEM COTAÇÃO</t>
        </is>
      </c>
      <c r="U1892" s="8" t="n"/>
      <c r="V1892" s="14" t="n"/>
      <c r="W1892" s="14" t="n"/>
      <c r="X1892" s="7" t="inlineStr"/>
      <c r="Y1892" s="7" t="inlineStr"/>
    </row>
    <row r="1893">
      <c r="A1893" s="7" t="n">
        <v>3043</v>
      </c>
      <c r="B1893" s="12" t="inlineStr">
        <is>
          <t>705333487978</t>
        </is>
      </c>
      <c r="C1893" s="7" t="inlineStr">
        <is>
          <t>FITA DE KINESIO 5CM X 5M LILAS</t>
        </is>
      </c>
      <c r="D1893" s="7" t="inlineStr">
        <is>
          <t>UTENSILIOS</t>
        </is>
      </c>
      <c r="E1893" s="7" t="inlineStr">
        <is>
          <t>B</t>
        </is>
      </c>
      <c r="F1893" s="13" t="n">
        <v>2</v>
      </c>
      <c r="G1893" s="13" t="n">
        <v>2</v>
      </c>
      <c r="H1893" s="8" t="n">
        <v>20.93</v>
      </c>
      <c r="I1893" s="8" t="n">
        <v>20.93</v>
      </c>
      <c r="J1893" s="8" t="n">
        <v>20.93</v>
      </c>
      <c r="K1893" s="8" t="n"/>
      <c r="L1893" s="8" t="n"/>
      <c r="M1893" s="8" t="n"/>
      <c r="N1893" s="8" t="n"/>
      <c r="O1893" s="8" t="n"/>
      <c r="P1893" s="8" t="n"/>
      <c r="Q1893" s="8" t="n"/>
      <c r="R1893" s="8" t="n"/>
      <c r="S1893" s="8" t="n"/>
      <c r="T1893" s="7" t="inlineStr">
        <is>
          <t>SEM COTAÇÃO</t>
        </is>
      </c>
      <c r="U1893" s="8" t="n"/>
      <c r="V1893" s="14" t="n"/>
      <c r="W1893" s="14" t="n"/>
      <c r="X1893" s="7" t="inlineStr"/>
      <c r="Y1893" s="7" t="inlineStr"/>
    </row>
    <row r="1894">
      <c r="A1894" s="7" t="n">
        <v>3003</v>
      </c>
      <c r="B1894" s="12" t="inlineStr">
        <is>
          <t>0746507426140</t>
        </is>
      </c>
      <c r="C1894" s="7" t="inlineStr">
        <is>
          <t>FITA DE KINESIO 5CM X 5M PRETA</t>
        </is>
      </c>
      <c r="D1894" s="7" t="inlineStr">
        <is>
          <t>UTENSILIOS</t>
        </is>
      </c>
      <c r="E1894" s="7" t="inlineStr">
        <is>
          <t>C</t>
        </is>
      </c>
      <c r="F1894" s="13" t="n">
        <v>1</v>
      </c>
      <c r="G1894" s="13" t="n">
        <v>1</v>
      </c>
      <c r="H1894" s="8" t="n">
        <v>20.93</v>
      </c>
      <c r="I1894" s="8" t="n">
        <v>20.93</v>
      </c>
      <c r="J1894" s="8" t="n">
        <v>20.93</v>
      </c>
      <c r="K1894" s="8" t="n"/>
      <c r="L1894" s="8" t="n"/>
      <c r="M1894" s="8" t="n"/>
      <c r="N1894" s="8" t="n"/>
      <c r="O1894" s="8" t="n"/>
      <c r="P1894" s="8" t="n"/>
      <c r="Q1894" s="8" t="n"/>
      <c r="R1894" s="8" t="n"/>
      <c r="S1894" s="8" t="n"/>
      <c r="T1894" s="7" t="inlineStr">
        <is>
          <t>SEM COTAÇÃO</t>
        </is>
      </c>
      <c r="U1894" s="8" t="n"/>
      <c r="V1894" s="14" t="n"/>
      <c r="W1894" s="14" t="n"/>
      <c r="X1894" s="7" t="inlineStr"/>
      <c r="Y1894" s="7" t="inlineStr"/>
    </row>
    <row r="1895">
      <c r="A1895" s="7" t="n">
        <v>3033</v>
      </c>
      <c r="B1895" s="12" t="inlineStr">
        <is>
          <t>705333487985</t>
        </is>
      </c>
      <c r="C1895" s="7" t="inlineStr">
        <is>
          <t>FITA DE KINESIO 5CM X 5M ROSA</t>
        </is>
      </c>
      <c r="D1895" s="7" t="inlineStr">
        <is>
          <t>UTENSILIOS</t>
        </is>
      </c>
      <c r="E1895" s="7" t="inlineStr">
        <is>
          <t>B</t>
        </is>
      </c>
      <c r="F1895" s="13" t="n">
        <v>2</v>
      </c>
      <c r="G1895" s="13" t="n">
        <v>2</v>
      </c>
      <c r="H1895" s="8" t="n">
        <v>20.92</v>
      </c>
      <c r="I1895" s="8" t="n">
        <v>20.92</v>
      </c>
      <c r="J1895" s="8" t="n">
        <v>20.92</v>
      </c>
      <c r="K1895" s="8" t="n"/>
      <c r="L1895" s="8" t="n"/>
      <c r="M1895" s="8" t="n"/>
      <c r="N1895" s="8" t="n"/>
      <c r="O1895" s="8" t="n"/>
      <c r="P1895" s="8" t="n"/>
      <c r="Q1895" s="8" t="n"/>
      <c r="R1895" s="8" t="n"/>
      <c r="S1895" s="8" t="n"/>
      <c r="T1895" s="7" t="inlineStr">
        <is>
          <t>SEM COTAÇÃO</t>
        </is>
      </c>
      <c r="U1895" s="8" t="n"/>
      <c r="V1895" s="14" t="n"/>
      <c r="W1895" s="14" t="n"/>
      <c r="X1895" s="7" t="inlineStr"/>
      <c r="Y1895" s="7" t="inlineStr"/>
    </row>
    <row r="1896">
      <c r="A1896" s="7" t="n">
        <v>616141</v>
      </c>
      <c r="B1896" s="12" t="inlineStr">
        <is>
          <t>7899838832012</t>
        </is>
      </c>
      <c r="C1896" s="7" t="inlineStr">
        <is>
          <t>FITA DE KINESIO 5CM X 5M VERMELHA</t>
        </is>
      </c>
      <c r="D1896" s="7" t="inlineStr">
        <is>
          <t>ORTOPEDICO</t>
        </is>
      </c>
      <c r="E1896" s="7" t="inlineStr">
        <is>
          <t>C</t>
        </is>
      </c>
      <c r="F1896" s="13" t="n">
        <v>1</v>
      </c>
      <c r="G1896" s="13" t="n">
        <v>1</v>
      </c>
      <c r="H1896" s="8" t="n">
        <v>18.69</v>
      </c>
      <c r="I1896" s="8" t="n">
        <v>18.69</v>
      </c>
      <c r="J1896" s="8" t="n">
        <v>18.69</v>
      </c>
      <c r="K1896" s="8" t="n">
        <v>19.89</v>
      </c>
      <c r="L1896" s="8" t="n"/>
      <c r="M1896" s="8" t="n"/>
      <c r="N1896" s="15" t="n">
        <v>19.67</v>
      </c>
      <c r="O1896" s="8" t="n"/>
      <c r="P1896" s="8" t="n"/>
      <c r="Q1896" s="8" t="n"/>
      <c r="R1896" s="8" t="n"/>
      <c r="S1896" s="8" t="n"/>
      <c r="T1896" s="7" t="inlineStr">
        <is>
          <t>CENTROFARMA</t>
        </is>
      </c>
      <c r="U1896" s="8" t="n">
        <v>19.67</v>
      </c>
      <c r="V1896" s="14">
        <f>U1896/J1896-1</f>
        <v/>
      </c>
      <c r="W1896" s="14">
        <f>U1896/H1896-1</f>
        <v/>
      </c>
      <c r="X1896" s="16" t="inlineStr">
        <is>
          <t>ACIMA +5.2%</t>
        </is>
      </c>
      <c r="Y1896" s="7" t="inlineStr"/>
    </row>
    <row r="1897">
      <c r="A1897" s="7" t="n">
        <v>671121</v>
      </c>
      <c r="B1897" s="12" t="inlineStr">
        <is>
          <t>7899828214019</t>
        </is>
      </c>
      <c r="C1897" s="7" t="inlineStr">
        <is>
          <t>FITA KINES 5MX5CM BEGE</t>
        </is>
      </c>
      <c r="D1897" s="7" t="inlineStr">
        <is>
          <t>ORTOPEDICO</t>
        </is>
      </c>
      <c r="E1897" s="7" t="inlineStr">
        <is>
          <t>C</t>
        </is>
      </c>
      <c r="F1897" s="13" t="n">
        <v>2</v>
      </c>
      <c r="G1897" s="13" t="n">
        <v>2</v>
      </c>
      <c r="H1897" s="8" t="n">
        <v>21.99</v>
      </c>
      <c r="I1897" s="8" t="n">
        <v>21.99</v>
      </c>
      <c r="J1897" s="8" t="n">
        <v>21.99</v>
      </c>
      <c r="K1897" s="8" t="n"/>
      <c r="L1897" s="8" t="n"/>
      <c r="M1897" s="8" t="n"/>
      <c r="N1897" s="8" t="n">
        <v>27.32</v>
      </c>
      <c r="O1897" s="8" t="n"/>
      <c r="P1897" s="15" t="n">
        <v>24.46</v>
      </c>
      <c r="Q1897" s="8" t="n"/>
      <c r="R1897" s="8" t="n"/>
      <c r="S1897" s="8" t="n"/>
      <c r="T1897" s="7" t="inlineStr">
        <is>
          <t>NAZARIA</t>
        </is>
      </c>
      <c r="U1897" s="8" t="n">
        <v>24.46</v>
      </c>
      <c r="V1897" s="14">
        <f>U1897/J1897-1</f>
        <v/>
      </c>
      <c r="W1897" s="14">
        <f>U1897/H1897-1</f>
        <v/>
      </c>
      <c r="X1897" s="16" t="inlineStr">
        <is>
          <t>ACIMA +11.2%</t>
        </is>
      </c>
      <c r="Y1897" s="7" t="inlineStr">
        <is>
          <t>NAZARIA: estoque parcial (1 un)</t>
        </is>
      </c>
    </row>
    <row r="1898">
      <c r="A1898" s="7" t="n">
        <v>591031</v>
      </c>
      <c r="B1898" s="12" t="inlineStr">
        <is>
          <t>7899838832005</t>
        </is>
      </c>
      <c r="C1898" s="7" t="inlineStr">
        <is>
          <t>FITA KINESIO ROLO 5CMX5M AZUL HC042</t>
        </is>
      </c>
      <c r="D1898" s="7" t="inlineStr">
        <is>
          <t>UTENSILIOS</t>
        </is>
      </c>
      <c r="E1898" s="7" t="inlineStr">
        <is>
          <t>B</t>
        </is>
      </c>
      <c r="F1898" s="13" t="n">
        <v>2</v>
      </c>
      <c r="G1898" s="13" t="n">
        <v>2</v>
      </c>
      <c r="H1898" s="8" t="n">
        <v>20.43</v>
      </c>
      <c r="I1898" s="8" t="n">
        <v>19.65</v>
      </c>
      <c r="J1898" s="8" t="n">
        <v>19.65</v>
      </c>
      <c r="K1898" s="15" t="n">
        <v>20.43</v>
      </c>
      <c r="L1898" s="8" t="n"/>
      <c r="M1898" s="8" t="n"/>
      <c r="N1898" s="8" t="n"/>
      <c r="O1898" s="8" t="n"/>
      <c r="P1898" s="8" t="n"/>
      <c r="Q1898" s="8" t="n"/>
      <c r="R1898" s="8" t="n"/>
      <c r="S1898" s="8" t="n"/>
      <c r="T1898" s="7" t="inlineStr">
        <is>
          <t>DIMEC</t>
        </is>
      </c>
      <c r="U1898" s="8" t="n">
        <v>20.43</v>
      </c>
      <c r="V1898" s="14">
        <f>U1898/J1898-1</f>
        <v/>
      </c>
      <c r="W1898" s="14">
        <f>U1898/H1898-1</f>
        <v/>
      </c>
      <c r="X1898" s="17" t="inlineStr">
        <is>
          <t>OK (≤ últ. compra)</t>
        </is>
      </c>
      <c r="Y1898" s="7" t="inlineStr"/>
    </row>
    <row r="1899">
      <c r="A1899" s="7" t="n">
        <v>594901</v>
      </c>
      <c r="B1899" s="12" t="inlineStr">
        <is>
          <t>7899838831985</t>
        </is>
      </c>
      <c r="C1899" s="7" t="inlineStr">
        <is>
          <t>FITA KINESIO ROLO 5CMX5M PRETA HC040</t>
        </is>
      </c>
      <c r="D1899" s="7" t="inlineStr">
        <is>
          <t>ORTOPEDICO</t>
        </is>
      </c>
      <c r="E1899" s="7" t="inlineStr">
        <is>
          <t>C</t>
        </is>
      </c>
      <c r="F1899" s="13" t="n">
        <v>1</v>
      </c>
      <c r="G1899" s="13" t="n">
        <v>1</v>
      </c>
      <c r="H1899" s="8" t="n">
        <v>23.3</v>
      </c>
      <c r="I1899" s="8" t="n">
        <v>23.3</v>
      </c>
      <c r="J1899" s="8" t="n">
        <v>23.3</v>
      </c>
      <c r="K1899" s="15" t="n">
        <v>20.48</v>
      </c>
      <c r="L1899" s="8" t="n"/>
      <c r="M1899" s="8" t="n"/>
      <c r="N1899" s="8" t="n">
        <v>22.56</v>
      </c>
      <c r="O1899" s="8" t="n"/>
      <c r="P1899" s="8" t="n"/>
      <c r="Q1899" s="8" t="n"/>
      <c r="R1899" s="8" t="n"/>
      <c r="S1899" s="8" t="n"/>
      <c r="T1899" s="7" t="inlineStr">
        <is>
          <t>DIMEC</t>
        </is>
      </c>
      <c r="U1899" s="8" t="n">
        <v>20.48</v>
      </c>
      <c r="V1899" s="14">
        <f>U1899/J1899-1</f>
        <v/>
      </c>
      <c r="W1899" s="14">
        <f>U1899/H1899-1</f>
        <v/>
      </c>
      <c r="X1899" s="17" t="inlineStr">
        <is>
          <t>OK (≤ menor hist.)</t>
        </is>
      </c>
      <c r="Y1899" s="7" t="inlineStr"/>
    </row>
    <row r="1900">
      <c r="A1900" s="7" t="n">
        <v>656551</v>
      </c>
      <c r="B1900" s="12" t="inlineStr">
        <is>
          <t>7891040071791</t>
        </is>
      </c>
      <c r="C1900" s="7" t="inlineStr">
        <is>
          <t>FITA MICROP NEXCARE BEGE 12MMX4,5M</t>
        </is>
      </c>
      <c r="D1900" s="7" t="inlineStr">
        <is>
          <t>CURATIVO</t>
        </is>
      </c>
      <c r="E1900" s="7" t="inlineStr">
        <is>
          <t>C</t>
        </is>
      </c>
      <c r="F1900" s="13" t="n">
        <v>1</v>
      </c>
      <c r="G1900" s="13" t="n">
        <v>1</v>
      </c>
      <c r="H1900" s="8" t="n">
        <v>5.045</v>
      </c>
      <c r="I1900" s="8" t="n">
        <v>5.045</v>
      </c>
      <c r="J1900" s="8" t="n">
        <v>5.045</v>
      </c>
      <c r="K1900" s="8" t="n"/>
      <c r="L1900" s="8" t="n"/>
      <c r="M1900" s="8" t="n"/>
      <c r="N1900" s="8" t="n"/>
      <c r="O1900" s="8" t="n"/>
      <c r="P1900" s="8" t="n">
        <v>7.4</v>
      </c>
      <c r="Q1900" s="8" t="n"/>
      <c r="R1900" s="8" t="n"/>
      <c r="S1900" s="8" t="n"/>
      <c r="T1900" s="7" t="inlineStr">
        <is>
          <t>SEM COTAÇÃO</t>
        </is>
      </c>
      <c r="U1900" s="8" t="n"/>
      <c r="V1900" s="14" t="n"/>
      <c r="W1900" s="14" t="n"/>
      <c r="X1900" s="7" t="inlineStr"/>
      <c r="Y1900" s="7" t="inlineStr">
        <is>
          <t>NAZARIA: sem estoque</t>
        </is>
      </c>
    </row>
    <row r="1901">
      <c r="A1901" s="7" t="n">
        <v>657661</v>
      </c>
      <c r="B1901" s="12" t="inlineStr">
        <is>
          <t>7891040248315</t>
        </is>
      </c>
      <c r="C1901" s="7" t="inlineStr">
        <is>
          <t>FITA MICROP NEXCARE BRANCA 25MMX1,35M</t>
        </is>
      </c>
      <c r="D1901" s="7" t="inlineStr">
        <is>
          <t>CURATIVO</t>
        </is>
      </c>
      <c r="E1901" s="7" t="inlineStr">
        <is>
          <t>C</t>
        </is>
      </c>
      <c r="F1901" s="13" t="n">
        <v>1</v>
      </c>
      <c r="G1901" s="13" t="n">
        <v>1</v>
      </c>
      <c r="H1901" s="8" t="n">
        <v>4.865</v>
      </c>
      <c r="I1901" s="8" t="n">
        <v>4.865</v>
      </c>
      <c r="J1901" s="8" t="n">
        <v>4.865</v>
      </c>
      <c r="K1901" s="8" t="n"/>
      <c r="L1901" s="8" t="n"/>
      <c r="M1901" s="8" t="n"/>
      <c r="N1901" s="8" t="n"/>
      <c r="O1901" s="8" t="n"/>
      <c r="P1901" s="8" t="n">
        <v>6.59</v>
      </c>
      <c r="Q1901" s="8" t="n"/>
      <c r="R1901" s="8" t="n"/>
      <c r="S1901" s="8" t="n"/>
      <c r="T1901" s="7" t="inlineStr">
        <is>
          <t>SEM COTAÇÃO</t>
        </is>
      </c>
      <c r="U1901" s="8" t="n"/>
      <c r="V1901" s="14" t="n"/>
      <c r="W1901" s="14" t="n"/>
      <c r="X1901" s="7" t="inlineStr"/>
      <c r="Y1901" s="7" t="inlineStr">
        <is>
          <t>NAZARIA: sem estoque</t>
        </is>
      </c>
    </row>
    <row r="1902">
      <c r="A1902" s="7" t="n">
        <v>547461</v>
      </c>
      <c r="B1902" s="12" t="inlineStr">
        <is>
          <t>7896544900103</t>
        </is>
      </c>
      <c r="C1902" s="7" t="inlineStr">
        <is>
          <t>FITA MICROPORO BRANCO 2,5CM X 0,90MTS</t>
        </is>
      </c>
      <c r="D1902" s="7" t="inlineStr">
        <is>
          <t>CURATIVO</t>
        </is>
      </c>
      <c r="E1902" s="7" t="inlineStr">
        <is>
          <t>A</t>
        </is>
      </c>
      <c r="F1902" s="13" t="n">
        <v>28</v>
      </c>
      <c r="G1902" s="13" t="n">
        <v>28</v>
      </c>
      <c r="H1902" s="8" t="n">
        <v>1.86</v>
      </c>
      <c r="I1902" s="8" t="n">
        <v>1.86</v>
      </c>
      <c r="J1902" s="8" t="n">
        <v>1.86</v>
      </c>
      <c r="K1902" s="15" t="n">
        <v>1.86</v>
      </c>
      <c r="L1902" s="8" t="n"/>
      <c r="M1902" s="8" t="n"/>
      <c r="N1902" s="8" t="n">
        <v>2.14</v>
      </c>
      <c r="O1902" s="8" t="n"/>
      <c r="P1902" s="8" t="n">
        <v>1.98</v>
      </c>
      <c r="Q1902" s="8" t="n">
        <v>2.63</v>
      </c>
      <c r="R1902" s="8" t="n">
        <v>2.29</v>
      </c>
      <c r="S1902" s="8" t="n"/>
      <c r="T1902" s="7" t="inlineStr">
        <is>
          <t>DIMEC</t>
        </is>
      </c>
      <c r="U1902" s="8" t="n">
        <v>1.86</v>
      </c>
      <c r="V1902" s="14">
        <f>U1902/J1902-1</f>
        <v/>
      </c>
      <c r="W1902" s="14">
        <f>U1902/H1902-1</f>
        <v/>
      </c>
      <c r="X1902" s="17" t="inlineStr">
        <is>
          <t>OK (≤ menor hist.)</t>
        </is>
      </c>
      <c r="Y1902" s="7" t="inlineStr"/>
    </row>
    <row r="1903">
      <c r="A1903" s="7" t="n">
        <v>541021</v>
      </c>
      <c r="B1903" s="12" t="inlineStr">
        <is>
          <t>7896544900158</t>
        </is>
      </c>
      <c r="C1903" s="7" t="inlineStr">
        <is>
          <t>FITA MICROPOROSA BRANCO 10 X 4,5</t>
        </is>
      </c>
      <c r="D1903" s="7" t="inlineStr">
        <is>
          <t>CURATIVO</t>
        </is>
      </c>
      <c r="E1903" s="7" t="inlineStr">
        <is>
          <t>A</t>
        </is>
      </c>
      <c r="F1903" s="13" t="n">
        <v>4</v>
      </c>
      <c r="G1903" s="13" t="n">
        <v>4</v>
      </c>
      <c r="H1903" s="8" t="n">
        <v>8.1</v>
      </c>
      <c r="I1903" s="8" t="n">
        <v>8.1</v>
      </c>
      <c r="J1903" s="8" t="n">
        <v>8.1</v>
      </c>
      <c r="K1903" s="15" t="n">
        <v>8.1</v>
      </c>
      <c r="L1903" s="8" t="n"/>
      <c r="M1903" s="8" t="n"/>
      <c r="N1903" s="8" t="n">
        <v>9.880000000000001</v>
      </c>
      <c r="O1903" s="8" t="n"/>
      <c r="P1903" s="8" t="n">
        <v>8.720000000000001</v>
      </c>
      <c r="Q1903" s="8" t="n">
        <v>10.52</v>
      </c>
      <c r="R1903" s="8" t="n"/>
      <c r="S1903" s="8" t="n"/>
      <c r="T1903" s="7" t="inlineStr">
        <is>
          <t>DIMEC</t>
        </is>
      </c>
      <c r="U1903" s="8" t="n">
        <v>8.1</v>
      </c>
      <c r="V1903" s="14">
        <f>U1903/J1903-1</f>
        <v/>
      </c>
      <c r="W1903" s="14">
        <f>U1903/H1903-1</f>
        <v/>
      </c>
      <c r="X1903" s="17" t="inlineStr">
        <is>
          <t>OK (≤ menor hist.)</t>
        </is>
      </c>
      <c r="Y1903" s="7" t="inlineStr"/>
    </row>
    <row r="1904">
      <c r="A1904" s="7" t="n">
        <v>541381</v>
      </c>
      <c r="B1904" s="12" t="inlineStr">
        <is>
          <t>7896544900165</t>
        </is>
      </c>
      <c r="C1904" s="7" t="inlineStr">
        <is>
          <t>FITA MICROPOROSA BRANCO 5,0CM X 4,5MTS UND QTD. 4.00 UN</t>
        </is>
      </c>
      <c r="D1904" s="7" t="inlineStr">
        <is>
          <t>CURATIVO</t>
        </is>
      </c>
      <c r="E1904" s="7" t="inlineStr">
        <is>
          <t>A</t>
        </is>
      </c>
      <c r="F1904" s="13" t="n">
        <v>33</v>
      </c>
      <c r="G1904" s="13" t="n">
        <v>33</v>
      </c>
      <c r="H1904" s="8" t="n">
        <v>5.02</v>
      </c>
      <c r="I1904" s="8" t="n">
        <v>5.02</v>
      </c>
      <c r="J1904" s="8" t="n">
        <v>5.02</v>
      </c>
      <c r="K1904" s="15" t="n">
        <v>5.02</v>
      </c>
      <c r="L1904" s="8" t="n"/>
      <c r="M1904" s="8" t="n"/>
      <c r="N1904" s="8" t="n">
        <v>5.66</v>
      </c>
      <c r="O1904" s="8" t="n"/>
      <c r="P1904" s="8" t="n">
        <v>5.4</v>
      </c>
      <c r="Q1904" s="8" t="n">
        <v>6.51</v>
      </c>
      <c r="R1904" s="8" t="n">
        <v>6.13</v>
      </c>
      <c r="S1904" s="8" t="n"/>
      <c r="T1904" s="7" t="inlineStr">
        <is>
          <t>DIMEC</t>
        </is>
      </c>
      <c r="U1904" s="8" t="n">
        <v>5.02</v>
      </c>
      <c r="V1904" s="14">
        <f>U1904/J1904-1</f>
        <v/>
      </c>
      <c r="W1904" s="14">
        <f>U1904/H1904-1</f>
        <v/>
      </c>
      <c r="X1904" s="17" t="inlineStr">
        <is>
          <t>OK (≤ menor hist.)</t>
        </is>
      </c>
      <c r="Y1904" s="7" t="inlineStr"/>
    </row>
    <row r="1905">
      <c r="A1905" s="7" t="n">
        <v>13903</v>
      </c>
      <c r="B1905" s="12" t="inlineStr">
        <is>
          <t>7898563770040</t>
        </is>
      </c>
      <c r="C1905" s="7" t="inlineStr">
        <is>
          <t>FITA MICROPOROSA BRANCO 5X4,5</t>
        </is>
      </c>
      <c r="D1905" s="7" t="inlineStr">
        <is>
          <t>CURATIVO</t>
        </is>
      </c>
      <c r="E1905" s="7" t="inlineStr">
        <is>
          <t>C</t>
        </is>
      </c>
      <c r="F1905" s="13" t="n">
        <v>2</v>
      </c>
      <c r="G1905" s="13" t="n">
        <v>2</v>
      </c>
      <c r="H1905" s="8" t="n">
        <v>4.25</v>
      </c>
      <c r="I1905" s="8" t="n">
        <v>4.25</v>
      </c>
      <c r="J1905" s="8" t="n">
        <v>4.25</v>
      </c>
      <c r="K1905" s="8" t="n"/>
      <c r="L1905" s="8" t="n"/>
      <c r="M1905" s="8" t="n"/>
      <c r="N1905" s="8" t="n"/>
      <c r="O1905" s="8" t="n"/>
      <c r="P1905" s="8" t="n"/>
      <c r="Q1905" s="8" t="n"/>
      <c r="R1905" s="8" t="n"/>
      <c r="S1905" s="8" t="n"/>
      <c r="T1905" s="7" t="inlineStr">
        <is>
          <t>SEM COTAÇÃO</t>
        </is>
      </c>
      <c r="U1905" s="8" t="n"/>
      <c r="V1905" s="14" t="n"/>
      <c r="W1905" s="14" t="n"/>
      <c r="X1905" s="7" t="inlineStr"/>
      <c r="Y1905" s="7" t="inlineStr"/>
    </row>
    <row r="1906">
      <c r="A1906" s="7" t="n">
        <v>596631</v>
      </c>
      <c r="B1906" s="12" t="inlineStr">
        <is>
          <t>7891800665529</t>
        </is>
      </c>
      <c r="C1906" s="7" t="inlineStr">
        <is>
          <t>FITA MICROPOROSA SALVELOX 1,2CMX4,5M</t>
        </is>
      </c>
      <c r="D1906" s="7" t="inlineStr">
        <is>
          <t>CURATIVO</t>
        </is>
      </c>
      <c r="E1906" s="7" t="inlineStr">
        <is>
          <t>C</t>
        </is>
      </c>
      <c r="F1906" s="13" t="n">
        <v>7</v>
      </c>
      <c r="G1906" s="13" t="n">
        <v>7</v>
      </c>
      <c r="H1906" s="8" t="n">
        <v>2.8038</v>
      </c>
      <c r="I1906" s="8" t="n">
        <v>2.65</v>
      </c>
      <c r="J1906" s="8" t="n">
        <v>2.752533333333333</v>
      </c>
      <c r="K1906" s="8" t="n"/>
      <c r="L1906" s="8" t="n"/>
      <c r="M1906" s="8" t="n"/>
      <c r="N1906" s="8" t="n"/>
      <c r="O1906" s="8" t="n"/>
      <c r="P1906" s="15" t="n">
        <v>2.7257</v>
      </c>
      <c r="Q1906" s="8" t="n"/>
      <c r="R1906" s="8" t="n"/>
      <c r="S1906" s="8" t="n"/>
      <c r="T1906" s="7" t="inlineStr">
        <is>
          <t>NAZARIA</t>
        </is>
      </c>
      <c r="U1906" s="8" t="n">
        <v>2.7257</v>
      </c>
      <c r="V1906" s="14">
        <f>U1906/J1906-1</f>
        <v/>
      </c>
      <c r="W1906" s="14">
        <f>U1906/H1906-1</f>
        <v/>
      </c>
      <c r="X1906" s="17" t="inlineStr">
        <is>
          <t>OK (≤ últ. compra)</t>
        </is>
      </c>
      <c r="Y1906" s="7" t="inlineStr"/>
    </row>
    <row r="1907">
      <c r="A1907" s="7" t="n">
        <v>552921</v>
      </c>
      <c r="B1907" s="12" t="inlineStr">
        <is>
          <t>7891800628371</t>
        </is>
      </c>
      <c r="C1907" s="7" t="inlineStr">
        <is>
          <t>FITA MICROPOROSA SALVELOX 1,2CMX4,5M</t>
        </is>
      </c>
      <c r="D1907" s="7" t="inlineStr">
        <is>
          <t>CURATIVO</t>
        </is>
      </c>
      <c r="E1907" s="7" t="inlineStr">
        <is>
          <t>C</t>
        </is>
      </c>
      <c r="F1907" s="13" t="n">
        <v>1</v>
      </c>
      <c r="G1907" s="13" t="n">
        <v>1</v>
      </c>
      <c r="H1907" s="8" t="n">
        <v>2.08</v>
      </c>
      <c r="I1907" s="8" t="n">
        <v>2.08</v>
      </c>
      <c r="J1907" s="8" t="n">
        <v>2.08</v>
      </c>
      <c r="K1907" s="8" t="n"/>
      <c r="L1907" s="8" t="n"/>
      <c r="M1907" s="8" t="n"/>
      <c r="N1907" s="8" t="n"/>
      <c r="O1907" s="8" t="n"/>
      <c r="P1907" s="8" t="n"/>
      <c r="Q1907" s="8" t="n"/>
      <c r="R1907" s="8" t="n"/>
      <c r="S1907" s="8" t="n"/>
      <c r="T1907" s="7" t="inlineStr">
        <is>
          <t>SEM COTAÇÃO</t>
        </is>
      </c>
      <c r="U1907" s="8" t="n"/>
      <c r="V1907" s="14" t="n"/>
      <c r="W1907" s="14" t="n"/>
      <c r="X1907" s="7" t="inlineStr"/>
      <c r="Y1907" s="7" t="inlineStr"/>
    </row>
    <row r="1908">
      <c r="A1908" s="7" t="n">
        <v>596641</v>
      </c>
      <c r="B1908" s="12" t="inlineStr">
        <is>
          <t>7891800665512</t>
        </is>
      </c>
      <c r="C1908" s="7" t="inlineStr">
        <is>
          <t>FITA MICROPOROSA SALVELOX 2,5CMX4,5M</t>
        </is>
      </c>
      <c r="D1908" s="7" t="inlineStr">
        <is>
          <t>CURATIVO</t>
        </is>
      </c>
      <c r="E1908" s="7" t="inlineStr">
        <is>
          <t>C</t>
        </is>
      </c>
      <c r="F1908" s="13" t="n">
        <v>1</v>
      </c>
      <c r="G1908" s="13" t="n">
        <v>1</v>
      </c>
      <c r="H1908" s="8" t="n">
        <v>3.2244</v>
      </c>
      <c r="I1908" s="8" t="n">
        <v>3.2244</v>
      </c>
      <c r="J1908" s="8" t="n">
        <v>3.224400000000001</v>
      </c>
      <c r="K1908" s="8" t="n"/>
      <c r="L1908" s="8" t="n"/>
      <c r="M1908" s="8" t="n"/>
      <c r="N1908" s="8" t="n"/>
      <c r="O1908" s="8" t="n"/>
      <c r="P1908" s="15" t="n">
        <v>3.8606</v>
      </c>
      <c r="Q1908" s="8" t="n"/>
      <c r="R1908" s="8" t="n"/>
      <c r="S1908" s="8" t="n"/>
      <c r="T1908" s="7" t="inlineStr">
        <is>
          <t>NAZARIA</t>
        </is>
      </c>
      <c r="U1908" s="8" t="n">
        <v>3.8606</v>
      </c>
      <c r="V1908" s="14">
        <f>U1908/J1908-1</f>
        <v/>
      </c>
      <c r="W1908" s="14">
        <f>U1908/H1908-1</f>
        <v/>
      </c>
      <c r="X1908" s="16" t="inlineStr">
        <is>
          <t>ACIMA +19.7%</t>
        </is>
      </c>
      <c r="Y1908" s="7" t="inlineStr"/>
    </row>
    <row r="1909">
      <c r="A1909" s="7" t="n">
        <v>602961</v>
      </c>
      <c r="B1909" s="12" t="inlineStr">
        <is>
          <t>7891800665536</t>
        </is>
      </c>
      <c r="C1909" s="7" t="inlineStr">
        <is>
          <t>FITA MICROPOROSA SALVELOX 5CMX4,5M</t>
        </is>
      </c>
      <c r="D1909" s="7" t="inlineStr">
        <is>
          <t>CURATIVO</t>
        </is>
      </c>
      <c r="E1909" s="7" t="inlineStr">
        <is>
          <t>C</t>
        </is>
      </c>
      <c r="F1909" s="13" t="n">
        <v>2</v>
      </c>
      <c r="G1909" s="13" t="n">
        <v>2</v>
      </c>
      <c r="H1909" s="8" t="n">
        <v>5.2318</v>
      </c>
      <c r="I1909" s="8" t="n">
        <v>5.2318</v>
      </c>
      <c r="J1909" s="8" t="n">
        <v>5.2318</v>
      </c>
      <c r="K1909" s="8" t="n"/>
      <c r="L1909" s="8" t="n"/>
      <c r="M1909" s="8" t="n"/>
      <c r="N1909" s="8" t="n"/>
      <c r="O1909" s="8" t="n"/>
      <c r="P1909" s="15" t="n">
        <v>6.2662</v>
      </c>
      <c r="Q1909" s="8" t="n"/>
      <c r="R1909" s="8" t="n"/>
      <c r="S1909" s="8" t="n"/>
      <c r="T1909" s="7" t="inlineStr">
        <is>
          <t>NAZARIA</t>
        </is>
      </c>
      <c r="U1909" s="8" t="n">
        <v>6.2662</v>
      </c>
      <c r="V1909" s="14">
        <f>U1909/J1909-1</f>
        <v/>
      </c>
      <c r="W1909" s="14">
        <f>U1909/H1909-1</f>
        <v/>
      </c>
      <c r="X1909" s="16" t="inlineStr">
        <is>
          <t>ACIMA +19.8%</t>
        </is>
      </c>
      <c r="Y1909" s="7" t="inlineStr"/>
    </row>
    <row r="1910">
      <c r="A1910" s="7" t="n">
        <v>645451</v>
      </c>
      <c r="B1910" s="12" t="inlineStr">
        <is>
          <t>7898108641262</t>
        </is>
      </c>
      <c r="C1910" s="7" t="inlineStr">
        <is>
          <t>FITA MICROPOROSA SANFARMA 25MMX4,5M</t>
        </is>
      </c>
      <c r="D1910" s="7" t="inlineStr">
        <is>
          <t>CURATIVO</t>
        </is>
      </c>
      <c r="E1910" s="7" t="inlineStr">
        <is>
          <t>C</t>
        </is>
      </c>
      <c r="F1910" s="13" t="n">
        <v>2</v>
      </c>
      <c r="G1910" s="13" t="n">
        <v>2</v>
      </c>
      <c r="H1910" s="8" t="n">
        <v>4.09</v>
      </c>
      <c r="I1910" s="8" t="n">
        <v>4.09</v>
      </c>
      <c r="J1910" s="8" t="n">
        <v>4.09</v>
      </c>
      <c r="K1910" s="8" t="n"/>
      <c r="L1910" s="8" t="n">
        <v>4.65</v>
      </c>
      <c r="M1910" s="8" t="n"/>
      <c r="N1910" s="8" t="n"/>
      <c r="O1910" s="8" t="n"/>
      <c r="P1910" s="8" t="n">
        <v>3.952</v>
      </c>
      <c r="Q1910" s="8" t="n"/>
      <c r="R1910" s="15" t="n">
        <v>3.89</v>
      </c>
      <c r="S1910" s="8" t="n"/>
      <c r="T1910" s="7" t="inlineStr">
        <is>
          <t>BRASFARMA</t>
        </is>
      </c>
      <c r="U1910" s="8" t="n">
        <v>3.89</v>
      </c>
      <c r="V1910" s="14">
        <f>U1910/J1910-1</f>
        <v/>
      </c>
      <c r="W1910" s="14">
        <f>U1910/H1910-1</f>
        <v/>
      </c>
      <c r="X1910" s="17" t="inlineStr">
        <is>
          <t>OK (≤ menor hist.)</t>
        </is>
      </c>
      <c r="Y1910" s="7" t="inlineStr">
        <is>
          <t>NAZARIA: sem estoque</t>
        </is>
      </c>
    </row>
    <row r="1911">
      <c r="A1911" s="7" t="n">
        <v>648341</v>
      </c>
      <c r="B1911" s="12" t="inlineStr">
        <is>
          <t>7898108640982</t>
        </is>
      </c>
      <c r="C1911" s="7" t="inlineStr">
        <is>
          <t>FITA MICROPOROSA SANFARMA 50MMX4,5M</t>
        </is>
      </c>
      <c r="D1911" s="7" t="inlineStr">
        <is>
          <t>CURATIVO</t>
        </is>
      </c>
      <c r="E1911" s="7" t="inlineStr">
        <is>
          <t>C</t>
        </is>
      </c>
      <c r="F1911" s="13" t="n">
        <v>2</v>
      </c>
      <c r="G1911" s="13" t="n">
        <v>2</v>
      </c>
      <c r="H1911" s="8" t="n">
        <v>5.84</v>
      </c>
      <c r="I1911" s="8" t="n">
        <v>5.84</v>
      </c>
      <c r="J1911" s="8" t="n">
        <v>5.84</v>
      </c>
      <c r="K1911" s="8" t="n"/>
      <c r="L1911" s="8" t="n"/>
      <c r="M1911" s="8" t="n"/>
      <c r="N1911" s="8" t="n"/>
      <c r="O1911" s="8" t="n"/>
      <c r="P1911" s="8" t="n">
        <v>6.4505</v>
      </c>
      <c r="Q1911" s="8" t="n"/>
      <c r="R1911" s="15" t="n">
        <v>6.39</v>
      </c>
      <c r="S1911" s="8" t="n"/>
      <c r="T1911" s="7" t="inlineStr">
        <is>
          <t>BRASFARMA</t>
        </is>
      </c>
      <c r="U1911" s="8" t="n">
        <v>6.39</v>
      </c>
      <c r="V1911" s="14">
        <f>U1911/J1911-1</f>
        <v/>
      </c>
      <c r="W1911" s="14">
        <f>U1911/H1911-1</f>
        <v/>
      </c>
      <c r="X1911" s="16" t="inlineStr">
        <is>
          <t>ACIMA +9.4%</t>
        </is>
      </c>
      <c r="Y1911" s="7" t="inlineStr"/>
    </row>
    <row r="1912">
      <c r="A1912" s="7" t="n">
        <v>569941</v>
      </c>
      <c r="B1912" s="12" t="inlineStr"/>
      <c r="C1912" s="7" t="inlineStr">
        <is>
          <t>FITOMELITO 150G XPE</t>
        </is>
      </c>
      <c r="D1912" s="7" t="inlineStr">
        <is>
          <t>SIMILAR</t>
        </is>
      </c>
      <c r="E1912" s="7" t="inlineStr">
        <is>
          <t>A</t>
        </is>
      </c>
      <c r="F1912" s="13" t="n">
        <v>4</v>
      </c>
      <c r="G1912" s="13" t="n">
        <v>4</v>
      </c>
      <c r="H1912" s="8" t="n">
        <v>13.36</v>
      </c>
      <c r="I1912" s="8" t="n">
        <v>13.15</v>
      </c>
      <c r="J1912" s="8" t="n">
        <v>13.29</v>
      </c>
      <c r="K1912" s="8" t="n"/>
      <c r="L1912" s="8" t="n"/>
      <c r="M1912" s="8" t="n"/>
      <c r="N1912" s="8" t="n"/>
      <c r="O1912" s="8" t="n"/>
      <c r="P1912" s="8" t="n"/>
      <c r="Q1912" s="8" t="n"/>
      <c r="R1912" s="8" t="n"/>
      <c r="S1912" s="8" t="n"/>
      <c r="T1912" s="7" t="inlineStr">
        <is>
          <t>SEM COTAÇÃO</t>
        </is>
      </c>
      <c r="U1912" s="8" t="n"/>
      <c r="V1912" s="14" t="n"/>
      <c r="W1912" s="14" t="n"/>
      <c r="X1912" s="7" t="inlineStr"/>
      <c r="Y1912" s="7" t="inlineStr"/>
    </row>
    <row r="1913">
      <c r="A1913" s="7" t="n">
        <v>638951</v>
      </c>
      <c r="B1913" s="12" t="inlineStr"/>
      <c r="C1913" s="7" t="inlineStr">
        <is>
          <t>FITOMELITO SACHE FITOBEL 100G (FIT)</t>
        </is>
      </c>
      <c r="D1913" s="7" t="inlineStr">
        <is>
          <t>SIMILAR</t>
        </is>
      </c>
      <c r="E1913" s="7" t="inlineStr">
        <is>
          <t>C</t>
        </is>
      </c>
      <c r="F1913" s="13" t="n">
        <v>3</v>
      </c>
      <c r="G1913" s="13" t="n">
        <v>3</v>
      </c>
      <c r="H1913" s="8" t="n">
        <v>8.279999999999999</v>
      </c>
      <c r="I1913" s="8" t="n">
        <v>8.15</v>
      </c>
      <c r="J1913" s="8" t="n">
        <v>8.236666666666666</v>
      </c>
      <c r="K1913" s="8" t="n"/>
      <c r="L1913" s="8" t="n"/>
      <c r="M1913" s="8" t="n"/>
      <c r="N1913" s="8" t="n"/>
      <c r="O1913" s="8" t="n"/>
      <c r="P1913" s="8" t="n"/>
      <c r="Q1913" s="8" t="n"/>
      <c r="R1913" s="8" t="n"/>
      <c r="S1913" s="8" t="n"/>
      <c r="T1913" s="7" t="inlineStr">
        <is>
          <t>SEM COTAÇÃO</t>
        </is>
      </c>
      <c r="U1913" s="8" t="n"/>
      <c r="V1913" s="14" t="n"/>
      <c r="W1913" s="14" t="n"/>
      <c r="X1913" s="7" t="inlineStr"/>
      <c r="Y1913" s="7" t="inlineStr"/>
    </row>
    <row r="1914">
      <c r="A1914" s="7" t="n">
        <v>560921</v>
      </c>
      <c r="B1914" s="12" t="inlineStr"/>
      <c r="C1914" s="7" t="inlineStr">
        <is>
          <t>FITOMELITO SPR 35ML</t>
        </is>
      </c>
      <c r="D1914" s="7" t="inlineStr">
        <is>
          <t>SIMILAR</t>
        </is>
      </c>
      <c r="E1914" s="7" t="inlineStr">
        <is>
          <t>A</t>
        </is>
      </c>
      <c r="F1914" s="13" t="n">
        <v>28</v>
      </c>
      <c r="G1914" s="13" t="n">
        <v>28</v>
      </c>
      <c r="H1914" s="8" t="n">
        <v>11.16</v>
      </c>
      <c r="I1914" s="8" t="n">
        <v>10.99</v>
      </c>
      <c r="J1914" s="8" t="n">
        <v>11.10333333333333</v>
      </c>
      <c r="K1914" s="8" t="n"/>
      <c r="L1914" s="8" t="n"/>
      <c r="M1914" s="8" t="n"/>
      <c r="N1914" s="8" t="n"/>
      <c r="O1914" s="8" t="n"/>
      <c r="P1914" s="8" t="n"/>
      <c r="Q1914" s="8" t="n"/>
      <c r="R1914" s="8" t="n"/>
      <c r="S1914" s="8" t="n"/>
      <c r="T1914" s="7" t="inlineStr">
        <is>
          <t>SEM COTAÇÃO</t>
        </is>
      </c>
      <c r="U1914" s="8" t="n"/>
      <c r="V1914" s="14" t="n"/>
      <c r="W1914" s="14" t="n"/>
      <c r="X1914" s="7" t="inlineStr"/>
      <c r="Y1914" s="7" t="inlineStr"/>
    </row>
    <row r="1915">
      <c r="A1915" s="7" t="n">
        <v>625191</v>
      </c>
      <c r="B1915" s="12" t="inlineStr">
        <is>
          <t>7898211382151</t>
        </is>
      </c>
      <c r="C1915" s="7" t="inlineStr">
        <is>
          <t>FIXED REP DE PONTAS 30ML COCO</t>
        </is>
      </c>
      <c r="D1915" s="7" t="inlineStr">
        <is>
          <t>PERF/COSME</t>
        </is>
      </c>
      <c r="E1915" s="7" t="inlineStr">
        <is>
          <t>C</t>
        </is>
      </c>
      <c r="F1915" s="13" t="n">
        <v>4</v>
      </c>
      <c r="G1915" s="13" t="n">
        <v>4</v>
      </c>
      <c r="H1915" s="8" t="n">
        <v>5.59</v>
      </c>
      <c r="I1915" s="8" t="n">
        <v>5.59</v>
      </c>
      <c r="J1915" s="8" t="n">
        <v>5.59</v>
      </c>
      <c r="K1915" s="8" t="n"/>
      <c r="L1915" s="8" t="n"/>
      <c r="M1915" s="8" t="n"/>
      <c r="N1915" s="8" t="n"/>
      <c r="O1915" s="8" t="n"/>
      <c r="P1915" s="8" t="n"/>
      <c r="Q1915" s="8" t="n"/>
      <c r="R1915" s="8" t="n"/>
      <c r="S1915" s="8" t="n"/>
      <c r="T1915" s="7" t="inlineStr">
        <is>
          <t>SEM COTAÇÃO</t>
        </is>
      </c>
      <c r="U1915" s="8" t="n"/>
      <c r="V1915" s="14" t="n"/>
      <c r="W1915" s="14" t="n"/>
      <c r="X1915" s="7" t="inlineStr"/>
      <c r="Y1915" s="7" t="inlineStr"/>
    </row>
    <row r="1916">
      <c r="A1916" s="7" t="n">
        <v>96261</v>
      </c>
      <c r="B1916" s="12" t="inlineStr">
        <is>
          <t>7896004713649</t>
        </is>
      </c>
      <c r="C1916" s="7" t="inlineStr">
        <is>
          <t>FLAMADOR 50MG CX 24 CAP</t>
        </is>
      </c>
      <c r="D1916" s="7" t="inlineStr">
        <is>
          <t>SIMILAR</t>
        </is>
      </c>
      <c r="E1916" s="7" t="inlineStr">
        <is>
          <t>C</t>
        </is>
      </c>
      <c r="F1916" s="13" t="n">
        <v>1</v>
      </c>
      <c r="G1916" s="13" t="n">
        <v>1</v>
      </c>
      <c r="H1916" s="8" t="n">
        <v>9.960000000000001</v>
      </c>
      <c r="I1916" s="8" t="n">
        <v>9.960000000000001</v>
      </c>
      <c r="J1916" s="8" t="n">
        <v>9.960000000000001</v>
      </c>
      <c r="K1916" s="8" t="n"/>
      <c r="L1916" s="8" t="n"/>
      <c r="M1916" s="8" t="n"/>
      <c r="N1916" s="8" t="n"/>
      <c r="O1916" s="8" t="n"/>
      <c r="P1916" s="8" t="n"/>
      <c r="Q1916" s="8" t="n"/>
      <c r="R1916" s="8" t="n"/>
      <c r="S1916" s="8" t="n"/>
      <c r="T1916" s="7" t="inlineStr">
        <is>
          <t>SEM COTAÇÃO</t>
        </is>
      </c>
      <c r="U1916" s="8" t="n"/>
      <c r="V1916" s="14" t="n"/>
      <c r="W1916" s="14" t="n"/>
      <c r="X1916" s="7" t="inlineStr"/>
      <c r="Y1916" s="7" t="inlineStr"/>
    </row>
    <row r="1917">
      <c r="A1917" s="7" t="n">
        <v>355201</v>
      </c>
      <c r="B1917" s="12" t="inlineStr">
        <is>
          <t>7891106908313</t>
        </is>
      </c>
      <c r="C1917" s="7" t="inlineStr">
        <is>
          <t>FLANAX 550 MG COM 2CP(CARTELA)</t>
        </is>
      </c>
      <c r="D1917" s="7" t="inlineStr">
        <is>
          <t>RX</t>
        </is>
      </c>
      <c r="E1917" s="7" t="inlineStr">
        <is>
          <t>A</t>
        </is>
      </c>
      <c r="F1917" s="13" t="n">
        <v>15</v>
      </c>
      <c r="G1917" s="13" t="n">
        <v>15</v>
      </c>
      <c r="H1917" s="8" t="n">
        <v>4.42</v>
      </c>
      <c r="I1917" s="8" t="n">
        <v>4.42</v>
      </c>
      <c r="J1917" s="8" t="n">
        <v>4.42</v>
      </c>
      <c r="K1917" s="8" t="n"/>
      <c r="L1917" s="8" t="n"/>
      <c r="M1917" s="8" t="n"/>
      <c r="N1917" s="8" t="n"/>
      <c r="O1917" s="15" t="n">
        <v>56.02</v>
      </c>
      <c r="P1917" s="8" t="n">
        <v>57.8217</v>
      </c>
      <c r="Q1917" s="8" t="n"/>
      <c r="R1917" s="8" t="n"/>
      <c r="S1917" s="8" t="n"/>
      <c r="T1917" s="7" t="inlineStr">
        <is>
          <t>TAPAJOS</t>
        </is>
      </c>
      <c r="U1917" s="8" t="n">
        <v>56.02</v>
      </c>
      <c r="V1917" s="14">
        <f>U1917/J1917-1</f>
        <v/>
      </c>
      <c r="W1917" s="14">
        <f>U1917/H1917-1</f>
        <v/>
      </c>
      <c r="X1917" s="16" t="inlineStr">
        <is>
          <t>ACIMA +1167.4%</t>
        </is>
      </c>
      <c r="Y1917" s="7" t="inlineStr">
        <is>
          <t>TAPAJOS: conferir emb.; NAZARIA: conferir emb.</t>
        </is>
      </c>
    </row>
    <row r="1918">
      <c r="A1918" s="7" t="n">
        <v>355241</v>
      </c>
      <c r="B1918" s="12" t="inlineStr"/>
      <c r="C1918" s="7" t="inlineStr">
        <is>
          <t>FLANAX 550MG CX 10 COMP REV</t>
        </is>
      </c>
      <c r="D1918" s="7" t="inlineStr">
        <is>
          <t>RX - OTC</t>
        </is>
      </c>
      <c r="E1918" s="7" t="inlineStr">
        <is>
          <t>A</t>
        </is>
      </c>
      <c r="F1918" s="13" t="n">
        <v>7</v>
      </c>
      <c r="G1918" s="13" t="n">
        <v>7</v>
      </c>
      <c r="H1918" s="8" t="n">
        <v>20.57</v>
      </c>
      <c r="I1918" s="8" t="n">
        <v>14.66</v>
      </c>
      <c r="J1918" s="8" t="n">
        <v>17.79666666666667</v>
      </c>
      <c r="K1918" s="8" t="n"/>
      <c r="L1918" s="8" t="n"/>
      <c r="M1918" s="8" t="n"/>
      <c r="N1918" s="8" t="n"/>
      <c r="O1918" s="8" t="n"/>
      <c r="P1918" s="8" t="n"/>
      <c r="Q1918" s="8" t="n"/>
      <c r="R1918" s="8" t="n"/>
      <c r="S1918" s="8" t="n"/>
      <c r="T1918" s="7" t="inlineStr">
        <is>
          <t>SEM COTAÇÃO</t>
        </is>
      </c>
      <c r="U1918" s="8" t="n"/>
      <c r="V1918" s="14" t="n"/>
      <c r="W1918" s="14" t="n"/>
      <c r="X1918" s="7" t="inlineStr"/>
      <c r="Y1918" s="7" t="inlineStr"/>
    </row>
    <row r="1919">
      <c r="A1919" s="7" t="n">
        <v>240601</v>
      </c>
      <c r="B1919" s="12" t="inlineStr"/>
      <c r="C1919" s="7" t="inlineStr">
        <is>
          <t>FLANCOX 400MG CX 10 COMP REV</t>
        </is>
      </c>
      <c r="D1919" s="7" t="inlineStr">
        <is>
          <t>RX</t>
        </is>
      </c>
      <c r="E1919" s="7" t="inlineStr">
        <is>
          <t>A</t>
        </is>
      </c>
      <c r="F1919" s="13" t="n">
        <v>4</v>
      </c>
      <c r="G1919" s="13" t="n">
        <v>4</v>
      </c>
      <c r="H1919" s="8" t="n">
        <v>21.8386</v>
      </c>
      <c r="I1919" s="8" t="n">
        <v>20.78</v>
      </c>
      <c r="J1919" s="8" t="n">
        <v>21.31733333333333</v>
      </c>
      <c r="K1919" s="8" t="n"/>
      <c r="L1919" s="8" t="n"/>
      <c r="M1919" s="8" t="n"/>
      <c r="N1919" s="8" t="n"/>
      <c r="O1919" s="8" t="n"/>
      <c r="P1919" s="8" t="n"/>
      <c r="Q1919" s="8" t="n"/>
      <c r="R1919" s="8" t="n"/>
      <c r="S1919" s="8" t="n"/>
      <c r="T1919" s="7" t="inlineStr">
        <is>
          <t>SEM COTAÇÃO</t>
        </is>
      </c>
      <c r="U1919" s="8" t="n"/>
      <c r="V1919" s="14" t="n"/>
      <c r="W1919" s="14" t="n"/>
      <c r="X1919" s="7" t="inlineStr"/>
      <c r="Y1919" s="7" t="inlineStr"/>
    </row>
    <row r="1920">
      <c r="A1920" s="7" t="n">
        <v>240241</v>
      </c>
      <c r="B1920" s="12" t="inlineStr">
        <is>
          <t>7896637023238</t>
        </is>
      </c>
      <c r="C1920" s="7" t="inlineStr">
        <is>
          <t>FLANCOX 500MG CX 14 COMP REV</t>
        </is>
      </c>
      <c r="D1920" s="7" t="inlineStr">
        <is>
          <t>RX</t>
        </is>
      </c>
      <c r="E1920" s="7" t="inlineStr">
        <is>
          <t>A</t>
        </is>
      </c>
      <c r="F1920" s="13" t="n">
        <v>7</v>
      </c>
      <c r="G1920" s="13" t="n">
        <v>7</v>
      </c>
      <c r="H1920" s="8" t="n">
        <v>27.925</v>
      </c>
      <c r="I1920" s="8" t="n">
        <v>25.425</v>
      </c>
      <c r="J1920" s="8" t="n">
        <v>26.25666666666666</v>
      </c>
      <c r="K1920" s="8" t="n"/>
      <c r="L1920" s="8" t="n"/>
      <c r="M1920" s="15" t="n">
        <v>27.92</v>
      </c>
      <c r="N1920" s="8" t="n"/>
      <c r="O1920" s="8" t="n">
        <v>37.71</v>
      </c>
      <c r="P1920" s="8" t="n">
        <v>39.50835</v>
      </c>
      <c r="Q1920" s="8" t="n"/>
      <c r="R1920" s="8" t="n"/>
      <c r="S1920" s="8" t="n"/>
      <c r="T1920" s="7" t="inlineStr">
        <is>
          <t>EPAN</t>
        </is>
      </c>
      <c r="U1920" s="8" t="n">
        <v>27.92</v>
      </c>
      <c r="V1920" s="14">
        <f>U1920/J1920-1</f>
        <v/>
      </c>
      <c r="W1920" s="14">
        <f>U1920/H1920-1</f>
        <v/>
      </c>
      <c r="X1920" s="17" t="inlineStr">
        <is>
          <t>OK (≤ últ. compra)</t>
        </is>
      </c>
      <c r="Y1920" s="7" t="inlineStr"/>
    </row>
    <row r="1921">
      <c r="A1921" s="7" t="n">
        <v>582241</v>
      </c>
      <c r="B1921" s="12" t="inlineStr">
        <is>
          <t>7896637031943</t>
        </is>
      </c>
      <c r="C1921" s="7" t="inlineStr">
        <is>
          <t>FLANCOX 600MG CX 14 REV OR</t>
        </is>
      </c>
      <c r="D1921" s="7" t="inlineStr">
        <is>
          <t>RX</t>
        </is>
      </c>
      <c r="E1921" s="7" t="inlineStr">
        <is>
          <t>A</t>
        </is>
      </c>
      <c r="F1921" s="13" t="n">
        <v>21</v>
      </c>
      <c r="G1921" s="13" t="n">
        <v>21</v>
      </c>
      <c r="H1921" s="8" t="n">
        <v>47.24</v>
      </c>
      <c r="I1921" s="8" t="n">
        <v>43.5075</v>
      </c>
      <c r="J1921" s="8" t="n">
        <v>45.21806666666667</v>
      </c>
      <c r="K1921" s="8" t="n"/>
      <c r="L1921" s="8" t="n"/>
      <c r="M1921" s="8" t="n"/>
      <c r="N1921" s="8" t="n"/>
      <c r="O1921" s="15" t="n">
        <v>46.73999999999999</v>
      </c>
      <c r="P1921" s="8" t="n">
        <v>49.47655</v>
      </c>
      <c r="Q1921" s="8" t="n"/>
      <c r="R1921" s="8" t="n"/>
      <c r="S1921" s="8" t="n"/>
      <c r="T1921" s="7" t="inlineStr">
        <is>
          <t>TAPAJOS</t>
        </is>
      </c>
      <c r="U1921" s="8" t="n">
        <v>46.73999999999999</v>
      </c>
      <c r="V1921" s="14">
        <f>U1921/J1921-1</f>
        <v/>
      </c>
      <c r="W1921" s="14">
        <f>U1921/H1921-1</f>
        <v/>
      </c>
      <c r="X1921" s="17" t="inlineStr">
        <is>
          <t>OK (≤ últ. compra)</t>
        </is>
      </c>
      <c r="Y1921" s="7" t="inlineStr"/>
    </row>
    <row r="1922">
      <c r="A1922" s="7" t="n">
        <v>566701</v>
      </c>
      <c r="B1922" s="12" t="inlineStr">
        <is>
          <t>7898040324438</t>
        </is>
      </c>
      <c r="C1922" s="7" t="inlineStr">
        <is>
          <t>FLETOP LOCAO 200ML</t>
        </is>
      </c>
      <c r="D1922" s="7" t="inlineStr">
        <is>
          <t>RX - DERMO</t>
        </is>
      </c>
      <c r="E1922" s="7" t="inlineStr">
        <is>
          <t>A</t>
        </is>
      </c>
      <c r="F1922" s="13" t="n">
        <v>2</v>
      </c>
      <c r="G1922" s="13" t="n">
        <v>2</v>
      </c>
      <c r="H1922" s="8" t="n">
        <v>57.135</v>
      </c>
      <c r="I1922" s="8" t="n">
        <v>41.344</v>
      </c>
      <c r="J1922" s="8" t="n">
        <v>49.398</v>
      </c>
      <c r="K1922" s="8" t="n"/>
      <c r="L1922" s="8" t="n"/>
      <c r="M1922" s="15" t="n">
        <v>49.13</v>
      </c>
      <c r="N1922" s="8" t="n"/>
      <c r="O1922" s="8" t="n"/>
      <c r="P1922" s="8" t="n">
        <v>58.3358</v>
      </c>
      <c r="Q1922" s="8" t="n"/>
      <c r="R1922" s="8" t="n"/>
      <c r="S1922" s="8" t="n"/>
      <c r="T1922" s="7" t="inlineStr">
        <is>
          <t>EPAN</t>
        </is>
      </c>
      <c r="U1922" s="8" t="n">
        <v>49.13</v>
      </c>
      <c r="V1922" s="14">
        <f>U1922/J1922-1</f>
        <v/>
      </c>
      <c r="W1922" s="14">
        <f>U1922/H1922-1</f>
        <v/>
      </c>
      <c r="X1922" s="17" t="inlineStr">
        <is>
          <t>OK (≤ últ. compra)</t>
        </is>
      </c>
      <c r="Y1922" s="7" t="inlineStr"/>
    </row>
    <row r="1923">
      <c r="A1923" s="7" t="n">
        <v>606861</v>
      </c>
      <c r="B1923" s="12" t="inlineStr">
        <is>
          <t>7894164005239</t>
        </is>
      </c>
      <c r="C1923" s="7" t="inlineStr">
        <is>
          <t>FLEXENEMA 130ML (ARL)</t>
        </is>
      </c>
      <c r="D1923" s="7" t="inlineStr">
        <is>
          <t>SIMILAR</t>
        </is>
      </c>
      <c r="E1923" s="7" t="inlineStr">
        <is>
          <t>B</t>
        </is>
      </c>
      <c r="F1923" s="13" t="n">
        <v>3</v>
      </c>
      <c r="G1923" s="13" t="n">
        <v>3</v>
      </c>
      <c r="H1923" s="8" t="n">
        <v>13.49</v>
      </c>
      <c r="I1923" s="8" t="n">
        <v>13.49</v>
      </c>
      <c r="J1923" s="8" t="n">
        <v>13.49</v>
      </c>
      <c r="K1923" s="15" t="n">
        <v>14.17</v>
      </c>
      <c r="L1923" s="8" t="n"/>
      <c r="M1923" s="8" t="n"/>
      <c r="N1923" s="8" t="n">
        <v>14.67</v>
      </c>
      <c r="O1923" s="8" t="n"/>
      <c r="P1923" s="8" t="n"/>
      <c r="Q1923" s="8" t="n"/>
      <c r="R1923" s="8" t="n"/>
      <c r="S1923" s="8" t="n"/>
      <c r="T1923" s="7" t="inlineStr">
        <is>
          <t>DIMEC</t>
        </is>
      </c>
      <c r="U1923" s="8" t="n">
        <v>14.17</v>
      </c>
      <c r="V1923" s="14">
        <f>U1923/J1923-1</f>
        <v/>
      </c>
      <c r="W1923" s="14">
        <f>U1923/H1923-1</f>
        <v/>
      </c>
      <c r="X1923" s="16" t="inlineStr">
        <is>
          <t>ACIMA +5.0%</t>
        </is>
      </c>
      <c r="Y1923" s="7" t="inlineStr"/>
    </row>
    <row r="1924">
      <c r="A1924" s="7" t="n">
        <v>1063</v>
      </c>
      <c r="B1924" s="12" t="inlineStr">
        <is>
          <t>7898303264310</t>
        </is>
      </c>
      <c r="C1924" s="7" t="inlineStr">
        <is>
          <t>FLEXIGOLD ARTRI COLAGENO TIPO II +ASS 500MG CX/60 CAPS</t>
        </is>
      </c>
      <c r="D1924" s="7" t="inlineStr">
        <is>
          <t>SIMILAR</t>
        </is>
      </c>
      <c r="E1924" s="7" t="inlineStr">
        <is>
          <t>C</t>
        </is>
      </c>
      <c r="F1924" s="13" t="n">
        <v>1</v>
      </c>
      <c r="G1924" s="13" t="n">
        <v>1</v>
      </c>
      <c r="H1924" s="8" t="n">
        <v>38.29</v>
      </c>
      <c r="I1924" s="8" t="n">
        <v>38.29</v>
      </c>
      <c r="J1924" s="8" t="n">
        <v>38.29</v>
      </c>
      <c r="K1924" s="8" t="n"/>
      <c r="L1924" s="8" t="n"/>
      <c r="M1924" s="8" t="n"/>
      <c r="N1924" s="8" t="n"/>
      <c r="O1924" s="8" t="n"/>
      <c r="P1924" s="8" t="n"/>
      <c r="Q1924" s="8" t="n"/>
      <c r="R1924" s="8" t="n"/>
      <c r="S1924" s="8" t="n"/>
      <c r="T1924" s="7" t="inlineStr">
        <is>
          <t>SEM COTAÇÃO</t>
        </is>
      </c>
      <c r="U1924" s="8" t="n"/>
      <c r="V1924" s="14" t="n"/>
      <c r="W1924" s="14" t="n"/>
      <c r="X1924" s="7" t="inlineStr"/>
      <c r="Y1924" s="7" t="inlineStr"/>
    </row>
    <row r="1925">
      <c r="A1925" s="7" t="n">
        <v>676021</v>
      </c>
      <c r="B1925" s="12" t="inlineStr">
        <is>
          <t>6930446847522</t>
        </is>
      </c>
      <c r="C1925" s="7" t="inlineStr">
        <is>
          <t>FLICKER BLUEBELL EAU DE PARFUM 20ML DISPLAY C/12 - LUA E NEVE</t>
        </is>
      </c>
      <c r="D1925" s="7" t="inlineStr">
        <is>
          <t>PERF/COSME</t>
        </is>
      </c>
      <c r="E1925" s="7" t="inlineStr">
        <is>
          <t>C</t>
        </is>
      </c>
      <c r="F1925" s="13" t="n">
        <v>1</v>
      </c>
      <c r="G1925" s="13" t="n">
        <v>1</v>
      </c>
      <c r="H1925" s="8" t="n">
        <v>18.51</v>
      </c>
      <c r="I1925" s="8" t="n">
        <v>18.51</v>
      </c>
      <c r="J1925" s="8" t="n">
        <v>18.51</v>
      </c>
      <c r="K1925" s="8" t="n"/>
      <c r="L1925" s="8" t="n"/>
      <c r="M1925" s="8" t="n"/>
      <c r="N1925" s="8" t="n"/>
      <c r="O1925" s="8" t="n"/>
      <c r="P1925" s="8" t="n"/>
      <c r="Q1925" s="8" t="n"/>
      <c r="R1925" s="8" t="n"/>
      <c r="S1925" s="8" t="n"/>
      <c r="T1925" s="7" t="inlineStr">
        <is>
          <t>SEM COTAÇÃO</t>
        </is>
      </c>
      <c r="U1925" s="8" t="n"/>
      <c r="V1925" s="14" t="n"/>
      <c r="W1925" s="14" t="n"/>
      <c r="X1925" s="7" t="inlineStr"/>
      <c r="Y1925" s="7" t="inlineStr"/>
    </row>
    <row r="1926">
      <c r="A1926" s="7" t="n">
        <v>550941</v>
      </c>
      <c r="B1926" s="12" t="inlineStr">
        <is>
          <t>7894488000101</t>
        </is>
      </c>
      <c r="C1926" s="7" t="inlineStr">
        <is>
          <t>FLOCONETES SEGUROS E ABSORVENTES 75UN</t>
        </is>
      </c>
      <c r="D1926" s="7" t="inlineStr">
        <is>
          <t>ABSORVENTES</t>
        </is>
      </c>
      <c r="E1926" s="7" t="inlineStr">
        <is>
          <t>C</t>
        </is>
      </c>
      <c r="F1926" s="13" t="n">
        <v>2</v>
      </c>
      <c r="G1926" s="13" t="n">
        <v>2</v>
      </c>
      <c r="H1926" s="8" t="n">
        <v>1.35</v>
      </c>
      <c r="I1926" s="8" t="n">
        <v>1.35</v>
      </c>
      <c r="J1926" s="8" t="n">
        <v>1.35</v>
      </c>
      <c r="K1926" s="15" t="n">
        <v>1.35</v>
      </c>
      <c r="L1926" s="8" t="n"/>
      <c r="M1926" s="8" t="n"/>
      <c r="N1926" s="8" t="n"/>
      <c r="O1926" s="8" t="n"/>
      <c r="P1926" s="8" t="n"/>
      <c r="Q1926" s="8" t="n"/>
      <c r="R1926" s="8" t="n"/>
      <c r="S1926" s="8" t="n"/>
      <c r="T1926" s="7" t="inlineStr">
        <is>
          <t>DIMEC</t>
        </is>
      </c>
      <c r="U1926" s="8" t="n">
        <v>1.35</v>
      </c>
      <c r="V1926" s="14">
        <f>U1926/J1926-1</f>
        <v/>
      </c>
      <c r="W1926" s="14">
        <f>U1926/H1926-1</f>
        <v/>
      </c>
      <c r="X1926" s="17" t="inlineStr">
        <is>
          <t>OK (≤ menor hist.)</t>
        </is>
      </c>
      <c r="Y1926" s="7" t="inlineStr"/>
    </row>
    <row r="1927">
      <c r="A1927" s="7" t="n">
        <v>652451</v>
      </c>
      <c r="B1927" s="12" t="inlineStr"/>
      <c r="C1927" s="7" t="inlineStr">
        <is>
          <t>FLOGORAL CARTELA 4 PAST SB LARANJA</t>
        </is>
      </c>
      <c r="D1927" s="7" t="inlineStr">
        <is>
          <t>RX</t>
        </is>
      </c>
      <c r="E1927" s="7" t="inlineStr">
        <is>
          <t>A</t>
        </is>
      </c>
      <c r="F1927" s="13" t="n">
        <v>3</v>
      </c>
      <c r="G1927" s="13" t="n">
        <v>9</v>
      </c>
      <c r="H1927" s="8" t="n"/>
      <c r="I1927" s="8" t="n"/>
      <c r="J1927" s="8" t="n"/>
      <c r="K1927" s="8" t="n"/>
      <c r="L1927" s="8" t="n"/>
      <c r="M1927" s="8" t="n"/>
      <c r="N1927" s="8" t="n"/>
      <c r="O1927" s="8" t="n"/>
      <c r="P1927" s="8" t="n"/>
      <c r="Q1927" s="8" t="n"/>
      <c r="R1927" s="8" t="n"/>
      <c r="S1927" s="8" t="n"/>
      <c r="T1927" s="7" t="inlineStr">
        <is>
          <t>SEM COTAÇÃO</t>
        </is>
      </c>
      <c r="U1927" s="8" t="n"/>
      <c r="V1927" s="14" t="n"/>
      <c r="W1927" s="14" t="n"/>
      <c r="X1927" s="7" t="inlineStr"/>
      <c r="Y1927" s="7" t="inlineStr"/>
    </row>
    <row r="1928">
      <c r="A1928" s="7" t="n">
        <v>34803</v>
      </c>
      <c r="B1928" s="12" t="inlineStr">
        <is>
          <t>7896714292717</t>
        </is>
      </c>
      <c r="C1928" s="7" t="inlineStr">
        <is>
          <t>FLOMICIN 200MG FR 6 CAP</t>
        </is>
      </c>
      <c r="D1928" s="7" t="inlineStr">
        <is>
          <t>SIMILAR</t>
        </is>
      </c>
      <c r="E1928" s="7" t="inlineStr">
        <is>
          <t>B</t>
        </is>
      </c>
      <c r="F1928" s="13" t="n">
        <v>5</v>
      </c>
      <c r="G1928" s="13" t="n">
        <v>5</v>
      </c>
      <c r="H1928" s="8" t="n">
        <v>20.68</v>
      </c>
      <c r="I1928" s="8" t="n">
        <v>20.68</v>
      </c>
      <c r="J1928" s="8" t="n">
        <v>20.68</v>
      </c>
      <c r="K1928" s="8" t="n"/>
      <c r="L1928" s="8" t="n"/>
      <c r="M1928" s="8" t="n"/>
      <c r="N1928" s="8" t="n"/>
      <c r="O1928" s="8" t="n"/>
      <c r="P1928" s="8" t="n"/>
      <c r="Q1928" s="15" t="n">
        <v>19.85</v>
      </c>
      <c r="R1928" s="8" t="n"/>
      <c r="S1928" s="8" t="n"/>
      <c r="T1928" s="7" t="inlineStr">
        <is>
          <t>MEDCENTRO</t>
        </is>
      </c>
      <c r="U1928" s="8" t="n">
        <v>19.85</v>
      </c>
      <c r="V1928" s="14">
        <f>U1928/J1928-1</f>
        <v/>
      </c>
      <c r="W1928" s="14">
        <f>U1928/H1928-1</f>
        <v/>
      </c>
      <c r="X1928" s="17" t="inlineStr">
        <is>
          <t>OK (≤ menor hist.)</t>
        </is>
      </c>
      <c r="Y1928" s="7" t="inlineStr"/>
    </row>
    <row r="1929">
      <c r="A1929" s="7" t="n">
        <v>589581</v>
      </c>
      <c r="B1929" s="12" t="inlineStr">
        <is>
          <t>7898040329655</t>
        </is>
      </c>
      <c r="C1929" s="7" t="inlineStr">
        <is>
          <t>FLORATIL 200MG CX 6 CAP</t>
        </is>
      </c>
      <c r="D1929" s="7" t="inlineStr">
        <is>
          <t>RX - OTC</t>
        </is>
      </c>
      <c r="E1929" s="7" t="inlineStr">
        <is>
          <t>C</t>
        </is>
      </c>
      <c r="F1929" s="13" t="n">
        <v>6</v>
      </c>
      <c r="G1929" s="13" t="n">
        <v>6</v>
      </c>
      <c r="H1929" s="8" t="n">
        <v>37.185</v>
      </c>
      <c r="I1929" s="8" t="n">
        <v>27.3967</v>
      </c>
      <c r="J1929" s="8" t="n">
        <v>33.92056666666667</v>
      </c>
      <c r="K1929" s="8" t="n"/>
      <c r="L1929" s="8" t="n"/>
      <c r="M1929" s="8" t="n">
        <v>37.34</v>
      </c>
      <c r="N1929" s="8" t="n"/>
      <c r="O1929" s="15" t="n">
        <v>36.79</v>
      </c>
      <c r="P1929" s="8" t="n">
        <v>37.5744</v>
      </c>
      <c r="Q1929" s="8" t="n"/>
      <c r="R1929" s="8" t="n"/>
      <c r="S1929" s="8" t="n"/>
      <c r="T1929" s="7" t="inlineStr">
        <is>
          <t>TAPAJOS</t>
        </is>
      </c>
      <c r="U1929" s="8" t="n">
        <v>36.79</v>
      </c>
      <c r="V1929" s="14">
        <f>U1929/J1929-1</f>
        <v/>
      </c>
      <c r="W1929" s="14">
        <f>U1929/H1929-1</f>
        <v/>
      </c>
      <c r="X1929" s="17" t="inlineStr">
        <is>
          <t>OK (≤ últ. compra)</t>
        </is>
      </c>
      <c r="Y1929" s="7" t="inlineStr"/>
    </row>
    <row r="1930">
      <c r="A1930" s="7" t="n">
        <v>589611</v>
      </c>
      <c r="B1930" s="12" t="inlineStr">
        <is>
          <t>7898040329570</t>
        </is>
      </c>
      <c r="C1930" s="7" t="inlineStr">
        <is>
          <t>FLORATIL 200MG/G PO OR 4 ENV X 1G</t>
        </is>
      </c>
      <c r="D1930" s="7" t="inlineStr">
        <is>
          <t>RX - OTC</t>
        </is>
      </c>
      <c r="E1930" s="7" t="inlineStr">
        <is>
          <t>A</t>
        </is>
      </c>
      <c r="F1930" s="13" t="n">
        <v>6</v>
      </c>
      <c r="G1930" s="13" t="n">
        <v>6</v>
      </c>
      <c r="H1930" s="8" t="n">
        <v>28</v>
      </c>
      <c r="I1930" s="8" t="n">
        <v>7.05</v>
      </c>
      <c r="J1930" s="8" t="n">
        <v>7.05</v>
      </c>
      <c r="K1930" s="8" t="n"/>
      <c r="L1930" s="8" t="n"/>
      <c r="M1930" s="15" t="n">
        <v>28</v>
      </c>
      <c r="N1930" s="8" t="n"/>
      <c r="O1930" s="8" t="n">
        <v>28.2</v>
      </c>
      <c r="P1930" s="8" t="n">
        <v>28.8</v>
      </c>
      <c r="Q1930" s="8" t="n"/>
      <c r="R1930" s="8" t="n"/>
      <c r="S1930" s="8" t="n"/>
      <c r="T1930" s="7" t="inlineStr">
        <is>
          <t>EPAN</t>
        </is>
      </c>
      <c r="U1930" s="8" t="n">
        <v>28</v>
      </c>
      <c r="V1930" s="14">
        <f>U1930/J1930-1</f>
        <v/>
      </c>
      <c r="W1930" s="14">
        <f>U1930/H1930-1</f>
        <v/>
      </c>
      <c r="X1930" s="17" t="inlineStr">
        <is>
          <t>OK (≤ últ. compra)</t>
        </is>
      </c>
      <c r="Y1930" s="7" t="inlineStr"/>
    </row>
    <row r="1931">
      <c r="A1931" s="7" t="n">
        <v>622951</v>
      </c>
      <c r="B1931" s="12" t="inlineStr">
        <is>
          <t>7898040329679</t>
        </is>
      </c>
      <c r="C1931" s="7" t="inlineStr">
        <is>
          <t>FLORATIL 250MG BL 6 CAP</t>
        </is>
      </c>
      <c r="D1931" s="7" t="inlineStr">
        <is>
          <t>RX - OTC</t>
        </is>
      </c>
      <c r="E1931" s="7" t="inlineStr">
        <is>
          <t>A</t>
        </is>
      </c>
      <c r="F1931" s="13" t="n">
        <v>7</v>
      </c>
      <c r="G1931" s="13" t="n">
        <v>7</v>
      </c>
      <c r="H1931" s="8" t="n">
        <v>38.6417</v>
      </c>
      <c r="I1931" s="8" t="n">
        <v>31.31</v>
      </c>
      <c r="J1931" s="8" t="n">
        <v>33.75333333333334</v>
      </c>
      <c r="K1931" s="8" t="n"/>
      <c r="L1931" s="8" t="n"/>
      <c r="M1931" s="15" t="n">
        <v>36.53</v>
      </c>
      <c r="N1931" s="8" t="n"/>
      <c r="O1931" s="8" t="n">
        <v>36.79</v>
      </c>
      <c r="P1931" s="8" t="n">
        <v>37.5744</v>
      </c>
      <c r="Q1931" s="8" t="n"/>
      <c r="R1931" s="8" t="n"/>
      <c r="S1931" s="8" t="n"/>
      <c r="T1931" s="7" t="inlineStr">
        <is>
          <t>EPAN</t>
        </is>
      </c>
      <c r="U1931" s="8" t="n">
        <v>36.53</v>
      </c>
      <c r="V1931" s="14">
        <f>U1931/J1931-1</f>
        <v/>
      </c>
      <c r="W1931" s="14">
        <f>U1931/H1931-1</f>
        <v/>
      </c>
      <c r="X1931" s="17" t="inlineStr">
        <is>
          <t>OK (≤ últ. compra)</t>
        </is>
      </c>
      <c r="Y1931" s="7" t="inlineStr"/>
    </row>
    <row r="1932">
      <c r="A1932" s="7" t="n">
        <v>671851</v>
      </c>
      <c r="B1932" s="12" t="inlineStr">
        <is>
          <t>7898040329600</t>
        </is>
      </c>
      <c r="C1932" s="7" t="inlineStr">
        <is>
          <t>FLORATIL 250MG BL 6 SACHE</t>
        </is>
      </c>
      <c r="D1932" s="7" t="inlineStr">
        <is>
          <t>RX - OTC</t>
        </is>
      </c>
      <c r="E1932" s="7" t="inlineStr">
        <is>
          <t>A</t>
        </is>
      </c>
      <c r="F1932" s="13" t="n">
        <v>3</v>
      </c>
      <c r="G1932" s="13" t="n">
        <v>3</v>
      </c>
      <c r="H1932" s="8" t="n">
        <v>36.79</v>
      </c>
      <c r="I1932" s="8" t="n">
        <v>30.505</v>
      </c>
      <c r="J1932" s="8" t="n">
        <v>34.695</v>
      </c>
      <c r="K1932" s="8" t="n"/>
      <c r="L1932" s="8" t="n"/>
      <c r="M1932" s="8" t="n"/>
      <c r="N1932" s="8" t="n"/>
      <c r="O1932" s="15" t="n">
        <v>36.79</v>
      </c>
      <c r="P1932" s="8" t="n">
        <v>37.5744</v>
      </c>
      <c r="Q1932" s="8" t="n"/>
      <c r="R1932" s="8" t="n"/>
      <c r="S1932" s="8" t="n"/>
      <c r="T1932" s="7" t="inlineStr">
        <is>
          <t>TAPAJOS</t>
        </is>
      </c>
      <c r="U1932" s="8" t="n">
        <v>36.79</v>
      </c>
      <c r="V1932" s="14">
        <f>U1932/J1932-1</f>
        <v/>
      </c>
      <c r="W1932" s="14">
        <f>U1932/H1932-1</f>
        <v/>
      </c>
      <c r="X1932" s="17" t="inlineStr">
        <is>
          <t>OK (≤ últ. compra)</t>
        </is>
      </c>
      <c r="Y1932" s="7" t="inlineStr"/>
    </row>
    <row r="1933">
      <c r="A1933" s="7" t="n">
        <v>653681</v>
      </c>
      <c r="B1933" s="12" t="inlineStr">
        <is>
          <t>7908020507246</t>
        </is>
      </c>
      <c r="C1933" s="7" t="inlineStr">
        <is>
          <t>FLORENT 100MG C/12 CPS DURA</t>
        </is>
      </c>
      <c r="D1933" s="7" t="inlineStr">
        <is>
          <t>SIMILAR</t>
        </is>
      </c>
      <c r="E1933" s="7" t="inlineStr">
        <is>
          <t>C</t>
        </is>
      </c>
      <c r="F1933" s="13" t="n">
        <v>3</v>
      </c>
      <c r="G1933" s="13" t="n">
        <v>3</v>
      </c>
      <c r="H1933" s="8" t="n">
        <v>9.74</v>
      </c>
      <c r="I1933" s="8" t="n">
        <v>9.74</v>
      </c>
      <c r="J1933" s="8" t="n">
        <v>9.74</v>
      </c>
      <c r="K1933" s="8" t="n"/>
      <c r="L1933" s="8" t="n"/>
      <c r="M1933" s="8" t="n"/>
      <c r="N1933" s="8" t="n"/>
      <c r="O1933" s="8" t="n"/>
      <c r="P1933" s="15" t="n">
        <v>39.6</v>
      </c>
      <c r="Q1933" s="8" t="n"/>
      <c r="R1933" s="8" t="n"/>
      <c r="S1933" s="8" t="n"/>
      <c r="T1933" s="7" t="inlineStr">
        <is>
          <t>NAZARIA</t>
        </is>
      </c>
      <c r="U1933" s="8" t="n">
        <v>39.6</v>
      </c>
      <c r="V1933" s="14">
        <f>U1933/J1933-1</f>
        <v/>
      </c>
      <c r="W1933" s="14">
        <f>U1933/H1933-1</f>
        <v/>
      </c>
      <c r="X1933" s="16" t="inlineStr">
        <is>
          <t>ACIMA +306.6%</t>
        </is>
      </c>
      <c r="Y1933" s="7" t="inlineStr">
        <is>
          <t>NAZARIA: conferir emb.</t>
        </is>
      </c>
    </row>
    <row r="1934">
      <c r="A1934" s="7" t="n">
        <v>653691</v>
      </c>
      <c r="B1934" s="12" t="inlineStr">
        <is>
          <t>7908020507260</t>
        </is>
      </c>
      <c r="C1934" s="7" t="inlineStr">
        <is>
          <t>FLORENT 200MG C/06 CPS DURA</t>
        </is>
      </c>
      <c r="D1934" s="7" t="inlineStr">
        <is>
          <t>SIMILAR</t>
        </is>
      </c>
      <c r="E1934" s="7" t="inlineStr">
        <is>
          <t>C</t>
        </is>
      </c>
      <c r="F1934" s="13" t="n">
        <v>2</v>
      </c>
      <c r="G1934" s="13" t="n">
        <v>2</v>
      </c>
      <c r="H1934" s="8" t="n">
        <v>9.550000000000001</v>
      </c>
      <c r="I1934" s="8" t="n">
        <v>9.550000000000001</v>
      </c>
      <c r="J1934" s="8" t="n">
        <v>9.550000000000001</v>
      </c>
      <c r="K1934" s="8" t="n"/>
      <c r="L1934" s="8" t="n"/>
      <c r="M1934" s="8" t="n"/>
      <c r="N1934" s="8" t="n"/>
      <c r="O1934" s="8" t="n"/>
      <c r="P1934" s="15" t="n">
        <v>39.6</v>
      </c>
      <c r="Q1934" s="8" t="n"/>
      <c r="R1934" s="8" t="n"/>
      <c r="S1934" s="8" t="n"/>
      <c r="T1934" s="7" t="inlineStr">
        <is>
          <t>NAZARIA</t>
        </is>
      </c>
      <c r="U1934" s="8" t="n">
        <v>39.6</v>
      </c>
      <c r="V1934" s="14">
        <f>U1934/J1934-1</f>
        <v/>
      </c>
      <c r="W1934" s="14">
        <f>U1934/H1934-1</f>
        <v/>
      </c>
      <c r="X1934" s="16" t="inlineStr">
        <is>
          <t>ACIMA +314.7%</t>
        </is>
      </c>
      <c r="Y1934" s="7" t="inlineStr">
        <is>
          <t>NAZARIA: conferir emb.</t>
        </is>
      </c>
    </row>
    <row r="1935">
      <c r="A1935" s="7" t="n">
        <v>315441</v>
      </c>
      <c r="B1935" s="12" t="inlineStr">
        <is>
          <t>7898158692238</t>
        </is>
      </c>
      <c r="C1935" s="7" t="inlineStr">
        <is>
          <t>FLORENT 200MG PO 4 SACHES X 1G</t>
        </is>
      </c>
      <c r="D1935" s="7" t="inlineStr">
        <is>
          <t>SIMILAR</t>
        </is>
      </c>
      <c r="E1935" s="7" t="inlineStr">
        <is>
          <t>B</t>
        </is>
      </c>
      <c r="F1935" s="13" t="n">
        <v>12</v>
      </c>
      <c r="G1935" s="13" t="n">
        <v>12</v>
      </c>
      <c r="H1935" s="8" t="n">
        <v>7.02</v>
      </c>
      <c r="I1935" s="8" t="n">
        <v>7.02</v>
      </c>
      <c r="J1935" s="8" t="n">
        <v>7.02</v>
      </c>
      <c r="K1935" s="8" t="n"/>
      <c r="L1935" s="8" t="n"/>
      <c r="M1935" s="8" t="n"/>
      <c r="N1935" s="8" t="n"/>
      <c r="O1935" s="8" t="n"/>
      <c r="P1935" s="15" t="n">
        <v>26.86</v>
      </c>
      <c r="Q1935" s="8" t="n"/>
      <c r="R1935" s="8" t="n"/>
      <c r="S1935" s="8" t="n"/>
      <c r="T1935" s="7" t="inlineStr">
        <is>
          <t>NAZARIA</t>
        </is>
      </c>
      <c r="U1935" s="8" t="n">
        <v>26.86</v>
      </c>
      <c r="V1935" s="14">
        <f>U1935/J1935-1</f>
        <v/>
      </c>
      <c r="W1935" s="14">
        <f>U1935/H1935-1</f>
        <v/>
      </c>
      <c r="X1935" s="16" t="inlineStr">
        <is>
          <t>ACIMA +282.6%</t>
        </is>
      </c>
      <c r="Y1935" s="7" t="inlineStr">
        <is>
          <t>NAZARIA: conferir emb.</t>
        </is>
      </c>
    </row>
    <row r="1936">
      <c r="A1936" s="7" t="n">
        <v>647491</v>
      </c>
      <c r="B1936" s="12" t="inlineStr">
        <is>
          <t>7898378621896</t>
        </is>
      </c>
      <c r="C1936" s="7" t="inlineStr">
        <is>
          <t>FLS PRONTAS CORPORAL ARGAN 20 FLS 10 PARES - NEEZ DEPIL</t>
        </is>
      </c>
      <c r="D1936" s="7" t="inlineStr">
        <is>
          <t>PERF/COSME</t>
        </is>
      </c>
      <c r="E1936" s="7" t="inlineStr">
        <is>
          <t>C</t>
        </is>
      </c>
      <c r="F1936" s="13" t="n">
        <v>1</v>
      </c>
      <c r="G1936" s="13" t="n">
        <v>1</v>
      </c>
      <c r="H1936" s="8" t="n">
        <v>16.7</v>
      </c>
      <c r="I1936" s="8" t="n">
        <v>16.7</v>
      </c>
      <c r="J1936" s="8" t="n">
        <v>16.7</v>
      </c>
      <c r="K1936" s="8" t="n"/>
      <c r="L1936" s="8" t="n"/>
      <c r="M1936" s="8" t="n"/>
      <c r="N1936" s="8" t="n"/>
      <c r="O1936" s="8" t="n"/>
      <c r="P1936" s="8" t="n"/>
      <c r="Q1936" s="8" t="n"/>
      <c r="R1936" s="8" t="n"/>
      <c r="S1936" s="8" t="n"/>
      <c r="T1936" s="7" t="inlineStr">
        <is>
          <t>SEM COTAÇÃO</t>
        </is>
      </c>
      <c r="U1936" s="8" t="n"/>
      <c r="V1936" s="14" t="n"/>
      <c r="W1936" s="14" t="n"/>
      <c r="X1936" s="7" t="inlineStr"/>
      <c r="Y1936" s="7" t="inlineStr"/>
    </row>
    <row r="1937">
      <c r="A1937" s="7" t="n">
        <v>611701</v>
      </c>
      <c r="B1937" s="12" t="inlineStr">
        <is>
          <t>7896006297987</t>
        </is>
      </c>
      <c r="C1937" s="7" t="inlineStr">
        <is>
          <t>FLUCISTEIN VIT C CX 10 COMP EFERV</t>
        </is>
      </c>
      <c r="D1937" s="7" t="inlineStr">
        <is>
          <t>SIMILAR</t>
        </is>
      </c>
      <c r="E1937" s="7" t="inlineStr">
        <is>
          <t>C</t>
        </is>
      </c>
      <c r="F1937" s="13" t="n">
        <v>1</v>
      </c>
      <c r="G1937" s="13" t="n">
        <v>1</v>
      </c>
      <c r="H1937" s="8" t="n">
        <v>14.74</v>
      </c>
      <c r="I1937" s="8" t="n">
        <v>14.74</v>
      </c>
      <c r="J1937" s="8" t="n">
        <v>14.74</v>
      </c>
      <c r="K1937" s="8" t="n"/>
      <c r="L1937" s="8" t="n"/>
      <c r="M1937" s="8" t="n"/>
      <c r="N1937" s="8" t="n"/>
      <c r="O1937" s="8" t="n"/>
      <c r="P1937" s="8" t="n"/>
      <c r="Q1937" s="8" t="n"/>
      <c r="R1937" s="8" t="n"/>
      <c r="S1937" s="8" t="n"/>
      <c r="T1937" s="7" t="inlineStr">
        <is>
          <t>SEM COTAÇÃO</t>
        </is>
      </c>
      <c r="U1937" s="8" t="n"/>
      <c r="V1937" s="14" t="n"/>
      <c r="W1937" s="14" t="n"/>
      <c r="X1937" s="7" t="inlineStr"/>
      <c r="Y1937" s="7" t="inlineStr"/>
    </row>
    <row r="1938">
      <c r="A1938" s="7" t="n">
        <v>250761</v>
      </c>
      <c r="B1938" s="12" t="inlineStr">
        <is>
          <t>7896523208770</t>
        </is>
      </c>
      <c r="C1938" s="7" t="inlineStr">
        <is>
          <t>FLUCONAZOL 150MG CX 2 CAP</t>
        </is>
      </c>
      <c r="D1938" s="7" t="inlineStr">
        <is>
          <t>GENERICO</t>
        </is>
      </c>
      <c r="E1938" s="7" t="inlineStr">
        <is>
          <t>A</t>
        </is>
      </c>
      <c r="F1938" s="13" t="n">
        <v>144</v>
      </c>
      <c r="G1938" s="13" t="n">
        <v>144</v>
      </c>
      <c r="H1938" s="8" t="n">
        <v>1.2</v>
      </c>
      <c r="I1938" s="8" t="n">
        <v>1.08</v>
      </c>
      <c r="J1938" s="8" t="n">
        <v>1.143333333333333</v>
      </c>
      <c r="K1938" s="8" t="n"/>
      <c r="L1938" s="8" t="n"/>
      <c r="M1938" s="8" t="n"/>
      <c r="N1938" s="8" t="n"/>
      <c r="O1938" s="8" t="n"/>
      <c r="P1938" s="8" t="n">
        <v>10.67</v>
      </c>
      <c r="Q1938" s="8" t="n"/>
      <c r="R1938" s="8" t="n"/>
      <c r="S1938" s="8" t="n"/>
      <c r="T1938" s="7" t="inlineStr">
        <is>
          <t>SEM COTAÇÃO</t>
        </is>
      </c>
      <c r="U1938" s="8" t="n"/>
      <c r="V1938" s="14" t="n"/>
      <c r="W1938" s="14" t="n"/>
      <c r="X1938" s="7" t="inlineStr"/>
      <c r="Y1938" s="7" t="inlineStr">
        <is>
          <t>NAZARIA: sem estoque; conferir emb.</t>
        </is>
      </c>
    </row>
    <row r="1939">
      <c r="A1939" s="7" t="n">
        <v>250801</v>
      </c>
      <c r="B1939" s="12" t="inlineStr">
        <is>
          <t>7896422505079</t>
        </is>
      </c>
      <c r="C1939" s="7" t="inlineStr">
        <is>
          <t>FLUCONAZOL 150MG CX 2 CAP</t>
        </is>
      </c>
      <c r="D1939" s="7" t="inlineStr">
        <is>
          <t>GENERICO</t>
        </is>
      </c>
      <c r="E1939" s="7" t="inlineStr">
        <is>
          <t>B</t>
        </is>
      </c>
      <c r="F1939" s="13" t="n">
        <v>3</v>
      </c>
      <c r="G1939" s="13" t="n">
        <v>3</v>
      </c>
      <c r="H1939" s="8" t="n">
        <v>4.6964</v>
      </c>
      <c r="I1939" s="8" t="n">
        <v>4.6964</v>
      </c>
      <c r="J1939" s="8" t="n">
        <v>4.6964</v>
      </c>
      <c r="K1939" s="8" t="n"/>
      <c r="L1939" s="8" t="n"/>
      <c r="M1939" s="8" t="n"/>
      <c r="N1939" s="8" t="n"/>
      <c r="O1939" s="8" t="n"/>
      <c r="P1939" s="15" t="n">
        <v>32.41</v>
      </c>
      <c r="Q1939" s="8" t="n"/>
      <c r="R1939" s="8" t="n"/>
      <c r="S1939" s="8" t="n"/>
      <c r="T1939" s="7" t="inlineStr">
        <is>
          <t>NAZARIA</t>
        </is>
      </c>
      <c r="U1939" s="8" t="n">
        <v>32.41</v>
      </c>
      <c r="V1939" s="14">
        <f>U1939/J1939-1</f>
        <v/>
      </c>
      <c r="W1939" s="14">
        <f>U1939/H1939-1</f>
        <v/>
      </c>
      <c r="X1939" s="16" t="inlineStr">
        <is>
          <t>ACIMA +590.1%</t>
        </is>
      </c>
      <c r="Y1939" s="7" t="inlineStr">
        <is>
          <t>NAZARIA: conferir emb.</t>
        </is>
      </c>
    </row>
    <row r="1940">
      <c r="A1940" s="7" t="n">
        <v>654971</v>
      </c>
      <c r="B1940" s="12" t="inlineStr">
        <is>
          <t>7908475810991</t>
        </is>
      </c>
      <c r="C1940" s="7" t="inlineStr">
        <is>
          <t>FOCUS KIDS 30 GOMAS</t>
        </is>
      </c>
      <c r="D1940" s="7" t="inlineStr">
        <is>
          <t>VITAMINA E SIMILARES</t>
        </is>
      </c>
      <c r="E1940" s="7" t="inlineStr">
        <is>
          <t>C</t>
        </is>
      </c>
      <c r="F1940" s="13" t="n">
        <v>1</v>
      </c>
      <c r="G1940" s="13" t="n">
        <v>1</v>
      </c>
      <c r="H1940" s="8" t="n">
        <v>29.5</v>
      </c>
      <c r="I1940" s="8" t="n">
        <v>29.5</v>
      </c>
      <c r="J1940" s="8" t="n">
        <v>29.5</v>
      </c>
      <c r="K1940" s="8" t="n"/>
      <c r="L1940" s="8" t="n"/>
      <c r="M1940" s="8" t="n"/>
      <c r="N1940" s="8" t="n"/>
      <c r="O1940" s="8" t="n"/>
      <c r="P1940" s="8" t="n"/>
      <c r="Q1940" s="8" t="n"/>
      <c r="R1940" s="8" t="n"/>
      <c r="S1940" s="8" t="n"/>
      <c r="T1940" s="7" t="inlineStr">
        <is>
          <t>SEM COTAÇÃO</t>
        </is>
      </c>
      <c r="U1940" s="8" t="n"/>
      <c r="V1940" s="14" t="n"/>
      <c r="W1940" s="14" t="n"/>
      <c r="X1940" s="7" t="inlineStr"/>
      <c r="Y1940" s="7" t="inlineStr"/>
    </row>
    <row r="1941">
      <c r="A1941" s="7" t="n">
        <v>550481</v>
      </c>
      <c r="B1941" s="12" t="inlineStr">
        <is>
          <t>7794728012539</t>
        </is>
      </c>
      <c r="C1941" s="7" t="inlineStr">
        <is>
          <t>FOLHAS PARA DEPILAÇÃO FACIAL DEPIMIEL CAIXA 16 UNIDADES</t>
        </is>
      </c>
      <c r="D1941" s="7" t="inlineStr">
        <is>
          <t>PERF/COSME</t>
        </is>
      </c>
      <c r="E1941" s="7" t="inlineStr">
        <is>
          <t>C</t>
        </is>
      </c>
      <c r="F1941" s="13" t="n">
        <v>2</v>
      </c>
      <c r="G1941" s="13" t="n">
        <v>2</v>
      </c>
      <c r="H1941" s="8" t="n">
        <v>10.32</v>
      </c>
      <c r="I1941" s="8" t="n">
        <v>10.32</v>
      </c>
      <c r="J1941" s="8" t="n">
        <v>10.32</v>
      </c>
      <c r="K1941" s="8" t="n"/>
      <c r="L1941" s="8" t="n"/>
      <c r="M1941" s="8" t="n"/>
      <c r="N1941" s="8" t="n"/>
      <c r="O1941" s="8" t="n"/>
      <c r="P1941" s="8" t="n"/>
      <c r="Q1941" s="8" t="n"/>
      <c r="R1941" s="8" t="n"/>
      <c r="S1941" s="8" t="n"/>
      <c r="T1941" s="7" t="inlineStr">
        <is>
          <t>SEM COTAÇÃO</t>
        </is>
      </c>
      <c r="U1941" s="8" t="n"/>
      <c r="V1941" s="14" t="n"/>
      <c r="W1941" s="14" t="n"/>
      <c r="X1941" s="7" t="inlineStr"/>
      <c r="Y1941" s="7" t="inlineStr"/>
    </row>
    <row r="1942">
      <c r="A1942" s="7" t="n">
        <v>636341</v>
      </c>
      <c r="B1942" s="12" t="inlineStr">
        <is>
          <t>7891317023331</t>
        </is>
      </c>
      <c r="C1942" s="7" t="inlineStr">
        <is>
          <t>FORFIG 200MG CX 20 CAP</t>
        </is>
      </c>
      <c r="D1942" s="7" t="inlineStr">
        <is>
          <t>RX</t>
        </is>
      </c>
      <c r="E1942" s="7" t="inlineStr">
        <is>
          <t>A</t>
        </is>
      </c>
      <c r="F1942" s="13" t="n">
        <v>1</v>
      </c>
      <c r="G1942" s="13" t="n">
        <v>1</v>
      </c>
      <c r="H1942" s="8" t="n">
        <v>115.42</v>
      </c>
      <c r="I1942" s="8" t="n">
        <v>102.85</v>
      </c>
      <c r="J1942" s="8" t="n">
        <v>111.23</v>
      </c>
      <c r="K1942" s="8" t="n"/>
      <c r="L1942" s="8" t="n"/>
      <c r="M1942" s="8" t="n"/>
      <c r="N1942" s="8" t="n"/>
      <c r="O1942" s="15" t="n">
        <v>112.26</v>
      </c>
      <c r="P1942" s="8" t="n">
        <v>117.0414</v>
      </c>
      <c r="Q1942" s="8" t="n"/>
      <c r="R1942" s="8" t="n"/>
      <c r="S1942" s="8" t="n"/>
      <c r="T1942" s="7" t="inlineStr">
        <is>
          <t>TAPAJOS</t>
        </is>
      </c>
      <c r="U1942" s="8" t="n">
        <v>112.26</v>
      </c>
      <c r="V1942" s="14">
        <f>U1942/J1942-1</f>
        <v/>
      </c>
      <c r="W1942" s="14">
        <f>U1942/H1942-1</f>
        <v/>
      </c>
      <c r="X1942" s="17" t="inlineStr">
        <is>
          <t>OK (≤ últ. compra)</t>
        </is>
      </c>
      <c r="Y1942" s="7" t="inlineStr"/>
    </row>
    <row r="1943">
      <c r="A1943" s="7" t="n">
        <v>539681</v>
      </c>
      <c r="B1943" s="12" t="inlineStr">
        <is>
          <t>7896677700281</t>
        </is>
      </c>
      <c r="C1943" s="7" t="inlineStr">
        <is>
          <t>FORTEVIRON CX 60 COMP</t>
        </is>
      </c>
      <c r="D1943" s="7" t="inlineStr">
        <is>
          <t>RX</t>
        </is>
      </c>
      <c r="E1943" s="7" t="inlineStr">
        <is>
          <t>A</t>
        </is>
      </c>
      <c r="F1943" s="13" t="n">
        <v>4</v>
      </c>
      <c r="G1943" s="13" t="n">
        <v>4</v>
      </c>
      <c r="H1943" s="8" t="n">
        <v>51.0667</v>
      </c>
      <c r="I1943" s="8" t="n">
        <v>51.0667</v>
      </c>
      <c r="J1943" s="8" t="n">
        <v>51.0667</v>
      </c>
      <c r="K1943" s="8" t="n"/>
      <c r="L1943" s="8" t="n"/>
      <c r="M1943" s="8" t="n"/>
      <c r="N1943" s="8" t="n"/>
      <c r="O1943" s="8" t="n">
        <v>91.48999999999999</v>
      </c>
      <c r="P1943" s="15" t="n">
        <v>68.25</v>
      </c>
      <c r="Q1943" s="8" t="n"/>
      <c r="R1943" s="8" t="n"/>
      <c r="S1943" s="8" t="n"/>
      <c r="T1943" s="7" t="inlineStr">
        <is>
          <t>NAZARIA</t>
        </is>
      </c>
      <c r="U1943" s="8" t="n">
        <v>68.25</v>
      </c>
      <c r="V1943" s="14">
        <f>U1943/J1943-1</f>
        <v/>
      </c>
      <c r="W1943" s="14">
        <f>U1943/H1943-1</f>
        <v/>
      </c>
      <c r="X1943" s="16" t="inlineStr">
        <is>
          <t>ACIMA +33.6%</t>
        </is>
      </c>
      <c r="Y1943" s="7" t="inlineStr"/>
    </row>
    <row r="1944">
      <c r="A1944" s="7" t="n">
        <v>638781</v>
      </c>
      <c r="B1944" s="12" t="inlineStr">
        <is>
          <t>040141785435</t>
        </is>
      </c>
      <c r="C1944" s="7" t="inlineStr">
        <is>
          <t>FORTMAGRI 1500MG 60 CPS (BERBERINA+FENO+MOROSIL+CROMO)</t>
        </is>
      </c>
      <c r="D1944" s="7" t="inlineStr">
        <is>
          <t>RX</t>
        </is>
      </c>
      <c r="E1944" s="7" t="inlineStr">
        <is>
          <t>C</t>
        </is>
      </c>
      <c r="F1944" s="13" t="n">
        <v>1</v>
      </c>
      <c r="G1944" s="13" t="n">
        <v>1</v>
      </c>
      <c r="H1944" s="8" t="n">
        <v>79.90000000000001</v>
      </c>
      <c r="I1944" s="8" t="n">
        <v>79.90000000000001</v>
      </c>
      <c r="J1944" s="8" t="n">
        <v>79.90000000000001</v>
      </c>
      <c r="K1944" s="8" t="n"/>
      <c r="L1944" s="8" t="n"/>
      <c r="M1944" s="8" t="n"/>
      <c r="N1944" s="15" t="n">
        <v>64.67</v>
      </c>
      <c r="O1944" s="8" t="n"/>
      <c r="P1944" s="8" t="n"/>
      <c r="Q1944" s="8" t="n"/>
      <c r="R1944" s="8" t="n"/>
      <c r="S1944" s="8" t="n"/>
      <c r="T1944" s="7" t="inlineStr">
        <is>
          <t>CENTROFARMA</t>
        </is>
      </c>
      <c r="U1944" s="8" t="n">
        <v>64.67</v>
      </c>
      <c r="V1944" s="14">
        <f>U1944/J1944-1</f>
        <v/>
      </c>
      <c r="W1944" s="14">
        <f>U1944/H1944-1</f>
        <v/>
      </c>
      <c r="X1944" s="17" t="inlineStr">
        <is>
          <t>OK (≤ menor hist.)</t>
        </is>
      </c>
      <c r="Y1944" s="7" t="inlineStr"/>
    </row>
    <row r="1945">
      <c r="A1945" s="7" t="n">
        <v>622611</v>
      </c>
      <c r="B1945" s="12" t="inlineStr">
        <is>
          <t>5000456070423</t>
        </is>
      </c>
      <c r="C1945" s="7" t="inlineStr">
        <is>
          <t>FORXIGA 10MG CX 30 COMP</t>
        </is>
      </c>
      <c r="D1945" s="7" t="inlineStr">
        <is>
          <t>RX - DIABETES</t>
        </is>
      </c>
      <c r="E1945" s="7" t="inlineStr">
        <is>
          <t>C</t>
        </is>
      </c>
      <c r="F1945" s="13" t="n">
        <v>2</v>
      </c>
      <c r="G1945" s="13" t="n">
        <v>2</v>
      </c>
      <c r="H1945" s="8" t="n">
        <v>164.855</v>
      </c>
      <c r="I1945" s="8" t="n">
        <v>164.855</v>
      </c>
      <c r="J1945" s="8" t="n">
        <v>164.855</v>
      </c>
      <c r="K1945" s="8" t="n"/>
      <c r="L1945" s="8" t="n"/>
      <c r="M1945" s="8" t="n"/>
      <c r="N1945" s="8" t="n"/>
      <c r="O1945" s="8" t="n"/>
      <c r="P1945" s="8" t="n"/>
      <c r="Q1945" s="8" t="n"/>
      <c r="R1945" s="8" t="n"/>
      <c r="S1945" s="8" t="n"/>
      <c r="T1945" s="7" t="inlineStr">
        <is>
          <t>SEM COTAÇÃO</t>
        </is>
      </c>
      <c r="U1945" s="8" t="n"/>
      <c r="V1945" s="14" t="n"/>
      <c r="W1945" s="14" t="n"/>
      <c r="X1945" s="7" t="inlineStr"/>
      <c r="Y1945" s="7" t="inlineStr"/>
    </row>
    <row r="1946">
      <c r="A1946" s="7" t="n">
        <v>525381</v>
      </c>
      <c r="B1946" s="12" t="inlineStr">
        <is>
          <t>7898014566932</t>
        </is>
      </c>
      <c r="C1946" s="7" t="inlineStr">
        <is>
          <t>FOSFOMICINA TROMETAMOL 5,631 G GRAN SOL OR CT ENV AL/PLAS PES/PE OPC</t>
        </is>
      </c>
      <c r="D1946" s="7" t="inlineStr">
        <is>
          <t>GENERICO - ATB</t>
        </is>
      </c>
      <c r="E1946" s="7" t="inlineStr">
        <is>
          <t>C</t>
        </is>
      </c>
      <c r="F1946" s="13" t="n">
        <v>4</v>
      </c>
      <c r="G1946" s="13" t="n">
        <v>4</v>
      </c>
      <c r="H1946" s="8" t="n">
        <v>28.99</v>
      </c>
      <c r="I1946" s="8" t="n">
        <v>28.99</v>
      </c>
      <c r="J1946" s="8" t="n">
        <v>28.99</v>
      </c>
      <c r="K1946" s="8" t="n"/>
      <c r="L1946" s="8" t="n"/>
      <c r="M1946" s="8" t="n"/>
      <c r="N1946" s="8" t="n"/>
      <c r="O1946" s="8" t="n"/>
      <c r="P1946" s="8" t="n"/>
      <c r="Q1946" s="8" t="n"/>
      <c r="R1946" s="8" t="n"/>
      <c r="S1946" s="8" t="n"/>
      <c r="T1946" s="7" t="inlineStr">
        <is>
          <t>SEM COTAÇÃO</t>
        </is>
      </c>
      <c r="U1946" s="8" t="n"/>
      <c r="V1946" s="14" t="n"/>
      <c r="W1946" s="14" t="n"/>
      <c r="X1946" s="7" t="inlineStr"/>
      <c r="Y1946" s="7" t="inlineStr"/>
    </row>
    <row r="1947">
      <c r="A1947" s="7" t="n">
        <v>525401</v>
      </c>
      <c r="B1947" s="12" t="inlineStr">
        <is>
          <t>7898014566949</t>
        </is>
      </c>
      <c r="C1947" s="7" t="inlineStr">
        <is>
          <t>FOSFOMICINA TROMETAMOL 5,631 G GRAN SOL OR CT ENV AL/PLAS PES/PE OPC X 2</t>
        </is>
      </c>
      <c r="D1947" s="7" t="inlineStr">
        <is>
          <t>GENERICO - ATB</t>
        </is>
      </c>
      <c r="E1947" s="7" t="inlineStr">
        <is>
          <t>C</t>
        </is>
      </c>
      <c r="F1947" s="13" t="n">
        <v>1</v>
      </c>
      <c r="G1947" s="13" t="n">
        <v>1</v>
      </c>
      <c r="H1947" s="8" t="n">
        <v>55.08</v>
      </c>
      <c r="I1947" s="8" t="n">
        <v>55.08</v>
      </c>
      <c r="J1947" s="8" t="n">
        <v>55.08000000000001</v>
      </c>
      <c r="K1947" s="8" t="n"/>
      <c r="L1947" s="8" t="n"/>
      <c r="M1947" s="8" t="n"/>
      <c r="N1947" s="8" t="n"/>
      <c r="O1947" s="8" t="n"/>
      <c r="P1947" s="8" t="n"/>
      <c r="Q1947" s="8" t="n"/>
      <c r="R1947" s="8" t="n"/>
      <c r="S1947" s="8" t="n"/>
      <c r="T1947" s="7" t="inlineStr">
        <is>
          <t>SEM COTAÇÃO</t>
        </is>
      </c>
      <c r="U1947" s="8" t="n"/>
      <c r="V1947" s="14" t="n"/>
      <c r="W1947" s="14" t="n"/>
      <c r="X1947" s="7" t="inlineStr"/>
      <c r="Y1947" s="7" t="inlineStr"/>
    </row>
    <row r="1948">
      <c r="A1948" s="7" t="n">
        <v>630881</v>
      </c>
      <c r="B1948" s="12" t="inlineStr">
        <is>
          <t>7896064474023</t>
        </is>
      </c>
      <c r="C1948" s="7" t="inlineStr">
        <is>
          <t>FR GERIAT GERIAMAX ECON G C/20UN</t>
        </is>
      </c>
      <c r="D1948" s="7" t="inlineStr">
        <is>
          <t>FRALDAS GERIATRICAS</t>
        </is>
      </c>
      <c r="E1948" s="7" t="inlineStr">
        <is>
          <t>A</t>
        </is>
      </c>
      <c r="F1948" s="13" t="n">
        <v>5</v>
      </c>
      <c r="G1948" s="13" t="n">
        <v>5</v>
      </c>
      <c r="H1948" s="8" t="n">
        <v>40.2</v>
      </c>
      <c r="I1948" s="8" t="n">
        <v>39.65</v>
      </c>
      <c r="J1948" s="8" t="n">
        <v>40.01666666666667</v>
      </c>
      <c r="K1948" s="8" t="n"/>
      <c r="L1948" s="8" t="n"/>
      <c r="M1948" s="8" t="n"/>
      <c r="N1948" s="8" t="n"/>
      <c r="O1948" s="8" t="n"/>
      <c r="P1948" s="8" t="n">
        <v>38.12</v>
      </c>
      <c r="Q1948" s="8" t="n"/>
      <c r="R1948" s="8" t="n"/>
      <c r="S1948" s="8" t="n"/>
      <c r="T1948" s="7" t="inlineStr">
        <is>
          <t>SEM COTAÇÃO</t>
        </is>
      </c>
      <c r="U1948" s="8" t="n"/>
      <c r="V1948" s="14" t="n"/>
      <c r="W1948" s="14" t="n"/>
      <c r="X1948" s="7" t="inlineStr"/>
      <c r="Y1948" s="7" t="inlineStr">
        <is>
          <t>NAZARIA: sem estoque</t>
        </is>
      </c>
    </row>
    <row r="1949">
      <c r="A1949" s="7" t="n">
        <v>630871</v>
      </c>
      <c r="B1949" s="12" t="inlineStr">
        <is>
          <t>7896064474016</t>
        </is>
      </c>
      <c r="C1949" s="7" t="inlineStr">
        <is>
          <t>FR GERIAT GERIAMAX ECON M C/20UN</t>
        </is>
      </c>
      <c r="D1949" s="7" t="inlineStr">
        <is>
          <t>FRALDAS GERIATRICAS</t>
        </is>
      </c>
      <c r="E1949" s="7" t="inlineStr">
        <is>
          <t>A</t>
        </is>
      </c>
      <c r="F1949" s="13" t="n">
        <v>3</v>
      </c>
      <c r="G1949" s="13" t="n">
        <v>3</v>
      </c>
      <c r="H1949" s="8" t="n">
        <v>40.33</v>
      </c>
      <c r="I1949" s="8" t="n">
        <v>40.33</v>
      </c>
      <c r="J1949" s="8" t="n">
        <v>40.33</v>
      </c>
      <c r="K1949" s="8" t="n"/>
      <c r="L1949" s="8" t="n"/>
      <c r="M1949" s="8" t="n"/>
      <c r="N1949" s="8" t="n"/>
      <c r="O1949" s="8" t="n"/>
      <c r="P1949" s="8" t="n">
        <v>38.12</v>
      </c>
      <c r="Q1949" s="8" t="n"/>
      <c r="R1949" s="8" t="n"/>
      <c r="S1949" s="8" t="n"/>
      <c r="T1949" s="7" t="inlineStr">
        <is>
          <t>SEM COTAÇÃO</t>
        </is>
      </c>
      <c r="U1949" s="8" t="n"/>
      <c r="V1949" s="14" t="n"/>
      <c r="W1949" s="14" t="n"/>
      <c r="X1949" s="7" t="inlineStr"/>
      <c r="Y1949" s="7" t="inlineStr">
        <is>
          <t>NAZARIA: sem estoque</t>
        </is>
      </c>
    </row>
    <row r="1950">
      <c r="A1950" s="7" t="n">
        <v>630891</v>
      </c>
      <c r="B1950" s="12" t="inlineStr">
        <is>
          <t>7896064474030</t>
        </is>
      </c>
      <c r="C1950" s="7" t="inlineStr">
        <is>
          <t>FR GERIAT GERIAMAX ECON XG C/18UN</t>
        </is>
      </c>
      <c r="D1950" s="7" t="inlineStr">
        <is>
          <t>FRALDAS GERIATRICAS</t>
        </is>
      </c>
      <c r="E1950" s="7" t="inlineStr">
        <is>
          <t>C</t>
        </is>
      </c>
      <c r="F1950" s="13" t="n">
        <v>3</v>
      </c>
      <c r="G1950" s="13" t="n">
        <v>3</v>
      </c>
      <c r="H1950" s="8" t="n">
        <v>40.33</v>
      </c>
      <c r="I1950" s="8" t="n">
        <v>39.65</v>
      </c>
      <c r="J1950" s="8" t="n">
        <v>39.65</v>
      </c>
      <c r="K1950" s="8" t="n"/>
      <c r="L1950" s="8" t="n"/>
      <c r="M1950" s="8" t="n"/>
      <c r="N1950" s="8" t="n"/>
      <c r="O1950" s="8" t="n"/>
      <c r="P1950" s="8" t="n">
        <v>38.12</v>
      </c>
      <c r="Q1950" s="8" t="n"/>
      <c r="R1950" s="8" t="n"/>
      <c r="S1950" s="8" t="n"/>
      <c r="T1950" s="7" t="inlineStr">
        <is>
          <t>SEM COTAÇÃO</t>
        </is>
      </c>
      <c r="U1950" s="8" t="n"/>
      <c r="V1950" s="14" t="n"/>
      <c r="W1950" s="14" t="n"/>
      <c r="X1950" s="7" t="inlineStr"/>
      <c r="Y1950" s="7" t="inlineStr">
        <is>
          <t>NAZARIA: sem estoque</t>
        </is>
      </c>
    </row>
    <row r="1951">
      <c r="A1951" s="7" t="n">
        <v>537601</v>
      </c>
      <c r="B1951" s="12" t="inlineStr">
        <is>
          <t>7899700800361</t>
        </is>
      </c>
      <c r="C1951" s="7" t="inlineStr">
        <is>
          <t>FR SCOOBY DOO BABY JUMBINHO 16 G</t>
        </is>
      </c>
      <c r="D1951" s="7" t="inlineStr">
        <is>
          <t>FRALDAS INFANTIL</t>
        </is>
      </c>
      <c r="E1951" s="7" t="inlineStr">
        <is>
          <t>A</t>
        </is>
      </c>
      <c r="F1951" s="13" t="n">
        <v>20</v>
      </c>
      <c r="G1951" s="13" t="n">
        <v>20</v>
      </c>
      <c r="H1951" s="8" t="n">
        <v>10.49</v>
      </c>
      <c r="I1951" s="8" t="n">
        <v>9.68</v>
      </c>
      <c r="J1951" s="8" t="n">
        <v>9.986666666666666</v>
      </c>
      <c r="K1951" s="8" t="n"/>
      <c r="L1951" s="8" t="n"/>
      <c r="M1951" s="8" t="n"/>
      <c r="N1951" s="8" t="n"/>
      <c r="O1951" s="8" t="n"/>
      <c r="P1951" s="8" t="n"/>
      <c r="Q1951" s="8" t="n"/>
      <c r="R1951" s="8" t="n"/>
      <c r="S1951" s="8" t="n"/>
      <c r="T1951" s="7" t="inlineStr">
        <is>
          <t>SEM COTAÇÃO</t>
        </is>
      </c>
      <c r="U1951" s="8" t="n"/>
      <c r="V1951" s="14" t="n"/>
      <c r="W1951" s="14" t="n"/>
      <c r="X1951" s="7" t="inlineStr"/>
      <c r="Y1951" s="7" t="inlineStr"/>
    </row>
    <row r="1952">
      <c r="A1952" s="7" t="n">
        <v>541641</v>
      </c>
      <c r="B1952" s="12" t="inlineStr">
        <is>
          <t>7899700800354</t>
        </is>
      </c>
      <c r="C1952" s="7" t="inlineStr">
        <is>
          <t>FR SCOOBY DOO BABY JUMBINHO C 18 M</t>
        </is>
      </c>
      <c r="D1952" s="7" t="inlineStr">
        <is>
          <t>FRALDAS INFANTIL</t>
        </is>
      </c>
      <c r="E1952" s="7" t="inlineStr">
        <is>
          <t>A</t>
        </is>
      </c>
      <c r="F1952" s="13" t="n">
        <v>9</v>
      </c>
      <c r="G1952" s="13" t="n">
        <v>9</v>
      </c>
      <c r="H1952" s="8" t="n">
        <v>10.49</v>
      </c>
      <c r="I1952" s="8" t="n">
        <v>9.68</v>
      </c>
      <c r="J1952" s="8" t="n">
        <v>9.986666666666666</v>
      </c>
      <c r="K1952" s="8" t="n"/>
      <c r="L1952" s="8" t="n"/>
      <c r="M1952" s="8" t="n"/>
      <c r="N1952" s="8" t="n"/>
      <c r="O1952" s="8" t="n"/>
      <c r="P1952" s="8" t="n"/>
      <c r="Q1952" s="8" t="n"/>
      <c r="R1952" s="8" t="n"/>
      <c r="S1952" s="8" t="n"/>
      <c r="T1952" s="7" t="inlineStr">
        <is>
          <t>SEM COTAÇÃO</t>
        </is>
      </c>
      <c r="U1952" s="8" t="n"/>
      <c r="V1952" s="14" t="n"/>
      <c r="W1952" s="14" t="n"/>
      <c r="X1952" s="7" t="inlineStr"/>
      <c r="Y1952" s="7" t="inlineStr"/>
    </row>
    <row r="1953">
      <c r="A1953" s="7" t="n">
        <v>541661</v>
      </c>
      <c r="B1953" s="12" t="inlineStr">
        <is>
          <t>7899700800347</t>
        </is>
      </c>
      <c r="C1953" s="7" t="inlineStr">
        <is>
          <t>FR SCOOBY DOO BABY JUMBINHO P C/20</t>
        </is>
      </c>
      <c r="D1953" s="7" t="inlineStr">
        <is>
          <t>FRALDAS INFANTIL</t>
        </is>
      </c>
      <c r="E1953" s="7" t="inlineStr">
        <is>
          <t>A</t>
        </is>
      </c>
      <c r="F1953" s="13" t="n">
        <v>4</v>
      </c>
      <c r="G1953" s="13" t="n">
        <v>4</v>
      </c>
      <c r="H1953" s="8" t="n">
        <v>10.49</v>
      </c>
      <c r="I1953" s="8" t="n">
        <v>9.68</v>
      </c>
      <c r="J1953" s="8" t="n">
        <v>9.986666666666666</v>
      </c>
      <c r="K1953" s="8" t="n"/>
      <c r="L1953" s="8" t="n"/>
      <c r="M1953" s="8" t="n"/>
      <c r="N1953" s="8" t="n"/>
      <c r="O1953" s="8" t="n"/>
      <c r="P1953" s="8" t="n"/>
      <c r="Q1953" s="8" t="n"/>
      <c r="R1953" s="8" t="n"/>
      <c r="S1953" s="8" t="n"/>
      <c r="T1953" s="7" t="inlineStr">
        <is>
          <t>SEM COTAÇÃO</t>
        </is>
      </c>
      <c r="U1953" s="8" t="n"/>
      <c r="V1953" s="14" t="n"/>
      <c r="W1953" s="14" t="n"/>
      <c r="X1953" s="7" t="inlineStr"/>
      <c r="Y1953" s="7" t="inlineStr"/>
    </row>
    <row r="1954">
      <c r="A1954" s="7" t="n">
        <v>628351</v>
      </c>
      <c r="B1954" s="12" t="inlineStr">
        <is>
          <t>7899700804079</t>
        </is>
      </c>
      <c r="C1954" s="7" t="inlineStr">
        <is>
          <t>FRA HIPOPO ROUP CONFORT JUMBO - GDE C/30</t>
        </is>
      </c>
      <c r="D1954" s="7" t="inlineStr">
        <is>
          <t>FRALDAS INFANTIL</t>
        </is>
      </c>
      <c r="E1954" s="7" t="inlineStr">
        <is>
          <t>A</t>
        </is>
      </c>
      <c r="F1954" s="13" t="n">
        <v>3</v>
      </c>
      <c r="G1954" s="13" t="n">
        <v>3</v>
      </c>
      <c r="H1954" s="8" t="n">
        <v>31.84</v>
      </c>
      <c r="I1954" s="8" t="n">
        <v>31.84</v>
      </c>
      <c r="J1954" s="8" t="n">
        <v>31.84</v>
      </c>
      <c r="K1954" s="8" t="n"/>
      <c r="L1954" s="8" t="n"/>
      <c r="M1954" s="8" t="n"/>
      <c r="N1954" s="8" t="n"/>
      <c r="O1954" s="8" t="n"/>
      <c r="P1954" s="8" t="n"/>
      <c r="Q1954" s="8" t="n"/>
      <c r="R1954" s="8" t="n"/>
      <c r="S1954" s="8" t="n"/>
      <c r="T1954" s="7" t="inlineStr">
        <is>
          <t>SEM COTAÇÃO</t>
        </is>
      </c>
      <c r="U1954" s="8" t="n"/>
      <c r="V1954" s="14" t="n"/>
      <c r="W1954" s="14" t="n"/>
      <c r="X1954" s="7" t="inlineStr"/>
      <c r="Y1954" s="7" t="inlineStr"/>
    </row>
    <row r="1955">
      <c r="A1955" s="7" t="n">
        <v>634211</v>
      </c>
      <c r="B1955" s="12" t="inlineStr">
        <is>
          <t>7899700804062</t>
        </is>
      </c>
      <c r="C1955" s="7" t="inlineStr">
        <is>
          <t>FRA HIPOPO ROUP CONFORT JUMBO - MED C/34</t>
        </is>
      </c>
      <c r="D1955" s="7" t="inlineStr">
        <is>
          <t>FRALDAS INFANTIL</t>
        </is>
      </c>
      <c r="E1955" s="7" t="inlineStr">
        <is>
          <t>C</t>
        </is>
      </c>
      <c r="F1955" s="13" t="n">
        <v>1</v>
      </c>
      <c r="G1955" s="13" t="n">
        <v>1</v>
      </c>
      <c r="H1955" s="8" t="n">
        <v>36.92</v>
      </c>
      <c r="I1955" s="8" t="n">
        <v>36.92</v>
      </c>
      <c r="J1955" s="8" t="n">
        <v>36.92</v>
      </c>
      <c r="K1955" s="8" t="n"/>
      <c r="L1955" s="8" t="n"/>
      <c r="M1955" s="8" t="n"/>
      <c r="N1955" s="8" t="n"/>
      <c r="O1955" s="8" t="n"/>
      <c r="P1955" s="8" t="n"/>
      <c r="Q1955" s="8" t="n"/>
      <c r="R1955" s="8" t="n"/>
      <c r="S1955" s="8" t="n"/>
      <c r="T1955" s="7" t="inlineStr">
        <is>
          <t>SEM COTAÇÃO</t>
        </is>
      </c>
      <c r="U1955" s="8" t="n"/>
      <c r="V1955" s="14" t="n"/>
      <c r="W1955" s="14" t="n"/>
      <c r="X1955" s="7" t="inlineStr"/>
      <c r="Y1955" s="7" t="inlineStr"/>
    </row>
    <row r="1956">
      <c r="A1956" s="7" t="n">
        <v>628341</v>
      </c>
      <c r="B1956" s="12" t="inlineStr">
        <is>
          <t>7899700804086</t>
        </is>
      </c>
      <c r="C1956" s="7" t="inlineStr">
        <is>
          <t>FRA HIPOPO ROUP CONFORT JUMBO - XG C/26</t>
        </is>
      </c>
      <c r="D1956" s="7" t="inlineStr">
        <is>
          <t>FRALDAS INFANTIL</t>
        </is>
      </c>
      <c r="E1956" s="7" t="inlineStr">
        <is>
          <t>A</t>
        </is>
      </c>
      <c r="F1956" s="13" t="n">
        <v>5</v>
      </c>
      <c r="G1956" s="13" t="n">
        <v>5</v>
      </c>
      <c r="H1956" s="8" t="n">
        <v>31.84</v>
      </c>
      <c r="I1956" s="8" t="n">
        <v>31.84</v>
      </c>
      <c r="J1956" s="8" t="n">
        <v>31.84</v>
      </c>
      <c r="K1956" s="8" t="n"/>
      <c r="L1956" s="8" t="n"/>
      <c r="M1956" s="8" t="n"/>
      <c r="N1956" s="8" t="n"/>
      <c r="O1956" s="8" t="n"/>
      <c r="P1956" s="8" t="n"/>
      <c r="Q1956" s="8" t="n"/>
      <c r="R1956" s="8" t="n"/>
      <c r="S1956" s="8" t="n"/>
      <c r="T1956" s="7" t="inlineStr">
        <is>
          <t>SEM COTAÇÃO</t>
        </is>
      </c>
      <c r="U1956" s="8" t="n"/>
      <c r="V1956" s="14" t="n"/>
      <c r="W1956" s="14" t="n"/>
      <c r="X1956" s="7" t="inlineStr"/>
      <c r="Y1956" s="7" t="inlineStr"/>
    </row>
    <row r="1957">
      <c r="A1957" s="7" t="n">
        <v>621131</v>
      </c>
      <c r="B1957" s="12" t="inlineStr">
        <is>
          <t>7896007551088</t>
        </is>
      </c>
      <c r="C1957" s="7" t="inlineStr">
        <is>
          <t>FRA HUGGIES BANHO LIT SWIM GDE C/10</t>
        </is>
      </c>
      <c r="D1957" s="7" t="inlineStr">
        <is>
          <t>FRALDAS INFANTIL</t>
        </is>
      </c>
      <c r="E1957" s="7" t="inlineStr">
        <is>
          <t>C</t>
        </is>
      </c>
      <c r="F1957" s="13" t="n">
        <v>1</v>
      </c>
      <c r="G1957" s="13" t="n">
        <v>1</v>
      </c>
      <c r="H1957" s="8" t="n">
        <v>34.7033</v>
      </c>
      <c r="I1957" s="8" t="n">
        <v>34.7033</v>
      </c>
      <c r="J1957" s="8" t="n">
        <v>34.7033</v>
      </c>
      <c r="K1957" s="8" t="n"/>
      <c r="L1957" s="8" t="n"/>
      <c r="M1957" s="8" t="n"/>
      <c r="N1957" s="8" t="n"/>
      <c r="O1957" s="8" t="n"/>
      <c r="P1957" s="8" t="n">
        <v>45.42</v>
      </c>
      <c r="Q1957" s="8" t="n"/>
      <c r="R1957" s="8" t="n"/>
      <c r="S1957" s="8" t="n"/>
      <c r="T1957" s="7" t="inlineStr">
        <is>
          <t>SEM COTAÇÃO</t>
        </is>
      </c>
      <c r="U1957" s="8" t="n"/>
      <c r="V1957" s="14" t="n"/>
      <c r="W1957" s="14" t="n"/>
      <c r="X1957" s="7" t="inlineStr"/>
      <c r="Y1957" s="7" t="inlineStr">
        <is>
          <t>NAZARIA: sem estoque</t>
        </is>
      </c>
    </row>
    <row r="1958">
      <c r="A1958" s="7" t="n">
        <v>614481</v>
      </c>
      <c r="B1958" s="12" t="inlineStr">
        <is>
          <t>7896007551279</t>
        </is>
      </c>
      <c r="C1958" s="7" t="inlineStr">
        <is>
          <t>FRA HUGGIES CARE ROUP HIPER XXG C/48</t>
        </is>
      </c>
      <c r="D1958" s="7" t="inlineStr">
        <is>
          <t>FRALDAS INFANTIL</t>
        </is>
      </c>
      <c r="E1958" s="7" t="inlineStr">
        <is>
          <t>B</t>
        </is>
      </c>
      <c r="F1958" s="13" t="n">
        <v>2</v>
      </c>
      <c r="G1958" s="13" t="n">
        <v>2</v>
      </c>
      <c r="H1958" s="8" t="n">
        <v>87.53619999999999</v>
      </c>
      <c r="I1958" s="8" t="n">
        <v>87.53619999999999</v>
      </c>
      <c r="J1958" s="8" t="n">
        <v>87.53619999999999</v>
      </c>
      <c r="K1958" s="8" t="n"/>
      <c r="L1958" s="8" t="n"/>
      <c r="M1958" s="8" t="n"/>
      <c r="N1958" s="8" t="n"/>
      <c r="O1958" s="8" t="n"/>
      <c r="P1958" s="15" t="n">
        <v>89.83</v>
      </c>
      <c r="Q1958" s="8" t="n"/>
      <c r="R1958" s="8" t="n"/>
      <c r="S1958" s="8" t="n"/>
      <c r="T1958" s="7" t="inlineStr">
        <is>
          <t>NAZARIA</t>
        </is>
      </c>
      <c r="U1958" s="8" t="n">
        <v>89.83</v>
      </c>
      <c r="V1958" s="14">
        <f>U1958/J1958-1</f>
        <v/>
      </c>
      <c r="W1958" s="14">
        <f>U1958/H1958-1</f>
        <v/>
      </c>
      <c r="X1958" s="16" t="inlineStr">
        <is>
          <t>ACIMA +2.6%</t>
        </is>
      </c>
      <c r="Y1958" s="7" t="inlineStr"/>
    </row>
    <row r="1959">
      <c r="A1959" s="7" t="n">
        <v>651681</v>
      </c>
      <c r="B1959" s="12" t="inlineStr">
        <is>
          <t>7896007552016</t>
        </is>
      </c>
      <c r="C1959" s="7" t="inlineStr">
        <is>
          <t>FRA HUGGIES NATURAL CARE_RN MEGA C/34 N</t>
        </is>
      </c>
      <c r="D1959" s="7" t="inlineStr">
        <is>
          <t>FRALDAS INFANTIL</t>
        </is>
      </c>
      <c r="E1959" s="7" t="inlineStr">
        <is>
          <t>C</t>
        </is>
      </c>
      <c r="F1959" s="13" t="n">
        <v>1</v>
      </c>
      <c r="G1959" s="13" t="n">
        <v>1</v>
      </c>
      <c r="H1959" s="8" t="n">
        <v>36.6483</v>
      </c>
      <c r="I1959" s="8" t="n">
        <v>36.6483</v>
      </c>
      <c r="J1959" s="8" t="n">
        <v>36.6483</v>
      </c>
      <c r="K1959" s="8" t="n"/>
      <c r="L1959" s="8" t="n"/>
      <c r="M1959" s="8" t="n"/>
      <c r="N1959" s="8" t="n"/>
      <c r="O1959" s="8" t="n"/>
      <c r="P1959" s="15" t="n">
        <v>45.57</v>
      </c>
      <c r="Q1959" s="8" t="n"/>
      <c r="R1959" s="8" t="n"/>
      <c r="S1959" s="8" t="n"/>
      <c r="T1959" s="7" t="inlineStr">
        <is>
          <t>NAZARIA</t>
        </is>
      </c>
      <c r="U1959" s="8" t="n">
        <v>45.57</v>
      </c>
      <c r="V1959" s="14">
        <f>U1959/J1959-1</f>
        <v/>
      </c>
      <c r="W1959" s="14">
        <f>U1959/H1959-1</f>
        <v/>
      </c>
      <c r="X1959" s="16" t="inlineStr">
        <is>
          <t>ACIMA +24.3%</t>
        </is>
      </c>
      <c r="Y1959" s="7" t="inlineStr"/>
    </row>
    <row r="1960">
      <c r="A1960" s="7" t="n">
        <v>641701</v>
      </c>
      <c r="B1960" s="12" t="inlineStr">
        <is>
          <t>7896007553235</t>
        </is>
      </c>
      <c r="C1960" s="7" t="inlineStr">
        <is>
          <t>FRA HUGGIES PROTECAO DIA MEGA XXG C/44</t>
        </is>
      </c>
      <c r="D1960" s="7" t="inlineStr">
        <is>
          <t>FRALDAS INFANTIL</t>
        </is>
      </c>
      <c r="E1960" s="7" t="inlineStr">
        <is>
          <t>C</t>
        </is>
      </c>
      <c r="F1960" s="13" t="n">
        <v>1</v>
      </c>
      <c r="G1960" s="13" t="n">
        <v>1</v>
      </c>
      <c r="H1960" s="8" t="n">
        <v>39.9</v>
      </c>
      <c r="I1960" s="8" t="n">
        <v>39.9</v>
      </c>
      <c r="J1960" s="8" t="n">
        <v>39.9</v>
      </c>
      <c r="K1960" s="8" t="n"/>
      <c r="L1960" s="8" t="n"/>
      <c r="M1960" s="8" t="n"/>
      <c r="N1960" s="8" t="n"/>
      <c r="O1960" s="8" t="n"/>
      <c r="P1960" s="8" t="n"/>
      <c r="Q1960" s="8" t="n"/>
      <c r="R1960" s="8" t="n"/>
      <c r="S1960" s="8" t="n"/>
      <c r="T1960" s="7" t="inlineStr">
        <is>
          <t>SEM COTAÇÃO</t>
        </is>
      </c>
      <c r="U1960" s="8" t="n"/>
      <c r="V1960" s="14" t="n"/>
      <c r="W1960" s="14" t="n"/>
      <c r="X1960" s="7" t="inlineStr"/>
      <c r="Y1960" s="7" t="inlineStr"/>
    </row>
    <row r="1961">
      <c r="A1961" s="7" t="n">
        <v>614451</v>
      </c>
      <c r="B1961" s="12" t="inlineStr">
        <is>
          <t>7896007549719</t>
        </is>
      </c>
      <c r="C1961" s="7" t="inlineStr">
        <is>
          <t>FRA HUGGIES SP CARE ROUP HIPER GDE C/60</t>
        </is>
      </c>
      <c r="D1961" s="7" t="inlineStr">
        <is>
          <t>FRALDAS INFANTIL</t>
        </is>
      </c>
      <c r="E1961" s="7" t="inlineStr">
        <is>
          <t>C</t>
        </is>
      </c>
      <c r="F1961" s="13" t="n">
        <v>1</v>
      </c>
      <c r="G1961" s="13" t="n">
        <v>1</v>
      </c>
      <c r="H1961" s="8" t="n">
        <v>87.53619999999999</v>
      </c>
      <c r="I1961" s="8" t="n">
        <v>87.53619999999999</v>
      </c>
      <c r="J1961" s="8" t="n">
        <v>87.53619999999999</v>
      </c>
      <c r="K1961" s="8" t="n"/>
      <c r="L1961" s="8" t="n"/>
      <c r="M1961" s="8" t="n"/>
      <c r="N1961" s="8" t="n"/>
      <c r="O1961" s="8" t="n"/>
      <c r="P1961" s="15" t="n">
        <v>89.83</v>
      </c>
      <c r="Q1961" s="8" t="n"/>
      <c r="R1961" s="8" t="n"/>
      <c r="S1961" s="8" t="n"/>
      <c r="T1961" s="7" t="inlineStr">
        <is>
          <t>NAZARIA</t>
        </is>
      </c>
      <c r="U1961" s="8" t="n">
        <v>89.83</v>
      </c>
      <c r="V1961" s="14">
        <f>U1961/J1961-1</f>
        <v/>
      </c>
      <c r="W1961" s="14">
        <f>U1961/H1961-1</f>
        <v/>
      </c>
      <c r="X1961" s="16" t="inlineStr">
        <is>
          <t>ACIMA +2.6%</t>
        </is>
      </c>
      <c r="Y1961" s="7" t="inlineStr"/>
    </row>
    <row r="1962">
      <c r="A1962" s="7" t="n">
        <v>614461</v>
      </c>
      <c r="B1962" s="12" t="inlineStr">
        <is>
          <t>7896007551262</t>
        </is>
      </c>
      <c r="C1962" s="7" t="inlineStr">
        <is>
          <t>FRA HUGGIES SP CARE ROUP HIPER MED C/72</t>
        </is>
      </c>
      <c r="D1962" s="7" t="inlineStr">
        <is>
          <t>FRALDAS INFANTIL</t>
        </is>
      </c>
      <c r="E1962" s="7" t="inlineStr">
        <is>
          <t>A</t>
        </is>
      </c>
      <c r="F1962" s="13" t="n">
        <v>2</v>
      </c>
      <c r="G1962" s="13" t="n">
        <v>2</v>
      </c>
      <c r="H1962" s="8" t="n">
        <v>87.53619999999999</v>
      </c>
      <c r="I1962" s="8" t="n">
        <v>87.53619999999999</v>
      </c>
      <c r="J1962" s="8" t="n">
        <v>87.53619999999999</v>
      </c>
      <c r="K1962" s="8" t="n"/>
      <c r="L1962" s="8" t="n"/>
      <c r="M1962" s="8" t="n"/>
      <c r="N1962" s="8" t="n"/>
      <c r="O1962" s="8" t="n"/>
      <c r="P1962" s="15" t="n">
        <v>89.83</v>
      </c>
      <c r="Q1962" s="8" t="n"/>
      <c r="R1962" s="8" t="n"/>
      <c r="S1962" s="8" t="n"/>
      <c r="T1962" s="7" t="inlineStr">
        <is>
          <t>NAZARIA</t>
        </is>
      </c>
      <c r="U1962" s="8" t="n">
        <v>89.83</v>
      </c>
      <c r="V1962" s="14">
        <f>U1962/J1962-1</f>
        <v/>
      </c>
      <c r="W1962" s="14">
        <f>U1962/H1962-1</f>
        <v/>
      </c>
      <c r="X1962" s="16" t="inlineStr">
        <is>
          <t>ACIMA +2.6%</t>
        </is>
      </c>
      <c r="Y1962" s="7" t="inlineStr"/>
    </row>
    <row r="1963">
      <c r="A1963" s="7" t="n">
        <v>617081</v>
      </c>
      <c r="B1963" s="12" t="inlineStr">
        <is>
          <t>7896007553051</t>
        </is>
      </c>
      <c r="C1963" s="7" t="inlineStr">
        <is>
          <t>FRA HUGGIES TRIPLA ROUP MEGA - GDE C/28</t>
        </is>
      </c>
      <c r="D1963" s="7" t="inlineStr">
        <is>
          <t>FRALDAS INFANTIL</t>
        </is>
      </c>
      <c r="E1963" s="7" t="inlineStr">
        <is>
          <t>A</t>
        </is>
      </c>
      <c r="F1963" s="13" t="n">
        <v>7</v>
      </c>
      <c r="G1963" s="13" t="n">
        <v>7</v>
      </c>
      <c r="H1963" s="8" t="n">
        <v>36.98</v>
      </c>
      <c r="I1963" s="8" t="n">
        <v>36.98</v>
      </c>
      <c r="J1963" s="8" t="n">
        <v>36.98</v>
      </c>
      <c r="K1963" s="8" t="n"/>
      <c r="L1963" s="8" t="n"/>
      <c r="M1963" s="8" t="n"/>
      <c r="N1963" s="8" t="n"/>
      <c r="O1963" s="8" t="n"/>
      <c r="P1963" s="15" t="n">
        <v>37.88</v>
      </c>
      <c r="Q1963" s="8" t="n"/>
      <c r="R1963" s="8" t="n"/>
      <c r="S1963" s="8" t="n"/>
      <c r="T1963" s="7" t="inlineStr">
        <is>
          <t>NAZARIA</t>
        </is>
      </c>
      <c r="U1963" s="8" t="n">
        <v>37.88</v>
      </c>
      <c r="V1963" s="14">
        <f>U1963/J1963-1</f>
        <v/>
      </c>
      <c r="W1963" s="14">
        <f>U1963/H1963-1</f>
        <v/>
      </c>
      <c r="X1963" s="16" t="inlineStr">
        <is>
          <t>ACIMA +2.4%</t>
        </is>
      </c>
      <c r="Y1963" s="7" t="inlineStr"/>
    </row>
    <row r="1964">
      <c r="A1964" s="7" t="n">
        <v>616531</v>
      </c>
      <c r="B1964" s="12" t="inlineStr">
        <is>
          <t>7896007553068</t>
        </is>
      </c>
      <c r="C1964" s="7" t="inlineStr">
        <is>
          <t>FRA HUGGIES TRIPLA ROUP MEGA - XG C/24</t>
        </is>
      </c>
      <c r="D1964" s="7" t="inlineStr">
        <is>
          <t>FRALDAS INFANTIL</t>
        </is>
      </c>
      <c r="E1964" s="7" t="inlineStr">
        <is>
          <t>A</t>
        </is>
      </c>
      <c r="F1964" s="13" t="n">
        <v>2</v>
      </c>
      <c r="G1964" s="13" t="n">
        <v>2</v>
      </c>
      <c r="H1964" s="8" t="n">
        <v>36.98</v>
      </c>
      <c r="I1964" s="8" t="n">
        <v>36.98</v>
      </c>
      <c r="J1964" s="8" t="n">
        <v>36.98</v>
      </c>
      <c r="K1964" s="8" t="n"/>
      <c r="L1964" s="8" t="n"/>
      <c r="M1964" s="8" t="n"/>
      <c r="N1964" s="8" t="n"/>
      <c r="O1964" s="8" t="n"/>
      <c r="P1964" s="15" t="n">
        <v>37.88</v>
      </c>
      <c r="Q1964" s="8" t="n"/>
      <c r="R1964" s="8" t="n"/>
      <c r="S1964" s="8" t="n"/>
      <c r="T1964" s="7" t="inlineStr">
        <is>
          <t>NAZARIA</t>
        </is>
      </c>
      <c r="U1964" s="8" t="n">
        <v>37.88</v>
      </c>
      <c r="V1964" s="14">
        <f>U1964/J1964-1</f>
        <v/>
      </c>
      <c r="W1964" s="14">
        <f>U1964/H1964-1</f>
        <v/>
      </c>
      <c r="X1964" s="16" t="inlineStr">
        <is>
          <t>ACIMA +2.4%</t>
        </is>
      </c>
      <c r="Y1964" s="7" t="inlineStr"/>
    </row>
    <row r="1965">
      <c r="A1965" s="7" t="n">
        <v>616521</v>
      </c>
      <c r="B1965" s="12" t="inlineStr"/>
      <c r="C1965" s="7" t="inlineStr">
        <is>
          <t>FRA HUGGIES TRIPLA ROUP MEGA XXG C/22</t>
        </is>
      </c>
      <c r="D1965" s="7" t="inlineStr">
        <is>
          <t>FRALDAS INFANTIL</t>
        </is>
      </c>
      <c r="E1965" s="7" t="inlineStr">
        <is>
          <t>A</t>
        </is>
      </c>
      <c r="F1965" s="13" t="n">
        <v>4</v>
      </c>
      <c r="G1965" s="13" t="n">
        <v>4</v>
      </c>
      <c r="H1965" s="8" t="n">
        <v>36.98</v>
      </c>
      <c r="I1965" s="8" t="n">
        <v>36.98</v>
      </c>
      <c r="J1965" s="8" t="n">
        <v>36.98</v>
      </c>
      <c r="K1965" s="8" t="n"/>
      <c r="L1965" s="8" t="n"/>
      <c r="M1965" s="8" t="n"/>
      <c r="N1965" s="8" t="n"/>
      <c r="O1965" s="8" t="n"/>
      <c r="P1965" s="8" t="n"/>
      <c r="Q1965" s="8" t="n"/>
      <c r="R1965" s="8" t="n"/>
      <c r="S1965" s="8" t="n"/>
      <c r="T1965" s="7" t="inlineStr">
        <is>
          <t>SEM COTAÇÃO</t>
        </is>
      </c>
      <c r="U1965" s="8" t="n"/>
      <c r="V1965" s="14" t="n"/>
      <c r="W1965" s="14" t="n"/>
      <c r="X1965" s="7" t="inlineStr"/>
      <c r="Y1965" s="7" t="inlineStr"/>
    </row>
    <row r="1966">
      <c r="A1966" s="7" t="n">
        <v>635911</v>
      </c>
      <c r="B1966" s="12" t="inlineStr">
        <is>
          <t>7899700801931</t>
        </is>
      </c>
      <c r="C1966" s="7" t="inlineStr">
        <is>
          <t>FRA INCONT CONFORT FRAL ECON MED C/30</t>
        </is>
      </c>
      <c r="D1966" s="7" t="inlineStr">
        <is>
          <t>FRALDAS GERIATRICAS</t>
        </is>
      </c>
      <c r="E1966" s="7" t="inlineStr">
        <is>
          <t>B</t>
        </is>
      </c>
      <c r="F1966" s="13" t="n">
        <v>1</v>
      </c>
      <c r="G1966" s="13" t="n">
        <v>1</v>
      </c>
      <c r="H1966" s="8" t="n">
        <v>51.88</v>
      </c>
      <c r="I1966" s="8" t="n">
        <v>51.88</v>
      </c>
      <c r="J1966" s="8" t="n">
        <v>51.88</v>
      </c>
      <c r="K1966" s="8" t="n"/>
      <c r="L1966" s="8" t="n"/>
      <c r="M1966" s="8" t="n"/>
      <c r="N1966" s="8" t="n"/>
      <c r="O1966" s="8" t="n"/>
      <c r="P1966" s="8" t="n"/>
      <c r="Q1966" s="8" t="n"/>
      <c r="R1966" s="8" t="n"/>
      <c r="S1966" s="8" t="n"/>
      <c r="T1966" s="7" t="inlineStr">
        <is>
          <t>SEM COTAÇÃO</t>
        </is>
      </c>
      <c r="U1966" s="8" t="n"/>
      <c r="V1966" s="14" t="n"/>
      <c r="W1966" s="14" t="n"/>
      <c r="X1966" s="7" t="inlineStr"/>
      <c r="Y1966" s="7" t="inlineStr"/>
    </row>
    <row r="1967">
      <c r="A1967" s="7" t="n">
        <v>637731</v>
      </c>
      <c r="B1967" s="12" t="inlineStr">
        <is>
          <t>7896012881170</t>
        </is>
      </c>
      <c r="C1967" s="7" t="inlineStr">
        <is>
          <t>FRALDA ADU BIGFRAL CLASSIC G 28X1</t>
        </is>
      </c>
      <c r="D1967" s="7" t="inlineStr">
        <is>
          <t>FRALDAS GERIATRICAS</t>
        </is>
      </c>
      <c r="E1967" s="7" t="inlineStr">
        <is>
          <t>C</t>
        </is>
      </c>
      <c r="F1967" s="13" t="n">
        <v>1</v>
      </c>
      <c r="G1967" s="13" t="n">
        <v>1</v>
      </c>
      <c r="H1967" s="8" t="n">
        <v>65.0667</v>
      </c>
      <c r="I1967" s="8" t="n">
        <v>65.0667</v>
      </c>
      <c r="J1967" s="8" t="n">
        <v>65.0667</v>
      </c>
      <c r="K1967" s="8" t="n"/>
      <c r="L1967" s="8" t="n"/>
      <c r="M1967" s="8" t="n"/>
      <c r="N1967" s="8" t="n"/>
      <c r="O1967" s="8" t="n"/>
      <c r="P1967" s="8" t="n"/>
      <c r="Q1967" s="8" t="n"/>
      <c r="R1967" s="8" t="n"/>
      <c r="S1967" s="8" t="n"/>
      <c r="T1967" s="7" t="inlineStr">
        <is>
          <t>SEM COTAÇÃO</t>
        </is>
      </c>
      <c r="U1967" s="8" t="n"/>
      <c r="V1967" s="14" t="n"/>
      <c r="W1967" s="14" t="n"/>
      <c r="X1967" s="7" t="inlineStr"/>
      <c r="Y1967" s="7" t="inlineStr"/>
    </row>
    <row r="1968">
      <c r="A1968" s="7" t="n">
        <v>662061</v>
      </c>
      <c r="B1968" s="12" t="inlineStr">
        <is>
          <t>7896480691790</t>
        </is>
      </c>
      <c r="C1968" s="7" t="inlineStr">
        <is>
          <t>FRALDA ADULTO ENLACE PANTS PROTE G/XG 8UN</t>
        </is>
      </c>
      <c r="D1968" s="7" t="inlineStr">
        <is>
          <t>FRALDAS GERIATRICAS</t>
        </is>
      </c>
      <c r="E1968" s="7" t="inlineStr">
        <is>
          <t>A</t>
        </is>
      </c>
      <c r="F1968" s="13" t="n">
        <v>1</v>
      </c>
      <c r="G1968" s="13" t="n">
        <v>8</v>
      </c>
      <c r="H1968" s="8" t="n">
        <v>17.0712</v>
      </c>
      <c r="I1968" s="8" t="n">
        <v>15.7038</v>
      </c>
      <c r="J1968" s="8" t="n">
        <v>15.96083333333333</v>
      </c>
      <c r="K1968" s="8" t="n"/>
      <c r="L1968" s="8" t="n"/>
      <c r="M1968" s="8" t="n"/>
      <c r="N1968" s="8" t="n"/>
      <c r="O1968" s="8" t="n"/>
      <c r="P1968" s="8" t="n"/>
      <c r="Q1968" s="8" t="n"/>
      <c r="R1968" s="8" t="n"/>
      <c r="S1968" s="8" t="n"/>
      <c r="T1968" s="7" t="inlineStr">
        <is>
          <t>SEM COTAÇÃO</t>
        </is>
      </c>
      <c r="U1968" s="8" t="n"/>
      <c r="V1968" s="14" t="n"/>
      <c r="W1968" s="14" t="n"/>
      <c r="X1968" s="7" t="inlineStr"/>
      <c r="Y1968" s="7" t="inlineStr"/>
    </row>
    <row r="1969">
      <c r="A1969" s="7" t="n">
        <v>671801</v>
      </c>
      <c r="B1969" s="12" t="inlineStr">
        <is>
          <t>17896480691735</t>
        </is>
      </c>
      <c r="C1969" s="7" t="inlineStr">
        <is>
          <t>FRALDA ADULTO ENLACE PROTECT CARE M 8UN</t>
        </is>
      </c>
      <c r="D1969" s="7" t="inlineStr">
        <is>
          <t>FRALDAS GERIATRICAS</t>
        </is>
      </c>
      <c r="E1969" s="7" t="inlineStr">
        <is>
          <t>C</t>
        </is>
      </c>
      <c r="F1969" s="13" t="n">
        <v>1</v>
      </c>
      <c r="G1969" s="13" t="n">
        <v>2</v>
      </c>
      <c r="H1969" s="8" t="n">
        <v>12.5812</v>
      </c>
      <c r="I1969" s="8" t="n">
        <v>12.5812</v>
      </c>
      <c r="J1969" s="8" t="n">
        <v>12.5812</v>
      </c>
      <c r="K1969" s="8" t="n"/>
      <c r="L1969" s="8" t="n"/>
      <c r="M1969" s="8" t="n"/>
      <c r="N1969" s="8" t="n"/>
      <c r="O1969" s="8" t="n"/>
      <c r="P1969" s="8" t="n"/>
      <c r="Q1969" s="8" t="n"/>
      <c r="R1969" s="8" t="n"/>
      <c r="S1969" s="8" t="n"/>
      <c r="T1969" s="7" t="inlineStr">
        <is>
          <t>SEM COTAÇÃO</t>
        </is>
      </c>
      <c r="U1969" s="8" t="n"/>
      <c r="V1969" s="14" t="n"/>
      <c r="W1969" s="14" t="n"/>
      <c r="X1969" s="7" t="inlineStr"/>
      <c r="Y1969" s="7" t="inlineStr"/>
    </row>
    <row r="1970">
      <c r="A1970" s="7" t="n">
        <v>664201</v>
      </c>
      <c r="B1970" s="12" t="inlineStr"/>
      <c r="C1970" s="7" t="inlineStr">
        <is>
          <t>FRALDA ADULTO ENLACE PROTECT CARE XG 7UN</t>
        </is>
      </c>
      <c r="D1970" s="7" t="inlineStr">
        <is>
          <t>FRALDAS GERIATRICAS</t>
        </is>
      </c>
      <c r="E1970" s="7" t="inlineStr">
        <is>
          <t>A</t>
        </is>
      </c>
      <c r="F1970" s="13" t="n">
        <v>1</v>
      </c>
      <c r="G1970" s="13" t="n">
        <v>1</v>
      </c>
      <c r="H1970" s="8" t="n">
        <v>12.1762</v>
      </c>
      <c r="I1970" s="8" t="n">
        <v>12.1762</v>
      </c>
      <c r="J1970" s="8" t="n">
        <v>12.1762</v>
      </c>
      <c r="K1970" s="8" t="n"/>
      <c r="L1970" s="8" t="n"/>
      <c r="M1970" s="8" t="n"/>
      <c r="N1970" s="8" t="n"/>
      <c r="O1970" s="8" t="n"/>
      <c r="P1970" s="8" t="n"/>
      <c r="Q1970" s="8" t="n"/>
      <c r="R1970" s="8" t="n"/>
      <c r="S1970" s="8" t="n"/>
      <c r="T1970" s="7" t="inlineStr">
        <is>
          <t>SEM COTAÇÃO</t>
        </is>
      </c>
      <c r="U1970" s="8" t="n"/>
      <c r="V1970" s="14" t="n"/>
      <c r="W1970" s="14" t="n"/>
      <c r="X1970" s="7" t="inlineStr"/>
      <c r="Y1970" s="7" t="inlineStr"/>
    </row>
    <row r="1971">
      <c r="A1971" s="7" t="n">
        <v>662001</v>
      </c>
      <c r="B1971" s="12" t="inlineStr">
        <is>
          <t>7896061990892</t>
        </is>
      </c>
      <c r="C1971" s="7" t="inlineStr">
        <is>
          <t>FRALDA BABYSEC ROU PREMIUM HIP XG 42X1</t>
        </is>
      </c>
      <c r="D1971" s="7" t="inlineStr">
        <is>
          <t>FRALDAS INFANTIL</t>
        </is>
      </c>
      <c r="E1971" s="7" t="inlineStr">
        <is>
          <t>A</t>
        </is>
      </c>
      <c r="F1971" s="13" t="n">
        <v>5</v>
      </c>
      <c r="G1971" s="13" t="n">
        <v>5</v>
      </c>
      <c r="H1971" s="8" t="n">
        <v>61.99</v>
      </c>
      <c r="I1971" s="8" t="n">
        <v>59</v>
      </c>
      <c r="J1971" s="8" t="n">
        <v>60.63</v>
      </c>
      <c r="K1971" s="8" t="n"/>
      <c r="L1971" s="8" t="n"/>
      <c r="M1971" s="8" t="n"/>
      <c r="N1971" s="8" t="n"/>
      <c r="O1971" s="8" t="n"/>
      <c r="P1971" s="8" t="n"/>
      <c r="Q1971" s="8" t="n"/>
      <c r="R1971" s="8" t="n"/>
      <c r="S1971" s="8" t="n"/>
      <c r="T1971" s="7" t="inlineStr">
        <is>
          <t>SEM COTAÇÃO</t>
        </is>
      </c>
      <c r="U1971" s="8" t="n"/>
      <c r="V1971" s="14" t="n"/>
      <c r="W1971" s="14" t="n"/>
      <c r="X1971" s="7" t="inlineStr"/>
      <c r="Y1971" s="7" t="inlineStr"/>
    </row>
    <row r="1972">
      <c r="A1972" s="7" t="n">
        <v>656791</v>
      </c>
      <c r="B1972" s="12" t="inlineStr">
        <is>
          <t>7896061997464</t>
        </is>
      </c>
      <c r="C1972" s="7" t="inlineStr">
        <is>
          <t>FRALDA BABYSEC SHORT JUMBINHO G 14X1</t>
        </is>
      </c>
      <c r="D1972" s="7" t="inlineStr">
        <is>
          <t>FRALDAS INFANTIL</t>
        </is>
      </c>
      <c r="E1972" s="7" t="inlineStr">
        <is>
          <t>A</t>
        </is>
      </c>
      <c r="F1972" s="13" t="n">
        <v>14</v>
      </c>
      <c r="G1972" s="13" t="n">
        <v>14</v>
      </c>
      <c r="H1972" s="8" t="n">
        <v>16.99</v>
      </c>
      <c r="I1972" s="8" t="n">
        <v>16.99</v>
      </c>
      <c r="J1972" s="8" t="n">
        <v>16.99</v>
      </c>
      <c r="K1972" s="8" t="n"/>
      <c r="L1972" s="8" t="n"/>
      <c r="M1972" s="8" t="n"/>
      <c r="N1972" s="8" t="n"/>
      <c r="O1972" s="8" t="n"/>
      <c r="P1972" s="8" t="n"/>
      <c r="Q1972" s="8" t="n"/>
      <c r="R1972" s="8" t="n"/>
      <c r="S1972" s="8" t="n"/>
      <c r="T1972" s="7" t="inlineStr">
        <is>
          <t>SEM COTAÇÃO</t>
        </is>
      </c>
      <c r="U1972" s="8" t="n"/>
      <c r="V1972" s="14" t="n"/>
      <c r="W1972" s="14" t="n"/>
      <c r="X1972" s="7" t="inlineStr"/>
      <c r="Y1972" s="7" t="inlineStr"/>
    </row>
    <row r="1973">
      <c r="A1973" s="7" t="n">
        <v>669731</v>
      </c>
      <c r="B1973" s="12" t="inlineStr">
        <is>
          <t>7896061997280</t>
        </is>
      </c>
      <c r="C1973" s="7" t="inlineStr">
        <is>
          <t>FRALDA BABYSEC SHORT JUMBINHO XG 12X1</t>
        </is>
      </c>
      <c r="D1973" s="7" t="inlineStr">
        <is>
          <t>FRALDAS INFANTIL</t>
        </is>
      </c>
      <c r="E1973" s="7" t="inlineStr">
        <is>
          <t>A</t>
        </is>
      </c>
      <c r="F1973" s="13" t="n">
        <v>11</v>
      </c>
      <c r="G1973" s="13" t="n">
        <v>11</v>
      </c>
      <c r="H1973" s="8" t="n">
        <v>16.99</v>
      </c>
      <c r="I1973" s="8" t="n">
        <v>16.99</v>
      </c>
      <c r="J1973" s="8" t="n">
        <v>16.99</v>
      </c>
      <c r="K1973" s="8" t="n"/>
      <c r="L1973" s="8" t="n"/>
      <c r="M1973" s="8" t="n"/>
      <c r="N1973" s="8" t="n"/>
      <c r="O1973" s="8" t="n"/>
      <c r="P1973" s="8" t="n"/>
      <c r="Q1973" s="8" t="n"/>
      <c r="R1973" s="8" t="n"/>
      <c r="S1973" s="8" t="n"/>
      <c r="T1973" s="7" t="inlineStr">
        <is>
          <t>SEM COTAÇÃO</t>
        </is>
      </c>
      <c r="U1973" s="8" t="n"/>
      <c r="V1973" s="14" t="n"/>
      <c r="W1973" s="14" t="n"/>
      <c r="X1973" s="7" t="inlineStr"/>
      <c r="Y1973" s="7" t="inlineStr"/>
    </row>
    <row r="1974">
      <c r="A1974" s="7" t="n">
        <v>662191</v>
      </c>
      <c r="B1974" s="12" t="inlineStr">
        <is>
          <t>7896061997259</t>
        </is>
      </c>
      <c r="C1974" s="7" t="inlineStr">
        <is>
          <t>FRALDA BABYSEC SHORT MEGA XXG 20X1</t>
        </is>
      </c>
      <c r="D1974" s="7" t="inlineStr">
        <is>
          <t>FRALDAS INFANTIL</t>
        </is>
      </c>
      <c r="E1974" s="7" t="inlineStr">
        <is>
          <t>A</t>
        </is>
      </c>
      <c r="F1974" s="13" t="n">
        <v>13</v>
      </c>
      <c r="G1974" s="13" t="n">
        <v>13</v>
      </c>
      <c r="H1974" s="8" t="n">
        <v>25.99</v>
      </c>
      <c r="I1974" s="8" t="n">
        <v>25.99</v>
      </c>
      <c r="J1974" s="8" t="n">
        <v>25.99</v>
      </c>
      <c r="K1974" s="8" t="n"/>
      <c r="L1974" s="8" t="n"/>
      <c r="M1974" s="8" t="n"/>
      <c r="N1974" s="8" t="n"/>
      <c r="O1974" s="8" t="n"/>
      <c r="P1974" s="8" t="n"/>
      <c r="Q1974" s="8" t="n"/>
      <c r="R1974" s="8" t="n"/>
      <c r="S1974" s="8" t="n"/>
      <c r="T1974" s="7" t="inlineStr">
        <is>
          <t>SEM COTAÇÃO</t>
        </is>
      </c>
      <c r="U1974" s="8" t="n"/>
      <c r="V1974" s="14" t="n"/>
      <c r="W1974" s="14" t="n"/>
      <c r="X1974" s="7" t="inlineStr"/>
      <c r="Y1974" s="7" t="inlineStr"/>
    </row>
    <row r="1975">
      <c r="A1975" s="7" t="n">
        <v>650921</v>
      </c>
      <c r="B1975" s="12" t="inlineStr">
        <is>
          <t>7896061990908</t>
        </is>
      </c>
      <c r="C1975" s="7" t="inlineStr">
        <is>
          <t>FRALDA BABYSEC SHORT PREMIUM MEGA XG 22UN</t>
        </is>
      </c>
      <c r="D1975" s="7" t="inlineStr">
        <is>
          <t>FRALDAS INFANTIL</t>
        </is>
      </c>
      <c r="E1975" s="7" t="inlineStr">
        <is>
          <t>A</t>
        </is>
      </c>
      <c r="F1975" s="13" t="n">
        <v>9</v>
      </c>
      <c r="G1975" s="13" t="n">
        <v>9</v>
      </c>
      <c r="H1975" s="8" t="n">
        <v>34.9</v>
      </c>
      <c r="I1975" s="8" t="n">
        <v>32.7483</v>
      </c>
      <c r="J1975" s="8" t="n">
        <v>34.18276666666667</v>
      </c>
      <c r="K1975" s="8" t="n"/>
      <c r="L1975" s="8" t="n"/>
      <c r="M1975" s="8" t="n"/>
      <c r="N1975" s="8" t="n"/>
      <c r="O1975" s="8" t="n"/>
      <c r="P1975" s="8" t="n"/>
      <c r="Q1975" s="8" t="n"/>
      <c r="R1975" s="8" t="n"/>
      <c r="S1975" s="8" t="n"/>
      <c r="T1975" s="7" t="inlineStr">
        <is>
          <t>SEM COTAÇÃO</t>
        </is>
      </c>
      <c r="U1975" s="8" t="n"/>
      <c r="V1975" s="14" t="n"/>
      <c r="W1975" s="14" t="n"/>
      <c r="X1975" s="7" t="inlineStr"/>
      <c r="Y1975" s="7" t="inlineStr"/>
    </row>
    <row r="1976">
      <c r="A1976" s="7" t="n">
        <v>562881</v>
      </c>
      <c r="B1976" s="12" t="inlineStr">
        <is>
          <t>7896061995842</t>
        </is>
      </c>
      <c r="C1976" s="7" t="inlineStr">
        <is>
          <t>FRALDA BABYSEC ULTRA GALINHA PINTAD XXG 12UN</t>
        </is>
      </c>
      <c r="D1976" s="7" t="inlineStr">
        <is>
          <t>FRALDAS INFANTIL</t>
        </is>
      </c>
      <c r="E1976" s="7" t="inlineStr">
        <is>
          <t>B</t>
        </is>
      </c>
      <c r="F1976" s="13" t="n">
        <v>1</v>
      </c>
      <c r="G1976" s="13" t="n">
        <v>5</v>
      </c>
      <c r="H1976" s="8" t="n">
        <v>16.29</v>
      </c>
      <c r="I1976" s="8" t="n">
        <v>15.8938</v>
      </c>
      <c r="J1976" s="8" t="n">
        <v>16.15793333333333</v>
      </c>
      <c r="K1976" s="8" t="n"/>
      <c r="L1976" s="8" t="n"/>
      <c r="M1976" s="8" t="n"/>
      <c r="N1976" s="8" t="n"/>
      <c r="O1976" s="8" t="n"/>
      <c r="P1976" s="8" t="n"/>
      <c r="Q1976" s="8" t="n"/>
      <c r="R1976" s="8" t="n"/>
      <c r="S1976" s="8" t="n"/>
      <c r="T1976" s="7" t="inlineStr">
        <is>
          <t>SEM COTAÇÃO</t>
        </is>
      </c>
      <c r="U1976" s="8" t="n"/>
      <c r="V1976" s="14" t="n"/>
      <c r="W1976" s="14" t="n"/>
      <c r="X1976" s="7" t="inlineStr"/>
      <c r="Y1976" s="7" t="inlineStr"/>
    </row>
    <row r="1977">
      <c r="A1977" s="7" t="n">
        <v>564481</v>
      </c>
      <c r="B1977" s="12" t="inlineStr">
        <is>
          <t>7896061995477</t>
        </is>
      </c>
      <c r="C1977" s="7" t="inlineStr">
        <is>
          <t>FRALDA BABYSEC ULTRA MEGA XXG 28UN</t>
        </is>
      </c>
      <c r="D1977" s="7" t="inlineStr">
        <is>
          <t>FRALDAS INFANTIL</t>
        </is>
      </c>
      <c r="E1977" s="7" t="inlineStr">
        <is>
          <t>A</t>
        </is>
      </c>
      <c r="F1977" s="13" t="n">
        <v>9</v>
      </c>
      <c r="G1977" s="13" t="n">
        <v>9</v>
      </c>
      <c r="H1977" s="8" t="n">
        <v>30.99</v>
      </c>
      <c r="I1977" s="8" t="n">
        <v>28.0833</v>
      </c>
      <c r="J1977" s="8" t="n">
        <v>28.0833</v>
      </c>
      <c r="K1977" s="8" t="n"/>
      <c r="L1977" s="8" t="n"/>
      <c r="M1977" s="8" t="n"/>
      <c r="N1977" s="8" t="n"/>
      <c r="O1977" s="8" t="n"/>
      <c r="P1977" s="8" t="n"/>
      <c r="Q1977" s="8" t="n"/>
      <c r="R1977" s="8" t="n"/>
      <c r="S1977" s="8" t="n"/>
      <c r="T1977" s="7" t="inlineStr">
        <is>
          <t>SEM COTAÇÃO</t>
        </is>
      </c>
      <c r="U1977" s="8" t="n"/>
      <c r="V1977" s="14" t="n"/>
      <c r="W1977" s="14" t="n"/>
      <c r="X1977" s="7" t="inlineStr"/>
      <c r="Y1977" s="7" t="inlineStr"/>
    </row>
    <row r="1978">
      <c r="A1978" s="7" t="n">
        <v>544401</v>
      </c>
      <c r="B1978" s="12" t="inlineStr">
        <is>
          <t>7896061995910</t>
        </is>
      </c>
      <c r="C1978" s="7" t="inlineStr">
        <is>
          <t>FRALDA BABYSEC ULTRA SEC G 32UN</t>
        </is>
      </c>
      <c r="D1978" s="7" t="inlineStr">
        <is>
          <t>FRALDAS INFANTIL</t>
        </is>
      </c>
      <c r="E1978" s="7" t="inlineStr">
        <is>
          <t>A</t>
        </is>
      </c>
      <c r="F1978" s="13" t="n">
        <v>12</v>
      </c>
      <c r="G1978" s="13" t="n">
        <v>12</v>
      </c>
      <c r="H1978" s="8" t="n">
        <v>33.9</v>
      </c>
      <c r="I1978" s="8" t="n">
        <v>27.7017</v>
      </c>
      <c r="J1978" s="8" t="n">
        <v>31.8339</v>
      </c>
      <c r="K1978" s="8" t="n"/>
      <c r="L1978" s="8" t="n"/>
      <c r="M1978" s="8" t="n"/>
      <c r="N1978" s="8" t="n"/>
      <c r="O1978" s="8" t="n"/>
      <c r="P1978" s="8" t="n"/>
      <c r="Q1978" s="8" t="n"/>
      <c r="R1978" s="8" t="n"/>
      <c r="S1978" s="8" t="n"/>
      <c r="T1978" s="7" t="inlineStr">
        <is>
          <t>SEM COTAÇÃO</t>
        </is>
      </c>
      <c r="U1978" s="8" t="n"/>
      <c r="V1978" s="14" t="n"/>
      <c r="W1978" s="14" t="n"/>
      <c r="X1978" s="7" t="inlineStr"/>
      <c r="Y1978" s="7" t="inlineStr"/>
    </row>
    <row r="1979">
      <c r="A1979" s="7" t="n">
        <v>654141</v>
      </c>
      <c r="B1979" s="12" t="inlineStr">
        <is>
          <t>7896061997457</t>
        </is>
      </c>
      <c r="C1979" s="7" t="inlineStr">
        <is>
          <t>FRALDA BABYSEC ULTRA SHORT MEGA G 22X1</t>
        </is>
      </c>
      <c r="D1979" s="7" t="inlineStr">
        <is>
          <t>FRALDAS INFANTIL</t>
        </is>
      </c>
      <c r="E1979" s="7" t="inlineStr">
        <is>
          <t>A</t>
        </is>
      </c>
      <c r="F1979" s="13" t="n">
        <v>8</v>
      </c>
      <c r="G1979" s="13" t="n">
        <v>8</v>
      </c>
      <c r="H1979" s="8" t="n">
        <v>25.99</v>
      </c>
      <c r="I1979" s="8" t="n">
        <v>25.99</v>
      </c>
      <c r="J1979" s="8" t="n">
        <v>25.99</v>
      </c>
      <c r="K1979" s="8" t="n"/>
      <c r="L1979" s="8" t="n"/>
      <c r="M1979" s="8" t="n"/>
      <c r="N1979" s="8" t="n"/>
      <c r="O1979" s="8" t="n"/>
      <c r="P1979" s="8" t="n"/>
      <c r="Q1979" s="8" t="n"/>
      <c r="R1979" s="8" t="n"/>
      <c r="S1979" s="8" t="n"/>
      <c r="T1979" s="7" t="inlineStr">
        <is>
          <t>SEM COTAÇÃO</t>
        </is>
      </c>
      <c r="U1979" s="8" t="n"/>
      <c r="V1979" s="14" t="n"/>
      <c r="W1979" s="14" t="n"/>
      <c r="X1979" s="7" t="inlineStr"/>
      <c r="Y1979" s="7" t="inlineStr"/>
    </row>
    <row r="1980">
      <c r="A1980" s="7" t="n">
        <v>654151</v>
      </c>
      <c r="B1980" s="12" t="inlineStr">
        <is>
          <t>7896061997266</t>
        </is>
      </c>
      <c r="C1980" s="7" t="inlineStr">
        <is>
          <t>FRALDA BABYSEC ULTRA SHORT MEGA XG 20X1</t>
        </is>
      </c>
      <c r="D1980" s="7" t="inlineStr">
        <is>
          <t>FRALDAS INFANTIL</t>
        </is>
      </c>
      <c r="E1980" s="7" t="inlineStr">
        <is>
          <t>A</t>
        </is>
      </c>
      <c r="F1980" s="13" t="n">
        <v>15</v>
      </c>
      <c r="G1980" s="13" t="n">
        <v>15</v>
      </c>
      <c r="H1980" s="8" t="n">
        <v>25.99</v>
      </c>
      <c r="I1980" s="8" t="n">
        <v>25.99</v>
      </c>
      <c r="J1980" s="8" t="n">
        <v>25.99</v>
      </c>
      <c r="K1980" s="8" t="n"/>
      <c r="L1980" s="8" t="n"/>
      <c r="M1980" s="8" t="n"/>
      <c r="N1980" s="8" t="n"/>
      <c r="O1980" s="8" t="n"/>
      <c r="P1980" s="8" t="n"/>
      <c r="Q1980" s="8" t="n"/>
      <c r="R1980" s="8" t="n"/>
      <c r="S1980" s="8" t="n"/>
      <c r="T1980" s="7" t="inlineStr">
        <is>
          <t>SEM COTAÇÃO</t>
        </is>
      </c>
      <c r="U1980" s="8" t="n"/>
      <c r="V1980" s="14" t="n"/>
      <c r="W1980" s="14" t="n"/>
      <c r="X1980" s="7" t="inlineStr"/>
      <c r="Y1980" s="7" t="inlineStr"/>
    </row>
    <row r="1981">
      <c r="A1981" s="7" t="n">
        <v>596761</v>
      </c>
      <c r="B1981" s="12" t="inlineStr">
        <is>
          <t>7896061997105</t>
        </is>
      </c>
      <c r="C1981" s="7" t="inlineStr">
        <is>
          <t>FRALDA BAYBSEC SHORT MEGA G 24UN</t>
        </is>
      </c>
      <c r="D1981" s="7" t="inlineStr">
        <is>
          <t>FRALDAS INFANTIL</t>
        </is>
      </c>
      <c r="E1981" s="7" t="inlineStr">
        <is>
          <t>A</t>
        </is>
      </c>
      <c r="F1981" s="13" t="n">
        <v>7</v>
      </c>
      <c r="G1981" s="13" t="n">
        <v>7</v>
      </c>
      <c r="H1981" s="8" t="n">
        <v>34.9</v>
      </c>
      <c r="I1981" s="8" t="n">
        <v>32.475</v>
      </c>
      <c r="J1981" s="8" t="n">
        <v>34.09166666666667</v>
      </c>
      <c r="K1981" s="8" t="n"/>
      <c r="L1981" s="8" t="n"/>
      <c r="M1981" s="8" t="n"/>
      <c r="N1981" s="8" t="n"/>
      <c r="O1981" s="8" t="n"/>
      <c r="P1981" s="8" t="n"/>
      <c r="Q1981" s="8" t="n"/>
      <c r="R1981" s="8" t="n"/>
      <c r="S1981" s="8" t="n"/>
      <c r="T1981" s="7" t="inlineStr">
        <is>
          <t>SEM COTAÇÃO</t>
        </is>
      </c>
      <c r="U1981" s="8" t="n"/>
      <c r="V1981" s="14" t="n"/>
      <c r="W1981" s="14" t="n"/>
      <c r="X1981" s="7" t="inlineStr"/>
      <c r="Y1981" s="7" t="inlineStr"/>
    </row>
    <row r="1982">
      <c r="A1982" s="7" t="n">
        <v>596791</v>
      </c>
      <c r="B1982" s="12" t="inlineStr">
        <is>
          <t>7896061997099</t>
        </is>
      </c>
      <c r="C1982" s="7" t="inlineStr">
        <is>
          <t>FRALDA BAYBSEC SHORT MEGA M 30UN</t>
        </is>
      </c>
      <c r="D1982" s="7" t="inlineStr">
        <is>
          <t>FRALDAS INFANTIL</t>
        </is>
      </c>
      <c r="E1982" s="7" t="inlineStr">
        <is>
          <t>A</t>
        </is>
      </c>
      <c r="F1982" s="13" t="n">
        <v>4</v>
      </c>
      <c r="G1982" s="13" t="n">
        <v>4</v>
      </c>
      <c r="H1982" s="8" t="n">
        <v>34.9</v>
      </c>
      <c r="I1982" s="8" t="n">
        <v>34.24</v>
      </c>
      <c r="J1982" s="8" t="n">
        <v>34.68</v>
      </c>
      <c r="K1982" s="8" t="n"/>
      <c r="L1982" s="8" t="n"/>
      <c r="M1982" s="8" t="n"/>
      <c r="N1982" s="8" t="n"/>
      <c r="O1982" s="8" t="n"/>
      <c r="P1982" s="8" t="n"/>
      <c r="Q1982" s="8" t="n"/>
      <c r="R1982" s="8" t="n"/>
      <c r="S1982" s="8" t="n"/>
      <c r="T1982" s="7" t="inlineStr">
        <is>
          <t>SEM COTAÇÃO</t>
        </is>
      </c>
      <c r="U1982" s="8" t="n"/>
      <c r="V1982" s="14" t="n"/>
      <c r="W1982" s="14" t="n"/>
      <c r="X1982" s="7" t="inlineStr"/>
      <c r="Y1982" s="7" t="inlineStr"/>
    </row>
    <row r="1983">
      <c r="A1983" s="7" t="n">
        <v>537941</v>
      </c>
      <c r="B1983" s="12" t="inlineStr">
        <is>
          <t>7896012880289</t>
        </is>
      </c>
      <c r="C1983" s="7" t="inlineStr">
        <is>
          <t>FRALDA BIGFRAL REGULAR PLUS XG 07UN</t>
        </is>
      </c>
      <c r="D1983" s="7" t="inlineStr">
        <is>
          <t>FRALDAS GERIATRICAS</t>
        </is>
      </c>
      <c r="E1983" s="7" t="inlineStr">
        <is>
          <t>A</t>
        </is>
      </c>
      <c r="F1983" s="13" t="n">
        <v>2</v>
      </c>
      <c r="G1983" s="13" t="n">
        <v>13</v>
      </c>
      <c r="H1983" s="8" t="n">
        <v>20.155</v>
      </c>
      <c r="I1983" s="8" t="n">
        <v>16.1388</v>
      </c>
      <c r="J1983" s="8" t="n">
        <v>18.74586666666667</v>
      </c>
      <c r="K1983" s="8" t="n"/>
      <c r="L1983" s="8" t="n"/>
      <c r="M1983" s="8" t="n"/>
      <c r="N1983" s="8" t="n"/>
      <c r="O1983" s="8" t="n"/>
      <c r="P1983" s="8" t="n"/>
      <c r="Q1983" s="8" t="n"/>
      <c r="R1983" s="8" t="n"/>
      <c r="S1983" s="8" t="n"/>
      <c r="T1983" s="7" t="inlineStr">
        <is>
          <t>SEM COTAÇÃO</t>
        </is>
      </c>
      <c r="U1983" s="8" t="n"/>
      <c r="V1983" s="14" t="n"/>
      <c r="W1983" s="14" t="n"/>
      <c r="X1983" s="7" t="inlineStr"/>
      <c r="Y1983" s="7" t="inlineStr"/>
    </row>
    <row r="1984">
      <c r="A1984" s="7" t="n">
        <v>675951</v>
      </c>
      <c r="B1984" s="12" t="inlineStr">
        <is>
          <t>7898133019906</t>
        </is>
      </c>
      <c r="C1984" s="7" t="inlineStr">
        <is>
          <t>FRALDA CREMER ROU JUMBINHO M 18X1</t>
        </is>
      </c>
      <c r="D1984" s="7" t="inlineStr">
        <is>
          <t>FRALDAS INFANTIL</t>
        </is>
      </c>
      <c r="E1984" s="7" t="inlineStr">
        <is>
          <t>A</t>
        </is>
      </c>
      <c r="F1984" s="13" t="n">
        <v>4</v>
      </c>
      <c r="G1984" s="13" t="n">
        <v>4</v>
      </c>
      <c r="H1984" s="8" t="n">
        <v>18.49</v>
      </c>
      <c r="I1984" s="8" t="n">
        <v>18.49</v>
      </c>
      <c r="J1984" s="8" t="n">
        <v>18.49</v>
      </c>
      <c r="K1984" s="8" t="n"/>
      <c r="L1984" s="8" t="n"/>
      <c r="M1984" s="8" t="n"/>
      <c r="N1984" s="8" t="n"/>
      <c r="O1984" s="8" t="n"/>
      <c r="P1984" s="8" t="n"/>
      <c r="Q1984" s="8" t="n"/>
      <c r="R1984" s="8" t="n"/>
      <c r="S1984" s="8" t="n"/>
      <c r="T1984" s="7" t="inlineStr">
        <is>
          <t>SEM COTAÇÃO</t>
        </is>
      </c>
      <c r="U1984" s="8" t="n"/>
      <c r="V1984" s="14" t="n"/>
      <c r="W1984" s="14" t="n"/>
      <c r="X1984" s="7" t="inlineStr"/>
      <c r="Y1984" s="7" t="inlineStr"/>
    </row>
    <row r="1985">
      <c r="A1985" s="7" t="n">
        <v>699301</v>
      </c>
      <c r="B1985" s="12" t="inlineStr">
        <is>
          <t>7896012881972</t>
        </is>
      </c>
      <c r="C1985" s="7" t="inlineStr">
        <is>
          <t>FRALDA CREMER ROU MEGA G 22X1</t>
        </is>
      </c>
      <c r="D1985" s="7" t="inlineStr">
        <is>
          <t>FRALDAS INFANTIL</t>
        </is>
      </c>
      <c r="E1985" s="7" t="inlineStr">
        <is>
          <t>A</t>
        </is>
      </c>
      <c r="F1985" s="13" t="n">
        <v>9</v>
      </c>
      <c r="G1985" s="13" t="n">
        <v>9</v>
      </c>
      <c r="H1985" s="8" t="n">
        <v>25.99</v>
      </c>
      <c r="I1985" s="8" t="n">
        <v>25.99</v>
      </c>
      <c r="J1985" s="8" t="n">
        <v>25.99</v>
      </c>
      <c r="K1985" s="8" t="n"/>
      <c r="L1985" s="8" t="n"/>
      <c r="M1985" s="8" t="n"/>
      <c r="N1985" s="8" t="n"/>
      <c r="O1985" s="8" t="n"/>
      <c r="P1985" s="8" t="n"/>
      <c r="Q1985" s="8" t="n"/>
      <c r="R1985" s="8" t="n"/>
      <c r="S1985" s="8" t="n"/>
      <c r="T1985" s="7" t="inlineStr">
        <is>
          <t>SEM COTAÇÃO</t>
        </is>
      </c>
      <c r="U1985" s="8" t="n"/>
      <c r="V1985" s="14" t="n"/>
      <c r="W1985" s="14" t="n"/>
      <c r="X1985" s="7" t="inlineStr"/>
      <c r="Y1985" s="7" t="inlineStr"/>
    </row>
    <row r="1986">
      <c r="A1986" s="7" t="n">
        <v>699401</v>
      </c>
      <c r="B1986" s="12" t="inlineStr">
        <is>
          <t>7896012881989</t>
        </is>
      </c>
      <c r="C1986" s="7" t="inlineStr">
        <is>
          <t>FRALDA CREMER ROU MEGA XG 20X1</t>
        </is>
      </c>
      <c r="D1986" s="7" t="inlineStr">
        <is>
          <t>FRALDAS INFANTIL</t>
        </is>
      </c>
      <c r="E1986" s="7" t="inlineStr">
        <is>
          <t>A</t>
        </is>
      </c>
      <c r="F1986" s="13" t="n">
        <v>8</v>
      </c>
      <c r="G1986" s="13" t="n">
        <v>8</v>
      </c>
      <c r="H1986" s="8" t="n">
        <v>25.99</v>
      </c>
      <c r="I1986" s="8" t="n">
        <v>25.99</v>
      </c>
      <c r="J1986" s="8" t="n">
        <v>25.99</v>
      </c>
      <c r="K1986" s="8" t="n"/>
      <c r="L1986" s="8" t="n"/>
      <c r="M1986" s="8" t="n"/>
      <c r="N1986" s="8" t="n"/>
      <c r="O1986" s="8" t="n"/>
      <c r="P1986" s="8" t="n"/>
      <c r="Q1986" s="8" t="n"/>
      <c r="R1986" s="8" t="n"/>
      <c r="S1986" s="8" t="n"/>
      <c r="T1986" s="7" t="inlineStr">
        <is>
          <t>SEM COTAÇÃO</t>
        </is>
      </c>
      <c r="U1986" s="8" t="n"/>
      <c r="V1986" s="14" t="n"/>
      <c r="W1986" s="14" t="n"/>
      <c r="X1986" s="7" t="inlineStr"/>
      <c r="Y1986" s="7" t="inlineStr"/>
    </row>
    <row r="1987">
      <c r="A1987" s="7" t="n">
        <v>650631</v>
      </c>
      <c r="B1987" s="12" t="inlineStr">
        <is>
          <t>7896006420040</t>
        </is>
      </c>
      <c r="C1987" s="7" t="inlineStr">
        <is>
          <t>FRALDA DESC MAXX BABY EG</t>
        </is>
      </c>
      <c r="D1987" s="7" t="inlineStr">
        <is>
          <t>FRALDAS INFANTIL</t>
        </is>
      </c>
      <c r="E1987" s="7" t="inlineStr">
        <is>
          <t>C</t>
        </is>
      </c>
      <c r="F1987" s="13" t="n">
        <v>1</v>
      </c>
      <c r="G1987" s="13" t="n">
        <v>5</v>
      </c>
      <c r="H1987" s="8" t="n">
        <v>5.49</v>
      </c>
      <c r="I1987" s="8" t="n">
        <v>5.49</v>
      </c>
      <c r="J1987" s="8" t="n">
        <v>5.489999999999999</v>
      </c>
      <c r="K1987" s="8" t="n"/>
      <c r="L1987" s="8" t="n"/>
      <c r="M1987" s="8" t="n"/>
      <c r="N1987" s="8" t="n"/>
      <c r="O1987" s="8" t="n"/>
      <c r="P1987" s="8" t="n"/>
      <c r="Q1987" s="8" t="n"/>
      <c r="R1987" s="8" t="n"/>
      <c r="S1987" s="8" t="n"/>
      <c r="T1987" s="7" t="inlineStr">
        <is>
          <t>SEM COTAÇÃO</t>
        </is>
      </c>
      <c r="U1987" s="8" t="n"/>
      <c r="V1987" s="14" t="n"/>
      <c r="W1987" s="14" t="n"/>
      <c r="X1987" s="7" t="inlineStr"/>
      <c r="Y1987" s="7" t="inlineStr"/>
    </row>
    <row r="1988">
      <c r="A1988" s="7" t="n">
        <v>537581</v>
      </c>
      <c r="B1988" s="12" t="inlineStr">
        <is>
          <t>7896012880272</t>
        </is>
      </c>
      <c r="C1988" s="7" t="inlineStr">
        <is>
          <t>FRALDA DESCARTAVEL ADULTO BIGFRAL REGULAR PLUS G PACOTE 7 UNIDADES</t>
        </is>
      </c>
      <c r="D1988" s="7" t="inlineStr">
        <is>
          <t>FRALDAS GERIATRICAS</t>
        </is>
      </c>
      <c r="E1988" s="7" t="inlineStr">
        <is>
          <t>A</t>
        </is>
      </c>
      <c r="F1988" s="13" t="n">
        <v>1</v>
      </c>
      <c r="G1988" s="13" t="n">
        <v>3</v>
      </c>
      <c r="H1988" s="8" t="n">
        <v>20.1562</v>
      </c>
      <c r="I1988" s="8" t="n">
        <v>16.1388</v>
      </c>
      <c r="J1988" s="8" t="n">
        <v>18.74583333333333</v>
      </c>
      <c r="K1988" s="8" t="n"/>
      <c r="L1988" s="8" t="n"/>
      <c r="M1988" s="8" t="n"/>
      <c r="N1988" s="8" t="n"/>
      <c r="O1988" s="8" t="n"/>
      <c r="P1988" s="8" t="n"/>
      <c r="Q1988" s="8" t="n"/>
      <c r="R1988" s="8" t="n"/>
      <c r="S1988" s="8" t="n"/>
      <c r="T1988" s="7" t="inlineStr">
        <is>
          <t>SEM COTAÇÃO</t>
        </is>
      </c>
      <c r="U1988" s="8" t="n"/>
      <c r="V1988" s="14" t="n"/>
      <c r="W1988" s="14" t="n"/>
      <c r="X1988" s="7" t="inlineStr"/>
      <c r="Y1988" s="7" t="inlineStr"/>
    </row>
    <row r="1989">
      <c r="A1989" s="7" t="n">
        <v>664241</v>
      </c>
      <c r="B1989" s="12" t="inlineStr">
        <is>
          <t>7896480692025</t>
        </is>
      </c>
      <c r="C1989" s="7" t="inlineStr">
        <is>
          <t>FRALDA ENLACE BABY SUPER BABY CONFORT G 30UN</t>
        </is>
      </c>
      <c r="D1989" s="7" t="inlineStr">
        <is>
          <t>FRALDAS INFANTIL</t>
        </is>
      </c>
      <c r="E1989" s="7" t="inlineStr">
        <is>
          <t>A</t>
        </is>
      </c>
      <c r="F1989" s="13" t="n">
        <v>2</v>
      </c>
      <c r="G1989" s="13" t="n">
        <v>14</v>
      </c>
      <c r="H1989" s="8" t="n">
        <v>18.7388</v>
      </c>
      <c r="I1989" s="8" t="n">
        <v>16.4475</v>
      </c>
      <c r="J1989" s="8" t="n">
        <v>17.97503333333333</v>
      </c>
      <c r="K1989" s="8" t="n"/>
      <c r="L1989" s="8" t="n"/>
      <c r="M1989" s="8" t="n"/>
      <c r="N1989" s="8" t="n"/>
      <c r="O1989" s="8" t="n"/>
      <c r="P1989" s="8" t="n"/>
      <c r="Q1989" s="8" t="n"/>
      <c r="R1989" s="8" t="n"/>
      <c r="S1989" s="8" t="n"/>
      <c r="T1989" s="7" t="inlineStr">
        <is>
          <t>SEM COTAÇÃO</t>
        </is>
      </c>
      <c r="U1989" s="8" t="n"/>
      <c r="V1989" s="14" t="n"/>
      <c r="W1989" s="14" t="n"/>
      <c r="X1989" s="7" t="inlineStr"/>
      <c r="Y1989" s="7" t="inlineStr"/>
    </row>
    <row r="1990">
      <c r="A1990" s="7" t="n">
        <v>668331</v>
      </c>
      <c r="B1990" s="12" t="inlineStr">
        <is>
          <t>17896480691780</t>
        </is>
      </c>
      <c r="C1990" s="7" t="inlineStr">
        <is>
          <t>FRALDA ENLACE PANT P/M 8UN</t>
        </is>
      </c>
      <c r="D1990" s="7" t="inlineStr">
        <is>
          <t>FRALDAS GERIATRICAS</t>
        </is>
      </c>
      <c r="E1990" s="7" t="inlineStr">
        <is>
          <t>A</t>
        </is>
      </c>
      <c r="F1990" s="13" t="n">
        <v>2</v>
      </c>
      <c r="G1990" s="13" t="n">
        <v>10</v>
      </c>
      <c r="H1990" s="8" t="n">
        <v>16.4062</v>
      </c>
      <c r="I1990" s="8" t="n">
        <v>15.7038</v>
      </c>
      <c r="J1990" s="8" t="n">
        <v>15.96083333333333</v>
      </c>
      <c r="K1990" s="8" t="n"/>
      <c r="L1990" s="8" t="n"/>
      <c r="M1990" s="8" t="n"/>
      <c r="N1990" s="8" t="n"/>
      <c r="O1990" s="8" t="n"/>
      <c r="P1990" s="8" t="n"/>
      <c r="Q1990" s="8" t="n"/>
      <c r="R1990" s="8" t="n"/>
      <c r="S1990" s="8" t="n"/>
      <c r="T1990" s="7" t="inlineStr">
        <is>
          <t>SEM COTAÇÃO</t>
        </is>
      </c>
      <c r="U1990" s="8" t="n"/>
      <c r="V1990" s="14" t="n"/>
      <c r="W1990" s="14" t="n"/>
      <c r="X1990" s="7" t="inlineStr"/>
      <c r="Y1990" s="7" t="inlineStr"/>
    </row>
    <row r="1991">
      <c r="A1991" s="7" t="n">
        <v>668341</v>
      </c>
      <c r="B1991" s="12" t="inlineStr">
        <is>
          <t>17896480691773</t>
        </is>
      </c>
      <c r="C1991" s="7" t="inlineStr">
        <is>
          <t>FRALDA ENLACE PANTS G/XG 16UN</t>
        </is>
      </c>
      <c r="D1991" s="7" t="inlineStr">
        <is>
          <t>FRALDAS GERIATRICAS</t>
        </is>
      </c>
      <c r="E1991" s="7" t="inlineStr">
        <is>
          <t>A</t>
        </is>
      </c>
      <c r="F1991" s="13" t="n">
        <v>2</v>
      </c>
      <c r="G1991" s="13" t="n">
        <v>7</v>
      </c>
      <c r="H1991" s="8" t="n">
        <v>29.76</v>
      </c>
      <c r="I1991" s="8" t="n">
        <v>29.76</v>
      </c>
      <c r="J1991" s="8" t="n">
        <v>29.76</v>
      </c>
      <c r="K1991" s="8" t="n"/>
      <c r="L1991" s="8" t="n"/>
      <c r="M1991" s="8" t="n"/>
      <c r="N1991" s="8" t="n"/>
      <c r="O1991" s="8" t="n"/>
      <c r="P1991" s="8" t="n"/>
      <c r="Q1991" s="8" t="n"/>
      <c r="R1991" s="8" t="n"/>
      <c r="S1991" s="8" t="n"/>
      <c r="T1991" s="7" t="inlineStr">
        <is>
          <t>SEM COTAÇÃO</t>
        </is>
      </c>
      <c r="U1991" s="8" t="n"/>
      <c r="V1991" s="14" t="n"/>
      <c r="W1991" s="14" t="n"/>
      <c r="X1991" s="7" t="inlineStr"/>
      <c r="Y1991" s="7" t="inlineStr"/>
    </row>
    <row r="1992">
      <c r="A1992" s="7" t="n">
        <v>537921</v>
      </c>
      <c r="B1992" s="12" t="inlineStr">
        <is>
          <t>7896012801895</t>
        </is>
      </c>
      <c r="C1992" s="7" t="inlineStr">
        <is>
          <t>FRALDA GER BIGFRAL - DERM PLUS NOTU G 7UN</t>
        </is>
      </c>
      <c r="D1992" s="7" t="inlineStr">
        <is>
          <t>FRALDAS GERIATRICAS</t>
        </is>
      </c>
      <c r="E1992" s="7" t="inlineStr">
        <is>
          <t>B</t>
        </is>
      </c>
      <c r="F1992" s="13" t="n">
        <v>1</v>
      </c>
      <c r="G1992" s="13" t="n">
        <v>1</v>
      </c>
      <c r="H1992" s="8" t="n">
        <v>27.28</v>
      </c>
      <c r="I1992" s="8" t="n">
        <v>21.2688</v>
      </c>
      <c r="J1992" s="8" t="n">
        <v>25.27626666666667</v>
      </c>
      <c r="K1992" s="8" t="n"/>
      <c r="L1992" s="8" t="n"/>
      <c r="M1992" s="8" t="n"/>
      <c r="N1992" s="8" t="n"/>
      <c r="O1992" s="8" t="n"/>
      <c r="P1992" s="8" t="n"/>
      <c r="Q1992" s="8" t="n"/>
      <c r="R1992" s="8" t="n"/>
      <c r="S1992" s="8" t="n"/>
      <c r="T1992" s="7" t="inlineStr">
        <is>
          <t>SEM COTAÇÃO</t>
        </is>
      </c>
      <c r="U1992" s="8" t="n"/>
      <c r="V1992" s="14" t="n"/>
      <c r="W1992" s="14" t="n"/>
      <c r="X1992" s="7" t="inlineStr"/>
      <c r="Y1992" s="7" t="inlineStr"/>
    </row>
    <row r="1993">
      <c r="A1993" s="7" t="n">
        <v>572481</v>
      </c>
      <c r="B1993" s="12" t="inlineStr">
        <is>
          <t>7896064486170</t>
        </is>
      </c>
      <c r="C1993" s="7" t="inlineStr">
        <is>
          <t>FRALDA GERIAMAX G 7 UN</t>
        </is>
      </c>
      <c r="D1993" s="7" t="inlineStr">
        <is>
          <t>FRALDAS GERIATRICAS</t>
        </is>
      </c>
      <c r="E1993" s="7" t="inlineStr">
        <is>
          <t>A</t>
        </is>
      </c>
      <c r="F1993" s="13" t="n">
        <v>3</v>
      </c>
      <c r="G1993" s="13" t="n">
        <v>3</v>
      </c>
      <c r="H1993" s="8" t="n">
        <v>18.17</v>
      </c>
      <c r="I1993" s="8" t="n">
        <v>18.17</v>
      </c>
      <c r="J1993" s="8" t="n">
        <v>18.17</v>
      </c>
      <c r="K1993" s="8" t="n"/>
      <c r="L1993" s="8" t="n"/>
      <c r="M1993" s="8" t="n"/>
      <c r="N1993" s="8" t="n"/>
      <c r="O1993" s="8" t="n"/>
      <c r="P1993" s="15" t="n">
        <v>16.36</v>
      </c>
      <c r="Q1993" s="8" t="n"/>
      <c r="R1993" s="8" t="n"/>
      <c r="S1993" s="8" t="n"/>
      <c r="T1993" s="7" t="inlineStr">
        <is>
          <t>NAZARIA</t>
        </is>
      </c>
      <c r="U1993" s="8" t="n">
        <v>16.36</v>
      </c>
      <c r="V1993" s="14">
        <f>U1993/J1993-1</f>
        <v/>
      </c>
      <c r="W1993" s="14">
        <f>U1993/H1993-1</f>
        <v/>
      </c>
      <c r="X1993" s="17" t="inlineStr">
        <is>
          <t>OK (≤ menor hist.)</t>
        </is>
      </c>
      <c r="Y1993" s="7" t="inlineStr"/>
    </row>
    <row r="1994">
      <c r="A1994" s="7" t="n">
        <v>572501</v>
      </c>
      <c r="B1994" s="12" t="inlineStr">
        <is>
          <t>7896064486163</t>
        </is>
      </c>
      <c r="C1994" s="7" t="inlineStr">
        <is>
          <t>FRALDA GERIAMAX M 8 UN</t>
        </is>
      </c>
      <c r="D1994" s="7" t="inlineStr">
        <is>
          <t>FRALDAS GERIATRICAS</t>
        </is>
      </c>
      <c r="E1994" s="7" t="inlineStr">
        <is>
          <t>A</t>
        </is>
      </c>
      <c r="F1994" s="13" t="n">
        <v>3</v>
      </c>
      <c r="G1994" s="13" t="n">
        <v>3</v>
      </c>
      <c r="H1994" s="8" t="n">
        <v>18.26</v>
      </c>
      <c r="I1994" s="8" t="n">
        <v>18.17</v>
      </c>
      <c r="J1994" s="8" t="n">
        <v>18.17</v>
      </c>
      <c r="K1994" s="8" t="n"/>
      <c r="L1994" s="8" t="n"/>
      <c r="M1994" s="8" t="n"/>
      <c r="N1994" s="8" t="n"/>
      <c r="O1994" s="8" t="n"/>
      <c r="P1994" s="15" t="n">
        <v>16.36</v>
      </c>
      <c r="Q1994" s="8" t="n"/>
      <c r="R1994" s="8" t="n"/>
      <c r="S1994" s="8" t="n"/>
      <c r="T1994" s="7" t="inlineStr">
        <is>
          <t>NAZARIA</t>
        </is>
      </c>
      <c r="U1994" s="8" t="n">
        <v>16.36</v>
      </c>
      <c r="V1994" s="14">
        <f>U1994/J1994-1</f>
        <v/>
      </c>
      <c r="W1994" s="14">
        <f>U1994/H1994-1</f>
        <v/>
      </c>
      <c r="X1994" s="17" t="inlineStr">
        <is>
          <t>OK (≤ menor hist.)</t>
        </is>
      </c>
      <c r="Y1994" s="7" t="inlineStr"/>
    </row>
    <row r="1995">
      <c r="A1995" s="7" t="n">
        <v>623821</v>
      </c>
      <c r="B1995" s="12" t="inlineStr">
        <is>
          <t>7898136150491</t>
        </is>
      </c>
      <c r="C1995" s="7" t="inlineStr">
        <is>
          <t>FRALDA GERIATRICA SENTIRBEM TAM XG C/7UN</t>
        </is>
      </c>
      <c r="D1995" s="7" t="inlineStr">
        <is>
          <t>FRALDAS GERIATRICAS</t>
        </is>
      </c>
      <c r="E1995" s="7" t="inlineStr">
        <is>
          <t>C</t>
        </is>
      </c>
      <c r="F1995" s="13" t="n">
        <v>1</v>
      </c>
      <c r="G1995" s="13" t="n">
        <v>1</v>
      </c>
      <c r="H1995" s="8" t="n">
        <v>15.77</v>
      </c>
      <c r="I1995" s="8" t="n">
        <v>15.77</v>
      </c>
      <c r="J1995" s="8" t="n">
        <v>15.77</v>
      </c>
      <c r="K1995" s="8" t="n"/>
      <c r="L1995" s="8" t="n"/>
      <c r="M1995" s="8" t="n"/>
      <c r="N1995" s="8" t="n"/>
      <c r="O1995" s="8" t="n"/>
      <c r="P1995" s="8" t="n"/>
      <c r="Q1995" s="8" t="n"/>
      <c r="R1995" s="8" t="n"/>
      <c r="S1995" s="8" t="n"/>
      <c r="T1995" s="7" t="inlineStr">
        <is>
          <t>SEM COTAÇÃO</t>
        </is>
      </c>
      <c r="U1995" s="8" t="n"/>
      <c r="V1995" s="14" t="n"/>
      <c r="W1995" s="14" t="n"/>
      <c r="X1995" s="7" t="inlineStr"/>
      <c r="Y1995" s="7" t="inlineStr"/>
    </row>
    <row r="1996">
      <c r="A1996" s="7" t="n">
        <v>649251</v>
      </c>
      <c r="B1996" s="12" t="inlineStr">
        <is>
          <t>7896007552214</t>
        </is>
      </c>
      <c r="C1996" s="7" t="inlineStr">
        <is>
          <t>FRALDA HUG LITTLE SWIMMERS G/XG 10UN   KIMB %DN:9.00</t>
        </is>
      </c>
      <c r="D1996" s="7" t="inlineStr">
        <is>
          <t>FRALDAS INFANTIL</t>
        </is>
      </c>
      <c r="E1996" s="7" t="inlineStr">
        <is>
          <t>C</t>
        </is>
      </c>
      <c r="F1996" s="13" t="n">
        <v>1</v>
      </c>
      <c r="G1996" s="13" t="n">
        <v>1</v>
      </c>
      <c r="H1996" s="8" t="n">
        <v>33.8383</v>
      </c>
      <c r="I1996" s="8" t="n">
        <v>33.8383</v>
      </c>
      <c r="J1996" s="8" t="n">
        <v>33.8383</v>
      </c>
      <c r="K1996" s="8" t="n"/>
      <c r="L1996" s="8" t="n"/>
      <c r="M1996" s="8" t="n"/>
      <c r="N1996" s="8" t="n"/>
      <c r="O1996" s="8" t="n"/>
      <c r="P1996" s="8" t="n">
        <v>45.42</v>
      </c>
      <c r="Q1996" s="8" t="n"/>
      <c r="R1996" s="8" t="n"/>
      <c r="S1996" s="8" t="n"/>
      <c r="T1996" s="7" t="inlineStr">
        <is>
          <t>SEM COTAÇÃO</t>
        </is>
      </c>
      <c r="U1996" s="8" t="n"/>
      <c r="V1996" s="14" t="n"/>
      <c r="W1996" s="14" t="n"/>
      <c r="X1996" s="7" t="inlineStr"/>
      <c r="Y1996" s="7" t="inlineStr">
        <is>
          <t>NAZARIA: sem estoque</t>
        </is>
      </c>
    </row>
    <row r="1997">
      <c r="A1997" s="7" t="n">
        <v>649261</v>
      </c>
      <c r="B1997" s="12" t="inlineStr">
        <is>
          <t>7896007551095</t>
        </is>
      </c>
      <c r="C1997" s="7" t="inlineStr">
        <is>
          <t>FRALDA HUG LITTLE SWIMMERS P/M 11UN</t>
        </is>
      </c>
      <c r="D1997" s="7" t="inlineStr">
        <is>
          <t>FRALDAS INFANTIL</t>
        </is>
      </c>
      <c r="E1997" s="7" t="inlineStr">
        <is>
          <t>B</t>
        </is>
      </c>
      <c r="F1997" s="13" t="n">
        <v>2</v>
      </c>
      <c r="G1997" s="13" t="n">
        <v>2</v>
      </c>
      <c r="H1997" s="8" t="n">
        <v>34.7033</v>
      </c>
      <c r="I1997" s="8" t="n">
        <v>34.7033</v>
      </c>
      <c r="J1997" s="8" t="n">
        <v>34.7033</v>
      </c>
      <c r="K1997" s="8" t="n"/>
      <c r="L1997" s="8" t="n"/>
      <c r="M1997" s="8" t="n"/>
      <c r="N1997" s="8" t="n"/>
      <c r="O1997" s="8" t="n"/>
      <c r="P1997" s="8" t="n">
        <v>45.42</v>
      </c>
      <c r="Q1997" s="8" t="n"/>
      <c r="R1997" s="8" t="n"/>
      <c r="S1997" s="8" t="n"/>
      <c r="T1997" s="7" t="inlineStr">
        <is>
          <t>SEM COTAÇÃO</t>
        </is>
      </c>
      <c r="U1997" s="8" t="n"/>
      <c r="V1997" s="14" t="n"/>
      <c r="W1997" s="14" t="n"/>
      <c r="X1997" s="7" t="inlineStr"/>
      <c r="Y1997" s="7" t="inlineStr">
        <is>
          <t>NAZARIA: sem estoque</t>
        </is>
      </c>
    </row>
    <row r="1998">
      <c r="A1998" s="7" t="n">
        <v>649271</v>
      </c>
      <c r="B1998" s="12" t="inlineStr">
        <is>
          <t>7896007553587</t>
        </is>
      </c>
      <c r="C1998" s="7" t="inlineStr">
        <is>
          <t>FRALDA HUG SUPREME CARE G 92UN   KIMB %DN:11.00</t>
        </is>
      </c>
      <c r="D1998" s="7" t="inlineStr">
        <is>
          <t>FRALDAS INFANTIL</t>
        </is>
      </c>
      <c r="E1998" s="7" t="inlineStr">
        <is>
          <t>C</t>
        </is>
      </c>
      <c r="F1998" s="13" t="n">
        <v>1</v>
      </c>
      <c r="G1998" s="13" t="n">
        <v>1</v>
      </c>
      <c r="H1998" s="8" t="n">
        <v>121.12</v>
      </c>
      <c r="I1998" s="8" t="n">
        <v>121.12</v>
      </c>
      <c r="J1998" s="8" t="n">
        <v>121.12</v>
      </c>
      <c r="K1998" s="8" t="n"/>
      <c r="L1998" s="8" t="n"/>
      <c r="M1998" s="8" t="n"/>
      <c r="N1998" s="8" t="n"/>
      <c r="O1998" s="8" t="n"/>
      <c r="P1998" s="8" t="n"/>
      <c r="Q1998" s="8" t="n"/>
      <c r="R1998" s="8" t="n"/>
      <c r="S1998" s="8" t="n"/>
      <c r="T1998" s="7" t="inlineStr">
        <is>
          <t>SEM COTAÇÃO</t>
        </is>
      </c>
      <c r="U1998" s="8" t="n"/>
      <c r="V1998" s="14" t="n"/>
      <c r="W1998" s="14" t="n"/>
      <c r="X1998" s="7" t="inlineStr"/>
      <c r="Y1998" s="7" t="inlineStr"/>
    </row>
    <row r="1999">
      <c r="A1999" s="7" t="n">
        <v>649281</v>
      </c>
      <c r="B1999" s="12" t="inlineStr">
        <is>
          <t>7896007553570</t>
        </is>
      </c>
      <c r="C1999" s="7" t="inlineStr">
        <is>
          <t>FRALDA HUG SUPREME CARE M 104UN   KIMB %DN:11.00</t>
        </is>
      </c>
      <c r="D1999" s="7" t="inlineStr">
        <is>
          <t>FRALDAS INFANTIL</t>
        </is>
      </c>
      <c r="E1999" s="7" t="inlineStr">
        <is>
          <t>C</t>
        </is>
      </c>
      <c r="F1999" s="13" t="n">
        <v>1</v>
      </c>
      <c r="G1999" s="13" t="n">
        <v>1</v>
      </c>
      <c r="H1999" s="8" t="n">
        <v>121.13</v>
      </c>
      <c r="I1999" s="8" t="n">
        <v>121.13</v>
      </c>
      <c r="J1999" s="8" t="n">
        <v>121.13</v>
      </c>
      <c r="K1999" s="8" t="n"/>
      <c r="L1999" s="8" t="n"/>
      <c r="M1999" s="8" t="n"/>
      <c r="N1999" s="8" t="n"/>
      <c r="O1999" s="8" t="n"/>
      <c r="P1999" s="8" t="n">
        <v>114.84</v>
      </c>
      <c r="Q1999" s="8" t="n"/>
      <c r="R1999" s="8" t="n"/>
      <c r="S1999" s="8" t="n"/>
      <c r="T1999" s="7" t="inlineStr">
        <is>
          <t>SEM COTAÇÃO</t>
        </is>
      </c>
      <c r="U1999" s="8" t="n"/>
      <c r="V1999" s="14" t="n"/>
      <c r="W1999" s="14" t="n"/>
      <c r="X1999" s="7" t="inlineStr"/>
      <c r="Y1999" s="7" t="inlineStr">
        <is>
          <t>NAZARIA: sem estoque</t>
        </is>
      </c>
    </row>
    <row r="2000">
      <c r="A2000" s="7" t="n">
        <v>649301</v>
      </c>
      <c r="B2000" s="12" t="inlineStr">
        <is>
          <t>7896007553761</t>
        </is>
      </c>
      <c r="C2000" s="7" t="inlineStr">
        <is>
          <t>FRALDA HUG SUPREME CARE XXXG 70UN   KIMB %DN:11.00</t>
        </is>
      </c>
      <c r="D2000" s="7" t="inlineStr">
        <is>
          <t>FRALDAS INFANTIL</t>
        </is>
      </c>
      <c r="E2000" s="7" t="inlineStr">
        <is>
          <t>C</t>
        </is>
      </c>
      <c r="F2000" s="13" t="n">
        <v>1</v>
      </c>
      <c r="G2000" s="13" t="n">
        <v>1</v>
      </c>
      <c r="H2000" s="8" t="n">
        <v>116.16</v>
      </c>
      <c r="I2000" s="8" t="n">
        <v>116.16</v>
      </c>
      <c r="J2000" s="8" t="n">
        <v>116.16</v>
      </c>
      <c r="K2000" s="8" t="n"/>
      <c r="L2000" s="8" t="n"/>
      <c r="M2000" s="8" t="n"/>
      <c r="N2000" s="8" t="n"/>
      <c r="O2000" s="8" t="n"/>
      <c r="P2000" s="8" t="n">
        <v>114.84</v>
      </c>
      <c r="Q2000" s="8" t="n"/>
      <c r="R2000" s="8" t="n"/>
      <c r="S2000" s="8" t="n"/>
      <c r="T2000" s="7" t="inlineStr">
        <is>
          <t>SEM COTAÇÃO</t>
        </is>
      </c>
      <c r="U2000" s="8" t="n"/>
      <c r="V2000" s="14" t="n"/>
      <c r="W2000" s="14" t="n"/>
      <c r="X2000" s="7" t="inlineStr"/>
      <c r="Y2000" s="7" t="inlineStr">
        <is>
          <t>NAZARIA: sem estoque</t>
        </is>
      </c>
    </row>
    <row r="2001">
      <c r="A2001" s="7" t="n">
        <v>649311</v>
      </c>
      <c r="B2001" s="12" t="inlineStr">
        <is>
          <t>7896007553754</t>
        </is>
      </c>
      <c r="C2001" s="7" t="inlineStr">
        <is>
          <t>FRALDA HUG SUPREME CARE XXXL 46UN   KIMB %DN:11.00</t>
        </is>
      </c>
      <c r="D2001" s="7" t="inlineStr">
        <is>
          <t>FRALDAS INFANTIL</t>
        </is>
      </c>
      <c r="E2001" s="7" t="inlineStr">
        <is>
          <t>C</t>
        </is>
      </c>
      <c r="F2001" s="13" t="n">
        <v>1</v>
      </c>
      <c r="G2001" s="13" t="n">
        <v>1</v>
      </c>
      <c r="H2001" s="8" t="n">
        <v>82.005</v>
      </c>
      <c r="I2001" s="8" t="n">
        <v>82.005</v>
      </c>
      <c r="J2001" s="8" t="n">
        <v>82.005</v>
      </c>
      <c r="K2001" s="8" t="n"/>
      <c r="L2001" s="8" t="n"/>
      <c r="M2001" s="8" t="n"/>
      <c r="N2001" s="8" t="n"/>
      <c r="O2001" s="8" t="n"/>
      <c r="P2001" s="8" t="n">
        <v>85.18000000000001</v>
      </c>
      <c r="Q2001" s="8" t="n"/>
      <c r="R2001" s="8" t="n"/>
      <c r="S2001" s="8" t="n"/>
      <c r="T2001" s="7" t="inlineStr">
        <is>
          <t>SEM COTAÇÃO</t>
        </is>
      </c>
      <c r="U2001" s="8" t="n"/>
      <c r="V2001" s="14" t="n"/>
      <c r="W2001" s="14" t="n"/>
      <c r="X2001" s="7" t="inlineStr"/>
      <c r="Y2001" s="7" t="inlineStr">
        <is>
          <t>NAZARIA: sem estoque</t>
        </is>
      </c>
    </row>
    <row r="2002">
      <c r="A2002" s="7" t="n">
        <v>537821</v>
      </c>
      <c r="B2002" s="12" t="inlineStr">
        <is>
          <t>7896007549689</t>
        </is>
      </c>
      <c r="C2002" s="7" t="inlineStr">
        <is>
          <t>FRALDA HUGGIES ROUPINHA SUPREME CARE - G - 30</t>
        </is>
      </c>
      <c r="D2002" s="7" t="inlineStr">
        <is>
          <t>FRALDAS INFANTIL</t>
        </is>
      </c>
      <c r="E2002" s="7" t="inlineStr">
        <is>
          <t>A</t>
        </is>
      </c>
      <c r="F2002" s="13" t="n">
        <v>5</v>
      </c>
      <c r="G2002" s="13" t="n">
        <v>5</v>
      </c>
      <c r="H2002" s="8" t="n">
        <v>47.7</v>
      </c>
      <c r="I2002" s="8" t="n">
        <v>44.7033</v>
      </c>
      <c r="J2002" s="8" t="n">
        <v>46.7011</v>
      </c>
      <c r="K2002" s="8" t="n"/>
      <c r="L2002" s="8" t="n"/>
      <c r="M2002" s="8" t="n"/>
      <c r="N2002" s="8" t="n"/>
      <c r="O2002" s="8" t="n"/>
      <c r="P2002" s="15" t="n">
        <v>51.34</v>
      </c>
      <c r="Q2002" s="8" t="n"/>
      <c r="R2002" s="8" t="n"/>
      <c r="S2002" s="8" t="n"/>
      <c r="T2002" s="7" t="inlineStr">
        <is>
          <t>NAZARIA</t>
        </is>
      </c>
      <c r="U2002" s="8" t="n">
        <v>51.34</v>
      </c>
      <c r="V2002" s="14">
        <f>U2002/J2002-1</f>
        <v/>
      </c>
      <c r="W2002" s="14">
        <f>U2002/H2002-1</f>
        <v/>
      </c>
      <c r="X2002" s="16" t="inlineStr">
        <is>
          <t>ACIMA +7.6%</t>
        </is>
      </c>
      <c r="Y2002" s="7" t="inlineStr"/>
    </row>
    <row r="2003">
      <c r="A2003" s="7" t="n">
        <v>544421</v>
      </c>
      <c r="B2003" s="12" t="inlineStr">
        <is>
          <t>7896007548415</t>
        </is>
      </c>
      <c r="C2003" s="7" t="inlineStr">
        <is>
          <t>FRALDA HUGGIES SUPREME CARE G 32UN</t>
        </is>
      </c>
      <c r="D2003" s="7" t="inlineStr">
        <is>
          <t>FRALDAS INFANTIL</t>
        </is>
      </c>
      <c r="E2003" s="7" t="inlineStr">
        <is>
          <t>C</t>
        </is>
      </c>
      <c r="F2003" s="13" t="n">
        <v>1</v>
      </c>
      <c r="G2003" s="13" t="n">
        <v>1</v>
      </c>
      <c r="H2003" s="8" t="n">
        <v>35.0217</v>
      </c>
      <c r="I2003" s="8" t="n">
        <v>35.0217</v>
      </c>
      <c r="J2003" s="8" t="n">
        <v>35.0217</v>
      </c>
      <c r="K2003" s="8" t="n"/>
      <c r="L2003" s="8" t="n"/>
      <c r="M2003" s="8" t="n"/>
      <c r="N2003" s="8" t="n"/>
      <c r="O2003" s="8" t="n"/>
      <c r="P2003" s="15" t="n">
        <v>56.4</v>
      </c>
      <c r="Q2003" s="8" t="n"/>
      <c r="R2003" s="8" t="n"/>
      <c r="S2003" s="8" t="n"/>
      <c r="T2003" s="7" t="inlineStr">
        <is>
          <t>NAZARIA</t>
        </is>
      </c>
      <c r="U2003" s="8" t="n">
        <v>56.4</v>
      </c>
      <c r="V2003" s="14">
        <f>U2003/J2003-1</f>
        <v/>
      </c>
      <c r="W2003" s="14">
        <f>U2003/H2003-1</f>
        <v/>
      </c>
      <c r="X2003" s="16" t="inlineStr">
        <is>
          <t>ACIMA +61.0%</t>
        </is>
      </c>
      <c r="Y2003" s="7" t="inlineStr"/>
    </row>
    <row r="2004">
      <c r="A2004" s="7" t="n">
        <v>544581</v>
      </c>
      <c r="B2004" s="12" t="inlineStr">
        <is>
          <t>7896007548439</t>
        </is>
      </c>
      <c r="C2004" s="7" t="inlineStr">
        <is>
          <t>FRALDA HUGGIES SUPREME CARE XXG 26UN</t>
        </is>
      </c>
      <c r="D2004" s="7" t="inlineStr">
        <is>
          <t>FRALDAS INFANTIL</t>
        </is>
      </c>
      <c r="E2004" s="7" t="inlineStr">
        <is>
          <t>C</t>
        </is>
      </c>
      <c r="F2004" s="13" t="n">
        <v>1</v>
      </c>
      <c r="G2004" s="13" t="n">
        <v>1</v>
      </c>
      <c r="H2004" s="8" t="n">
        <v>35.0217</v>
      </c>
      <c r="I2004" s="8" t="n">
        <v>35.0217</v>
      </c>
      <c r="J2004" s="8" t="n">
        <v>35.0217</v>
      </c>
      <c r="K2004" s="8" t="n"/>
      <c r="L2004" s="8" t="n"/>
      <c r="M2004" s="8" t="n"/>
      <c r="N2004" s="8" t="n"/>
      <c r="O2004" s="8" t="n"/>
      <c r="P2004" s="8" t="n">
        <v>56.4</v>
      </c>
      <c r="Q2004" s="8" t="n"/>
      <c r="R2004" s="8" t="n"/>
      <c r="S2004" s="8" t="n"/>
      <c r="T2004" s="7" t="inlineStr">
        <is>
          <t>SEM COTAÇÃO</t>
        </is>
      </c>
      <c r="U2004" s="8" t="n"/>
      <c r="V2004" s="14" t="n"/>
      <c r="W2004" s="14" t="n"/>
      <c r="X2004" s="7" t="inlineStr"/>
      <c r="Y2004" s="7" t="inlineStr">
        <is>
          <t>NAZARIA: sem estoque</t>
        </is>
      </c>
    </row>
    <row r="2005">
      <c r="A2005" s="7" t="n">
        <v>631061</v>
      </c>
      <c r="B2005" s="12" t="inlineStr">
        <is>
          <t>7896007549269</t>
        </is>
      </c>
      <c r="C2005" s="7" t="inlineStr">
        <is>
          <t>FRALDA HUGGIES TRIPLA HIPER G 78UN</t>
        </is>
      </c>
      <c r="D2005" s="7" t="inlineStr">
        <is>
          <t>FRALDAS INFANTIL</t>
        </is>
      </c>
      <c r="E2005" s="7" t="inlineStr">
        <is>
          <t>B</t>
        </is>
      </c>
      <c r="F2005" s="13" t="n">
        <v>2</v>
      </c>
      <c r="G2005" s="13" t="n">
        <v>2</v>
      </c>
      <c r="H2005" s="8" t="n">
        <v>88.23</v>
      </c>
      <c r="I2005" s="8" t="n">
        <v>88.23</v>
      </c>
      <c r="J2005" s="8" t="n">
        <v>88.23</v>
      </c>
      <c r="K2005" s="8" t="n"/>
      <c r="L2005" s="8" t="n"/>
      <c r="M2005" s="8" t="n"/>
      <c r="N2005" s="8" t="n"/>
      <c r="O2005" s="8" t="n"/>
      <c r="P2005" s="15" t="n">
        <v>86.56999999999999</v>
      </c>
      <c r="Q2005" s="8" t="n"/>
      <c r="R2005" s="8" t="n"/>
      <c r="S2005" s="8" t="n"/>
      <c r="T2005" s="7" t="inlineStr">
        <is>
          <t>NAZARIA</t>
        </is>
      </c>
      <c r="U2005" s="8" t="n">
        <v>86.56999999999999</v>
      </c>
      <c r="V2005" s="14">
        <f>U2005/J2005-1</f>
        <v/>
      </c>
      <c r="W2005" s="14">
        <f>U2005/H2005-1</f>
        <v/>
      </c>
      <c r="X2005" s="17" t="inlineStr">
        <is>
          <t>OK (≤ menor hist.)</t>
        </is>
      </c>
      <c r="Y2005" s="7" t="inlineStr"/>
    </row>
    <row r="2006">
      <c r="A2006" s="7" t="n">
        <v>631071</v>
      </c>
      <c r="B2006" s="12" t="inlineStr">
        <is>
          <t>7896007549252</t>
        </is>
      </c>
      <c r="C2006" s="7" t="inlineStr">
        <is>
          <t>FRALDA HUGGIES TRIPLA HIPER M 92UN</t>
        </is>
      </c>
      <c r="D2006" s="7" t="inlineStr">
        <is>
          <t>FRALDAS INFANTIL</t>
        </is>
      </c>
      <c r="E2006" s="7" t="inlineStr">
        <is>
          <t>C</t>
        </is>
      </c>
      <c r="F2006" s="13" t="n">
        <v>1</v>
      </c>
      <c r="G2006" s="13" t="n">
        <v>1</v>
      </c>
      <c r="H2006" s="8" t="n">
        <v>80.73</v>
      </c>
      <c r="I2006" s="8" t="n">
        <v>80.73</v>
      </c>
      <c r="J2006" s="8" t="n">
        <v>80.73</v>
      </c>
      <c r="K2006" s="8" t="n"/>
      <c r="L2006" s="8" t="n"/>
      <c r="M2006" s="8" t="n"/>
      <c r="N2006" s="8" t="n"/>
      <c r="O2006" s="8" t="n"/>
      <c r="P2006" s="15" t="n">
        <v>86.56999999999999</v>
      </c>
      <c r="Q2006" s="8" t="n"/>
      <c r="R2006" s="8" t="n"/>
      <c r="S2006" s="8" t="n"/>
      <c r="T2006" s="7" t="inlineStr">
        <is>
          <t>NAZARIA</t>
        </is>
      </c>
      <c r="U2006" s="8" t="n">
        <v>86.56999999999999</v>
      </c>
      <c r="V2006" s="14">
        <f>U2006/J2006-1</f>
        <v/>
      </c>
      <c r="W2006" s="14">
        <f>U2006/H2006-1</f>
        <v/>
      </c>
      <c r="X2006" s="16" t="inlineStr">
        <is>
          <t>ACIMA +7.2%</t>
        </is>
      </c>
      <c r="Y2006" s="7" t="inlineStr"/>
    </row>
    <row r="2007">
      <c r="A2007" s="7" t="n">
        <v>631091</v>
      </c>
      <c r="B2007" s="12" t="inlineStr">
        <is>
          <t>7896007551293</t>
        </is>
      </c>
      <c r="C2007" s="7" t="inlineStr">
        <is>
          <t>FRALDA HUGGIES TRIPLA HIPER XXG 66</t>
        </is>
      </c>
      <c r="D2007" s="7" t="inlineStr">
        <is>
          <t>FRALDAS INFANTIL</t>
        </is>
      </c>
      <c r="E2007" s="7" t="inlineStr">
        <is>
          <t>C</t>
        </is>
      </c>
      <c r="F2007" s="13" t="n">
        <v>2</v>
      </c>
      <c r="G2007" s="13" t="n">
        <v>2</v>
      </c>
      <c r="H2007" s="8" t="n">
        <v>80.73</v>
      </c>
      <c r="I2007" s="8" t="n">
        <v>80.73</v>
      </c>
      <c r="J2007" s="8" t="n">
        <v>80.73</v>
      </c>
      <c r="K2007" s="8" t="n"/>
      <c r="L2007" s="8" t="n"/>
      <c r="M2007" s="8" t="n"/>
      <c r="N2007" s="8" t="n"/>
      <c r="O2007" s="8" t="n"/>
      <c r="P2007" s="15" t="n">
        <v>86.56999999999999</v>
      </c>
      <c r="Q2007" s="8" t="n"/>
      <c r="R2007" s="8" t="n"/>
      <c r="S2007" s="8" t="n"/>
      <c r="T2007" s="7" t="inlineStr">
        <is>
          <t>NAZARIA</t>
        </is>
      </c>
      <c r="U2007" s="8" t="n">
        <v>86.56999999999999</v>
      </c>
      <c r="V2007" s="14">
        <f>U2007/J2007-1</f>
        <v/>
      </c>
      <c r="W2007" s="14">
        <f>U2007/H2007-1</f>
        <v/>
      </c>
      <c r="X2007" s="16" t="inlineStr">
        <is>
          <t>ACIMA +7.2%</t>
        </is>
      </c>
      <c r="Y2007" s="7" t="inlineStr"/>
    </row>
    <row r="2008">
      <c r="A2008" s="7" t="n">
        <v>551021</v>
      </c>
      <c r="B2008" s="12" t="inlineStr">
        <is>
          <t>7898656390261</t>
        </is>
      </c>
      <c r="C2008" s="7" t="inlineStr">
        <is>
          <t>FRALDA MAMY POKO FRALDA CALÇA G C/ 32UN</t>
        </is>
      </c>
      <c r="D2008" s="7" t="inlineStr">
        <is>
          <t>FRALDAS INFANTIL</t>
        </is>
      </c>
      <c r="E2008" s="7" t="inlineStr">
        <is>
          <t>C</t>
        </is>
      </c>
      <c r="F2008" s="13" t="n">
        <v>4</v>
      </c>
      <c r="G2008" s="13" t="n">
        <v>4</v>
      </c>
      <c r="H2008" s="8" t="n">
        <v>53.75</v>
      </c>
      <c r="I2008" s="8" t="n">
        <v>53.75</v>
      </c>
      <c r="J2008" s="8" t="n">
        <v>53.75</v>
      </c>
      <c r="K2008" s="8" t="n"/>
      <c r="L2008" s="8" t="n"/>
      <c r="M2008" s="8" t="n"/>
      <c r="N2008" s="8" t="n"/>
      <c r="O2008" s="8" t="n"/>
      <c r="P2008" s="8" t="n"/>
      <c r="Q2008" s="8" t="n"/>
      <c r="R2008" s="8" t="n"/>
      <c r="S2008" s="8" t="n"/>
      <c r="T2008" s="7" t="inlineStr">
        <is>
          <t>SEM COTAÇÃO</t>
        </is>
      </c>
      <c r="U2008" s="8" t="n"/>
      <c r="V2008" s="14" t="n"/>
      <c r="W2008" s="14" t="n"/>
      <c r="X2008" s="7" t="inlineStr"/>
      <c r="Y2008" s="7" t="inlineStr"/>
    </row>
    <row r="2009">
      <c r="A2009" s="7" t="n">
        <v>645421</v>
      </c>
      <c r="B2009" s="12" t="inlineStr">
        <is>
          <t>7898656390681</t>
        </is>
      </c>
      <c r="C2009" s="7" t="inlineStr">
        <is>
          <t>FRALDA MAMYPOKO GIGA M 68 C/2 PC PC C/68</t>
        </is>
      </c>
      <c r="D2009" s="7" t="inlineStr">
        <is>
          <t>FRALDAS INFANTIL</t>
        </is>
      </c>
      <c r="E2009" s="7" t="inlineStr">
        <is>
          <t>C</t>
        </is>
      </c>
      <c r="F2009" s="13" t="n">
        <v>1</v>
      </c>
      <c r="G2009" s="13" t="n">
        <v>1</v>
      </c>
      <c r="H2009" s="8" t="n">
        <v>98</v>
      </c>
      <c r="I2009" s="8" t="n">
        <v>98</v>
      </c>
      <c r="J2009" s="8" t="n">
        <v>98</v>
      </c>
      <c r="K2009" s="8" t="n"/>
      <c r="L2009" s="8" t="n"/>
      <c r="M2009" s="8" t="n"/>
      <c r="N2009" s="8" t="n"/>
      <c r="O2009" s="8" t="n"/>
      <c r="P2009" s="8" t="n"/>
      <c r="Q2009" s="8" t="n"/>
      <c r="R2009" s="8" t="n"/>
      <c r="S2009" s="8" t="n"/>
      <c r="T2009" s="7" t="inlineStr">
        <is>
          <t>SEM COTAÇÃO</t>
        </is>
      </c>
      <c r="U2009" s="8" t="n"/>
      <c r="V2009" s="14" t="n"/>
      <c r="W2009" s="14" t="n"/>
      <c r="X2009" s="7" t="inlineStr"/>
      <c r="Y2009" s="7" t="inlineStr"/>
    </row>
    <row r="2010">
      <c r="A2010" s="7" t="n">
        <v>539261</v>
      </c>
      <c r="B2010" s="12" t="inlineStr">
        <is>
          <t>7896006420101</t>
        </is>
      </c>
      <c r="C2010" s="7" t="inlineStr">
        <is>
          <t>FRALDA MAXX BABY 8 UN M</t>
        </is>
      </c>
      <c r="D2010" s="7" t="inlineStr">
        <is>
          <t>FRALDAS INFANTIL</t>
        </is>
      </c>
      <c r="E2010" s="7" t="inlineStr">
        <is>
          <t>C</t>
        </is>
      </c>
      <c r="F2010" s="13" t="n">
        <v>1</v>
      </c>
      <c r="G2010" s="13" t="n">
        <v>2</v>
      </c>
      <c r="H2010" s="8" t="n">
        <v>5.49</v>
      </c>
      <c r="I2010" s="8" t="n">
        <v>5.49</v>
      </c>
      <c r="J2010" s="8" t="n">
        <v>5.489999999999999</v>
      </c>
      <c r="K2010" s="8" t="n"/>
      <c r="L2010" s="8" t="n"/>
      <c r="M2010" s="8" t="n"/>
      <c r="N2010" s="8" t="n"/>
      <c r="O2010" s="8" t="n"/>
      <c r="P2010" s="8" t="n"/>
      <c r="Q2010" s="8" t="n"/>
      <c r="R2010" s="8" t="n"/>
      <c r="S2010" s="8" t="n"/>
      <c r="T2010" s="7" t="inlineStr">
        <is>
          <t>SEM COTAÇÃO</t>
        </is>
      </c>
      <c r="U2010" s="8" t="n"/>
      <c r="V2010" s="14" t="n"/>
      <c r="W2010" s="14" t="n"/>
      <c r="X2010" s="7" t="inlineStr"/>
      <c r="Y2010" s="7" t="inlineStr"/>
    </row>
    <row r="2011">
      <c r="A2011" s="7" t="n">
        <v>537881</v>
      </c>
      <c r="B2011" s="12" t="inlineStr">
        <is>
          <t>7896006420033</t>
        </is>
      </c>
      <c r="C2011" s="7" t="inlineStr">
        <is>
          <t>FRALDA MAXXBABY REGULAR C/7 G</t>
        </is>
      </c>
      <c r="D2011" s="7" t="inlineStr">
        <is>
          <t>FRALDAS INFANTIL</t>
        </is>
      </c>
      <c r="E2011" s="7" t="inlineStr">
        <is>
          <t>C</t>
        </is>
      </c>
      <c r="F2011" s="13" t="n">
        <v>1</v>
      </c>
      <c r="G2011" s="13" t="n">
        <v>7</v>
      </c>
      <c r="H2011" s="8" t="n">
        <v>5.49</v>
      </c>
      <c r="I2011" s="8" t="n">
        <v>5.49</v>
      </c>
      <c r="J2011" s="8" t="n">
        <v>5.489999999999999</v>
      </c>
      <c r="K2011" s="8" t="n"/>
      <c r="L2011" s="8" t="n"/>
      <c r="M2011" s="8" t="n"/>
      <c r="N2011" s="8" t="n"/>
      <c r="O2011" s="8" t="n"/>
      <c r="P2011" s="8" t="n"/>
      <c r="Q2011" s="8" t="n"/>
      <c r="R2011" s="8" t="n"/>
      <c r="S2011" s="8" t="n"/>
      <c r="T2011" s="7" t="inlineStr">
        <is>
          <t>SEM COTAÇÃO</t>
        </is>
      </c>
      <c r="U2011" s="8" t="n"/>
      <c r="V2011" s="14" t="n"/>
      <c r="W2011" s="14" t="n"/>
      <c r="X2011" s="7" t="inlineStr"/>
      <c r="Y2011" s="7" t="inlineStr"/>
    </row>
    <row r="2012">
      <c r="A2012" s="7" t="n">
        <v>544561</v>
      </c>
      <c r="B2012" s="12" t="inlineStr">
        <is>
          <t>7500435146159</t>
        </is>
      </c>
      <c r="C2012" s="7" t="inlineStr">
        <is>
          <t>FRALDA PAMPERS PANTS G 16</t>
        </is>
      </c>
      <c r="D2012" s="7" t="inlineStr">
        <is>
          <t>FRALDAS INFANTIL</t>
        </is>
      </c>
      <c r="E2012" s="7" t="inlineStr">
        <is>
          <t>C</t>
        </is>
      </c>
      <c r="F2012" s="13" t="n">
        <v>1</v>
      </c>
      <c r="G2012" s="13" t="n">
        <v>1</v>
      </c>
      <c r="H2012" s="8" t="n">
        <v>29.9</v>
      </c>
      <c r="I2012" s="8" t="n">
        <v>29.9</v>
      </c>
      <c r="J2012" s="8" t="n">
        <v>29.9</v>
      </c>
      <c r="K2012" s="8" t="n"/>
      <c r="L2012" s="8" t="n"/>
      <c r="M2012" s="8" t="n"/>
      <c r="N2012" s="8" t="n"/>
      <c r="O2012" s="8" t="n"/>
      <c r="P2012" s="8" t="n"/>
      <c r="Q2012" s="8" t="n"/>
      <c r="R2012" s="8" t="n"/>
      <c r="S2012" s="8" t="n"/>
      <c r="T2012" s="7" t="inlineStr">
        <is>
          <t>SEM COTAÇÃO</t>
        </is>
      </c>
      <c r="U2012" s="8" t="n"/>
      <c r="V2012" s="14" t="n"/>
      <c r="W2012" s="14" t="n"/>
      <c r="X2012" s="7" t="inlineStr"/>
      <c r="Y2012" s="7" t="inlineStr"/>
    </row>
    <row r="2013">
      <c r="A2013" s="7" t="n">
        <v>543001</v>
      </c>
      <c r="B2013" s="12" t="inlineStr">
        <is>
          <t>7896012879993</t>
        </is>
      </c>
      <c r="C2013" s="7" t="inlineStr">
        <is>
          <t>FRALDA POMPOM XG 20 UN</t>
        </is>
      </c>
      <c r="D2013" s="7" t="inlineStr">
        <is>
          <t>FRALDAS INFANTIL</t>
        </is>
      </c>
      <c r="E2013" s="7" t="inlineStr">
        <is>
          <t>C</t>
        </is>
      </c>
      <c r="F2013" s="13" t="n">
        <v>1</v>
      </c>
      <c r="G2013" s="13" t="n">
        <v>1</v>
      </c>
      <c r="H2013" s="8" t="n"/>
      <c r="I2013" s="8" t="n"/>
      <c r="J2013" s="8" t="n"/>
      <c r="K2013" s="8" t="n"/>
      <c r="L2013" s="8" t="n"/>
      <c r="M2013" s="8" t="n"/>
      <c r="N2013" s="8" t="n"/>
      <c r="O2013" s="8" t="n"/>
      <c r="P2013" s="8" t="n"/>
      <c r="Q2013" s="8" t="n"/>
      <c r="R2013" s="8" t="n"/>
      <c r="S2013" s="8" t="n"/>
      <c r="T2013" s="7" t="inlineStr">
        <is>
          <t>SEM COTAÇÃO</t>
        </is>
      </c>
      <c r="U2013" s="8" t="n"/>
      <c r="V2013" s="14" t="n"/>
      <c r="W2013" s="14" t="n"/>
      <c r="X2013" s="7" t="inlineStr"/>
      <c r="Y2013" s="7" t="inlineStr"/>
    </row>
    <row r="2014">
      <c r="A2014" s="7" t="n">
        <v>548201</v>
      </c>
      <c r="B2014" s="12" t="inlineStr">
        <is>
          <t>7899700800385</t>
        </is>
      </c>
      <c r="C2014" s="7" t="inlineStr">
        <is>
          <t>FRALDA SCOOBY DOO BABY JUMBINHO XXG 12UN</t>
        </is>
      </c>
      <c r="D2014" s="7" t="inlineStr">
        <is>
          <t>FRALDAS INFANTIL</t>
        </is>
      </c>
      <c r="E2014" s="7" t="inlineStr">
        <is>
          <t>A</t>
        </is>
      </c>
      <c r="F2014" s="13" t="n">
        <v>13</v>
      </c>
      <c r="G2014" s="13" t="n">
        <v>13</v>
      </c>
      <c r="H2014" s="8" t="n">
        <v>10.49</v>
      </c>
      <c r="I2014" s="8" t="n">
        <v>9.68</v>
      </c>
      <c r="J2014" s="8" t="n">
        <v>9.986666666666666</v>
      </c>
      <c r="K2014" s="8" t="n"/>
      <c r="L2014" s="8" t="n"/>
      <c r="M2014" s="8" t="n"/>
      <c r="N2014" s="8" t="n"/>
      <c r="O2014" s="8" t="n"/>
      <c r="P2014" s="8" t="n"/>
      <c r="Q2014" s="8" t="n"/>
      <c r="R2014" s="8" t="n"/>
      <c r="S2014" s="8" t="n"/>
      <c r="T2014" s="7" t="inlineStr">
        <is>
          <t>SEM COTAÇÃO</t>
        </is>
      </c>
      <c r="U2014" s="8" t="n"/>
      <c r="V2014" s="14" t="n"/>
      <c r="W2014" s="14" t="n"/>
      <c r="X2014" s="7" t="inlineStr"/>
      <c r="Y2014" s="7" t="inlineStr"/>
    </row>
    <row r="2015">
      <c r="A2015" s="7" t="n">
        <v>648161</v>
      </c>
      <c r="B2015" s="12" t="inlineStr">
        <is>
          <t>7899700802211</t>
        </is>
      </c>
      <c r="C2015" s="7" t="inlineStr">
        <is>
          <t>FRALDA SCOOBY DOO ROU JUMBINHO XXG 14X1</t>
        </is>
      </c>
      <c r="D2015" s="7" t="inlineStr">
        <is>
          <t>FRALDAS INFANTIL</t>
        </is>
      </c>
      <c r="E2015" s="7" t="inlineStr">
        <is>
          <t>A</t>
        </is>
      </c>
      <c r="F2015" s="13" t="n">
        <v>7</v>
      </c>
      <c r="G2015" s="13" t="n">
        <v>7</v>
      </c>
      <c r="H2015" s="8" t="n">
        <v>18.79</v>
      </c>
      <c r="I2015" s="8" t="n">
        <v>16.9</v>
      </c>
      <c r="J2015" s="8" t="n">
        <v>17.72666666666667</v>
      </c>
      <c r="K2015" s="8" t="n"/>
      <c r="L2015" s="8" t="n"/>
      <c r="M2015" s="8" t="n"/>
      <c r="N2015" s="8" t="n"/>
      <c r="O2015" s="8" t="n"/>
      <c r="P2015" s="8" t="n"/>
      <c r="Q2015" s="8" t="n"/>
      <c r="R2015" s="8" t="n"/>
      <c r="S2015" s="8" t="n"/>
      <c r="T2015" s="7" t="inlineStr">
        <is>
          <t>SEM COTAÇÃO</t>
        </is>
      </c>
      <c r="U2015" s="8" t="n"/>
      <c r="V2015" s="14" t="n"/>
      <c r="W2015" s="14" t="n"/>
      <c r="X2015" s="7" t="inlineStr"/>
      <c r="Y2015" s="7" t="inlineStr"/>
    </row>
    <row r="2016">
      <c r="A2016" s="7" t="n">
        <v>634031</v>
      </c>
      <c r="B2016" s="12" t="inlineStr">
        <is>
          <t>7899700802235</t>
        </is>
      </c>
      <c r="C2016" s="7" t="inlineStr">
        <is>
          <t>FRALDA SCOOBY DOO ROU JUMBO G 30</t>
        </is>
      </c>
      <c r="D2016" s="7" t="inlineStr">
        <is>
          <t>FRALDAS INFANTIL</t>
        </is>
      </c>
      <c r="E2016" s="7" t="inlineStr">
        <is>
          <t>A</t>
        </is>
      </c>
      <c r="F2016" s="13" t="n">
        <v>4</v>
      </c>
      <c r="G2016" s="13" t="n">
        <v>4</v>
      </c>
      <c r="H2016" s="8" t="n">
        <v>30.99</v>
      </c>
      <c r="I2016" s="8" t="n">
        <v>26.78</v>
      </c>
      <c r="J2016" s="8" t="n">
        <v>29.25333333333333</v>
      </c>
      <c r="K2016" s="8" t="n"/>
      <c r="L2016" s="8" t="n"/>
      <c r="M2016" s="8" t="n"/>
      <c r="N2016" s="8" t="n"/>
      <c r="O2016" s="8" t="n"/>
      <c r="P2016" s="8" t="n"/>
      <c r="Q2016" s="8" t="n"/>
      <c r="R2016" s="8" t="n"/>
      <c r="S2016" s="8" t="n"/>
      <c r="T2016" s="7" t="inlineStr">
        <is>
          <t>SEM COTAÇÃO</t>
        </is>
      </c>
      <c r="U2016" s="8" t="n"/>
      <c r="V2016" s="14" t="n"/>
      <c r="W2016" s="14" t="n"/>
      <c r="X2016" s="7" t="inlineStr"/>
      <c r="Y2016" s="7" t="inlineStr"/>
    </row>
    <row r="2017">
      <c r="A2017" s="7" t="n">
        <v>634051</v>
      </c>
      <c r="B2017" s="12" t="inlineStr">
        <is>
          <t>7899700802259</t>
        </is>
      </c>
      <c r="C2017" s="7" t="inlineStr">
        <is>
          <t>FRALDA SCOOBY DOO ROU JUMBO XXG 24</t>
        </is>
      </c>
      <c r="D2017" s="7" t="inlineStr">
        <is>
          <t>PERF/COSME</t>
        </is>
      </c>
      <c r="E2017" s="7" t="inlineStr">
        <is>
          <t>A</t>
        </is>
      </c>
      <c r="F2017" s="13" t="n">
        <v>7</v>
      </c>
      <c r="G2017" s="13" t="n">
        <v>7</v>
      </c>
      <c r="H2017" s="8" t="n">
        <v>29.99</v>
      </c>
      <c r="I2017" s="8" t="n">
        <v>26.78</v>
      </c>
      <c r="J2017" s="8" t="n">
        <v>28.92</v>
      </c>
      <c r="K2017" s="8" t="n"/>
      <c r="L2017" s="8" t="n"/>
      <c r="M2017" s="8" t="n"/>
      <c r="N2017" s="8" t="n"/>
      <c r="O2017" s="8" t="n"/>
      <c r="P2017" s="8" t="n"/>
      <c r="Q2017" s="8" t="n"/>
      <c r="R2017" s="8" t="n"/>
      <c r="S2017" s="8" t="n"/>
      <c r="T2017" s="7" t="inlineStr">
        <is>
          <t>SEM COTAÇÃO</t>
        </is>
      </c>
      <c r="U2017" s="8" t="n"/>
      <c r="V2017" s="14" t="n"/>
      <c r="W2017" s="14" t="n"/>
      <c r="X2017" s="7" t="inlineStr"/>
      <c r="Y2017" s="7" t="inlineStr"/>
    </row>
    <row r="2018">
      <c r="A2018" s="7" t="n">
        <v>556001</v>
      </c>
      <c r="B2018" s="12" t="inlineStr">
        <is>
          <t>7896007549696</t>
        </is>
      </c>
      <c r="C2018" s="7" t="inlineStr">
        <is>
          <t>FRALDA SHORTINHO HUGGIES SUPREME CARE XG 24UN</t>
        </is>
      </c>
      <c r="D2018" s="7" t="inlineStr">
        <is>
          <t>FRALDAS INFANTIL</t>
        </is>
      </c>
      <c r="E2018" s="7" t="inlineStr">
        <is>
          <t>A</t>
        </is>
      </c>
      <c r="F2018" s="13" t="n">
        <v>7</v>
      </c>
      <c r="G2018" s="13" t="n">
        <v>7</v>
      </c>
      <c r="H2018" s="8" t="n">
        <v>47.7</v>
      </c>
      <c r="I2018" s="8" t="n">
        <v>44.7033</v>
      </c>
      <c r="J2018" s="8" t="n">
        <v>46.7011</v>
      </c>
      <c r="K2018" s="8" t="n"/>
      <c r="L2018" s="8" t="n"/>
      <c r="M2018" s="8" t="n"/>
      <c r="N2018" s="8" t="n"/>
      <c r="O2018" s="8" t="n"/>
      <c r="P2018" s="15" t="n">
        <v>51.34</v>
      </c>
      <c r="Q2018" s="8" t="n"/>
      <c r="R2018" s="8" t="n"/>
      <c r="S2018" s="8" t="n"/>
      <c r="T2018" s="7" t="inlineStr">
        <is>
          <t>NAZARIA</t>
        </is>
      </c>
      <c r="U2018" s="8" t="n">
        <v>51.34</v>
      </c>
      <c r="V2018" s="14">
        <f>U2018/J2018-1</f>
        <v/>
      </c>
      <c r="W2018" s="14">
        <f>U2018/H2018-1</f>
        <v/>
      </c>
      <c r="X2018" s="16" t="inlineStr">
        <is>
          <t>ACIMA +7.6%</t>
        </is>
      </c>
      <c r="Y2018" s="7" t="inlineStr">
        <is>
          <t>NAZARIA: estoque parcial (6 un)</t>
        </is>
      </c>
    </row>
    <row r="2019">
      <c r="A2019" s="7" t="n">
        <v>556021</v>
      </c>
      <c r="B2019" s="12" t="inlineStr">
        <is>
          <t>7896007549702</t>
        </is>
      </c>
      <c r="C2019" s="7" t="inlineStr">
        <is>
          <t>FRALDA SHORTINHO HUGGIES SUPREME CARE XXG 24UN</t>
        </is>
      </c>
      <c r="D2019" s="7" t="inlineStr">
        <is>
          <t>FRALDAS INFANTIL</t>
        </is>
      </c>
      <c r="E2019" s="7" t="inlineStr">
        <is>
          <t>C</t>
        </is>
      </c>
      <c r="F2019" s="13" t="n">
        <v>3</v>
      </c>
      <c r="G2019" s="13" t="n">
        <v>3</v>
      </c>
      <c r="H2019" s="8" t="n">
        <v>50.0233</v>
      </c>
      <c r="I2019" s="8" t="n">
        <v>50.0233</v>
      </c>
      <c r="J2019" s="8" t="n">
        <v>50.0233</v>
      </c>
      <c r="K2019" s="8" t="n"/>
      <c r="L2019" s="8" t="n"/>
      <c r="M2019" s="8" t="n"/>
      <c r="N2019" s="8" t="n"/>
      <c r="O2019" s="8" t="n"/>
      <c r="P2019" s="15" t="n">
        <v>51.34</v>
      </c>
      <c r="Q2019" s="8" t="n"/>
      <c r="R2019" s="8" t="n"/>
      <c r="S2019" s="8" t="n"/>
      <c r="T2019" s="7" t="inlineStr">
        <is>
          <t>NAZARIA</t>
        </is>
      </c>
      <c r="U2019" s="8" t="n">
        <v>51.34</v>
      </c>
      <c r="V2019" s="14">
        <f>U2019/J2019-1</f>
        <v/>
      </c>
      <c r="W2019" s="14">
        <f>U2019/H2019-1</f>
        <v/>
      </c>
      <c r="X2019" s="16" t="inlineStr">
        <is>
          <t>ACIMA +2.6%</t>
        </is>
      </c>
      <c r="Y2019" s="7" t="inlineStr"/>
    </row>
    <row r="2020">
      <c r="A2020" s="7" t="n">
        <v>12803</v>
      </c>
      <c r="B2020" s="12" t="inlineStr">
        <is>
          <t>7896012881934</t>
        </is>
      </c>
      <c r="C2020" s="7" t="inlineStr">
        <is>
          <t>FRALDA TURMA MONICA ROU MEGA G 22X1</t>
        </is>
      </c>
      <c r="D2020" s="7" t="inlineStr">
        <is>
          <t>FRALDAS INFANTIL</t>
        </is>
      </c>
      <c r="E2020" s="7" t="inlineStr">
        <is>
          <t>A</t>
        </is>
      </c>
      <c r="F2020" s="13" t="n">
        <v>6</v>
      </c>
      <c r="G2020" s="13" t="n">
        <v>6</v>
      </c>
      <c r="H2020" s="8" t="n">
        <v>29.74</v>
      </c>
      <c r="I2020" s="8" t="n">
        <v>29.74</v>
      </c>
      <c r="J2020" s="8" t="n">
        <v>29.74</v>
      </c>
      <c r="K2020" s="8" t="n"/>
      <c r="L2020" s="8" t="n"/>
      <c r="M2020" s="8" t="n"/>
      <c r="N2020" s="8" t="n"/>
      <c r="O2020" s="8" t="n"/>
      <c r="P2020" s="8" t="n"/>
      <c r="Q2020" s="8" t="n"/>
      <c r="R2020" s="8" t="n"/>
      <c r="S2020" s="8" t="n"/>
      <c r="T2020" s="7" t="inlineStr">
        <is>
          <t>SEM COTAÇÃO</t>
        </is>
      </c>
      <c r="U2020" s="8" t="n"/>
      <c r="V2020" s="14" t="n"/>
      <c r="W2020" s="14" t="n"/>
      <c r="X2020" s="7" t="inlineStr"/>
      <c r="Y2020" s="7" t="inlineStr"/>
    </row>
    <row r="2021">
      <c r="A2021" s="7" t="n">
        <v>634221</v>
      </c>
      <c r="B2021" s="12" t="inlineStr"/>
      <c r="C2021" s="7" t="inlineStr">
        <is>
          <t>FRD AD BIGFR DERMA PLUS M 8UN</t>
        </is>
      </c>
      <c r="D2021" s="7" t="inlineStr">
        <is>
          <t>FRALDAS GERIATRICAS</t>
        </is>
      </c>
      <c r="E2021" s="7" t="inlineStr">
        <is>
          <t>A</t>
        </is>
      </c>
      <c r="F2021" s="13" t="n">
        <v>1</v>
      </c>
      <c r="G2021" s="13" t="n">
        <v>3</v>
      </c>
      <c r="H2021" s="8" t="n">
        <v>20.6662</v>
      </c>
      <c r="I2021" s="8" t="n">
        <v>16.1125</v>
      </c>
      <c r="J2021" s="8" t="n">
        <v>19.1483</v>
      </c>
      <c r="K2021" s="8" t="n"/>
      <c r="L2021" s="8" t="n"/>
      <c r="M2021" s="8" t="n"/>
      <c r="N2021" s="8" t="n"/>
      <c r="O2021" s="8" t="n"/>
      <c r="P2021" s="8" t="n"/>
      <c r="Q2021" s="8" t="n"/>
      <c r="R2021" s="8" t="n"/>
      <c r="S2021" s="8" t="n"/>
      <c r="T2021" s="7" t="inlineStr">
        <is>
          <t>SEM COTAÇÃO</t>
        </is>
      </c>
      <c r="U2021" s="8" t="n"/>
      <c r="V2021" s="14" t="n"/>
      <c r="W2021" s="14" t="n"/>
      <c r="X2021" s="7" t="inlineStr"/>
      <c r="Y2021" s="7" t="inlineStr"/>
    </row>
    <row r="2022">
      <c r="A2022" s="7" t="n">
        <v>606111</v>
      </c>
      <c r="B2022" s="12" t="inlineStr">
        <is>
          <t>7896012879665</t>
        </is>
      </c>
      <c r="C2022" s="7" t="inlineStr">
        <is>
          <t>FRD AD BIGFR R I MO F G/XG 7UN</t>
        </is>
      </c>
      <c r="D2022" s="7" t="inlineStr">
        <is>
          <t>FRALDAS GERIATRICAS</t>
        </is>
      </c>
      <c r="E2022" s="7" t="inlineStr">
        <is>
          <t>A</t>
        </is>
      </c>
      <c r="F2022" s="13" t="n">
        <v>2</v>
      </c>
      <c r="G2022" s="13" t="n">
        <v>10</v>
      </c>
      <c r="H2022" s="8" t="n">
        <v>17.7462</v>
      </c>
      <c r="I2022" s="8" t="n">
        <v>16.6125</v>
      </c>
      <c r="J2022" s="8" t="n">
        <v>17.3683</v>
      </c>
      <c r="K2022" s="8" t="n"/>
      <c r="L2022" s="8" t="n"/>
      <c r="M2022" s="8" t="n"/>
      <c r="N2022" s="8" t="n"/>
      <c r="O2022" s="8" t="n"/>
      <c r="P2022" s="8" t="n"/>
      <c r="Q2022" s="8" t="n"/>
      <c r="R2022" s="8" t="n"/>
      <c r="S2022" s="8" t="n"/>
      <c r="T2022" s="7" t="inlineStr">
        <is>
          <t>SEM COTAÇÃO</t>
        </is>
      </c>
      <c r="U2022" s="8" t="n"/>
      <c r="V2022" s="14" t="n"/>
      <c r="W2022" s="14" t="n"/>
      <c r="X2022" s="7" t="inlineStr"/>
      <c r="Y2022" s="7" t="inlineStr"/>
    </row>
    <row r="2023">
      <c r="A2023" s="7" t="n">
        <v>621371</v>
      </c>
      <c r="B2023" s="12" t="inlineStr">
        <is>
          <t>17896012879709</t>
        </is>
      </c>
      <c r="C2023" s="7" t="inlineStr">
        <is>
          <t>FRD AD BIGFR R I MOV G/XG 16UN</t>
        </is>
      </c>
      <c r="D2023" s="7" t="inlineStr">
        <is>
          <t>FRALDAS GERIATRICAS</t>
        </is>
      </c>
      <c r="E2023" s="7" t="inlineStr">
        <is>
          <t>A</t>
        </is>
      </c>
      <c r="F2023" s="13" t="n">
        <v>1</v>
      </c>
      <c r="G2023" s="13" t="n">
        <v>3</v>
      </c>
      <c r="H2023" s="8" t="n">
        <v>40.8475</v>
      </c>
      <c r="I2023" s="8" t="n">
        <v>32.72</v>
      </c>
      <c r="J2023" s="8" t="n">
        <v>38.13833333333333</v>
      </c>
      <c r="K2023" s="8" t="n"/>
      <c r="L2023" s="8" t="n"/>
      <c r="M2023" s="8" t="n"/>
      <c r="N2023" s="8" t="n"/>
      <c r="O2023" s="8" t="n"/>
      <c r="P2023" s="8" t="n"/>
      <c r="Q2023" s="8" t="n"/>
      <c r="R2023" s="8" t="n"/>
      <c r="S2023" s="8" t="n"/>
      <c r="T2023" s="7" t="inlineStr">
        <is>
          <t>SEM COTAÇÃO</t>
        </is>
      </c>
      <c r="U2023" s="8" t="n"/>
      <c r="V2023" s="14" t="n"/>
      <c r="W2023" s="14" t="n"/>
      <c r="X2023" s="7" t="inlineStr"/>
      <c r="Y2023" s="7" t="inlineStr"/>
    </row>
    <row r="2024">
      <c r="A2024" s="7" t="n">
        <v>683</v>
      </c>
      <c r="B2024" s="12" t="inlineStr">
        <is>
          <t>7896012879689</t>
        </is>
      </c>
      <c r="C2024" s="7" t="inlineStr">
        <is>
          <t>FRD AD BIGFR R I MOV G/XG 7UN</t>
        </is>
      </c>
      <c r="D2024" s="7" t="inlineStr">
        <is>
          <t>FRALDAS GERIATRICAS</t>
        </is>
      </c>
      <c r="E2024" s="7" t="inlineStr">
        <is>
          <t>B</t>
        </is>
      </c>
      <c r="F2024" s="13" t="n">
        <v>1</v>
      </c>
      <c r="G2024" s="13" t="n">
        <v>2</v>
      </c>
      <c r="H2024" s="8" t="n"/>
      <c r="I2024" s="8" t="n"/>
      <c r="J2024" s="8" t="n"/>
      <c r="K2024" s="8" t="n"/>
      <c r="L2024" s="8" t="n"/>
      <c r="M2024" s="8" t="n"/>
      <c r="N2024" s="8" t="n"/>
      <c r="O2024" s="8" t="n"/>
      <c r="P2024" s="8" t="n"/>
      <c r="Q2024" s="8" t="n"/>
      <c r="R2024" s="8" t="n"/>
      <c r="S2024" s="8" t="n"/>
      <c r="T2024" s="7" t="inlineStr">
        <is>
          <t>SEM COTAÇÃO</t>
        </is>
      </c>
      <c r="U2024" s="8" t="n"/>
      <c r="V2024" s="14" t="n"/>
      <c r="W2024" s="14" t="n"/>
      <c r="X2024" s="7" t="inlineStr"/>
      <c r="Y2024" s="7" t="inlineStr"/>
    </row>
    <row r="2025">
      <c r="A2025" s="7" t="n">
        <v>621381</v>
      </c>
      <c r="B2025" s="12" t="inlineStr">
        <is>
          <t>17896012879693</t>
        </is>
      </c>
      <c r="C2025" s="7" t="inlineStr">
        <is>
          <t>FRD AD BIGFR R I MOV P/M 16UN</t>
        </is>
      </c>
      <c r="D2025" s="7" t="inlineStr">
        <is>
          <t>FRALDAS INFANTIL</t>
        </is>
      </c>
      <c r="E2025" s="7" t="inlineStr">
        <is>
          <t>C</t>
        </is>
      </c>
      <c r="F2025" s="13" t="n">
        <v>1</v>
      </c>
      <c r="G2025" s="13" t="n">
        <v>2</v>
      </c>
      <c r="H2025" s="8" t="n">
        <v>32.72</v>
      </c>
      <c r="I2025" s="8" t="n">
        <v>32.72</v>
      </c>
      <c r="J2025" s="8" t="n">
        <v>32.72</v>
      </c>
      <c r="K2025" s="8" t="n"/>
      <c r="L2025" s="8" t="n"/>
      <c r="M2025" s="8" t="n"/>
      <c r="N2025" s="8" t="n"/>
      <c r="O2025" s="8" t="n"/>
      <c r="P2025" s="8" t="n"/>
      <c r="Q2025" s="8" t="n"/>
      <c r="R2025" s="8" t="n"/>
      <c r="S2025" s="8" t="n"/>
      <c r="T2025" s="7" t="inlineStr">
        <is>
          <t>SEM COTAÇÃO</t>
        </is>
      </c>
      <c r="U2025" s="8" t="n"/>
      <c r="V2025" s="14" t="n"/>
      <c r="W2025" s="14" t="n"/>
      <c r="X2025" s="7" t="inlineStr"/>
      <c r="Y2025" s="7" t="inlineStr"/>
    </row>
    <row r="2026">
      <c r="A2026" s="7" t="n">
        <v>621151</v>
      </c>
      <c r="B2026" s="12" t="inlineStr">
        <is>
          <t>17896012879655</t>
        </is>
      </c>
      <c r="C2026" s="7" t="inlineStr">
        <is>
          <t>FRD AD BIGFR R I MOV P/M 7UN</t>
        </is>
      </c>
      <c r="D2026" s="7" t="inlineStr">
        <is>
          <t>FRALDAS GERIATRICAS</t>
        </is>
      </c>
      <c r="E2026" s="7" t="inlineStr">
        <is>
          <t>A</t>
        </is>
      </c>
      <c r="F2026" s="13" t="n">
        <v>2</v>
      </c>
      <c r="G2026" s="13" t="n">
        <v>14</v>
      </c>
      <c r="H2026" s="8" t="n">
        <v>17.7462</v>
      </c>
      <c r="I2026" s="8" t="n">
        <v>17.7462</v>
      </c>
      <c r="J2026" s="8" t="n">
        <v>17.7462</v>
      </c>
      <c r="K2026" s="8" t="n"/>
      <c r="L2026" s="8" t="n"/>
      <c r="M2026" s="8" t="n"/>
      <c r="N2026" s="8" t="n"/>
      <c r="O2026" s="8" t="n"/>
      <c r="P2026" s="8" t="n"/>
      <c r="Q2026" s="8" t="n"/>
      <c r="R2026" s="8" t="n"/>
      <c r="S2026" s="8" t="n"/>
      <c r="T2026" s="7" t="inlineStr">
        <is>
          <t>SEM COTAÇÃO</t>
        </is>
      </c>
      <c r="U2026" s="8" t="n"/>
      <c r="V2026" s="14" t="n"/>
      <c r="W2026" s="14" t="n"/>
      <c r="X2026" s="7" t="inlineStr"/>
      <c r="Y2026" s="7" t="inlineStr"/>
    </row>
    <row r="2027">
      <c r="A2027" s="7" t="n">
        <v>606121</v>
      </c>
      <c r="B2027" s="12" t="inlineStr">
        <is>
          <t>7896012880036</t>
        </is>
      </c>
      <c r="C2027" s="7" t="inlineStr">
        <is>
          <t>FRD AD BIGFR ROUPA G/XG</t>
        </is>
      </c>
      <c r="D2027" s="7" t="inlineStr">
        <is>
          <t>FRALDAS GERIATRICAS</t>
        </is>
      </c>
      <c r="E2027" s="7" t="inlineStr">
        <is>
          <t>A</t>
        </is>
      </c>
      <c r="F2027" s="13" t="n">
        <v>1</v>
      </c>
      <c r="G2027" s="13" t="n">
        <v>2</v>
      </c>
      <c r="H2027" s="8" t="n">
        <v>19.7888</v>
      </c>
      <c r="I2027" s="8" t="n">
        <v>18.1125</v>
      </c>
      <c r="J2027" s="8" t="n">
        <v>19.19126666666666</v>
      </c>
      <c r="K2027" s="8" t="n"/>
      <c r="L2027" s="8" t="n"/>
      <c r="M2027" s="8" t="n"/>
      <c r="N2027" s="8" t="n"/>
      <c r="O2027" s="8" t="n"/>
      <c r="P2027" s="8" t="n"/>
      <c r="Q2027" s="8" t="n"/>
      <c r="R2027" s="8" t="n"/>
      <c r="S2027" s="8" t="n"/>
      <c r="T2027" s="7" t="inlineStr">
        <is>
          <t>SEM COTAÇÃO</t>
        </is>
      </c>
      <c r="U2027" s="8" t="n"/>
      <c r="V2027" s="14" t="n"/>
      <c r="W2027" s="14" t="n"/>
      <c r="X2027" s="7" t="inlineStr"/>
      <c r="Y2027" s="7" t="inlineStr"/>
    </row>
    <row r="2028">
      <c r="A2028" s="7" t="n">
        <v>594861</v>
      </c>
      <c r="B2028" s="12" t="inlineStr">
        <is>
          <t>7896012878842</t>
        </is>
      </c>
      <c r="C2028" s="7" t="inlineStr">
        <is>
          <t>FRD AD BIGFR ROUPA P/M 4X16</t>
        </is>
      </c>
      <c r="D2028" s="7" t="inlineStr">
        <is>
          <t>FRALDAS GERIATRICAS</t>
        </is>
      </c>
      <c r="E2028" s="7" t="inlineStr">
        <is>
          <t>C</t>
        </is>
      </c>
      <c r="F2028" s="13" t="n">
        <v>1</v>
      </c>
      <c r="G2028" s="13" t="n">
        <v>1</v>
      </c>
      <c r="H2028" s="8" t="n">
        <v>39.5</v>
      </c>
      <c r="I2028" s="8" t="n">
        <v>39.5</v>
      </c>
      <c r="J2028" s="8" t="n">
        <v>39.5</v>
      </c>
      <c r="K2028" s="8" t="n"/>
      <c r="L2028" s="8" t="n"/>
      <c r="M2028" s="8" t="n"/>
      <c r="N2028" s="8" t="n"/>
      <c r="O2028" s="8" t="n"/>
      <c r="P2028" s="8" t="n"/>
      <c r="Q2028" s="8" t="n"/>
      <c r="R2028" s="8" t="n"/>
      <c r="S2028" s="8" t="n"/>
      <c r="T2028" s="7" t="inlineStr">
        <is>
          <t>SEM COTAÇÃO</t>
        </is>
      </c>
      <c r="U2028" s="8" t="n"/>
      <c r="V2028" s="14" t="n"/>
      <c r="W2028" s="14" t="n"/>
      <c r="X2028" s="7" t="inlineStr"/>
      <c r="Y2028" s="7" t="inlineStr"/>
    </row>
    <row r="2029">
      <c r="A2029" s="7" t="n">
        <v>621361</v>
      </c>
      <c r="B2029" s="12" t="inlineStr">
        <is>
          <t>17896012880200</t>
        </is>
      </c>
      <c r="C2029" s="7" t="inlineStr">
        <is>
          <t>FRD AD BIGFRAL DERM PL E M 18UN</t>
        </is>
      </c>
      <c r="D2029" s="7" t="inlineStr">
        <is>
          <t>FRALDAS GERIATRICAS</t>
        </is>
      </c>
      <c r="E2029" s="7" t="inlineStr">
        <is>
          <t>B</t>
        </is>
      </c>
      <c r="F2029" s="13" t="n">
        <v>2</v>
      </c>
      <c r="G2029" s="13" t="n">
        <v>5</v>
      </c>
      <c r="H2029" s="8" t="n">
        <v>37.59</v>
      </c>
      <c r="I2029" s="8" t="n">
        <v>37.59</v>
      </c>
      <c r="J2029" s="8" t="n">
        <v>37.59</v>
      </c>
      <c r="K2029" s="8" t="n"/>
      <c r="L2029" s="8" t="n"/>
      <c r="M2029" s="8" t="n"/>
      <c r="N2029" s="8" t="n"/>
      <c r="O2029" s="8" t="n"/>
      <c r="P2029" s="8" t="n"/>
      <c r="Q2029" s="8" t="n"/>
      <c r="R2029" s="8" t="n"/>
      <c r="S2029" s="8" t="n"/>
      <c r="T2029" s="7" t="inlineStr">
        <is>
          <t>SEM COTAÇÃO</t>
        </is>
      </c>
      <c r="U2029" s="8" t="n"/>
      <c r="V2029" s="14" t="n"/>
      <c r="W2029" s="14" t="n"/>
      <c r="X2029" s="7" t="inlineStr"/>
      <c r="Y2029" s="7" t="inlineStr"/>
    </row>
    <row r="2030">
      <c r="A2030" s="7" t="n">
        <v>617431</v>
      </c>
      <c r="B2030" s="12" t="inlineStr">
        <is>
          <t>17898656391388</t>
        </is>
      </c>
      <c r="C2030" s="7" t="inlineStr">
        <is>
          <t>FRD AD LIFREE EXT ABS P/M 16UN</t>
        </is>
      </c>
      <c r="D2030" s="7" t="inlineStr">
        <is>
          <t>FRALDAS GERIATRICAS</t>
        </is>
      </c>
      <c r="E2030" s="7" t="inlineStr">
        <is>
          <t>C</t>
        </is>
      </c>
      <c r="F2030" s="13" t="n">
        <v>1</v>
      </c>
      <c r="G2030" s="13" t="n">
        <v>1</v>
      </c>
      <c r="H2030" s="8" t="n">
        <v>39.425</v>
      </c>
      <c r="I2030" s="8" t="n">
        <v>39.425</v>
      </c>
      <c r="J2030" s="8" t="n">
        <v>39.425</v>
      </c>
      <c r="K2030" s="8" t="n"/>
      <c r="L2030" s="8" t="n"/>
      <c r="M2030" s="8" t="n"/>
      <c r="N2030" s="8" t="n"/>
      <c r="O2030" s="8" t="n"/>
      <c r="P2030" s="8" t="n"/>
      <c r="Q2030" s="8" t="n"/>
      <c r="R2030" s="8" t="n"/>
      <c r="S2030" s="8" t="n"/>
      <c r="T2030" s="7" t="inlineStr">
        <is>
          <t>SEM COTAÇÃO</t>
        </is>
      </c>
      <c r="U2030" s="8" t="n"/>
      <c r="V2030" s="14" t="n"/>
      <c r="W2030" s="14" t="n"/>
      <c r="X2030" s="7" t="inlineStr"/>
      <c r="Y2030" s="7" t="inlineStr"/>
    </row>
    <row r="2031">
      <c r="A2031" s="7" t="n">
        <v>613481</v>
      </c>
      <c r="B2031" s="12" t="inlineStr">
        <is>
          <t>7896770900267</t>
        </is>
      </c>
      <c r="C2031" s="7" t="inlineStr">
        <is>
          <t>FRD AD TENA CONF MEGA M 26UN</t>
        </is>
      </c>
      <c r="D2031" s="7" t="inlineStr">
        <is>
          <t>FRALDAS GERIATRICAS</t>
        </is>
      </c>
      <c r="E2031" s="7" t="inlineStr">
        <is>
          <t>C</t>
        </is>
      </c>
      <c r="F2031" s="13" t="n">
        <v>2</v>
      </c>
      <c r="G2031" s="13" t="n">
        <v>2</v>
      </c>
      <c r="H2031" s="8" t="n">
        <v>46.98</v>
      </c>
      <c r="I2031" s="8" t="n">
        <v>46.98</v>
      </c>
      <c r="J2031" s="8" t="n">
        <v>46.98</v>
      </c>
      <c r="K2031" s="8" t="n"/>
      <c r="L2031" s="8" t="n"/>
      <c r="M2031" s="8" t="n"/>
      <c r="N2031" s="8" t="n"/>
      <c r="O2031" s="8" t="n"/>
      <c r="P2031" s="15" t="n">
        <v>61.09059999999999</v>
      </c>
      <c r="Q2031" s="8" t="n"/>
      <c r="R2031" s="8" t="n"/>
      <c r="S2031" s="8" t="n"/>
      <c r="T2031" s="7" t="inlineStr">
        <is>
          <t>NAZARIA</t>
        </is>
      </c>
      <c r="U2031" s="8" t="n">
        <v>61.09059999999999</v>
      </c>
      <c r="V2031" s="14">
        <f>U2031/J2031-1</f>
        <v/>
      </c>
      <c r="W2031" s="14">
        <f>U2031/H2031-1</f>
        <v/>
      </c>
      <c r="X2031" s="16" t="inlineStr">
        <is>
          <t>ACIMA +30.0%</t>
        </is>
      </c>
      <c r="Y2031" s="7" t="inlineStr"/>
    </row>
    <row r="2032">
      <c r="A2032" s="7" t="n">
        <v>628181</v>
      </c>
      <c r="B2032" s="12" t="inlineStr">
        <is>
          <t>7896770902612</t>
        </is>
      </c>
      <c r="C2032" s="7" t="inlineStr">
        <is>
          <t>FRD AD TENA CONF. MEGA EG 18</t>
        </is>
      </c>
      <c r="D2032" s="7" t="inlineStr">
        <is>
          <t>FRALDAS GERIATRICAS</t>
        </is>
      </c>
      <c r="E2032" s="7" t="inlineStr">
        <is>
          <t>C</t>
        </is>
      </c>
      <c r="F2032" s="13" t="n">
        <v>1</v>
      </c>
      <c r="G2032" s="13" t="n">
        <v>1</v>
      </c>
      <c r="H2032" s="8" t="n">
        <v>44.42</v>
      </c>
      <c r="I2032" s="8" t="n">
        <v>44.42</v>
      </c>
      <c r="J2032" s="8" t="n">
        <v>44.41999999999999</v>
      </c>
      <c r="K2032" s="8" t="n"/>
      <c r="L2032" s="8" t="n"/>
      <c r="M2032" s="8" t="n"/>
      <c r="N2032" s="8" t="n"/>
      <c r="O2032" s="8" t="n"/>
      <c r="P2032" s="15" t="n">
        <v>61.09059999999999</v>
      </c>
      <c r="Q2032" s="8" t="n"/>
      <c r="R2032" s="8" t="n"/>
      <c r="S2032" s="8" t="n"/>
      <c r="T2032" s="7" t="inlineStr">
        <is>
          <t>NAZARIA</t>
        </is>
      </c>
      <c r="U2032" s="8" t="n">
        <v>61.09059999999999</v>
      </c>
      <c r="V2032" s="14">
        <f>U2032/J2032-1</f>
        <v/>
      </c>
      <c r="W2032" s="14">
        <f>U2032/H2032-1</f>
        <v/>
      </c>
      <c r="X2032" s="16" t="inlineStr">
        <is>
          <t>ACIMA +37.5%</t>
        </is>
      </c>
      <c r="Y2032" s="7" t="inlineStr"/>
    </row>
    <row r="2033">
      <c r="A2033" s="7" t="n">
        <v>628221</v>
      </c>
      <c r="B2033" s="12" t="inlineStr">
        <is>
          <t>7896770979348</t>
        </is>
      </c>
      <c r="C2033" s="7" t="inlineStr">
        <is>
          <t>FRD AD TENA PANT CONF G/EG C/16</t>
        </is>
      </c>
      <c r="D2033" s="7" t="inlineStr">
        <is>
          <t>FRALDAS GERIATRICAS</t>
        </is>
      </c>
      <c r="E2033" s="7" t="inlineStr">
        <is>
          <t>C</t>
        </is>
      </c>
      <c r="F2033" s="13" t="n">
        <v>1</v>
      </c>
      <c r="G2033" s="13" t="n">
        <v>1</v>
      </c>
      <c r="H2033" s="8" t="n">
        <v>45.72</v>
      </c>
      <c r="I2033" s="8" t="n">
        <v>45.72</v>
      </c>
      <c r="J2033" s="8" t="n">
        <v>45.72</v>
      </c>
      <c r="K2033" s="8" t="n"/>
      <c r="L2033" s="8" t="n"/>
      <c r="M2033" s="8" t="n"/>
      <c r="N2033" s="8" t="n"/>
      <c r="O2033" s="8" t="n"/>
      <c r="P2033" s="15" t="n">
        <v>61.28</v>
      </c>
      <c r="Q2033" s="8" t="n"/>
      <c r="R2033" s="8" t="n"/>
      <c r="S2033" s="8" t="n"/>
      <c r="T2033" s="7" t="inlineStr">
        <is>
          <t>NAZARIA</t>
        </is>
      </c>
      <c r="U2033" s="8" t="n">
        <v>61.28</v>
      </c>
      <c r="V2033" s="14">
        <f>U2033/J2033-1</f>
        <v/>
      </c>
      <c r="W2033" s="14">
        <f>U2033/H2033-1</f>
        <v/>
      </c>
      <c r="X2033" s="16" t="inlineStr">
        <is>
          <t>ACIMA +34.0%</t>
        </is>
      </c>
      <c r="Y2033" s="7" t="inlineStr"/>
    </row>
    <row r="2034">
      <c r="A2034" s="7" t="n">
        <v>628211</v>
      </c>
      <c r="B2034" s="12" t="inlineStr">
        <is>
          <t>7896770982140</t>
        </is>
      </c>
      <c r="C2034" s="7" t="inlineStr">
        <is>
          <t>FRD AD TENA PANTS CONF G/EG C/32</t>
        </is>
      </c>
      <c r="D2034" s="7" t="inlineStr">
        <is>
          <t>FRALDAS GERIATRICAS</t>
        </is>
      </c>
      <c r="E2034" s="7" t="inlineStr">
        <is>
          <t>C</t>
        </is>
      </c>
      <c r="F2034" s="13" t="n">
        <v>1</v>
      </c>
      <c r="G2034" s="13" t="n">
        <v>1</v>
      </c>
      <c r="H2034" s="8" t="n">
        <v>64.91330000000001</v>
      </c>
      <c r="I2034" s="8" t="n">
        <v>64.91330000000001</v>
      </c>
      <c r="J2034" s="8" t="n">
        <v>64.91330000000001</v>
      </c>
      <c r="K2034" s="8" t="n"/>
      <c r="L2034" s="8" t="n"/>
      <c r="M2034" s="8" t="n"/>
      <c r="N2034" s="8" t="n"/>
      <c r="O2034" s="8" t="n"/>
      <c r="P2034" s="15" t="n">
        <v>105.245</v>
      </c>
      <c r="Q2034" s="8" t="n"/>
      <c r="R2034" s="8" t="n"/>
      <c r="S2034" s="8" t="n"/>
      <c r="T2034" s="7" t="inlineStr">
        <is>
          <t>NAZARIA</t>
        </is>
      </c>
      <c r="U2034" s="8" t="n">
        <v>105.245</v>
      </c>
      <c r="V2034" s="14">
        <f>U2034/J2034-1</f>
        <v/>
      </c>
      <c r="W2034" s="14">
        <f>U2034/H2034-1</f>
        <v/>
      </c>
      <c r="X2034" s="16" t="inlineStr">
        <is>
          <t>ACIMA +62.1%</t>
        </is>
      </c>
      <c r="Y2034" s="7" t="inlineStr"/>
    </row>
    <row r="2035">
      <c r="A2035" s="7" t="n">
        <v>628241</v>
      </c>
      <c r="B2035" s="12" t="inlineStr">
        <is>
          <t>7896770980160</t>
        </is>
      </c>
      <c r="C2035" s="7" t="inlineStr">
        <is>
          <t>FRD AD TENA PANTS CONF P/M C/24</t>
        </is>
      </c>
      <c r="D2035" s="7" t="inlineStr">
        <is>
          <t>FRALDAS GERIATRICAS</t>
        </is>
      </c>
      <c r="E2035" s="7" t="inlineStr">
        <is>
          <t>C</t>
        </is>
      </c>
      <c r="F2035" s="13" t="n">
        <v>1</v>
      </c>
      <c r="G2035" s="13" t="n">
        <v>1</v>
      </c>
      <c r="H2035" s="8" t="n">
        <v>66.51000000000001</v>
      </c>
      <c r="I2035" s="8" t="n">
        <v>66.51000000000001</v>
      </c>
      <c r="J2035" s="8" t="n">
        <v>66.51000000000001</v>
      </c>
      <c r="K2035" s="8" t="n"/>
      <c r="L2035" s="8" t="n"/>
      <c r="M2035" s="8" t="n"/>
      <c r="N2035" s="8" t="n"/>
      <c r="O2035" s="8" t="n"/>
      <c r="P2035" s="15" t="n">
        <v>86.47550000000001</v>
      </c>
      <c r="Q2035" s="8" t="n"/>
      <c r="R2035" s="8" t="n"/>
      <c r="S2035" s="8" t="n"/>
      <c r="T2035" s="7" t="inlineStr">
        <is>
          <t>NAZARIA</t>
        </is>
      </c>
      <c r="U2035" s="8" t="n">
        <v>86.47550000000001</v>
      </c>
      <c r="V2035" s="14">
        <f>U2035/J2035-1</f>
        <v/>
      </c>
      <c r="W2035" s="14">
        <f>U2035/H2035-1</f>
        <v/>
      </c>
      <c r="X2035" s="16" t="inlineStr">
        <is>
          <t>ACIMA +30.0%</t>
        </is>
      </c>
      <c r="Y2035" s="7" t="inlineStr"/>
    </row>
    <row r="2036">
      <c r="A2036" s="7" t="n">
        <v>628231</v>
      </c>
      <c r="B2036" s="12" t="inlineStr">
        <is>
          <t>7896770982133</t>
        </is>
      </c>
      <c r="C2036" s="7" t="inlineStr">
        <is>
          <t>FRD AD TENA PANTS CONF P/M C/32</t>
        </is>
      </c>
      <c r="D2036" s="7" t="inlineStr">
        <is>
          <t>FRALDAS GERIATRICAS</t>
        </is>
      </c>
      <c r="E2036" s="7" t="inlineStr">
        <is>
          <t>B</t>
        </is>
      </c>
      <c r="F2036" s="13" t="n">
        <v>1</v>
      </c>
      <c r="G2036" s="13" t="n">
        <v>1</v>
      </c>
      <c r="H2036" s="8" t="n">
        <v>64.91330000000001</v>
      </c>
      <c r="I2036" s="8" t="n">
        <v>64.91330000000001</v>
      </c>
      <c r="J2036" s="8" t="n">
        <v>64.91330000000001</v>
      </c>
      <c r="K2036" s="8" t="n"/>
      <c r="L2036" s="8" t="n"/>
      <c r="M2036" s="8" t="n"/>
      <c r="N2036" s="8" t="n"/>
      <c r="O2036" s="8" t="n"/>
      <c r="P2036" s="8" t="n"/>
      <c r="Q2036" s="8" t="n"/>
      <c r="R2036" s="8" t="n"/>
      <c r="S2036" s="8" t="n"/>
      <c r="T2036" s="7" t="inlineStr">
        <is>
          <t>SEM COTAÇÃO</t>
        </is>
      </c>
      <c r="U2036" s="8" t="n"/>
      <c r="V2036" s="14" t="n"/>
      <c r="W2036" s="14" t="n"/>
      <c r="X2036" s="7" t="inlineStr"/>
      <c r="Y2036" s="7" t="inlineStr"/>
    </row>
    <row r="2037">
      <c r="A2037" s="7" t="n">
        <v>628251</v>
      </c>
      <c r="B2037" s="12" t="inlineStr">
        <is>
          <t>17896770982093</t>
        </is>
      </c>
      <c r="C2037" s="7" t="inlineStr">
        <is>
          <t>FRD AD TENA PANTS CONF P/M C/8</t>
        </is>
      </c>
      <c r="D2037" s="7" t="inlineStr">
        <is>
          <t>FRALDAS GERIATRICAS</t>
        </is>
      </c>
      <c r="E2037" s="7" t="inlineStr">
        <is>
          <t>C</t>
        </is>
      </c>
      <c r="F2037" s="13" t="n">
        <v>1</v>
      </c>
      <c r="G2037" s="13" t="n">
        <v>1</v>
      </c>
      <c r="H2037" s="8" t="n">
        <v>19.6975</v>
      </c>
      <c r="I2037" s="8" t="n">
        <v>19.6975</v>
      </c>
      <c r="J2037" s="8" t="n">
        <v>19.6975</v>
      </c>
      <c r="K2037" s="8" t="n"/>
      <c r="L2037" s="8" t="n"/>
      <c r="M2037" s="8" t="n"/>
      <c r="N2037" s="8" t="n"/>
      <c r="O2037" s="8" t="n"/>
      <c r="P2037" s="8" t="n"/>
      <c r="Q2037" s="8" t="n"/>
      <c r="R2037" s="8" t="n"/>
      <c r="S2037" s="8" t="n"/>
      <c r="T2037" s="7" t="inlineStr">
        <is>
          <t>SEM COTAÇÃO</t>
        </is>
      </c>
      <c r="U2037" s="8" t="n"/>
      <c r="V2037" s="14" t="n"/>
      <c r="W2037" s="14" t="n"/>
      <c r="X2037" s="7" t="inlineStr"/>
      <c r="Y2037" s="7" t="inlineStr"/>
    </row>
    <row r="2038">
      <c r="A2038" s="7" t="n">
        <v>613521</v>
      </c>
      <c r="B2038" s="12" t="inlineStr">
        <is>
          <t>7896770981129</t>
        </is>
      </c>
      <c r="C2038" s="7" t="inlineStr">
        <is>
          <t>FRD AD TENA SLIP NOT G 16UN</t>
        </is>
      </c>
      <c r="D2038" s="7" t="inlineStr">
        <is>
          <t>FRALDAS GERIATRICAS</t>
        </is>
      </c>
      <c r="E2038" s="7" t="inlineStr">
        <is>
          <t>C</t>
        </is>
      </c>
      <c r="F2038" s="13" t="n">
        <v>1</v>
      </c>
      <c r="G2038" s="13" t="n">
        <v>1</v>
      </c>
      <c r="H2038" s="8" t="n">
        <v>57.14</v>
      </c>
      <c r="I2038" s="8" t="n">
        <v>57.14</v>
      </c>
      <c r="J2038" s="8" t="n">
        <v>57.14000000000001</v>
      </c>
      <c r="K2038" s="8" t="n"/>
      <c r="L2038" s="8" t="n"/>
      <c r="M2038" s="8" t="n"/>
      <c r="N2038" s="8" t="n"/>
      <c r="O2038" s="8" t="n"/>
      <c r="P2038" s="8" t="n"/>
      <c r="Q2038" s="8" t="n"/>
      <c r="R2038" s="8" t="n"/>
      <c r="S2038" s="8" t="n"/>
      <c r="T2038" s="7" t="inlineStr">
        <is>
          <t>SEM COTAÇÃO</t>
        </is>
      </c>
      <c r="U2038" s="8" t="n"/>
      <c r="V2038" s="14" t="n"/>
      <c r="W2038" s="14" t="n"/>
      <c r="X2038" s="7" t="inlineStr"/>
      <c r="Y2038" s="7" t="inlineStr"/>
    </row>
    <row r="2039">
      <c r="A2039" s="7" t="n">
        <v>628261</v>
      </c>
      <c r="B2039" s="12" t="inlineStr">
        <is>
          <t>7896770980146</t>
        </is>
      </c>
      <c r="C2039" s="7" t="inlineStr">
        <is>
          <t>FRD AD TENA SLIP NOT M C/7</t>
        </is>
      </c>
      <c r="D2039" s="7" t="inlineStr">
        <is>
          <t>FRALDAS GERIATRICAS</t>
        </is>
      </c>
      <c r="E2039" s="7" t="inlineStr">
        <is>
          <t>C</t>
        </is>
      </c>
      <c r="F2039" s="13" t="n">
        <v>1</v>
      </c>
      <c r="G2039" s="13" t="n">
        <v>1</v>
      </c>
      <c r="H2039" s="8" t="n">
        <v>29.6</v>
      </c>
      <c r="I2039" s="8" t="n">
        <v>29.6</v>
      </c>
      <c r="J2039" s="8" t="n">
        <v>29.6</v>
      </c>
      <c r="K2039" s="8" t="n"/>
      <c r="L2039" s="8" t="n"/>
      <c r="M2039" s="8" t="n"/>
      <c r="N2039" s="8" t="n"/>
      <c r="O2039" s="8" t="n"/>
      <c r="P2039" s="15" t="n">
        <v>33.95</v>
      </c>
      <c r="Q2039" s="8" t="n"/>
      <c r="R2039" s="8" t="n"/>
      <c r="S2039" s="8" t="n"/>
      <c r="T2039" s="7" t="inlineStr">
        <is>
          <t>NAZARIA</t>
        </is>
      </c>
      <c r="U2039" s="8" t="n">
        <v>33.95</v>
      </c>
      <c r="V2039" s="14">
        <f>U2039/J2039-1</f>
        <v/>
      </c>
      <c r="W2039" s="14">
        <f>U2039/H2039-1</f>
        <v/>
      </c>
      <c r="X2039" s="16" t="inlineStr">
        <is>
          <t>ACIMA +14.7%</t>
        </is>
      </c>
      <c r="Y2039" s="7" t="inlineStr"/>
    </row>
    <row r="2040">
      <c r="A2040" s="7" t="n">
        <v>588041</v>
      </c>
      <c r="B2040" s="12" t="inlineStr"/>
      <c r="C2040" s="7" t="inlineStr">
        <is>
          <t>FRD ADULTO BIGFRAL CLASSICA G C/07</t>
        </is>
      </c>
      <c r="D2040" s="7" t="inlineStr">
        <is>
          <t>FRALDAS GERIATRICAS</t>
        </is>
      </c>
      <c r="E2040" s="7" t="inlineStr">
        <is>
          <t>C</t>
        </is>
      </c>
      <c r="F2040" s="13" t="n">
        <v>1</v>
      </c>
      <c r="G2040" s="13" t="n">
        <v>1</v>
      </c>
      <c r="H2040" s="8" t="n">
        <v>16.9512</v>
      </c>
      <c r="I2040" s="8" t="n">
        <v>16.9512</v>
      </c>
      <c r="J2040" s="8" t="n">
        <v>16.9512</v>
      </c>
      <c r="K2040" s="8" t="n"/>
      <c r="L2040" s="8" t="n"/>
      <c r="M2040" s="8" t="n"/>
      <c r="N2040" s="8" t="n"/>
      <c r="O2040" s="8" t="n"/>
      <c r="P2040" s="8" t="n"/>
      <c r="Q2040" s="8" t="n"/>
      <c r="R2040" s="8" t="n"/>
      <c r="S2040" s="8" t="n"/>
      <c r="T2040" s="7" t="inlineStr">
        <is>
          <t>SEM COTAÇÃO</t>
        </is>
      </c>
      <c r="U2040" s="8" t="n"/>
      <c r="V2040" s="14" t="n"/>
      <c r="W2040" s="14" t="n"/>
      <c r="X2040" s="7" t="inlineStr"/>
      <c r="Y2040" s="7" t="inlineStr"/>
    </row>
    <row r="2041">
      <c r="A2041" s="7" t="n">
        <v>630251</v>
      </c>
      <c r="B2041" s="12" t="inlineStr">
        <is>
          <t>17896061996617</t>
        </is>
      </c>
      <c r="C2041" s="7" t="inlineStr">
        <is>
          <t>FRD BABYSEC ULT HIPER G C/64 UN</t>
        </is>
      </c>
      <c r="D2041" s="7" t="inlineStr">
        <is>
          <t>FRALDAS INFANTIL</t>
        </is>
      </c>
      <c r="E2041" s="7" t="inlineStr">
        <is>
          <t>B</t>
        </is>
      </c>
      <c r="F2041" s="13" t="n">
        <v>2</v>
      </c>
      <c r="G2041" s="13" t="n">
        <v>2</v>
      </c>
      <c r="H2041" s="8" t="n">
        <v>59.99</v>
      </c>
      <c r="I2041" s="8" t="n">
        <v>59.99</v>
      </c>
      <c r="J2041" s="8" t="n">
        <v>59.99</v>
      </c>
      <c r="K2041" s="8" t="n"/>
      <c r="L2041" s="8" t="n"/>
      <c r="M2041" s="8" t="n"/>
      <c r="N2041" s="8" t="n"/>
      <c r="O2041" s="8" t="n"/>
      <c r="P2041" s="8" t="n"/>
      <c r="Q2041" s="8" t="n"/>
      <c r="R2041" s="8" t="n"/>
      <c r="S2041" s="8" t="n"/>
      <c r="T2041" s="7" t="inlineStr">
        <is>
          <t>SEM COTAÇÃO</t>
        </is>
      </c>
      <c r="U2041" s="8" t="n"/>
      <c r="V2041" s="14" t="n"/>
      <c r="W2041" s="14" t="n"/>
      <c r="X2041" s="7" t="inlineStr"/>
      <c r="Y2041" s="7" t="inlineStr"/>
    </row>
    <row r="2042">
      <c r="A2042" s="7" t="n">
        <v>619651</v>
      </c>
      <c r="B2042" s="12" t="inlineStr">
        <is>
          <t>7896061995019</t>
        </is>
      </c>
      <c r="C2042" s="7" t="inlineStr">
        <is>
          <t>FRD BABYSEC ULT JUMBO P 28UN</t>
        </is>
      </c>
      <c r="D2042" s="7" t="inlineStr">
        <is>
          <t>FRALDAS INFANTIL</t>
        </is>
      </c>
      <c r="E2042" s="7" t="inlineStr">
        <is>
          <t>A</t>
        </is>
      </c>
      <c r="F2042" s="13" t="n">
        <v>1</v>
      </c>
      <c r="G2042" s="13" t="n">
        <v>1</v>
      </c>
      <c r="H2042" s="8" t="n">
        <v>23.9</v>
      </c>
      <c r="I2042" s="8" t="n">
        <v>22.99</v>
      </c>
      <c r="J2042" s="8" t="n">
        <v>23.59666666666666</v>
      </c>
      <c r="K2042" s="8" t="n"/>
      <c r="L2042" s="8" t="n"/>
      <c r="M2042" s="8" t="n"/>
      <c r="N2042" s="8" t="n"/>
      <c r="O2042" s="8" t="n"/>
      <c r="P2042" s="8" t="n"/>
      <c r="Q2042" s="8" t="n"/>
      <c r="R2042" s="8" t="n"/>
      <c r="S2042" s="8" t="n"/>
      <c r="T2042" s="7" t="inlineStr">
        <is>
          <t>SEM COTAÇÃO</t>
        </is>
      </c>
      <c r="U2042" s="8" t="n"/>
      <c r="V2042" s="14" t="n"/>
      <c r="W2042" s="14" t="n"/>
      <c r="X2042" s="7" t="inlineStr"/>
      <c r="Y2042" s="7" t="inlineStr"/>
    </row>
    <row r="2043">
      <c r="A2043" s="7" t="n">
        <v>564461</v>
      </c>
      <c r="B2043" s="12" t="inlineStr">
        <is>
          <t>7896061995033</t>
        </is>
      </c>
      <c r="C2043" s="7" t="inlineStr">
        <is>
          <t>FRD BABYSEC ULT.JUMBO M 26UN</t>
        </is>
      </c>
      <c r="D2043" s="7" t="inlineStr">
        <is>
          <t>FRALDAS INFANTIL</t>
        </is>
      </c>
      <c r="E2043" s="7" t="inlineStr">
        <is>
          <t>A</t>
        </is>
      </c>
      <c r="F2043" s="13" t="n">
        <v>4</v>
      </c>
      <c r="G2043" s="13" t="n">
        <v>4</v>
      </c>
      <c r="H2043" s="8" t="n">
        <v>22.99</v>
      </c>
      <c r="I2043" s="8" t="n">
        <v>22.99</v>
      </c>
      <c r="J2043" s="8" t="n">
        <v>22.99</v>
      </c>
      <c r="K2043" s="8" t="n"/>
      <c r="L2043" s="8" t="n"/>
      <c r="M2043" s="8" t="n"/>
      <c r="N2043" s="8" t="n"/>
      <c r="O2043" s="8" t="n"/>
      <c r="P2043" s="8" t="n"/>
      <c r="Q2043" s="8" t="n"/>
      <c r="R2043" s="8" t="n"/>
      <c r="S2043" s="8" t="n"/>
      <c r="T2043" s="7" t="inlineStr">
        <is>
          <t>SEM COTAÇÃO</t>
        </is>
      </c>
      <c r="U2043" s="8" t="n"/>
      <c r="V2043" s="14" t="n"/>
      <c r="W2043" s="14" t="n"/>
      <c r="X2043" s="7" t="inlineStr"/>
      <c r="Y2043" s="7" t="inlineStr"/>
    </row>
    <row r="2044">
      <c r="A2044" s="7" t="n">
        <v>591901</v>
      </c>
      <c r="B2044" s="12" t="inlineStr">
        <is>
          <t>7896061995071</t>
        </is>
      </c>
      <c r="C2044" s="7" t="inlineStr">
        <is>
          <t>FRD BABYSEC ULT.JUMBO XG 20UN</t>
        </is>
      </c>
      <c r="D2044" s="7" t="inlineStr">
        <is>
          <t>FRALDAS INFANTIL</t>
        </is>
      </c>
      <c r="E2044" s="7" t="inlineStr">
        <is>
          <t>B</t>
        </is>
      </c>
      <c r="F2044" s="13" t="n">
        <v>8</v>
      </c>
      <c r="G2044" s="13" t="n">
        <v>8</v>
      </c>
      <c r="H2044" s="8" t="n">
        <v>23.9</v>
      </c>
      <c r="I2044" s="8" t="n">
        <v>22.99</v>
      </c>
      <c r="J2044" s="8" t="n">
        <v>23.59666666666666</v>
      </c>
      <c r="K2044" s="8" t="n"/>
      <c r="L2044" s="8" t="n"/>
      <c r="M2044" s="8" t="n"/>
      <c r="N2044" s="8" t="n"/>
      <c r="O2044" s="8" t="n"/>
      <c r="P2044" s="8" t="n"/>
      <c r="Q2044" s="8" t="n"/>
      <c r="R2044" s="8" t="n"/>
      <c r="S2044" s="8" t="n"/>
      <c r="T2044" s="7" t="inlineStr">
        <is>
          <t>SEM COTAÇÃO</t>
        </is>
      </c>
      <c r="U2044" s="8" t="n"/>
      <c r="V2044" s="14" t="n"/>
      <c r="W2044" s="14" t="n"/>
      <c r="X2044" s="7" t="inlineStr"/>
      <c r="Y2044" s="7" t="inlineStr"/>
    </row>
    <row r="2045">
      <c r="A2045" s="7" t="n">
        <v>541981</v>
      </c>
      <c r="B2045" s="12" t="inlineStr">
        <is>
          <t>7896061990090</t>
        </is>
      </c>
      <c r="C2045" s="7" t="inlineStr">
        <is>
          <t>FRD BABYSEC ULTRA 16UN</t>
        </is>
      </c>
      <c r="D2045" s="7" t="inlineStr">
        <is>
          <t>FRALDAS INFANTIL</t>
        </is>
      </c>
      <c r="E2045" s="7" t="inlineStr">
        <is>
          <t>B</t>
        </is>
      </c>
      <c r="F2045" s="13" t="n">
        <v>21</v>
      </c>
      <c r="G2045" s="13" t="n">
        <v>21</v>
      </c>
      <c r="H2045" s="8" t="n">
        <v>19.24</v>
      </c>
      <c r="I2045" s="8" t="n">
        <v>15.99</v>
      </c>
      <c r="J2045" s="8" t="n">
        <v>18.15666666666667</v>
      </c>
      <c r="K2045" s="8" t="n"/>
      <c r="L2045" s="8" t="n"/>
      <c r="M2045" s="8" t="n"/>
      <c r="N2045" s="8" t="n"/>
      <c r="O2045" s="8" t="n"/>
      <c r="P2045" s="8" t="n"/>
      <c r="Q2045" s="8" t="n"/>
      <c r="R2045" s="8" t="n"/>
      <c r="S2045" s="8" t="n"/>
      <c r="T2045" s="7" t="inlineStr">
        <is>
          <t>SEM COTAÇÃO</t>
        </is>
      </c>
      <c r="U2045" s="8" t="n"/>
      <c r="V2045" s="14" t="n"/>
      <c r="W2045" s="14" t="n"/>
      <c r="X2045" s="7" t="inlineStr"/>
      <c r="Y2045" s="7" t="inlineStr"/>
    </row>
    <row r="2046">
      <c r="A2046" s="7" t="n">
        <v>537281</v>
      </c>
      <c r="B2046" s="12" t="inlineStr">
        <is>
          <t>7896061990076</t>
        </is>
      </c>
      <c r="C2046" s="7" t="inlineStr">
        <is>
          <t>FRD BABYSEC ULTRA 18UN</t>
        </is>
      </c>
      <c r="D2046" s="7" t="inlineStr">
        <is>
          <t>FRALDAS INFANTIL</t>
        </is>
      </c>
      <c r="E2046" s="7" t="inlineStr">
        <is>
          <t>A</t>
        </is>
      </c>
      <c r="F2046" s="13" t="n">
        <v>7</v>
      </c>
      <c r="G2046" s="13" t="n">
        <v>7</v>
      </c>
      <c r="H2046" s="8" t="n">
        <v>16.29</v>
      </c>
      <c r="I2046" s="8" t="n">
        <v>15.99</v>
      </c>
      <c r="J2046" s="8" t="n">
        <v>16.19</v>
      </c>
      <c r="K2046" s="8" t="n"/>
      <c r="L2046" s="8" t="n"/>
      <c r="M2046" s="8" t="n"/>
      <c r="N2046" s="8" t="n"/>
      <c r="O2046" s="8" t="n"/>
      <c r="P2046" s="8" t="n"/>
      <c r="Q2046" s="8" t="n"/>
      <c r="R2046" s="8" t="n"/>
      <c r="S2046" s="8" t="n"/>
      <c r="T2046" s="7" t="inlineStr">
        <is>
          <t>SEM COTAÇÃO</t>
        </is>
      </c>
      <c r="U2046" s="8" t="n"/>
      <c r="V2046" s="14" t="n"/>
      <c r="W2046" s="14" t="n"/>
      <c r="X2046" s="7" t="inlineStr"/>
      <c r="Y2046" s="7" t="inlineStr"/>
    </row>
    <row r="2047">
      <c r="A2047" s="7" t="n">
        <v>537421</v>
      </c>
      <c r="B2047" s="12" t="inlineStr">
        <is>
          <t>7896061990069</t>
        </is>
      </c>
      <c r="C2047" s="7" t="inlineStr">
        <is>
          <t>FRD BABYSEC ULTRA P 20UN</t>
        </is>
      </c>
      <c r="D2047" s="7" t="inlineStr">
        <is>
          <t>FRALDAS INFANTIL</t>
        </is>
      </c>
      <c r="E2047" s="7" t="inlineStr">
        <is>
          <t>A</t>
        </is>
      </c>
      <c r="F2047" s="13" t="n">
        <v>4</v>
      </c>
      <c r="G2047" s="13" t="n">
        <v>4</v>
      </c>
      <c r="H2047" s="8" t="n">
        <v>16.29</v>
      </c>
      <c r="I2047" s="8" t="n">
        <v>16.29</v>
      </c>
      <c r="J2047" s="8" t="n">
        <v>16.29</v>
      </c>
      <c r="K2047" s="8" t="n"/>
      <c r="L2047" s="8" t="n"/>
      <c r="M2047" s="8" t="n"/>
      <c r="N2047" s="8" t="n"/>
      <c r="O2047" s="8" t="n"/>
      <c r="P2047" s="8" t="n"/>
      <c r="Q2047" s="8" t="n"/>
      <c r="R2047" s="8" t="n"/>
      <c r="S2047" s="8" t="n"/>
      <c r="T2047" s="7" t="inlineStr">
        <is>
          <t>SEM COTAÇÃO</t>
        </is>
      </c>
      <c r="U2047" s="8" t="n"/>
      <c r="V2047" s="14" t="n"/>
      <c r="W2047" s="14" t="n"/>
      <c r="X2047" s="7" t="inlineStr"/>
      <c r="Y2047" s="7" t="inlineStr"/>
    </row>
    <row r="2048">
      <c r="A2048" s="7" t="n">
        <v>544461</v>
      </c>
      <c r="B2048" s="12" t="inlineStr">
        <is>
          <t>7896061995903</t>
        </is>
      </c>
      <c r="C2048" s="7" t="inlineStr">
        <is>
          <t>FRD BABYSEC ULTRA SEC M 38UN</t>
        </is>
      </c>
      <c r="D2048" s="7" t="inlineStr">
        <is>
          <t>FRALDAS INFANTIL</t>
        </is>
      </c>
      <c r="E2048" s="7" t="inlineStr">
        <is>
          <t>C</t>
        </is>
      </c>
      <c r="F2048" s="13" t="n">
        <v>2</v>
      </c>
      <c r="G2048" s="13" t="n">
        <v>2</v>
      </c>
      <c r="H2048" s="8" t="n">
        <v>33.99</v>
      </c>
      <c r="I2048" s="8" t="n">
        <v>33.99</v>
      </c>
      <c r="J2048" s="8" t="n">
        <v>33.99</v>
      </c>
      <c r="K2048" s="8" t="n"/>
      <c r="L2048" s="8" t="n"/>
      <c r="M2048" s="8" t="n"/>
      <c r="N2048" s="8" t="n"/>
      <c r="O2048" s="8" t="n"/>
      <c r="P2048" s="8" t="n"/>
      <c r="Q2048" s="8" t="n"/>
      <c r="R2048" s="8" t="n"/>
      <c r="S2048" s="8" t="n"/>
      <c r="T2048" s="7" t="inlineStr">
        <is>
          <t>SEM COTAÇÃO</t>
        </is>
      </c>
      <c r="U2048" s="8" t="n"/>
      <c r="V2048" s="14" t="n"/>
      <c r="W2048" s="14" t="n"/>
      <c r="X2048" s="7" t="inlineStr"/>
      <c r="Y2048" s="7" t="inlineStr"/>
    </row>
    <row r="2049">
      <c r="A2049" s="7" t="n">
        <v>537301</v>
      </c>
      <c r="B2049" s="12" t="inlineStr">
        <is>
          <t>7896061995927</t>
        </is>
      </c>
      <c r="C2049" s="7" t="inlineStr">
        <is>
          <t>FRD BABYSEC ULTRA SEC XG 30UN</t>
        </is>
      </c>
      <c r="D2049" s="7" t="inlineStr">
        <is>
          <t>FRALDAS INFANTIL</t>
        </is>
      </c>
      <c r="E2049" s="7" t="inlineStr">
        <is>
          <t>A</t>
        </is>
      </c>
      <c r="F2049" s="13" t="n">
        <v>13</v>
      </c>
      <c r="G2049" s="13" t="n">
        <v>13</v>
      </c>
      <c r="H2049" s="8" t="n">
        <v>31.99</v>
      </c>
      <c r="I2049" s="8" t="n">
        <v>31.99</v>
      </c>
      <c r="J2049" s="8" t="n">
        <v>31.99</v>
      </c>
      <c r="K2049" s="8" t="n"/>
      <c r="L2049" s="8" t="n"/>
      <c r="M2049" s="8" t="n"/>
      <c r="N2049" s="8" t="n"/>
      <c r="O2049" s="8" t="n"/>
      <c r="P2049" s="8" t="n"/>
      <c r="Q2049" s="8" t="n"/>
      <c r="R2049" s="8" t="n"/>
      <c r="S2049" s="8" t="n"/>
      <c r="T2049" s="7" t="inlineStr">
        <is>
          <t>SEM COTAÇÃO</t>
        </is>
      </c>
      <c r="U2049" s="8" t="n"/>
      <c r="V2049" s="14" t="n"/>
      <c r="W2049" s="14" t="n"/>
      <c r="X2049" s="7" t="inlineStr"/>
      <c r="Y2049" s="7" t="inlineStr"/>
    </row>
    <row r="2050">
      <c r="A2050" s="7" t="n">
        <v>597391</v>
      </c>
      <c r="B2050" s="12" t="inlineStr">
        <is>
          <t>7896061997136</t>
        </is>
      </c>
      <c r="C2050" s="7" t="inlineStr">
        <is>
          <t>FRD BAYBSEC SHOR HIP M 60</t>
        </is>
      </c>
      <c r="D2050" s="7" t="inlineStr">
        <is>
          <t>FRALDAS INFANTIL</t>
        </is>
      </c>
      <c r="E2050" s="7" t="inlineStr">
        <is>
          <t>A</t>
        </is>
      </c>
      <c r="F2050" s="13" t="n">
        <v>3</v>
      </c>
      <c r="G2050" s="13" t="n">
        <v>3</v>
      </c>
      <c r="H2050" s="8" t="n">
        <v>59</v>
      </c>
      <c r="I2050" s="8" t="n">
        <v>59</v>
      </c>
      <c r="J2050" s="8" t="n">
        <v>59</v>
      </c>
      <c r="K2050" s="8" t="n"/>
      <c r="L2050" s="8" t="n"/>
      <c r="M2050" s="8" t="n"/>
      <c r="N2050" s="8" t="n"/>
      <c r="O2050" s="8" t="n"/>
      <c r="P2050" s="8" t="n"/>
      <c r="Q2050" s="8" t="n"/>
      <c r="R2050" s="8" t="n"/>
      <c r="S2050" s="8" t="n"/>
      <c r="T2050" s="7" t="inlineStr">
        <is>
          <t>SEM COTAÇÃO</t>
        </is>
      </c>
      <c r="U2050" s="8" t="n"/>
      <c r="V2050" s="14" t="n"/>
      <c r="W2050" s="14" t="n"/>
      <c r="X2050" s="7" t="inlineStr"/>
      <c r="Y2050" s="7" t="inlineStr"/>
    </row>
    <row r="2051">
      <c r="A2051" s="7" t="n">
        <v>596771</v>
      </c>
      <c r="B2051" s="12" t="inlineStr">
        <is>
          <t>7896061997143</t>
        </is>
      </c>
      <c r="C2051" s="7" t="inlineStr">
        <is>
          <t>FRD BAYBSEC SHOR HIPG 48 UN</t>
        </is>
      </c>
      <c r="D2051" s="7" t="inlineStr">
        <is>
          <t>FRALDAS INFANTIL</t>
        </is>
      </c>
      <c r="E2051" s="7" t="inlineStr">
        <is>
          <t>C</t>
        </is>
      </c>
      <c r="F2051" s="13" t="n">
        <v>5</v>
      </c>
      <c r="G2051" s="13" t="n">
        <v>5</v>
      </c>
      <c r="H2051" s="8" t="n">
        <v>60.9</v>
      </c>
      <c r="I2051" s="8" t="n">
        <v>60.9</v>
      </c>
      <c r="J2051" s="8" t="n">
        <v>60.9</v>
      </c>
      <c r="K2051" s="8" t="n"/>
      <c r="L2051" s="8" t="n"/>
      <c r="M2051" s="8" t="n"/>
      <c r="N2051" s="8" t="n"/>
      <c r="O2051" s="8" t="n"/>
      <c r="P2051" s="8" t="n"/>
      <c r="Q2051" s="8" t="n"/>
      <c r="R2051" s="8" t="n"/>
      <c r="S2051" s="8" t="n"/>
      <c r="T2051" s="7" t="inlineStr">
        <is>
          <t>SEM COTAÇÃO</t>
        </is>
      </c>
      <c r="U2051" s="8" t="n"/>
      <c r="V2051" s="14" t="n"/>
      <c r="W2051" s="14" t="n"/>
      <c r="X2051" s="7" t="inlineStr"/>
      <c r="Y2051" s="7" t="inlineStr"/>
    </row>
    <row r="2052">
      <c r="A2052" s="7" t="n">
        <v>596781</v>
      </c>
      <c r="B2052" s="12" t="inlineStr">
        <is>
          <t>7896061997112</t>
        </is>
      </c>
      <c r="C2052" s="7" t="inlineStr">
        <is>
          <t>FRD BAYBSEC SHORT MEGA XG 22UN</t>
        </is>
      </c>
      <c r="D2052" s="7" t="inlineStr">
        <is>
          <t>FRALDAS INFANTIL</t>
        </is>
      </c>
      <c r="E2052" s="7" t="inlineStr">
        <is>
          <t>C</t>
        </is>
      </c>
      <c r="F2052" s="13" t="n">
        <v>1</v>
      </c>
      <c r="G2052" s="13" t="n">
        <v>1</v>
      </c>
      <c r="H2052" s="8" t="n">
        <v>32.99</v>
      </c>
      <c r="I2052" s="8" t="n">
        <v>32.99</v>
      </c>
      <c r="J2052" s="8" t="n">
        <v>32.99</v>
      </c>
      <c r="K2052" s="8" t="n"/>
      <c r="L2052" s="8" t="n"/>
      <c r="M2052" s="8" t="n"/>
      <c r="N2052" s="8" t="n"/>
      <c r="O2052" s="8" t="n"/>
      <c r="P2052" s="8" t="n"/>
      <c r="Q2052" s="8" t="n"/>
      <c r="R2052" s="8" t="n"/>
      <c r="S2052" s="8" t="n"/>
      <c r="T2052" s="7" t="inlineStr">
        <is>
          <t>SEM COTAÇÃO</t>
        </is>
      </c>
      <c r="U2052" s="8" t="n"/>
      <c r="V2052" s="14" t="n"/>
      <c r="W2052" s="14" t="n"/>
      <c r="X2052" s="7" t="inlineStr"/>
      <c r="Y2052" s="7" t="inlineStr"/>
    </row>
    <row r="2053">
      <c r="A2053" s="7" t="n">
        <v>644881</v>
      </c>
      <c r="B2053" s="12" t="inlineStr">
        <is>
          <t>7896770979843</t>
        </is>
      </c>
      <c r="C2053" s="7" t="inlineStr">
        <is>
          <t>FRD BIOFRAL CLASSIC GENERIC G C/28</t>
        </is>
      </c>
      <c r="D2053" s="7" t="inlineStr">
        <is>
          <t>FRALDAS GERIATRICAS</t>
        </is>
      </c>
      <c r="E2053" s="7" t="inlineStr">
        <is>
          <t>C</t>
        </is>
      </c>
      <c r="F2053" s="13" t="n">
        <v>1</v>
      </c>
      <c r="G2053" s="13" t="n">
        <v>1</v>
      </c>
      <c r="H2053" s="8" t="n">
        <v>49.06</v>
      </c>
      <c r="I2053" s="8" t="n">
        <v>49.06</v>
      </c>
      <c r="J2053" s="8" t="n">
        <v>49.06</v>
      </c>
      <c r="K2053" s="8" t="n"/>
      <c r="L2053" s="8" t="n"/>
      <c r="M2053" s="8" t="n"/>
      <c r="N2053" s="8" t="n"/>
      <c r="O2053" s="8" t="n"/>
      <c r="P2053" s="8" t="n">
        <v>65.22279999999999</v>
      </c>
      <c r="Q2053" s="8" t="n"/>
      <c r="R2053" s="8" t="n"/>
      <c r="S2053" s="8" t="n"/>
      <c r="T2053" s="7" t="inlineStr">
        <is>
          <t>SEM COTAÇÃO</t>
        </is>
      </c>
      <c r="U2053" s="8" t="n"/>
      <c r="V2053" s="14" t="n"/>
      <c r="W2053" s="14" t="n"/>
      <c r="X2053" s="7" t="inlineStr"/>
      <c r="Y2053" s="7" t="inlineStr">
        <is>
          <t>NAZARIA: sem estoque</t>
        </is>
      </c>
    </row>
    <row r="2054">
      <c r="A2054" s="7" t="n">
        <v>644911</v>
      </c>
      <c r="B2054" s="12" t="inlineStr">
        <is>
          <t>7896770979850</t>
        </is>
      </c>
      <c r="C2054" s="7" t="inlineStr">
        <is>
          <t>FRD BIOFRAL CLASSIC GENERIC XG C/24</t>
        </is>
      </c>
      <c r="D2054" s="7" t="inlineStr">
        <is>
          <t>FRALDAS GERIATRICAS</t>
        </is>
      </c>
      <c r="E2054" s="7" t="inlineStr">
        <is>
          <t>C</t>
        </is>
      </c>
      <c r="F2054" s="13" t="n">
        <v>1</v>
      </c>
      <c r="G2054" s="13" t="n">
        <v>1</v>
      </c>
      <c r="H2054" s="8" t="n">
        <v>49.06</v>
      </c>
      <c r="I2054" s="8" t="n">
        <v>49.06</v>
      </c>
      <c r="J2054" s="8" t="n">
        <v>49.06</v>
      </c>
      <c r="K2054" s="8" t="n"/>
      <c r="L2054" s="8" t="n"/>
      <c r="M2054" s="8" t="n"/>
      <c r="N2054" s="8" t="n"/>
      <c r="O2054" s="8" t="n"/>
      <c r="P2054" s="15" t="n">
        <v>65.22279999999999</v>
      </c>
      <c r="Q2054" s="8" t="n"/>
      <c r="R2054" s="8" t="n"/>
      <c r="S2054" s="8" t="n"/>
      <c r="T2054" s="7" t="inlineStr">
        <is>
          <t>NAZARIA</t>
        </is>
      </c>
      <c r="U2054" s="8" t="n">
        <v>65.22279999999999</v>
      </c>
      <c r="V2054" s="14">
        <f>U2054/J2054-1</f>
        <v/>
      </c>
      <c r="W2054" s="14">
        <f>U2054/H2054-1</f>
        <v/>
      </c>
      <c r="X2054" s="16" t="inlineStr">
        <is>
          <t>ACIMA +32.9%</t>
        </is>
      </c>
      <c r="Y2054" s="7" t="inlineStr"/>
    </row>
    <row r="2055">
      <c r="A2055" s="7" t="n">
        <v>674791</v>
      </c>
      <c r="B2055" s="12" t="inlineStr">
        <is>
          <t>7898133019913</t>
        </is>
      </c>
      <c r="C2055" s="7" t="inlineStr">
        <is>
          <t>FRD CREMER SHORTINHO JBN G C/16</t>
        </is>
      </c>
      <c r="D2055" s="7" t="inlineStr">
        <is>
          <t>FRALDAS INFANTIL</t>
        </is>
      </c>
      <c r="E2055" s="7" t="inlineStr">
        <is>
          <t>B</t>
        </is>
      </c>
      <c r="F2055" s="13" t="n">
        <v>4</v>
      </c>
      <c r="G2055" s="13" t="n">
        <v>4</v>
      </c>
      <c r="H2055" s="8" t="n">
        <v>18.49</v>
      </c>
      <c r="I2055" s="8" t="n">
        <v>18.49</v>
      </c>
      <c r="J2055" s="8" t="n">
        <v>18.49</v>
      </c>
      <c r="K2055" s="8" t="n"/>
      <c r="L2055" s="8" t="n"/>
      <c r="M2055" s="8" t="n"/>
      <c r="N2055" s="8" t="n"/>
      <c r="O2055" s="8" t="n"/>
      <c r="P2055" s="8" t="n"/>
      <c r="Q2055" s="8" t="n"/>
      <c r="R2055" s="8" t="n"/>
      <c r="S2055" s="8" t="n"/>
      <c r="T2055" s="7" t="inlineStr">
        <is>
          <t>SEM COTAÇÃO</t>
        </is>
      </c>
      <c r="U2055" s="8" t="n"/>
      <c r="V2055" s="14" t="n"/>
      <c r="W2055" s="14" t="n"/>
      <c r="X2055" s="7" t="inlineStr"/>
      <c r="Y2055" s="7" t="inlineStr"/>
    </row>
    <row r="2056">
      <c r="A2056" s="7" t="n">
        <v>674801</v>
      </c>
      <c r="B2056" s="12" t="inlineStr">
        <is>
          <t>7898133019920</t>
        </is>
      </c>
      <c r="C2056" s="7" t="inlineStr">
        <is>
          <t>FRD CREMER SHORTINHO JBN XG C/14</t>
        </is>
      </c>
      <c r="D2056" s="7" t="inlineStr">
        <is>
          <t>FRALDAS INFANTIL</t>
        </is>
      </c>
      <c r="E2056" s="7" t="inlineStr">
        <is>
          <t>A</t>
        </is>
      </c>
      <c r="F2056" s="13" t="n">
        <v>6</v>
      </c>
      <c r="G2056" s="13" t="n">
        <v>6</v>
      </c>
      <c r="H2056" s="8" t="n">
        <v>18.49</v>
      </c>
      <c r="I2056" s="8" t="n">
        <v>18.49</v>
      </c>
      <c r="J2056" s="8" t="n">
        <v>18.49</v>
      </c>
      <c r="K2056" s="8" t="n"/>
      <c r="L2056" s="8" t="n"/>
      <c r="M2056" s="8" t="n"/>
      <c r="N2056" s="8" t="n"/>
      <c r="O2056" s="8" t="n"/>
      <c r="P2056" s="8" t="n"/>
      <c r="Q2056" s="8" t="n"/>
      <c r="R2056" s="8" t="n"/>
      <c r="S2056" s="8" t="n"/>
      <c r="T2056" s="7" t="inlineStr">
        <is>
          <t>SEM COTAÇÃO</t>
        </is>
      </c>
      <c r="U2056" s="8" t="n"/>
      <c r="V2056" s="14" t="n"/>
      <c r="W2056" s="14" t="n"/>
      <c r="X2056" s="7" t="inlineStr"/>
      <c r="Y2056" s="7" t="inlineStr"/>
    </row>
    <row r="2057">
      <c r="A2057" s="7" t="n">
        <v>674781</v>
      </c>
      <c r="B2057" s="12" t="inlineStr"/>
      <c r="C2057" s="7" t="inlineStr">
        <is>
          <t>FRD CREMER SHORTINHO JBN XXG C/12</t>
        </is>
      </c>
      <c r="D2057" s="7" t="inlineStr">
        <is>
          <t>FRALDAS INFANTIL</t>
        </is>
      </c>
      <c r="E2057" s="7" t="inlineStr">
        <is>
          <t>A</t>
        </is>
      </c>
      <c r="F2057" s="13" t="n">
        <v>4</v>
      </c>
      <c r="G2057" s="13" t="n">
        <v>4</v>
      </c>
      <c r="H2057" s="8" t="n">
        <v>18.49</v>
      </c>
      <c r="I2057" s="8" t="n">
        <v>18.49</v>
      </c>
      <c r="J2057" s="8" t="n">
        <v>18.49</v>
      </c>
      <c r="K2057" s="8" t="n"/>
      <c r="L2057" s="8" t="n"/>
      <c r="M2057" s="8" t="n"/>
      <c r="N2057" s="8" t="n"/>
      <c r="O2057" s="8" t="n"/>
      <c r="P2057" s="8" t="n"/>
      <c r="Q2057" s="8" t="n"/>
      <c r="R2057" s="8" t="n"/>
      <c r="S2057" s="8" t="n"/>
      <c r="T2057" s="7" t="inlineStr">
        <is>
          <t>SEM COTAÇÃO</t>
        </is>
      </c>
      <c r="U2057" s="8" t="n"/>
      <c r="V2057" s="14" t="n"/>
      <c r="W2057" s="14" t="n"/>
      <c r="X2057" s="7" t="inlineStr"/>
      <c r="Y2057" s="7" t="inlineStr"/>
    </row>
    <row r="2058">
      <c r="A2058" s="7" t="n">
        <v>537441</v>
      </c>
      <c r="B2058" s="12" t="inlineStr">
        <is>
          <t>7896061990120</t>
        </is>
      </c>
      <c r="C2058" s="7" t="inlineStr">
        <is>
          <t>FRD DESC BABYSEC XG 12UND</t>
        </is>
      </c>
      <c r="D2058" s="7" t="inlineStr">
        <is>
          <t>FRALDAS INFANTIL</t>
        </is>
      </c>
      <c r="E2058" s="7" t="inlineStr">
        <is>
          <t>A</t>
        </is>
      </c>
      <c r="F2058" s="13" t="n">
        <v>15</v>
      </c>
      <c r="G2058" s="13" t="n">
        <v>15</v>
      </c>
      <c r="H2058" s="8" t="n">
        <v>15.99</v>
      </c>
      <c r="I2058" s="8" t="n">
        <v>14.99</v>
      </c>
      <c r="J2058" s="8" t="n">
        <v>15.65666666666667</v>
      </c>
      <c r="K2058" s="8" t="n"/>
      <c r="L2058" s="8" t="n"/>
      <c r="M2058" s="8" t="n"/>
      <c r="N2058" s="8" t="n"/>
      <c r="O2058" s="8" t="n"/>
      <c r="P2058" s="8" t="n"/>
      <c r="Q2058" s="8" t="n"/>
      <c r="R2058" s="8" t="n"/>
      <c r="S2058" s="8" t="n"/>
      <c r="T2058" s="7" t="inlineStr">
        <is>
          <t>SEM COTAÇÃO</t>
        </is>
      </c>
      <c r="U2058" s="8" t="n"/>
      <c r="V2058" s="14" t="n"/>
      <c r="W2058" s="14" t="n"/>
      <c r="X2058" s="7" t="inlineStr"/>
      <c r="Y2058" s="7" t="inlineStr"/>
    </row>
    <row r="2059">
      <c r="A2059" s="7" t="n">
        <v>569781</v>
      </c>
      <c r="B2059" s="12" t="inlineStr">
        <is>
          <t>7896480672966</t>
        </is>
      </c>
      <c r="C2059" s="7" t="inlineStr">
        <is>
          <t>FRD ENLACE BABY JUMBI M 9X18</t>
        </is>
      </c>
      <c r="D2059" s="7" t="inlineStr">
        <is>
          <t>FRALDAS INFANTIL</t>
        </is>
      </c>
      <c r="E2059" s="7" t="inlineStr">
        <is>
          <t>A</t>
        </is>
      </c>
      <c r="F2059" s="13" t="n">
        <v>25</v>
      </c>
      <c r="G2059" s="13" t="n">
        <v>25</v>
      </c>
      <c r="H2059" s="8" t="n"/>
      <c r="I2059" s="8" t="n"/>
      <c r="J2059" s="8" t="n"/>
      <c r="K2059" s="8" t="n"/>
      <c r="L2059" s="8" t="n"/>
      <c r="M2059" s="8" t="n"/>
      <c r="N2059" s="8" t="n"/>
      <c r="O2059" s="8" t="n"/>
      <c r="P2059" s="8" t="n"/>
      <c r="Q2059" s="8" t="n"/>
      <c r="R2059" s="8" t="n"/>
      <c r="S2059" s="8" t="n"/>
      <c r="T2059" s="7" t="inlineStr">
        <is>
          <t>SEM COTAÇÃO</t>
        </is>
      </c>
      <c r="U2059" s="8" t="n"/>
      <c r="V2059" s="14" t="n"/>
      <c r="W2059" s="14" t="n"/>
      <c r="X2059" s="7" t="inlineStr"/>
      <c r="Y2059" s="7" t="inlineStr"/>
    </row>
    <row r="2060">
      <c r="A2060" s="7" t="n">
        <v>580761</v>
      </c>
      <c r="B2060" s="12" t="inlineStr"/>
      <c r="C2060" s="7" t="inlineStr">
        <is>
          <t>FRD ENLACE BABY MEGA XG 6X36</t>
        </is>
      </c>
      <c r="D2060" s="7" t="inlineStr">
        <is>
          <t>FRALDAS INFANTIL</t>
        </is>
      </c>
      <c r="E2060" s="7" t="inlineStr">
        <is>
          <t>A</t>
        </is>
      </c>
      <c r="F2060" s="13" t="n">
        <v>1</v>
      </c>
      <c r="G2060" s="13" t="n">
        <v>3</v>
      </c>
      <c r="H2060" s="8" t="n">
        <v>28.585</v>
      </c>
      <c r="I2060" s="8" t="n">
        <v>27.81</v>
      </c>
      <c r="J2060" s="8" t="n">
        <v>28.32666666666667</v>
      </c>
      <c r="K2060" s="8" t="n"/>
      <c r="L2060" s="8" t="n"/>
      <c r="M2060" s="8" t="n"/>
      <c r="N2060" s="8" t="n"/>
      <c r="O2060" s="8" t="n"/>
      <c r="P2060" s="8" t="n"/>
      <c r="Q2060" s="8" t="n"/>
      <c r="R2060" s="8" t="n"/>
      <c r="S2060" s="8" t="n"/>
      <c r="T2060" s="7" t="inlineStr">
        <is>
          <t>SEM COTAÇÃO</t>
        </is>
      </c>
      <c r="U2060" s="8" t="n"/>
      <c r="V2060" s="14" t="n"/>
      <c r="W2060" s="14" t="n"/>
      <c r="X2060" s="7" t="inlineStr"/>
      <c r="Y2060" s="7" t="inlineStr"/>
    </row>
    <row r="2061">
      <c r="A2061" s="7" t="n">
        <v>589251</v>
      </c>
      <c r="B2061" s="12" t="inlineStr">
        <is>
          <t>7898656391374</t>
        </is>
      </c>
      <c r="C2061" s="7" t="inlineStr">
        <is>
          <t>FRD GER LIFREE CALCA EXTRA ABS G/XG C/16</t>
        </is>
      </c>
      <c r="D2061" s="7" t="inlineStr">
        <is>
          <t>FRALDAS GERIATRICAS</t>
        </is>
      </c>
      <c r="E2061" s="7" t="inlineStr">
        <is>
          <t>C</t>
        </is>
      </c>
      <c r="F2061" s="13" t="n">
        <v>1</v>
      </c>
      <c r="G2061" s="13" t="n">
        <v>1</v>
      </c>
      <c r="H2061" s="8" t="n">
        <v>39.425</v>
      </c>
      <c r="I2061" s="8" t="n">
        <v>39.425</v>
      </c>
      <c r="J2061" s="8" t="n">
        <v>39.425</v>
      </c>
      <c r="K2061" s="8" t="n"/>
      <c r="L2061" s="8" t="n"/>
      <c r="M2061" s="8" t="n"/>
      <c r="N2061" s="8" t="n"/>
      <c r="O2061" s="8" t="n"/>
      <c r="P2061" s="8" t="n"/>
      <c r="Q2061" s="8" t="n"/>
      <c r="R2061" s="8" t="n"/>
      <c r="S2061" s="8" t="n"/>
      <c r="T2061" s="7" t="inlineStr">
        <is>
          <t>SEM COTAÇÃO</t>
        </is>
      </c>
      <c r="U2061" s="8" t="n"/>
      <c r="V2061" s="14" t="n"/>
      <c r="W2061" s="14" t="n"/>
      <c r="X2061" s="7" t="inlineStr"/>
      <c r="Y2061" s="7" t="inlineStr"/>
    </row>
    <row r="2062">
      <c r="A2062" s="7" t="n">
        <v>669851</v>
      </c>
      <c r="B2062" s="12" t="inlineStr">
        <is>
          <t>7898656391756</t>
        </is>
      </c>
      <c r="C2062" s="7" t="inlineStr">
        <is>
          <t>FRD GER LIFREE CALCA EXTRA ABS G/XG C/24</t>
        </is>
      </c>
      <c r="D2062" s="7" t="inlineStr">
        <is>
          <t>FRALDAS GERIATRICAS</t>
        </is>
      </c>
      <c r="E2062" s="7" t="inlineStr">
        <is>
          <t>A</t>
        </is>
      </c>
      <c r="F2062" s="13" t="n">
        <v>3</v>
      </c>
      <c r="G2062" s="13" t="n">
        <v>3</v>
      </c>
      <c r="H2062" s="8" t="n">
        <v>78.02</v>
      </c>
      <c r="I2062" s="8" t="n">
        <v>75.34999999999999</v>
      </c>
      <c r="J2062" s="8" t="n">
        <v>75.34999999999999</v>
      </c>
      <c r="K2062" s="8" t="n"/>
      <c r="L2062" s="8" t="n"/>
      <c r="M2062" s="8" t="n"/>
      <c r="N2062" s="8" t="n"/>
      <c r="O2062" s="8" t="n"/>
      <c r="P2062" s="8" t="n"/>
      <c r="Q2062" s="8" t="n"/>
      <c r="R2062" s="8" t="n"/>
      <c r="S2062" s="8" t="n"/>
      <c r="T2062" s="7" t="inlineStr">
        <is>
          <t>SEM COTAÇÃO</t>
        </is>
      </c>
      <c r="U2062" s="8" t="n"/>
      <c r="V2062" s="14" t="n"/>
      <c r="W2062" s="14" t="n"/>
      <c r="X2062" s="7" t="inlineStr"/>
      <c r="Y2062" s="7" t="inlineStr"/>
    </row>
    <row r="2063">
      <c r="A2063" s="7" t="n">
        <v>669871</v>
      </c>
      <c r="B2063" s="12" t="inlineStr">
        <is>
          <t>7898656391732</t>
        </is>
      </c>
      <c r="C2063" s="7" t="inlineStr">
        <is>
          <t>FRD GER LIFREE CALCA EXTRA ABS G/XG C/9</t>
        </is>
      </c>
      <c r="D2063" s="7" t="inlineStr">
        <is>
          <t>FRALDAS GERIATRICAS</t>
        </is>
      </c>
      <c r="E2063" s="7" t="inlineStr">
        <is>
          <t>C</t>
        </is>
      </c>
      <c r="F2063" s="13" t="n">
        <v>1</v>
      </c>
      <c r="G2063" s="13" t="n">
        <v>1</v>
      </c>
      <c r="H2063" s="8" t="n">
        <v>30.09</v>
      </c>
      <c r="I2063" s="8" t="n">
        <v>30.09</v>
      </c>
      <c r="J2063" s="8" t="n">
        <v>30.09</v>
      </c>
      <c r="K2063" s="8" t="n"/>
      <c r="L2063" s="8" t="n"/>
      <c r="M2063" s="8" t="n"/>
      <c r="N2063" s="8" t="n"/>
      <c r="O2063" s="8" t="n"/>
      <c r="P2063" s="8" t="n"/>
      <c r="Q2063" s="8" t="n"/>
      <c r="R2063" s="8" t="n"/>
      <c r="S2063" s="8" t="n"/>
      <c r="T2063" s="7" t="inlineStr">
        <is>
          <t>SEM COTAÇÃO</t>
        </is>
      </c>
      <c r="U2063" s="8" t="n"/>
      <c r="V2063" s="14" t="n"/>
      <c r="W2063" s="14" t="n"/>
      <c r="X2063" s="7" t="inlineStr"/>
      <c r="Y2063" s="7" t="inlineStr"/>
    </row>
    <row r="2064">
      <c r="A2064" s="7" t="n">
        <v>673961</v>
      </c>
      <c r="B2064" s="12" t="inlineStr">
        <is>
          <t>7898656391695</t>
        </is>
      </c>
      <c r="C2064" s="7" t="inlineStr">
        <is>
          <t>FRD GER LIFREE CALCA SUP CONFO G/XG C/16</t>
        </is>
      </c>
      <c r="D2064" s="7" t="inlineStr">
        <is>
          <t>FRALDAS GERIATRICAS</t>
        </is>
      </c>
      <c r="E2064" s="7" t="inlineStr">
        <is>
          <t>A</t>
        </is>
      </c>
      <c r="F2064" s="13" t="n">
        <v>3</v>
      </c>
      <c r="G2064" s="13" t="n">
        <v>3</v>
      </c>
      <c r="H2064" s="8" t="n">
        <v>48.51</v>
      </c>
      <c r="I2064" s="8" t="n">
        <v>48.51</v>
      </c>
      <c r="J2064" s="8" t="n">
        <v>48.51</v>
      </c>
      <c r="K2064" s="8" t="n"/>
      <c r="L2064" s="8" t="n"/>
      <c r="M2064" s="8" t="n"/>
      <c r="N2064" s="8" t="n"/>
      <c r="O2064" s="8" t="n"/>
      <c r="P2064" s="8" t="n"/>
      <c r="Q2064" s="8" t="n"/>
      <c r="R2064" s="8" t="n"/>
      <c r="S2064" s="8" t="n"/>
      <c r="T2064" s="7" t="inlineStr">
        <is>
          <t>SEM COTAÇÃO</t>
        </is>
      </c>
      <c r="U2064" s="8" t="n"/>
      <c r="V2064" s="14" t="n"/>
      <c r="W2064" s="14" t="n"/>
      <c r="X2064" s="7" t="inlineStr"/>
      <c r="Y2064" s="7" t="inlineStr"/>
    </row>
    <row r="2065">
      <c r="A2065" s="7" t="n">
        <v>585681</v>
      </c>
      <c r="B2065" s="12" t="inlineStr">
        <is>
          <t>7898656391398</t>
        </is>
      </c>
      <c r="C2065" s="7" t="inlineStr">
        <is>
          <t>FRD GER LIFREE CALCA SUP CONFO G/XG C/16</t>
        </is>
      </c>
      <c r="D2065" s="7" t="inlineStr">
        <is>
          <t>FRALDAS GERIATRICAS</t>
        </is>
      </c>
      <c r="E2065" s="7" t="inlineStr">
        <is>
          <t>C</t>
        </is>
      </c>
      <c r="F2065" s="13" t="n">
        <v>1</v>
      </c>
      <c r="G2065" s="13" t="n">
        <v>2</v>
      </c>
      <c r="H2065" s="8" t="n">
        <v>36.0325</v>
      </c>
      <c r="I2065" s="8" t="n">
        <v>36.0325</v>
      </c>
      <c r="J2065" s="8" t="n">
        <v>36.0325</v>
      </c>
      <c r="K2065" s="8" t="n"/>
      <c r="L2065" s="8" t="n"/>
      <c r="M2065" s="8" t="n"/>
      <c r="N2065" s="8" t="n"/>
      <c r="O2065" s="8" t="n"/>
      <c r="P2065" s="8" t="n"/>
      <c r="Q2065" s="8" t="n"/>
      <c r="R2065" s="8" t="n"/>
      <c r="S2065" s="8" t="n"/>
      <c r="T2065" s="7" t="inlineStr">
        <is>
          <t>SEM COTAÇÃO</t>
        </is>
      </c>
      <c r="U2065" s="8" t="n"/>
      <c r="V2065" s="14" t="n"/>
      <c r="W2065" s="14" t="n"/>
      <c r="X2065" s="7" t="inlineStr"/>
      <c r="Y2065" s="7" t="inlineStr"/>
    </row>
    <row r="2066">
      <c r="A2066" s="7" t="n">
        <v>669841</v>
      </c>
      <c r="B2066" s="12" t="inlineStr">
        <is>
          <t>7898656391701</t>
        </is>
      </c>
      <c r="C2066" s="7" t="inlineStr">
        <is>
          <t>FRD GER LIFREE CALCA SUP CONFO G/XG C/24</t>
        </is>
      </c>
      <c r="D2066" s="7" t="inlineStr">
        <is>
          <t>FRALDAS GERIATRICAS</t>
        </is>
      </c>
      <c r="E2066" s="7" t="inlineStr">
        <is>
          <t>A</t>
        </is>
      </c>
      <c r="F2066" s="13" t="n">
        <v>4</v>
      </c>
      <c r="G2066" s="13" t="n">
        <v>4</v>
      </c>
      <c r="H2066" s="8" t="n">
        <v>67.87</v>
      </c>
      <c r="I2066" s="8" t="n">
        <v>65.54000000000001</v>
      </c>
      <c r="J2066" s="8" t="n">
        <v>65.54000000000001</v>
      </c>
      <c r="K2066" s="8" t="n"/>
      <c r="L2066" s="8" t="n"/>
      <c r="M2066" s="8" t="n"/>
      <c r="N2066" s="8" t="n"/>
      <c r="O2066" s="8" t="n"/>
      <c r="P2066" s="8" t="n"/>
      <c r="Q2066" s="8" t="n"/>
      <c r="R2066" s="8" t="n"/>
      <c r="S2066" s="8" t="n"/>
      <c r="T2066" s="7" t="inlineStr">
        <is>
          <t>SEM COTAÇÃO</t>
        </is>
      </c>
      <c r="U2066" s="8" t="n"/>
      <c r="V2066" s="14" t="n"/>
      <c r="W2066" s="14" t="n"/>
      <c r="X2066" s="7" t="inlineStr"/>
      <c r="Y2066" s="7" t="inlineStr"/>
    </row>
    <row r="2067">
      <c r="A2067" s="7" t="n">
        <v>669861</v>
      </c>
      <c r="B2067" s="12" t="inlineStr">
        <is>
          <t>7898656391688</t>
        </is>
      </c>
      <c r="C2067" s="7" t="inlineStr">
        <is>
          <t>FRD GER LIFREE CALCA SUP CONFO G/XG C/9</t>
        </is>
      </c>
      <c r="D2067" s="7" t="inlineStr">
        <is>
          <t>FRALDAS GERIATRICAS</t>
        </is>
      </c>
      <c r="E2067" s="7" t="inlineStr">
        <is>
          <t>A</t>
        </is>
      </c>
      <c r="F2067" s="13" t="n">
        <v>4</v>
      </c>
      <c r="G2067" s="13" t="n">
        <v>4</v>
      </c>
      <c r="H2067" s="8" t="n">
        <v>24.81</v>
      </c>
      <c r="I2067" s="8" t="n">
        <v>24.81</v>
      </c>
      <c r="J2067" s="8" t="n">
        <v>24.81</v>
      </c>
      <c r="K2067" s="8" t="n"/>
      <c r="L2067" s="8" t="n"/>
      <c r="M2067" s="8" t="n"/>
      <c r="N2067" s="8" t="n"/>
      <c r="O2067" s="8" t="n"/>
      <c r="P2067" s="8" t="n"/>
      <c r="Q2067" s="8" t="n"/>
      <c r="R2067" s="8" t="n"/>
      <c r="S2067" s="8" t="n"/>
      <c r="T2067" s="7" t="inlineStr">
        <is>
          <t>SEM COTAÇÃO</t>
        </is>
      </c>
      <c r="U2067" s="8" t="n"/>
      <c r="V2067" s="14" t="n"/>
      <c r="W2067" s="14" t="n"/>
      <c r="X2067" s="7" t="inlineStr"/>
      <c r="Y2067" s="7" t="inlineStr"/>
    </row>
    <row r="2068">
      <c r="A2068" s="7" t="n">
        <v>585701</v>
      </c>
      <c r="B2068" s="12" t="inlineStr">
        <is>
          <t>7898656391404</t>
        </is>
      </c>
      <c r="C2068" s="7" t="inlineStr">
        <is>
          <t>FRD GER LIFREE CALCA SUP CONFO P/M C/16</t>
        </is>
      </c>
      <c r="D2068" s="7" t="inlineStr">
        <is>
          <t>FRALDAS GERIATRICAS</t>
        </is>
      </c>
      <c r="E2068" s="7" t="inlineStr">
        <is>
          <t>C</t>
        </is>
      </c>
      <c r="F2068" s="13" t="n">
        <v>1</v>
      </c>
      <c r="G2068" s="13" t="n">
        <v>1</v>
      </c>
      <c r="H2068" s="8" t="n">
        <v>36.0325</v>
      </c>
      <c r="I2068" s="8" t="n">
        <v>36.0325</v>
      </c>
      <c r="J2068" s="8" t="n">
        <v>36.0325</v>
      </c>
      <c r="K2068" s="8" t="n"/>
      <c r="L2068" s="8" t="n"/>
      <c r="M2068" s="8" t="n"/>
      <c r="N2068" s="8" t="n"/>
      <c r="O2068" s="8" t="n"/>
      <c r="P2068" s="8" t="n"/>
      <c r="Q2068" s="8" t="n"/>
      <c r="R2068" s="8" t="n"/>
      <c r="S2068" s="8" t="n"/>
      <c r="T2068" s="7" t="inlineStr">
        <is>
          <t>SEM COTAÇÃO</t>
        </is>
      </c>
      <c r="U2068" s="8" t="n"/>
      <c r="V2068" s="14" t="n"/>
      <c r="W2068" s="14" t="n"/>
      <c r="X2068" s="7" t="inlineStr"/>
      <c r="Y2068" s="7" t="inlineStr"/>
    </row>
    <row r="2069">
      <c r="A2069" s="7" t="n">
        <v>673971</v>
      </c>
      <c r="B2069" s="12" t="inlineStr">
        <is>
          <t>7898656391664</t>
        </is>
      </c>
      <c r="C2069" s="7" t="inlineStr">
        <is>
          <t>FRD GER LIFREE CALCA SUP CONFO P/M C/16</t>
        </is>
      </c>
      <c r="D2069" s="7" t="inlineStr">
        <is>
          <t>FRALDAS GERIATRICAS</t>
        </is>
      </c>
      <c r="E2069" s="7" t="inlineStr">
        <is>
          <t>A</t>
        </is>
      </c>
      <c r="F2069" s="13" t="n">
        <v>7</v>
      </c>
      <c r="G2069" s="13" t="n">
        <v>7</v>
      </c>
      <c r="H2069" s="8" t="n">
        <v>48.51</v>
      </c>
      <c r="I2069" s="8" t="n">
        <v>48.51</v>
      </c>
      <c r="J2069" s="8" t="n">
        <v>48.51</v>
      </c>
      <c r="K2069" s="8" t="n"/>
      <c r="L2069" s="8" t="n"/>
      <c r="M2069" s="8" t="n"/>
      <c r="N2069" s="8" t="n"/>
      <c r="O2069" s="8" t="n"/>
      <c r="P2069" s="8" t="n"/>
      <c r="Q2069" s="8" t="n"/>
      <c r="R2069" s="8" t="n"/>
      <c r="S2069" s="8" t="n"/>
      <c r="T2069" s="7" t="inlineStr">
        <is>
          <t>SEM COTAÇÃO</t>
        </is>
      </c>
      <c r="U2069" s="8" t="n"/>
      <c r="V2069" s="14" t="n"/>
      <c r="W2069" s="14" t="n"/>
      <c r="X2069" s="7" t="inlineStr"/>
      <c r="Y2069" s="7" t="inlineStr"/>
    </row>
    <row r="2070">
      <c r="A2070" s="7" t="n">
        <v>627581</v>
      </c>
      <c r="B2070" s="12" t="inlineStr">
        <is>
          <t>7896770982102</t>
        </is>
      </c>
      <c r="C2070" s="7" t="inlineStr">
        <is>
          <t>FRD GER TENA PANTS CONFORT REG G/EG C/08</t>
        </is>
      </c>
      <c r="D2070" s="7" t="inlineStr">
        <is>
          <t>FRALDAS GERIATRICAS</t>
        </is>
      </c>
      <c r="E2070" s="7" t="inlineStr">
        <is>
          <t>C</t>
        </is>
      </c>
      <c r="F2070" s="13" t="n">
        <v>1</v>
      </c>
      <c r="G2070" s="13" t="n">
        <v>1</v>
      </c>
      <c r="H2070" s="8" t="n">
        <v>24.63</v>
      </c>
      <c r="I2070" s="8" t="n">
        <v>24.63</v>
      </c>
      <c r="J2070" s="8" t="n">
        <v>24.63</v>
      </c>
      <c r="K2070" s="8" t="n"/>
      <c r="L2070" s="8" t="n"/>
      <c r="M2070" s="8" t="n"/>
      <c r="N2070" s="8" t="n"/>
      <c r="O2070" s="8" t="n"/>
      <c r="P2070" s="8" t="n"/>
      <c r="Q2070" s="8" t="n"/>
      <c r="R2070" s="8" t="n"/>
      <c r="S2070" s="8" t="n"/>
      <c r="T2070" s="7" t="inlineStr">
        <is>
          <t>SEM COTAÇÃO</t>
        </is>
      </c>
      <c r="U2070" s="8" t="n"/>
      <c r="V2070" s="14" t="n"/>
      <c r="W2070" s="14" t="n"/>
      <c r="X2070" s="7" t="inlineStr"/>
      <c r="Y2070" s="7" t="inlineStr"/>
    </row>
    <row r="2071">
      <c r="A2071" s="7" t="n">
        <v>652231</v>
      </c>
      <c r="B2071" s="12" t="inlineStr">
        <is>
          <t>7896770980054</t>
        </is>
      </c>
      <c r="C2071" s="7" t="inlineStr">
        <is>
          <t>FRD GER TENA PANTS NOTURNA REG P/M C/7</t>
        </is>
      </c>
      <c r="D2071" s="7" t="inlineStr">
        <is>
          <t>FRALDAS GERIATRICAS</t>
        </is>
      </c>
      <c r="E2071" s="7" t="inlineStr">
        <is>
          <t>C</t>
        </is>
      </c>
      <c r="F2071" s="13" t="n">
        <v>2</v>
      </c>
      <c r="G2071" s="13" t="n">
        <v>2</v>
      </c>
      <c r="H2071" s="8" t="n">
        <v>27.9</v>
      </c>
      <c r="I2071" s="8" t="n">
        <v>27.9</v>
      </c>
      <c r="J2071" s="8" t="n">
        <v>27.9</v>
      </c>
      <c r="K2071" s="8" t="n"/>
      <c r="L2071" s="8" t="n"/>
      <c r="M2071" s="8" t="n"/>
      <c r="N2071" s="8" t="n"/>
      <c r="O2071" s="8" t="n"/>
      <c r="P2071" s="15" t="n">
        <v>35.9967</v>
      </c>
      <c r="Q2071" s="8" t="n"/>
      <c r="R2071" s="8" t="n"/>
      <c r="S2071" s="8" t="n"/>
      <c r="T2071" s="7" t="inlineStr">
        <is>
          <t>NAZARIA</t>
        </is>
      </c>
      <c r="U2071" s="8" t="n">
        <v>35.9967</v>
      </c>
      <c r="V2071" s="14">
        <f>U2071/J2071-1</f>
        <v/>
      </c>
      <c r="W2071" s="14">
        <f>U2071/H2071-1</f>
        <v/>
      </c>
      <c r="X2071" s="16" t="inlineStr">
        <is>
          <t>ACIMA +29.0%</t>
        </is>
      </c>
      <c r="Y2071" s="7" t="inlineStr"/>
    </row>
    <row r="2072">
      <c r="A2072" s="7" t="n">
        <v>652251</v>
      </c>
      <c r="B2072" s="12" t="inlineStr">
        <is>
          <t>7896770980412</t>
        </is>
      </c>
      <c r="C2072" s="7" t="inlineStr">
        <is>
          <t>FRD GER TENA SLIP NOTURNA G</t>
        </is>
      </c>
      <c r="D2072" s="7" t="inlineStr">
        <is>
          <t>FRALDAS GERIATRICAS</t>
        </is>
      </c>
      <c r="E2072" s="7" t="inlineStr">
        <is>
          <t>C</t>
        </is>
      </c>
      <c r="F2072" s="13" t="n">
        <v>1</v>
      </c>
      <c r="G2072" s="13" t="n">
        <v>1</v>
      </c>
      <c r="H2072" s="8" t="n">
        <v>25.54</v>
      </c>
      <c r="I2072" s="8" t="n">
        <v>25.54</v>
      </c>
      <c r="J2072" s="8" t="n">
        <v>25.54</v>
      </c>
      <c r="K2072" s="8" t="n"/>
      <c r="L2072" s="8" t="n"/>
      <c r="M2072" s="8" t="n"/>
      <c r="N2072" s="8" t="n"/>
      <c r="O2072" s="8" t="n"/>
      <c r="P2072" s="8" t="n"/>
      <c r="Q2072" s="8" t="n"/>
      <c r="R2072" s="8" t="n"/>
      <c r="S2072" s="8" t="n"/>
      <c r="T2072" s="7" t="inlineStr">
        <is>
          <t>SEM COTAÇÃO</t>
        </is>
      </c>
      <c r="U2072" s="8" t="n"/>
      <c r="V2072" s="14" t="n"/>
      <c r="W2072" s="14" t="n"/>
      <c r="X2072" s="7" t="inlineStr"/>
      <c r="Y2072" s="7" t="inlineStr"/>
    </row>
    <row r="2073">
      <c r="A2073" s="7" t="n">
        <v>652241</v>
      </c>
      <c r="B2073" s="12" t="inlineStr">
        <is>
          <t>7896770980405</t>
        </is>
      </c>
      <c r="C2073" s="7" t="inlineStr">
        <is>
          <t>FRD GER TENA SLIP NOTURNA M L8 P7</t>
        </is>
      </c>
      <c r="D2073" s="7" t="inlineStr">
        <is>
          <t>FRALDAS GERIATRICAS</t>
        </is>
      </c>
      <c r="E2073" s="7" t="inlineStr">
        <is>
          <t>C</t>
        </is>
      </c>
      <c r="F2073" s="13" t="n">
        <v>1</v>
      </c>
      <c r="G2073" s="13" t="n">
        <v>1</v>
      </c>
      <c r="H2073" s="8" t="n">
        <v>25.54</v>
      </c>
      <c r="I2073" s="8" t="n">
        <v>25.54</v>
      </c>
      <c r="J2073" s="8" t="n">
        <v>25.54</v>
      </c>
      <c r="K2073" s="8" t="n"/>
      <c r="L2073" s="8" t="n"/>
      <c r="M2073" s="8" t="n"/>
      <c r="N2073" s="8" t="n"/>
      <c r="O2073" s="8" t="n"/>
      <c r="P2073" s="8" t="n"/>
      <c r="Q2073" s="8" t="n"/>
      <c r="R2073" s="8" t="n"/>
      <c r="S2073" s="8" t="n"/>
      <c r="T2073" s="7" t="inlineStr">
        <is>
          <t>SEM COTAÇÃO</t>
        </is>
      </c>
      <c r="U2073" s="8" t="n"/>
      <c r="V2073" s="14" t="n"/>
      <c r="W2073" s="14" t="n"/>
      <c r="X2073" s="7" t="inlineStr"/>
      <c r="Y2073" s="7" t="inlineStr"/>
    </row>
    <row r="2074">
      <c r="A2074" s="7" t="n">
        <v>687201</v>
      </c>
      <c r="B2074" s="12" t="inlineStr">
        <is>
          <t>7899700804116</t>
        </is>
      </c>
      <c r="C2074" s="7" t="inlineStr">
        <is>
          <t>FRD HIPOPO SHORT CONFORT BAG G C 60</t>
        </is>
      </c>
      <c r="D2074" s="7" t="inlineStr">
        <is>
          <t>FRALDAS INFANTIL</t>
        </is>
      </c>
      <c r="E2074" s="7" t="inlineStr">
        <is>
          <t>A</t>
        </is>
      </c>
      <c r="F2074" s="13" t="n">
        <v>2</v>
      </c>
      <c r="G2074" s="13" t="n">
        <v>2</v>
      </c>
      <c r="H2074" s="8" t="n">
        <v>60</v>
      </c>
      <c r="I2074" s="8" t="n">
        <v>60</v>
      </c>
      <c r="J2074" s="8" t="n">
        <v>60</v>
      </c>
      <c r="K2074" s="8" t="n"/>
      <c r="L2074" s="8" t="n"/>
      <c r="M2074" s="8" t="n"/>
      <c r="N2074" s="8" t="n"/>
      <c r="O2074" s="8" t="n"/>
      <c r="P2074" s="8" t="n"/>
      <c r="Q2074" s="8" t="n"/>
      <c r="R2074" s="8" t="n"/>
      <c r="S2074" s="8" t="n"/>
      <c r="T2074" s="7" t="inlineStr">
        <is>
          <t>SEM COTAÇÃO</t>
        </is>
      </c>
      <c r="U2074" s="8" t="n"/>
      <c r="V2074" s="14" t="n"/>
      <c r="W2074" s="14" t="n"/>
      <c r="X2074" s="7" t="inlineStr"/>
      <c r="Y2074" s="7" t="inlineStr"/>
    </row>
    <row r="2075">
      <c r="A2075" s="7" t="n">
        <v>687701</v>
      </c>
      <c r="B2075" s="12" t="inlineStr">
        <is>
          <t>7899700804109</t>
        </is>
      </c>
      <c r="C2075" s="7" t="inlineStr">
        <is>
          <t>FRD HIPOPO SHORT CONFORT BAG M C 72</t>
        </is>
      </c>
      <c r="D2075" s="7" t="inlineStr">
        <is>
          <t>FRALDAS INFANTIL</t>
        </is>
      </c>
      <c r="E2075" s="7" t="inlineStr">
        <is>
          <t>A</t>
        </is>
      </c>
      <c r="F2075" s="13" t="n">
        <v>2</v>
      </c>
      <c r="G2075" s="13" t="n">
        <v>2</v>
      </c>
      <c r="H2075" s="8" t="n">
        <v>60</v>
      </c>
      <c r="I2075" s="8" t="n">
        <v>60</v>
      </c>
      <c r="J2075" s="8" t="n">
        <v>60</v>
      </c>
      <c r="K2075" s="8" t="n"/>
      <c r="L2075" s="8" t="n"/>
      <c r="M2075" s="8" t="n"/>
      <c r="N2075" s="8" t="n"/>
      <c r="O2075" s="8" t="n"/>
      <c r="P2075" s="8" t="n"/>
      <c r="Q2075" s="8" t="n"/>
      <c r="R2075" s="8" t="n"/>
      <c r="S2075" s="8" t="n"/>
      <c r="T2075" s="7" t="inlineStr">
        <is>
          <t>SEM COTAÇÃO</t>
        </is>
      </c>
      <c r="U2075" s="8" t="n"/>
      <c r="V2075" s="14" t="n"/>
      <c r="W2075" s="14" t="n"/>
      <c r="X2075" s="7" t="inlineStr"/>
      <c r="Y2075" s="7" t="inlineStr"/>
    </row>
    <row r="2076">
      <c r="A2076" s="7" t="n">
        <v>687301</v>
      </c>
      <c r="B2076" s="12" t="inlineStr"/>
      <c r="C2076" s="7" t="inlineStr">
        <is>
          <t>FRD HIPOPO SHORT CONFORT BAG XG C 48</t>
        </is>
      </c>
      <c r="D2076" s="7" t="inlineStr">
        <is>
          <t>FRALDAS INFANTIL</t>
        </is>
      </c>
      <c r="E2076" s="7" t="inlineStr">
        <is>
          <t>A</t>
        </is>
      </c>
      <c r="F2076" s="13" t="n">
        <v>1</v>
      </c>
      <c r="G2076" s="13" t="n">
        <v>1</v>
      </c>
      <c r="H2076" s="8" t="n">
        <v>60</v>
      </c>
      <c r="I2076" s="8" t="n">
        <v>60</v>
      </c>
      <c r="J2076" s="8" t="n">
        <v>60</v>
      </c>
      <c r="K2076" s="8" t="n"/>
      <c r="L2076" s="8" t="n"/>
      <c r="M2076" s="8" t="n"/>
      <c r="N2076" s="8" t="n"/>
      <c r="O2076" s="8" t="n"/>
      <c r="P2076" s="8" t="n"/>
      <c r="Q2076" s="8" t="n"/>
      <c r="R2076" s="8" t="n"/>
      <c r="S2076" s="8" t="n"/>
      <c r="T2076" s="7" t="inlineStr">
        <is>
          <t>SEM COTAÇÃO</t>
        </is>
      </c>
      <c r="U2076" s="8" t="n"/>
      <c r="V2076" s="14" t="n"/>
      <c r="W2076" s="14" t="n"/>
      <c r="X2076" s="7" t="inlineStr"/>
      <c r="Y2076" s="7" t="inlineStr"/>
    </row>
    <row r="2077">
      <c r="A2077" s="7" t="n">
        <v>687401</v>
      </c>
      <c r="B2077" s="12" t="inlineStr">
        <is>
          <t>7899700804130</t>
        </is>
      </c>
      <c r="C2077" s="7" t="inlineStr">
        <is>
          <t>FRD HIPOPO SHORT CONFORT BAG XXG C 48</t>
        </is>
      </c>
      <c r="D2077" s="7" t="inlineStr">
        <is>
          <t>FRALDAS INFANTIL</t>
        </is>
      </c>
      <c r="E2077" s="7" t="inlineStr">
        <is>
          <t>A</t>
        </is>
      </c>
      <c r="F2077" s="13" t="n">
        <v>1</v>
      </c>
      <c r="G2077" s="13" t="n">
        <v>1</v>
      </c>
      <c r="H2077" s="8" t="n">
        <v>60</v>
      </c>
      <c r="I2077" s="8" t="n">
        <v>60</v>
      </c>
      <c r="J2077" s="8" t="n">
        <v>60</v>
      </c>
      <c r="K2077" s="8" t="n"/>
      <c r="L2077" s="8" t="n"/>
      <c r="M2077" s="8" t="n"/>
      <c r="N2077" s="8" t="n"/>
      <c r="O2077" s="8" t="n"/>
      <c r="P2077" s="8" t="n"/>
      <c r="Q2077" s="8" t="n"/>
      <c r="R2077" s="8" t="n"/>
      <c r="S2077" s="8" t="n"/>
      <c r="T2077" s="7" t="inlineStr">
        <is>
          <t>SEM COTAÇÃO</t>
        </is>
      </c>
      <c r="U2077" s="8" t="n"/>
      <c r="V2077" s="14" t="n"/>
      <c r="W2077" s="14" t="n"/>
      <c r="X2077" s="7" t="inlineStr"/>
      <c r="Y2077" s="7" t="inlineStr"/>
    </row>
    <row r="2078">
      <c r="A2078" s="7" t="n">
        <v>594871</v>
      </c>
      <c r="B2078" s="12" t="inlineStr">
        <is>
          <t>7896007548408</t>
        </is>
      </c>
      <c r="C2078" s="7" t="inlineStr">
        <is>
          <t>FRD HUG SUPR CARE MEG M 40UN</t>
        </is>
      </c>
      <c r="D2078" s="7" t="inlineStr">
        <is>
          <t>FRALDAS INFANTIL</t>
        </is>
      </c>
      <c r="E2078" s="7" t="inlineStr">
        <is>
          <t>C</t>
        </is>
      </c>
      <c r="F2078" s="13" t="n">
        <v>1</v>
      </c>
      <c r="G2078" s="13" t="n">
        <v>1</v>
      </c>
      <c r="H2078" s="8" t="n">
        <v>51.9075</v>
      </c>
      <c r="I2078" s="8" t="n">
        <v>51.9075</v>
      </c>
      <c r="J2078" s="8" t="n">
        <v>51.9075</v>
      </c>
      <c r="K2078" s="8" t="n"/>
      <c r="L2078" s="8" t="n"/>
      <c r="M2078" s="8" t="n"/>
      <c r="N2078" s="8" t="n"/>
      <c r="O2078" s="8" t="n"/>
      <c r="P2078" s="15" t="n">
        <v>56.4</v>
      </c>
      <c r="Q2078" s="8" t="n"/>
      <c r="R2078" s="8" t="n"/>
      <c r="S2078" s="8" t="n"/>
      <c r="T2078" s="7" t="inlineStr">
        <is>
          <t>NAZARIA</t>
        </is>
      </c>
      <c r="U2078" s="8" t="n">
        <v>56.4</v>
      </c>
      <c r="V2078" s="14">
        <f>U2078/J2078-1</f>
        <v/>
      </c>
      <c r="W2078" s="14">
        <f>U2078/H2078-1</f>
        <v/>
      </c>
      <c r="X2078" s="16" t="inlineStr">
        <is>
          <t>ACIMA +8.7%</t>
        </is>
      </c>
      <c r="Y2078" s="7" t="inlineStr"/>
    </row>
    <row r="2079">
      <c r="A2079" s="7" t="n">
        <v>606191</v>
      </c>
      <c r="B2079" s="12" t="inlineStr">
        <is>
          <t>7898656390452</t>
        </is>
      </c>
      <c r="C2079" s="7" t="inlineStr">
        <is>
          <t>FRD MAMY P CALCA DN HP G 50UN</t>
        </is>
      </c>
      <c r="D2079" s="7" t="inlineStr">
        <is>
          <t>FRALDAS INFANTIL</t>
        </is>
      </c>
      <c r="E2079" s="7" t="inlineStr">
        <is>
          <t>C</t>
        </is>
      </c>
      <c r="F2079" s="13" t="n">
        <v>1</v>
      </c>
      <c r="G2079" s="13" t="n">
        <v>1</v>
      </c>
      <c r="H2079" s="8" t="n">
        <v>56.7525</v>
      </c>
      <c r="I2079" s="8" t="n">
        <v>56.7525</v>
      </c>
      <c r="J2079" s="8" t="n">
        <v>56.7525</v>
      </c>
      <c r="K2079" s="8" t="n"/>
      <c r="L2079" s="8" t="n"/>
      <c r="M2079" s="8" t="n"/>
      <c r="N2079" s="8" t="n"/>
      <c r="O2079" s="8" t="n"/>
      <c r="P2079" s="8" t="n"/>
      <c r="Q2079" s="8" t="n"/>
      <c r="R2079" s="8" t="n"/>
      <c r="S2079" s="8" t="n"/>
      <c r="T2079" s="7" t="inlineStr">
        <is>
          <t>SEM COTAÇÃO</t>
        </is>
      </c>
      <c r="U2079" s="8" t="n"/>
      <c r="V2079" s="14" t="n"/>
      <c r="W2079" s="14" t="n"/>
      <c r="X2079" s="7" t="inlineStr"/>
      <c r="Y2079" s="7" t="inlineStr"/>
    </row>
    <row r="2080">
      <c r="A2080" s="7" t="n">
        <v>609191</v>
      </c>
      <c r="B2080" s="12" t="inlineStr">
        <is>
          <t>7898656390483</t>
        </is>
      </c>
      <c r="C2080" s="7" t="inlineStr">
        <is>
          <t>FRD MAMYP CALCA DN R P 22UN</t>
        </is>
      </c>
      <c r="D2080" s="7" t="inlineStr">
        <is>
          <t>FRALDAS INFANTIL</t>
        </is>
      </c>
      <c r="E2080" s="7" t="inlineStr">
        <is>
          <t>A</t>
        </is>
      </c>
      <c r="F2080" s="13" t="n">
        <v>10</v>
      </c>
      <c r="G2080" s="13" t="n">
        <v>10</v>
      </c>
      <c r="H2080" s="8" t="n">
        <v>25.99</v>
      </c>
      <c r="I2080" s="8" t="n">
        <v>25.99</v>
      </c>
      <c r="J2080" s="8" t="n">
        <v>25.99</v>
      </c>
      <c r="K2080" s="8" t="n"/>
      <c r="L2080" s="8" t="n"/>
      <c r="M2080" s="8" t="n"/>
      <c r="N2080" s="8" t="n"/>
      <c r="O2080" s="8" t="n"/>
      <c r="P2080" s="8" t="n"/>
      <c r="Q2080" s="8" t="n"/>
      <c r="R2080" s="8" t="n"/>
      <c r="S2080" s="8" t="n"/>
      <c r="T2080" s="7" t="inlineStr">
        <is>
          <t>SEM COTAÇÃO</t>
        </is>
      </c>
      <c r="U2080" s="8" t="n"/>
      <c r="V2080" s="14" t="n"/>
      <c r="W2080" s="14" t="n"/>
      <c r="X2080" s="7" t="inlineStr"/>
      <c r="Y2080" s="7" t="inlineStr"/>
    </row>
    <row r="2081">
      <c r="A2081" s="7" t="n">
        <v>604651</v>
      </c>
      <c r="B2081" s="12" t="inlineStr">
        <is>
          <t>17898656390183</t>
        </is>
      </c>
      <c r="C2081" s="7" t="inlineStr">
        <is>
          <t>FRD MAMYP CALCA DN R XXG 12UN</t>
        </is>
      </c>
      <c r="D2081" s="7" t="inlineStr">
        <is>
          <t>FRALDAS INFANTIL</t>
        </is>
      </c>
      <c r="E2081" s="7" t="inlineStr">
        <is>
          <t>B</t>
        </is>
      </c>
      <c r="F2081" s="13" t="n">
        <v>1</v>
      </c>
      <c r="G2081" s="13" t="n">
        <v>1</v>
      </c>
      <c r="H2081" s="8" t="n">
        <v>25.99</v>
      </c>
      <c r="I2081" s="8" t="n">
        <v>25.99</v>
      </c>
      <c r="J2081" s="8" t="n">
        <v>25.99</v>
      </c>
      <c r="K2081" s="8" t="n"/>
      <c r="L2081" s="8" t="n"/>
      <c r="M2081" s="8" t="n"/>
      <c r="N2081" s="8" t="n"/>
      <c r="O2081" s="8" t="n"/>
      <c r="P2081" s="8" t="n"/>
      <c r="Q2081" s="8" t="n"/>
      <c r="R2081" s="8" t="n"/>
      <c r="S2081" s="8" t="n"/>
      <c r="T2081" s="7" t="inlineStr">
        <is>
          <t>SEM COTAÇÃO</t>
        </is>
      </c>
      <c r="U2081" s="8" t="n"/>
      <c r="V2081" s="14" t="n"/>
      <c r="W2081" s="14" t="n"/>
      <c r="X2081" s="7" t="inlineStr"/>
      <c r="Y2081" s="7" t="inlineStr"/>
    </row>
    <row r="2082">
      <c r="A2082" s="7" t="n">
        <v>591921</v>
      </c>
      <c r="B2082" s="12" t="inlineStr">
        <is>
          <t>7898656390650</t>
        </is>
      </c>
      <c r="C2082" s="7" t="inlineStr">
        <is>
          <t>FRD MAMYP CALCA HIPER G 50UN</t>
        </is>
      </c>
      <c r="D2082" s="7" t="inlineStr">
        <is>
          <t>FRALDAS INFANTIL</t>
        </is>
      </c>
      <c r="E2082" s="7" t="inlineStr">
        <is>
          <t>C</t>
        </is>
      </c>
      <c r="F2082" s="13" t="n">
        <v>1</v>
      </c>
      <c r="G2082" s="13" t="n">
        <v>1</v>
      </c>
      <c r="H2082" s="8" t="n">
        <v>65.17749999999999</v>
      </c>
      <c r="I2082" s="8" t="n">
        <v>65.17749999999999</v>
      </c>
      <c r="J2082" s="8" t="n">
        <v>65.17749999999999</v>
      </c>
      <c r="K2082" s="8" t="n"/>
      <c r="L2082" s="8" t="n"/>
      <c r="M2082" s="8" t="n"/>
      <c r="N2082" s="8" t="n"/>
      <c r="O2082" s="8" t="n"/>
      <c r="P2082" s="8" t="n"/>
      <c r="Q2082" s="8" t="n"/>
      <c r="R2082" s="8" t="n"/>
      <c r="S2082" s="8" t="n"/>
      <c r="T2082" s="7" t="inlineStr">
        <is>
          <t>SEM COTAÇÃO</t>
        </is>
      </c>
      <c r="U2082" s="8" t="n"/>
      <c r="V2082" s="14" t="n"/>
      <c r="W2082" s="14" t="n"/>
      <c r="X2082" s="7" t="inlineStr"/>
      <c r="Y2082" s="7" t="inlineStr"/>
    </row>
    <row r="2083">
      <c r="A2083" s="7" t="n">
        <v>604641</v>
      </c>
      <c r="B2083" s="12" t="inlineStr">
        <is>
          <t>17898656390497</t>
        </is>
      </c>
      <c r="C2083" s="7" t="inlineStr">
        <is>
          <t>FRD MAMYP CALCA N MG P 46UN</t>
        </is>
      </c>
      <c r="D2083" s="7" t="inlineStr">
        <is>
          <t>FRALDAS INFANTIL</t>
        </is>
      </c>
      <c r="E2083" s="7" t="inlineStr">
        <is>
          <t>A</t>
        </is>
      </c>
      <c r="F2083" s="13" t="n">
        <v>6</v>
      </c>
      <c r="G2083" s="13" t="n">
        <v>6</v>
      </c>
      <c r="H2083" s="8" t="n">
        <v>45.49</v>
      </c>
      <c r="I2083" s="8" t="n">
        <v>45.49</v>
      </c>
      <c r="J2083" s="8" t="n">
        <v>45.49</v>
      </c>
      <c r="K2083" s="8" t="n"/>
      <c r="L2083" s="8" t="n"/>
      <c r="M2083" s="8" t="n"/>
      <c r="N2083" s="8" t="n"/>
      <c r="O2083" s="8" t="n"/>
      <c r="P2083" s="8" t="n"/>
      <c r="Q2083" s="8" t="n"/>
      <c r="R2083" s="8" t="n"/>
      <c r="S2083" s="8" t="n"/>
      <c r="T2083" s="7" t="inlineStr">
        <is>
          <t>SEM COTAÇÃO</t>
        </is>
      </c>
      <c r="U2083" s="8" t="n"/>
      <c r="V2083" s="14" t="n"/>
      <c r="W2083" s="14" t="n"/>
      <c r="X2083" s="7" t="inlineStr"/>
      <c r="Y2083" s="7" t="inlineStr"/>
    </row>
    <row r="2084">
      <c r="A2084" s="7" t="n">
        <v>609241</v>
      </c>
      <c r="B2084" s="12" t="inlineStr">
        <is>
          <t>7898953823585</t>
        </is>
      </c>
      <c r="C2084" s="7" t="inlineStr">
        <is>
          <t>FRD MAMYP CALCA REGULAR P 24UN</t>
        </is>
      </c>
      <c r="D2084" s="7" t="inlineStr">
        <is>
          <t>FRALDAS INFANTIL</t>
        </is>
      </c>
      <c r="E2084" s="7" t="inlineStr">
        <is>
          <t>C</t>
        </is>
      </c>
      <c r="F2084" s="13" t="n">
        <v>1</v>
      </c>
      <c r="G2084" s="13" t="n">
        <v>1</v>
      </c>
      <c r="H2084" s="8" t="n">
        <v>33.6</v>
      </c>
      <c r="I2084" s="8" t="n">
        <v>33.6</v>
      </c>
      <c r="J2084" s="8" t="n">
        <v>33.6</v>
      </c>
      <c r="K2084" s="8" t="n"/>
      <c r="L2084" s="8" t="n"/>
      <c r="M2084" s="8" t="n"/>
      <c r="N2084" s="8" t="n"/>
      <c r="O2084" s="8" t="n"/>
      <c r="P2084" s="8" t="n"/>
      <c r="Q2084" s="8" t="n"/>
      <c r="R2084" s="8" t="n"/>
      <c r="S2084" s="8" t="n"/>
      <c r="T2084" s="7" t="inlineStr">
        <is>
          <t>SEM COTAÇÃO</t>
        </is>
      </c>
      <c r="U2084" s="8" t="n"/>
      <c r="V2084" s="14" t="n"/>
      <c r="W2084" s="14" t="n"/>
      <c r="X2084" s="7" t="inlineStr"/>
      <c r="Y2084" s="7" t="inlineStr"/>
    </row>
    <row r="2085">
      <c r="A2085" s="7" t="n">
        <v>609251</v>
      </c>
      <c r="B2085" s="12" t="inlineStr">
        <is>
          <t>7898656390698</t>
        </is>
      </c>
      <c r="C2085" s="7" t="inlineStr">
        <is>
          <t>FRD MAMYP CALCA SUPER G 60 UN</t>
        </is>
      </c>
      <c r="D2085" s="7" t="inlineStr">
        <is>
          <t>FRALDAS INFANTIL</t>
        </is>
      </c>
      <c r="E2085" s="7" t="inlineStr">
        <is>
          <t>C</t>
        </is>
      </c>
      <c r="F2085" s="13" t="n">
        <v>1</v>
      </c>
      <c r="G2085" s="13" t="n">
        <v>1</v>
      </c>
      <c r="H2085" s="8" t="n">
        <v>98</v>
      </c>
      <c r="I2085" s="8" t="n">
        <v>98</v>
      </c>
      <c r="J2085" s="8" t="n">
        <v>98</v>
      </c>
      <c r="K2085" s="8" t="n"/>
      <c r="L2085" s="8" t="n"/>
      <c r="M2085" s="8" t="n"/>
      <c r="N2085" s="8" t="n"/>
      <c r="O2085" s="8" t="n"/>
      <c r="P2085" s="8" t="n"/>
      <c r="Q2085" s="8" t="n"/>
      <c r="R2085" s="8" t="n"/>
      <c r="S2085" s="8" t="n"/>
      <c r="T2085" s="7" t="inlineStr">
        <is>
          <t>SEM COTAÇÃO</t>
        </is>
      </c>
      <c r="U2085" s="8" t="n"/>
      <c r="V2085" s="14" t="n"/>
      <c r="W2085" s="14" t="n"/>
      <c r="X2085" s="7" t="inlineStr"/>
      <c r="Y2085" s="7" t="inlineStr"/>
    </row>
    <row r="2086">
      <c r="A2086" s="7" t="n">
        <v>659661</v>
      </c>
      <c r="B2086" s="12" t="inlineStr">
        <is>
          <t>7898656391305</t>
        </is>
      </c>
      <c r="C2086" s="7" t="inlineStr">
        <is>
          <t>FRD MAMYPOKO CALCA JBN XG 23 P20</t>
        </is>
      </c>
      <c r="D2086" s="7" t="inlineStr">
        <is>
          <t>FRALDAS INFANTIL</t>
        </is>
      </c>
      <c r="E2086" s="7" t="inlineStr">
        <is>
          <t>C</t>
        </is>
      </c>
      <c r="F2086" s="13" t="n">
        <v>1</v>
      </c>
      <c r="G2086" s="13" t="n">
        <v>1</v>
      </c>
      <c r="H2086" s="8" t="n">
        <v>28.6</v>
      </c>
      <c r="I2086" s="8" t="n">
        <v>28.6</v>
      </c>
      <c r="J2086" s="8" t="n">
        <v>28.6</v>
      </c>
      <c r="K2086" s="8" t="n"/>
      <c r="L2086" s="8" t="n"/>
      <c r="M2086" s="8" t="n"/>
      <c r="N2086" s="8" t="n"/>
      <c r="O2086" s="8" t="n"/>
      <c r="P2086" s="8" t="n"/>
      <c r="Q2086" s="8" t="n"/>
      <c r="R2086" s="8" t="n"/>
      <c r="S2086" s="8" t="n"/>
      <c r="T2086" s="7" t="inlineStr">
        <is>
          <t>SEM COTAÇÃO</t>
        </is>
      </c>
      <c r="U2086" s="8" t="n"/>
      <c r="V2086" s="14" t="n"/>
      <c r="W2086" s="14" t="n"/>
      <c r="X2086" s="7" t="inlineStr"/>
      <c r="Y2086" s="7" t="inlineStr"/>
    </row>
    <row r="2087">
      <c r="A2087" s="7" t="n">
        <v>591421</v>
      </c>
      <c r="B2087" s="12" t="inlineStr">
        <is>
          <t>7898656391145</t>
        </is>
      </c>
      <c r="C2087" s="7" t="inlineStr">
        <is>
          <t>FRD MAMYPOKO CALCA JUMBINHO G C/22</t>
        </is>
      </c>
      <c r="D2087" s="7" t="inlineStr">
        <is>
          <t>FRALDAS INFANTIL</t>
        </is>
      </c>
      <c r="E2087" s="7" t="inlineStr">
        <is>
          <t>C</t>
        </is>
      </c>
      <c r="F2087" s="13" t="n">
        <v>1</v>
      </c>
      <c r="G2087" s="13" t="n">
        <v>1</v>
      </c>
      <c r="H2087" s="8" t="n">
        <v>30.04</v>
      </c>
      <c r="I2087" s="8" t="n">
        <v>30.04</v>
      </c>
      <c r="J2087" s="8" t="n">
        <v>30.04</v>
      </c>
      <c r="K2087" s="8" t="n"/>
      <c r="L2087" s="8" t="n"/>
      <c r="M2087" s="8" t="n"/>
      <c r="N2087" s="8" t="n"/>
      <c r="O2087" s="8" t="n"/>
      <c r="P2087" s="8" t="n"/>
      <c r="Q2087" s="8" t="n"/>
      <c r="R2087" s="8" t="n"/>
      <c r="S2087" s="8" t="n"/>
      <c r="T2087" s="7" t="inlineStr">
        <is>
          <t>SEM COTAÇÃO</t>
        </is>
      </c>
      <c r="U2087" s="8" t="n"/>
      <c r="V2087" s="14" t="n"/>
      <c r="W2087" s="14" t="n"/>
      <c r="X2087" s="7" t="inlineStr"/>
      <c r="Y2087" s="7" t="inlineStr"/>
    </row>
    <row r="2088">
      <c r="A2088" s="7" t="n">
        <v>591351</v>
      </c>
      <c r="B2088" s="12" t="inlineStr">
        <is>
          <t>7898656391169</t>
        </is>
      </c>
      <c r="C2088" s="7" t="inlineStr">
        <is>
          <t>FRD MAMYPOKO CALCA JUMBINHO XXG C/18</t>
        </is>
      </c>
      <c r="D2088" s="7" t="inlineStr">
        <is>
          <t>FRALDAS INFANTIL</t>
        </is>
      </c>
      <c r="E2088" s="7" t="inlineStr">
        <is>
          <t>C</t>
        </is>
      </c>
      <c r="F2088" s="13" t="n">
        <v>1</v>
      </c>
      <c r="G2088" s="13" t="n">
        <v>1</v>
      </c>
      <c r="H2088" s="8" t="n">
        <v>30.04</v>
      </c>
      <c r="I2088" s="8" t="n">
        <v>30.04</v>
      </c>
      <c r="J2088" s="8" t="n">
        <v>30.04</v>
      </c>
      <c r="K2088" s="8" t="n"/>
      <c r="L2088" s="8" t="n"/>
      <c r="M2088" s="8" t="n"/>
      <c r="N2088" s="8" t="n"/>
      <c r="O2088" s="8" t="n"/>
      <c r="P2088" s="8" t="n"/>
      <c r="Q2088" s="8" t="n"/>
      <c r="R2088" s="8" t="n"/>
      <c r="S2088" s="8" t="n"/>
      <c r="T2088" s="7" t="inlineStr">
        <is>
          <t>SEM COTAÇÃO</t>
        </is>
      </c>
      <c r="U2088" s="8" t="n"/>
      <c r="V2088" s="14" t="n"/>
      <c r="W2088" s="14" t="n"/>
      <c r="X2088" s="7" t="inlineStr"/>
      <c r="Y2088" s="7" t="inlineStr"/>
    </row>
    <row r="2089">
      <c r="A2089" s="7" t="n">
        <v>583421</v>
      </c>
      <c r="B2089" s="12" t="inlineStr">
        <is>
          <t>7898656390254</t>
        </is>
      </c>
      <c r="C2089" s="7" t="inlineStr">
        <is>
          <t>FRD MAMYPOKO CALCA JUMBO M C/34</t>
        </is>
      </c>
      <c r="D2089" s="7" t="inlineStr">
        <is>
          <t>FRALDAS INFANTIL</t>
        </is>
      </c>
      <c r="E2089" s="7" t="inlineStr">
        <is>
          <t>C</t>
        </is>
      </c>
      <c r="F2089" s="13" t="n">
        <v>1</v>
      </c>
      <c r="G2089" s="13" t="n">
        <v>1</v>
      </c>
      <c r="H2089" s="8" t="n">
        <v>53.75</v>
      </c>
      <c r="I2089" s="8" t="n">
        <v>53.75</v>
      </c>
      <c r="J2089" s="8" t="n">
        <v>53.75</v>
      </c>
      <c r="K2089" s="8" t="n"/>
      <c r="L2089" s="8" t="n"/>
      <c r="M2089" s="8" t="n"/>
      <c r="N2089" s="8" t="n"/>
      <c r="O2089" s="8" t="n"/>
      <c r="P2089" s="8" t="n"/>
      <c r="Q2089" s="8" t="n"/>
      <c r="R2089" s="8" t="n"/>
      <c r="S2089" s="8" t="n"/>
      <c r="T2089" s="7" t="inlineStr">
        <is>
          <t>SEM COTAÇÃO</t>
        </is>
      </c>
      <c r="U2089" s="8" t="n"/>
      <c r="V2089" s="14" t="n"/>
      <c r="W2089" s="14" t="n"/>
      <c r="X2089" s="7" t="inlineStr"/>
      <c r="Y2089" s="7" t="inlineStr"/>
    </row>
    <row r="2090">
      <c r="A2090" s="7" t="n">
        <v>591461</v>
      </c>
      <c r="B2090" s="12" t="inlineStr">
        <is>
          <t>7898656390636</t>
        </is>
      </c>
      <c r="C2090" s="7" t="inlineStr">
        <is>
          <t>FRD MAMYPOKO CALCA JUMBO P C/46</t>
        </is>
      </c>
      <c r="D2090" s="7" t="inlineStr">
        <is>
          <t>FRALDAS INFANTIL</t>
        </is>
      </c>
      <c r="E2090" s="7" t="inlineStr">
        <is>
          <t>C</t>
        </is>
      </c>
      <c r="F2090" s="13" t="n">
        <v>1</v>
      </c>
      <c r="G2090" s="13" t="n">
        <v>1</v>
      </c>
      <c r="H2090" s="8" t="n">
        <v>53.38</v>
      </c>
      <c r="I2090" s="8" t="n">
        <v>53.38</v>
      </c>
      <c r="J2090" s="8" t="n">
        <v>53.38</v>
      </c>
      <c r="K2090" s="8" t="n"/>
      <c r="L2090" s="8" t="n"/>
      <c r="M2090" s="8" t="n"/>
      <c r="N2090" s="8" t="n"/>
      <c r="O2090" s="8" t="n"/>
      <c r="P2090" s="8" t="n"/>
      <c r="Q2090" s="8" t="n"/>
      <c r="R2090" s="8" t="n"/>
      <c r="S2090" s="8" t="n"/>
      <c r="T2090" s="7" t="inlineStr">
        <is>
          <t>SEM COTAÇÃO</t>
        </is>
      </c>
      <c r="U2090" s="8" t="n"/>
      <c r="V2090" s="14" t="n"/>
      <c r="W2090" s="14" t="n"/>
      <c r="X2090" s="7" t="inlineStr"/>
      <c r="Y2090" s="7" t="inlineStr"/>
    </row>
    <row r="2091">
      <c r="A2091" s="7" t="n">
        <v>573941</v>
      </c>
      <c r="B2091" s="12" t="inlineStr">
        <is>
          <t>7898656391237</t>
        </is>
      </c>
      <c r="C2091" s="7" t="inlineStr">
        <is>
          <t>FRD MAMYPOKO CALCA JUMBO RN C/36</t>
        </is>
      </c>
      <c r="D2091" s="7" t="inlineStr">
        <is>
          <t>FRALDAS INFANTIL</t>
        </is>
      </c>
      <c r="E2091" s="7" t="inlineStr">
        <is>
          <t>C</t>
        </is>
      </c>
      <c r="F2091" s="13" t="n">
        <v>1</v>
      </c>
      <c r="G2091" s="13" t="n">
        <v>1</v>
      </c>
      <c r="H2091" s="8" t="n">
        <v>42.98</v>
      </c>
      <c r="I2091" s="8" t="n">
        <v>42.98</v>
      </c>
      <c r="J2091" s="8" t="n">
        <v>42.98</v>
      </c>
      <c r="K2091" s="8" t="n"/>
      <c r="L2091" s="8" t="n"/>
      <c r="M2091" s="8" t="n"/>
      <c r="N2091" s="8" t="n"/>
      <c r="O2091" s="8" t="n"/>
      <c r="P2091" s="8" t="n"/>
      <c r="Q2091" s="8" t="n"/>
      <c r="R2091" s="8" t="n"/>
      <c r="S2091" s="8" t="n"/>
      <c r="T2091" s="7" t="inlineStr">
        <is>
          <t>SEM COTAÇÃO</t>
        </is>
      </c>
      <c r="U2091" s="8" t="n"/>
      <c r="V2091" s="14" t="n"/>
      <c r="W2091" s="14" t="n"/>
      <c r="X2091" s="7" t="inlineStr"/>
      <c r="Y2091" s="7" t="inlineStr"/>
    </row>
    <row r="2092">
      <c r="A2092" s="7" t="n">
        <v>574101</v>
      </c>
      <c r="B2092" s="12" t="inlineStr">
        <is>
          <t>7898656390230</t>
        </is>
      </c>
      <c r="C2092" s="7" t="inlineStr">
        <is>
          <t>FRD MAMYPOKO CALCA JUMBO XXG C/22</t>
        </is>
      </c>
      <c r="D2092" s="7" t="inlineStr">
        <is>
          <t>FRALDAS INFANTIL</t>
        </is>
      </c>
      <c r="E2092" s="7" t="inlineStr">
        <is>
          <t>C</t>
        </is>
      </c>
      <c r="F2092" s="13" t="n">
        <v>2</v>
      </c>
      <c r="G2092" s="13" t="n">
        <v>2</v>
      </c>
      <c r="H2092" s="8" t="n">
        <v>45.06</v>
      </c>
      <c r="I2092" s="8" t="n">
        <v>45.06</v>
      </c>
      <c r="J2092" s="8" t="n">
        <v>45.06</v>
      </c>
      <c r="K2092" s="8" t="n"/>
      <c r="L2092" s="8" t="n"/>
      <c r="M2092" s="8" t="n"/>
      <c r="N2092" s="8" t="n"/>
      <c r="O2092" s="8" t="n"/>
      <c r="P2092" s="8" t="n"/>
      <c r="Q2092" s="8" t="n"/>
      <c r="R2092" s="8" t="n"/>
      <c r="S2092" s="8" t="n"/>
      <c r="T2092" s="7" t="inlineStr">
        <is>
          <t>SEM COTAÇÃO</t>
        </is>
      </c>
      <c r="U2092" s="8" t="n"/>
      <c r="V2092" s="14" t="n"/>
      <c r="W2092" s="14" t="n"/>
      <c r="X2092" s="7" t="inlineStr"/>
      <c r="Y2092" s="7" t="inlineStr"/>
    </row>
    <row r="2093">
      <c r="A2093" s="7" t="n">
        <v>591451</v>
      </c>
      <c r="B2093" s="12" t="inlineStr">
        <is>
          <t>7898656390285</t>
        </is>
      </c>
      <c r="C2093" s="7" t="inlineStr">
        <is>
          <t>FRD MAMYPOKO CALCA JUMBO XXG C/24</t>
        </is>
      </c>
      <c r="D2093" s="7" t="inlineStr">
        <is>
          <t>FRALDAS INFANTIL</t>
        </is>
      </c>
      <c r="E2093" s="7" t="inlineStr">
        <is>
          <t>C</t>
        </is>
      </c>
      <c r="F2093" s="13" t="n">
        <v>2</v>
      </c>
      <c r="G2093" s="13" t="n">
        <v>2</v>
      </c>
      <c r="H2093" s="8" t="n">
        <v>53.38</v>
      </c>
      <c r="I2093" s="8" t="n">
        <v>53.38</v>
      </c>
      <c r="J2093" s="8" t="n">
        <v>53.38</v>
      </c>
      <c r="K2093" s="8" t="n"/>
      <c r="L2093" s="8" t="n"/>
      <c r="M2093" s="8" t="n"/>
      <c r="N2093" s="8" t="n"/>
      <c r="O2093" s="8" t="n"/>
      <c r="P2093" s="8" t="n"/>
      <c r="Q2093" s="8" t="n"/>
      <c r="R2093" s="8" t="n"/>
      <c r="S2093" s="8" t="n"/>
      <c r="T2093" s="7" t="inlineStr">
        <is>
          <t>SEM COTAÇÃO</t>
        </is>
      </c>
      <c r="U2093" s="8" t="n"/>
      <c r="V2093" s="14" t="n"/>
      <c r="W2093" s="14" t="n"/>
      <c r="X2093" s="7" t="inlineStr"/>
      <c r="Y2093" s="7" t="inlineStr"/>
    </row>
    <row r="2094">
      <c r="A2094" s="7" t="n">
        <v>573861</v>
      </c>
      <c r="B2094" s="12" t="inlineStr">
        <is>
          <t>7898953823622</t>
        </is>
      </c>
      <c r="C2094" s="7" t="inlineStr">
        <is>
          <t>FRD MAMYPOKO CALCA REGULAR G C/17</t>
        </is>
      </c>
      <c r="D2094" s="7" t="inlineStr">
        <is>
          <t>FRALDAS INFANTIL</t>
        </is>
      </c>
      <c r="E2094" s="7" t="inlineStr">
        <is>
          <t>C</t>
        </is>
      </c>
      <c r="F2094" s="13" t="n">
        <v>2</v>
      </c>
      <c r="G2094" s="13" t="n">
        <v>2</v>
      </c>
      <c r="H2094" s="8" t="n">
        <v>33.6</v>
      </c>
      <c r="I2094" s="8" t="n">
        <v>33.6</v>
      </c>
      <c r="J2094" s="8" t="n">
        <v>33.6</v>
      </c>
      <c r="K2094" s="8" t="n"/>
      <c r="L2094" s="8" t="n"/>
      <c r="M2094" s="8" t="n"/>
      <c r="N2094" s="8" t="n"/>
      <c r="O2094" s="8" t="n"/>
      <c r="P2094" s="8" t="n"/>
      <c r="Q2094" s="8" t="n"/>
      <c r="R2094" s="8" t="n"/>
      <c r="S2094" s="8" t="n"/>
      <c r="T2094" s="7" t="inlineStr">
        <is>
          <t>SEM COTAÇÃO</t>
        </is>
      </c>
      <c r="U2094" s="8" t="n"/>
      <c r="V2094" s="14" t="n"/>
      <c r="W2094" s="14" t="n"/>
      <c r="X2094" s="7" t="inlineStr"/>
      <c r="Y2094" s="7" t="inlineStr"/>
    </row>
    <row r="2095">
      <c r="A2095" s="7" t="n">
        <v>573841</v>
      </c>
      <c r="B2095" s="12" t="inlineStr">
        <is>
          <t>7898953823608</t>
        </is>
      </c>
      <c r="C2095" s="7" t="inlineStr">
        <is>
          <t>FRD MAMYPOKO CALCA REGULAR M C/20</t>
        </is>
      </c>
      <c r="D2095" s="7" t="inlineStr">
        <is>
          <t>FRALDAS INFANTIL</t>
        </is>
      </c>
      <c r="E2095" s="7" t="inlineStr">
        <is>
          <t>C</t>
        </is>
      </c>
      <c r="F2095" s="13" t="n">
        <v>1</v>
      </c>
      <c r="G2095" s="13" t="n">
        <v>1</v>
      </c>
      <c r="H2095" s="8" t="n">
        <v>33.6</v>
      </c>
      <c r="I2095" s="8" t="n">
        <v>33.6</v>
      </c>
      <c r="J2095" s="8" t="n">
        <v>33.6</v>
      </c>
      <c r="K2095" s="8" t="n"/>
      <c r="L2095" s="8" t="n"/>
      <c r="M2095" s="8" t="n"/>
      <c r="N2095" s="8" t="n"/>
      <c r="O2095" s="8" t="n"/>
      <c r="P2095" s="8" t="n"/>
      <c r="Q2095" s="8" t="n"/>
      <c r="R2095" s="8" t="n"/>
      <c r="S2095" s="8" t="n"/>
      <c r="T2095" s="7" t="inlineStr">
        <is>
          <t>SEM COTAÇÃO</t>
        </is>
      </c>
      <c r="U2095" s="8" t="n"/>
      <c r="V2095" s="14" t="n"/>
      <c r="W2095" s="14" t="n"/>
      <c r="X2095" s="7" t="inlineStr"/>
      <c r="Y2095" s="7" t="inlineStr"/>
    </row>
    <row r="2096">
      <c r="A2096" s="7" t="n">
        <v>573921</v>
      </c>
      <c r="B2096" s="12" t="inlineStr">
        <is>
          <t>7898656391220</t>
        </is>
      </c>
      <c r="C2096" s="7" t="inlineStr">
        <is>
          <t>FRD MAMYPOKO CALCA REGULAR RN C/20</t>
        </is>
      </c>
      <c r="D2096" s="7" t="inlineStr">
        <is>
          <t>FRALDAS INFANTIL</t>
        </is>
      </c>
      <c r="E2096" s="7" t="inlineStr">
        <is>
          <t>C</t>
        </is>
      </c>
      <c r="F2096" s="13" t="n">
        <v>1</v>
      </c>
      <c r="G2096" s="13" t="n">
        <v>1</v>
      </c>
      <c r="H2096" s="8" t="n">
        <v>22.72</v>
      </c>
      <c r="I2096" s="8" t="n">
        <v>22.72</v>
      </c>
      <c r="J2096" s="8" t="n">
        <v>22.72</v>
      </c>
      <c r="K2096" s="8" t="n"/>
      <c r="L2096" s="8" t="n"/>
      <c r="M2096" s="8" t="n"/>
      <c r="N2096" s="8" t="n"/>
      <c r="O2096" s="8" t="n"/>
      <c r="P2096" s="8" t="n"/>
      <c r="Q2096" s="8" t="n"/>
      <c r="R2096" s="8" t="n"/>
      <c r="S2096" s="8" t="n"/>
      <c r="T2096" s="7" t="inlineStr">
        <is>
          <t>SEM COTAÇÃO</t>
        </is>
      </c>
      <c r="U2096" s="8" t="n"/>
      <c r="V2096" s="14" t="n"/>
      <c r="W2096" s="14" t="n"/>
      <c r="X2096" s="7" t="inlineStr"/>
      <c r="Y2096" s="7" t="inlineStr"/>
    </row>
    <row r="2097">
      <c r="A2097" s="7" t="n">
        <v>573881</v>
      </c>
      <c r="B2097" s="12" t="inlineStr">
        <is>
          <t>7898953823646</t>
        </is>
      </c>
      <c r="C2097" s="7" t="inlineStr">
        <is>
          <t>FRD MAMYPOKO CALCA REGULAR XG C/15</t>
        </is>
      </c>
      <c r="D2097" s="7" t="inlineStr">
        <is>
          <t>FRALDAS INFANTIL</t>
        </is>
      </c>
      <c r="E2097" s="7" t="inlineStr">
        <is>
          <t>C</t>
        </is>
      </c>
      <c r="F2097" s="13" t="n">
        <v>2</v>
      </c>
      <c r="G2097" s="13" t="n">
        <v>2</v>
      </c>
      <c r="H2097" s="8" t="n">
        <v>33.6</v>
      </c>
      <c r="I2097" s="8" t="n">
        <v>33.6</v>
      </c>
      <c r="J2097" s="8" t="n">
        <v>33.6</v>
      </c>
      <c r="K2097" s="8" t="n"/>
      <c r="L2097" s="8" t="n"/>
      <c r="M2097" s="8" t="n"/>
      <c r="N2097" s="8" t="n"/>
      <c r="O2097" s="8" t="n"/>
      <c r="P2097" s="8" t="n"/>
      <c r="Q2097" s="8" t="n"/>
      <c r="R2097" s="8" t="n"/>
      <c r="S2097" s="8" t="n"/>
      <c r="T2097" s="7" t="inlineStr">
        <is>
          <t>SEM COTAÇÃO</t>
        </is>
      </c>
      <c r="U2097" s="8" t="n"/>
      <c r="V2097" s="14" t="n"/>
      <c r="W2097" s="14" t="n"/>
      <c r="X2097" s="7" t="inlineStr"/>
      <c r="Y2097" s="7" t="inlineStr"/>
    </row>
    <row r="2098">
      <c r="A2098" s="7" t="n">
        <v>573901</v>
      </c>
      <c r="B2098" s="12" t="inlineStr">
        <is>
          <t>7898953823660</t>
        </is>
      </c>
      <c r="C2098" s="7" t="inlineStr">
        <is>
          <t>FRD MAMYPOKO CALCA REGULAR XXG C13</t>
        </is>
      </c>
      <c r="D2098" s="7" t="inlineStr">
        <is>
          <t>FRALDAS INFANTIL</t>
        </is>
      </c>
      <c r="E2098" s="7" t="inlineStr">
        <is>
          <t>C</t>
        </is>
      </c>
      <c r="F2098" s="13" t="n">
        <v>2</v>
      </c>
      <c r="G2098" s="13" t="n">
        <v>2</v>
      </c>
      <c r="H2098" s="8" t="n">
        <v>33.6</v>
      </c>
      <c r="I2098" s="8" t="n">
        <v>33.6</v>
      </c>
      <c r="J2098" s="8" t="n">
        <v>33.6</v>
      </c>
      <c r="K2098" s="8" t="n"/>
      <c r="L2098" s="8" t="n"/>
      <c r="M2098" s="8" t="n"/>
      <c r="N2098" s="8" t="n"/>
      <c r="O2098" s="8" t="n"/>
      <c r="P2098" s="8" t="n"/>
      <c r="Q2098" s="8" t="n"/>
      <c r="R2098" s="8" t="n"/>
      <c r="S2098" s="8" t="n"/>
      <c r="T2098" s="7" t="inlineStr">
        <is>
          <t>SEM COTAÇÃO</t>
        </is>
      </c>
      <c r="U2098" s="8" t="n"/>
      <c r="V2098" s="14" t="n"/>
      <c r="W2098" s="14" t="n"/>
      <c r="X2098" s="7" t="inlineStr"/>
      <c r="Y2098" s="7" t="inlineStr"/>
    </row>
    <row r="2099">
      <c r="A2099" s="7" t="n">
        <v>635201</v>
      </c>
      <c r="B2099" s="12" t="inlineStr"/>
      <c r="C2099" s="7" t="inlineStr">
        <is>
          <t>FRD MAMYPOKO CALCA SUP PROT JBO XG C/24</t>
        </is>
      </c>
      <c r="D2099" s="7" t="inlineStr">
        <is>
          <t>FRALDAS INFANTIL</t>
        </is>
      </c>
      <c r="E2099" s="7" t="inlineStr">
        <is>
          <t>A</t>
        </is>
      </c>
      <c r="F2099" s="13" t="n">
        <v>1</v>
      </c>
      <c r="G2099" s="13" t="n">
        <v>1</v>
      </c>
      <c r="H2099" s="8" t="n">
        <v>29.99</v>
      </c>
      <c r="I2099" s="8" t="n">
        <v>27.99</v>
      </c>
      <c r="J2099" s="8" t="n">
        <v>28.99</v>
      </c>
      <c r="K2099" s="8" t="n"/>
      <c r="L2099" s="8" t="n"/>
      <c r="M2099" s="8" t="n"/>
      <c r="N2099" s="8" t="n"/>
      <c r="O2099" s="8" t="n"/>
      <c r="P2099" s="8" t="n"/>
      <c r="Q2099" s="8" t="n"/>
      <c r="R2099" s="8" t="n"/>
      <c r="S2099" s="8" t="n"/>
      <c r="T2099" s="7" t="inlineStr">
        <is>
          <t>SEM COTAÇÃO</t>
        </is>
      </c>
      <c r="U2099" s="8" t="n"/>
      <c r="V2099" s="14" t="n"/>
      <c r="W2099" s="14" t="n"/>
      <c r="X2099" s="7" t="inlineStr"/>
      <c r="Y2099" s="7" t="inlineStr"/>
    </row>
    <row r="2100">
      <c r="A2100" s="7" t="n">
        <v>635211</v>
      </c>
      <c r="B2100" s="12" t="inlineStr">
        <is>
          <t>7898656391572</t>
        </is>
      </c>
      <c r="C2100" s="7" t="inlineStr">
        <is>
          <t>FRD MAMYPOKO CALCA SUP PROT JBO XXG C/22</t>
        </is>
      </c>
      <c r="D2100" s="7" t="inlineStr">
        <is>
          <t>FRALDAS INFANTIL</t>
        </is>
      </c>
      <c r="E2100" s="7" t="inlineStr">
        <is>
          <t>C</t>
        </is>
      </c>
      <c r="F2100" s="13" t="n">
        <v>1</v>
      </c>
      <c r="G2100" s="13" t="n">
        <v>1</v>
      </c>
      <c r="H2100" s="8" t="n">
        <v>27.99</v>
      </c>
      <c r="I2100" s="8" t="n">
        <v>27.99</v>
      </c>
      <c r="J2100" s="8" t="n">
        <v>27.99</v>
      </c>
      <c r="K2100" s="8" t="n"/>
      <c r="L2100" s="8" t="n"/>
      <c r="M2100" s="8" t="n"/>
      <c r="N2100" s="8" t="n"/>
      <c r="O2100" s="8" t="n"/>
      <c r="P2100" s="8" t="n"/>
      <c r="Q2100" s="8" t="n"/>
      <c r="R2100" s="8" t="n"/>
      <c r="S2100" s="8" t="n"/>
      <c r="T2100" s="7" t="inlineStr">
        <is>
          <t>SEM COTAÇÃO</t>
        </is>
      </c>
      <c r="U2100" s="8" t="n"/>
      <c r="V2100" s="14" t="n"/>
      <c r="W2100" s="14" t="n"/>
      <c r="X2100" s="7" t="inlineStr"/>
      <c r="Y2100" s="7" t="inlineStr"/>
    </row>
    <row r="2101">
      <c r="A2101" s="7" t="n">
        <v>619801</v>
      </c>
      <c r="B2101" s="12" t="inlineStr">
        <is>
          <t>7898656391534</t>
        </is>
      </c>
      <c r="C2101" s="7" t="inlineStr">
        <is>
          <t>FRD MAMYPOKO D&amp;N CALCA GIGA XG C/52</t>
        </is>
      </c>
      <c r="D2101" s="7" t="inlineStr">
        <is>
          <t>FRALDAS INFANTIL</t>
        </is>
      </c>
      <c r="E2101" s="7" t="inlineStr">
        <is>
          <t>B</t>
        </is>
      </c>
      <c r="F2101" s="13" t="n">
        <v>2</v>
      </c>
      <c r="G2101" s="13" t="n">
        <v>2</v>
      </c>
      <c r="H2101" s="8" t="n">
        <v>79.98999999999999</v>
      </c>
      <c r="I2101" s="8" t="n">
        <v>79.98999999999999</v>
      </c>
      <c r="J2101" s="8" t="n">
        <v>79.98999999999999</v>
      </c>
      <c r="K2101" s="8" t="n"/>
      <c r="L2101" s="8" t="n"/>
      <c r="M2101" s="8" t="n"/>
      <c r="N2101" s="8" t="n"/>
      <c r="O2101" s="8" t="n"/>
      <c r="P2101" s="8" t="n"/>
      <c r="Q2101" s="8" t="n"/>
      <c r="R2101" s="8" t="n"/>
      <c r="S2101" s="8" t="n"/>
      <c r="T2101" s="7" t="inlineStr">
        <is>
          <t>SEM COTAÇÃO</t>
        </is>
      </c>
      <c r="U2101" s="8" t="n"/>
      <c r="V2101" s="14" t="n"/>
      <c r="W2101" s="14" t="n"/>
      <c r="X2101" s="7" t="inlineStr"/>
      <c r="Y2101" s="7" t="inlineStr"/>
    </row>
    <row r="2102">
      <c r="A2102" s="7" t="n">
        <v>619811</v>
      </c>
      <c r="B2102" s="12" t="inlineStr">
        <is>
          <t>7898656391541</t>
        </is>
      </c>
      <c r="C2102" s="7" t="inlineStr">
        <is>
          <t>FRD MAMYPOKO D&amp;N CALCA GIGA XXG C/44</t>
        </is>
      </c>
      <c r="D2102" s="7" t="inlineStr">
        <is>
          <t>FRALDAS INFANTIL</t>
        </is>
      </c>
      <c r="E2102" s="7" t="inlineStr">
        <is>
          <t>C</t>
        </is>
      </c>
      <c r="F2102" s="13" t="n">
        <v>1</v>
      </c>
      <c r="G2102" s="13" t="n">
        <v>1</v>
      </c>
      <c r="H2102" s="8" t="n">
        <v>72.3775</v>
      </c>
      <c r="I2102" s="8" t="n">
        <v>72.3775</v>
      </c>
      <c r="J2102" s="8" t="n">
        <v>72.3775</v>
      </c>
      <c r="K2102" s="8" t="n"/>
      <c r="L2102" s="8" t="n"/>
      <c r="M2102" s="8" t="n"/>
      <c r="N2102" s="8" t="n"/>
      <c r="O2102" s="8" t="n"/>
      <c r="P2102" s="8" t="n"/>
      <c r="Q2102" s="8" t="n"/>
      <c r="R2102" s="8" t="n"/>
      <c r="S2102" s="8" t="n"/>
      <c r="T2102" s="7" t="inlineStr">
        <is>
          <t>SEM COTAÇÃO</t>
        </is>
      </c>
      <c r="U2102" s="8" t="n"/>
      <c r="V2102" s="14" t="n"/>
      <c r="W2102" s="14" t="n"/>
      <c r="X2102" s="7" t="inlineStr"/>
      <c r="Y2102" s="7" t="inlineStr"/>
    </row>
    <row r="2103">
      <c r="A2103" s="7" t="n">
        <v>551101</v>
      </c>
      <c r="B2103" s="12" t="inlineStr">
        <is>
          <t>7898656390278</t>
        </is>
      </c>
      <c r="C2103" s="7" t="inlineStr">
        <is>
          <t>FRD MAMYPOKO FRALDA CALÇA 26UN XG</t>
        </is>
      </c>
      <c r="D2103" s="7" t="inlineStr">
        <is>
          <t>FRALDAS INFANTIL</t>
        </is>
      </c>
      <c r="E2103" s="7" t="inlineStr">
        <is>
          <t>C</t>
        </is>
      </c>
      <c r="F2103" s="13" t="n">
        <v>2</v>
      </c>
      <c r="G2103" s="13" t="n">
        <v>2</v>
      </c>
      <c r="H2103" s="8" t="n">
        <v>53.75</v>
      </c>
      <c r="I2103" s="8" t="n">
        <v>53.75</v>
      </c>
      <c r="J2103" s="8" t="n">
        <v>53.75</v>
      </c>
      <c r="K2103" s="8" t="n"/>
      <c r="L2103" s="8" t="n"/>
      <c r="M2103" s="8" t="n"/>
      <c r="N2103" s="8" t="n"/>
      <c r="O2103" s="8" t="n"/>
      <c r="P2103" s="8" t="n"/>
      <c r="Q2103" s="8" t="n"/>
      <c r="R2103" s="8" t="n"/>
      <c r="S2103" s="8" t="n"/>
      <c r="T2103" s="7" t="inlineStr">
        <is>
          <t>SEM COTAÇÃO</t>
        </is>
      </c>
      <c r="U2103" s="8" t="n"/>
      <c r="V2103" s="14" t="n"/>
      <c r="W2103" s="14" t="n"/>
      <c r="X2103" s="7" t="inlineStr"/>
      <c r="Y2103" s="7" t="inlineStr"/>
    </row>
    <row r="2104">
      <c r="A2104" s="7" t="n">
        <v>609171</v>
      </c>
      <c r="B2104" s="12" t="inlineStr">
        <is>
          <t>7500435106658</t>
        </is>
      </c>
      <c r="C2104" s="7" t="inlineStr">
        <is>
          <t>FRD PAMP CONF SEC MEG XXG 30UN</t>
        </is>
      </c>
      <c r="D2104" s="7" t="inlineStr">
        <is>
          <t>FRALDAS INFANTIL</t>
        </is>
      </c>
      <c r="E2104" s="7" t="inlineStr">
        <is>
          <t>C</t>
        </is>
      </c>
      <c r="F2104" s="13" t="n">
        <v>1</v>
      </c>
      <c r="G2104" s="13" t="n">
        <v>1</v>
      </c>
      <c r="H2104" s="8" t="n">
        <v>54.955</v>
      </c>
      <c r="I2104" s="8" t="n">
        <v>54.955</v>
      </c>
      <c r="J2104" s="8" t="n">
        <v>54.95500000000001</v>
      </c>
      <c r="K2104" s="8" t="n"/>
      <c r="L2104" s="8" t="n"/>
      <c r="M2104" s="8" t="n"/>
      <c r="N2104" s="8" t="n"/>
      <c r="O2104" s="8" t="n"/>
      <c r="P2104" s="8" t="n"/>
      <c r="Q2104" s="8" t="n"/>
      <c r="R2104" s="8" t="n"/>
      <c r="S2104" s="8" t="n"/>
      <c r="T2104" s="7" t="inlineStr">
        <is>
          <t>SEM COTAÇÃO</t>
        </is>
      </c>
      <c r="U2104" s="8" t="n"/>
      <c r="V2104" s="14" t="n"/>
      <c r="W2104" s="14" t="n"/>
      <c r="X2104" s="7" t="inlineStr"/>
      <c r="Y2104" s="7" t="inlineStr"/>
    </row>
    <row r="2105">
      <c r="A2105" s="7" t="n">
        <v>606201</v>
      </c>
      <c r="B2105" s="12" t="inlineStr">
        <is>
          <t>7500435146241</t>
        </is>
      </c>
      <c r="C2105" s="7" t="inlineStr">
        <is>
          <t>FRD PAMP PANTS MEGA XG 32UND</t>
        </is>
      </c>
      <c r="D2105" s="7" t="inlineStr">
        <is>
          <t>FRALDAS INFANTIL</t>
        </is>
      </c>
      <c r="E2105" s="7" t="inlineStr">
        <is>
          <t>C</t>
        </is>
      </c>
      <c r="F2105" s="13" t="n">
        <v>3</v>
      </c>
      <c r="G2105" s="13" t="n">
        <v>3</v>
      </c>
      <c r="H2105" s="8" t="n">
        <v>48.99</v>
      </c>
      <c r="I2105" s="8" t="n">
        <v>43.99</v>
      </c>
      <c r="J2105" s="8" t="n">
        <v>43.99</v>
      </c>
      <c r="K2105" s="8" t="n"/>
      <c r="L2105" s="8" t="n"/>
      <c r="M2105" s="8" t="n"/>
      <c r="N2105" s="8" t="n"/>
      <c r="O2105" s="8" t="n"/>
      <c r="P2105" s="8" t="n"/>
      <c r="Q2105" s="8" t="n"/>
      <c r="R2105" s="8" t="n"/>
      <c r="S2105" s="8" t="n"/>
      <c r="T2105" s="7" t="inlineStr">
        <is>
          <t>SEM COTAÇÃO</t>
        </is>
      </c>
      <c r="U2105" s="8" t="n"/>
      <c r="V2105" s="14" t="n"/>
      <c r="W2105" s="14" t="n"/>
      <c r="X2105" s="7" t="inlineStr"/>
      <c r="Y2105" s="7" t="inlineStr"/>
    </row>
    <row r="2106">
      <c r="A2106" s="7" t="n">
        <v>604661</v>
      </c>
      <c r="B2106" s="12" t="inlineStr">
        <is>
          <t>17500435146170</t>
        </is>
      </c>
      <c r="C2106" s="7" t="inlineStr">
        <is>
          <t>FRD PAMP PANTS PCT XXG 8X12</t>
        </is>
      </c>
      <c r="D2106" s="7" t="inlineStr">
        <is>
          <t>FRALDAS INFANTIL</t>
        </is>
      </c>
      <c r="E2106" s="7" t="inlineStr">
        <is>
          <t>C</t>
        </is>
      </c>
      <c r="F2106" s="13" t="n">
        <v>1</v>
      </c>
      <c r="G2106" s="13" t="n">
        <v>1</v>
      </c>
      <c r="H2106" s="8" t="n">
        <v>209.07</v>
      </c>
      <c r="I2106" s="8" t="n">
        <v>209.07</v>
      </c>
      <c r="J2106" s="8" t="n">
        <v>209.07</v>
      </c>
      <c r="K2106" s="8" t="n"/>
      <c r="L2106" s="8" t="n"/>
      <c r="M2106" s="8" t="n"/>
      <c r="N2106" s="8" t="n"/>
      <c r="O2106" s="8" t="n"/>
      <c r="P2106" s="8" t="n"/>
      <c r="Q2106" s="8" t="n"/>
      <c r="R2106" s="8" t="n"/>
      <c r="S2106" s="8" t="n"/>
      <c r="T2106" s="7" t="inlineStr">
        <is>
          <t>SEM COTAÇÃO</t>
        </is>
      </c>
      <c r="U2106" s="8" t="n"/>
      <c r="V2106" s="14" t="n"/>
      <c r="W2106" s="14" t="n"/>
      <c r="X2106" s="7" t="inlineStr"/>
      <c r="Y2106" s="7" t="inlineStr"/>
    </row>
    <row r="2107">
      <c r="A2107" s="7" t="n">
        <v>669671</v>
      </c>
      <c r="B2107" s="12" t="inlineStr">
        <is>
          <t>7500435260862</t>
        </is>
      </c>
      <c r="C2107" s="7" t="inlineStr">
        <is>
          <t>FRD PAMPERS PANTS AT MEGA G C/ 28</t>
        </is>
      </c>
      <c r="D2107" s="7" t="inlineStr">
        <is>
          <t>FRALDAS INFANTIL</t>
        </is>
      </c>
      <c r="E2107" s="7" t="inlineStr">
        <is>
          <t>A</t>
        </is>
      </c>
      <c r="F2107" s="13" t="n">
        <v>2</v>
      </c>
      <c r="G2107" s="13" t="n">
        <v>2</v>
      </c>
      <c r="H2107" s="8" t="n">
        <v>39.9</v>
      </c>
      <c r="I2107" s="8" t="n">
        <v>38.56</v>
      </c>
      <c r="J2107" s="8" t="n">
        <v>39.45333333333333</v>
      </c>
      <c r="K2107" s="8" t="n"/>
      <c r="L2107" s="8" t="n"/>
      <c r="M2107" s="8" t="n"/>
      <c r="N2107" s="8" t="n"/>
      <c r="O2107" s="8" t="n"/>
      <c r="P2107" s="8" t="n"/>
      <c r="Q2107" s="8" t="n"/>
      <c r="R2107" s="8" t="n"/>
      <c r="S2107" s="8" t="n"/>
      <c r="T2107" s="7" t="inlineStr">
        <is>
          <t>SEM COTAÇÃO</t>
        </is>
      </c>
      <c r="U2107" s="8" t="n"/>
      <c r="V2107" s="14" t="n"/>
      <c r="W2107" s="14" t="n"/>
      <c r="X2107" s="7" t="inlineStr"/>
      <c r="Y2107" s="7" t="inlineStr"/>
    </row>
    <row r="2108">
      <c r="A2108" s="7" t="n">
        <v>672731</v>
      </c>
      <c r="B2108" s="12" t="inlineStr">
        <is>
          <t>7500435260879</t>
        </is>
      </c>
      <c r="C2108" s="7" t="inlineStr">
        <is>
          <t>FRD PAMPERS PANTS AT MEGA M C/30</t>
        </is>
      </c>
      <c r="D2108" s="7" t="inlineStr">
        <is>
          <t>FRALDAS INFANTIL</t>
        </is>
      </c>
      <c r="E2108" s="7" t="inlineStr">
        <is>
          <t>C</t>
        </is>
      </c>
      <c r="F2108" s="13" t="n">
        <v>1</v>
      </c>
      <c r="G2108" s="13" t="n">
        <v>1</v>
      </c>
      <c r="H2108" s="8" t="n">
        <v>40</v>
      </c>
      <c r="I2108" s="8" t="n">
        <v>40</v>
      </c>
      <c r="J2108" s="8" t="n">
        <v>40</v>
      </c>
      <c r="K2108" s="8" t="n"/>
      <c r="L2108" s="8" t="n"/>
      <c r="M2108" s="8" t="n"/>
      <c r="N2108" s="8" t="n"/>
      <c r="O2108" s="8" t="n"/>
      <c r="P2108" s="8" t="n"/>
      <c r="Q2108" s="8" t="n"/>
      <c r="R2108" s="8" t="n"/>
      <c r="S2108" s="8" t="n"/>
      <c r="T2108" s="7" t="inlineStr">
        <is>
          <t>SEM COTAÇÃO</t>
        </is>
      </c>
      <c r="U2108" s="8" t="n"/>
      <c r="V2108" s="14" t="n"/>
      <c r="W2108" s="14" t="n"/>
      <c r="X2108" s="7" t="inlineStr"/>
      <c r="Y2108" s="7" t="inlineStr"/>
    </row>
    <row r="2109">
      <c r="A2109" s="7" t="n">
        <v>669681</v>
      </c>
      <c r="B2109" s="12" t="inlineStr">
        <is>
          <t>7500435260848</t>
        </is>
      </c>
      <c r="C2109" s="7" t="inlineStr">
        <is>
          <t>FRD PAMPERS PANTS AT MEGA XG C/ 22</t>
        </is>
      </c>
      <c r="D2109" s="7" t="inlineStr">
        <is>
          <t>FRALDAS INFANTIL</t>
        </is>
      </c>
      <c r="E2109" s="7" t="inlineStr">
        <is>
          <t>C</t>
        </is>
      </c>
      <c r="F2109" s="13" t="n">
        <v>2</v>
      </c>
      <c r="G2109" s="13" t="n">
        <v>2</v>
      </c>
      <c r="H2109" s="8" t="n">
        <v>40</v>
      </c>
      <c r="I2109" s="8" t="n">
        <v>38.56</v>
      </c>
      <c r="J2109" s="8" t="n">
        <v>38.56</v>
      </c>
      <c r="K2109" s="8" t="n"/>
      <c r="L2109" s="8" t="n"/>
      <c r="M2109" s="8" t="n"/>
      <c r="N2109" s="8" t="n"/>
      <c r="O2109" s="8" t="n"/>
      <c r="P2109" s="8" t="n"/>
      <c r="Q2109" s="8" t="n"/>
      <c r="R2109" s="8" t="n"/>
      <c r="S2109" s="8" t="n"/>
      <c r="T2109" s="7" t="inlineStr">
        <is>
          <t>SEM COTAÇÃO</t>
        </is>
      </c>
      <c r="U2109" s="8" t="n"/>
      <c r="V2109" s="14" t="n"/>
      <c r="W2109" s="14" t="n"/>
      <c r="X2109" s="7" t="inlineStr"/>
      <c r="Y2109" s="7" t="inlineStr"/>
    </row>
    <row r="2110">
      <c r="A2110" s="7" t="n">
        <v>594701</v>
      </c>
      <c r="B2110" s="12" t="inlineStr">
        <is>
          <t>7500435146616</t>
        </is>
      </c>
      <c r="C2110" s="7" t="inlineStr">
        <is>
          <t>FRD PAMPERS PANTS HIPER G C/52</t>
        </is>
      </c>
      <c r="D2110" s="7" t="inlineStr">
        <is>
          <t>FRALDAS INFANTIL</t>
        </is>
      </c>
      <c r="E2110" s="7" t="inlineStr">
        <is>
          <t>B</t>
        </is>
      </c>
      <c r="F2110" s="13" t="n">
        <v>1</v>
      </c>
      <c r="G2110" s="13" t="n">
        <v>1</v>
      </c>
      <c r="H2110" s="8" t="n">
        <v>70.63</v>
      </c>
      <c r="I2110" s="8" t="n">
        <v>70.63</v>
      </c>
      <c r="J2110" s="8" t="n">
        <v>70.63</v>
      </c>
      <c r="K2110" s="8" t="n"/>
      <c r="L2110" s="8" t="n"/>
      <c r="M2110" s="8" t="n"/>
      <c r="N2110" s="8" t="n"/>
      <c r="O2110" s="8" t="n"/>
      <c r="P2110" s="8" t="n"/>
      <c r="Q2110" s="8" t="n"/>
      <c r="R2110" s="8" t="n"/>
      <c r="S2110" s="8" t="n"/>
      <c r="T2110" s="7" t="inlineStr">
        <is>
          <t>SEM COTAÇÃO</t>
        </is>
      </c>
      <c r="U2110" s="8" t="n"/>
      <c r="V2110" s="14" t="n"/>
      <c r="W2110" s="14" t="n"/>
      <c r="X2110" s="7" t="inlineStr"/>
      <c r="Y2110" s="7" t="inlineStr"/>
    </row>
    <row r="2111">
      <c r="A2111" s="7" t="n">
        <v>662321</v>
      </c>
      <c r="B2111" s="12" t="inlineStr">
        <is>
          <t>7500435146234</t>
        </is>
      </c>
      <c r="C2111" s="7" t="inlineStr">
        <is>
          <t>FRD PAMPERS PANTS MEGA G C/36</t>
        </is>
      </c>
      <c r="D2111" s="7" t="inlineStr">
        <is>
          <t>FRALDAS INFANTIL</t>
        </is>
      </c>
      <c r="E2111" s="7" t="inlineStr">
        <is>
          <t>C</t>
        </is>
      </c>
      <c r="F2111" s="13" t="n">
        <v>2</v>
      </c>
      <c r="G2111" s="13" t="n">
        <v>2</v>
      </c>
      <c r="H2111" s="8" t="n">
        <v>48.99</v>
      </c>
      <c r="I2111" s="8" t="n">
        <v>43.99</v>
      </c>
      <c r="J2111" s="8" t="n">
        <v>43.99</v>
      </c>
      <c r="K2111" s="8" t="n"/>
      <c r="L2111" s="8" t="n"/>
      <c r="M2111" s="8" t="n"/>
      <c r="N2111" s="8" t="n"/>
      <c r="O2111" s="8" t="n"/>
      <c r="P2111" s="8" t="n"/>
      <c r="Q2111" s="8" t="n"/>
      <c r="R2111" s="8" t="n"/>
      <c r="S2111" s="8" t="n"/>
      <c r="T2111" s="7" t="inlineStr">
        <is>
          <t>SEM COTAÇÃO</t>
        </is>
      </c>
      <c r="U2111" s="8" t="n"/>
      <c r="V2111" s="14" t="n"/>
      <c r="W2111" s="14" t="n"/>
      <c r="X2111" s="7" t="inlineStr"/>
      <c r="Y2111" s="7" t="inlineStr"/>
    </row>
    <row r="2112">
      <c r="A2112" s="7" t="n">
        <v>666381</v>
      </c>
      <c r="B2112" s="12" t="inlineStr">
        <is>
          <t>7500435146227</t>
        </is>
      </c>
      <c r="C2112" s="7" t="inlineStr">
        <is>
          <t>FRD PAMPERS PANTS MEGA M C/42</t>
        </is>
      </c>
      <c r="D2112" s="7" t="inlineStr">
        <is>
          <t>FRALDAS INFANTIL</t>
        </is>
      </c>
      <c r="E2112" s="7" t="inlineStr">
        <is>
          <t>C</t>
        </is>
      </c>
      <c r="F2112" s="13" t="n">
        <v>2</v>
      </c>
      <c r="G2112" s="13" t="n">
        <v>2</v>
      </c>
      <c r="H2112" s="8" t="n">
        <v>48.99</v>
      </c>
      <c r="I2112" s="8" t="n">
        <v>43.99</v>
      </c>
      <c r="J2112" s="8" t="n">
        <v>43.99</v>
      </c>
      <c r="K2112" s="8" t="n"/>
      <c r="L2112" s="8" t="n"/>
      <c r="M2112" s="8" t="n"/>
      <c r="N2112" s="8" t="n"/>
      <c r="O2112" s="8" t="n"/>
      <c r="P2112" s="8" t="n"/>
      <c r="Q2112" s="8" t="n"/>
      <c r="R2112" s="8" t="n"/>
      <c r="S2112" s="8" t="n"/>
      <c r="T2112" s="7" t="inlineStr">
        <is>
          <t>SEM COTAÇÃO</t>
        </is>
      </c>
      <c r="U2112" s="8" t="n"/>
      <c r="V2112" s="14" t="n"/>
      <c r="W2112" s="14" t="n"/>
      <c r="X2112" s="7" t="inlineStr"/>
      <c r="Y2112" s="7" t="inlineStr"/>
    </row>
    <row r="2113">
      <c r="A2113" s="7" t="n">
        <v>666341</v>
      </c>
      <c r="B2113" s="12" t="inlineStr">
        <is>
          <t>7500435248389</t>
        </is>
      </c>
      <c r="C2113" s="7" t="inlineStr">
        <is>
          <t>FRD PAMPERS PANTS MEGA P C/46</t>
        </is>
      </c>
      <c r="D2113" s="7" t="inlineStr">
        <is>
          <t>FRALDAS INFANTIL</t>
        </is>
      </c>
      <c r="E2113" s="7" t="inlineStr">
        <is>
          <t>C</t>
        </is>
      </c>
      <c r="F2113" s="13" t="n">
        <v>1</v>
      </c>
      <c r="G2113" s="13" t="n">
        <v>1</v>
      </c>
      <c r="H2113" s="8" t="n">
        <v>43.99</v>
      </c>
      <c r="I2113" s="8" t="n">
        <v>43.99</v>
      </c>
      <c r="J2113" s="8" t="n">
        <v>43.99</v>
      </c>
      <c r="K2113" s="8" t="n"/>
      <c r="L2113" s="8" t="n"/>
      <c r="M2113" s="8" t="n"/>
      <c r="N2113" s="8" t="n"/>
      <c r="O2113" s="8" t="n"/>
      <c r="P2113" s="8" t="n"/>
      <c r="Q2113" s="8" t="n"/>
      <c r="R2113" s="8" t="n"/>
      <c r="S2113" s="8" t="n"/>
      <c r="T2113" s="7" t="inlineStr">
        <is>
          <t>SEM COTAÇÃO</t>
        </is>
      </c>
      <c r="U2113" s="8" t="n"/>
      <c r="V2113" s="14" t="n"/>
      <c r="W2113" s="14" t="n"/>
      <c r="X2113" s="7" t="inlineStr"/>
      <c r="Y2113" s="7" t="inlineStr"/>
    </row>
    <row r="2114">
      <c r="A2114" s="7" t="n">
        <v>623801</v>
      </c>
      <c r="B2114" s="12" t="inlineStr">
        <is>
          <t>7500435146142</t>
        </is>
      </c>
      <c r="C2114" s="7" t="inlineStr">
        <is>
          <t>FRD PAMPERS PANTS PACOTAO M C/20</t>
        </is>
      </c>
      <c r="D2114" s="7" t="inlineStr">
        <is>
          <t>FRALDAS INFANTIL</t>
        </is>
      </c>
      <c r="E2114" s="7" t="inlineStr">
        <is>
          <t>C</t>
        </is>
      </c>
      <c r="F2114" s="13" t="n">
        <v>1</v>
      </c>
      <c r="G2114" s="13" t="n">
        <v>1</v>
      </c>
      <c r="H2114" s="8" t="n">
        <v>29.9</v>
      </c>
      <c r="I2114" s="8" t="n">
        <v>29.9</v>
      </c>
      <c r="J2114" s="8" t="n">
        <v>29.9</v>
      </c>
      <c r="K2114" s="8" t="n"/>
      <c r="L2114" s="8" t="n"/>
      <c r="M2114" s="8" t="n"/>
      <c r="N2114" s="8" t="n"/>
      <c r="O2114" s="8" t="n"/>
      <c r="P2114" s="8" t="n"/>
      <c r="Q2114" s="8" t="n"/>
      <c r="R2114" s="8" t="n"/>
      <c r="S2114" s="8" t="n"/>
      <c r="T2114" s="7" t="inlineStr">
        <is>
          <t>SEM COTAÇÃO</t>
        </is>
      </c>
      <c r="U2114" s="8" t="n"/>
      <c r="V2114" s="14" t="n"/>
      <c r="W2114" s="14" t="n"/>
      <c r="X2114" s="7" t="inlineStr"/>
      <c r="Y2114" s="7" t="inlineStr"/>
    </row>
    <row r="2115">
      <c r="A2115" s="7" t="n">
        <v>654821</v>
      </c>
      <c r="B2115" s="12" t="inlineStr">
        <is>
          <t>7500435132503</t>
        </is>
      </c>
      <c r="C2115" s="7" t="inlineStr">
        <is>
          <t>FRD PAMPERS PREM CARE RN ATE 4KG C/20</t>
        </is>
      </c>
      <c r="D2115" s="7" t="inlineStr">
        <is>
          <t>FRALDAS INFANTIL</t>
        </is>
      </c>
      <c r="E2115" s="7" t="inlineStr">
        <is>
          <t>A</t>
        </is>
      </c>
      <c r="F2115" s="13" t="n">
        <v>5</v>
      </c>
      <c r="G2115" s="13" t="n">
        <v>5</v>
      </c>
      <c r="H2115" s="8" t="n">
        <v>30.32</v>
      </c>
      <c r="I2115" s="8" t="n">
        <v>30.1</v>
      </c>
      <c r="J2115" s="8" t="n">
        <v>30.1</v>
      </c>
      <c r="K2115" s="8" t="n"/>
      <c r="L2115" s="8" t="n"/>
      <c r="M2115" s="8" t="n"/>
      <c r="N2115" s="8" t="n"/>
      <c r="O2115" s="8" t="n"/>
      <c r="P2115" s="8" t="n"/>
      <c r="Q2115" s="8" t="n"/>
      <c r="R2115" s="8" t="n"/>
      <c r="S2115" s="8" t="n"/>
      <c r="T2115" s="7" t="inlineStr">
        <is>
          <t>SEM COTAÇÃO</t>
        </is>
      </c>
      <c r="U2115" s="8" t="n"/>
      <c r="V2115" s="14" t="n"/>
      <c r="W2115" s="14" t="n"/>
      <c r="X2115" s="7" t="inlineStr"/>
      <c r="Y2115" s="7" t="inlineStr"/>
    </row>
    <row r="2116">
      <c r="A2116" s="7" t="n">
        <v>603791</v>
      </c>
      <c r="B2116" s="12" t="inlineStr">
        <is>
          <t>7500435132527</t>
        </is>
      </c>
      <c r="C2116" s="7" t="inlineStr">
        <is>
          <t>FRD PAMPERS PREM CARE RN ATE 6KG C/20</t>
        </is>
      </c>
      <c r="D2116" s="7" t="inlineStr">
        <is>
          <t>FRALDAS INFANTIL</t>
        </is>
      </c>
      <c r="E2116" s="7" t="inlineStr">
        <is>
          <t>C</t>
        </is>
      </c>
      <c r="F2116" s="13" t="n">
        <v>2</v>
      </c>
      <c r="G2116" s="13" t="n">
        <v>2</v>
      </c>
      <c r="H2116" s="8" t="n">
        <v>30.31</v>
      </c>
      <c r="I2116" s="8" t="n">
        <v>30.31</v>
      </c>
      <c r="J2116" s="8" t="n">
        <v>30.31</v>
      </c>
      <c r="K2116" s="8" t="n"/>
      <c r="L2116" s="8" t="n"/>
      <c r="M2116" s="8" t="n"/>
      <c r="N2116" s="8" t="n"/>
      <c r="O2116" s="8" t="n"/>
      <c r="P2116" s="8" t="n"/>
      <c r="Q2116" s="8" t="n"/>
      <c r="R2116" s="8" t="n"/>
      <c r="S2116" s="8" t="n"/>
      <c r="T2116" s="7" t="inlineStr">
        <is>
          <t>SEM COTAÇÃO</t>
        </is>
      </c>
      <c r="U2116" s="8" t="n"/>
      <c r="V2116" s="14" t="n"/>
      <c r="W2116" s="14" t="n"/>
      <c r="X2116" s="7" t="inlineStr"/>
      <c r="Y2116" s="7" t="inlineStr"/>
    </row>
    <row r="2117">
      <c r="A2117" s="7" t="n">
        <v>620091</v>
      </c>
      <c r="B2117" s="12" t="inlineStr">
        <is>
          <t>7500435200271</t>
        </is>
      </c>
      <c r="C2117" s="7" t="inlineStr">
        <is>
          <t>FRD PAMPERS SUPERSEC ECON G C/16</t>
        </is>
      </c>
      <c r="D2117" s="7" t="inlineStr">
        <is>
          <t>FRALDAS INFANTIL</t>
        </is>
      </c>
      <c r="E2117" s="7" t="inlineStr">
        <is>
          <t>C</t>
        </is>
      </c>
      <c r="F2117" s="13" t="n">
        <v>2</v>
      </c>
      <c r="G2117" s="13" t="n">
        <v>2</v>
      </c>
      <c r="H2117" s="8" t="n">
        <v>20.12</v>
      </c>
      <c r="I2117" s="8" t="n">
        <v>20.12</v>
      </c>
      <c r="J2117" s="8" t="n">
        <v>20.12</v>
      </c>
      <c r="K2117" s="8" t="n"/>
      <c r="L2117" s="8" t="n"/>
      <c r="M2117" s="8" t="n"/>
      <c r="N2117" s="8" t="n"/>
      <c r="O2117" s="8" t="n"/>
      <c r="P2117" s="8" t="n"/>
      <c r="Q2117" s="8" t="n"/>
      <c r="R2117" s="8" t="n"/>
      <c r="S2117" s="8" t="n"/>
      <c r="T2117" s="7" t="inlineStr">
        <is>
          <t>SEM COTAÇÃO</t>
        </is>
      </c>
      <c r="U2117" s="8" t="n"/>
      <c r="V2117" s="14" t="n"/>
      <c r="W2117" s="14" t="n"/>
      <c r="X2117" s="7" t="inlineStr"/>
      <c r="Y2117" s="7" t="inlineStr"/>
    </row>
    <row r="2118">
      <c r="A2118" s="7" t="n">
        <v>623861</v>
      </c>
      <c r="B2118" s="12" t="inlineStr">
        <is>
          <t>7500435200264</t>
        </is>
      </c>
      <c r="C2118" s="7" t="inlineStr">
        <is>
          <t>FRD PAMPERS SUPERSEC ECON M C/18</t>
        </is>
      </c>
      <c r="D2118" s="7" t="inlineStr">
        <is>
          <t>FRALDAS INFANTIL</t>
        </is>
      </c>
      <c r="E2118" s="7" t="inlineStr">
        <is>
          <t>B</t>
        </is>
      </c>
      <c r="F2118" s="13" t="n">
        <v>2</v>
      </c>
      <c r="G2118" s="13" t="n">
        <v>2</v>
      </c>
      <c r="H2118" s="8" t="n">
        <v>20.76</v>
      </c>
      <c r="I2118" s="8" t="n">
        <v>19.98</v>
      </c>
      <c r="J2118" s="8" t="n">
        <v>20.5</v>
      </c>
      <c r="K2118" s="8" t="n"/>
      <c r="L2118" s="8" t="n"/>
      <c r="M2118" s="8" t="n"/>
      <c r="N2118" s="8" t="n"/>
      <c r="O2118" s="8" t="n"/>
      <c r="P2118" s="8" t="n"/>
      <c r="Q2118" s="8" t="n"/>
      <c r="R2118" s="8" t="n"/>
      <c r="S2118" s="8" t="n"/>
      <c r="T2118" s="7" t="inlineStr">
        <is>
          <t>SEM COTAÇÃO</t>
        </is>
      </c>
      <c r="U2118" s="8" t="n"/>
      <c r="V2118" s="14" t="n"/>
      <c r="W2118" s="14" t="n"/>
      <c r="X2118" s="7" t="inlineStr"/>
      <c r="Y2118" s="7" t="inlineStr"/>
    </row>
    <row r="2119">
      <c r="A2119" s="7" t="n">
        <v>631251</v>
      </c>
      <c r="B2119" s="12" t="inlineStr">
        <is>
          <t>7500435200257</t>
        </is>
      </c>
      <c r="C2119" s="7" t="inlineStr">
        <is>
          <t>FRD PAMPERS SUPERSEC ECON P C/20</t>
        </is>
      </c>
      <c r="D2119" s="7" t="inlineStr">
        <is>
          <t>FRALDAS INFANTIL</t>
        </is>
      </c>
      <c r="E2119" s="7" t="inlineStr">
        <is>
          <t>C</t>
        </is>
      </c>
      <c r="F2119" s="13" t="n">
        <v>2</v>
      </c>
      <c r="G2119" s="13" t="n">
        <v>2</v>
      </c>
      <c r="H2119" s="8" t="n">
        <v>20.12</v>
      </c>
      <c r="I2119" s="8" t="n">
        <v>20.12</v>
      </c>
      <c r="J2119" s="8" t="n">
        <v>20.12</v>
      </c>
      <c r="K2119" s="8" t="n"/>
      <c r="L2119" s="8" t="n"/>
      <c r="M2119" s="8" t="n"/>
      <c r="N2119" s="8" t="n"/>
      <c r="O2119" s="8" t="n"/>
      <c r="P2119" s="8" t="n"/>
      <c r="Q2119" s="8" t="n"/>
      <c r="R2119" s="8" t="n"/>
      <c r="S2119" s="8" t="n"/>
      <c r="T2119" s="7" t="inlineStr">
        <is>
          <t>SEM COTAÇÃO</t>
        </is>
      </c>
      <c r="U2119" s="8" t="n"/>
      <c r="V2119" s="14" t="n"/>
      <c r="W2119" s="14" t="n"/>
      <c r="X2119" s="7" t="inlineStr"/>
      <c r="Y2119" s="7" t="inlineStr"/>
    </row>
    <row r="2120">
      <c r="A2120" s="7" t="n">
        <v>620101</v>
      </c>
      <c r="B2120" s="12" t="inlineStr">
        <is>
          <t>7500435200288</t>
        </is>
      </c>
      <c r="C2120" s="7" t="inlineStr">
        <is>
          <t>FRD PAMPERS SUPERSEC ECON XG C/14</t>
        </is>
      </c>
      <c r="D2120" s="7" t="inlineStr">
        <is>
          <t>FRALDAS INFANTIL</t>
        </is>
      </c>
      <c r="E2120" s="7" t="inlineStr">
        <is>
          <t>C</t>
        </is>
      </c>
      <c r="F2120" s="13" t="n">
        <v>2</v>
      </c>
      <c r="G2120" s="13" t="n">
        <v>2</v>
      </c>
      <c r="H2120" s="8" t="n">
        <v>20</v>
      </c>
      <c r="I2120" s="8" t="n">
        <v>20</v>
      </c>
      <c r="J2120" s="8" t="n">
        <v>20</v>
      </c>
      <c r="K2120" s="8" t="n"/>
      <c r="L2120" s="8" t="n"/>
      <c r="M2120" s="8" t="n"/>
      <c r="N2120" s="8" t="n"/>
      <c r="O2120" s="8" t="n"/>
      <c r="P2120" s="8" t="n"/>
      <c r="Q2120" s="8" t="n"/>
      <c r="R2120" s="8" t="n"/>
      <c r="S2120" s="8" t="n"/>
      <c r="T2120" s="7" t="inlineStr">
        <is>
          <t>SEM COTAÇÃO</t>
        </is>
      </c>
      <c r="U2120" s="8" t="n"/>
      <c r="V2120" s="14" t="n"/>
      <c r="W2120" s="14" t="n"/>
      <c r="X2120" s="7" t="inlineStr"/>
      <c r="Y2120" s="7" t="inlineStr"/>
    </row>
    <row r="2121">
      <c r="A2121" s="7" t="n">
        <v>666321</v>
      </c>
      <c r="B2121" s="12" t="inlineStr">
        <is>
          <t>7500435244671</t>
        </is>
      </c>
      <c r="C2121" s="7" t="inlineStr">
        <is>
          <t>FRD PAMPERS SUPERSEC MEGA XG C/32</t>
        </is>
      </c>
      <c r="D2121" s="7" t="inlineStr">
        <is>
          <t>FRALDAS INFANTIL</t>
        </is>
      </c>
      <c r="E2121" s="7" t="inlineStr">
        <is>
          <t>C</t>
        </is>
      </c>
      <c r="F2121" s="13" t="n">
        <v>1</v>
      </c>
      <c r="G2121" s="13" t="n">
        <v>1</v>
      </c>
      <c r="H2121" s="8" t="n">
        <v>37.99</v>
      </c>
      <c r="I2121" s="8" t="n">
        <v>37.99</v>
      </c>
      <c r="J2121" s="8" t="n">
        <v>37.99</v>
      </c>
      <c r="K2121" s="8" t="n"/>
      <c r="L2121" s="8" t="n"/>
      <c r="M2121" s="8" t="n"/>
      <c r="N2121" s="8" t="n"/>
      <c r="O2121" s="8" t="n"/>
      <c r="P2121" s="8" t="n"/>
      <c r="Q2121" s="8" t="n"/>
      <c r="R2121" s="8" t="n"/>
      <c r="S2121" s="8" t="n"/>
      <c r="T2121" s="7" t="inlineStr">
        <is>
          <t>SEM COTAÇÃO</t>
        </is>
      </c>
      <c r="U2121" s="8" t="n"/>
      <c r="V2121" s="14" t="n"/>
      <c r="W2121" s="14" t="n"/>
      <c r="X2121" s="7" t="inlineStr"/>
      <c r="Y2121" s="7" t="inlineStr"/>
    </row>
    <row r="2122">
      <c r="A2122" s="7" t="n">
        <v>674751</v>
      </c>
      <c r="B2122" s="12" t="inlineStr">
        <is>
          <t>7896110009742</t>
        </is>
      </c>
      <c r="C2122" s="7" t="inlineStr">
        <is>
          <t>FRD PERSONAL BABY JUMBINHO G C/14</t>
        </is>
      </c>
      <c r="D2122" s="7" t="inlineStr">
        <is>
          <t>FRALDAS INFANTIL</t>
        </is>
      </c>
      <c r="E2122" s="7" t="inlineStr">
        <is>
          <t>A</t>
        </is>
      </c>
      <c r="F2122" s="13" t="n">
        <v>4</v>
      </c>
      <c r="G2122" s="13" t="n">
        <v>4</v>
      </c>
      <c r="H2122" s="8" t="n">
        <v>14.1758</v>
      </c>
      <c r="I2122" s="8" t="n">
        <v>13.91</v>
      </c>
      <c r="J2122" s="8" t="n">
        <v>13.9986</v>
      </c>
      <c r="K2122" s="8" t="n"/>
      <c r="L2122" s="8" t="n"/>
      <c r="M2122" s="8" t="n"/>
      <c r="N2122" s="8" t="n"/>
      <c r="O2122" s="8" t="n"/>
      <c r="P2122" s="8" t="n"/>
      <c r="Q2122" s="8" t="n"/>
      <c r="R2122" s="8" t="n"/>
      <c r="S2122" s="8" t="n"/>
      <c r="T2122" s="7" t="inlineStr">
        <is>
          <t>SEM COTAÇÃO</t>
        </is>
      </c>
      <c r="U2122" s="8" t="n"/>
      <c r="V2122" s="14" t="n"/>
      <c r="W2122" s="14" t="n"/>
      <c r="X2122" s="7" t="inlineStr"/>
      <c r="Y2122" s="7" t="inlineStr"/>
    </row>
    <row r="2123">
      <c r="A2123" s="7" t="n">
        <v>687601</v>
      </c>
      <c r="B2123" s="12" t="inlineStr">
        <is>
          <t>7896110009766</t>
        </is>
      </c>
      <c r="C2123" s="7" t="inlineStr">
        <is>
          <t>FRD PERSONAL BABY JUMBINHO P C 18</t>
        </is>
      </c>
      <c r="D2123" s="7" t="inlineStr">
        <is>
          <t>FRALDAS INFANTIL</t>
        </is>
      </c>
      <c r="E2123" s="7" t="inlineStr">
        <is>
          <t>A</t>
        </is>
      </c>
      <c r="F2123" s="13" t="n">
        <v>8</v>
      </c>
      <c r="G2123" s="13" t="n">
        <v>8</v>
      </c>
      <c r="H2123" s="8" t="n">
        <v>14.1758</v>
      </c>
      <c r="I2123" s="8" t="n">
        <v>14.1758</v>
      </c>
      <c r="J2123" s="8" t="n">
        <v>14.1758</v>
      </c>
      <c r="K2123" s="8" t="n"/>
      <c r="L2123" s="8" t="n"/>
      <c r="M2123" s="8" t="n"/>
      <c r="N2123" s="8" t="n"/>
      <c r="O2123" s="8" t="n"/>
      <c r="P2123" s="8" t="n"/>
      <c r="Q2123" s="8" t="n"/>
      <c r="R2123" s="8" t="n"/>
      <c r="S2123" s="8" t="n"/>
      <c r="T2123" s="7" t="inlineStr">
        <is>
          <t>SEM COTAÇÃO</t>
        </is>
      </c>
      <c r="U2123" s="8" t="n"/>
      <c r="V2123" s="14" t="n"/>
      <c r="W2123" s="14" t="n"/>
      <c r="X2123" s="7" t="inlineStr"/>
      <c r="Y2123" s="7" t="inlineStr"/>
    </row>
    <row r="2124">
      <c r="A2124" s="7" t="n">
        <v>674761</v>
      </c>
      <c r="B2124" s="12" t="inlineStr">
        <is>
          <t>7896110009735</t>
        </is>
      </c>
      <c r="C2124" s="7" t="inlineStr">
        <is>
          <t>FRD PERSONAL BABY JUMBINHO XG C/12</t>
        </is>
      </c>
      <c r="D2124" s="7" t="inlineStr">
        <is>
          <t>FRALDAS INFANTIL</t>
        </is>
      </c>
      <c r="E2124" s="7" t="inlineStr">
        <is>
          <t>A</t>
        </is>
      </c>
      <c r="F2124" s="13" t="n">
        <v>4</v>
      </c>
      <c r="G2124" s="13" t="n">
        <v>4</v>
      </c>
      <c r="H2124" s="8" t="n">
        <v>14.1758</v>
      </c>
      <c r="I2124" s="8" t="n">
        <v>13.91</v>
      </c>
      <c r="J2124" s="8" t="n">
        <v>13.9986</v>
      </c>
      <c r="K2124" s="8" t="n"/>
      <c r="L2124" s="8" t="n"/>
      <c r="M2124" s="8" t="n"/>
      <c r="N2124" s="8" t="n"/>
      <c r="O2124" s="8" t="n"/>
      <c r="P2124" s="8" t="n"/>
      <c r="Q2124" s="8" t="n"/>
      <c r="R2124" s="8" t="n"/>
      <c r="S2124" s="8" t="n"/>
      <c r="T2124" s="7" t="inlineStr">
        <is>
          <t>SEM COTAÇÃO</t>
        </is>
      </c>
      <c r="U2124" s="8" t="n"/>
      <c r="V2124" s="14" t="n"/>
      <c r="W2124" s="14" t="n"/>
      <c r="X2124" s="7" t="inlineStr"/>
      <c r="Y2124" s="7" t="inlineStr"/>
    </row>
    <row r="2125">
      <c r="A2125" s="7" t="n">
        <v>674811</v>
      </c>
      <c r="B2125" s="12" t="inlineStr">
        <is>
          <t>7896110010656</t>
        </is>
      </c>
      <c r="C2125" s="7" t="inlineStr">
        <is>
          <t>FRD PERSONAL BABY JUMBINHO XXG C/12</t>
        </is>
      </c>
      <c r="D2125" s="7" t="inlineStr">
        <is>
          <t>FRALDAS INFANTIL</t>
        </is>
      </c>
      <c r="E2125" s="7" t="inlineStr">
        <is>
          <t>A</t>
        </is>
      </c>
      <c r="F2125" s="13" t="n">
        <v>7</v>
      </c>
      <c r="G2125" s="13" t="n">
        <v>7</v>
      </c>
      <c r="H2125" s="8" t="n">
        <v>14.1758</v>
      </c>
      <c r="I2125" s="8" t="n">
        <v>13.91</v>
      </c>
      <c r="J2125" s="8" t="n">
        <v>13.9986</v>
      </c>
      <c r="K2125" s="8" t="n"/>
      <c r="L2125" s="8" t="n"/>
      <c r="M2125" s="8" t="n"/>
      <c r="N2125" s="8" t="n"/>
      <c r="O2125" s="8" t="n"/>
      <c r="P2125" s="8" t="n"/>
      <c r="Q2125" s="8" t="n"/>
      <c r="R2125" s="8" t="n"/>
      <c r="S2125" s="8" t="n"/>
      <c r="T2125" s="7" t="inlineStr">
        <is>
          <t>SEM COTAÇÃO</t>
        </is>
      </c>
      <c r="U2125" s="8" t="n"/>
      <c r="V2125" s="14" t="n"/>
      <c r="W2125" s="14" t="n"/>
      <c r="X2125" s="7" t="inlineStr"/>
      <c r="Y2125" s="7" t="inlineStr"/>
    </row>
    <row r="2126">
      <c r="A2126" s="7" t="n">
        <v>636891</v>
      </c>
      <c r="B2126" s="12" t="inlineStr">
        <is>
          <t>17896110011636</t>
        </is>
      </c>
      <c r="C2126" s="7" t="inlineStr">
        <is>
          <t>FRD PERSONAL MEGA G 34 UN</t>
        </is>
      </c>
      <c r="D2126" s="7" t="inlineStr">
        <is>
          <t>FRALDAS INFANTIL</t>
        </is>
      </c>
      <c r="E2126" s="7" t="inlineStr">
        <is>
          <t>C</t>
        </is>
      </c>
      <c r="F2126" s="13" t="n">
        <v>1</v>
      </c>
      <c r="G2126" s="13" t="n">
        <v>3</v>
      </c>
      <c r="H2126" s="8" t="n">
        <v>25.7556</v>
      </c>
      <c r="I2126" s="8" t="n">
        <v>25.7556</v>
      </c>
      <c r="J2126" s="8" t="n">
        <v>25.7556</v>
      </c>
      <c r="K2126" s="8" t="n"/>
      <c r="L2126" s="8" t="n"/>
      <c r="M2126" s="8" t="n"/>
      <c r="N2126" s="8" t="n"/>
      <c r="O2126" s="8" t="n"/>
      <c r="P2126" s="8" t="n"/>
      <c r="Q2126" s="8" t="n"/>
      <c r="R2126" s="8" t="n"/>
      <c r="S2126" s="8" t="n"/>
      <c r="T2126" s="7" t="inlineStr">
        <is>
          <t>SEM COTAÇÃO</t>
        </is>
      </c>
      <c r="U2126" s="8" t="n"/>
      <c r="V2126" s="14" t="n"/>
      <c r="W2126" s="14" t="n"/>
      <c r="X2126" s="7" t="inlineStr"/>
      <c r="Y2126" s="7" t="inlineStr"/>
    </row>
    <row r="2127">
      <c r="A2127" s="7" t="n">
        <v>636901</v>
      </c>
      <c r="B2127" s="12" t="inlineStr">
        <is>
          <t>17896110011612</t>
        </is>
      </c>
      <c r="C2127" s="7" t="inlineStr">
        <is>
          <t>FRD PERSONAL MEGA P 44 OFF</t>
        </is>
      </c>
      <c r="D2127" s="7" t="inlineStr">
        <is>
          <t>FRALDAS INFANTIL</t>
        </is>
      </c>
      <c r="E2127" s="7" t="inlineStr">
        <is>
          <t>C</t>
        </is>
      </c>
      <c r="F2127" s="13" t="n">
        <v>1</v>
      </c>
      <c r="G2127" s="13" t="n">
        <v>1</v>
      </c>
      <c r="H2127" s="8" t="n">
        <v>24.9978</v>
      </c>
      <c r="I2127" s="8" t="n">
        <v>24.9978</v>
      </c>
      <c r="J2127" s="8" t="n">
        <v>24.9978</v>
      </c>
      <c r="K2127" s="8" t="n"/>
      <c r="L2127" s="8" t="n"/>
      <c r="M2127" s="8" t="n"/>
      <c r="N2127" s="8" t="n"/>
      <c r="O2127" s="8" t="n"/>
      <c r="P2127" s="8" t="n"/>
      <c r="Q2127" s="8" t="n"/>
      <c r="R2127" s="8" t="n"/>
      <c r="S2127" s="8" t="n"/>
      <c r="T2127" s="7" t="inlineStr">
        <is>
          <t>SEM COTAÇÃO</t>
        </is>
      </c>
      <c r="U2127" s="8" t="n"/>
      <c r="V2127" s="14" t="n"/>
      <c r="W2127" s="14" t="n"/>
      <c r="X2127" s="7" t="inlineStr"/>
      <c r="Y2127" s="7" t="inlineStr"/>
    </row>
    <row r="2128">
      <c r="A2128" s="7" t="n">
        <v>636911</v>
      </c>
      <c r="B2128" s="12" t="inlineStr">
        <is>
          <t>17896110011650</t>
        </is>
      </c>
      <c r="C2128" s="7" t="inlineStr">
        <is>
          <t>FRD PERSONAL MEGA XXG 28UN</t>
        </is>
      </c>
      <c r="D2128" s="7" t="inlineStr">
        <is>
          <t>FRALDAS INFANTIL</t>
        </is>
      </c>
      <c r="E2128" s="7" t="inlineStr">
        <is>
          <t>C</t>
        </is>
      </c>
      <c r="F2128" s="13" t="n">
        <v>1</v>
      </c>
      <c r="G2128" s="13" t="n">
        <v>2</v>
      </c>
      <c r="H2128" s="8" t="n">
        <v>24.9978</v>
      </c>
      <c r="I2128" s="8" t="n">
        <v>24.9978</v>
      </c>
      <c r="J2128" s="8" t="n">
        <v>24.9978</v>
      </c>
      <c r="K2128" s="8" t="n"/>
      <c r="L2128" s="8" t="n"/>
      <c r="M2128" s="8" t="n"/>
      <c r="N2128" s="8" t="n"/>
      <c r="O2128" s="8" t="n"/>
      <c r="P2128" s="8" t="n"/>
      <c r="Q2128" s="8" t="n"/>
      <c r="R2128" s="8" t="n"/>
      <c r="S2128" s="8" t="n"/>
      <c r="T2128" s="7" t="inlineStr">
        <is>
          <t>SEM COTAÇÃO</t>
        </is>
      </c>
      <c r="U2128" s="8" t="n"/>
      <c r="V2128" s="14" t="n"/>
      <c r="W2128" s="14" t="n"/>
      <c r="X2128" s="7" t="inlineStr"/>
      <c r="Y2128" s="7" t="inlineStr"/>
    </row>
    <row r="2129">
      <c r="A2129" s="7" t="n">
        <v>633621</v>
      </c>
      <c r="B2129" s="12" t="inlineStr">
        <is>
          <t>7896110010885</t>
        </is>
      </c>
      <c r="C2129" s="7" t="inlineStr">
        <is>
          <t>FRD PERSONAL PREM MEG G 30</t>
        </is>
      </c>
      <c r="D2129" s="7" t="inlineStr">
        <is>
          <t>FRALDAS INFANTIL</t>
        </is>
      </c>
      <c r="E2129" s="7" t="inlineStr">
        <is>
          <t>C</t>
        </is>
      </c>
      <c r="F2129" s="13" t="n">
        <v>1</v>
      </c>
      <c r="G2129" s="13" t="n">
        <v>1</v>
      </c>
      <c r="H2129" s="8" t="n">
        <v>31.4567</v>
      </c>
      <c r="I2129" s="8" t="n">
        <v>31.4567</v>
      </c>
      <c r="J2129" s="8" t="n">
        <v>31.4567</v>
      </c>
      <c r="K2129" s="8" t="n"/>
      <c r="L2129" s="8" t="n"/>
      <c r="M2129" s="8" t="n"/>
      <c r="N2129" s="8" t="n"/>
      <c r="O2129" s="8" t="n"/>
      <c r="P2129" s="8" t="n"/>
      <c r="Q2129" s="8" t="n"/>
      <c r="R2129" s="8" t="n"/>
      <c r="S2129" s="8" t="n"/>
      <c r="T2129" s="7" t="inlineStr">
        <is>
          <t>SEM COTAÇÃO</t>
        </is>
      </c>
      <c r="U2129" s="8" t="n"/>
      <c r="V2129" s="14" t="n"/>
      <c r="W2129" s="14" t="n"/>
      <c r="X2129" s="7" t="inlineStr"/>
      <c r="Y2129" s="7" t="inlineStr"/>
    </row>
    <row r="2130">
      <c r="A2130" s="7" t="n">
        <v>636921</v>
      </c>
      <c r="B2130" s="12" t="inlineStr">
        <is>
          <t>17896110012060</t>
        </is>
      </c>
      <c r="C2130" s="7" t="inlineStr">
        <is>
          <t>FRD PERSONAL PREM MEG M 34UN</t>
        </is>
      </c>
      <c r="D2130" s="7" t="inlineStr">
        <is>
          <t>FRALDAS INFANTIL</t>
        </is>
      </c>
      <c r="E2130" s="7" t="inlineStr">
        <is>
          <t>C</t>
        </is>
      </c>
      <c r="F2130" s="13" t="n">
        <v>1</v>
      </c>
      <c r="G2130" s="13" t="n">
        <v>1</v>
      </c>
      <c r="H2130" s="8" t="n">
        <v>31.4567</v>
      </c>
      <c r="I2130" s="8" t="n">
        <v>31.4567</v>
      </c>
      <c r="J2130" s="8" t="n">
        <v>31.4567</v>
      </c>
      <c r="K2130" s="8" t="n"/>
      <c r="L2130" s="8" t="n"/>
      <c r="M2130" s="8" t="n"/>
      <c r="N2130" s="8" t="n"/>
      <c r="O2130" s="8" t="n"/>
      <c r="P2130" s="8" t="n"/>
      <c r="Q2130" s="8" t="n"/>
      <c r="R2130" s="8" t="n"/>
      <c r="S2130" s="8" t="n"/>
      <c r="T2130" s="7" t="inlineStr">
        <is>
          <t>SEM COTAÇÃO</t>
        </is>
      </c>
      <c r="U2130" s="8" t="n"/>
      <c r="V2130" s="14" t="n"/>
      <c r="W2130" s="14" t="n"/>
      <c r="X2130" s="7" t="inlineStr"/>
      <c r="Y2130" s="7" t="inlineStr"/>
    </row>
    <row r="2131">
      <c r="A2131" s="7" t="n">
        <v>636931</v>
      </c>
      <c r="B2131" s="12" t="inlineStr">
        <is>
          <t>17896110012039</t>
        </is>
      </c>
      <c r="C2131" s="7" t="inlineStr">
        <is>
          <t>FRD PERSONAL PREM MEG P 40UN</t>
        </is>
      </c>
      <c r="D2131" s="7" t="inlineStr">
        <is>
          <t>FRALDAS INFANTIL</t>
        </is>
      </c>
      <c r="E2131" s="7" t="inlineStr">
        <is>
          <t>C</t>
        </is>
      </c>
      <c r="F2131" s="13" t="n">
        <v>1</v>
      </c>
      <c r="G2131" s="13" t="n">
        <v>1</v>
      </c>
      <c r="H2131" s="8" t="n">
        <v>31.4567</v>
      </c>
      <c r="I2131" s="8" t="n">
        <v>31.4567</v>
      </c>
      <c r="J2131" s="8" t="n">
        <v>31.4567</v>
      </c>
      <c r="K2131" s="8" t="n"/>
      <c r="L2131" s="8" t="n"/>
      <c r="M2131" s="8" t="n"/>
      <c r="N2131" s="8" t="n"/>
      <c r="O2131" s="8" t="n"/>
      <c r="P2131" s="8" t="n"/>
      <c r="Q2131" s="8" t="n"/>
      <c r="R2131" s="8" t="n"/>
      <c r="S2131" s="8" t="n"/>
      <c r="T2131" s="7" t="inlineStr">
        <is>
          <t>SEM COTAÇÃO</t>
        </is>
      </c>
      <c r="U2131" s="8" t="n"/>
      <c r="V2131" s="14" t="n"/>
      <c r="W2131" s="14" t="n"/>
      <c r="X2131" s="7" t="inlineStr"/>
      <c r="Y2131" s="7" t="inlineStr"/>
    </row>
    <row r="2132">
      <c r="A2132" s="7" t="n">
        <v>633611</v>
      </c>
      <c r="B2132" s="12" t="inlineStr">
        <is>
          <t>7896110012124</t>
        </is>
      </c>
      <c r="C2132" s="7" t="inlineStr">
        <is>
          <t>FRD PERSONAL PREM MEG XG 26</t>
        </is>
      </c>
      <c r="D2132" s="7" t="inlineStr">
        <is>
          <t>FRALDAS INFANTIL</t>
        </is>
      </c>
      <c r="E2132" s="7" t="inlineStr">
        <is>
          <t>C</t>
        </is>
      </c>
      <c r="F2132" s="13" t="n">
        <v>1</v>
      </c>
      <c r="G2132" s="13" t="n">
        <v>1</v>
      </c>
      <c r="H2132" s="8" t="n">
        <v>31.4567</v>
      </c>
      <c r="I2132" s="8" t="n">
        <v>31.4567</v>
      </c>
      <c r="J2132" s="8" t="n">
        <v>31.4567</v>
      </c>
      <c r="K2132" s="8" t="n"/>
      <c r="L2132" s="8" t="n"/>
      <c r="M2132" s="8" t="n"/>
      <c r="N2132" s="8" t="n"/>
      <c r="O2132" s="8" t="n"/>
      <c r="P2132" s="8" t="n"/>
      <c r="Q2132" s="8" t="n"/>
      <c r="R2132" s="8" t="n"/>
      <c r="S2132" s="8" t="n"/>
      <c r="T2132" s="7" t="inlineStr">
        <is>
          <t>SEM COTAÇÃO</t>
        </is>
      </c>
      <c r="U2132" s="8" t="n"/>
      <c r="V2132" s="14" t="n"/>
      <c r="W2132" s="14" t="n"/>
      <c r="X2132" s="7" t="inlineStr"/>
      <c r="Y2132" s="7" t="inlineStr"/>
    </row>
    <row r="2133">
      <c r="A2133" s="7" t="n">
        <v>633631</v>
      </c>
      <c r="B2133" s="12" t="inlineStr">
        <is>
          <t>7896110012223</t>
        </is>
      </c>
      <c r="C2133" s="7" t="inlineStr">
        <is>
          <t>FRD PERSONAL PREM MEG XXG 24</t>
        </is>
      </c>
      <c r="D2133" s="7" t="inlineStr">
        <is>
          <t>FRALDAS INFANTIL</t>
        </is>
      </c>
      <c r="E2133" s="7" t="inlineStr">
        <is>
          <t>C</t>
        </is>
      </c>
      <c r="F2133" s="13" t="n">
        <v>1</v>
      </c>
      <c r="G2133" s="13" t="n">
        <v>2</v>
      </c>
      <c r="H2133" s="8" t="n">
        <v>31.4567</v>
      </c>
      <c r="I2133" s="8" t="n">
        <v>31.4567</v>
      </c>
      <c r="J2133" s="8" t="n">
        <v>31.4567</v>
      </c>
      <c r="K2133" s="8" t="n"/>
      <c r="L2133" s="8" t="n"/>
      <c r="M2133" s="8" t="n"/>
      <c r="N2133" s="8" t="n"/>
      <c r="O2133" s="8" t="n"/>
      <c r="P2133" s="8" t="n"/>
      <c r="Q2133" s="8" t="n"/>
      <c r="R2133" s="8" t="n"/>
      <c r="S2133" s="8" t="n"/>
      <c r="T2133" s="7" t="inlineStr">
        <is>
          <t>SEM COTAÇÃO</t>
        </is>
      </c>
      <c r="U2133" s="8" t="n"/>
      <c r="V2133" s="14" t="n"/>
      <c r="W2133" s="14" t="n"/>
      <c r="X2133" s="7" t="inlineStr"/>
      <c r="Y2133" s="7" t="inlineStr"/>
    </row>
    <row r="2134">
      <c r="A2134" s="7" t="n">
        <v>666431</v>
      </c>
      <c r="B2134" s="12" t="inlineStr">
        <is>
          <t>7896110012681</t>
        </is>
      </c>
      <c r="C2134" s="7" t="inlineStr">
        <is>
          <t>FRD PERSONAL PROT SEC PANTS JBO G C/24</t>
        </is>
      </c>
      <c r="D2134" s="7" t="inlineStr">
        <is>
          <t>FRALDAS INFANTIL</t>
        </is>
      </c>
      <c r="E2134" s="7" t="inlineStr">
        <is>
          <t>A</t>
        </is>
      </c>
      <c r="F2134" s="13" t="n">
        <v>3</v>
      </c>
      <c r="G2134" s="13" t="n">
        <v>3</v>
      </c>
      <c r="H2134" s="8" t="n">
        <v>28.8562</v>
      </c>
      <c r="I2134" s="8" t="n">
        <v>24.54</v>
      </c>
      <c r="J2134" s="8" t="n">
        <v>27.41746666666667</v>
      </c>
      <c r="K2134" s="8" t="n"/>
      <c r="L2134" s="8" t="n"/>
      <c r="M2134" s="8" t="n"/>
      <c r="N2134" s="8" t="n"/>
      <c r="O2134" s="8" t="n"/>
      <c r="P2134" s="8" t="n"/>
      <c r="Q2134" s="8" t="n"/>
      <c r="R2134" s="8" t="n"/>
      <c r="S2134" s="8" t="n"/>
      <c r="T2134" s="7" t="inlineStr">
        <is>
          <t>SEM COTAÇÃO</t>
        </is>
      </c>
      <c r="U2134" s="8" t="n"/>
      <c r="V2134" s="14" t="n"/>
      <c r="W2134" s="14" t="n"/>
      <c r="X2134" s="7" t="inlineStr"/>
      <c r="Y2134" s="7" t="inlineStr"/>
    </row>
    <row r="2135">
      <c r="A2135" s="7" t="n">
        <v>666421</v>
      </c>
      <c r="B2135" s="12" t="inlineStr">
        <is>
          <t>7896110012674</t>
        </is>
      </c>
      <c r="C2135" s="7" t="inlineStr">
        <is>
          <t>FRD PERSONAL PROT SEC PANTS JBO M C/26</t>
        </is>
      </c>
      <c r="D2135" s="7" t="inlineStr">
        <is>
          <t>FRALDAS INFANTIL</t>
        </is>
      </c>
      <c r="E2135" s="7" t="inlineStr">
        <is>
          <t>C</t>
        </is>
      </c>
      <c r="F2135" s="13" t="n">
        <v>1</v>
      </c>
      <c r="G2135" s="13" t="n">
        <v>1</v>
      </c>
      <c r="H2135" s="8" t="n">
        <v>24.54</v>
      </c>
      <c r="I2135" s="8" t="n">
        <v>24.54</v>
      </c>
      <c r="J2135" s="8" t="n">
        <v>24.54</v>
      </c>
      <c r="K2135" s="8" t="n"/>
      <c r="L2135" s="8" t="n"/>
      <c r="M2135" s="8" t="n"/>
      <c r="N2135" s="8" t="n"/>
      <c r="O2135" s="8" t="n"/>
      <c r="P2135" s="8" t="n"/>
      <c r="Q2135" s="8" t="n"/>
      <c r="R2135" s="8" t="n"/>
      <c r="S2135" s="8" t="n"/>
      <c r="T2135" s="7" t="inlineStr">
        <is>
          <t>SEM COTAÇÃO</t>
        </is>
      </c>
      <c r="U2135" s="8" t="n"/>
      <c r="V2135" s="14" t="n"/>
      <c r="W2135" s="14" t="n"/>
      <c r="X2135" s="7" t="inlineStr"/>
      <c r="Y2135" s="7" t="inlineStr"/>
    </row>
    <row r="2136">
      <c r="A2136" s="7" t="n">
        <v>666441</v>
      </c>
      <c r="B2136" s="12" t="inlineStr">
        <is>
          <t>7896110012698</t>
        </is>
      </c>
      <c r="C2136" s="7" t="inlineStr">
        <is>
          <t>FRD PERSONAL PROT SEC PANTS JBO XG C/22</t>
        </is>
      </c>
      <c r="D2136" s="7" t="inlineStr">
        <is>
          <t>FRALDAS INFANTIL</t>
        </is>
      </c>
      <c r="E2136" s="7" t="inlineStr">
        <is>
          <t>A</t>
        </is>
      </c>
      <c r="F2136" s="13" t="n">
        <v>5</v>
      </c>
      <c r="G2136" s="13" t="n">
        <v>5</v>
      </c>
      <c r="H2136" s="8" t="n">
        <v>28.8562</v>
      </c>
      <c r="I2136" s="8" t="n">
        <v>24.54</v>
      </c>
      <c r="J2136" s="8" t="n">
        <v>27.41746666666667</v>
      </c>
      <c r="K2136" s="8" t="n"/>
      <c r="L2136" s="8" t="n"/>
      <c r="M2136" s="8" t="n"/>
      <c r="N2136" s="8" t="n"/>
      <c r="O2136" s="8" t="n"/>
      <c r="P2136" s="8" t="n"/>
      <c r="Q2136" s="8" t="n"/>
      <c r="R2136" s="8" t="n"/>
      <c r="S2136" s="8" t="n"/>
      <c r="T2136" s="7" t="inlineStr">
        <is>
          <t>SEM COTAÇÃO</t>
        </is>
      </c>
      <c r="U2136" s="8" t="n"/>
      <c r="V2136" s="14" t="n"/>
      <c r="W2136" s="14" t="n"/>
      <c r="X2136" s="7" t="inlineStr"/>
      <c r="Y2136" s="7" t="inlineStr"/>
    </row>
    <row r="2137">
      <c r="A2137" s="7" t="n">
        <v>611861</v>
      </c>
      <c r="B2137" s="12" t="inlineStr">
        <is>
          <t>7896110011943</t>
        </is>
      </c>
      <c r="C2137" s="7" t="inlineStr">
        <is>
          <t>FRD PERSONAL PROTEC PANTS JUMBO G C/24</t>
        </is>
      </c>
      <c r="D2137" s="7" t="inlineStr">
        <is>
          <t>FRALDAS INFANTIL</t>
        </is>
      </c>
      <c r="E2137" s="7" t="inlineStr">
        <is>
          <t>C</t>
        </is>
      </c>
      <c r="F2137" s="13" t="n">
        <v>1</v>
      </c>
      <c r="G2137" s="13" t="n">
        <v>1</v>
      </c>
      <c r="H2137" s="8" t="n">
        <v>36.13</v>
      </c>
      <c r="I2137" s="8" t="n">
        <v>36.13</v>
      </c>
      <c r="J2137" s="8" t="n">
        <v>36.13</v>
      </c>
      <c r="K2137" s="8" t="n"/>
      <c r="L2137" s="8" t="n"/>
      <c r="M2137" s="8" t="n"/>
      <c r="N2137" s="8" t="n"/>
      <c r="O2137" s="8" t="n"/>
      <c r="P2137" s="8" t="n"/>
      <c r="Q2137" s="8" t="n"/>
      <c r="R2137" s="8" t="n"/>
      <c r="S2137" s="8" t="n"/>
      <c r="T2137" s="7" t="inlineStr">
        <is>
          <t>SEM COTAÇÃO</t>
        </is>
      </c>
      <c r="U2137" s="8" t="n"/>
      <c r="V2137" s="14" t="n"/>
      <c r="W2137" s="14" t="n"/>
      <c r="X2137" s="7" t="inlineStr"/>
      <c r="Y2137" s="7" t="inlineStr"/>
    </row>
    <row r="2138">
      <c r="A2138" s="7" t="n">
        <v>611951</v>
      </c>
      <c r="B2138" s="12" t="inlineStr">
        <is>
          <t>7896110011967</t>
        </is>
      </c>
      <c r="C2138" s="7" t="inlineStr">
        <is>
          <t>FRD PERSONAL PROTEC PANTS JUMBO XG C/22</t>
        </is>
      </c>
      <c r="D2138" s="7" t="inlineStr">
        <is>
          <t>FRALDAS INFANTIL</t>
        </is>
      </c>
      <c r="E2138" s="7" t="inlineStr">
        <is>
          <t>C</t>
        </is>
      </c>
      <c r="F2138" s="13" t="n">
        <v>1</v>
      </c>
      <c r="G2138" s="13" t="n">
        <v>1</v>
      </c>
      <c r="H2138" s="8" t="n">
        <v>36.13</v>
      </c>
      <c r="I2138" s="8" t="n">
        <v>36.13</v>
      </c>
      <c r="J2138" s="8" t="n">
        <v>36.13</v>
      </c>
      <c r="K2138" s="8" t="n"/>
      <c r="L2138" s="8" t="n"/>
      <c r="M2138" s="8" t="n"/>
      <c r="N2138" s="8" t="n"/>
      <c r="O2138" s="8" t="n"/>
      <c r="P2138" s="8" t="n"/>
      <c r="Q2138" s="8" t="n"/>
      <c r="R2138" s="8" t="n"/>
      <c r="S2138" s="8" t="n"/>
      <c r="T2138" s="7" t="inlineStr">
        <is>
          <t>SEM COTAÇÃO</t>
        </is>
      </c>
      <c r="U2138" s="8" t="n"/>
      <c r="V2138" s="14" t="n"/>
      <c r="W2138" s="14" t="n"/>
      <c r="X2138" s="7" t="inlineStr"/>
      <c r="Y2138" s="7" t="inlineStr"/>
    </row>
    <row r="2139">
      <c r="A2139" s="7" t="n">
        <v>652281</v>
      </c>
      <c r="B2139" s="12" t="inlineStr">
        <is>
          <t>7896110011646</t>
        </is>
      </c>
      <c r="C2139" s="7" t="inlineStr">
        <is>
          <t>FRD PERSONAL PROTEC PANTS JUMBO XG C/28</t>
        </is>
      </c>
      <c r="D2139" s="7" t="inlineStr">
        <is>
          <t>FRALDAS INFANTIL</t>
        </is>
      </c>
      <c r="E2139" s="7" t="inlineStr">
        <is>
          <t>C</t>
        </is>
      </c>
      <c r="F2139" s="13" t="n">
        <v>2</v>
      </c>
      <c r="G2139" s="13" t="n">
        <v>2</v>
      </c>
      <c r="H2139" s="8" t="n"/>
      <c r="I2139" s="8" t="n"/>
      <c r="J2139" s="8" t="n"/>
      <c r="K2139" s="8" t="n"/>
      <c r="L2139" s="8" t="n"/>
      <c r="M2139" s="8" t="n"/>
      <c r="N2139" s="8" t="n"/>
      <c r="O2139" s="8" t="n"/>
      <c r="P2139" s="8" t="n"/>
      <c r="Q2139" s="8" t="n"/>
      <c r="R2139" s="8" t="n"/>
      <c r="S2139" s="8" t="n"/>
      <c r="T2139" s="7" t="inlineStr">
        <is>
          <t>SEM COTAÇÃO</t>
        </is>
      </c>
      <c r="U2139" s="8" t="n"/>
      <c r="V2139" s="14" t="n"/>
      <c r="W2139" s="14" t="n"/>
      <c r="X2139" s="7" t="inlineStr"/>
      <c r="Y2139" s="7" t="inlineStr"/>
    </row>
    <row r="2140">
      <c r="A2140" s="7" t="n">
        <v>616211</v>
      </c>
      <c r="B2140" s="12" t="inlineStr">
        <is>
          <t>7896110011981</t>
        </is>
      </c>
      <c r="C2140" s="7" t="inlineStr">
        <is>
          <t>FRD PERSONAL PROTEC PANTS JUMBO XXG C/20</t>
        </is>
      </c>
      <c r="D2140" s="7" t="inlineStr">
        <is>
          <t>FRALDAS INFANTIL</t>
        </is>
      </c>
      <c r="E2140" s="7" t="inlineStr">
        <is>
          <t>C</t>
        </is>
      </c>
      <c r="F2140" s="13" t="n">
        <v>1</v>
      </c>
      <c r="G2140" s="13" t="n">
        <v>1</v>
      </c>
      <c r="H2140" s="8" t="n">
        <v>36.13</v>
      </c>
      <c r="I2140" s="8" t="n">
        <v>36.13</v>
      </c>
      <c r="J2140" s="8" t="n">
        <v>36.13</v>
      </c>
      <c r="K2140" s="8" t="n"/>
      <c r="L2140" s="8" t="n"/>
      <c r="M2140" s="8" t="n"/>
      <c r="N2140" s="8" t="n"/>
      <c r="O2140" s="8" t="n"/>
      <c r="P2140" s="8" t="n"/>
      <c r="Q2140" s="8" t="n"/>
      <c r="R2140" s="8" t="n"/>
      <c r="S2140" s="8" t="n"/>
      <c r="T2140" s="7" t="inlineStr">
        <is>
          <t>SEM COTAÇÃO</t>
        </is>
      </c>
      <c r="U2140" s="8" t="n"/>
      <c r="V2140" s="14" t="n"/>
      <c r="W2140" s="14" t="n"/>
      <c r="X2140" s="7" t="inlineStr"/>
      <c r="Y2140" s="7" t="inlineStr"/>
    </row>
    <row r="2141">
      <c r="A2141" s="7" t="n">
        <v>611961</v>
      </c>
      <c r="B2141" s="12" t="inlineStr">
        <is>
          <t>7896110011950</t>
        </is>
      </c>
      <c r="C2141" s="7" t="inlineStr">
        <is>
          <t>FRD PERSONAL PROTEC PANTS MEG G L44P42</t>
        </is>
      </c>
      <c r="D2141" s="7" t="inlineStr">
        <is>
          <t>FRALDAS INFANTIL</t>
        </is>
      </c>
      <c r="E2141" s="7" t="inlineStr">
        <is>
          <t>C</t>
        </is>
      </c>
      <c r="F2141" s="13" t="n">
        <v>1</v>
      </c>
      <c r="G2141" s="13" t="n">
        <v>1</v>
      </c>
      <c r="H2141" s="8" t="n">
        <v>54.71</v>
      </c>
      <c r="I2141" s="8" t="n">
        <v>54.71</v>
      </c>
      <c r="J2141" s="8" t="n">
        <v>54.71</v>
      </c>
      <c r="K2141" s="8" t="n"/>
      <c r="L2141" s="8" t="n"/>
      <c r="M2141" s="8" t="n"/>
      <c r="N2141" s="8" t="n"/>
      <c r="O2141" s="8" t="n"/>
      <c r="P2141" s="8" t="n"/>
      <c r="Q2141" s="8" t="n"/>
      <c r="R2141" s="8" t="n"/>
      <c r="S2141" s="8" t="n"/>
      <c r="T2141" s="7" t="inlineStr">
        <is>
          <t>SEM COTAÇÃO</t>
        </is>
      </c>
      <c r="U2141" s="8" t="n"/>
      <c r="V2141" s="14" t="n"/>
      <c r="W2141" s="14" t="n"/>
      <c r="X2141" s="7" t="inlineStr"/>
      <c r="Y2141" s="7" t="inlineStr"/>
    </row>
    <row r="2142">
      <c r="A2142" s="7" t="n">
        <v>606821</v>
      </c>
      <c r="B2142" s="12" t="inlineStr">
        <is>
          <t>7896007550050</t>
        </is>
      </c>
      <c r="C2142" s="7" t="inlineStr">
        <is>
          <t>FRD PLENIT ACTI MU G/XG 8</t>
        </is>
      </c>
      <c r="D2142" s="7" t="inlineStr">
        <is>
          <t>FRALDAS GERIATRICAS</t>
        </is>
      </c>
      <c r="E2142" s="7" t="inlineStr">
        <is>
          <t>C</t>
        </is>
      </c>
      <c r="F2142" s="13" t="n">
        <v>1</v>
      </c>
      <c r="G2142" s="13" t="n">
        <v>1</v>
      </c>
      <c r="H2142" s="8" t="n">
        <v>19.285</v>
      </c>
      <c r="I2142" s="8" t="n">
        <v>19.285</v>
      </c>
      <c r="J2142" s="8" t="n">
        <v>19.285</v>
      </c>
      <c r="K2142" s="8" t="n"/>
      <c r="L2142" s="8" t="n"/>
      <c r="M2142" s="8" t="n"/>
      <c r="N2142" s="8" t="n"/>
      <c r="O2142" s="8" t="n"/>
      <c r="P2142" s="8" t="n"/>
      <c r="Q2142" s="8" t="n"/>
      <c r="R2142" s="8" t="n"/>
      <c r="S2142" s="8" t="n"/>
      <c r="T2142" s="7" t="inlineStr">
        <is>
          <t>SEM COTAÇÃO</t>
        </is>
      </c>
      <c r="U2142" s="8" t="n"/>
      <c r="V2142" s="14" t="n"/>
      <c r="W2142" s="14" t="n"/>
      <c r="X2142" s="7" t="inlineStr"/>
      <c r="Y2142" s="7" t="inlineStr"/>
    </row>
    <row r="2143">
      <c r="A2143" s="7" t="n">
        <v>617451</v>
      </c>
      <c r="B2143" s="12" t="inlineStr">
        <is>
          <t>17896007552983</t>
        </is>
      </c>
      <c r="C2143" s="7" t="inlineStr">
        <is>
          <t>FRD PLENIT CLASSIC G/XG 16UN</t>
        </is>
      </c>
      <c r="D2143" s="7" t="inlineStr">
        <is>
          <t>FRALDAS GERIATRICAS</t>
        </is>
      </c>
      <c r="E2143" s="7" t="inlineStr">
        <is>
          <t>C</t>
        </is>
      </c>
      <c r="F2143" s="13" t="n">
        <v>1</v>
      </c>
      <c r="G2143" s="13" t="n">
        <v>1</v>
      </c>
      <c r="H2143" s="8" t="n">
        <v>42.24</v>
      </c>
      <c r="I2143" s="8" t="n">
        <v>42.24</v>
      </c>
      <c r="J2143" s="8" t="n">
        <v>42.24</v>
      </c>
      <c r="K2143" s="8" t="n"/>
      <c r="L2143" s="8" t="n"/>
      <c r="M2143" s="8" t="n"/>
      <c r="N2143" s="8" t="n"/>
      <c r="O2143" s="8" t="n"/>
      <c r="P2143" s="15" t="n">
        <v>59.83</v>
      </c>
      <c r="Q2143" s="8" t="n"/>
      <c r="R2143" s="8" t="n"/>
      <c r="S2143" s="8" t="n"/>
      <c r="T2143" s="7" t="inlineStr">
        <is>
          <t>NAZARIA</t>
        </is>
      </c>
      <c r="U2143" s="8" t="n">
        <v>59.83</v>
      </c>
      <c r="V2143" s="14">
        <f>U2143/J2143-1</f>
        <v/>
      </c>
      <c r="W2143" s="14">
        <f>U2143/H2143-1</f>
        <v/>
      </c>
      <c r="X2143" s="16" t="inlineStr">
        <is>
          <t>ACIMA +41.6%</t>
        </is>
      </c>
      <c r="Y2143" s="7" t="inlineStr"/>
    </row>
    <row r="2144">
      <c r="A2144" s="7" t="n">
        <v>617461</v>
      </c>
      <c r="B2144" s="12" t="inlineStr">
        <is>
          <t>17896007552969</t>
        </is>
      </c>
      <c r="C2144" s="7" t="inlineStr">
        <is>
          <t>FRD PLENIT CLASSIC G/XG 8UN</t>
        </is>
      </c>
      <c r="D2144" s="7" t="inlineStr">
        <is>
          <t>FRALDAS GERIATRICAS</t>
        </is>
      </c>
      <c r="E2144" s="7" t="inlineStr">
        <is>
          <t>C</t>
        </is>
      </c>
      <c r="F2144" s="13" t="n">
        <v>1</v>
      </c>
      <c r="G2144" s="13" t="n">
        <v>1</v>
      </c>
      <c r="H2144" s="8" t="n">
        <v>22.4625</v>
      </c>
      <c r="I2144" s="8" t="n">
        <v>22.4625</v>
      </c>
      <c r="J2144" s="8" t="n">
        <v>22.4625</v>
      </c>
      <c r="K2144" s="8" t="n"/>
      <c r="L2144" s="8" t="n"/>
      <c r="M2144" s="8" t="n"/>
      <c r="N2144" s="8" t="n"/>
      <c r="O2144" s="8" t="n"/>
      <c r="P2144" s="15" t="n">
        <v>31.35</v>
      </c>
      <c r="Q2144" s="8" t="n"/>
      <c r="R2144" s="8" t="n"/>
      <c r="S2144" s="8" t="n"/>
      <c r="T2144" s="7" t="inlineStr">
        <is>
          <t>NAZARIA</t>
        </is>
      </c>
      <c r="U2144" s="8" t="n">
        <v>31.35</v>
      </c>
      <c r="V2144" s="14">
        <f>U2144/J2144-1</f>
        <v/>
      </c>
      <c r="W2144" s="14">
        <f>U2144/H2144-1</f>
        <v/>
      </c>
      <c r="X2144" s="16" t="inlineStr">
        <is>
          <t>ACIMA +39.6%</t>
        </is>
      </c>
      <c r="Y2144" s="7" t="inlineStr"/>
    </row>
    <row r="2145">
      <c r="A2145" s="7" t="n">
        <v>617471</v>
      </c>
      <c r="B2145" s="12" t="inlineStr">
        <is>
          <t>17896007552976</t>
        </is>
      </c>
      <c r="C2145" s="7" t="inlineStr">
        <is>
          <t>FRD PLENIT CLASSIC P/M 16UN</t>
        </is>
      </c>
      <c r="D2145" s="7" t="inlineStr">
        <is>
          <t>FRALDAS GERIATRICAS</t>
        </is>
      </c>
      <c r="E2145" s="7" t="inlineStr">
        <is>
          <t>C</t>
        </is>
      </c>
      <c r="F2145" s="13" t="n">
        <v>1</v>
      </c>
      <c r="G2145" s="13" t="n">
        <v>1</v>
      </c>
      <c r="H2145" s="8" t="n">
        <v>36.36</v>
      </c>
      <c r="I2145" s="8" t="n">
        <v>36.36</v>
      </c>
      <c r="J2145" s="8" t="n">
        <v>36.36</v>
      </c>
      <c r="K2145" s="8" t="n"/>
      <c r="L2145" s="8" t="n"/>
      <c r="M2145" s="8" t="n"/>
      <c r="N2145" s="8" t="n"/>
      <c r="O2145" s="8" t="n"/>
      <c r="P2145" s="15" t="n">
        <v>59.83</v>
      </c>
      <c r="Q2145" s="8" t="n"/>
      <c r="R2145" s="8" t="n"/>
      <c r="S2145" s="8" t="n"/>
      <c r="T2145" s="7" t="inlineStr">
        <is>
          <t>NAZARIA</t>
        </is>
      </c>
      <c r="U2145" s="8" t="n">
        <v>59.83</v>
      </c>
      <c r="V2145" s="14">
        <f>U2145/J2145-1</f>
        <v/>
      </c>
      <c r="W2145" s="14">
        <f>U2145/H2145-1</f>
        <v/>
      </c>
      <c r="X2145" s="16" t="inlineStr">
        <is>
          <t>ACIMA +64.5%</t>
        </is>
      </c>
      <c r="Y2145" s="7" t="inlineStr"/>
    </row>
    <row r="2146">
      <c r="A2146" s="7" t="n">
        <v>32</v>
      </c>
      <c r="B2146" s="12" t="inlineStr">
        <is>
          <t>17896007549990</t>
        </is>
      </c>
      <c r="C2146" s="7" t="inlineStr">
        <is>
          <t>FRD PLENIT PLUS P/M 24UN</t>
        </is>
      </c>
      <c r="D2146" s="7" t="inlineStr">
        <is>
          <t>FRALDAS GERIATRICAS</t>
        </is>
      </c>
      <c r="E2146" s="7" t="inlineStr">
        <is>
          <t>C</t>
        </is>
      </c>
      <c r="F2146" s="13" t="n">
        <v>1</v>
      </c>
      <c r="G2146" s="13" t="n">
        <v>1</v>
      </c>
      <c r="H2146" s="8" t="n">
        <v>59.205</v>
      </c>
      <c r="I2146" s="8" t="n">
        <v>59.205</v>
      </c>
      <c r="J2146" s="8" t="n">
        <v>59.20500000000001</v>
      </c>
      <c r="K2146" s="8" t="n"/>
      <c r="L2146" s="8" t="n"/>
      <c r="M2146" s="8" t="n"/>
      <c r="N2146" s="8" t="n"/>
      <c r="O2146" s="8" t="n"/>
      <c r="P2146" s="8" t="n">
        <v>94.98999999999999</v>
      </c>
      <c r="Q2146" s="8" t="n"/>
      <c r="R2146" s="8" t="n"/>
      <c r="S2146" s="8" t="n"/>
      <c r="T2146" s="7" t="inlineStr">
        <is>
          <t>SEM COTAÇÃO</t>
        </is>
      </c>
      <c r="U2146" s="8" t="n"/>
      <c r="V2146" s="14" t="n"/>
      <c r="W2146" s="14" t="n"/>
      <c r="X2146" s="7" t="inlineStr"/>
      <c r="Y2146" s="7" t="inlineStr">
        <is>
          <t>NAZARIA: sem estoque</t>
        </is>
      </c>
    </row>
    <row r="2147">
      <c r="A2147" s="7" t="n">
        <v>564521</v>
      </c>
      <c r="B2147" s="12" t="inlineStr">
        <is>
          <t>7896007547173</t>
        </is>
      </c>
      <c r="C2147" s="7" t="inlineStr">
        <is>
          <t>FRD PLENIT PROT PLUS G/XG 8</t>
        </is>
      </c>
      <c r="D2147" s="7" t="inlineStr">
        <is>
          <t>FRALDAS GERIATRICAS</t>
        </is>
      </c>
      <c r="E2147" s="7" t="inlineStr">
        <is>
          <t>A</t>
        </is>
      </c>
      <c r="F2147" s="13" t="n">
        <v>1</v>
      </c>
      <c r="G2147" s="13" t="n">
        <v>4</v>
      </c>
      <c r="H2147" s="8" t="n">
        <v>25.045</v>
      </c>
      <c r="I2147" s="8" t="n">
        <v>25.045</v>
      </c>
      <c r="J2147" s="8" t="n">
        <v>25.045</v>
      </c>
      <c r="K2147" s="8" t="n"/>
      <c r="L2147" s="8" t="n"/>
      <c r="M2147" s="8" t="n"/>
      <c r="N2147" s="8" t="n"/>
      <c r="O2147" s="8" t="n"/>
      <c r="P2147" s="15" t="n">
        <v>34.83</v>
      </c>
      <c r="Q2147" s="8" t="n"/>
      <c r="R2147" s="8" t="n"/>
      <c r="S2147" s="8" t="n"/>
      <c r="T2147" s="7" t="inlineStr">
        <is>
          <t>NAZARIA</t>
        </is>
      </c>
      <c r="U2147" s="8" t="n">
        <v>34.83</v>
      </c>
      <c r="V2147" s="14">
        <f>U2147/J2147-1</f>
        <v/>
      </c>
      <c r="W2147" s="14">
        <f>U2147/H2147-1</f>
        <v/>
      </c>
      <c r="X2147" s="16" t="inlineStr">
        <is>
          <t>ACIMA +39.1%</t>
        </is>
      </c>
      <c r="Y2147" s="7" t="inlineStr">
        <is>
          <t>NAZARIA: estoque parcial (3 un)</t>
        </is>
      </c>
    </row>
    <row r="2148">
      <c r="A2148" s="7" t="n">
        <v>617501</v>
      </c>
      <c r="B2148" s="12" t="inlineStr">
        <is>
          <t>17896007551733</t>
        </is>
      </c>
      <c r="C2148" s="7" t="inlineStr">
        <is>
          <t>FRD PLENITUD NOTURNA P/M 14UN</t>
        </is>
      </c>
      <c r="D2148" s="7" t="inlineStr">
        <is>
          <t>FRALDAS GERIATRICAS</t>
        </is>
      </c>
      <c r="E2148" s="7" t="inlineStr">
        <is>
          <t>C</t>
        </is>
      </c>
      <c r="F2148" s="13" t="n">
        <v>1</v>
      </c>
      <c r="G2148" s="13" t="n">
        <v>1</v>
      </c>
      <c r="H2148" s="8" t="n">
        <v>44.56</v>
      </c>
      <c r="I2148" s="8" t="n">
        <v>44.56</v>
      </c>
      <c r="J2148" s="8" t="n">
        <v>44.56</v>
      </c>
      <c r="K2148" s="8" t="n"/>
      <c r="L2148" s="8" t="n"/>
      <c r="M2148" s="8" t="n"/>
      <c r="N2148" s="8" t="n"/>
      <c r="O2148" s="8" t="n"/>
      <c r="P2148" s="8" t="n">
        <v>72.98999999999999</v>
      </c>
      <c r="Q2148" s="8" t="n"/>
      <c r="R2148" s="8" t="n"/>
      <c r="S2148" s="8" t="n"/>
      <c r="T2148" s="7" t="inlineStr">
        <is>
          <t>SEM COTAÇÃO</t>
        </is>
      </c>
      <c r="U2148" s="8" t="n"/>
      <c r="V2148" s="14" t="n"/>
      <c r="W2148" s="14" t="n"/>
      <c r="X2148" s="7" t="inlineStr"/>
      <c r="Y2148" s="7" t="inlineStr">
        <is>
          <t>NAZARIA: sem estoque</t>
        </is>
      </c>
    </row>
    <row r="2149">
      <c r="A2149" s="7" t="n">
        <v>599101</v>
      </c>
      <c r="B2149" s="12" t="inlineStr">
        <is>
          <t>7896012879719</t>
        </is>
      </c>
      <c r="C2149" s="7" t="inlineStr">
        <is>
          <t>FRD T MONICA JUMBINHO P 20UN</t>
        </is>
      </c>
      <c r="D2149" s="7" t="inlineStr">
        <is>
          <t>FRALDAS INFANTIL</t>
        </is>
      </c>
      <c r="E2149" s="7" t="inlineStr">
        <is>
          <t>C</t>
        </is>
      </c>
      <c r="F2149" s="13" t="n">
        <v>1</v>
      </c>
      <c r="G2149" s="13" t="n">
        <v>2</v>
      </c>
      <c r="H2149" s="8" t="n">
        <v>14.1362</v>
      </c>
      <c r="I2149" s="8" t="n">
        <v>14.1362</v>
      </c>
      <c r="J2149" s="8" t="n">
        <v>14.1362</v>
      </c>
      <c r="K2149" s="8" t="n"/>
      <c r="L2149" s="8" t="n"/>
      <c r="M2149" s="8" t="n"/>
      <c r="N2149" s="8" t="n"/>
      <c r="O2149" s="8" t="n"/>
      <c r="P2149" s="8" t="n"/>
      <c r="Q2149" s="8" t="n"/>
      <c r="R2149" s="8" t="n"/>
      <c r="S2149" s="8" t="n"/>
      <c r="T2149" s="7" t="inlineStr">
        <is>
          <t>SEM COTAÇÃO</t>
        </is>
      </c>
      <c r="U2149" s="8" t="n"/>
      <c r="V2149" s="14" t="n"/>
      <c r="W2149" s="14" t="n"/>
      <c r="X2149" s="7" t="inlineStr"/>
      <c r="Y2149" s="7" t="inlineStr"/>
    </row>
    <row r="2150">
      <c r="A2150" s="7" t="n">
        <v>599111</v>
      </c>
      <c r="B2150" s="12" t="inlineStr">
        <is>
          <t>7896012879740</t>
        </is>
      </c>
      <c r="C2150" s="7" t="inlineStr">
        <is>
          <t>FRD T MONICA JUMBINHO XG 12UN</t>
        </is>
      </c>
      <c r="D2150" s="7" t="inlineStr">
        <is>
          <t>FRALDAS INFANTIL</t>
        </is>
      </c>
      <c r="E2150" s="7" t="inlineStr">
        <is>
          <t>B</t>
        </is>
      </c>
      <c r="F2150" s="13" t="n">
        <v>1</v>
      </c>
      <c r="G2150" s="13" t="n">
        <v>3</v>
      </c>
      <c r="H2150" s="8" t="n">
        <v>14.1362</v>
      </c>
      <c r="I2150" s="8" t="n">
        <v>14.1362</v>
      </c>
      <c r="J2150" s="8" t="n">
        <v>14.1362</v>
      </c>
      <c r="K2150" s="8" t="n"/>
      <c r="L2150" s="8" t="n"/>
      <c r="M2150" s="8" t="n"/>
      <c r="N2150" s="8" t="n"/>
      <c r="O2150" s="8" t="n"/>
      <c r="P2150" s="8" t="n"/>
      <c r="Q2150" s="8" t="n"/>
      <c r="R2150" s="8" t="n"/>
      <c r="S2150" s="8" t="n"/>
      <c r="T2150" s="7" t="inlineStr">
        <is>
          <t>SEM COTAÇÃO</t>
        </is>
      </c>
      <c r="U2150" s="8" t="n"/>
      <c r="V2150" s="14" t="n"/>
      <c r="W2150" s="14" t="n"/>
      <c r="X2150" s="7" t="inlineStr"/>
      <c r="Y2150" s="7" t="inlineStr"/>
    </row>
    <row r="2151">
      <c r="A2151" s="7" t="n">
        <v>599121</v>
      </c>
      <c r="B2151" s="12" t="inlineStr">
        <is>
          <t>17896012880743</t>
        </is>
      </c>
      <c r="C2151" s="7" t="inlineStr">
        <is>
          <t>FRD T MONICA SH JUMBI G 16UN</t>
        </is>
      </c>
      <c r="D2151" s="7" t="inlineStr">
        <is>
          <t>FRALDAS INFANTIL</t>
        </is>
      </c>
      <c r="E2151" s="7" t="inlineStr">
        <is>
          <t>C</t>
        </is>
      </c>
      <c r="F2151" s="13" t="n">
        <v>10</v>
      </c>
      <c r="G2151" s="13" t="n">
        <v>10</v>
      </c>
      <c r="H2151" s="8" t="n">
        <v>19.59</v>
      </c>
      <c r="I2151" s="8" t="n">
        <v>19.4</v>
      </c>
      <c r="J2151" s="8" t="n">
        <v>19.4</v>
      </c>
      <c r="K2151" s="8" t="n"/>
      <c r="L2151" s="8" t="n"/>
      <c r="M2151" s="8" t="n"/>
      <c r="N2151" s="8" t="n"/>
      <c r="O2151" s="8" t="n"/>
      <c r="P2151" s="8" t="n"/>
      <c r="Q2151" s="8" t="n"/>
      <c r="R2151" s="8" t="n"/>
      <c r="S2151" s="8" t="n"/>
      <c r="T2151" s="7" t="inlineStr">
        <is>
          <t>SEM COTAÇÃO</t>
        </is>
      </c>
      <c r="U2151" s="8" t="n"/>
      <c r="V2151" s="14" t="n"/>
      <c r="W2151" s="14" t="n"/>
      <c r="X2151" s="7" t="inlineStr"/>
      <c r="Y2151" s="7" t="inlineStr"/>
    </row>
    <row r="2152">
      <c r="A2152" s="7" t="n">
        <v>599131</v>
      </c>
      <c r="B2152" s="12" t="inlineStr">
        <is>
          <t>7896012880739</t>
        </is>
      </c>
      <c r="C2152" s="7" t="inlineStr">
        <is>
          <t>FRD T MONICA SH JUMBI M 18UN</t>
        </is>
      </c>
      <c r="D2152" s="7" t="inlineStr">
        <is>
          <t>FRALDAS INFANTIL</t>
        </is>
      </c>
      <c r="E2152" s="7" t="inlineStr">
        <is>
          <t>A</t>
        </is>
      </c>
      <c r="F2152" s="13" t="n">
        <v>5</v>
      </c>
      <c r="G2152" s="13" t="n">
        <v>5</v>
      </c>
      <c r="H2152" s="8" t="n">
        <v>20.22</v>
      </c>
      <c r="I2152" s="8" t="n">
        <v>19.4</v>
      </c>
      <c r="J2152" s="8" t="n">
        <v>19.94666666666667</v>
      </c>
      <c r="K2152" s="8" t="n"/>
      <c r="L2152" s="8" t="n"/>
      <c r="M2152" s="8" t="n"/>
      <c r="N2152" s="8" t="n"/>
      <c r="O2152" s="8" t="n"/>
      <c r="P2152" s="8" t="n"/>
      <c r="Q2152" s="8" t="n"/>
      <c r="R2152" s="8" t="n"/>
      <c r="S2152" s="8" t="n"/>
      <c r="T2152" s="7" t="inlineStr">
        <is>
          <t>SEM COTAÇÃO</t>
        </is>
      </c>
      <c r="U2152" s="8" t="n"/>
      <c r="V2152" s="14" t="n"/>
      <c r="W2152" s="14" t="n"/>
      <c r="X2152" s="7" t="inlineStr"/>
      <c r="Y2152" s="7" t="inlineStr"/>
    </row>
    <row r="2153">
      <c r="A2153" s="7" t="n">
        <v>598941</v>
      </c>
      <c r="B2153" s="12" t="inlineStr">
        <is>
          <t>7896012880784</t>
        </is>
      </c>
      <c r="C2153" s="7" t="inlineStr">
        <is>
          <t>FRD T MONICA SH JUMBO GD 30UN</t>
        </is>
      </c>
      <c r="D2153" s="7" t="inlineStr">
        <is>
          <t>FRALDAS INFANTIL</t>
        </is>
      </c>
      <c r="E2153" s="7" t="inlineStr">
        <is>
          <t>B</t>
        </is>
      </c>
      <c r="F2153" s="13" t="n">
        <v>9</v>
      </c>
      <c r="G2153" s="13" t="n">
        <v>9</v>
      </c>
      <c r="H2153" s="8" t="n">
        <v>32.6</v>
      </c>
      <c r="I2153" s="8" t="n">
        <v>32.6</v>
      </c>
      <c r="J2153" s="8" t="n">
        <v>32.6</v>
      </c>
      <c r="K2153" s="8" t="n"/>
      <c r="L2153" s="8" t="n"/>
      <c r="M2153" s="8" t="n"/>
      <c r="N2153" s="8" t="n"/>
      <c r="O2153" s="8" t="n"/>
      <c r="P2153" s="8" t="n"/>
      <c r="Q2153" s="8" t="n"/>
      <c r="R2153" s="8" t="n"/>
      <c r="S2153" s="8" t="n"/>
      <c r="T2153" s="7" t="inlineStr">
        <is>
          <t>SEM COTAÇÃO</t>
        </is>
      </c>
      <c r="U2153" s="8" t="n"/>
      <c r="V2153" s="14" t="n"/>
      <c r="W2153" s="14" t="n"/>
      <c r="X2153" s="7" t="inlineStr"/>
      <c r="Y2153" s="7" t="inlineStr"/>
    </row>
    <row r="2154">
      <c r="A2154" s="7" t="n">
        <v>599141</v>
      </c>
      <c r="B2154" s="12" t="inlineStr">
        <is>
          <t>7896012880777</t>
        </is>
      </c>
      <c r="C2154" s="7" t="inlineStr">
        <is>
          <t>FRD T MONICA SH JUMBO MD 4X34</t>
        </is>
      </c>
      <c r="D2154" s="7" t="inlineStr">
        <is>
          <t>FRALDAS INFANTIL</t>
        </is>
      </c>
      <c r="E2154" s="7" t="inlineStr">
        <is>
          <t>C</t>
        </is>
      </c>
      <c r="F2154" s="13" t="n">
        <v>1</v>
      </c>
      <c r="G2154" s="13" t="n">
        <v>1</v>
      </c>
      <c r="H2154" s="8" t="n">
        <v>34.99</v>
      </c>
      <c r="I2154" s="8" t="n">
        <v>34.99</v>
      </c>
      <c r="J2154" s="8" t="n">
        <v>34.99</v>
      </c>
      <c r="K2154" s="8" t="n"/>
      <c r="L2154" s="8" t="n"/>
      <c r="M2154" s="8" t="n"/>
      <c r="N2154" s="8" t="n"/>
      <c r="O2154" s="8" t="n"/>
      <c r="P2154" s="8" t="n"/>
      <c r="Q2154" s="8" t="n"/>
      <c r="R2154" s="8" t="n"/>
      <c r="S2154" s="8" t="n"/>
      <c r="T2154" s="7" t="inlineStr">
        <is>
          <t>SEM COTAÇÃO</t>
        </is>
      </c>
      <c r="U2154" s="8" t="n"/>
      <c r="V2154" s="14" t="n"/>
      <c r="W2154" s="14" t="n"/>
      <c r="X2154" s="7" t="inlineStr"/>
      <c r="Y2154" s="7" t="inlineStr"/>
    </row>
    <row r="2155">
      <c r="A2155" s="7" t="n">
        <v>606341</v>
      </c>
      <c r="B2155" s="12" t="inlineStr">
        <is>
          <t>7896012880791</t>
        </is>
      </c>
      <c r="C2155" s="7" t="inlineStr">
        <is>
          <t>FRD T MONICA SH JUMBO XG 24UN</t>
        </is>
      </c>
      <c r="D2155" s="7" t="inlineStr">
        <is>
          <t>FRALDAS INFANTIL</t>
        </is>
      </c>
      <c r="E2155" s="7" t="inlineStr">
        <is>
          <t>C</t>
        </is>
      </c>
      <c r="F2155" s="13" t="n">
        <v>7</v>
      </c>
      <c r="G2155" s="13" t="n">
        <v>7</v>
      </c>
      <c r="H2155" s="8" t="n">
        <v>32.6</v>
      </c>
      <c r="I2155" s="8" t="n">
        <v>32.6</v>
      </c>
      <c r="J2155" s="8" t="n">
        <v>32.6</v>
      </c>
      <c r="K2155" s="8" t="n"/>
      <c r="L2155" s="8" t="n"/>
      <c r="M2155" s="8" t="n"/>
      <c r="N2155" s="8" t="n"/>
      <c r="O2155" s="8" t="n"/>
      <c r="P2155" s="8" t="n"/>
      <c r="Q2155" s="8" t="n"/>
      <c r="R2155" s="8" t="n"/>
      <c r="S2155" s="8" t="n"/>
      <c r="T2155" s="7" t="inlineStr">
        <is>
          <t>SEM COTAÇÃO</t>
        </is>
      </c>
      <c r="U2155" s="8" t="n"/>
      <c r="V2155" s="14" t="n"/>
      <c r="W2155" s="14" t="n"/>
      <c r="X2155" s="7" t="inlineStr"/>
      <c r="Y2155" s="7" t="inlineStr"/>
    </row>
    <row r="2156">
      <c r="A2156" s="7" t="n">
        <v>614851</v>
      </c>
      <c r="B2156" s="12" t="inlineStr">
        <is>
          <t>7896012880807</t>
        </is>
      </c>
      <c r="C2156" s="7" t="inlineStr">
        <is>
          <t>FRD T MONICA SH JUMBO XXG 24UN</t>
        </is>
      </c>
      <c r="D2156" s="7" t="inlineStr">
        <is>
          <t>FRALDAS INFANTIL</t>
        </is>
      </c>
      <c r="E2156" s="7" t="inlineStr">
        <is>
          <t>C</t>
        </is>
      </c>
      <c r="F2156" s="13" t="n">
        <v>6</v>
      </c>
      <c r="G2156" s="13" t="n">
        <v>6</v>
      </c>
      <c r="H2156" s="8" t="n">
        <v>32.49</v>
      </c>
      <c r="I2156" s="8" t="n">
        <v>32.49</v>
      </c>
      <c r="J2156" s="8" t="n">
        <v>32.49</v>
      </c>
      <c r="K2156" s="8" t="n"/>
      <c r="L2156" s="8" t="n"/>
      <c r="M2156" s="8" t="n"/>
      <c r="N2156" s="8" t="n"/>
      <c r="O2156" s="8" t="n"/>
      <c r="P2156" s="8" t="n"/>
      <c r="Q2156" s="8" t="n"/>
      <c r="R2156" s="8" t="n"/>
      <c r="S2156" s="8" t="n"/>
      <c r="T2156" s="7" t="inlineStr">
        <is>
          <t>SEM COTAÇÃO</t>
        </is>
      </c>
      <c r="U2156" s="8" t="n"/>
      <c r="V2156" s="14" t="n"/>
      <c r="W2156" s="14" t="n"/>
      <c r="X2156" s="7" t="inlineStr"/>
      <c r="Y2156" s="7" t="inlineStr"/>
    </row>
    <row r="2157">
      <c r="A2157" s="7" t="n">
        <v>637311</v>
      </c>
      <c r="B2157" s="12" t="inlineStr">
        <is>
          <t>7896770900250</t>
        </is>
      </c>
      <c r="C2157" s="7" t="inlineStr">
        <is>
          <t>FRD TENA CONFORT P C/30</t>
        </is>
      </c>
      <c r="D2157" s="7" t="inlineStr">
        <is>
          <t>FRALDAS GERIATRICAS</t>
        </is>
      </c>
      <c r="E2157" s="7" t="inlineStr">
        <is>
          <t>C</t>
        </is>
      </c>
      <c r="F2157" s="13" t="n">
        <v>1</v>
      </c>
      <c r="G2157" s="13" t="n">
        <v>1</v>
      </c>
      <c r="H2157" s="8" t="n">
        <v>44.42</v>
      </c>
      <c r="I2157" s="8" t="n">
        <v>44.42</v>
      </c>
      <c r="J2157" s="8" t="n">
        <v>44.41999999999999</v>
      </c>
      <c r="K2157" s="8" t="n"/>
      <c r="L2157" s="8" t="n"/>
      <c r="M2157" s="8" t="n"/>
      <c r="N2157" s="8" t="n"/>
      <c r="O2157" s="8" t="n"/>
      <c r="P2157" s="15" t="n">
        <v>61.09059999999999</v>
      </c>
      <c r="Q2157" s="8" t="n"/>
      <c r="R2157" s="8" t="n"/>
      <c r="S2157" s="8" t="n"/>
      <c r="T2157" s="7" t="inlineStr">
        <is>
          <t>NAZARIA</t>
        </is>
      </c>
      <c r="U2157" s="8" t="n">
        <v>61.09059999999999</v>
      </c>
      <c r="V2157" s="14">
        <f>U2157/J2157-1</f>
        <v/>
      </c>
      <c r="W2157" s="14">
        <f>U2157/H2157-1</f>
        <v/>
      </c>
      <c r="X2157" s="16" t="inlineStr">
        <is>
          <t>ACIMA +37.5%</t>
        </is>
      </c>
      <c r="Y2157" s="7" t="inlineStr"/>
    </row>
    <row r="2158">
      <c r="A2158" s="7" t="n">
        <v>574681</v>
      </c>
      <c r="B2158" s="12" t="inlineStr">
        <is>
          <t>7896012879733</t>
        </is>
      </c>
      <c r="C2158" s="7" t="inlineStr">
        <is>
          <t>FRD TURMA D MONICA JUMBINHO G C/16</t>
        </is>
      </c>
      <c r="D2158" s="7" t="inlineStr">
        <is>
          <t>FRALDAS INFANTIL</t>
        </is>
      </c>
      <c r="E2158" s="7" t="inlineStr">
        <is>
          <t>B</t>
        </is>
      </c>
      <c r="F2158" s="13" t="n">
        <v>1</v>
      </c>
      <c r="G2158" s="13" t="n">
        <v>6</v>
      </c>
      <c r="H2158" s="8" t="n">
        <v>14.1362</v>
      </c>
      <c r="I2158" s="8" t="n">
        <v>14.1362</v>
      </c>
      <c r="J2158" s="8" t="n">
        <v>14.1362</v>
      </c>
      <c r="K2158" s="8" t="n"/>
      <c r="L2158" s="8" t="n"/>
      <c r="M2158" s="8" t="n"/>
      <c r="N2158" s="8" t="n"/>
      <c r="O2158" s="8" t="n"/>
      <c r="P2158" s="8" t="n"/>
      <c r="Q2158" s="8" t="n"/>
      <c r="R2158" s="8" t="n"/>
      <c r="S2158" s="8" t="n"/>
      <c r="T2158" s="7" t="inlineStr">
        <is>
          <t>SEM COTAÇÃO</t>
        </is>
      </c>
      <c r="U2158" s="8" t="n"/>
      <c r="V2158" s="14" t="n"/>
      <c r="W2158" s="14" t="n"/>
      <c r="X2158" s="7" t="inlineStr"/>
      <c r="Y2158" s="7" t="inlineStr"/>
    </row>
    <row r="2159">
      <c r="A2159" s="7" t="n">
        <v>574701</v>
      </c>
      <c r="B2159" s="12" t="inlineStr">
        <is>
          <t>7896012879726</t>
        </is>
      </c>
      <c r="C2159" s="7" t="inlineStr">
        <is>
          <t>FRD TURMA D MONICA JUMBINHO M C/18</t>
        </is>
      </c>
      <c r="D2159" s="7" t="inlineStr">
        <is>
          <t>FRALDAS INFANTIL</t>
        </is>
      </c>
      <c r="E2159" s="7" t="inlineStr">
        <is>
          <t>C</t>
        </is>
      </c>
      <c r="F2159" s="13" t="n">
        <v>1</v>
      </c>
      <c r="G2159" s="13" t="n">
        <v>3</v>
      </c>
      <c r="H2159" s="8" t="n">
        <v>14.1362</v>
      </c>
      <c r="I2159" s="8" t="n">
        <v>14.1362</v>
      </c>
      <c r="J2159" s="8" t="n">
        <v>14.1362</v>
      </c>
      <c r="K2159" s="8" t="n"/>
      <c r="L2159" s="8" t="n"/>
      <c r="M2159" s="8" t="n"/>
      <c r="N2159" s="8" t="n"/>
      <c r="O2159" s="8" t="n"/>
      <c r="P2159" s="8" t="n"/>
      <c r="Q2159" s="8" t="n"/>
      <c r="R2159" s="8" t="n"/>
      <c r="S2159" s="8" t="n"/>
      <c r="T2159" s="7" t="inlineStr">
        <is>
          <t>SEM COTAÇÃO</t>
        </is>
      </c>
      <c r="U2159" s="8" t="n"/>
      <c r="V2159" s="14" t="n"/>
      <c r="W2159" s="14" t="n"/>
      <c r="X2159" s="7" t="inlineStr"/>
      <c r="Y2159" s="7" t="inlineStr"/>
    </row>
    <row r="2160">
      <c r="A2160" s="7" t="n">
        <v>574721</v>
      </c>
      <c r="B2160" s="12" t="inlineStr">
        <is>
          <t>7896012879849</t>
        </is>
      </c>
      <c r="C2160" s="7" t="inlineStr">
        <is>
          <t>FRD TURMA D MONICA MEGA XG 42UN</t>
        </is>
      </c>
      <c r="D2160" s="7" t="inlineStr">
        <is>
          <t>FRALDAS INFANTIL</t>
        </is>
      </c>
      <c r="E2160" s="7" t="inlineStr">
        <is>
          <t>C</t>
        </is>
      </c>
      <c r="F2160" s="13" t="n">
        <v>1</v>
      </c>
      <c r="G2160" s="13" t="n">
        <v>1</v>
      </c>
      <c r="H2160" s="8" t="n">
        <v>35.7925</v>
      </c>
      <c r="I2160" s="8" t="n">
        <v>35.7925</v>
      </c>
      <c r="J2160" s="8" t="n">
        <v>35.7925</v>
      </c>
      <c r="K2160" s="8" t="n"/>
      <c r="L2160" s="8" t="n"/>
      <c r="M2160" s="8" t="n"/>
      <c r="N2160" s="8" t="n"/>
      <c r="O2160" s="8" t="n"/>
      <c r="P2160" s="8" t="n"/>
      <c r="Q2160" s="8" t="n"/>
      <c r="R2160" s="8" t="n"/>
      <c r="S2160" s="8" t="n"/>
      <c r="T2160" s="7" t="inlineStr">
        <is>
          <t>SEM COTAÇÃO</t>
        </is>
      </c>
      <c r="U2160" s="8" t="n"/>
      <c r="V2160" s="14" t="n"/>
      <c r="W2160" s="14" t="n"/>
      <c r="X2160" s="7" t="inlineStr"/>
      <c r="Y2160" s="7" t="inlineStr"/>
    </row>
    <row r="2161">
      <c r="A2161" s="7" t="n">
        <v>574901</v>
      </c>
      <c r="B2161" s="12" t="inlineStr">
        <is>
          <t>7896012880753</t>
        </is>
      </c>
      <c r="C2161" s="7" t="inlineStr">
        <is>
          <t>FRD TURMA D MONICA SHORT JUMBO XG 12UN</t>
        </is>
      </c>
      <c r="D2161" s="7" t="inlineStr">
        <is>
          <t>FRALDAS INFANTIL</t>
        </is>
      </c>
      <c r="E2161" s="7" t="inlineStr">
        <is>
          <t>B</t>
        </is>
      </c>
      <c r="F2161" s="13" t="n">
        <v>10</v>
      </c>
      <c r="G2161" s="13" t="n">
        <v>10</v>
      </c>
      <c r="H2161" s="8" t="n">
        <v>19.59</v>
      </c>
      <c r="I2161" s="8" t="n">
        <v>19.4</v>
      </c>
      <c r="J2161" s="8" t="n">
        <v>19.4</v>
      </c>
      <c r="K2161" s="8" t="n"/>
      <c r="L2161" s="8" t="n"/>
      <c r="M2161" s="8" t="n"/>
      <c r="N2161" s="8" t="n"/>
      <c r="O2161" s="8" t="n"/>
      <c r="P2161" s="8" t="n"/>
      <c r="Q2161" s="8" t="n"/>
      <c r="R2161" s="8" t="n"/>
      <c r="S2161" s="8" t="n"/>
      <c r="T2161" s="7" t="inlineStr">
        <is>
          <t>SEM COTAÇÃO</t>
        </is>
      </c>
      <c r="U2161" s="8" t="n"/>
      <c r="V2161" s="14" t="n"/>
      <c r="W2161" s="14" t="n"/>
      <c r="X2161" s="7" t="inlineStr"/>
      <c r="Y2161" s="7" t="inlineStr"/>
    </row>
    <row r="2162">
      <c r="A2162" s="7" t="n">
        <v>574861</v>
      </c>
      <c r="B2162" s="12" t="inlineStr"/>
      <c r="C2162" s="7" t="inlineStr">
        <is>
          <t>FRD TURMA D MONICA SHORT JUMBO XXG C/12</t>
        </is>
      </c>
      <c r="D2162" s="7" t="inlineStr">
        <is>
          <t>FRALDAS INFANTIL</t>
        </is>
      </c>
      <c r="E2162" s="7" t="inlineStr">
        <is>
          <t>A</t>
        </is>
      </c>
      <c r="F2162" s="13" t="n">
        <v>7</v>
      </c>
      <c r="G2162" s="13" t="n">
        <v>7</v>
      </c>
      <c r="H2162" s="8" t="n">
        <v>20.22</v>
      </c>
      <c r="I2162" s="8" t="n">
        <v>19.4</v>
      </c>
      <c r="J2162" s="8" t="n">
        <v>19.94666666666667</v>
      </c>
      <c r="K2162" s="8" t="n"/>
      <c r="L2162" s="8" t="n"/>
      <c r="M2162" s="8" t="n"/>
      <c r="N2162" s="8" t="n"/>
      <c r="O2162" s="8" t="n"/>
      <c r="P2162" s="8" t="n"/>
      <c r="Q2162" s="8" t="n"/>
      <c r="R2162" s="8" t="n"/>
      <c r="S2162" s="8" t="n"/>
      <c r="T2162" s="7" t="inlineStr">
        <is>
          <t>SEM COTAÇÃO</t>
        </is>
      </c>
      <c r="U2162" s="8" t="n"/>
      <c r="V2162" s="14" t="n"/>
      <c r="W2162" s="14" t="n"/>
      <c r="X2162" s="7" t="inlineStr"/>
      <c r="Y2162" s="7" t="inlineStr"/>
    </row>
    <row r="2163">
      <c r="A2163" s="7" t="n">
        <v>590221</v>
      </c>
      <c r="B2163" s="12" t="inlineStr">
        <is>
          <t>7896012880081</t>
        </is>
      </c>
      <c r="C2163" s="7" t="inlineStr">
        <is>
          <t>FRD TURMA DA MONICA JUMBINHO RN 18UN</t>
        </is>
      </c>
      <c r="D2163" s="7" t="inlineStr">
        <is>
          <t>FRALDAS INFANTIL</t>
        </is>
      </c>
      <c r="E2163" s="7" t="inlineStr">
        <is>
          <t>C</t>
        </is>
      </c>
      <c r="F2163" s="13" t="n">
        <v>1</v>
      </c>
      <c r="G2163" s="13" t="n">
        <v>1</v>
      </c>
      <c r="H2163" s="8" t="n">
        <v>14.1362</v>
      </c>
      <c r="I2163" s="8" t="n">
        <v>14.1362</v>
      </c>
      <c r="J2163" s="8" t="n">
        <v>14.1362</v>
      </c>
      <c r="K2163" s="8" t="n"/>
      <c r="L2163" s="8" t="n"/>
      <c r="M2163" s="8" t="n"/>
      <c r="N2163" s="8" t="n"/>
      <c r="O2163" s="8" t="n"/>
      <c r="P2163" s="8" t="n"/>
      <c r="Q2163" s="8" t="n"/>
      <c r="R2163" s="8" t="n"/>
      <c r="S2163" s="8" t="n"/>
      <c r="T2163" s="7" t="inlineStr">
        <is>
          <t>SEM COTAÇÃO</t>
        </is>
      </c>
      <c r="U2163" s="8" t="n"/>
      <c r="V2163" s="14" t="n"/>
      <c r="W2163" s="14" t="n"/>
      <c r="X2163" s="7" t="inlineStr"/>
      <c r="Y2163" s="7" t="inlineStr"/>
    </row>
    <row r="2164">
      <c r="A2164" s="7" t="n">
        <v>577721</v>
      </c>
      <c r="B2164" s="12" t="inlineStr">
        <is>
          <t>7896007547210</t>
        </is>
      </c>
      <c r="C2164" s="7" t="inlineStr">
        <is>
          <t>FRD. PLENIT. PROT. PLUS G/XG 2X16</t>
        </is>
      </c>
      <c r="D2164" s="7" t="inlineStr">
        <is>
          <t>FRALDAS GERIATRICAS</t>
        </is>
      </c>
      <c r="E2164" s="7" t="inlineStr">
        <is>
          <t>B</t>
        </is>
      </c>
      <c r="F2164" s="13" t="n">
        <v>2</v>
      </c>
      <c r="G2164" s="13" t="n">
        <v>3</v>
      </c>
      <c r="H2164" s="8" t="n">
        <v>46.34</v>
      </c>
      <c r="I2164" s="8" t="n">
        <v>46.34</v>
      </c>
      <c r="J2164" s="8" t="n">
        <v>46.34</v>
      </c>
      <c r="K2164" s="8" t="n"/>
      <c r="L2164" s="8" t="n"/>
      <c r="M2164" s="8" t="n"/>
      <c r="N2164" s="8" t="n"/>
      <c r="O2164" s="8" t="n"/>
      <c r="P2164" s="8" t="n">
        <v>66.48999999999999</v>
      </c>
      <c r="Q2164" s="8" t="n"/>
      <c r="R2164" s="8" t="n"/>
      <c r="S2164" s="8" t="n"/>
      <c r="T2164" s="7" t="inlineStr">
        <is>
          <t>SEM COTAÇÃO</t>
        </is>
      </c>
      <c r="U2164" s="8" t="n"/>
      <c r="V2164" s="14" t="n"/>
      <c r="W2164" s="14" t="n"/>
      <c r="X2164" s="7" t="inlineStr"/>
      <c r="Y2164" s="7" t="inlineStr">
        <is>
          <t>NAZARIA: sem estoque</t>
        </is>
      </c>
    </row>
    <row r="2165">
      <c r="A2165" s="7" t="n">
        <v>656621</v>
      </c>
      <c r="B2165" s="12" t="inlineStr">
        <is>
          <t>7896012878859</t>
        </is>
      </c>
      <c r="C2165" s="7" t="inlineStr">
        <is>
          <t>FRD.AD.BIGFR.DERM.PL.E.G</t>
        </is>
      </c>
      <c r="D2165" s="7" t="inlineStr">
        <is>
          <t>FRALDAS GERIATRICAS</t>
        </is>
      </c>
      <c r="E2165" s="7" t="inlineStr">
        <is>
          <t>C</t>
        </is>
      </c>
      <c r="F2165" s="13" t="n">
        <v>1</v>
      </c>
      <c r="G2165" s="13" t="n">
        <v>2</v>
      </c>
      <c r="H2165" s="8" t="n">
        <v>37.59</v>
      </c>
      <c r="I2165" s="8" t="n">
        <v>37.59</v>
      </c>
      <c r="J2165" s="8" t="n">
        <v>37.59</v>
      </c>
      <c r="K2165" s="8" t="n"/>
      <c r="L2165" s="8" t="n"/>
      <c r="M2165" s="8" t="n"/>
      <c r="N2165" s="8" t="n"/>
      <c r="O2165" s="8" t="n"/>
      <c r="P2165" s="8" t="n"/>
      <c r="Q2165" s="8" t="n"/>
      <c r="R2165" s="8" t="n"/>
      <c r="S2165" s="8" t="n"/>
      <c r="T2165" s="7" t="inlineStr">
        <is>
          <t>SEM COTAÇÃO</t>
        </is>
      </c>
      <c r="U2165" s="8" t="n"/>
      <c r="V2165" s="14" t="n"/>
      <c r="W2165" s="14" t="n"/>
      <c r="X2165" s="7" t="inlineStr"/>
      <c r="Y2165" s="7" t="inlineStr"/>
    </row>
    <row r="2166">
      <c r="A2166" s="7" t="n">
        <v>656631</v>
      </c>
      <c r="B2166" s="12" t="inlineStr">
        <is>
          <t>7896012880227</t>
        </is>
      </c>
      <c r="C2166" s="7" t="inlineStr">
        <is>
          <t>FRD.AD.BIGFR.DERM.PL.E.XG 4X14</t>
        </is>
      </c>
      <c r="D2166" s="7" t="inlineStr">
        <is>
          <t>FRALDAS GERIATRICAS</t>
        </is>
      </c>
      <c r="E2166" s="7" t="inlineStr">
        <is>
          <t>C</t>
        </is>
      </c>
      <c r="F2166" s="13" t="n">
        <v>1</v>
      </c>
      <c r="G2166" s="13" t="n">
        <v>2</v>
      </c>
      <c r="H2166" s="8" t="n">
        <v>37.59</v>
      </c>
      <c r="I2166" s="8" t="n">
        <v>37.59</v>
      </c>
      <c r="J2166" s="8" t="n">
        <v>37.59</v>
      </c>
      <c r="K2166" s="8" t="n"/>
      <c r="L2166" s="8" t="n"/>
      <c r="M2166" s="8" t="n"/>
      <c r="N2166" s="8" t="n"/>
      <c r="O2166" s="8" t="n"/>
      <c r="P2166" s="8" t="n"/>
      <c r="Q2166" s="8" t="n"/>
      <c r="R2166" s="8" t="n"/>
      <c r="S2166" s="8" t="n"/>
      <c r="T2166" s="7" t="inlineStr">
        <is>
          <t>SEM COTAÇÃO</t>
        </is>
      </c>
      <c r="U2166" s="8" t="n"/>
      <c r="V2166" s="14" t="n"/>
      <c r="W2166" s="14" t="n"/>
      <c r="X2166" s="7" t="inlineStr"/>
      <c r="Y2166" s="7" t="inlineStr"/>
    </row>
    <row r="2167">
      <c r="A2167" s="7" t="n">
        <v>656641</v>
      </c>
      <c r="B2167" s="12" t="inlineStr">
        <is>
          <t>7896012880180</t>
        </is>
      </c>
      <c r="C2167" s="7" t="inlineStr">
        <is>
          <t>FRD.AD.BIGFR.DERMA PLUS G 8X7</t>
        </is>
      </c>
      <c r="D2167" s="7" t="inlineStr">
        <is>
          <t>FRALDAS GERIATRICAS</t>
        </is>
      </c>
      <c r="E2167" s="7" t="inlineStr">
        <is>
          <t>A</t>
        </is>
      </c>
      <c r="F2167" s="13" t="n">
        <v>2</v>
      </c>
      <c r="G2167" s="13" t="n">
        <v>11</v>
      </c>
      <c r="H2167" s="8" t="n">
        <v>20.6662</v>
      </c>
      <c r="I2167" s="8" t="n">
        <v>16.1125</v>
      </c>
      <c r="J2167" s="8" t="n">
        <v>19.1483</v>
      </c>
      <c r="K2167" s="8" t="n"/>
      <c r="L2167" s="8" t="n"/>
      <c r="M2167" s="8" t="n"/>
      <c r="N2167" s="8" t="n"/>
      <c r="O2167" s="8" t="n"/>
      <c r="P2167" s="8" t="n"/>
      <c r="Q2167" s="8" t="n"/>
      <c r="R2167" s="8" t="n"/>
      <c r="S2167" s="8" t="n"/>
      <c r="T2167" s="7" t="inlineStr">
        <is>
          <t>SEM COTAÇÃO</t>
        </is>
      </c>
      <c r="U2167" s="8" t="n"/>
      <c r="V2167" s="14" t="n"/>
      <c r="W2167" s="14" t="n"/>
      <c r="X2167" s="7" t="inlineStr"/>
      <c r="Y2167" s="7" t="inlineStr"/>
    </row>
    <row r="2168">
      <c r="A2168" s="7" t="n">
        <v>656651</v>
      </c>
      <c r="B2168" s="12" t="inlineStr">
        <is>
          <t>7896012880197</t>
        </is>
      </c>
      <c r="C2168" s="7" t="inlineStr">
        <is>
          <t>FRD.AD.BIGFR.DERMA PLUS XG 8X7</t>
        </is>
      </c>
      <c r="D2168" s="7" t="inlineStr">
        <is>
          <t>FRALDAS GERIATRICAS</t>
        </is>
      </c>
      <c r="E2168" s="7" t="inlineStr">
        <is>
          <t>A</t>
        </is>
      </c>
      <c r="F2168" s="13" t="n">
        <v>2</v>
      </c>
      <c r="G2168" s="13" t="n">
        <v>9</v>
      </c>
      <c r="H2168" s="8" t="n">
        <v>20.6662</v>
      </c>
      <c r="I2168" s="8" t="n">
        <v>16.1125</v>
      </c>
      <c r="J2168" s="8" t="n">
        <v>19.1483</v>
      </c>
      <c r="K2168" s="8" t="n"/>
      <c r="L2168" s="8" t="n"/>
      <c r="M2168" s="8" t="n"/>
      <c r="N2168" s="8" t="n"/>
      <c r="O2168" s="8" t="n"/>
      <c r="P2168" s="8" t="n"/>
      <c r="Q2168" s="8" t="n"/>
      <c r="R2168" s="8" t="n"/>
      <c r="S2168" s="8" t="n"/>
      <c r="T2168" s="7" t="inlineStr">
        <is>
          <t>SEM COTAÇÃO</t>
        </is>
      </c>
      <c r="U2168" s="8" t="n"/>
      <c r="V2168" s="14" t="n"/>
      <c r="W2168" s="14" t="n"/>
      <c r="X2168" s="7" t="inlineStr"/>
      <c r="Y2168" s="7" t="inlineStr"/>
    </row>
    <row r="2169">
      <c r="A2169" s="7" t="n">
        <v>656661</v>
      </c>
      <c r="B2169" s="12" t="inlineStr">
        <is>
          <t>7896012880319</t>
        </is>
      </c>
      <c r="C2169" s="7" t="inlineStr">
        <is>
          <t>FRD.AD.BIGFR.PLUS RE.E.XG 4X16</t>
        </is>
      </c>
      <c r="D2169" s="7" t="inlineStr">
        <is>
          <t>FRALDAS GERIATRICAS</t>
        </is>
      </c>
      <c r="E2169" s="7" t="inlineStr">
        <is>
          <t>C</t>
        </is>
      </c>
      <c r="F2169" s="13" t="n">
        <v>1</v>
      </c>
      <c r="G2169" s="13" t="n">
        <v>2</v>
      </c>
      <c r="H2169" s="8" t="n">
        <v>38.365</v>
      </c>
      <c r="I2169" s="8" t="n">
        <v>38.365</v>
      </c>
      <c r="J2169" s="8" t="n">
        <v>38.365</v>
      </c>
      <c r="K2169" s="8" t="n"/>
      <c r="L2169" s="8" t="n"/>
      <c r="M2169" s="8" t="n"/>
      <c r="N2169" s="8" t="n"/>
      <c r="O2169" s="8" t="n"/>
      <c r="P2169" s="8" t="n"/>
      <c r="Q2169" s="8" t="n"/>
      <c r="R2169" s="8" t="n"/>
      <c r="S2169" s="8" t="n"/>
      <c r="T2169" s="7" t="inlineStr">
        <is>
          <t>SEM COTAÇÃO</t>
        </is>
      </c>
      <c r="U2169" s="8" t="n"/>
      <c r="V2169" s="14" t="n"/>
      <c r="W2169" s="14" t="n"/>
      <c r="X2169" s="7" t="inlineStr"/>
      <c r="Y2169" s="7" t="inlineStr"/>
    </row>
    <row r="2170">
      <c r="A2170" s="7" t="n">
        <v>670001</v>
      </c>
      <c r="B2170" s="12" t="inlineStr">
        <is>
          <t>17896012880309</t>
        </is>
      </c>
      <c r="C2170" s="7" t="inlineStr">
        <is>
          <t>FRD.AD.BIGFR.PLUS REG.E.G 4X18</t>
        </is>
      </c>
      <c r="D2170" s="7" t="inlineStr">
        <is>
          <t>FRALDAS GERIATRICAS</t>
        </is>
      </c>
      <c r="E2170" s="7" t="inlineStr">
        <is>
          <t>C</t>
        </is>
      </c>
      <c r="F2170" s="13" t="n">
        <v>1</v>
      </c>
      <c r="G2170" s="13" t="n">
        <v>2</v>
      </c>
      <c r="H2170" s="8" t="n">
        <v>38.365</v>
      </c>
      <c r="I2170" s="8" t="n">
        <v>38.365</v>
      </c>
      <c r="J2170" s="8" t="n">
        <v>38.365</v>
      </c>
      <c r="K2170" s="8" t="n"/>
      <c r="L2170" s="8" t="n"/>
      <c r="M2170" s="8" t="n"/>
      <c r="N2170" s="8" t="n"/>
      <c r="O2170" s="8" t="n"/>
      <c r="P2170" s="8" t="n"/>
      <c r="Q2170" s="8" t="n"/>
      <c r="R2170" s="8" t="n"/>
      <c r="S2170" s="8" t="n"/>
      <c r="T2170" s="7" t="inlineStr">
        <is>
          <t>SEM COTAÇÃO</t>
        </is>
      </c>
      <c r="U2170" s="8" t="n"/>
      <c r="V2170" s="14" t="n"/>
      <c r="W2170" s="14" t="n"/>
      <c r="X2170" s="7" t="inlineStr"/>
      <c r="Y2170" s="7" t="inlineStr"/>
    </row>
    <row r="2171">
      <c r="A2171" s="7" t="n">
        <v>670011</v>
      </c>
      <c r="B2171" s="12" t="inlineStr">
        <is>
          <t>17896012881412</t>
        </is>
      </c>
      <c r="C2171" s="7" t="inlineStr">
        <is>
          <t>FRD.AD.BIGFR.R.I.D.P.G/XG 24</t>
        </is>
      </c>
      <c r="D2171" s="7" t="inlineStr">
        <is>
          <t>FRALDAS GERIATRICAS</t>
        </is>
      </c>
      <c r="E2171" s="7" t="inlineStr">
        <is>
          <t>C</t>
        </is>
      </c>
      <c r="F2171" s="13" t="n">
        <v>1</v>
      </c>
      <c r="G2171" s="13" t="n">
        <v>2</v>
      </c>
      <c r="H2171" s="8" t="n">
        <v>60.6</v>
      </c>
      <c r="I2171" s="8" t="n">
        <v>60.6</v>
      </c>
      <c r="J2171" s="8" t="n">
        <v>60.6</v>
      </c>
      <c r="K2171" s="8" t="n"/>
      <c r="L2171" s="8" t="n"/>
      <c r="M2171" s="8" t="n"/>
      <c r="N2171" s="8" t="n"/>
      <c r="O2171" s="8" t="n"/>
      <c r="P2171" s="8" t="n"/>
      <c r="Q2171" s="8" t="n"/>
      <c r="R2171" s="8" t="n"/>
      <c r="S2171" s="8" t="n"/>
      <c r="T2171" s="7" t="inlineStr">
        <is>
          <t>SEM COTAÇÃO</t>
        </is>
      </c>
      <c r="U2171" s="8" t="n"/>
      <c r="V2171" s="14" t="n"/>
      <c r="W2171" s="14" t="n"/>
      <c r="X2171" s="7" t="inlineStr"/>
      <c r="Y2171" s="7" t="inlineStr"/>
    </row>
    <row r="2172">
      <c r="A2172" s="7" t="n">
        <v>656681</v>
      </c>
      <c r="B2172" s="12" t="inlineStr">
        <is>
          <t>7896012879672</t>
        </is>
      </c>
      <c r="C2172" s="7" t="inlineStr">
        <is>
          <t>FRD.AD.BIGFR.R.I.MOV.F.P/M 8X7</t>
        </is>
      </c>
      <c r="D2172" s="7" t="inlineStr">
        <is>
          <t>FRALDAS GERIATRICAS</t>
        </is>
      </c>
      <c r="E2172" s="7" t="inlineStr">
        <is>
          <t>A</t>
        </is>
      </c>
      <c r="F2172" s="13" t="n">
        <v>1</v>
      </c>
      <c r="G2172" s="13" t="n">
        <v>3</v>
      </c>
      <c r="H2172" s="8" t="n">
        <v>16.6138</v>
      </c>
      <c r="I2172" s="8" t="n">
        <v>16.6138</v>
      </c>
      <c r="J2172" s="8" t="n">
        <v>16.6138</v>
      </c>
      <c r="K2172" s="8" t="n"/>
      <c r="L2172" s="8" t="n"/>
      <c r="M2172" s="8" t="n"/>
      <c r="N2172" s="8" t="n"/>
      <c r="O2172" s="8" t="n"/>
      <c r="P2172" s="8" t="n"/>
      <c r="Q2172" s="8" t="n"/>
      <c r="R2172" s="8" t="n"/>
      <c r="S2172" s="8" t="n"/>
      <c r="T2172" s="7" t="inlineStr">
        <is>
          <t>SEM COTAÇÃO</t>
        </is>
      </c>
      <c r="U2172" s="8" t="n"/>
      <c r="V2172" s="14" t="n"/>
      <c r="W2172" s="14" t="n"/>
      <c r="X2172" s="7" t="inlineStr"/>
      <c r="Y2172" s="7" t="inlineStr"/>
    </row>
    <row r="2173">
      <c r="A2173" s="7" t="n">
        <v>670031</v>
      </c>
      <c r="B2173" s="12" t="inlineStr">
        <is>
          <t>17896012881429</t>
        </is>
      </c>
      <c r="C2173" s="7" t="inlineStr">
        <is>
          <t>FRD.AD.BIGFR.R.I.MOV.P/M 4X32</t>
        </is>
      </c>
      <c r="D2173" s="7" t="inlineStr">
        <is>
          <t>FRALDAS GERIATRICAS</t>
        </is>
      </c>
      <c r="E2173" s="7" t="inlineStr">
        <is>
          <t>B</t>
        </is>
      </c>
      <c r="F2173" s="13" t="n">
        <v>1</v>
      </c>
      <c r="G2173" s="13" t="n">
        <v>2</v>
      </c>
      <c r="H2173" s="8" t="n">
        <v>68.51000000000001</v>
      </c>
      <c r="I2173" s="8" t="n">
        <v>68.51000000000001</v>
      </c>
      <c r="J2173" s="8" t="n">
        <v>68.51000000000001</v>
      </c>
      <c r="K2173" s="8" t="n"/>
      <c r="L2173" s="8" t="n"/>
      <c r="M2173" s="8" t="n"/>
      <c r="N2173" s="8" t="n"/>
      <c r="O2173" s="8" t="n"/>
      <c r="P2173" s="8" t="n"/>
      <c r="Q2173" s="8" t="n"/>
      <c r="R2173" s="8" t="n"/>
      <c r="S2173" s="8" t="n"/>
      <c r="T2173" s="7" t="inlineStr">
        <is>
          <t>SEM COTAÇÃO</t>
        </is>
      </c>
      <c r="U2173" s="8" t="n"/>
      <c r="V2173" s="14" t="n"/>
      <c r="W2173" s="14" t="n"/>
      <c r="X2173" s="7" t="inlineStr"/>
      <c r="Y2173" s="7" t="inlineStr"/>
    </row>
    <row r="2174">
      <c r="A2174" s="7" t="n">
        <v>656691</v>
      </c>
      <c r="B2174" s="12" t="inlineStr">
        <is>
          <t>7896012880708</t>
        </is>
      </c>
      <c r="C2174" s="7" t="inlineStr">
        <is>
          <t>FRD.AD.BIGFR.R.INT.NO.G/XG 8X7</t>
        </is>
      </c>
      <c r="D2174" s="7" t="inlineStr">
        <is>
          <t>FRALDAS GERIATRICAS</t>
        </is>
      </c>
      <c r="E2174" s="7" t="inlineStr">
        <is>
          <t>C</t>
        </is>
      </c>
      <c r="F2174" s="13" t="n">
        <v>1</v>
      </c>
      <c r="G2174" s="13" t="n">
        <v>3</v>
      </c>
      <c r="H2174" s="8" t="n">
        <v>23.0325</v>
      </c>
      <c r="I2174" s="8" t="n">
        <v>23.0325</v>
      </c>
      <c r="J2174" s="8" t="n">
        <v>23.0325</v>
      </c>
      <c r="K2174" s="8" t="n"/>
      <c r="L2174" s="8" t="n"/>
      <c r="M2174" s="8" t="n"/>
      <c r="N2174" s="8" t="n"/>
      <c r="O2174" s="8" t="n"/>
      <c r="P2174" s="8" t="n"/>
      <c r="Q2174" s="8" t="n"/>
      <c r="R2174" s="8" t="n"/>
      <c r="S2174" s="8" t="n"/>
      <c r="T2174" s="7" t="inlineStr">
        <is>
          <t>SEM COTAÇÃO</t>
        </is>
      </c>
      <c r="U2174" s="8" t="n"/>
      <c r="V2174" s="14" t="n"/>
      <c r="W2174" s="14" t="n"/>
      <c r="X2174" s="7" t="inlineStr"/>
      <c r="Y2174" s="7" t="inlineStr"/>
    </row>
    <row r="2175">
      <c r="A2175" s="7" t="n">
        <v>656701</v>
      </c>
      <c r="B2175" s="12" t="inlineStr">
        <is>
          <t>7896012880029</t>
        </is>
      </c>
      <c r="C2175" s="7" t="inlineStr">
        <is>
          <t>FRD.AD.BIGFR.ROUPA I.P/M 8X7</t>
        </is>
      </c>
      <c r="D2175" s="7" t="inlineStr">
        <is>
          <t>FRALDAS GERIATRICAS</t>
        </is>
      </c>
      <c r="E2175" s="7" t="inlineStr">
        <is>
          <t>C</t>
        </is>
      </c>
      <c r="F2175" s="13" t="n">
        <v>1</v>
      </c>
      <c r="G2175" s="13" t="n">
        <v>1</v>
      </c>
      <c r="H2175" s="8" t="n">
        <v>18.2862</v>
      </c>
      <c r="I2175" s="8" t="n">
        <v>18.2862</v>
      </c>
      <c r="J2175" s="8" t="n">
        <v>18.2862</v>
      </c>
      <c r="K2175" s="8" t="n"/>
      <c r="L2175" s="8" t="n"/>
      <c r="M2175" s="8" t="n"/>
      <c r="N2175" s="8" t="n"/>
      <c r="O2175" s="8" t="n"/>
      <c r="P2175" s="8" t="n"/>
      <c r="Q2175" s="8" t="n"/>
      <c r="R2175" s="8" t="n"/>
      <c r="S2175" s="8" t="n"/>
      <c r="T2175" s="7" t="inlineStr">
        <is>
          <t>SEM COTAÇÃO</t>
        </is>
      </c>
      <c r="U2175" s="8" t="n"/>
      <c r="V2175" s="14" t="n"/>
      <c r="W2175" s="14" t="n"/>
      <c r="X2175" s="7" t="inlineStr"/>
      <c r="Y2175" s="7" t="inlineStr"/>
    </row>
    <row r="2176">
      <c r="A2176" s="7" t="n">
        <v>699701</v>
      </c>
      <c r="B2176" s="12" t="inlineStr">
        <is>
          <t>7898656391749</t>
        </is>
      </c>
      <c r="C2176" s="7" t="inlineStr">
        <is>
          <t>FRD.AD.LIFREE EXT.AB.G/XG 4X16</t>
        </is>
      </c>
      <c r="D2176" s="7" t="inlineStr">
        <is>
          <t>FRALDAS GERIATRICAS</t>
        </is>
      </c>
      <c r="E2176" s="7" t="inlineStr">
        <is>
          <t>A</t>
        </is>
      </c>
      <c r="F2176" s="13" t="n">
        <v>1</v>
      </c>
      <c r="G2176" s="13" t="n">
        <v>3</v>
      </c>
      <c r="H2176" s="8" t="n">
        <v>46.4125</v>
      </c>
      <c r="I2176" s="8" t="n">
        <v>46.4125</v>
      </c>
      <c r="J2176" s="8" t="n">
        <v>46.4125</v>
      </c>
      <c r="K2176" s="8" t="n"/>
      <c r="L2176" s="8" t="n"/>
      <c r="M2176" s="8" t="n"/>
      <c r="N2176" s="8" t="n"/>
      <c r="O2176" s="8" t="n"/>
      <c r="P2176" s="8" t="n"/>
      <c r="Q2176" s="8" t="n"/>
      <c r="R2176" s="8" t="n"/>
      <c r="S2176" s="8" t="n"/>
      <c r="T2176" s="7" t="inlineStr">
        <is>
          <t>SEM COTAÇÃO</t>
        </is>
      </c>
      <c r="U2176" s="8" t="n"/>
      <c r="V2176" s="14" t="n"/>
      <c r="W2176" s="14" t="n"/>
      <c r="X2176" s="7" t="inlineStr"/>
      <c r="Y2176" s="7" t="inlineStr"/>
    </row>
    <row r="2177">
      <c r="A2177" s="7" t="n">
        <v>699801</v>
      </c>
      <c r="B2177" s="12" t="inlineStr">
        <is>
          <t>7898656391718</t>
        </is>
      </c>
      <c r="C2177" s="7" t="inlineStr">
        <is>
          <t>FRD.AD.LIFREE EXT.AB.P/M 6X9</t>
        </is>
      </c>
      <c r="D2177" s="7" t="inlineStr">
        <is>
          <t>FRALDAS GERIATRICAS</t>
        </is>
      </c>
      <c r="E2177" s="7" t="inlineStr">
        <is>
          <t>A</t>
        </is>
      </c>
      <c r="F2177" s="13" t="n">
        <v>1</v>
      </c>
      <c r="G2177" s="13" t="n">
        <v>4</v>
      </c>
      <c r="H2177" s="8" t="n">
        <v>26.475</v>
      </c>
      <c r="I2177" s="8" t="n">
        <v>26.475</v>
      </c>
      <c r="J2177" s="8" t="n">
        <v>26.475</v>
      </c>
      <c r="K2177" s="8" t="n"/>
      <c r="L2177" s="8" t="n"/>
      <c r="M2177" s="8" t="n"/>
      <c r="N2177" s="8" t="n"/>
      <c r="O2177" s="8" t="n"/>
      <c r="P2177" s="8" t="n"/>
      <c r="Q2177" s="8" t="n"/>
      <c r="R2177" s="8" t="n"/>
      <c r="S2177" s="8" t="n"/>
      <c r="T2177" s="7" t="inlineStr">
        <is>
          <t>SEM COTAÇÃO</t>
        </is>
      </c>
      <c r="U2177" s="8" t="n"/>
      <c r="V2177" s="14" t="n"/>
      <c r="W2177" s="14" t="n"/>
      <c r="X2177" s="7" t="inlineStr"/>
      <c r="Y2177" s="7" t="inlineStr"/>
    </row>
    <row r="2178">
      <c r="A2178" s="7" t="n">
        <v>670051</v>
      </c>
      <c r="B2178" s="12" t="inlineStr">
        <is>
          <t>7896770982362</t>
        </is>
      </c>
      <c r="C2178" s="7" t="inlineStr">
        <is>
          <t>FRD.AD.TENA NOT.SLIP G 3X24 OF</t>
        </is>
      </c>
      <c r="D2178" s="7" t="inlineStr">
        <is>
          <t>FRALDAS GERIATRICAS</t>
        </is>
      </c>
      <c r="E2178" s="7" t="inlineStr">
        <is>
          <t>C</t>
        </is>
      </c>
      <c r="F2178" s="13" t="n">
        <v>1</v>
      </c>
      <c r="G2178" s="13" t="n">
        <v>1</v>
      </c>
      <c r="H2178" s="8" t="n">
        <v>64.2867</v>
      </c>
      <c r="I2178" s="8" t="n">
        <v>64.2867</v>
      </c>
      <c r="J2178" s="8" t="n">
        <v>64.2867</v>
      </c>
      <c r="K2178" s="8" t="n"/>
      <c r="L2178" s="8" t="n"/>
      <c r="M2178" s="8" t="n"/>
      <c r="N2178" s="8" t="n"/>
      <c r="O2178" s="8" t="n"/>
      <c r="P2178" s="8" t="n"/>
      <c r="Q2178" s="8" t="n"/>
      <c r="R2178" s="8" t="n"/>
      <c r="S2178" s="8" t="n"/>
      <c r="T2178" s="7" t="inlineStr">
        <is>
          <t>SEM COTAÇÃO</t>
        </is>
      </c>
      <c r="U2178" s="8" t="n"/>
      <c r="V2178" s="14" t="n"/>
      <c r="W2178" s="14" t="n"/>
      <c r="X2178" s="7" t="inlineStr"/>
      <c r="Y2178" s="7" t="inlineStr"/>
    </row>
    <row r="2179">
      <c r="A2179" s="7" t="n">
        <v>670071</v>
      </c>
      <c r="B2179" s="12" t="inlineStr">
        <is>
          <t>17896770982864</t>
        </is>
      </c>
      <c r="C2179" s="7" t="inlineStr">
        <is>
          <t>FRD.AD.TENA PANT.DE.G 4X16 OF</t>
        </is>
      </c>
      <c r="D2179" s="7" t="inlineStr">
        <is>
          <t>FRALDAS GERIATRICAS</t>
        </is>
      </c>
      <c r="E2179" s="7" t="inlineStr">
        <is>
          <t>C</t>
        </is>
      </c>
      <c r="F2179" s="13" t="n">
        <v>1</v>
      </c>
      <c r="G2179" s="13" t="n">
        <v>2</v>
      </c>
      <c r="H2179" s="8" t="n">
        <v>39.0775</v>
      </c>
      <c r="I2179" s="8" t="n">
        <v>39.0775</v>
      </c>
      <c r="J2179" s="8" t="n">
        <v>39.0775</v>
      </c>
      <c r="K2179" s="8" t="n"/>
      <c r="L2179" s="8" t="n"/>
      <c r="M2179" s="8" t="n"/>
      <c r="N2179" s="8" t="n"/>
      <c r="O2179" s="8" t="n"/>
      <c r="P2179" s="15" t="n">
        <v>59.9266</v>
      </c>
      <c r="Q2179" s="8" t="n"/>
      <c r="R2179" s="8" t="n"/>
      <c r="S2179" s="8" t="n"/>
      <c r="T2179" s="7" t="inlineStr">
        <is>
          <t>NAZARIA</t>
        </is>
      </c>
      <c r="U2179" s="8" t="n">
        <v>59.9266</v>
      </c>
      <c r="V2179" s="14">
        <f>U2179/J2179-1</f>
        <v/>
      </c>
      <c r="W2179" s="14">
        <f>U2179/H2179-1</f>
        <v/>
      </c>
      <c r="X2179" s="16" t="inlineStr">
        <is>
          <t>ACIMA +53.4%</t>
        </is>
      </c>
      <c r="Y2179" s="7" t="inlineStr"/>
    </row>
    <row r="2180">
      <c r="A2180" s="7" t="n">
        <v>670081</v>
      </c>
      <c r="B2180" s="12" t="inlineStr">
        <is>
          <t>17896770980785</t>
        </is>
      </c>
      <c r="C2180" s="7" t="inlineStr">
        <is>
          <t>FRD.AD.TENA PANT.DERM.P/M 4X16</t>
        </is>
      </c>
      <c r="D2180" s="7" t="inlineStr">
        <is>
          <t>FRALDAS GERIATRICAS</t>
        </is>
      </c>
      <c r="E2180" s="7" t="inlineStr">
        <is>
          <t>C</t>
        </is>
      </c>
      <c r="F2180" s="13" t="n">
        <v>1</v>
      </c>
      <c r="G2180" s="13" t="n">
        <v>1</v>
      </c>
      <c r="H2180" s="8" t="n">
        <v>39.585</v>
      </c>
      <c r="I2180" s="8" t="n">
        <v>39.585</v>
      </c>
      <c r="J2180" s="8" t="n">
        <v>39.585</v>
      </c>
      <c r="K2180" s="8" t="n"/>
      <c r="L2180" s="8" t="n"/>
      <c r="M2180" s="8" t="n"/>
      <c r="N2180" s="8" t="n"/>
      <c r="O2180" s="8" t="n"/>
      <c r="P2180" s="8" t="n"/>
      <c r="Q2180" s="8" t="n"/>
      <c r="R2180" s="8" t="n"/>
      <c r="S2180" s="8" t="n"/>
      <c r="T2180" s="7" t="inlineStr">
        <is>
          <t>SEM COTAÇÃO</t>
        </is>
      </c>
      <c r="U2180" s="8" t="n"/>
      <c r="V2180" s="14" t="n"/>
      <c r="W2180" s="14" t="n"/>
      <c r="X2180" s="7" t="inlineStr"/>
      <c r="Y2180" s="7" t="inlineStr"/>
    </row>
    <row r="2181">
      <c r="A2181" s="7" t="n">
        <v>674201</v>
      </c>
      <c r="B2181" s="12" t="inlineStr">
        <is>
          <t>17898064035584</t>
        </is>
      </c>
      <c r="C2181" s="7" t="inlineStr">
        <is>
          <t>FRD.CREMER JUMBO G 8X24</t>
        </is>
      </c>
      <c r="D2181" s="7" t="inlineStr">
        <is>
          <t>FRALDAS INFANTIL</t>
        </is>
      </c>
      <c r="E2181" s="7" t="inlineStr">
        <is>
          <t>C</t>
        </is>
      </c>
      <c r="F2181" s="13" t="n">
        <v>1</v>
      </c>
      <c r="G2181" s="13" t="n">
        <v>1</v>
      </c>
      <c r="H2181" s="8" t="n">
        <v>16.2638</v>
      </c>
      <c r="I2181" s="8" t="n">
        <v>16.2638</v>
      </c>
      <c r="J2181" s="8" t="n">
        <v>16.2638</v>
      </c>
      <c r="K2181" s="8" t="n"/>
      <c r="L2181" s="8" t="n"/>
      <c r="M2181" s="8" t="n"/>
      <c r="N2181" s="8" t="n"/>
      <c r="O2181" s="8" t="n"/>
      <c r="P2181" s="8" t="n"/>
      <c r="Q2181" s="8" t="n"/>
      <c r="R2181" s="8" t="n"/>
      <c r="S2181" s="8" t="n"/>
      <c r="T2181" s="7" t="inlineStr">
        <is>
          <t>SEM COTAÇÃO</t>
        </is>
      </c>
      <c r="U2181" s="8" t="n"/>
      <c r="V2181" s="14" t="n"/>
      <c r="W2181" s="14" t="n"/>
      <c r="X2181" s="7" t="inlineStr"/>
      <c r="Y2181" s="7" t="inlineStr"/>
    </row>
    <row r="2182">
      <c r="A2182" s="7" t="n">
        <v>674211</v>
      </c>
      <c r="B2182" s="12" t="inlineStr">
        <is>
          <t>17898064035614</t>
        </is>
      </c>
      <c r="C2182" s="7" t="inlineStr">
        <is>
          <t>FRD.CREMER JUMBO XG 8X20</t>
        </is>
      </c>
      <c r="D2182" s="7" t="inlineStr">
        <is>
          <t>FRALDAS INFANTIL</t>
        </is>
      </c>
      <c r="E2182" s="7" t="inlineStr">
        <is>
          <t>C</t>
        </is>
      </c>
      <c r="F2182" s="13" t="n">
        <v>1</v>
      </c>
      <c r="G2182" s="13" t="n">
        <v>2</v>
      </c>
      <c r="H2182" s="8" t="n">
        <v>16.2638</v>
      </c>
      <c r="I2182" s="8" t="n">
        <v>16.2638</v>
      </c>
      <c r="J2182" s="8" t="n">
        <v>16.2638</v>
      </c>
      <c r="K2182" s="8" t="n"/>
      <c r="L2182" s="8" t="n"/>
      <c r="M2182" s="8" t="n"/>
      <c r="N2182" s="8" t="n"/>
      <c r="O2182" s="8" t="n"/>
      <c r="P2182" s="8" t="n"/>
      <c r="Q2182" s="8" t="n"/>
      <c r="R2182" s="8" t="n"/>
      <c r="S2182" s="8" t="n"/>
      <c r="T2182" s="7" t="inlineStr">
        <is>
          <t>SEM COTAÇÃO</t>
        </is>
      </c>
      <c r="U2182" s="8" t="n"/>
      <c r="V2182" s="14" t="n"/>
      <c r="W2182" s="14" t="n"/>
      <c r="X2182" s="7" t="inlineStr"/>
      <c r="Y2182" s="7" t="inlineStr"/>
    </row>
    <row r="2183">
      <c r="A2183" s="7" t="n">
        <v>667701</v>
      </c>
      <c r="B2183" s="12" t="inlineStr">
        <is>
          <t>7896480691646</t>
        </is>
      </c>
      <c r="C2183" s="7" t="inlineStr">
        <is>
          <t>FRD.ENLACE B.SH.SU.CO.G 4X60</t>
        </is>
      </c>
      <c r="D2183" s="7" t="inlineStr">
        <is>
          <t>FRALDAS INFANTIL</t>
        </is>
      </c>
      <c r="E2183" s="7" t="inlineStr">
        <is>
          <t>A</t>
        </is>
      </c>
      <c r="F2183" s="13" t="n">
        <v>1</v>
      </c>
      <c r="G2183" s="13" t="n">
        <v>2</v>
      </c>
      <c r="H2183" s="8" t="n">
        <v>46.82</v>
      </c>
      <c r="I2183" s="8" t="n">
        <v>39.7125</v>
      </c>
      <c r="J2183" s="8" t="n">
        <v>44.45083333333333</v>
      </c>
      <c r="K2183" s="8" t="n"/>
      <c r="L2183" s="8" t="n"/>
      <c r="M2183" s="8" t="n"/>
      <c r="N2183" s="8" t="n"/>
      <c r="O2183" s="8" t="n"/>
      <c r="P2183" s="8" t="n"/>
      <c r="Q2183" s="8" t="n"/>
      <c r="R2183" s="8" t="n"/>
      <c r="S2183" s="8" t="n"/>
      <c r="T2183" s="7" t="inlineStr">
        <is>
          <t>SEM COTAÇÃO</t>
        </is>
      </c>
      <c r="U2183" s="8" t="n"/>
      <c r="V2183" s="14" t="n"/>
      <c r="W2183" s="14" t="n"/>
      <c r="X2183" s="7" t="inlineStr"/>
      <c r="Y2183" s="7" t="inlineStr"/>
    </row>
    <row r="2184">
      <c r="A2184" s="7" t="n">
        <v>667731</v>
      </c>
      <c r="B2184" s="12" t="inlineStr">
        <is>
          <t>7896480691653</t>
        </is>
      </c>
      <c r="C2184" s="7" t="inlineStr">
        <is>
          <t>FRD.ENLACE B.SH.SU.CO.XG 4X48</t>
        </is>
      </c>
      <c r="D2184" s="7" t="inlineStr">
        <is>
          <t>FRALDAS INFANTIL</t>
        </is>
      </c>
      <c r="E2184" s="7" t="inlineStr">
        <is>
          <t>A</t>
        </is>
      </c>
      <c r="F2184" s="13" t="n">
        <v>1</v>
      </c>
      <c r="G2184" s="13" t="n">
        <v>4</v>
      </c>
      <c r="H2184" s="8" t="n">
        <v>47.5325</v>
      </c>
      <c r="I2184" s="8" t="n">
        <v>39.7125</v>
      </c>
      <c r="J2184" s="8" t="n">
        <v>44.92583333333334</v>
      </c>
      <c r="K2184" s="8" t="n"/>
      <c r="L2184" s="8" t="n"/>
      <c r="M2184" s="8" t="n"/>
      <c r="N2184" s="8" t="n"/>
      <c r="O2184" s="8" t="n"/>
      <c r="P2184" s="8" t="n"/>
      <c r="Q2184" s="8" t="n"/>
      <c r="R2184" s="8" t="n"/>
      <c r="S2184" s="8" t="n"/>
      <c r="T2184" s="7" t="inlineStr">
        <is>
          <t>SEM COTAÇÃO</t>
        </is>
      </c>
      <c r="U2184" s="8" t="n"/>
      <c r="V2184" s="14" t="n"/>
      <c r="W2184" s="14" t="n"/>
      <c r="X2184" s="7" t="inlineStr"/>
      <c r="Y2184" s="7" t="inlineStr"/>
    </row>
    <row r="2185">
      <c r="A2185" s="7" t="n">
        <v>664231</v>
      </c>
      <c r="B2185" s="12" t="inlineStr">
        <is>
          <t>7896480691622</t>
        </is>
      </c>
      <c r="C2185" s="7" t="inlineStr">
        <is>
          <t>FRD.ENLACE B.SH.SU.CO.XXG 22</t>
        </is>
      </c>
      <c r="D2185" s="7" t="inlineStr">
        <is>
          <t>FRALDAS INFANTIL</t>
        </is>
      </c>
      <c r="E2185" s="7" t="inlineStr">
        <is>
          <t>A</t>
        </is>
      </c>
      <c r="F2185" s="13" t="n">
        <v>1</v>
      </c>
      <c r="G2185" s="13" t="n">
        <v>4</v>
      </c>
      <c r="H2185" s="8" t="n">
        <v>25.6617</v>
      </c>
      <c r="I2185" s="8" t="n">
        <v>22.3683</v>
      </c>
      <c r="J2185" s="8" t="n">
        <v>24.5639</v>
      </c>
      <c r="K2185" s="8" t="n"/>
      <c r="L2185" s="8" t="n"/>
      <c r="M2185" s="8" t="n"/>
      <c r="N2185" s="8" t="n"/>
      <c r="O2185" s="8" t="n"/>
      <c r="P2185" s="8" t="n"/>
      <c r="Q2185" s="8" t="n"/>
      <c r="R2185" s="8" t="n"/>
      <c r="S2185" s="8" t="n"/>
      <c r="T2185" s="7" t="inlineStr">
        <is>
          <t>SEM COTAÇÃO</t>
        </is>
      </c>
      <c r="U2185" s="8" t="n"/>
      <c r="V2185" s="14" t="n"/>
      <c r="W2185" s="14" t="n"/>
      <c r="X2185" s="7" t="inlineStr"/>
      <c r="Y2185" s="7" t="inlineStr"/>
    </row>
    <row r="2186">
      <c r="A2186" s="7" t="n">
        <v>664261</v>
      </c>
      <c r="B2186" s="12" t="inlineStr">
        <is>
          <t>7896480692032</t>
        </is>
      </c>
      <c r="C2186" s="7" t="inlineStr">
        <is>
          <t>FRD.ENLACE B.SUP.CONF.XG 24</t>
        </is>
      </c>
      <c r="D2186" s="7" t="inlineStr">
        <is>
          <t>FRALDAS INFANTIL</t>
        </is>
      </c>
      <c r="E2186" s="7" t="inlineStr">
        <is>
          <t>A</t>
        </is>
      </c>
      <c r="F2186" s="13" t="n">
        <v>1</v>
      </c>
      <c r="G2186" s="13" t="n">
        <v>4</v>
      </c>
      <c r="H2186" s="8" t="n">
        <v>18.7388</v>
      </c>
      <c r="I2186" s="8" t="n">
        <v>18.7388</v>
      </c>
      <c r="J2186" s="8" t="n">
        <v>18.7388</v>
      </c>
      <c r="K2186" s="8" t="n"/>
      <c r="L2186" s="8" t="n"/>
      <c r="M2186" s="8" t="n"/>
      <c r="N2186" s="8" t="n"/>
      <c r="O2186" s="8" t="n"/>
      <c r="P2186" s="8" t="n"/>
      <c r="Q2186" s="8" t="n"/>
      <c r="R2186" s="8" t="n"/>
      <c r="S2186" s="8" t="n"/>
      <c r="T2186" s="7" t="inlineStr">
        <is>
          <t>SEM COTAÇÃO</t>
        </is>
      </c>
      <c r="U2186" s="8" t="n"/>
      <c r="V2186" s="14" t="n"/>
      <c r="W2186" s="14" t="n"/>
      <c r="X2186" s="7" t="inlineStr"/>
      <c r="Y2186" s="7" t="inlineStr"/>
    </row>
    <row r="2187">
      <c r="A2187" s="7" t="n">
        <v>614811</v>
      </c>
      <c r="B2187" s="12" t="inlineStr">
        <is>
          <t>17898656390206</t>
        </is>
      </c>
      <c r="C2187" s="7" t="inlineStr">
        <is>
          <t>FRD.MAMYP.CALCA DN.JB.M 4X34</t>
        </is>
      </c>
      <c r="D2187" s="7" t="inlineStr">
        <is>
          <t>FRALDAS INFANTIL</t>
        </is>
      </c>
      <c r="E2187" s="7" t="inlineStr">
        <is>
          <t>B</t>
        </is>
      </c>
      <c r="F2187" s="13" t="n">
        <v>3</v>
      </c>
      <c r="G2187" s="13" t="n">
        <v>3</v>
      </c>
      <c r="H2187" s="8" t="n">
        <v>45.49</v>
      </c>
      <c r="I2187" s="8" t="n">
        <v>45.49</v>
      </c>
      <c r="J2187" s="8" t="n">
        <v>45.49</v>
      </c>
      <c r="K2187" s="8" t="n"/>
      <c r="L2187" s="8" t="n"/>
      <c r="M2187" s="8" t="n"/>
      <c r="N2187" s="8" t="n"/>
      <c r="O2187" s="8" t="n"/>
      <c r="P2187" s="8" t="n"/>
      <c r="Q2187" s="8" t="n"/>
      <c r="R2187" s="8" t="n"/>
      <c r="S2187" s="8" t="n"/>
      <c r="T2187" s="7" t="inlineStr">
        <is>
          <t>SEM COTAÇÃO</t>
        </is>
      </c>
      <c r="U2187" s="8" t="n"/>
      <c r="V2187" s="14" t="n"/>
      <c r="W2187" s="14" t="n"/>
      <c r="X2187" s="7" t="inlineStr"/>
      <c r="Y2187" s="7" t="inlineStr"/>
    </row>
    <row r="2188">
      <c r="A2188" s="7" t="n">
        <v>606261</v>
      </c>
      <c r="B2188" s="12" t="inlineStr">
        <is>
          <t>7896110011219</t>
        </is>
      </c>
      <c r="C2188" s="7" t="inlineStr">
        <is>
          <t>FRD.PERSONAL HIPER XG 4X50 OF</t>
        </is>
      </c>
      <c r="D2188" s="7" t="inlineStr">
        <is>
          <t>FRALDAS INFANTIL</t>
        </is>
      </c>
      <c r="E2188" s="7" t="inlineStr">
        <is>
          <t>C</t>
        </is>
      </c>
      <c r="F2188" s="13" t="n">
        <v>1</v>
      </c>
      <c r="G2188" s="13" t="n">
        <v>1</v>
      </c>
      <c r="H2188" s="8" t="n">
        <v>49.83</v>
      </c>
      <c r="I2188" s="8" t="n">
        <v>49.83</v>
      </c>
      <c r="J2188" s="8" t="n">
        <v>49.83000000000001</v>
      </c>
      <c r="K2188" s="8" t="n"/>
      <c r="L2188" s="8" t="n"/>
      <c r="M2188" s="8" t="n"/>
      <c r="N2188" s="8" t="n"/>
      <c r="O2188" s="8" t="n"/>
      <c r="P2188" s="8" t="n"/>
      <c r="Q2188" s="8" t="n"/>
      <c r="R2188" s="8" t="n"/>
      <c r="S2188" s="8" t="n"/>
      <c r="T2188" s="7" t="inlineStr">
        <is>
          <t>SEM COTAÇÃO</t>
        </is>
      </c>
      <c r="U2188" s="8" t="n"/>
      <c r="V2188" s="14" t="n"/>
      <c r="W2188" s="14" t="n"/>
      <c r="X2188" s="7" t="inlineStr"/>
      <c r="Y2188" s="7" t="inlineStr"/>
    </row>
    <row r="2189">
      <c r="A2189" s="7" t="n">
        <v>661661</v>
      </c>
      <c r="B2189" s="12" t="inlineStr">
        <is>
          <t>17896012880439</t>
        </is>
      </c>
      <c r="C2189" s="7" t="inlineStr">
        <is>
          <t>FRD.POM POM CLAS.JB.P 8X30</t>
        </is>
      </c>
      <c r="D2189" s="7" t="inlineStr">
        <is>
          <t>FRALDAS INFANTIL</t>
        </is>
      </c>
      <c r="E2189" s="7" t="inlineStr">
        <is>
          <t>C</t>
        </is>
      </c>
      <c r="F2189" s="13" t="n">
        <v>1</v>
      </c>
      <c r="G2189" s="13" t="n">
        <v>1</v>
      </c>
      <c r="H2189" s="8" t="n">
        <v>15.09</v>
      </c>
      <c r="I2189" s="8" t="n">
        <v>15.09</v>
      </c>
      <c r="J2189" s="8" t="n">
        <v>15.09</v>
      </c>
      <c r="K2189" s="8" t="n"/>
      <c r="L2189" s="8" t="n"/>
      <c r="M2189" s="8" t="n"/>
      <c r="N2189" s="8" t="n"/>
      <c r="O2189" s="8" t="n"/>
      <c r="P2189" s="8" t="n"/>
      <c r="Q2189" s="8" t="n"/>
      <c r="R2189" s="8" t="n"/>
      <c r="S2189" s="8" t="n"/>
      <c r="T2189" s="7" t="inlineStr">
        <is>
          <t>SEM COTAÇÃO</t>
        </is>
      </c>
      <c r="U2189" s="8" t="n"/>
      <c r="V2189" s="14" t="n"/>
      <c r="W2189" s="14" t="n"/>
      <c r="X2189" s="7" t="inlineStr"/>
      <c r="Y2189" s="7" t="inlineStr"/>
    </row>
    <row r="2190">
      <c r="A2190" s="7" t="n">
        <v>606291</v>
      </c>
      <c r="B2190" s="12" t="inlineStr">
        <is>
          <t>7896012880463</t>
        </is>
      </c>
      <c r="C2190" s="7" t="inlineStr">
        <is>
          <t>FRD.POM POM CLAS.JB.XG 8X20</t>
        </is>
      </c>
      <c r="D2190" s="7" t="inlineStr">
        <is>
          <t>FRALDAS INFANTIL</t>
        </is>
      </c>
      <c r="E2190" s="7" t="inlineStr">
        <is>
          <t>C</t>
        </is>
      </c>
      <c r="F2190" s="13" t="n">
        <v>1</v>
      </c>
      <c r="G2190" s="13" t="n">
        <v>1</v>
      </c>
      <c r="H2190" s="8" t="n">
        <v>15.09</v>
      </c>
      <c r="I2190" s="8" t="n">
        <v>15.09</v>
      </c>
      <c r="J2190" s="8" t="n">
        <v>15.09</v>
      </c>
      <c r="K2190" s="8" t="n"/>
      <c r="L2190" s="8" t="n"/>
      <c r="M2190" s="8" t="n"/>
      <c r="N2190" s="8" t="n"/>
      <c r="O2190" s="8" t="n"/>
      <c r="P2190" s="8" t="n"/>
      <c r="Q2190" s="8" t="n"/>
      <c r="R2190" s="8" t="n"/>
      <c r="S2190" s="8" t="n"/>
      <c r="T2190" s="7" t="inlineStr">
        <is>
          <t>SEM COTAÇÃO</t>
        </is>
      </c>
      <c r="U2190" s="8" t="n"/>
      <c r="V2190" s="14" t="n"/>
      <c r="W2190" s="14" t="n"/>
      <c r="X2190" s="7" t="inlineStr"/>
      <c r="Y2190" s="7" t="inlineStr"/>
    </row>
    <row r="2191">
      <c r="A2191" s="7" t="n">
        <v>661671</v>
      </c>
      <c r="B2191" s="12" t="inlineStr">
        <is>
          <t>17896012880477</t>
        </is>
      </c>
      <c r="C2191" s="7" t="inlineStr">
        <is>
          <t>FRD.POM POM CLAS.JB.XXG 8X16</t>
        </is>
      </c>
      <c r="D2191" s="7" t="inlineStr">
        <is>
          <t>FRALDAS INFANTIL</t>
        </is>
      </c>
      <c r="E2191" s="7" t="inlineStr">
        <is>
          <t>C</t>
        </is>
      </c>
      <c r="F2191" s="13" t="n">
        <v>1</v>
      </c>
      <c r="G2191" s="13" t="n">
        <v>2</v>
      </c>
      <c r="H2191" s="8" t="n">
        <v>15.09</v>
      </c>
      <c r="I2191" s="8" t="n">
        <v>15.09</v>
      </c>
      <c r="J2191" s="8" t="n">
        <v>15.09</v>
      </c>
      <c r="K2191" s="8" t="n"/>
      <c r="L2191" s="8" t="n"/>
      <c r="M2191" s="8" t="n"/>
      <c r="N2191" s="8" t="n"/>
      <c r="O2191" s="8" t="n"/>
      <c r="P2191" s="8" t="n"/>
      <c r="Q2191" s="8" t="n"/>
      <c r="R2191" s="8" t="n"/>
      <c r="S2191" s="8" t="n"/>
      <c r="T2191" s="7" t="inlineStr">
        <is>
          <t>SEM COTAÇÃO</t>
        </is>
      </c>
      <c r="U2191" s="8" t="n"/>
      <c r="V2191" s="14" t="n"/>
      <c r="W2191" s="14" t="n"/>
      <c r="X2191" s="7" t="inlineStr"/>
      <c r="Y2191" s="7" t="inlineStr"/>
    </row>
    <row r="2192">
      <c r="A2192" s="7" t="n">
        <v>606311</v>
      </c>
      <c r="B2192" s="12" t="inlineStr">
        <is>
          <t>7896012880456</t>
        </is>
      </c>
      <c r="C2192" s="7" t="inlineStr">
        <is>
          <t>FRD.POM POM DERM.JUMB.G 6X24</t>
        </is>
      </c>
      <c r="D2192" s="7" t="inlineStr">
        <is>
          <t>FRALDAS INFANTIL</t>
        </is>
      </c>
      <c r="E2192" s="7" t="inlineStr">
        <is>
          <t>B</t>
        </is>
      </c>
      <c r="F2192" s="13" t="n">
        <v>4</v>
      </c>
      <c r="G2192" s="13" t="n">
        <v>4</v>
      </c>
      <c r="H2192" s="8" t="n">
        <v>21.905</v>
      </c>
      <c r="I2192" s="8" t="n">
        <v>21.905</v>
      </c>
      <c r="J2192" s="8" t="n">
        <v>21.905</v>
      </c>
      <c r="K2192" s="8" t="n"/>
      <c r="L2192" s="8" t="n"/>
      <c r="M2192" s="8" t="n"/>
      <c r="N2192" s="8" t="n"/>
      <c r="O2192" s="8" t="n"/>
      <c r="P2192" s="8" t="n"/>
      <c r="Q2192" s="8" t="n"/>
      <c r="R2192" s="8" t="n"/>
      <c r="S2192" s="8" t="n"/>
      <c r="T2192" s="7" t="inlineStr">
        <is>
          <t>SEM COTAÇÃO</t>
        </is>
      </c>
      <c r="U2192" s="8" t="n"/>
      <c r="V2192" s="14" t="n"/>
      <c r="W2192" s="14" t="n"/>
      <c r="X2192" s="7" t="inlineStr"/>
      <c r="Y2192" s="7" t="inlineStr"/>
    </row>
    <row r="2193">
      <c r="A2193" s="7" t="n">
        <v>661681</v>
      </c>
      <c r="B2193" s="12" t="inlineStr">
        <is>
          <t>17896012880620</t>
        </is>
      </c>
      <c r="C2193" s="7" t="inlineStr">
        <is>
          <t>FRD.POM POM SHO.JUMBI.G 8X16</t>
        </is>
      </c>
      <c r="D2193" s="7" t="inlineStr">
        <is>
          <t>FRALDAS INFANTIL</t>
        </is>
      </c>
      <c r="E2193" s="7" t="inlineStr">
        <is>
          <t>C</t>
        </is>
      </c>
      <c r="F2193" s="13" t="n">
        <v>1</v>
      </c>
      <c r="G2193" s="13" t="n">
        <v>1</v>
      </c>
      <c r="H2193" s="8" t="n">
        <v>15.865</v>
      </c>
      <c r="I2193" s="8" t="n">
        <v>15.865</v>
      </c>
      <c r="J2193" s="8" t="n">
        <v>15.865</v>
      </c>
      <c r="K2193" s="8" t="n"/>
      <c r="L2193" s="8" t="n"/>
      <c r="M2193" s="8" t="n"/>
      <c r="N2193" s="8" t="n"/>
      <c r="O2193" s="8" t="n"/>
      <c r="P2193" s="8" t="n"/>
      <c r="Q2193" s="8" t="n"/>
      <c r="R2193" s="8" t="n"/>
      <c r="S2193" s="8" t="n"/>
      <c r="T2193" s="7" t="inlineStr">
        <is>
          <t>SEM COTAÇÃO</t>
        </is>
      </c>
      <c r="U2193" s="8" t="n"/>
      <c r="V2193" s="14" t="n"/>
      <c r="W2193" s="14" t="n"/>
      <c r="X2193" s="7" t="inlineStr"/>
      <c r="Y2193" s="7" t="inlineStr"/>
    </row>
    <row r="2194">
      <c r="A2194" s="7" t="n">
        <v>661691</v>
      </c>
      <c r="B2194" s="12" t="inlineStr">
        <is>
          <t>7896012880616</t>
        </is>
      </c>
      <c r="C2194" s="7" t="inlineStr">
        <is>
          <t>FRD.POM POM SHO.JUMBI.M 8X18</t>
        </is>
      </c>
      <c r="D2194" s="7" t="inlineStr">
        <is>
          <t>FRALDAS INFANTIL</t>
        </is>
      </c>
      <c r="E2194" s="7" t="inlineStr">
        <is>
          <t>C</t>
        </is>
      </c>
      <c r="F2194" s="13" t="n">
        <v>1</v>
      </c>
      <c r="G2194" s="13" t="n">
        <v>1</v>
      </c>
      <c r="H2194" s="8" t="n">
        <v>15.865</v>
      </c>
      <c r="I2194" s="8" t="n">
        <v>15.865</v>
      </c>
      <c r="J2194" s="8" t="n">
        <v>15.865</v>
      </c>
      <c r="K2194" s="8" t="n"/>
      <c r="L2194" s="8" t="n"/>
      <c r="M2194" s="8" t="n"/>
      <c r="N2194" s="8" t="n"/>
      <c r="O2194" s="8" t="n"/>
      <c r="P2194" s="8" t="n"/>
      <c r="Q2194" s="8" t="n"/>
      <c r="R2194" s="8" t="n"/>
      <c r="S2194" s="8" t="n"/>
      <c r="T2194" s="7" t="inlineStr">
        <is>
          <t>SEM COTAÇÃO</t>
        </is>
      </c>
      <c r="U2194" s="8" t="n"/>
      <c r="V2194" s="14" t="n"/>
      <c r="W2194" s="14" t="n"/>
      <c r="X2194" s="7" t="inlineStr"/>
      <c r="Y2194" s="7" t="inlineStr"/>
    </row>
    <row r="2195">
      <c r="A2195" s="7" t="n">
        <v>656721</v>
      </c>
      <c r="B2195" s="12" t="inlineStr">
        <is>
          <t>7896012880210</t>
        </is>
      </c>
      <c r="C2195" s="7" t="inlineStr">
        <is>
          <t>FRD.R.I.BIGFR.D PLUS G/XG 4X16</t>
        </is>
      </c>
      <c r="D2195" s="7" t="inlineStr">
        <is>
          <t>FRALDAS GERIATRICAS</t>
        </is>
      </c>
      <c r="E2195" s="7" t="inlineStr">
        <is>
          <t>A</t>
        </is>
      </c>
      <c r="F2195" s="13" t="n">
        <v>1</v>
      </c>
      <c r="G2195" s="13" t="n">
        <v>3</v>
      </c>
      <c r="H2195" s="8" t="n">
        <v>39.5</v>
      </c>
      <c r="I2195" s="8" t="n">
        <v>39.5</v>
      </c>
      <c r="J2195" s="8" t="n">
        <v>39.5</v>
      </c>
      <c r="K2195" s="8" t="n"/>
      <c r="L2195" s="8" t="n"/>
      <c r="M2195" s="8" t="n"/>
      <c r="N2195" s="8" t="n"/>
      <c r="O2195" s="8" t="n"/>
      <c r="P2195" s="8" t="n"/>
      <c r="Q2195" s="8" t="n"/>
      <c r="R2195" s="8" t="n"/>
      <c r="S2195" s="8" t="n"/>
      <c r="T2195" s="7" t="inlineStr">
        <is>
          <t>SEM COTAÇÃO</t>
        </is>
      </c>
      <c r="U2195" s="8" t="n"/>
      <c r="V2195" s="14" t="n"/>
      <c r="W2195" s="14" t="n"/>
      <c r="X2195" s="7" t="inlineStr"/>
      <c r="Y2195" s="7" t="inlineStr"/>
    </row>
    <row r="2196">
      <c r="A2196" s="7" t="n">
        <v>606321</v>
      </c>
      <c r="B2196" s="12" t="inlineStr">
        <is>
          <t>7896012879832</t>
        </is>
      </c>
      <c r="C2196" s="7" t="inlineStr">
        <is>
          <t>FRD.T.MONICA MEGA G 4X44</t>
        </is>
      </c>
      <c r="D2196" s="7" t="inlineStr">
        <is>
          <t>FRALDAS INFANTIL</t>
        </is>
      </c>
      <c r="E2196" s="7" t="inlineStr">
        <is>
          <t>C</t>
        </is>
      </c>
      <c r="F2196" s="13" t="n">
        <v>1</v>
      </c>
      <c r="G2196" s="13" t="n">
        <v>1</v>
      </c>
      <c r="H2196" s="8" t="n">
        <v>35.7925</v>
      </c>
      <c r="I2196" s="8" t="n">
        <v>35.7925</v>
      </c>
      <c r="J2196" s="8" t="n">
        <v>35.7925</v>
      </c>
      <c r="K2196" s="8" t="n"/>
      <c r="L2196" s="8" t="n"/>
      <c r="M2196" s="8" t="n"/>
      <c r="N2196" s="8" t="n"/>
      <c r="O2196" s="8" t="n"/>
      <c r="P2196" s="8" t="n"/>
      <c r="Q2196" s="8" t="n"/>
      <c r="R2196" s="8" t="n"/>
      <c r="S2196" s="8" t="n"/>
      <c r="T2196" s="7" t="inlineStr">
        <is>
          <t>SEM COTAÇÃO</t>
        </is>
      </c>
      <c r="U2196" s="8" t="n"/>
      <c r="V2196" s="14" t="n"/>
      <c r="W2196" s="14" t="n"/>
      <c r="X2196" s="7" t="inlineStr"/>
      <c r="Y2196" s="7" t="inlineStr"/>
    </row>
    <row r="2197">
      <c r="A2197" s="7" t="n">
        <v>661701</v>
      </c>
      <c r="B2197" s="12" t="inlineStr">
        <is>
          <t>7896012880630</t>
        </is>
      </c>
      <c r="C2197" s="7" t="inlineStr">
        <is>
          <t>FRDALDA POMPOM SHO.JUMBI.XG 8X12</t>
        </is>
      </c>
      <c r="D2197" s="7" t="inlineStr">
        <is>
          <t>FRALDAS INFANTIL</t>
        </is>
      </c>
      <c r="E2197" s="7" t="inlineStr">
        <is>
          <t>C</t>
        </is>
      </c>
      <c r="F2197" s="13" t="n">
        <v>1</v>
      </c>
      <c r="G2197" s="13" t="n">
        <v>2</v>
      </c>
      <c r="H2197" s="8" t="n">
        <v>15.865</v>
      </c>
      <c r="I2197" s="8" t="n">
        <v>15.865</v>
      </c>
      <c r="J2197" s="8" t="n">
        <v>15.865</v>
      </c>
      <c r="K2197" s="8" t="n"/>
      <c r="L2197" s="8" t="n"/>
      <c r="M2197" s="8" t="n"/>
      <c r="N2197" s="8" t="n"/>
      <c r="O2197" s="8" t="n"/>
      <c r="P2197" s="8" t="n"/>
      <c r="Q2197" s="8" t="n"/>
      <c r="R2197" s="8" t="n"/>
      <c r="S2197" s="8" t="n"/>
      <c r="T2197" s="7" t="inlineStr">
        <is>
          <t>SEM COTAÇÃO</t>
        </is>
      </c>
      <c r="U2197" s="8" t="n"/>
      <c r="V2197" s="14" t="n"/>
      <c r="W2197" s="14" t="n"/>
      <c r="X2197" s="7" t="inlineStr"/>
      <c r="Y2197" s="7" t="inlineStr"/>
    </row>
    <row r="2198">
      <c r="A2198" s="7" t="n">
        <v>607361</v>
      </c>
      <c r="B2198" s="12" t="inlineStr">
        <is>
          <t>7896058500707</t>
        </is>
      </c>
      <c r="C2198" s="7" t="inlineStr">
        <is>
          <t>FRUIT SNACKS HIPNOSE BANANA JUBES 48G</t>
        </is>
      </c>
      <c r="D2198" s="7" t="inlineStr">
        <is>
          <t>DESATIVADO</t>
        </is>
      </c>
      <c r="E2198" s="7" t="inlineStr">
        <is>
          <t>C</t>
        </is>
      </c>
      <c r="F2198" s="13" t="n">
        <v>1</v>
      </c>
      <c r="G2198" s="13" t="n">
        <v>8</v>
      </c>
      <c r="H2198" s="8" t="n">
        <v>1.676</v>
      </c>
      <c r="I2198" s="8" t="n">
        <v>1.676</v>
      </c>
      <c r="J2198" s="8" t="n">
        <v>1.676</v>
      </c>
      <c r="K2198" s="8" t="n"/>
      <c r="L2198" s="8" t="n"/>
      <c r="M2198" s="8" t="n"/>
      <c r="N2198" s="8" t="n"/>
      <c r="O2198" s="8" t="n"/>
      <c r="P2198" s="8" t="n"/>
      <c r="Q2198" s="8" t="n"/>
      <c r="R2198" s="8" t="n"/>
      <c r="S2198" s="8" t="n"/>
      <c r="T2198" s="7" t="inlineStr">
        <is>
          <t>SEM COTAÇÃO</t>
        </is>
      </c>
      <c r="U2198" s="8" t="n"/>
      <c r="V2198" s="14" t="n"/>
      <c r="W2198" s="14" t="n"/>
      <c r="X2198" s="7" t="inlineStr"/>
      <c r="Y2198" s="7" t="inlineStr"/>
    </row>
    <row r="2199">
      <c r="A2199" s="7" t="n">
        <v>607371</v>
      </c>
      <c r="B2199" s="12" t="inlineStr">
        <is>
          <t>7896058500776</t>
        </is>
      </c>
      <c r="C2199" s="7" t="inlineStr">
        <is>
          <t>FRUIT SNACKS HIPNOSE FRAMBOESA JUBES 48G</t>
        </is>
      </c>
      <c r="D2199" s="7" t="inlineStr">
        <is>
          <t>CONVENIENCIA</t>
        </is>
      </c>
      <c r="E2199" s="7" t="inlineStr">
        <is>
          <t>C</t>
        </is>
      </c>
      <c r="F2199" s="13" t="n">
        <v>1</v>
      </c>
      <c r="G2199" s="13" t="n">
        <v>12</v>
      </c>
      <c r="H2199" s="8" t="n">
        <v>1.676</v>
      </c>
      <c r="I2199" s="8" t="n">
        <v>1.676</v>
      </c>
      <c r="J2199" s="8" t="n">
        <v>1.676</v>
      </c>
      <c r="K2199" s="8" t="n"/>
      <c r="L2199" s="8" t="n"/>
      <c r="M2199" s="8" t="n"/>
      <c r="N2199" s="8" t="n"/>
      <c r="O2199" s="8" t="n"/>
      <c r="P2199" s="8" t="n"/>
      <c r="Q2199" s="8" t="n"/>
      <c r="R2199" s="8" t="n"/>
      <c r="S2199" s="8" t="n"/>
      <c r="T2199" s="7" t="inlineStr">
        <is>
          <t>SEM COTAÇÃO</t>
        </is>
      </c>
      <c r="U2199" s="8" t="n"/>
      <c r="V2199" s="14" t="n"/>
      <c r="W2199" s="14" t="n"/>
      <c r="X2199" s="7" t="inlineStr"/>
      <c r="Y2199" s="7" t="inlineStr"/>
    </row>
    <row r="2200">
      <c r="A2200" s="7" t="n">
        <v>665601</v>
      </c>
      <c r="B2200" s="12" t="inlineStr">
        <is>
          <t>7895144299150</t>
        </is>
      </c>
      <c r="C2200" s="7" t="inlineStr">
        <is>
          <t>FRUITELA HERBS CRANB E ERVAS 12X12X25,2G</t>
        </is>
      </c>
      <c r="D2200" s="7" t="inlineStr">
        <is>
          <t>CONVENIENCIA</t>
        </is>
      </c>
      <c r="E2200" s="7" t="inlineStr">
        <is>
          <t>C</t>
        </is>
      </c>
      <c r="F2200" s="13" t="n">
        <v>1</v>
      </c>
      <c r="G2200" s="13" t="n">
        <v>1</v>
      </c>
      <c r="H2200" s="8" t="n">
        <v>5.2658</v>
      </c>
      <c r="I2200" s="8" t="n">
        <v>5.2658</v>
      </c>
      <c r="J2200" s="8" t="n">
        <v>5.2658</v>
      </c>
      <c r="K2200" s="8" t="n"/>
      <c r="L2200" s="8" t="n"/>
      <c r="M2200" s="8" t="n"/>
      <c r="N2200" s="8" t="n"/>
      <c r="O2200" s="8" t="n"/>
      <c r="P2200" s="8" t="n"/>
      <c r="Q2200" s="8" t="n"/>
      <c r="R2200" s="8" t="n"/>
      <c r="S2200" s="8" t="n"/>
      <c r="T2200" s="7" t="inlineStr">
        <is>
          <t>SEM COTAÇÃO</t>
        </is>
      </c>
      <c r="U2200" s="8" t="n"/>
      <c r="V2200" s="14" t="n"/>
      <c r="W2200" s="14" t="n"/>
      <c r="X2200" s="7" t="inlineStr"/>
      <c r="Y2200" s="7" t="inlineStr"/>
    </row>
    <row r="2201">
      <c r="A2201" s="7" t="n">
        <v>616511</v>
      </c>
      <c r="B2201" s="12" t="inlineStr">
        <is>
          <t>7895144205595</t>
        </is>
      </c>
      <c r="C2201" s="7" t="inlineStr">
        <is>
          <t>FRUITTELLA LIFE CARAMELO 12X12UN</t>
        </is>
      </c>
      <c r="D2201" s="7" t="inlineStr">
        <is>
          <t>CONVENIENCIA</t>
        </is>
      </c>
      <c r="E2201" s="7" t="inlineStr">
        <is>
          <t>C</t>
        </is>
      </c>
      <c r="F2201" s="13" t="n">
        <v>1</v>
      </c>
      <c r="G2201" s="13" t="n">
        <v>1</v>
      </c>
      <c r="H2201" s="8" t="n">
        <v>2.4921</v>
      </c>
      <c r="I2201" s="8" t="n">
        <v>2.4921</v>
      </c>
      <c r="J2201" s="8" t="n">
        <v>2.4921</v>
      </c>
      <c r="K2201" s="8" t="n"/>
      <c r="L2201" s="8" t="n"/>
      <c r="M2201" s="8" t="n"/>
      <c r="N2201" s="8" t="n"/>
      <c r="O2201" s="8" t="n"/>
      <c r="P2201" s="8" t="n"/>
      <c r="Q2201" s="8" t="n"/>
      <c r="R2201" s="8" t="n"/>
      <c r="S2201" s="8" t="n"/>
      <c r="T2201" s="7" t="inlineStr">
        <is>
          <t>SEM COTAÇÃO</t>
        </is>
      </c>
      <c r="U2201" s="8" t="n"/>
      <c r="V2201" s="14" t="n"/>
      <c r="W2201" s="14" t="n"/>
      <c r="X2201" s="7" t="inlineStr"/>
      <c r="Y2201" s="7" t="inlineStr"/>
    </row>
    <row r="2202">
      <c r="A2202" s="7" t="n">
        <v>612631</v>
      </c>
      <c r="B2202" s="12" t="inlineStr">
        <is>
          <t>7895144207582</t>
        </is>
      </c>
      <c r="C2202" s="7" t="inlineStr">
        <is>
          <t>FRUITTELLA MAST BLUEBERRY 24DPX16UN</t>
        </is>
      </c>
      <c r="D2202" s="7" t="inlineStr">
        <is>
          <t>CONVENIENCIA</t>
        </is>
      </c>
      <c r="E2202" s="7" t="inlineStr">
        <is>
          <t>C</t>
        </is>
      </c>
      <c r="F2202" s="13" t="n">
        <v>1</v>
      </c>
      <c r="G2202" s="13" t="n">
        <v>1</v>
      </c>
      <c r="H2202" s="8" t="n">
        <v>2.3681</v>
      </c>
      <c r="I2202" s="8" t="n">
        <v>2.3681</v>
      </c>
      <c r="J2202" s="8" t="n">
        <v>2.3681</v>
      </c>
      <c r="K2202" s="8" t="n"/>
      <c r="L2202" s="8" t="n"/>
      <c r="M2202" s="8" t="n"/>
      <c r="N2202" s="8" t="n"/>
      <c r="O2202" s="8" t="n"/>
      <c r="P2202" s="8" t="n"/>
      <c r="Q2202" s="8" t="n"/>
      <c r="R2202" s="8" t="n"/>
      <c r="S2202" s="8" t="n"/>
      <c r="T2202" s="7" t="inlineStr">
        <is>
          <t>SEM COTAÇÃO</t>
        </is>
      </c>
      <c r="U2202" s="8" t="n"/>
      <c r="V2202" s="14" t="n"/>
      <c r="W2202" s="14" t="n"/>
      <c r="X2202" s="7" t="inlineStr"/>
      <c r="Y2202" s="7" t="inlineStr"/>
    </row>
    <row r="2203">
      <c r="A2203" s="7" t="n">
        <v>591541</v>
      </c>
      <c r="B2203" s="12" t="inlineStr">
        <is>
          <t>7895144025117</t>
        </is>
      </c>
      <c r="C2203" s="7" t="inlineStr">
        <is>
          <t>FRUITTELLA SWIRL CARAMELO 12X15UN</t>
        </is>
      </c>
      <c r="D2203" s="7" t="inlineStr">
        <is>
          <t>CONVENIENCIA</t>
        </is>
      </c>
      <c r="E2203" s="7" t="inlineStr">
        <is>
          <t>B</t>
        </is>
      </c>
      <c r="F2203" s="13" t="n">
        <v>2</v>
      </c>
      <c r="G2203" s="13" t="n">
        <v>16</v>
      </c>
      <c r="H2203" s="8" t="n">
        <v>2.607</v>
      </c>
      <c r="I2203" s="8" t="n">
        <v>2.607</v>
      </c>
      <c r="J2203" s="8" t="n">
        <v>2.607</v>
      </c>
      <c r="K2203" s="8" t="n"/>
      <c r="L2203" s="8" t="n"/>
      <c r="M2203" s="8" t="n"/>
      <c r="N2203" s="8" t="n"/>
      <c r="O2203" s="8" t="n"/>
      <c r="P2203" s="8" t="n"/>
      <c r="Q2203" s="8" t="n"/>
      <c r="R2203" s="8" t="n"/>
      <c r="S2203" s="8" t="n"/>
      <c r="T2203" s="7" t="inlineStr">
        <is>
          <t>SEM COTAÇÃO</t>
        </is>
      </c>
      <c r="U2203" s="8" t="n"/>
      <c r="V2203" s="14" t="n"/>
      <c r="W2203" s="14" t="n"/>
      <c r="X2203" s="7" t="inlineStr"/>
      <c r="Y2203" s="7" t="inlineStr"/>
    </row>
    <row r="2204">
      <c r="A2204" s="7" t="n">
        <v>709301</v>
      </c>
      <c r="B2204" s="12" t="inlineStr">
        <is>
          <t>7895144900186</t>
        </is>
      </c>
      <c r="C2204" s="7" t="inlineStr">
        <is>
          <t>FRUITTELLA SWIRL MOUSS MARACU 41G</t>
        </is>
      </c>
      <c r="D2204" s="7" t="inlineStr">
        <is>
          <t>CONVENIENCIA</t>
        </is>
      </c>
      <c r="E2204" s="7" t="inlineStr">
        <is>
          <t>B</t>
        </is>
      </c>
      <c r="F2204" s="13" t="n">
        <v>1</v>
      </c>
      <c r="G2204" s="13" t="n">
        <v>8</v>
      </c>
      <c r="H2204" s="8" t="n">
        <v>2.607</v>
      </c>
      <c r="I2204" s="8" t="n">
        <v>2.607</v>
      </c>
      <c r="J2204" s="8" t="n">
        <v>2.607</v>
      </c>
      <c r="K2204" s="8" t="n"/>
      <c r="L2204" s="8" t="n"/>
      <c r="M2204" s="8" t="n"/>
      <c r="N2204" s="8" t="n"/>
      <c r="O2204" s="8" t="n"/>
      <c r="P2204" s="8" t="n"/>
      <c r="Q2204" s="8" t="n"/>
      <c r="R2204" s="8" t="n"/>
      <c r="S2204" s="8" t="n"/>
      <c r="T2204" s="7" t="inlineStr">
        <is>
          <t>SEM COTAÇÃO</t>
        </is>
      </c>
      <c r="U2204" s="8" t="n"/>
      <c r="V2204" s="14" t="n"/>
      <c r="W2204" s="14" t="n"/>
      <c r="X2204" s="7" t="inlineStr"/>
      <c r="Y2204" s="7" t="inlineStr"/>
    </row>
    <row r="2205">
      <c r="A2205" s="7" t="n">
        <v>663681</v>
      </c>
      <c r="B2205" s="12" t="inlineStr">
        <is>
          <t>7899732112128</t>
        </is>
      </c>
      <c r="C2205" s="7" t="inlineStr">
        <is>
          <t>FULL TILT PRE TREINO 150G ABACAXI</t>
        </is>
      </c>
      <c r="D2205" s="7" t="inlineStr">
        <is>
          <t>SUPLEMENTO</t>
        </is>
      </c>
      <c r="E2205" s="7" t="inlineStr">
        <is>
          <t>C</t>
        </is>
      </c>
      <c r="F2205" s="13" t="n">
        <v>1</v>
      </c>
      <c r="G2205" s="13" t="n">
        <v>1</v>
      </c>
      <c r="H2205" s="8" t="n">
        <v>47.62</v>
      </c>
      <c r="I2205" s="8" t="n">
        <v>47.62</v>
      </c>
      <c r="J2205" s="8" t="n">
        <v>47.62</v>
      </c>
      <c r="K2205" s="8" t="n"/>
      <c r="L2205" s="8" t="n"/>
      <c r="M2205" s="8" t="n"/>
      <c r="N2205" s="8" t="n"/>
      <c r="O2205" s="8" t="n"/>
      <c r="P2205" s="8" t="n"/>
      <c r="Q2205" s="8" t="n"/>
      <c r="R2205" s="8" t="n"/>
      <c r="S2205" s="8" t="n"/>
      <c r="T2205" s="7" t="inlineStr">
        <is>
          <t>SEM COTAÇÃO</t>
        </is>
      </c>
      <c r="U2205" s="8" t="n"/>
      <c r="V2205" s="14" t="n"/>
      <c r="W2205" s="14" t="n"/>
      <c r="X2205" s="7" t="inlineStr"/>
      <c r="Y2205" s="7" t="inlineStr"/>
    </row>
    <row r="2206">
      <c r="A2206" s="7" t="n">
        <v>663671</v>
      </c>
      <c r="B2206" s="12" t="inlineStr">
        <is>
          <t>7899732112135</t>
        </is>
      </c>
      <c r="C2206" s="7" t="inlineStr">
        <is>
          <t>FULL TILT PRE TREINO 150G MANGA</t>
        </is>
      </c>
      <c r="D2206" s="7" t="inlineStr">
        <is>
          <t>SUPLEMENTO</t>
        </is>
      </c>
      <c r="E2206" s="7" t="inlineStr">
        <is>
          <t>C</t>
        </is>
      </c>
      <c r="F2206" s="13" t="n">
        <v>1</v>
      </c>
      <c r="G2206" s="13" t="n">
        <v>1</v>
      </c>
      <c r="H2206" s="8" t="n">
        <v>47.62</v>
      </c>
      <c r="I2206" s="8" t="n">
        <v>47.62</v>
      </c>
      <c r="J2206" s="8" t="n">
        <v>47.62</v>
      </c>
      <c r="K2206" s="8" t="n"/>
      <c r="L2206" s="8" t="n"/>
      <c r="M2206" s="8" t="n"/>
      <c r="N2206" s="8" t="n"/>
      <c r="O2206" s="8" t="n"/>
      <c r="P2206" s="8" t="n"/>
      <c r="Q2206" s="8" t="n"/>
      <c r="R2206" s="8" t="n"/>
      <c r="S2206" s="8" t="n"/>
      <c r="T2206" s="7" t="inlineStr">
        <is>
          <t>SEM COTAÇÃO</t>
        </is>
      </c>
      <c r="U2206" s="8" t="n"/>
      <c r="V2206" s="14" t="n"/>
      <c r="W2206" s="14" t="n"/>
      <c r="X2206" s="7" t="inlineStr"/>
      <c r="Y2206" s="7" t="inlineStr"/>
    </row>
    <row r="2207">
      <c r="A2207" s="7" t="n">
        <v>663691</v>
      </c>
      <c r="B2207" s="12" t="inlineStr">
        <is>
          <t>7899732112111</t>
        </is>
      </c>
      <c r="C2207" s="7" t="inlineStr">
        <is>
          <t>FULL TILT PRE TREINO 150G PINK LEMONADE</t>
        </is>
      </c>
      <c r="D2207" s="7" t="inlineStr">
        <is>
          <t>SUPLEMENTO</t>
        </is>
      </c>
      <c r="E2207" s="7" t="inlineStr">
        <is>
          <t>C</t>
        </is>
      </c>
      <c r="F2207" s="13" t="n">
        <v>1</v>
      </c>
      <c r="G2207" s="13" t="n">
        <v>1</v>
      </c>
      <c r="H2207" s="8" t="n">
        <v>49.19</v>
      </c>
      <c r="I2207" s="8" t="n">
        <v>49.19</v>
      </c>
      <c r="J2207" s="8" t="n">
        <v>49.19</v>
      </c>
      <c r="K2207" s="8" t="n"/>
      <c r="L2207" s="8" t="n"/>
      <c r="M2207" s="8" t="n"/>
      <c r="N2207" s="8" t="n"/>
      <c r="O2207" s="8" t="n"/>
      <c r="P2207" s="8" t="n"/>
      <c r="Q2207" s="8" t="n"/>
      <c r="R2207" s="8" t="n"/>
      <c r="S2207" s="8" t="n"/>
      <c r="T2207" s="7" t="inlineStr">
        <is>
          <t>SEM COTAÇÃO</t>
        </is>
      </c>
      <c r="U2207" s="8" t="n"/>
      <c r="V2207" s="14" t="n"/>
      <c r="W2207" s="14" t="n"/>
      <c r="X2207" s="7" t="inlineStr"/>
      <c r="Y2207" s="7" t="inlineStr"/>
    </row>
    <row r="2208">
      <c r="A2208" s="7" t="n">
        <v>36003</v>
      </c>
      <c r="B2208" s="12" t="inlineStr">
        <is>
          <t>7896714296500</t>
        </is>
      </c>
      <c r="C2208" s="7" t="inlineStr">
        <is>
          <t>FUROATO DE MOMETASONA 0,5MG/G SPRAY NAS 120 DOSES</t>
        </is>
      </c>
      <c r="D2208" s="7" t="inlineStr">
        <is>
          <t>GENERICO</t>
        </is>
      </c>
      <c r="E2208" s="7" t="inlineStr">
        <is>
          <t>B</t>
        </is>
      </c>
      <c r="F2208" s="13" t="n">
        <v>4</v>
      </c>
      <c r="G2208" s="13" t="n">
        <v>4</v>
      </c>
      <c r="H2208" s="8" t="n">
        <v>25.88</v>
      </c>
      <c r="I2208" s="8" t="n">
        <v>25.88</v>
      </c>
      <c r="J2208" s="8" t="n">
        <v>25.88</v>
      </c>
      <c r="K2208" s="8" t="n"/>
      <c r="L2208" s="8" t="n"/>
      <c r="M2208" s="8" t="n"/>
      <c r="N2208" s="8" t="n"/>
      <c r="O2208" s="15" t="n">
        <v>25.01</v>
      </c>
      <c r="P2208" s="8" t="n"/>
      <c r="Q2208" s="8" t="n">
        <v>25.88</v>
      </c>
      <c r="R2208" s="8" t="n"/>
      <c r="S2208" s="8" t="n"/>
      <c r="T2208" s="7" t="inlineStr">
        <is>
          <t>TAPAJOS</t>
        </is>
      </c>
      <c r="U2208" s="8" t="n">
        <v>25.01</v>
      </c>
      <c r="V2208" s="14">
        <f>U2208/J2208-1</f>
        <v/>
      </c>
      <c r="W2208" s="14">
        <f>U2208/H2208-1</f>
        <v/>
      </c>
      <c r="X2208" s="17" t="inlineStr">
        <is>
          <t>OK (≤ menor hist.)</t>
        </is>
      </c>
      <c r="Y2208" s="7" t="inlineStr"/>
    </row>
    <row r="2209">
      <c r="A2209" s="7" t="n">
        <v>36103</v>
      </c>
      <c r="B2209" s="12" t="inlineStr">
        <is>
          <t>7896714296494</t>
        </is>
      </c>
      <c r="C2209" s="7" t="inlineStr">
        <is>
          <t>FUROATO DE MOMETASONA 0,5MG/G SPRAY NAS 60 DOSES</t>
        </is>
      </c>
      <c r="D2209" s="7" t="inlineStr">
        <is>
          <t>GENERICO</t>
        </is>
      </c>
      <c r="E2209" s="7" t="inlineStr">
        <is>
          <t>C</t>
        </is>
      </c>
      <c r="F2209" s="13" t="n">
        <v>1</v>
      </c>
      <c r="G2209" s="13" t="n">
        <v>1</v>
      </c>
      <c r="H2209" s="8" t="n">
        <v>19.83</v>
      </c>
      <c r="I2209" s="8" t="n">
        <v>19.83</v>
      </c>
      <c r="J2209" s="8" t="n">
        <v>19.83</v>
      </c>
      <c r="K2209" s="8" t="n"/>
      <c r="L2209" s="8" t="n"/>
      <c r="M2209" s="8" t="n"/>
      <c r="N2209" s="8" t="n"/>
      <c r="O2209" s="15" t="n">
        <v>17.95</v>
      </c>
      <c r="P2209" s="8" t="n"/>
      <c r="Q2209" s="8" t="n">
        <v>19.04</v>
      </c>
      <c r="R2209" s="8" t="n"/>
      <c r="S2209" s="8" t="n"/>
      <c r="T2209" s="7" t="inlineStr">
        <is>
          <t>TAPAJOS</t>
        </is>
      </c>
      <c r="U2209" s="8" t="n">
        <v>17.95</v>
      </c>
      <c r="V2209" s="14">
        <f>U2209/J2209-1</f>
        <v/>
      </c>
      <c r="W2209" s="14">
        <f>U2209/H2209-1</f>
        <v/>
      </c>
      <c r="X2209" s="17" t="inlineStr">
        <is>
          <t>OK (≤ menor hist.)</t>
        </is>
      </c>
      <c r="Y2209" s="7" t="inlineStr"/>
    </row>
    <row r="2210">
      <c r="A2210" s="7" t="n">
        <v>670571</v>
      </c>
      <c r="B2210" s="12" t="inlineStr">
        <is>
          <t>7898216368037</t>
        </is>
      </c>
      <c r="C2210" s="7" t="inlineStr">
        <is>
          <t>GARDENAL 100MG C/20 COMP (C1)-REFERENCIA</t>
        </is>
      </c>
      <c r="D2210" s="7" t="inlineStr">
        <is>
          <t>RX</t>
        </is>
      </c>
      <c r="E2210" s="7" t="inlineStr">
        <is>
          <t>C</t>
        </is>
      </c>
      <c r="F2210" s="13" t="n">
        <v>2</v>
      </c>
      <c r="G2210" s="13" t="n">
        <v>2</v>
      </c>
      <c r="H2210" s="8" t="n">
        <v>9.4094</v>
      </c>
      <c r="I2210" s="8" t="n">
        <v>9.4094</v>
      </c>
      <c r="J2210" s="8" t="n">
        <v>9.4094</v>
      </c>
      <c r="K2210" s="8" t="n"/>
      <c r="L2210" s="8" t="n"/>
      <c r="M2210" s="8" t="n"/>
      <c r="N2210" s="8" t="n"/>
      <c r="O2210" s="8" t="n"/>
      <c r="P2210" s="15" t="n">
        <v>9.468</v>
      </c>
      <c r="Q2210" s="8" t="n"/>
      <c r="R2210" s="8" t="n"/>
      <c r="S2210" s="8" t="n"/>
      <c r="T2210" s="7" t="inlineStr">
        <is>
          <t>NAZARIA</t>
        </is>
      </c>
      <c r="U2210" s="8" t="n">
        <v>9.468</v>
      </c>
      <c r="V2210" s="14">
        <f>U2210/J2210-1</f>
        <v/>
      </c>
      <c r="W2210" s="14">
        <f>U2210/H2210-1</f>
        <v/>
      </c>
      <c r="X2210" s="16" t="inlineStr">
        <is>
          <t>ACIMA +0.6%</t>
        </is>
      </c>
      <c r="Y2210" s="7" t="inlineStr"/>
    </row>
    <row r="2211">
      <c r="A2211" s="7" t="n">
        <v>630831</v>
      </c>
      <c r="B2211" s="12" t="inlineStr">
        <is>
          <t>7899706178129</t>
        </is>
      </c>
      <c r="C2211" s="7" t="inlineStr">
        <is>
          <t>GARNIER AGUA MICELAR 400ML TUDO EM 1</t>
        </is>
      </c>
      <c r="D2211" s="7" t="inlineStr">
        <is>
          <t>PERF/COSME</t>
        </is>
      </c>
      <c r="E2211" s="7" t="inlineStr">
        <is>
          <t>C</t>
        </is>
      </c>
      <c r="F2211" s="13" t="n">
        <v>1</v>
      </c>
      <c r="G2211" s="13" t="n">
        <v>1</v>
      </c>
      <c r="H2211" s="8" t="n">
        <v>44.69</v>
      </c>
      <c r="I2211" s="8" t="n">
        <v>44.69</v>
      </c>
      <c r="J2211" s="8" t="n">
        <v>44.69</v>
      </c>
      <c r="K2211" s="8" t="n"/>
      <c r="L2211" s="8" t="n"/>
      <c r="M2211" s="8" t="n"/>
      <c r="N2211" s="8" t="n"/>
      <c r="O2211" s="8" t="n"/>
      <c r="P2211" s="15" t="n">
        <v>45.67</v>
      </c>
      <c r="Q2211" s="8" t="n"/>
      <c r="R2211" s="8" t="n"/>
      <c r="S2211" s="8" t="n"/>
      <c r="T2211" s="7" t="inlineStr">
        <is>
          <t>NAZARIA</t>
        </is>
      </c>
      <c r="U2211" s="8" t="n">
        <v>45.67</v>
      </c>
      <c r="V2211" s="14">
        <f>U2211/J2211-1</f>
        <v/>
      </c>
      <c r="W2211" s="14">
        <f>U2211/H2211-1</f>
        <v/>
      </c>
      <c r="X2211" s="16" t="inlineStr">
        <is>
          <t>ACIMA +2.2%</t>
        </is>
      </c>
      <c r="Y2211" s="7" t="inlineStr"/>
    </row>
    <row r="2212">
      <c r="A2212" s="7" t="n">
        <v>672141</v>
      </c>
      <c r="B2212" s="12" t="inlineStr">
        <is>
          <t>7908785422136</t>
        </is>
      </c>
      <c r="C2212" s="7" t="inlineStr">
        <is>
          <t>GARNIER HIDRAT FAC ANTIACNE 85G-DEMAIS PROD</t>
        </is>
      </c>
      <c r="D2212" s="7" t="inlineStr">
        <is>
          <t>PERF/COSME</t>
        </is>
      </c>
      <c r="E2212" s="7" t="inlineStr">
        <is>
          <t>C</t>
        </is>
      </c>
      <c r="F2212" s="13" t="n">
        <v>1</v>
      </c>
      <c r="G2212" s="13" t="n">
        <v>1</v>
      </c>
      <c r="H2212" s="8" t="n">
        <v>24.4</v>
      </c>
      <c r="I2212" s="8" t="n">
        <v>24.4</v>
      </c>
      <c r="J2212" s="8" t="n">
        <v>24.4</v>
      </c>
      <c r="K2212" s="8" t="n"/>
      <c r="L2212" s="8" t="n"/>
      <c r="M2212" s="8" t="n"/>
      <c r="N2212" s="8" t="n"/>
      <c r="O2212" s="8" t="n"/>
      <c r="P2212" s="15" t="n">
        <v>30.21</v>
      </c>
      <c r="Q2212" s="8" t="n"/>
      <c r="R2212" s="8" t="n"/>
      <c r="S2212" s="8" t="n"/>
      <c r="T2212" s="7" t="inlineStr">
        <is>
          <t>NAZARIA</t>
        </is>
      </c>
      <c r="U2212" s="8" t="n">
        <v>30.21</v>
      </c>
      <c r="V2212" s="14">
        <f>U2212/J2212-1</f>
        <v/>
      </c>
      <c r="W2212" s="14">
        <f>U2212/H2212-1</f>
        <v/>
      </c>
      <c r="X2212" s="16" t="inlineStr">
        <is>
          <t>ACIMA +23.8%</t>
        </is>
      </c>
      <c r="Y2212" s="7" t="inlineStr"/>
    </row>
    <row r="2213">
      <c r="A2213" s="7" t="n">
        <v>579661</v>
      </c>
      <c r="B2213" s="12" t="inlineStr">
        <is>
          <t>7891008123975</t>
        </is>
      </c>
      <c r="C2213" s="7" t="inlineStr">
        <is>
          <t>GAROTO AO LEITE TABLETE 80G</t>
        </is>
      </c>
      <c r="D2213" s="7" t="inlineStr">
        <is>
          <t>CONVENIENCIA</t>
        </is>
      </c>
      <c r="E2213" s="7" t="inlineStr">
        <is>
          <t>A</t>
        </is>
      </c>
      <c r="F2213" s="13" t="n">
        <v>2</v>
      </c>
      <c r="G2213" s="13" t="n">
        <v>28</v>
      </c>
      <c r="H2213" s="8" t="n">
        <v>6.695</v>
      </c>
      <c r="I2213" s="8" t="n">
        <v>6.4512</v>
      </c>
      <c r="J2213" s="8" t="n">
        <v>6.526666666666666</v>
      </c>
      <c r="K2213" s="8" t="n"/>
      <c r="L2213" s="8" t="n"/>
      <c r="M2213" s="8" t="n"/>
      <c r="N2213" s="8" t="n"/>
      <c r="O2213" s="8" t="n"/>
      <c r="P2213" s="8" t="n"/>
      <c r="Q2213" s="8" t="n"/>
      <c r="R2213" s="8" t="n"/>
      <c r="S2213" s="8" t="n"/>
      <c r="T2213" s="7" t="inlineStr">
        <is>
          <t>SEM COTAÇÃO</t>
        </is>
      </c>
      <c r="U2213" s="8" t="n"/>
      <c r="V2213" s="14" t="n"/>
      <c r="W2213" s="14" t="n"/>
      <c r="X2213" s="7" t="inlineStr"/>
      <c r="Y2213" s="7" t="inlineStr"/>
    </row>
    <row r="2214">
      <c r="A2214" s="7" t="n">
        <v>649171</v>
      </c>
      <c r="B2214" s="12" t="inlineStr">
        <is>
          <t>17891000388768</t>
        </is>
      </c>
      <c r="C2214" s="7" t="inlineStr">
        <is>
          <t>GAROTO BOMBOM CROCANTE CARIBE</t>
        </is>
      </c>
      <c r="D2214" s="7" t="inlineStr">
        <is>
          <t>CHOCOLATES</t>
        </is>
      </c>
      <c r="E2214" s="7" t="inlineStr">
        <is>
          <t>C</t>
        </is>
      </c>
      <c r="F2214" s="13" t="n">
        <v>6</v>
      </c>
      <c r="G2214" s="13" t="n">
        <v>6</v>
      </c>
      <c r="H2214" s="8" t="n">
        <v>17.52</v>
      </c>
      <c r="I2214" s="8" t="n">
        <v>17.52</v>
      </c>
      <c r="J2214" s="8" t="n">
        <v>17.52</v>
      </c>
      <c r="K2214" s="8" t="n"/>
      <c r="L2214" s="8" t="n"/>
      <c r="M2214" s="8" t="n"/>
      <c r="N2214" s="8" t="n"/>
      <c r="O2214" s="8" t="n"/>
      <c r="P2214" s="8" t="n"/>
      <c r="Q2214" s="8" t="n"/>
      <c r="R2214" s="8" t="n"/>
      <c r="S2214" s="8" t="n"/>
      <c r="T2214" s="7" t="inlineStr">
        <is>
          <t>SEM COTAÇÃO</t>
        </is>
      </c>
      <c r="U2214" s="8" t="n"/>
      <c r="V2214" s="14" t="n"/>
      <c r="W2214" s="14" t="n"/>
      <c r="X2214" s="7" t="inlineStr"/>
      <c r="Y2214" s="7" t="inlineStr"/>
    </row>
    <row r="2215">
      <c r="A2215" s="7" t="n">
        <v>623451</v>
      </c>
      <c r="B2215" s="12" t="inlineStr">
        <is>
          <t>7891000395509</t>
        </is>
      </c>
      <c r="C2215" s="7" t="inlineStr">
        <is>
          <t>GAROTO CHOCO TRIO BONO MORANGO 90G</t>
        </is>
      </c>
      <c r="D2215" s="7" t="inlineStr">
        <is>
          <t>CONVENIENCIA</t>
        </is>
      </c>
      <c r="E2215" s="7" t="inlineStr">
        <is>
          <t>C</t>
        </is>
      </c>
      <c r="F2215" s="13" t="n">
        <v>1</v>
      </c>
      <c r="G2215" s="13" t="n">
        <v>3</v>
      </c>
      <c r="H2215" s="8" t="n">
        <v>5.0383</v>
      </c>
      <c r="I2215" s="8" t="n">
        <v>5.0383</v>
      </c>
      <c r="J2215" s="8" t="n">
        <v>5.0383</v>
      </c>
      <c r="K2215" s="8" t="n"/>
      <c r="L2215" s="8" t="n"/>
      <c r="M2215" s="8" t="n"/>
      <c r="N2215" s="8" t="n"/>
      <c r="O2215" s="8" t="n"/>
      <c r="P2215" s="8" t="n"/>
      <c r="Q2215" s="8" t="n"/>
      <c r="R2215" s="8" t="n"/>
      <c r="S2215" s="8" t="n"/>
      <c r="T2215" s="7" t="inlineStr">
        <is>
          <t>SEM COTAÇÃO</t>
        </is>
      </c>
      <c r="U2215" s="8" t="n"/>
      <c r="V2215" s="14" t="n"/>
      <c r="W2215" s="14" t="n"/>
      <c r="X2215" s="7" t="inlineStr"/>
      <c r="Y2215" s="7" t="inlineStr"/>
    </row>
    <row r="2216">
      <c r="A2216" s="7" t="n">
        <v>599441</v>
      </c>
      <c r="B2216" s="12" t="inlineStr">
        <is>
          <t>7891008124583</t>
        </is>
      </c>
      <c r="C2216" s="7" t="inlineStr">
        <is>
          <t>GAROTO CROCANTE CHOCOLATE 25G</t>
        </is>
      </c>
      <c r="D2216" s="7" t="inlineStr">
        <is>
          <t>CONVENIENCIA</t>
        </is>
      </c>
      <c r="E2216" s="7" t="inlineStr">
        <is>
          <t>B</t>
        </is>
      </c>
      <c r="F2216" s="13" t="n">
        <v>1</v>
      </c>
      <c r="G2216" s="13" t="n">
        <v>15</v>
      </c>
      <c r="H2216" s="8" t="n">
        <v>4.1983</v>
      </c>
      <c r="I2216" s="8" t="n">
        <v>2.6063</v>
      </c>
      <c r="J2216" s="8" t="n">
        <v>3.667633333333333</v>
      </c>
      <c r="K2216" s="8" t="n"/>
      <c r="L2216" s="8" t="n"/>
      <c r="M2216" s="8" t="n"/>
      <c r="N2216" s="8" t="n"/>
      <c r="O2216" s="8" t="n"/>
      <c r="P2216" s="8" t="n"/>
      <c r="Q2216" s="8" t="n"/>
      <c r="R2216" s="8" t="n"/>
      <c r="S2216" s="8" t="n"/>
      <c r="T2216" s="7" t="inlineStr">
        <is>
          <t>SEM COTAÇÃO</t>
        </is>
      </c>
      <c r="U2216" s="8" t="n"/>
      <c r="V2216" s="14" t="n"/>
      <c r="W2216" s="14" t="n"/>
      <c r="X2216" s="7" t="inlineStr"/>
      <c r="Y2216" s="7" t="inlineStr"/>
    </row>
    <row r="2217">
      <c r="A2217" s="7" t="n">
        <v>595871</v>
      </c>
      <c r="B2217" s="12" t="inlineStr">
        <is>
          <t>7891008116823</t>
        </is>
      </c>
      <c r="C2217" s="7" t="inlineStr">
        <is>
          <t>GAROTO PASTILHA EXTRAFORTE 17G</t>
        </is>
      </c>
      <c r="D2217" s="7" t="inlineStr">
        <is>
          <t>CONVENIENCIA</t>
        </is>
      </c>
      <c r="E2217" s="7" t="inlineStr">
        <is>
          <t>C</t>
        </is>
      </c>
      <c r="F2217" s="13" t="n">
        <v>1</v>
      </c>
      <c r="G2217" s="13" t="n">
        <v>26</v>
      </c>
      <c r="H2217" s="8" t="n">
        <v>0.8462</v>
      </c>
      <c r="I2217" s="8" t="n">
        <v>0.8462</v>
      </c>
      <c r="J2217" s="8" t="n">
        <v>0.8462</v>
      </c>
      <c r="K2217" s="8" t="n"/>
      <c r="L2217" s="8" t="n"/>
      <c r="M2217" s="8" t="n"/>
      <c r="N2217" s="8" t="n"/>
      <c r="O2217" s="8" t="n"/>
      <c r="P2217" s="8" t="n"/>
      <c r="Q2217" s="8" t="n"/>
      <c r="R2217" s="8" t="n"/>
      <c r="S2217" s="8" t="n"/>
      <c r="T2217" s="7" t="inlineStr">
        <is>
          <t>SEM COTAÇÃO</t>
        </is>
      </c>
      <c r="U2217" s="8" t="n"/>
      <c r="V2217" s="14" t="n"/>
      <c r="W2217" s="14" t="n"/>
      <c r="X2217" s="7" t="inlineStr"/>
      <c r="Y2217" s="7" t="inlineStr"/>
    </row>
    <row r="2218">
      <c r="A2218" s="7" t="n">
        <v>623431</v>
      </c>
      <c r="B2218" s="12" t="inlineStr">
        <is>
          <t>7891008116779</t>
        </is>
      </c>
      <c r="C2218" s="7" t="inlineStr">
        <is>
          <t>GAROTO PASTILHA MENTOL</t>
        </is>
      </c>
      <c r="D2218" s="7" t="inlineStr">
        <is>
          <t>CONVENIENCIA</t>
        </is>
      </c>
      <c r="E2218" s="7" t="inlineStr">
        <is>
          <t>C</t>
        </is>
      </c>
      <c r="F2218" s="13" t="n">
        <v>1</v>
      </c>
      <c r="G2218" s="13" t="n">
        <v>24</v>
      </c>
      <c r="H2218" s="8" t="n">
        <v>0.8462</v>
      </c>
      <c r="I2218" s="8" t="n">
        <v>0.8462</v>
      </c>
      <c r="J2218" s="8" t="n">
        <v>0.8462</v>
      </c>
      <c r="K2218" s="8" t="n"/>
      <c r="L2218" s="8" t="n"/>
      <c r="M2218" s="8" t="n"/>
      <c r="N2218" s="8" t="n"/>
      <c r="O2218" s="8" t="n"/>
      <c r="P2218" s="8" t="n"/>
      <c r="Q2218" s="8" t="n"/>
      <c r="R2218" s="8" t="n"/>
      <c r="S2218" s="8" t="n"/>
      <c r="T2218" s="7" t="inlineStr">
        <is>
          <t>SEM COTAÇÃO</t>
        </is>
      </c>
      <c r="U2218" s="8" t="n"/>
      <c r="V2218" s="14" t="n"/>
      <c r="W2218" s="14" t="n"/>
      <c r="X2218" s="7" t="inlineStr"/>
      <c r="Y2218" s="7" t="inlineStr"/>
    </row>
    <row r="2219">
      <c r="A2219" s="7" t="n">
        <v>658031</v>
      </c>
      <c r="B2219" s="12" t="inlineStr">
        <is>
          <t>7891008125719</t>
        </is>
      </c>
      <c r="C2219" s="7" t="inlineStr">
        <is>
          <t>GAROTO TAB CHOC AOLEI AMENDI 22X150G XI</t>
        </is>
      </c>
      <c r="D2219" s="7" t="inlineStr">
        <is>
          <t>CHOCOLATES</t>
        </is>
      </c>
      <c r="E2219" s="7" t="inlineStr">
        <is>
          <t>B</t>
        </is>
      </c>
      <c r="F2219" s="13" t="n">
        <v>1</v>
      </c>
      <c r="G2219" s="13" t="n">
        <v>3</v>
      </c>
      <c r="H2219" s="8" t="n">
        <v>10.8468</v>
      </c>
      <c r="I2219" s="8" t="n">
        <v>10.8468</v>
      </c>
      <c r="J2219" s="8" t="n">
        <v>10.8468</v>
      </c>
      <c r="K2219" s="8" t="n"/>
      <c r="L2219" s="8" t="n"/>
      <c r="M2219" s="8" t="n"/>
      <c r="N2219" s="8" t="n"/>
      <c r="O2219" s="8" t="n"/>
      <c r="P2219" s="8" t="n"/>
      <c r="Q2219" s="8" t="n"/>
      <c r="R2219" s="8" t="n"/>
      <c r="S2219" s="8" t="n"/>
      <c r="T2219" s="7" t="inlineStr">
        <is>
          <t>SEM COTAÇÃO</t>
        </is>
      </c>
      <c r="U2219" s="8" t="n"/>
      <c r="V2219" s="14" t="n"/>
      <c r="W2219" s="14" t="n"/>
      <c r="X2219" s="7" t="inlineStr"/>
      <c r="Y2219" s="7" t="inlineStr"/>
    </row>
    <row r="2220">
      <c r="A2220" s="7" t="n">
        <v>595861</v>
      </c>
      <c r="B2220" s="12" t="inlineStr">
        <is>
          <t>7891008125214</t>
        </is>
      </c>
      <c r="C2220" s="7" t="inlineStr">
        <is>
          <t>GAROTO TABLETE CHOC BCO 80G</t>
        </is>
      </c>
      <c r="D2220" s="7" t="inlineStr">
        <is>
          <t>CONVENIENCIA</t>
        </is>
      </c>
      <c r="E2220" s="7" t="inlineStr">
        <is>
          <t>A</t>
        </is>
      </c>
      <c r="F2220" s="13" t="n">
        <v>1</v>
      </c>
      <c r="G2220" s="13" t="n">
        <v>5</v>
      </c>
      <c r="H2220" s="8" t="n">
        <v>6.6956</v>
      </c>
      <c r="I2220" s="8" t="n">
        <v>6.6956</v>
      </c>
      <c r="J2220" s="8" t="n">
        <v>6.6956</v>
      </c>
      <c r="K2220" s="8" t="n"/>
      <c r="L2220" s="8" t="n"/>
      <c r="M2220" s="8" t="n"/>
      <c r="N2220" s="8" t="n"/>
      <c r="O2220" s="8" t="n"/>
      <c r="P2220" s="8" t="n"/>
      <c r="Q2220" s="8" t="n"/>
      <c r="R2220" s="8" t="n"/>
      <c r="S2220" s="8" t="n"/>
      <c r="T2220" s="7" t="inlineStr">
        <is>
          <t>SEM COTAÇÃO</t>
        </is>
      </c>
      <c r="U2220" s="8" t="n"/>
      <c r="V2220" s="14" t="n"/>
      <c r="W2220" s="14" t="n"/>
      <c r="X2220" s="7" t="inlineStr"/>
      <c r="Y2220" s="7" t="inlineStr"/>
    </row>
    <row r="2221">
      <c r="A2221" s="7" t="n">
        <v>597361</v>
      </c>
      <c r="B2221" s="12" t="inlineStr">
        <is>
          <t>7891008124057</t>
        </is>
      </c>
      <c r="C2221" s="7" t="inlineStr">
        <is>
          <t>GAROTO TABLETE CHOC MAMGO 80G</t>
        </is>
      </c>
      <c r="D2221" s="7" t="inlineStr">
        <is>
          <t>CONVENIENCIA</t>
        </is>
      </c>
      <c r="E2221" s="7" t="inlineStr">
        <is>
          <t>A</t>
        </is>
      </c>
      <c r="F2221" s="13" t="n">
        <v>1</v>
      </c>
      <c r="G2221" s="13" t="n">
        <v>2</v>
      </c>
      <c r="H2221" s="8" t="n">
        <v>6.695</v>
      </c>
      <c r="I2221" s="8" t="n">
        <v>6.5644</v>
      </c>
      <c r="J2221" s="8" t="n">
        <v>6.5644</v>
      </c>
      <c r="K2221" s="8" t="n"/>
      <c r="L2221" s="8" t="n"/>
      <c r="M2221" s="8" t="n"/>
      <c r="N2221" s="8" t="n"/>
      <c r="O2221" s="8" t="n"/>
      <c r="P2221" s="8" t="n"/>
      <c r="Q2221" s="8" t="n"/>
      <c r="R2221" s="8" t="n"/>
      <c r="S2221" s="8" t="n"/>
      <c r="T2221" s="7" t="inlineStr">
        <is>
          <t>SEM COTAÇÃO</t>
        </is>
      </c>
      <c r="U2221" s="8" t="n"/>
      <c r="V2221" s="14" t="n"/>
      <c r="W2221" s="14" t="n"/>
      <c r="X2221" s="7" t="inlineStr"/>
      <c r="Y2221" s="7" t="inlineStr"/>
    </row>
    <row r="2222">
      <c r="A2222" s="7" t="n">
        <v>658041</v>
      </c>
      <c r="B2222" s="12" t="inlineStr">
        <is>
          <t>7891000395608</t>
        </is>
      </c>
      <c r="C2222" s="7" t="inlineStr">
        <is>
          <t>GAROTO TABLETECHOCLEICROCANTE 22X150GBR</t>
        </is>
      </c>
      <c r="D2222" s="7" t="inlineStr">
        <is>
          <t>CHOCOLATES</t>
        </is>
      </c>
      <c r="E2222" s="7" t="inlineStr">
        <is>
          <t>C</t>
        </is>
      </c>
      <c r="F2222" s="13" t="n">
        <v>1</v>
      </c>
      <c r="G2222" s="13" t="n">
        <v>4</v>
      </c>
      <c r="H2222" s="8" t="n">
        <v>10.7382</v>
      </c>
      <c r="I2222" s="8" t="n">
        <v>10.7382</v>
      </c>
      <c r="J2222" s="8" t="n">
        <v>10.7382</v>
      </c>
      <c r="K2222" s="8" t="n"/>
      <c r="L2222" s="8" t="n"/>
      <c r="M2222" s="8" t="n"/>
      <c r="N2222" s="8" t="n"/>
      <c r="O2222" s="8" t="n"/>
      <c r="P2222" s="8" t="n"/>
      <c r="Q2222" s="8" t="n"/>
      <c r="R2222" s="8" t="n"/>
      <c r="S2222" s="8" t="n"/>
      <c r="T2222" s="7" t="inlineStr">
        <is>
          <t>SEM COTAÇÃO</t>
        </is>
      </c>
      <c r="U2222" s="8" t="n"/>
      <c r="V2222" s="14" t="n"/>
      <c r="W2222" s="14" t="n"/>
      <c r="X2222" s="7" t="inlineStr"/>
      <c r="Y2222" s="7" t="inlineStr"/>
    </row>
    <row r="2223">
      <c r="A2223" s="7" t="n">
        <v>660241</v>
      </c>
      <c r="B2223" s="12" t="inlineStr">
        <is>
          <t>7896862993665</t>
        </is>
      </c>
      <c r="C2223" s="7" t="inlineStr">
        <is>
          <t>GASTROGEL TABS MENTA (CARTELA)</t>
        </is>
      </c>
      <c r="D2223" s="7" t="inlineStr">
        <is>
          <t>SIMILAR</t>
        </is>
      </c>
      <c r="E2223" s="7" t="inlineStr">
        <is>
          <t>C</t>
        </is>
      </c>
      <c r="F2223" s="13" t="n">
        <v>4</v>
      </c>
      <c r="G2223" s="13" t="n">
        <v>7</v>
      </c>
      <c r="H2223" s="8" t="n">
        <v>7.99</v>
      </c>
      <c r="I2223" s="8" t="n">
        <v>7.99</v>
      </c>
      <c r="J2223" s="8" t="n">
        <v>7.989999999999999</v>
      </c>
      <c r="K2223" s="8" t="n">
        <v>8.529999999999999</v>
      </c>
      <c r="L2223" s="8" t="n">
        <v>8.99</v>
      </c>
      <c r="M2223" s="8" t="n"/>
      <c r="N2223" s="8" t="n"/>
      <c r="O2223" s="15" t="n">
        <v>8.460000000000001</v>
      </c>
      <c r="P2223" s="8" t="n">
        <v>8.887455000000001</v>
      </c>
      <c r="Q2223" s="8" t="n">
        <v>8.970000000000001</v>
      </c>
      <c r="R2223" s="8" t="n"/>
      <c r="S2223" s="8" t="n"/>
      <c r="T2223" s="7" t="inlineStr">
        <is>
          <t>TAPAJOS</t>
        </is>
      </c>
      <c r="U2223" s="8" t="n">
        <v>8.460000000000001</v>
      </c>
      <c r="V2223" s="14">
        <f>U2223/J2223-1</f>
        <v/>
      </c>
      <c r="W2223" s="14">
        <f>U2223/H2223-1</f>
        <v/>
      </c>
      <c r="X2223" s="16" t="inlineStr">
        <is>
          <t>ACIMA +5.9%</t>
        </is>
      </c>
      <c r="Y2223" s="7" t="inlineStr"/>
    </row>
    <row r="2224">
      <c r="A2224" s="7" t="n">
        <v>80681</v>
      </c>
      <c r="B2224" s="12" t="inlineStr">
        <is>
          <t>7908020500421</t>
        </is>
      </c>
      <c r="C2224" s="7" t="inlineStr">
        <is>
          <t>GASTROLIV 35,6+37+46MG SACHE</t>
        </is>
      </c>
      <c r="D2224" s="7" t="inlineStr">
        <is>
          <t>DESATIVADO</t>
        </is>
      </c>
      <c r="E2224" s="7" t="inlineStr">
        <is>
          <t>C</t>
        </is>
      </c>
      <c r="F2224" s="13" t="n">
        <v>1</v>
      </c>
      <c r="G2224" s="13" t="n">
        <v>1</v>
      </c>
      <c r="H2224" s="8" t="n">
        <v>101.28</v>
      </c>
      <c r="I2224" s="8" t="n">
        <v>101.28</v>
      </c>
      <c r="J2224" s="8" t="n">
        <v>101.28</v>
      </c>
      <c r="K2224" s="8" t="n"/>
      <c r="L2224" s="8" t="n"/>
      <c r="M2224" s="8" t="n"/>
      <c r="N2224" s="8" t="n"/>
      <c r="O2224" s="8" t="n"/>
      <c r="P2224" s="8" t="n"/>
      <c r="Q2224" s="8" t="n"/>
      <c r="R2224" s="8" t="n"/>
      <c r="S2224" s="8" t="n"/>
      <c r="T2224" s="7" t="inlineStr">
        <is>
          <t>SEM COTAÇÃO</t>
        </is>
      </c>
      <c r="U2224" s="8" t="n"/>
      <c r="V2224" s="14" t="n"/>
      <c r="W2224" s="14" t="n"/>
      <c r="X2224" s="7" t="inlineStr"/>
      <c r="Y2224" s="7" t="inlineStr"/>
    </row>
    <row r="2225">
      <c r="A2225" s="7" t="n">
        <v>80661</v>
      </c>
      <c r="B2225" s="12" t="inlineStr">
        <is>
          <t>7908020500407</t>
        </is>
      </c>
      <c r="C2225" s="7" t="inlineStr">
        <is>
          <t>GASTROLIV 35,6+37+46MG SACHE</t>
        </is>
      </c>
      <c r="D2225" s="7" t="inlineStr">
        <is>
          <t>DESATIVADO</t>
        </is>
      </c>
      <c r="E2225" s="7" t="inlineStr">
        <is>
          <t>C</t>
        </is>
      </c>
      <c r="F2225" s="13" t="n">
        <v>5</v>
      </c>
      <c r="G2225" s="13" t="n">
        <v>5</v>
      </c>
      <c r="H2225" s="8" t="n">
        <v>101.28</v>
      </c>
      <c r="I2225" s="8" t="n">
        <v>101.28</v>
      </c>
      <c r="J2225" s="8" t="n">
        <v>101.28</v>
      </c>
      <c r="K2225" s="8" t="n"/>
      <c r="L2225" s="8" t="n"/>
      <c r="M2225" s="8" t="n"/>
      <c r="N2225" s="8" t="n"/>
      <c r="O2225" s="8" t="n"/>
      <c r="P2225" s="8" t="n"/>
      <c r="Q2225" s="8" t="n"/>
      <c r="R2225" s="8" t="n"/>
      <c r="S2225" s="8" t="n"/>
      <c r="T2225" s="7" t="inlineStr">
        <is>
          <t>SEM COTAÇÃO</t>
        </is>
      </c>
      <c r="U2225" s="8" t="n"/>
      <c r="V2225" s="14" t="n"/>
      <c r="W2225" s="14" t="n"/>
      <c r="X2225" s="7" t="inlineStr"/>
      <c r="Y2225" s="7" t="inlineStr"/>
    </row>
    <row r="2226">
      <c r="A2226" s="7" t="n">
        <v>80781</v>
      </c>
      <c r="B2226" s="12" t="inlineStr">
        <is>
          <t>7908020500384</t>
        </is>
      </c>
      <c r="C2226" s="7" t="inlineStr">
        <is>
          <t>GASTROLIV 35,6+37+46MG SACHE ABACAXI</t>
        </is>
      </c>
      <c r="D2226" s="7" t="inlineStr">
        <is>
          <t>SIMILAR</t>
        </is>
      </c>
      <c r="E2226" s="7" t="inlineStr">
        <is>
          <t>C</t>
        </is>
      </c>
      <c r="F2226" s="13" t="n">
        <v>5</v>
      </c>
      <c r="G2226" s="13" t="n">
        <v>5</v>
      </c>
      <c r="H2226" s="8" t="n">
        <v>101.28</v>
      </c>
      <c r="I2226" s="8" t="n">
        <v>101.28</v>
      </c>
      <c r="J2226" s="8" t="n">
        <v>101.28</v>
      </c>
      <c r="K2226" s="8" t="n"/>
      <c r="L2226" s="8" t="n"/>
      <c r="M2226" s="8" t="n"/>
      <c r="N2226" s="8" t="n"/>
      <c r="O2226" s="8" t="n"/>
      <c r="P2226" s="8" t="n"/>
      <c r="Q2226" s="8" t="n"/>
      <c r="R2226" s="8" t="n"/>
      <c r="S2226" s="8" t="n"/>
      <c r="T2226" s="7" t="inlineStr">
        <is>
          <t>SEM COTAÇÃO</t>
        </is>
      </c>
      <c r="U2226" s="8" t="n"/>
      <c r="V2226" s="14" t="n"/>
      <c r="W2226" s="14" t="n"/>
      <c r="X2226" s="7" t="inlineStr"/>
      <c r="Y2226" s="7" t="inlineStr"/>
    </row>
    <row r="2227">
      <c r="A2227" s="7" t="n">
        <v>713</v>
      </c>
      <c r="B2227" s="12" t="inlineStr">
        <is>
          <t>7892840822019</t>
        </is>
      </c>
      <c r="C2227" s="7" t="inlineStr">
        <is>
          <t>GATORADE 500ML SBR BERRY BLUE</t>
        </is>
      </c>
      <c r="D2227" s="7" t="inlineStr">
        <is>
          <t>BEBIDAS GERAL</t>
        </is>
      </c>
      <c r="E2227" s="7" t="inlineStr">
        <is>
          <t>C</t>
        </is>
      </c>
      <c r="F2227" s="13" t="n">
        <v>1</v>
      </c>
      <c r="G2227" s="13" t="n">
        <v>1</v>
      </c>
      <c r="H2227" s="8" t="n"/>
      <c r="I2227" s="8" t="n"/>
      <c r="J2227" s="8" t="n"/>
      <c r="K2227" s="8" t="n"/>
      <c r="L2227" s="8" t="n"/>
      <c r="M2227" s="8" t="n"/>
      <c r="N2227" s="8" t="n"/>
      <c r="O2227" s="8" t="n"/>
      <c r="P2227" s="8" t="n"/>
      <c r="Q2227" s="8" t="n"/>
      <c r="R2227" s="8" t="n"/>
      <c r="S2227" s="8" t="n"/>
      <c r="T2227" s="7" t="inlineStr">
        <is>
          <t>SEM COTAÇÃO</t>
        </is>
      </c>
      <c r="U2227" s="8" t="n"/>
      <c r="V2227" s="14" t="n"/>
      <c r="W2227" s="14" t="n"/>
      <c r="X2227" s="7" t="inlineStr"/>
      <c r="Y2227" s="7" t="inlineStr"/>
    </row>
    <row r="2228">
      <c r="A2228" s="7" t="n">
        <v>607721</v>
      </c>
      <c r="B2228" s="12" t="inlineStr">
        <is>
          <t>7892840808068</t>
        </is>
      </c>
      <c r="C2228" s="7" t="inlineStr">
        <is>
          <t>GATORADE 500ML SBR MARACUJA</t>
        </is>
      </c>
      <c r="D2228" s="7" t="inlineStr">
        <is>
          <t>BEBIDAS GERAL</t>
        </is>
      </c>
      <c r="E2228" s="7" t="inlineStr">
        <is>
          <t>C</t>
        </is>
      </c>
      <c r="F2228" s="13" t="n">
        <v>1</v>
      </c>
      <c r="G2228" s="13" t="n">
        <v>1</v>
      </c>
      <c r="H2228" s="8" t="n">
        <v>5</v>
      </c>
      <c r="I2228" s="8" t="n">
        <v>5</v>
      </c>
      <c r="J2228" s="8" t="n">
        <v>5</v>
      </c>
      <c r="K2228" s="8" t="n"/>
      <c r="L2228" s="8" t="n"/>
      <c r="M2228" s="8" t="n"/>
      <c r="N2228" s="8" t="n"/>
      <c r="O2228" s="8" t="n"/>
      <c r="P2228" s="8" t="n"/>
      <c r="Q2228" s="8" t="n"/>
      <c r="R2228" s="8" t="n"/>
      <c r="S2228" s="8" t="n"/>
      <c r="T2228" s="7" t="inlineStr">
        <is>
          <t>SEM COTAÇÃO</t>
        </is>
      </c>
      <c r="U2228" s="8" t="n"/>
      <c r="V2228" s="14" t="n"/>
      <c r="W2228" s="14" t="n"/>
      <c r="X2228" s="7" t="inlineStr"/>
      <c r="Y2228" s="7" t="inlineStr"/>
    </row>
    <row r="2229">
      <c r="A2229" s="7" t="n">
        <v>591161</v>
      </c>
      <c r="B2229" s="12" t="inlineStr">
        <is>
          <t>7892840808044</t>
        </is>
      </c>
      <c r="C2229" s="7" t="inlineStr">
        <is>
          <t>GATORADE 500ML SBR TANGERINA</t>
        </is>
      </c>
      <c r="D2229" s="7" t="inlineStr">
        <is>
          <t>BEBIDAS GERAL</t>
        </is>
      </c>
      <c r="E2229" s="7" t="inlineStr">
        <is>
          <t>C</t>
        </is>
      </c>
      <c r="F2229" s="13" t="n">
        <v>1</v>
      </c>
      <c r="G2229" s="13" t="n">
        <v>1</v>
      </c>
      <c r="H2229" s="8" t="n">
        <v>5.49</v>
      </c>
      <c r="I2229" s="8" t="n">
        <v>5.49</v>
      </c>
      <c r="J2229" s="8" t="n">
        <v>5.489999999999999</v>
      </c>
      <c r="K2229" s="8" t="n"/>
      <c r="L2229" s="8" t="n"/>
      <c r="M2229" s="8" t="n"/>
      <c r="N2229" s="8" t="n"/>
      <c r="O2229" s="8" t="n"/>
      <c r="P2229" s="8" t="n"/>
      <c r="Q2229" s="8" t="n"/>
      <c r="R2229" s="8" t="n"/>
      <c r="S2229" s="8" t="n"/>
      <c r="T2229" s="7" t="inlineStr">
        <is>
          <t>SEM COTAÇÃO</t>
        </is>
      </c>
      <c r="U2229" s="8" t="n"/>
      <c r="V2229" s="14" t="n"/>
      <c r="W2229" s="14" t="n"/>
      <c r="X2229" s="7" t="inlineStr"/>
      <c r="Y2229" s="7" t="inlineStr"/>
    </row>
    <row r="2230">
      <c r="A2230" s="7" t="n">
        <v>583501</v>
      </c>
      <c r="B2230" s="12" t="inlineStr">
        <is>
          <t>7892840808020</t>
        </is>
      </c>
      <c r="C2230" s="7" t="inlineStr">
        <is>
          <t>GATORADE LARANJA ISO 500ML</t>
        </is>
      </c>
      <c r="D2230" s="7" t="inlineStr">
        <is>
          <t>BEBIDAS GERAL</t>
        </is>
      </c>
      <c r="E2230" s="7" t="inlineStr">
        <is>
          <t>B</t>
        </is>
      </c>
      <c r="F2230" s="13" t="n">
        <v>1</v>
      </c>
      <c r="G2230" s="13" t="n">
        <v>1</v>
      </c>
      <c r="H2230" s="8" t="n">
        <v>5.2967</v>
      </c>
      <c r="I2230" s="8" t="n">
        <v>5.2967</v>
      </c>
      <c r="J2230" s="8" t="n">
        <v>5.2967</v>
      </c>
      <c r="K2230" s="8" t="n"/>
      <c r="L2230" s="8" t="n"/>
      <c r="M2230" s="8" t="n"/>
      <c r="N2230" s="8" t="n"/>
      <c r="O2230" s="8" t="n"/>
      <c r="P2230" s="8" t="n"/>
      <c r="Q2230" s="8" t="n"/>
      <c r="R2230" s="8" t="n"/>
      <c r="S2230" s="8" t="n"/>
      <c r="T2230" s="7" t="inlineStr">
        <is>
          <t>SEM COTAÇÃO</t>
        </is>
      </c>
      <c r="U2230" s="8" t="n"/>
      <c r="V2230" s="14" t="n"/>
      <c r="W2230" s="14" t="n"/>
      <c r="X2230" s="7" t="inlineStr"/>
      <c r="Y2230" s="7" t="inlineStr"/>
    </row>
    <row r="2231">
      <c r="A2231" s="7" t="n">
        <v>583481</v>
      </c>
      <c r="B2231" s="12" t="inlineStr">
        <is>
          <t>7892840808174</t>
        </is>
      </c>
      <c r="C2231" s="7" t="inlineStr">
        <is>
          <t>GATORADE MORANGO E MARACUJA ISO 500ML</t>
        </is>
      </c>
      <c r="D2231" s="7" t="inlineStr">
        <is>
          <t>BEBIDAS GERAL</t>
        </is>
      </c>
      <c r="E2231" s="7" t="inlineStr">
        <is>
          <t>C</t>
        </is>
      </c>
      <c r="F2231" s="13" t="n">
        <v>1</v>
      </c>
      <c r="G2231" s="13" t="n">
        <v>1</v>
      </c>
      <c r="H2231" s="8" t="n">
        <v>5.59</v>
      </c>
      <c r="I2231" s="8" t="n">
        <v>5.59</v>
      </c>
      <c r="J2231" s="8" t="n">
        <v>5.59</v>
      </c>
      <c r="K2231" s="8" t="n"/>
      <c r="L2231" s="8" t="n"/>
      <c r="M2231" s="8" t="n"/>
      <c r="N2231" s="8" t="n"/>
      <c r="O2231" s="8" t="n"/>
      <c r="P2231" s="8" t="n"/>
      <c r="Q2231" s="8" t="n"/>
      <c r="R2231" s="8" t="n"/>
      <c r="S2231" s="8" t="n"/>
      <c r="T2231" s="7" t="inlineStr">
        <is>
          <t>SEM COTAÇÃO</t>
        </is>
      </c>
      <c r="U2231" s="8" t="n"/>
      <c r="V2231" s="14" t="n"/>
      <c r="W2231" s="14" t="n"/>
      <c r="X2231" s="7" t="inlineStr"/>
      <c r="Y2231" s="7" t="inlineStr"/>
    </row>
    <row r="2232">
      <c r="A2232" s="7" t="n">
        <v>644421</v>
      </c>
      <c r="B2232" s="12" t="inlineStr">
        <is>
          <t>7892840819354</t>
        </is>
      </c>
      <c r="C2232" s="7" t="inlineStr">
        <is>
          <t>GATORADE MORANGO E MELANCIA ISO 500ML</t>
        </is>
      </c>
      <c r="D2232" s="7" t="inlineStr">
        <is>
          <t>BEBIDAS GERAL</t>
        </is>
      </c>
      <c r="E2232" s="7" t="inlineStr">
        <is>
          <t>C</t>
        </is>
      </c>
      <c r="F2232" s="13" t="n">
        <v>1</v>
      </c>
      <c r="G2232" s="13" t="n">
        <v>1</v>
      </c>
      <c r="H2232" s="8" t="n"/>
      <c r="I2232" s="8" t="n"/>
      <c r="J2232" s="8" t="n"/>
      <c r="K2232" s="8" t="n"/>
      <c r="L2232" s="8" t="n"/>
      <c r="M2232" s="8" t="n"/>
      <c r="N2232" s="8" t="n"/>
      <c r="O2232" s="8" t="n"/>
      <c r="P2232" s="8" t="n"/>
      <c r="Q2232" s="8" t="n"/>
      <c r="R2232" s="8" t="n"/>
      <c r="S2232" s="8" t="n"/>
      <c r="T2232" s="7" t="inlineStr">
        <is>
          <t>SEM COTAÇÃO</t>
        </is>
      </c>
      <c r="U2232" s="8" t="n"/>
      <c r="V2232" s="14" t="n"/>
      <c r="W2232" s="14" t="n"/>
      <c r="X2232" s="7" t="inlineStr"/>
      <c r="Y2232" s="7" t="inlineStr"/>
    </row>
    <row r="2233">
      <c r="A2233" s="7" t="n">
        <v>591141</v>
      </c>
      <c r="B2233" s="12" t="inlineStr">
        <is>
          <t>7892840808037</t>
        </is>
      </c>
      <c r="C2233" s="7" t="inlineStr">
        <is>
          <t>GATORADE SBR LIMAO 500ML</t>
        </is>
      </c>
      <c r="D2233" s="7" t="inlineStr">
        <is>
          <t>BEBIDAS GERAL</t>
        </is>
      </c>
      <c r="E2233" s="7" t="inlineStr">
        <is>
          <t>C</t>
        </is>
      </c>
      <c r="F2233" s="13" t="n">
        <v>1</v>
      </c>
      <c r="G2233" s="13" t="n">
        <v>1</v>
      </c>
      <c r="H2233" s="8" t="n">
        <v>5.63</v>
      </c>
      <c r="I2233" s="8" t="n">
        <v>5.63</v>
      </c>
      <c r="J2233" s="8" t="n">
        <v>5.63</v>
      </c>
      <c r="K2233" s="8" t="n"/>
      <c r="L2233" s="8" t="n"/>
      <c r="M2233" s="8" t="n"/>
      <c r="N2233" s="8" t="n"/>
      <c r="O2233" s="8" t="n"/>
      <c r="P2233" s="8" t="n"/>
      <c r="Q2233" s="8" t="n"/>
      <c r="R2233" s="8" t="n"/>
      <c r="S2233" s="8" t="n"/>
      <c r="T2233" s="7" t="inlineStr">
        <is>
          <t>SEM COTAÇÃO</t>
        </is>
      </c>
      <c r="U2233" s="8" t="n"/>
      <c r="V2233" s="14" t="n"/>
      <c r="W2233" s="14" t="n"/>
      <c r="X2233" s="7" t="inlineStr"/>
      <c r="Y2233" s="7" t="inlineStr"/>
    </row>
    <row r="2234">
      <c r="A2234" s="7" t="n">
        <v>614411</v>
      </c>
      <c r="B2234" s="12" t="inlineStr">
        <is>
          <t>7896044942023</t>
        </is>
      </c>
      <c r="C2234" s="7" t="inlineStr">
        <is>
          <t>GB DES ROLL-ON LILAC 50ML</t>
        </is>
      </c>
      <c r="D2234" s="7" t="inlineStr">
        <is>
          <t>PERF/COSME</t>
        </is>
      </c>
      <c r="E2234" s="7" t="inlineStr">
        <is>
          <t>C</t>
        </is>
      </c>
      <c r="F2234" s="13" t="n">
        <v>1</v>
      </c>
      <c r="G2234" s="13" t="n">
        <v>1</v>
      </c>
      <c r="H2234" s="8" t="n">
        <v>5.26</v>
      </c>
      <c r="I2234" s="8" t="n">
        <v>5.26</v>
      </c>
      <c r="J2234" s="8" t="n">
        <v>5.26</v>
      </c>
      <c r="K2234" s="8" t="n"/>
      <c r="L2234" s="8" t="n"/>
      <c r="M2234" s="8" t="n"/>
      <c r="N2234" s="8" t="n"/>
      <c r="O2234" s="8" t="n"/>
      <c r="P2234" s="8" t="n"/>
      <c r="Q2234" s="8" t="n"/>
      <c r="R2234" s="8" t="n"/>
      <c r="S2234" s="8" t="n"/>
      <c r="T2234" s="7" t="inlineStr">
        <is>
          <t>SEM COTAÇÃO</t>
        </is>
      </c>
      <c r="U2234" s="8" t="n"/>
      <c r="V2234" s="14" t="n"/>
      <c r="W2234" s="14" t="n"/>
      <c r="X2234" s="7" t="inlineStr"/>
      <c r="Y2234" s="7" t="inlineStr"/>
    </row>
    <row r="2235">
      <c r="A2235" s="7" t="n">
        <v>614</v>
      </c>
      <c r="B2235" s="12" t="inlineStr">
        <is>
          <t>7891350034844</t>
        </is>
      </c>
      <c r="C2235" s="7" t="inlineStr">
        <is>
          <t>GEL CAPILAR BOZZANO 300G</t>
        </is>
      </c>
      <c r="D2235" s="7" t="inlineStr">
        <is>
          <t>PERF/COSME</t>
        </is>
      </c>
      <c r="E2235" s="7" t="inlineStr">
        <is>
          <t>C</t>
        </is>
      </c>
      <c r="F2235" s="13" t="n">
        <v>1</v>
      </c>
      <c r="G2235" s="13" t="n">
        <v>1</v>
      </c>
      <c r="H2235" s="8" t="n"/>
      <c r="I2235" s="8" t="n"/>
      <c r="J2235" s="8" t="n"/>
      <c r="K2235" s="8" t="n"/>
      <c r="L2235" s="8" t="n"/>
      <c r="M2235" s="8" t="n"/>
      <c r="N2235" s="8" t="n"/>
      <c r="O2235" s="8" t="n"/>
      <c r="P2235" s="8" t="n"/>
      <c r="Q2235" s="8" t="n"/>
      <c r="R2235" s="8" t="n"/>
      <c r="S2235" s="8" t="n"/>
      <c r="T2235" s="7" t="inlineStr">
        <is>
          <t>SEM COTAÇÃO</t>
        </is>
      </c>
      <c r="U2235" s="8" t="n"/>
      <c r="V2235" s="14" t="n"/>
      <c r="W2235" s="14" t="n"/>
      <c r="X2235" s="7" t="inlineStr"/>
      <c r="Y2235" s="7" t="inlineStr"/>
    </row>
    <row r="2236">
      <c r="A2236" s="7" t="n">
        <v>613061</v>
      </c>
      <c r="B2236" s="12" t="inlineStr">
        <is>
          <t>7896013105282</t>
        </is>
      </c>
      <c r="C2236" s="7" t="inlineStr">
        <is>
          <t>GEL D EVEN T MONICA BABY 50GR CR 12XUN QTD. 1.00 CR</t>
        </is>
      </c>
      <c r="D2236" s="7" t="inlineStr">
        <is>
          <t>PERF/COSME</t>
        </is>
      </c>
      <c r="E2236" s="7" t="inlineStr">
        <is>
          <t>B</t>
        </is>
      </c>
      <c r="F2236" s="13" t="n">
        <v>3</v>
      </c>
      <c r="G2236" s="13" t="n">
        <v>3</v>
      </c>
      <c r="H2236" s="8" t="n">
        <v>10.9</v>
      </c>
      <c r="I2236" s="8" t="n">
        <v>10.9</v>
      </c>
      <c r="J2236" s="8" t="n">
        <v>10.9</v>
      </c>
      <c r="K2236" s="8" t="n"/>
      <c r="L2236" s="8" t="n"/>
      <c r="M2236" s="8" t="n"/>
      <c r="N2236" s="8" t="n"/>
      <c r="O2236" s="8" t="n"/>
      <c r="P2236" s="8" t="n"/>
      <c r="Q2236" s="8" t="n"/>
      <c r="R2236" s="8" t="n"/>
      <c r="S2236" s="8" t="n"/>
      <c r="T2236" s="7" t="inlineStr">
        <is>
          <t>SEM COTAÇÃO</t>
        </is>
      </c>
      <c r="U2236" s="8" t="n"/>
      <c r="V2236" s="14" t="n"/>
      <c r="W2236" s="14" t="n"/>
      <c r="X2236" s="7" t="inlineStr"/>
      <c r="Y2236" s="7" t="inlineStr"/>
    </row>
    <row r="2237">
      <c r="A2237" s="7" t="n">
        <v>629741</v>
      </c>
      <c r="B2237" s="12" t="inlineStr">
        <is>
          <t>7897217403990</t>
        </is>
      </c>
      <c r="C2237" s="7" t="inlineStr">
        <is>
          <t>GEL DENT  HELO KITY TUTTI 50G</t>
        </is>
      </c>
      <c r="D2237" s="7" t="inlineStr">
        <is>
          <t>PERF/COSME</t>
        </is>
      </c>
      <c r="E2237" s="7" t="inlineStr">
        <is>
          <t>C</t>
        </is>
      </c>
      <c r="F2237" s="13" t="n">
        <v>3</v>
      </c>
      <c r="G2237" s="13" t="n">
        <v>3</v>
      </c>
      <c r="H2237" s="8" t="n">
        <v>5.32</v>
      </c>
      <c r="I2237" s="8" t="n">
        <v>5.32</v>
      </c>
      <c r="J2237" s="8" t="n">
        <v>5.32</v>
      </c>
      <c r="K2237" s="8" t="n"/>
      <c r="L2237" s="8" t="n"/>
      <c r="M2237" s="8" t="n"/>
      <c r="N2237" s="8" t="n"/>
      <c r="O2237" s="8" t="n"/>
      <c r="P2237" s="8" t="n"/>
      <c r="Q2237" s="8" t="n"/>
      <c r="R2237" s="8" t="n"/>
      <c r="S2237" s="8" t="n"/>
      <c r="T2237" s="7" t="inlineStr">
        <is>
          <t>SEM COTAÇÃO</t>
        </is>
      </c>
      <c r="U2237" s="8" t="n"/>
      <c r="V2237" s="14" t="n"/>
      <c r="W2237" s="14" t="n"/>
      <c r="X2237" s="7" t="inlineStr"/>
      <c r="Y2237" s="7" t="inlineStr"/>
    </row>
    <row r="2238">
      <c r="A2238" s="7" t="n">
        <v>667531</v>
      </c>
      <c r="B2238" s="12" t="inlineStr">
        <is>
          <t>7897144661289</t>
        </is>
      </c>
      <c r="C2238" s="7" t="inlineStr">
        <is>
          <t>GEL DENT BITUFO KID S/FL MORAN90G-DEMAIS PROD</t>
        </is>
      </c>
      <c r="D2238" s="7" t="inlineStr">
        <is>
          <t>ORTODONTICO</t>
        </is>
      </c>
      <c r="E2238" s="7" t="inlineStr">
        <is>
          <t>C</t>
        </is>
      </c>
      <c r="F2238" s="13" t="n">
        <v>1</v>
      </c>
      <c r="G2238" s="13" t="n">
        <v>1</v>
      </c>
      <c r="H2238" s="8" t="n">
        <v>10.23</v>
      </c>
      <c r="I2238" s="8" t="n">
        <v>9.550000000000001</v>
      </c>
      <c r="J2238" s="8" t="n">
        <v>10.00333333333333</v>
      </c>
      <c r="K2238" s="8" t="n"/>
      <c r="L2238" s="8" t="n"/>
      <c r="M2238" s="8" t="n"/>
      <c r="N2238" s="8" t="n"/>
      <c r="O2238" s="8" t="n"/>
      <c r="P2238" s="8" t="n"/>
      <c r="Q2238" s="8" t="n"/>
      <c r="R2238" s="8" t="n"/>
      <c r="S2238" s="8" t="n"/>
      <c r="T2238" s="7" t="inlineStr">
        <is>
          <t>SEM COTAÇÃO</t>
        </is>
      </c>
      <c r="U2238" s="8" t="n"/>
      <c r="V2238" s="14" t="n"/>
      <c r="W2238" s="14" t="n"/>
      <c r="X2238" s="7" t="inlineStr"/>
      <c r="Y2238" s="7" t="inlineStr"/>
    </row>
    <row r="2239">
      <c r="A2239" s="7" t="n">
        <v>649001</v>
      </c>
      <c r="B2239" s="12" t="inlineStr">
        <is>
          <t>7891055538418</t>
        </is>
      </c>
      <c r="C2239" s="7" t="inlineStr">
        <is>
          <t>GEL DENT LILICA BABY 3513 36X50G</t>
        </is>
      </c>
      <c r="D2239" s="7" t="inlineStr">
        <is>
          <t>ORTODONTICO</t>
        </is>
      </c>
      <c r="E2239" s="7" t="inlineStr">
        <is>
          <t>C</t>
        </is>
      </c>
      <c r="F2239" s="13" t="n">
        <v>1</v>
      </c>
      <c r="G2239" s="13" t="n">
        <v>1</v>
      </c>
      <c r="H2239" s="8" t="n">
        <v>7.35</v>
      </c>
      <c r="I2239" s="8" t="n">
        <v>7.35</v>
      </c>
      <c r="J2239" s="8" t="n">
        <v>7.349999999999999</v>
      </c>
      <c r="K2239" s="8" t="n"/>
      <c r="L2239" s="8" t="n"/>
      <c r="M2239" s="8" t="n"/>
      <c r="N2239" s="8" t="n"/>
      <c r="O2239" s="8" t="n"/>
      <c r="P2239" s="8" t="n"/>
      <c r="Q2239" s="8" t="n"/>
      <c r="R2239" s="8" t="n"/>
      <c r="S2239" s="8" t="n"/>
      <c r="T2239" s="7" t="inlineStr">
        <is>
          <t>SEM COTAÇÃO</t>
        </is>
      </c>
      <c r="U2239" s="8" t="n"/>
      <c r="V2239" s="14" t="n"/>
      <c r="W2239" s="14" t="n"/>
      <c r="X2239" s="7" t="inlineStr"/>
      <c r="Y2239" s="7" t="inlineStr"/>
    </row>
    <row r="2240">
      <c r="A2240" s="7" t="n">
        <v>626711</v>
      </c>
      <c r="B2240" s="12" t="inlineStr">
        <is>
          <t>7500435204446</t>
        </is>
      </c>
      <c r="C2240" s="7" t="inlineStr">
        <is>
          <t>GEL DEPIL VENUS ESFOLIANTE 177ML</t>
        </is>
      </c>
      <c r="D2240" s="7" t="inlineStr">
        <is>
          <t>PERF/COSME</t>
        </is>
      </c>
      <c r="E2240" s="7" t="inlineStr">
        <is>
          <t>C</t>
        </is>
      </c>
      <c r="F2240" s="13" t="n">
        <v>1</v>
      </c>
      <c r="G2240" s="13" t="n">
        <v>1</v>
      </c>
      <c r="H2240" s="8" t="n">
        <v>36.81</v>
      </c>
      <c r="I2240" s="8" t="n">
        <v>36.81</v>
      </c>
      <c r="J2240" s="8" t="n">
        <v>36.81</v>
      </c>
      <c r="K2240" s="8" t="n"/>
      <c r="L2240" s="8" t="n"/>
      <c r="M2240" s="8" t="n"/>
      <c r="N2240" s="8" t="n"/>
      <c r="O2240" s="8" t="n"/>
      <c r="P2240" s="8" t="n"/>
      <c r="Q2240" s="8" t="n"/>
      <c r="R2240" s="8" t="n"/>
      <c r="S2240" s="8" t="n"/>
      <c r="T2240" s="7" t="inlineStr">
        <is>
          <t>SEM COTAÇÃO</t>
        </is>
      </c>
      <c r="U2240" s="8" t="n"/>
      <c r="V2240" s="14" t="n"/>
      <c r="W2240" s="14" t="n"/>
      <c r="X2240" s="7" t="inlineStr"/>
      <c r="Y2240" s="7" t="inlineStr"/>
    </row>
    <row r="2241">
      <c r="A2241" s="7" t="n">
        <v>663391</v>
      </c>
      <c r="B2241" s="12" t="inlineStr">
        <is>
          <t>7908512700605</t>
        </is>
      </c>
      <c r="C2241" s="7" t="inlineStr">
        <is>
          <t>GEL DES. MASSAGEADOR ARNICA E COPAIBA 200G</t>
        </is>
      </c>
      <c r="D2241" s="7" t="inlineStr">
        <is>
          <t>FITOTERAPICO</t>
        </is>
      </c>
      <c r="E2241" s="7" t="inlineStr">
        <is>
          <t>C</t>
        </is>
      </c>
      <c r="F2241" s="13" t="n">
        <v>3</v>
      </c>
      <c r="G2241" s="13" t="n">
        <v>3</v>
      </c>
      <c r="H2241" s="8" t="n">
        <v>4.99</v>
      </c>
      <c r="I2241" s="8" t="n">
        <v>4.99</v>
      </c>
      <c r="J2241" s="8" t="n">
        <v>4.99</v>
      </c>
      <c r="K2241" s="8" t="n"/>
      <c r="L2241" s="8" t="n"/>
      <c r="M2241" s="8" t="n"/>
      <c r="N2241" s="8" t="n"/>
      <c r="O2241" s="8" t="n"/>
      <c r="P2241" s="8" t="n"/>
      <c r="Q2241" s="8" t="n"/>
      <c r="R2241" s="8" t="n"/>
      <c r="S2241" s="8" t="n"/>
      <c r="T2241" s="7" t="inlineStr">
        <is>
          <t>SEM COTAÇÃO</t>
        </is>
      </c>
      <c r="U2241" s="8" t="n"/>
      <c r="V2241" s="14" t="n"/>
      <c r="W2241" s="14" t="n"/>
      <c r="X2241" s="7" t="inlineStr"/>
      <c r="Y2241" s="7" t="inlineStr"/>
    </row>
    <row r="2242">
      <c r="A2242" s="7" t="n">
        <v>676051</v>
      </c>
      <c r="B2242" s="12" t="inlineStr">
        <is>
          <t>7908512700865</t>
        </is>
      </c>
      <c r="C2242" s="7" t="inlineStr">
        <is>
          <t>GEL DES. MASSAGEADOR COPAIBA/ARNICA E ANDIROBA 200G CX/12 - BIO INSTINTO</t>
        </is>
      </c>
      <c r="D2242" s="7" t="inlineStr">
        <is>
          <t>FITOTERAPICO</t>
        </is>
      </c>
      <c r="E2242" s="7" t="inlineStr">
        <is>
          <t>B</t>
        </is>
      </c>
      <c r="F2242" s="13" t="n">
        <v>3</v>
      </c>
      <c r="G2242" s="13" t="n">
        <v>3</v>
      </c>
      <c r="H2242" s="8" t="n">
        <v>4.99</v>
      </c>
      <c r="I2242" s="8" t="n">
        <v>4.99</v>
      </c>
      <c r="J2242" s="8" t="n">
        <v>4.99</v>
      </c>
      <c r="K2242" s="8" t="n"/>
      <c r="L2242" s="8" t="n"/>
      <c r="M2242" s="8" t="n"/>
      <c r="N2242" s="8" t="n"/>
      <c r="O2242" s="8" t="n"/>
      <c r="P2242" s="8" t="n"/>
      <c r="Q2242" s="8" t="n"/>
      <c r="R2242" s="8" t="n"/>
      <c r="S2242" s="8" t="n"/>
      <c r="T2242" s="7" t="inlineStr">
        <is>
          <t>SEM COTAÇÃO</t>
        </is>
      </c>
      <c r="U2242" s="8" t="n"/>
      <c r="V2242" s="14" t="n"/>
      <c r="W2242" s="14" t="n"/>
      <c r="X2242" s="7" t="inlineStr"/>
      <c r="Y2242" s="7" t="inlineStr"/>
    </row>
    <row r="2243">
      <c r="A2243" s="7" t="n">
        <v>647541</v>
      </c>
      <c r="B2243" s="12" t="inlineStr">
        <is>
          <t>7908512700599</t>
        </is>
      </c>
      <c r="C2243" s="7" t="inlineStr">
        <is>
          <t>GEL DESODORANTE MASSAGEADOR ANDIROBA 240G - BIO INSTINTO</t>
        </is>
      </c>
      <c r="D2243" s="7" t="inlineStr">
        <is>
          <t>DERMOCOSMETICOS/COSMETICOS</t>
        </is>
      </c>
      <c r="E2243" s="7" t="inlineStr">
        <is>
          <t>C</t>
        </is>
      </c>
      <c r="F2243" s="13" t="n">
        <v>5</v>
      </c>
      <c r="G2243" s="13" t="n">
        <v>5</v>
      </c>
      <c r="H2243" s="8" t="n">
        <v>5.5</v>
      </c>
      <c r="I2243" s="8" t="n">
        <v>5.5</v>
      </c>
      <c r="J2243" s="8" t="n">
        <v>5.5</v>
      </c>
      <c r="K2243" s="8" t="n"/>
      <c r="L2243" s="8" t="n"/>
      <c r="M2243" s="8" t="n"/>
      <c r="N2243" s="8" t="n"/>
      <c r="O2243" s="8" t="n"/>
      <c r="P2243" s="8" t="n"/>
      <c r="Q2243" s="8" t="n"/>
      <c r="R2243" s="8" t="n"/>
      <c r="S2243" s="8" t="n"/>
      <c r="T2243" s="7" t="inlineStr">
        <is>
          <t>SEM COTAÇÃO</t>
        </is>
      </c>
      <c r="U2243" s="8" t="n"/>
      <c r="V2243" s="14" t="n"/>
      <c r="W2243" s="14" t="n"/>
      <c r="X2243" s="7" t="inlineStr"/>
      <c r="Y2243" s="7" t="inlineStr"/>
    </row>
    <row r="2244">
      <c r="A2244" s="7" t="n">
        <v>647551</v>
      </c>
      <c r="B2244" s="12" t="inlineStr">
        <is>
          <t>7908512700612</t>
        </is>
      </c>
      <c r="C2244" s="7" t="inlineStr">
        <is>
          <t>GEL DESODORANTE MASSAGEADOR ARNICA E COPAIBA 240G - BIO INSTINTO</t>
        </is>
      </c>
      <c r="D2244" s="7" t="inlineStr">
        <is>
          <t>DERMOCOSMETICOS/COSMETICOS</t>
        </is>
      </c>
      <c r="E2244" s="7" t="inlineStr">
        <is>
          <t>C</t>
        </is>
      </c>
      <c r="F2244" s="13" t="n">
        <v>3</v>
      </c>
      <c r="G2244" s="13" t="n">
        <v>3</v>
      </c>
      <c r="H2244" s="8" t="n">
        <v>4.15</v>
      </c>
      <c r="I2244" s="8" t="n">
        <v>4.15</v>
      </c>
      <c r="J2244" s="8" t="n">
        <v>4.15</v>
      </c>
      <c r="K2244" s="8" t="n"/>
      <c r="L2244" s="8" t="n"/>
      <c r="M2244" s="8" t="n"/>
      <c r="N2244" s="8" t="n"/>
      <c r="O2244" s="8" t="n"/>
      <c r="P2244" s="8" t="n"/>
      <c r="Q2244" s="8" t="n"/>
      <c r="R2244" s="8" t="n"/>
      <c r="S2244" s="8" t="n"/>
      <c r="T2244" s="7" t="inlineStr">
        <is>
          <t>SEM COTAÇÃO</t>
        </is>
      </c>
      <c r="U2244" s="8" t="n"/>
      <c r="V2244" s="14" t="n"/>
      <c r="W2244" s="14" t="n"/>
      <c r="X2244" s="7" t="inlineStr"/>
      <c r="Y2244" s="7" t="inlineStr"/>
    </row>
    <row r="2245">
      <c r="A2245" s="7" t="n">
        <v>654791</v>
      </c>
      <c r="B2245" s="12" t="inlineStr">
        <is>
          <t>722713014661</t>
        </is>
      </c>
      <c r="C2245" s="7" t="inlineStr">
        <is>
          <t>GEL HID. BABASOUL SEXY 280ML - SOUL COSMETICOS</t>
        </is>
      </c>
      <c r="D2245" s="7" t="inlineStr">
        <is>
          <t>FITOTERAPICO</t>
        </is>
      </c>
      <c r="E2245" s="7" t="inlineStr">
        <is>
          <t>C</t>
        </is>
      </c>
      <c r="F2245" s="13" t="n">
        <v>4</v>
      </c>
      <c r="G2245" s="13" t="n">
        <v>4</v>
      </c>
      <c r="H2245" s="8" t="n">
        <v>12.46</v>
      </c>
      <c r="I2245" s="8" t="n">
        <v>12.46</v>
      </c>
      <c r="J2245" s="8" t="n">
        <v>12.46</v>
      </c>
      <c r="K2245" s="8" t="n"/>
      <c r="L2245" s="8" t="n"/>
      <c r="M2245" s="8" t="n"/>
      <c r="N2245" s="8" t="n"/>
      <c r="O2245" s="8" t="n"/>
      <c r="P2245" s="8" t="n"/>
      <c r="Q2245" s="8" t="n"/>
      <c r="R2245" s="8" t="n"/>
      <c r="S2245" s="8" t="n"/>
      <c r="T2245" s="7" t="inlineStr">
        <is>
          <t>SEM COTAÇÃO</t>
        </is>
      </c>
      <c r="U2245" s="8" t="n"/>
      <c r="V2245" s="14" t="n"/>
      <c r="W2245" s="14" t="n"/>
      <c r="X2245" s="7" t="inlineStr"/>
      <c r="Y2245" s="7" t="inlineStr"/>
    </row>
    <row r="2246">
      <c r="A2246" s="7" t="n">
        <v>656061</v>
      </c>
      <c r="B2246" s="12" t="inlineStr">
        <is>
          <t>722713014692</t>
        </is>
      </c>
      <c r="C2246" s="7" t="inlineStr">
        <is>
          <t>GEL HID. BABASOUL SEXY IOGURTE DE MORANGO 280ML CX/24 - SOUL COSMETICOS</t>
        </is>
      </c>
      <c r="D2246" s="7" t="inlineStr">
        <is>
          <t>PERF/COSME</t>
        </is>
      </c>
      <c r="E2246" s="7" t="inlineStr">
        <is>
          <t>C</t>
        </is>
      </c>
      <c r="F2246" s="13" t="n">
        <v>2</v>
      </c>
      <c r="G2246" s="13" t="n">
        <v>2</v>
      </c>
      <c r="H2246" s="8" t="n">
        <v>12.46</v>
      </c>
      <c r="I2246" s="8" t="n">
        <v>12.46</v>
      </c>
      <c r="J2246" s="8" t="n">
        <v>12.46</v>
      </c>
      <c r="K2246" s="8" t="n"/>
      <c r="L2246" s="8" t="n"/>
      <c r="M2246" s="8" t="n"/>
      <c r="N2246" s="8" t="n"/>
      <c r="O2246" s="8" t="n"/>
      <c r="P2246" s="8" t="n"/>
      <c r="Q2246" s="8" t="n"/>
      <c r="R2246" s="8" t="n"/>
      <c r="S2246" s="8" t="n"/>
      <c r="T2246" s="7" t="inlineStr">
        <is>
          <t>SEM COTAÇÃO</t>
        </is>
      </c>
      <c r="U2246" s="8" t="n"/>
      <c r="V2246" s="14" t="n"/>
      <c r="W2246" s="14" t="n"/>
      <c r="X2246" s="7" t="inlineStr"/>
      <c r="Y2246" s="7" t="inlineStr"/>
    </row>
    <row r="2247">
      <c r="A2247" s="7" t="n">
        <v>592591</v>
      </c>
      <c r="B2247" s="12" t="inlineStr">
        <is>
          <t>7898556850049</t>
        </is>
      </c>
      <c r="C2247" s="7" t="inlineStr">
        <is>
          <t>GEL INTIMO LUBRIF MENTA 50G RILEX</t>
        </is>
      </c>
      <c r="D2247" s="7" t="inlineStr">
        <is>
          <t>PRESERVATIVOS</t>
        </is>
      </c>
      <c r="E2247" s="7" t="inlineStr">
        <is>
          <t>C</t>
        </is>
      </c>
      <c r="F2247" s="13" t="n">
        <v>2</v>
      </c>
      <c r="G2247" s="13" t="n">
        <v>2</v>
      </c>
      <c r="H2247" s="8" t="n">
        <v>6.25</v>
      </c>
      <c r="I2247" s="8" t="n">
        <v>6.25</v>
      </c>
      <c r="J2247" s="8" t="n">
        <v>6.25</v>
      </c>
      <c r="K2247" s="15" t="n">
        <v>7.05</v>
      </c>
      <c r="L2247" s="8" t="n"/>
      <c r="M2247" s="8" t="n"/>
      <c r="N2247" s="8" t="n">
        <v>7.55</v>
      </c>
      <c r="O2247" s="8" t="n"/>
      <c r="P2247" s="8" t="n"/>
      <c r="Q2247" s="8" t="n">
        <v>8.31</v>
      </c>
      <c r="R2247" s="8" t="n"/>
      <c r="S2247" s="8" t="n"/>
      <c r="T2247" s="7" t="inlineStr">
        <is>
          <t>DIMEC</t>
        </is>
      </c>
      <c r="U2247" s="8" t="n">
        <v>7.05</v>
      </c>
      <c r="V2247" s="14">
        <f>U2247/J2247-1</f>
        <v/>
      </c>
      <c r="W2247" s="14">
        <f>U2247/H2247-1</f>
        <v/>
      </c>
      <c r="X2247" s="16" t="inlineStr">
        <is>
          <t>ACIMA +12.8%</t>
        </is>
      </c>
      <c r="Y2247" s="7" t="inlineStr"/>
    </row>
    <row r="2248">
      <c r="A2248" s="7" t="n">
        <v>557181</v>
      </c>
      <c r="B2248" s="12" t="inlineStr">
        <is>
          <t>7898556850506</t>
        </is>
      </c>
      <c r="C2248" s="7" t="inlineStr">
        <is>
          <t>GEL INTIMO LUBRIF. MORANGO 100G TOY RILE</t>
        </is>
      </c>
      <c r="D2248" s="7" t="inlineStr">
        <is>
          <t>SIMILAR</t>
        </is>
      </c>
      <c r="E2248" s="7" t="inlineStr">
        <is>
          <t>C</t>
        </is>
      </c>
      <c r="F2248" s="13" t="n">
        <v>2</v>
      </c>
      <c r="G2248" s="13" t="n">
        <v>2</v>
      </c>
      <c r="H2248" s="8" t="n">
        <v>13.54</v>
      </c>
      <c r="I2248" s="8" t="n">
        <v>13.54</v>
      </c>
      <c r="J2248" s="8" t="n">
        <v>13.54</v>
      </c>
      <c r="K2248" s="15" t="n">
        <v>15.36</v>
      </c>
      <c r="L2248" s="8" t="n"/>
      <c r="M2248" s="8" t="n"/>
      <c r="N2248" s="8" t="n">
        <v>16.35</v>
      </c>
      <c r="O2248" s="8" t="n"/>
      <c r="P2248" s="8" t="n"/>
      <c r="Q2248" s="8" t="n"/>
      <c r="R2248" s="8" t="n"/>
      <c r="S2248" s="8" t="n"/>
      <c r="T2248" s="7" t="inlineStr">
        <is>
          <t>DIMEC</t>
        </is>
      </c>
      <c r="U2248" s="8" t="n">
        <v>15.36</v>
      </c>
      <c r="V2248" s="14">
        <f>U2248/J2248-1</f>
        <v/>
      </c>
      <c r="W2248" s="14">
        <f>U2248/H2248-1</f>
        <v/>
      </c>
      <c r="X2248" s="16" t="inlineStr">
        <is>
          <t>ACIMA +13.4%</t>
        </is>
      </c>
      <c r="Y2248" s="7" t="inlineStr"/>
    </row>
    <row r="2249">
      <c r="A2249" s="7" t="n">
        <v>630481</v>
      </c>
      <c r="B2249" s="12" t="inlineStr">
        <is>
          <t>7898556851084</t>
        </is>
      </c>
      <c r="C2249" s="7" t="inlineStr">
        <is>
          <t>GEL INTIMO LUBRIF.TRADICIONAL 200G RILEX</t>
        </is>
      </c>
      <c r="D2249" s="7" t="inlineStr">
        <is>
          <t>PRESERVATIVOS</t>
        </is>
      </c>
      <c r="E2249" s="7" t="inlineStr">
        <is>
          <t>C</t>
        </is>
      </c>
      <c r="F2249" s="13" t="n">
        <v>1</v>
      </c>
      <c r="G2249" s="13" t="n">
        <v>1</v>
      </c>
      <c r="H2249" s="8" t="n">
        <v>24.89</v>
      </c>
      <c r="I2249" s="8" t="n">
        <v>24.89</v>
      </c>
      <c r="J2249" s="8" t="n">
        <v>24.89</v>
      </c>
      <c r="K2249" s="15" t="n">
        <v>23.26</v>
      </c>
      <c r="L2249" s="8" t="n"/>
      <c r="M2249" s="8" t="n"/>
      <c r="N2249" s="8" t="n"/>
      <c r="O2249" s="8" t="n"/>
      <c r="P2249" s="8" t="n"/>
      <c r="Q2249" s="8" t="n"/>
      <c r="R2249" s="8" t="n"/>
      <c r="S2249" s="8" t="n"/>
      <c r="T2249" s="7" t="inlineStr">
        <is>
          <t>DIMEC</t>
        </is>
      </c>
      <c r="U2249" s="8" t="n">
        <v>23.26</v>
      </c>
      <c r="V2249" s="14">
        <f>U2249/J2249-1</f>
        <v/>
      </c>
      <c r="W2249" s="14">
        <f>U2249/H2249-1</f>
        <v/>
      </c>
      <c r="X2249" s="17" t="inlineStr">
        <is>
          <t>OK (≤ menor hist.)</t>
        </is>
      </c>
      <c r="Y2249" s="7" t="inlineStr"/>
    </row>
    <row r="2250">
      <c r="A2250" s="7" t="n">
        <v>659491</v>
      </c>
      <c r="B2250" s="12" t="inlineStr">
        <is>
          <t>7898126403668</t>
        </is>
      </c>
      <c r="C2250" s="7" t="inlineStr">
        <is>
          <t>GEL KIDS 150GR</t>
        </is>
      </c>
      <c r="D2250" s="7" t="inlineStr">
        <is>
          <t>BABY/KIDS</t>
        </is>
      </c>
      <c r="E2250" s="7" t="inlineStr">
        <is>
          <t>C</t>
        </is>
      </c>
      <c r="F2250" s="13" t="n">
        <v>1</v>
      </c>
      <c r="G2250" s="13" t="n">
        <v>1</v>
      </c>
      <c r="H2250" s="8" t="n">
        <v>18.37</v>
      </c>
      <c r="I2250" s="8" t="n">
        <v>18.37</v>
      </c>
      <c r="J2250" s="8" t="n">
        <v>18.37</v>
      </c>
      <c r="K2250" s="8" t="n"/>
      <c r="L2250" s="8" t="n"/>
      <c r="M2250" s="8" t="n"/>
      <c r="N2250" s="8" t="n"/>
      <c r="O2250" s="8" t="n"/>
      <c r="P2250" s="8" t="n"/>
      <c r="Q2250" s="8" t="n"/>
      <c r="R2250" s="8" t="n"/>
      <c r="S2250" s="8" t="n"/>
      <c r="T2250" s="7" t="inlineStr">
        <is>
          <t>SEM COTAÇÃO</t>
        </is>
      </c>
      <c r="U2250" s="8" t="n"/>
      <c r="V2250" s="14" t="n"/>
      <c r="W2250" s="14" t="n"/>
      <c r="X2250" s="7" t="inlineStr"/>
      <c r="Y2250" s="7" t="inlineStr"/>
    </row>
    <row r="2251">
      <c r="A2251" s="7" t="n">
        <v>584681</v>
      </c>
      <c r="B2251" s="12" t="inlineStr">
        <is>
          <t>7898556850025</t>
        </is>
      </c>
      <c r="C2251" s="7" t="inlineStr">
        <is>
          <t>GEL LUBRIFICANTE RILEX MORANGO 50G</t>
        </is>
      </c>
      <c r="D2251" s="7" t="inlineStr">
        <is>
          <t>PRESERVATIVOS</t>
        </is>
      </c>
      <c r="E2251" s="7" t="inlineStr">
        <is>
          <t>C</t>
        </is>
      </c>
      <c r="F2251" s="13" t="n">
        <v>2</v>
      </c>
      <c r="G2251" s="13" t="n">
        <v>2</v>
      </c>
      <c r="H2251" s="8" t="n">
        <v>6.25</v>
      </c>
      <c r="I2251" s="8" t="n">
        <v>6.25</v>
      </c>
      <c r="J2251" s="8" t="n">
        <v>6.25</v>
      </c>
      <c r="K2251" s="15" t="n">
        <v>7.07</v>
      </c>
      <c r="L2251" s="8" t="n"/>
      <c r="M2251" s="8" t="n"/>
      <c r="N2251" s="8" t="n">
        <v>7.55</v>
      </c>
      <c r="O2251" s="8" t="n"/>
      <c r="P2251" s="8" t="n"/>
      <c r="Q2251" s="8" t="n">
        <v>8.380000000000001</v>
      </c>
      <c r="R2251" s="8" t="n"/>
      <c r="S2251" s="8" t="n"/>
      <c r="T2251" s="7" t="inlineStr">
        <is>
          <t>DIMEC</t>
        </is>
      </c>
      <c r="U2251" s="8" t="n">
        <v>7.07</v>
      </c>
      <c r="V2251" s="14">
        <f>U2251/J2251-1</f>
        <v/>
      </c>
      <c r="W2251" s="14">
        <f>U2251/H2251-1</f>
        <v/>
      </c>
      <c r="X2251" s="16" t="inlineStr">
        <is>
          <t>ACIMA +13.1%</t>
        </is>
      </c>
      <c r="Y2251" s="7" t="inlineStr"/>
    </row>
    <row r="2252">
      <c r="A2252" s="7" t="n">
        <v>584661</v>
      </c>
      <c r="B2252" s="12" t="inlineStr">
        <is>
          <t>7898903991951</t>
        </is>
      </c>
      <c r="C2252" s="7" t="inlineStr">
        <is>
          <t>GEL LUBRIFICANTE RILEX TRADIOCIONAL 50G</t>
        </is>
      </c>
      <c r="D2252" s="7" t="inlineStr">
        <is>
          <t>PRESERVATIVOS</t>
        </is>
      </c>
      <c r="E2252" s="7" t="inlineStr">
        <is>
          <t>C</t>
        </is>
      </c>
      <c r="F2252" s="13" t="n">
        <v>1</v>
      </c>
      <c r="G2252" s="13" t="n">
        <v>1</v>
      </c>
      <c r="H2252" s="8" t="n">
        <v>6.57</v>
      </c>
      <c r="I2252" s="8" t="n">
        <v>6.57</v>
      </c>
      <c r="J2252" s="8" t="n">
        <v>6.57</v>
      </c>
      <c r="K2252" s="15" t="n">
        <v>6.64</v>
      </c>
      <c r="L2252" s="8" t="n"/>
      <c r="M2252" s="8" t="n"/>
      <c r="N2252" s="8" t="n">
        <v>7.09</v>
      </c>
      <c r="O2252" s="8" t="n"/>
      <c r="P2252" s="8" t="n"/>
      <c r="Q2252" s="8" t="n">
        <v>7.85</v>
      </c>
      <c r="R2252" s="8" t="n"/>
      <c r="S2252" s="8" t="n"/>
      <c r="T2252" s="7" t="inlineStr">
        <is>
          <t>DIMEC</t>
        </is>
      </c>
      <c r="U2252" s="8" t="n">
        <v>6.64</v>
      </c>
      <c r="V2252" s="14">
        <f>U2252/J2252-1</f>
        <v/>
      </c>
      <c r="W2252" s="14">
        <f>U2252/H2252-1</f>
        <v/>
      </c>
      <c r="X2252" s="16" t="inlineStr">
        <is>
          <t>ACIMA +1.1%</t>
        </is>
      </c>
      <c r="Y2252" s="7" t="inlineStr"/>
    </row>
    <row r="2253">
      <c r="A2253" s="7" t="n">
        <v>647561</v>
      </c>
      <c r="B2253" s="12" t="inlineStr">
        <is>
          <t>7908512700872</t>
        </is>
      </c>
      <c r="C2253" s="7" t="inlineStr">
        <is>
          <t>GEL MASSAG COPAIBA C/ ARNICA E ANDIROBA 240G</t>
        </is>
      </c>
      <c r="D2253" s="7" t="inlineStr">
        <is>
          <t>DERMOCOSMETICOS/COSMETICOS</t>
        </is>
      </c>
      <c r="E2253" s="7" t="inlineStr">
        <is>
          <t>C</t>
        </is>
      </c>
      <c r="F2253" s="13" t="n">
        <v>3</v>
      </c>
      <c r="G2253" s="13" t="n">
        <v>3</v>
      </c>
      <c r="H2253" s="8" t="n">
        <v>5.5</v>
      </c>
      <c r="I2253" s="8" t="n">
        <v>5.5</v>
      </c>
      <c r="J2253" s="8" t="n">
        <v>5.5</v>
      </c>
      <c r="K2253" s="8" t="n"/>
      <c r="L2253" s="8" t="n"/>
      <c r="M2253" s="8" t="n"/>
      <c r="N2253" s="8" t="n"/>
      <c r="O2253" s="8" t="n"/>
      <c r="P2253" s="8" t="n"/>
      <c r="Q2253" s="8" t="n"/>
      <c r="R2253" s="8" t="n"/>
      <c r="S2253" s="8" t="n"/>
      <c r="T2253" s="7" t="inlineStr">
        <is>
          <t>SEM COTAÇÃO</t>
        </is>
      </c>
      <c r="U2253" s="8" t="n"/>
      <c r="V2253" s="14" t="n"/>
      <c r="W2253" s="14" t="n"/>
      <c r="X2253" s="7" t="inlineStr"/>
      <c r="Y2253" s="7" t="inlineStr"/>
    </row>
    <row r="2254">
      <c r="A2254" s="7" t="n">
        <v>575881</v>
      </c>
      <c r="B2254" s="12" t="inlineStr">
        <is>
          <t>7898122440612</t>
        </is>
      </c>
      <c r="C2254" s="7" t="inlineStr">
        <is>
          <t>GEL MASSAG E LUBRIFI 60ML DERMATTIVE</t>
        </is>
      </c>
      <c r="D2254" s="7" t="inlineStr">
        <is>
          <t>PERF/COSME</t>
        </is>
      </c>
      <c r="E2254" s="7" t="inlineStr">
        <is>
          <t>C</t>
        </is>
      </c>
      <c r="F2254" s="13" t="n">
        <v>1</v>
      </c>
      <c r="G2254" s="13" t="n">
        <v>1</v>
      </c>
      <c r="H2254" s="8" t="n">
        <v>13.57</v>
      </c>
      <c r="I2254" s="8" t="n">
        <v>13.57</v>
      </c>
      <c r="J2254" s="8" t="n">
        <v>13.57</v>
      </c>
      <c r="K2254" s="8" t="n"/>
      <c r="L2254" s="8" t="n"/>
      <c r="M2254" s="8" t="n"/>
      <c r="N2254" s="8" t="n"/>
      <c r="O2254" s="8" t="n"/>
      <c r="P2254" s="8" t="n"/>
      <c r="Q2254" s="8" t="n"/>
      <c r="R2254" s="8" t="n"/>
      <c r="S2254" s="8" t="n"/>
      <c r="T2254" s="7" t="inlineStr">
        <is>
          <t>SEM COTAÇÃO</t>
        </is>
      </c>
      <c r="U2254" s="8" t="n"/>
      <c r="V2254" s="14" t="n"/>
      <c r="W2254" s="14" t="n"/>
      <c r="X2254" s="7" t="inlineStr"/>
      <c r="Y2254" s="7" t="inlineStr"/>
    </row>
    <row r="2255">
      <c r="A2255" s="7" t="n">
        <v>575901</v>
      </c>
      <c r="B2255" s="12" t="inlineStr">
        <is>
          <t>7898122442166</t>
        </is>
      </c>
      <c r="C2255" s="7" t="inlineStr">
        <is>
          <t>GEL MASSAG E LUBRIFI HOT 60ML DERMATTIVE</t>
        </is>
      </c>
      <c r="D2255" s="7" t="inlineStr">
        <is>
          <t>PERF/COSME</t>
        </is>
      </c>
      <c r="E2255" s="7" t="inlineStr">
        <is>
          <t>C</t>
        </is>
      </c>
      <c r="F2255" s="13" t="n">
        <v>1</v>
      </c>
      <c r="G2255" s="13" t="n">
        <v>1</v>
      </c>
      <c r="H2255" s="8" t="n">
        <v>13.57</v>
      </c>
      <c r="I2255" s="8" t="n">
        <v>13.57</v>
      </c>
      <c r="J2255" s="8" t="n">
        <v>13.57</v>
      </c>
      <c r="K2255" s="8" t="n"/>
      <c r="L2255" s="8" t="n"/>
      <c r="M2255" s="8" t="n"/>
      <c r="N2255" s="8" t="n"/>
      <c r="O2255" s="8" t="n"/>
      <c r="P2255" s="8" t="n"/>
      <c r="Q2255" s="8" t="n"/>
      <c r="R2255" s="8" t="n"/>
      <c r="S2255" s="8" t="n"/>
      <c r="T2255" s="7" t="inlineStr">
        <is>
          <t>SEM COTAÇÃO</t>
        </is>
      </c>
      <c r="U2255" s="8" t="n"/>
      <c r="V2255" s="14" t="n"/>
      <c r="W2255" s="14" t="n"/>
      <c r="X2255" s="7" t="inlineStr"/>
      <c r="Y2255" s="7" t="inlineStr"/>
    </row>
    <row r="2256">
      <c r="A2256" s="7" t="n">
        <v>691301</v>
      </c>
      <c r="B2256" s="12" t="inlineStr">
        <is>
          <t>7898741951353</t>
        </is>
      </c>
      <c r="C2256" s="7" t="inlineStr">
        <is>
          <t>GEL MASSAGEADOR BLUE ICE 240G</t>
        </is>
      </c>
      <c r="D2256" s="7" t="inlineStr">
        <is>
          <t>FITOTERAPICO</t>
        </is>
      </c>
      <c r="E2256" s="7" t="inlineStr">
        <is>
          <t>B</t>
        </is>
      </c>
      <c r="F2256" s="13" t="n">
        <v>1</v>
      </c>
      <c r="G2256" s="13" t="n">
        <v>1</v>
      </c>
      <c r="H2256" s="8" t="n">
        <v>6.15</v>
      </c>
      <c r="I2256" s="8" t="n">
        <v>6.15</v>
      </c>
      <c r="J2256" s="8" t="n">
        <v>6.150000000000001</v>
      </c>
      <c r="K2256" s="15" t="n">
        <v>6.15</v>
      </c>
      <c r="L2256" s="8" t="n"/>
      <c r="M2256" s="8" t="n"/>
      <c r="N2256" s="8" t="n"/>
      <c r="O2256" s="8" t="n"/>
      <c r="P2256" s="8" t="n"/>
      <c r="Q2256" s="8" t="n"/>
      <c r="R2256" s="8" t="n"/>
      <c r="S2256" s="8" t="n"/>
      <c r="T2256" s="7" t="inlineStr">
        <is>
          <t>DIMEC</t>
        </is>
      </c>
      <c r="U2256" s="8" t="n">
        <v>6.15</v>
      </c>
      <c r="V2256" s="14">
        <f>U2256/J2256-1</f>
        <v/>
      </c>
      <c r="W2256" s="14">
        <f>U2256/H2256-1</f>
        <v/>
      </c>
      <c r="X2256" s="17" t="inlineStr">
        <is>
          <t>OK (≤ menor hist.)</t>
        </is>
      </c>
      <c r="Y2256" s="7" t="inlineStr"/>
    </row>
    <row r="2257">
      <c r="A2257" s="7" t="n">
        <v>627891</v>
      </c>
      <c r="B2257" s="12" t="inlineStr"/>
      <c r="C2257" s="7" t="inlineStr">
        <is>
          <t>GEL MASSAGEM 17 ERVAS 190G</t>
        </is>
      </c>
      <c r="D2257" s="7" t="inlineStr">
        <is>
          <t>SIMILAR</t>
        </is>
      </c>
      <c r="E2257" s="7" t="inlineStr">
        <is>
          <t>B</t>
        </is>
      </c>
      <c r="F2257" s="13" t="n">
        <v>6</v>
      </c>
      <c r="G2257" s="13" t="n">
        <v>6</v>
      </c>
      <c r="H2257" s="8" t="n">
        <v>4.46</v>
      </c>
      <c r="I2257" s="8" t="n">
        <v>4.46</v>
      </c>
      <c r="J2257" s="8" t="n">
        <v>4.46</v>
      </c>
      <c r="K2257" s="8" t="n"/>
      <c r="L2257" s="8" t="n"/>
      <c r="M2257" s="8" t="n"/>
      <c r="N2257" s="8" t="n"/>
      <c r="O2257" s="8" t="n"/>
      <c r="P2257" s="8" t="n"/>
      <c r="Q2257" s="8" t="n"/>
      <c r="R2257" s="8" t="n"/>
      <c r="S2257" s="8" t="n"/>
      <c r="T2257" s="7" t="inlineStr">
        <is>
          <t>SEM COTAÇÃO</t>
        </is>
      </c>
      <c r="U2257" s="8" t="n"/>
      <c r="V2257" s="14" t="n"/>
      <c r="W2257" s="14" t="n"/>
      <c r="X2257" s="7" t="inlineStr"/>
      <c r="Y2257" s="7" t="inlineStr"/>
    </row>
    <row r="2258">
      <c r="A2258" s="7" t="n">
        <v>691801</v>
      </c>
      <c r="B2258" s="12" t="inlineStr">
        <is>
          <t>7898936049612</t>
        </is>
      </c>
      <c r="C2258" s="7" t="inlineStr">
        <is>
          <t>GEL MASSAGEM 17 ERVAS 250G POTE</t>
        </is>
      </c>
      <c r="D2258" s="7" t="inlineStr">
        <is>
          <t>FITOTERAPICO</t>
        </is>
      </c>
      <c r="E2258" s="7" t="inlineStr">
        <is>
          <t>B</t>
        </is>
      </c>
      <c r="F2258" s="13" t="n">
        <v>1</v>
      </c>
      <c r="G2258" s="13" t="n">
        <v>1</v>
      </c>
      <c r="H2258" s="8" t="n">
        <v>4.19</v>
      </c>
      <c r="I2258" s="8" t="n">
        <v>4.19</v>
      </c>
      <c r="J2258" s="8" t="n">
        <v>4.19</v>
      </c>
      <c r="K2258" s="15" t="n">
        <v>4.19</v>
      </c>
      <c r="L2258" s="8" t="n"/>
      <c r="M2258" s="8" t="n"/>
      <c r="N2258" s="8" t="n"/>
      <c r="O2258" s="8" t="n"/>
      <c r="P2258" s="8" t="n"/>
      <c r="Q2258" s="8" t="n"/>
      <c r="R2258" s="8" t="n"/>
      <c r="S2258" s="8" t="n"/>
      <c r="T2258" s="7" t="inlineStr">
        <is>
          <t>DIMEC</t>
        </is>
      </c>
      <c r="U2258" s="8" t="n">
        <v>4.19</v>
      </c>
      <c r="V2258" s="14">
        <f>U2258/J2258-1</f>
        <v/>
      </c>
      <c r="W2258" s="14">
        <f>U2258/H2258-1</f>
        <v/>
      </c>
      <c r="X2258" s="17" t="inlineStr">
        <is>
          <t>OK (≤ menor hist.)</t>
        </is>
      </c>
      <c r="Y2258" s="7" t="inlineStr"/>
    </row>
    <row r="2259">
      <c r="A2259" s="7" t="n">
        <v>627911</v>
      </c>
      <c r="B2259" s="12" t="inlineStr"/>
      <c r="C2259" s="7" t="inlineStr">
        <is>
          <t>GEL MASSAGEM ARNICA AZUL 200G FRASCO</t>
        </is>
      </c>
      <c r="D2259" s="7" t="inlineStr">
        <is>
          <t>SIMILAR</t>
        </is>
      </c>
      <c r="E2259" s="7" t="inlineStr">
        <is>
          <t>B</t>
        </is>
      </c>
      <c r="F2259" s="13" t="n">
        <v>4</v>
      </c>
      <c r="G2259" s="13" t="n">
        <v>4</v>
      </c>
      <c r="H2259" s="8" t="n">
        <v>4.38</v>
      </c>
      <c r="I2259" s="8" t="n">
        <v>4.38</v>
      </c>
      <c r="J2259" s="8" t="n">
        <v>4.38</v>
      </c>
      <c r="K2259" s="8" t="n"/>
      <c r="L2259" s="8" t="n"/>
      <c r="M2259" s="8" t="n"/>
      <c r="N2259" s="8" t="n"/>
      <c r="O2259" s="8" t="n"/>
      <c r="P2259" s="8" t="n"/>
      <c r="Q2259" s="8" t="n"/>
      <c r="R2259" s="8" t="n"/>
      <c r="S2259" s="8" t="n"/>
      <c r="T2259" s="7" t="inlineStr">
        <is>
          <t>SEM COTAÇÃO</t>
        </is>
      </c>
      <c r="U2259" s="8" t="n"/>
      <c r="V2259" s="14" t="n"/>
      <c r="W2259" s="14" t="n"/>
      <c r="X2259" s="7" t="inlineStr"/>
      <c r="Y2259" s="7" t="inlineStr"/>
    </row>
    <row r="2260">
      <c r="A2260" s="7" t="n">
        <v>691601</v>
      </c>
      <c r="B2260" s="12" t="inlineStr">
        <is>
          <t>7898936049704</t>
        </is>
      </c>
      <c r="C2260" s="7" t="inlineStr">
        <is>
          <t>GEL MASSAGEM ARNICA E COPAIBA 250G POTE</t>
        </is>
      </c>
      <c r="D2260" s="7" t="inlineStr">
        <is>
          <t>FITOTERAPICO</t>
        </is>
      </c>
      <c r="E2260" s="7" t="inlineStr">
        <is>
          <t>B</t>
        </is>
      </c>
      <c r="F2260" s="13" t="n">
        <v>10</v>
      </c>
      <c r="G2260" s="13" t="n">
        <v>10</v>
      </c>
      <c r="H2260" s="8" t="n">
        <v>3.67</v>
      </c>
      <c r="I2260" s="8" t="n">
        <v>3.67</v>
      </c>
      <c r="J2260" s="8" t="n">
        <v>3.67</v>
      </c>
      <c r="K2260" s="15" t="n">
        <v>3.67</v>
      </c>
      <c r="L2260" s="8" t="n"/>
      <c r="M2260" s="8" t="n"/>
      <c r="N2260" s="8" t="n"/>
      <c r="O2260" s="8" t="n"/>
      <c r="P2260" s="8" t="n"/>
      <c r="Q2260" s="8" t="n"/>
      <c r="R2260" s="8" t="n"/>
      <c r="S2260" s="8" t="n"/>
      <c r="T2260" s="7" t="inlineStr">
        <is>
          <t>DIMEC</t>
        </is>
      </c>
      <c r="U2260" s="8" t="n">
        <v>3.67</v>
      </c>
      <c r="V2260" s="14">
        <f>U2260/J2260-1</f>
        <v/>
      </c>
      <c r="W2260" s="14">
        <f>U2260/H2260-1</f>
        <v/>
      </c>
      <c r="X2260" s="17" t="inlineStr">
        <is>
          <t>OK (≤ menor hist.)</t>
        </is>
      </c>
      <c r="Y2260" s="7" t="inlineStr"/>
    </row>
    <row r="2261">
      <c r="A2261" s="7" t="n">
        <v>654521</v>
      </c>
      <c r="B2261" s="12" t="inlineStr">
        <is>
          <t>7898944301221</t>
        </is>
      </c>
      <c r="C2261" s="7" t="inlineStr">
        <is>
          <t>GEL MASSAGEM ARNICA MULTY ERVAS 100G</t>
        </is>
      </c>
      <c r="D2261" s="7" t="inlineStr">
        <is>
          <t>FITOTERAPICO</t>
        </is>
      </c>
      <c r="E2261" s="7" t="inlineStr">
        <is>
          <t>C</t>
        </is>
      </c>
      <c r="F2261" s="13" t="n">
        <v>1</v>
      </c>
      <c r="G2261" s="13" t="n">
        <v>1</v>
      </c>
      <c r="H2261" s="8" t="n">
        <v>6.91</v>
      </c>
      <c r="I2261" s="8" t="n">
        <v>6.91</v>
      </c>
      <c r="J2261" s="8" t="n">
        <v>6.91</v>
      </c>
      <c r="K2261" s="8" t="n"/>
      <c r="L2261" s="8" t="n"/>
      <c r="M2261" s="8" t="n"/>
      <c r="N2261" s="8" t="n"/>
      <c r="O2261" s="8" t="n"/>
      <c r="P2261" s="8" t="n"/>
      <c r="Q2261" s="8" t="n"/>
      <c r="R2261" s="8" t="n"/>
      <c r="S2261" s="8" t="n"/>
      <c r="T2261" s="7" t="inlineStr">
        <is>
          <t>SEM COTAÇÃO</t>
        </is>
      </c>
      <c r="U2261" s="8" t="n"/>
      <c r="V2261" s="14" t="n"/>
      <c r="W2261" s="14" t="n"/>
      <c r="X2261" s="7" t="inlineStr"/>
      <c r="Y2261" s="7" t="inlineStr"/>
    </row>
    <row r="2262">
      <c r="A2262" s="7" t="n">
        <v>654701</v>
      </c>
      <c r="B2262" s="12" t="inlineStr">
        <is>
          <t>7898944301603</t>
        </is>
      </c>
      <c r="C2262" s="7" t="inlineStr">
        <is>
          <t>GEL MASSAGEM ARNICA MULTY ERVAS 200G CX/36 - DEMAZON</t>
        </is>
      </c>
      <c r="D2262" s="7" t="inlineStr">
        <is>
          <t>FITOTERAPICO</t>
        </is>
      </c>
      <c r="E2262" s="7" t="inlineStr">
        <is>
          <t>C</t>
        </is>
      </c>
      <c r="F2262" s="13" t="n">
        <v>2</v>
      </c>
      <c r="G2262" s="13" t="n">
        <v>2</v>
      </c>
      <c r="H2262" s="8" t="n">
        <v>12.16</v>
      </c>
      <c r="I2262" s="8" t="n">
        <v>12.16</v>
      </c>
      <c r="J2262" s="8" t="n">
        <v>12.16</v>
      </c>
      <c r="K2262" s="8" t="n"/>
      <c r="L2262" s="8" t="n"/>
      <c r="M2262" s="8" t="n"/>
      <c r="N2262" s="8" t="n"/>
      <c r="O2262" s="8" t="n"/>
      <c r="P2262" s="8" t="n"/>
      <c r="Q2262" s="8" t="n"/>
      <c r="R2262" s="8" t="n"/>
      <c r="S2262" s="8" t="n"/>
      <c r="T2262" s="7" t="inlineStr">
        <is>
          <t>SEM COTAÇÃO</t>
        </is>
      </c>
      <c r="U2262" s="8" t="n"/>
      <c r="V2262" s="14" t="n"/>
      <c r="W2262" s="14" t="n"/>
      <c r="X2262" s="7" t="inlineStr"/>
      <c r="Y2262" s="7" t="inlineStr"/>
    </row>
    <row r="2263">
      <c r="A2263" s="7" t="n">
        <v>627931</v>
      </c>
      <c r="B2263" s="12" t="inlineStr">
        <is>
          <t>7898741950288</t>
        </is>
      </c>
      <c r="C2263" s="7" t="inlineStr">
        <is>
          <t>GEL MASSAGEM COPAIBA 190G FRASCO</t>
        </is>
      </c>
      <c r="D2263" s="7" t="inlineStr">
        <is>
          <t>SIMILAR</t>
        </is>
      </c>
      <c r="E2263" s="7" t="inlineStr">
        <is>
          <t>B</t>
        </is>
      </c>
      <c r="F2263" s="13" t="n">
        <v>2</v>
      </c>
      <c r="G2263" s="13" t="n">
        <v>2</v>
      </c>
      <c r="H2263" s="8" t="n">
        <v>4.36</v>
      </c>
      <c r="I2263" s="8" t="n">
        <v>4.36</v>
      </c>
      <c r="J2263" s="8" t="n">
        <v>4.36</v>
      </c>
      <c r="K2263" s="15" t="n">
        <v>4.36</v>
      </c>
      <c r="L2263" s="8" t="n"/>
      <c r="M2263" s="8" t="n"/>
      <c r="N2263" s="8" t="n"/>
      <c r="O2263" s="8" t="n"/>
      <c r="P2263" s="8" t="n"/>
      <c r="Q2263" s="8" t="n"/>
      <c r="R2263" s="8" t="n"/>
      <c r="S2263" s="8" t="n"/>
      <c r="T2263" s="7" t="inlineStr">
        <is>
          <t>DIMEC</t>
        </is>
      </c>
      <c r="U2263" s="8" t="n">
        <v>4.36</v>
      </c>
      <c r="V2263" s="14">
        <f>U2263/J2263-1</f>
        <v/>
      </c>
      <c r="W2263" s="14">
        <f>U2263/H2263-1</f>
        <v/>
      </c>
      <c r="X2263" s="17" t="inlineStr">
        <is>
          <t>OK (≤ menor hist.)</t>
        </is>
      </c>
      <c r="Y2263" s="7" t="inlineStr"/>
    </row>
    <row r="2264">
      <c r="A2264" s="7" t="n">
        <v>627901</v>
      </c>
      <c r="B2264" s="12" t="inlineStr">
        <is>
          <t>7898936049506</t>
        </is>
      </c>
      <c r="C2264" s="7" t="inlineStr">
        <is>
          <t>GEL MASSAGEM EXTRA FORTE ANDIROBA 200G</t>
        </is>
      </c>
      <c r="D2264" s="7" t="inlineStr">
        <is>
          <t>SIMILAR</t>
        </is>
      </c>
      <c r="E2264" s="7" t="inlineStr">
        <is>
          <t>B</t>
        </is>
      </c>
      <c r="F2264" s="13" t="n">
        <v>2</v>
      </c>
      <c r="G2264" s="13" t="n">
        <v>2</v>
      </c>
      <c r="H2264" s="8" t="n">
        <v>4.41</v>
      </c>
      <c r="I2264" s="8" t="n">
        <v>4.41</v>
      </c>
      <c r="J2264" s="8" t="n">
        <v>4.41</v>
      </c>
      <c r="K2264" s="15" t="n">
        <v>4.39</v>
      </c>
      <c r="L2264" s="8" t="n"/>
      <c r="M2264" s="8" t="n"/>
      <c r="N2264" s="8" t="n"/>
      <c r="O2264" s="8" t="n"/>
      <c r="P2264" s="8" t="n"/>
      <c r="Q2264" s="8" t="n"/>
      <c r="R2264" s="8" t="n"/>
      <c r="S2264" s="8" t="n"/>
      <c r="T2264" s="7" t="inlineStr">
        <is>
          <t>DIMEC</t>
        </is>
      </c>
      <c r="U2264" s="8" t="n">
        <v>4.39</v>
      </c>
      <c r="V2264" s="14">
        <f>U2264/J2264-1</f>
        <v/>
      </c>
      <c r="W2264" s="14">
        <f>U2264/H2264-1</f>
        <v/>
      </c>
      <c r="X2264" s="17" t="inlineStr">
        <is>
          <t>OK (≤ menor hist.)</t>
        </is>
      </c>
      <c r="Y2264" s="7" t="inlineStr"/>
    </row>
    <row r="2265">
      <c r="A2265" s="7" t="n">
        <v>627921</v>
      </c>
      <c r="B2265" s="12" t="inlineStr">
        <is>
          <t>7898936049278</t>
        </is>
      </c>
      <c r="C2265" s="7" t="inlineStr">
        <is>
          <t>GEL MASSAGEM TUBARAO BRANCO 250G POTE</t>
        </is>
      </c>
      <c r="D2265" s="7" t="inlineStr">
        <is>
          <t>SIMILAR</t>
        </is>
      </c>
      <c r="E2265" s="7" t="inlineStr">
        <is>
          <t>B</t>
        </is>
      </c>
      <c r="F2265" s="13" t="n">
        <v>5</v>
      </c>
      <c r="G2265" s="13" t="n">
        <v>5</v>
      </c>
      <c r="H2265" s="8" t="n">
        <v>3.7</v>
      </c>
      <c r="I2265" s="8" t="n">
        <v>3.7</v>
      </c>
      <c r="J2265" s="8" t="n">
        <v>3.700000000000001</v>
      </c>
      <c r="K2265" s="15" t="n">
        <v>3.7</v>
      </c>
      <c r="L2265" s="8" t="n"/>
      <c r="M2265" s="8" t="n"/>
      <c r="N2265" s="8" t="n"/>
      <c r="O2265" s="8" t="n"/>
      <c r="P2265" s="8" t="n"/>
      <c r="Q2265" s="8" t="n"/>
      <c r="R2265" s="8" t="n"/>
      <c r="S2265" s="8" t="n"/>
      <c r="T2265" s="7" t="inlineStr">
        <is>
          <t>DIMEC</t>
        </is>
      </c>
      <c r="U2265" s="8" t="n">
        <v>3.7</v>
      </c>
      <c r="V2265" s="14">
        <f>U2265/J2265-1</f>
        <v/>
      </c>
      <c r="W2265" s="14">
        <f>U2265/H2265-1</f>
        <v/>
      </c>
      <c r="X2265" s="17" t="inlineStr">
        <is>
          <t>OK (≤ menor hist.)</t>
        </is>
      </c>
      <c r="Y2265" s="7" t="inlineStr"/>
    </row>
    <row r="2266">
      <c r="A2266" s="7" t="n">
        <v>544961</v>
      </c>
      <c r="B2266" s="12" t="inlineStr">
        <is>
          <t>7898211381871</t>
        </is>
      </c>
      <c r="C2266" s="7" t="inlineStr">
        <is>
          <t>GEL MOD.FIXED 250G ROSA</t>
        </is>
      </c>
      <c r="D2266" s="7" t="inlineStr">
        <is>
          <t>PERF/COSME</t>
        </is>
      </c>
      <c r="E2266" s="7" t="inlineStr">
        <is>
          <t>C</t>
        </is>
      </c>
      <c r="F2266" s="13" t="n">
        <v>1</v>
      </c>
      <c r="G2266" s="13" t="n">
        <v>1</v>
      </c>
      <c r="H2266" s="8" t="n">
        <v>4.21</v>
      </c>
      <c r="I2266" s="8" t="n">
        <v>4.21</v>
      </c>
      <c r="J2266" s="8" t="n">
        <v>4.21</v>
      </c>
      <c r="K2266" s="8" t="n"/>
      <c r="L2266" s="8" t="n"/>
      <c r="M2266" s="8" t="n"/>
      <c r="N2266" s="8" t="n"/>
      <c r="O2266" s="8" t="n"/>
      <c r="P2266" s="8" t="n"/>
      <c r="Q2266" s="8" t="n"/>
      <c r="R2266" s="8" t="n"/>
      <c r="S2266" s="8" t="n"/>
      <c r="T2266" s="7" t="inlineStr">
        <is>
          <t>SEM COTAÇÃO</t>
        </is>
      </c>
      <c r="U2266" s="8" t="n"/>
      <c r="V2266" s="14" t="n"/>
      <c r="W2266" s="14" t="n"/>
      <c r="X2266" s="7" t="inlineStr"/>
      <c r="Y2266" s="7" t="inlineStr"/>
    </row>
    <row r="2267">
      <c r="A2267" s="7" t="n">
        <v>647501</v>
      </c>
      <c r="B2267" s="12" t="inlineStr">
        <is>
          <t>7898378622213</t>
        </is>
      </c>
      <c r="C2267" s="7" t="inlineStr">
        <is>
          <t>GEL POS DEPIL ROSA MOSQUETA E MENTOL 140GR - NEEZ</t>
        </is>
      </c>
      <c r="D2267" s="7" t="inlineStr">
        <is>
          <t>PERF/COSME</t>
        </is>
      </c>
      <c r="E2267" s="7" t="inlineStr">
        <is>
          <t>C</t>
        </is>
      </c>
      <c r="F2267" s="13" t="n">
        <v>2</v>
      </c>
      <c r="G2267" s="13" t="n">
        <v>2</v>
      </c>
      <c r="H2267" s="8" t="n">
        <v>10.9</v>
      </c>
      <c r="I2267" s="8" t="n">
        <v>10.9</v>
      </c>
      <c r="J2267" s="8" t="n">
        <v>10.9</v>
      </c>
      <c r="K2267" s="8" t="n"/>
      <c r="L2267" s="8" t="n"/>
      <c r="M2267" s="8" t="n"/>
      <c r="N2267" s="8" t="n"/>
      <c r="O2267" s="8" t="n"/>
      <c r="P2267" s="8" t="n"/>
      <c r="Q2267" s="8" t="n"/>
      <c r="R2267" s="8" t="n"/>
      <c r="S2267" s="8" t="n"/>
      <c r="T2267" s="7" t="inlineStr">
        <is>
          <t>SEM COTAÇÃO</t>
        </is>
      </c>
      <c r="U2267" s="8" t="n"/>
      <c r="V2267" s="14" t="n"/>
      <c r="W2267" s="14" t="n"/>
      <c r="X2267" s="7" t="inlineStr"/>
      <c r="Y2267" s="7" t="inlineStr"/>
    </row>
    <row r="2268">
      <c r="A2268" s="7" t="n">
        <v>673041</v>
      </c>
      <c r="B2268" s="12" t="inlineStr">
        <is>
          <t>7908458326174</t>
        </is>
      </c>
      <c r="C2268" s="7" t="inlineStr">
        <is>
          <t>GEL&amp;CREME SALON LINE</t>
        </is>
      </c>
      <c r="D2268" s="7" t="inlineStr">
        <is>
          <t>COND/SHAM/CREM/SIMILARES</t>
        </is>
      </c>
      <c r="E2268" s="7" t="inlineStr">
        <is>
          <t>C</t>
        </is>
      </c>
      <c r="F2268" s="13" t="n">
        <v>1</v>
      </c>
      <c r="G2268" s="13" t="n">
        <v>1</v>
      </c>
      <c r="H2268" s="8" t="n">
        <v>17.65</v>
      </c>
      <c r="I2268" s="8" t="n">
        <v>17.65</v>
      </c>
      <c r="J2268" s="8" t="n">
        <v>17.65</v>
      </c>
      <c r="K2268" s="8" t="n"/>
      <c r="L2268" s="8" t="n"/>
      <c r="M2268" s="8" t="n"/>
      <c r="N2268" s="8" t="n"/>
      <c r="O2268" s="8" t="n"/>
      <c r="P2268" s="8" t="n"/>
      <c r="Q2268" s="8" t="n"/>
      <c r="R2268" s="8" t="n"/>
      <c r="S2268" s="8" t="n"/>
      <c r="T2268" s="7" t="inlineStr">
        <is>
          <t>SEM COTAÇÃO</t>
        </is>
      </c>
      <c r="U2268" s="8" t="n"/>
      <c r="V2268" s="14" t="n"/>
      <c r="W2268" s="14" t="n"/>
      <c r="X2268" s="7" t="inlineStr"/>
      <c r="Y2268" s="7" t="inlineStr"/>
    </row>
    <row r="2269">
      <c r="A2269" s="7" t="n">
        <v>673051</v>
      </c>
      <c r="B2269" s="12" t="inlineStr">
        <is>
          <t>7908458332533</t>
        </is>
      </c>
      <c r="C2269" s="7" t="inlineStr">
        <is>
          <t>GELAT.S.LINE XER.GLA.CICH 500</t>
        </is>
      </c>
      <c r="D2269" s="7" t="inlineStr">
        <is>
          <t>COND/SHAM/CREM/SIMILARES</t>
        </is>
      </c>
      <c r="E2269" s="7" t="inlineStr">
        <is>
          <t>C</t>
        </is>
      </c>
      <c r="F2269" s="13" t="n">
        <v>2</v>
      </c>
      <c r="G2269" s="13" t="n">
        <v>2</v>
      </c>
      <c r="H2269" s="8" t="n">
        <v>17.56</v>
      </c>
      <c r="I2269" s="8" t="n">
        <v>17.56</v>
      </c>
      <c r="J2269" s="8" t="n">
        <v>17.56</v>
      </c>
      <c r="K2269" s="8" t="n"/>
      <c r="L2269" s="8" t="n"/>
      <c r="M2269" s="8" t="n"/>
      <c r="N2269" s="8" t="n"/>
      <c r="O2269" s="8" t="n"/>
      <c r="P2269" s="8" t="n"/>
      <c r="Q2269" s="8" t="n"/>
      <c r="R2269" s="8" t="n"/>
      <c r="S2269" s="8" t="n"/>
      <c r="T2269" s="7" t="inlineStr">
        <is>
          <t>SEM COTAÇÃO</t>
        </is>
      </c>
      <c r="U2269" s="8" t="n"/>
      <c r="V2269" s="14" t="n"/>
      <c r="W2269" s="14" t="n"/>
      <c r="X2269" s="7" t="inlineStr"/>
      <c r="Y2269" s="7" t="inlineStr"/>
    </row>
    <row r="2270">
      <c r="A2270" s="7" t="n">
        <v>673071</v>
      </c>
      <c r="B2270" s="12" t="inlineStr">
        <is>
          <t>7908458332670</t>
        </is>
      </c>
      <c r="C2270" s="7" t="inlineStr">
        <is>
          <t>GELAT.S.LINE XEROS.VIB.P.500G</t>
        </is>
      </c>
      <c r="D2270" s="7" t="inlineStr">
        <is>
          <t>COND/SHAM/CREM/SIMILARES</t>
        </is>
      </c>
      <c r="E2270" s="7" t="inlineStr">
        <is>
          <t>B</t>
        </is>
      </c>
      <c r="F2270" s="13" t="n">
        <v>2</v>
      </c>
      <c r="G2270" s="13" t="n">
        <v>2</v>
      </c>
      <c r="H2270" s="8" t="n">
        <v>17.75</v>
      </c>
      <c r="I2270" s="8" t="n">
        <v>17.75</v>
      </c>
      <c r="J2270" s="8" t="n">
        <v>17.75</v>
      </c>
      <c r="K2270" s="8" t="n"/>
      <c r="L2270" s="8" t="n"/>
      <c r="M2270" s="8" t="n"/>
      <c r="N2270" s="8" t="n"/>
      <c r="O2270" s="8" t="n"/>
      <c r="P2270" s="8" t="n"/>
      <c r="Q2270" s="8" t="n"/>
      <c r="R2270" s="8" t="n"/>
      <c r="S2270" s="8" t="n"/>
      <c r="T2270" s="7" t="inlineStr">
        <is>
          <t>SEM COTAÇÃO</t>
        </is>
      </c>
      <c r="U2270" s="8" t="n"/>
      <c r="V2270" s="14" t="n"/>
      <c r="W2270" s="14" t="n"/>
      <c r="X2270" s="7" t="inlineStr"/>
      <c r="Y2270" s="7" t="inlineStr"/>
    </row>
    <row r="2271">
      <c r="A2271" s="7" t="n">
        <v>603231</v>
      </c>
      <c r="B2271" s="12" t="inlineStr">
        <is>
          <t>7908458304530</t>
        </is>
      </c>
      <c r="C2271" s="7" t="inlineStr">
        <is>
          <t>GELATINA #TODECACHO BABOSA 550G</t>
        </is>
      </c>
      <c r="D2271" s="7" t="inlineStr">
        <is>
          <t>PERF/COSME</t>
        </is>
      </c>
      <c r="E2271" s="7" t="inlineStr">
        <is>
          <t>C</t>
        </is>
      </c>
      <c r="F2271" s="13" t="n">
        <v>1</v>
      </c>
      <c r="G2271" s="13" t="n">
        <v>1</v>
      </c>
      <c r="H2271" s="8" t="n">
        <v>23.35</v>
      </c>
      <c r="I2271" s="8" t="n">
        <v>23.35</v>
      </c>
      <c r="J2271" s="8" t="n">
        <v>23.35</v>
      </c>
      <c r="K2271" s="8" t="n"/>
      <c r="L2271" s="8" t="n"/>
      <c r="M2271" s="8" t="n"/>
      <c r="N2271" s="8" t="n"/>
      <c r="O2271" s="8" t="n"/>
      <c r="P2271" s="8" t="n"/>
      <c r="Q2271" s="8" t="n"/>
      <c r="R2271" s="8" t="n"/>
      <c r="S2271" s="8" t="n"/>
      <c r="T2271" s="7" t="inlineStr">
        <is>
          <t>SEM COTAÇÃO</t>
        </is>
      </c>
      <c r="U2271" s="8" t="n"/>
      <c r="V2271" s="14" t="n"/>
      <c r="W2271" s="14" t="n"/>
      <c r="X2271" s="7" t="inlineStr"/>
      <c r="Y2271" s="7" t="inlineStr"/>
    </row>
    <row r="2272">
      <c r="A2272" s="7" t="n">
        <v>603211</v>
      </c>
      <c r="B2272" s="12" t="inlineStr">
        <is>
          <t>7908458316915</t>
        </is>
      </c>
      <c r="C2272" s="7" t="inlineStr">
        <is>
          <t>GELATINA #TODECACHO FIXACAO EXTRA FORTE 280G</t>
        </is>
      </c>
      <c r="D2272" s="7" t="inlineStr">
        <is>
          <t>PERF/COSME</t>
        </is>
      </c>
      <c r="E2272" s="7" t="inlineStr">
        <is>
          <t>C</t>
        </is>
      </c>
      <c r="F2272" s="13" t="n">
        <v>1</v>
      </c>
      <c r="G2272" s="13" t="n">
        <v>1</v>
      </c>
      <c r="H2272" s="8" t="n">
        <v>17.26</v>
      </c>
      <c r="I2272" s="8" t="n">
        <v>17.26</v>
      </c>
      <c r="J2272" s="8" t="n">
        <v>17.26</v>
      </c>
      <c r="K2272" s="8" t="n"/>
      <c r="L2272" s="8" t="n"/>
      <c r="M2272" s="8" t="n"/>
      <c r="N2272" s="8" t="n"/>
      <c r="O2272" s="8" t="n"/>
      <c r="P2272" s="8" t="n"/>
      <c r="Q2272" s="8" t="n"/>
      <c r="R2272" s="8" t="n"/>
      <c r="S2272" s="8" t="n"/>
      <c r="T2272" s="7" t="inlineStr">
        <is>
          <t>SEM COTAÇÃO</t>
        </is>
      </c>
      <c r="U2272" s="8" t="n"/>
      <c r="V2272" s="14" t="n"/>
      <c r="W2272" s="14" t="n"/>
      <c r="X2272" s="7" t="inlineStr"/>
      <c r="Y2272" s="7" t="inlineStr"/>
    </row>
    <row r="2273">
      <c r="A2273" s="7" t="n">
        <v>661781</v>
      </c>
      <c r="B2273" s="12" t="inlineStr">
        <is>
          <t>7896058500950</t>
        </is>
      </c>
      <c r="C2273" s="7" t="inlineStr">
        <is>
          <t>GELATINA AMORA DORI 13G CR 12XUN QTD. 2.00 CR</t>
        </is>
      </c>
      <c r="D2273" s="7" t="inlineStr">
        <is>
          <t>CONVENIENCIA</t>
        </is>
      </c>
      <c r="E2273" s="7" t="inlineStr">
        <is>
          <t>C</t>
        </is>
      </c>
      <c r="F2273" s="13" t="n">
        <v>8</v>
      </c>
      <c r="G2273" s="13" t="n">
        <v>8</v>
      </c>
      <c r="H2273" s="8" t="n">
        <v>0.91</v>
      </c>
      <c r="I2273" s="8" t="n">
        <v>0.91</v>
      </c>
      <c r="J2273" s="8" t="n">
        <v>0.91</v>
      </c>
      <c r="K2273" s="8" t="n"/>
      <c r="L2273" s="8" t="n"/>
      <c r="M2273" s="8" t="n"/>
      <c r="N2273" s="8" t="n"/>
      <c r="O2273" s="8" t="n"/>
      <c r="P2273" s="8" t="n"/>
      <c r="Q2273" s="8" t="n"/>
      <c r="R2273" s="8" t="n"/>
      <c r="S2273" s="8" t="n"/>
      <c r="T2273" s="7" t="inlineStr">
        <is>
          <t>SEM COTAÇÃO</t>
        </is>
      </c>
      <c r="U2273" s="8" t="n"/>
      <c r="V2273" s="14" t="n"/>
      <c r="W2273" s="14" t="n"/>
      <c r="X2273" s="7" t="inlineStr"/>
      <c r="Y2273" s="7" t="inlineStr"/>
    </row>
    <row r="2274">
      <c r="A2274" s="7" t="n">
        <v>590931</v>
      </c>
      <c r="B2274" s="12" t="inlineStr">
        <is>
          <t>7896058500240</t>
        </is>
      </c>
      <c r="C2274" s="7" t="inlineStr">
        <is>
          <t>GELATINA AMORA DORI 60G UN</t>
        </is>
      </c>
      <c r="D2274" s="7" t="inlineStr">
        <is>
          <t>CONVENIENCIA</t>
        </is>
      </c>
      <c r="E2274" s="7" t="inlineStr">
        <is>
          <t>A</t>
        </is>
      </c>
      <c r="F2274" s="13" t="n">
        <v>12</v>
      </c>
      <c r="G2274" s="13" t="n">
        <v>12</v>
      </c>
      <c r="H2274" s="8" t="n">
        <v>2.84</v>
      </c>
      <c r="I2274" s="8" t="n">
        <v>2.84</v>
      </c>
      <c r="J2274" s="8" t="n">
        <v>2.84</v>
      </c>
      <c r="K2274" s="8" t="n"/>
      <c r="L2274" s="8" t="n"/>
      <c r="M2274" s="8" t="n"/>
      <c r="N2274" s="8" t="n"/>
      <c r="O2274" s="8" t="n"/>
      <c r="P2274" s="8" t="n"/>
      <c r="Q2274" s="8" t="n"/>
      <c r="R2274" s="8" t="n"/>
      <c r="S2274" s="8" t="n"/>
      <c r="T2274" s="7" t="inlineStr">
        <is>
          <t>SEM COTAÇÃO</t>
        </is>
      </c>
      <c r="U2274" s="8" t="n"/>
      <c r="V2274" s="14" t="n"/>
      <c r="W2274" s="14" t="n"/>
      <c r="X2274" s="7" t="inlineStr"/>
      <c r="Y2274" s="7" t="inlineStr"/>
    </row>
    <row r="2275">
      <c r="A2275" s="7" t="n">
        <v>631381</v>
      </c>
      <c r="B2275" s="12" t="inlineStr">
        <is>
          <t>7896058500899</t>
        </is>
      </c>
      <c r="C2275" s="7" t="inlineStr">
        <is>
          <t>GELATINA BANANA DORI 13G</t>
        </is>
      </c>
      <c r="D2275" s="7" t="inlineStr">
        <is>
          <t>CONVENIENCIA</t>
        </is>
      </c>
      <c r="E2275" s="7" t="inlineStr">
        <is>
          <t>C</t>
        </is>
      </c>
      <c r="F2275" s="13" t="n">
        <v>9</v>
      </c>
      <c r="G2275" s="13" t="n">
        <v>9</v>
      </c>
      <c r="H2275" s="8" t="n">
        <v>0.91</v>
      </c>
      <c r="I2275" s="8" t="n">
        <v>0.91</v>
      </c>
      <c r="J2275" s="8" t="n">
        <v>0.91</v>
      </c>
      <c r="K2275" s="8" t="n"/>
      <c r="L2275" s="8" t="n"/>
      <c r="M2275" s="8" t="n"/>
      <c r="N2275" s="8" t="n"/>
      <c r="O2275" s="8" t="n"/>
      <c r="P2275" s="8" t="n"/>
      <c r="Q2275" s="8" t="n"/>
      <c r="R2275" s="8" t="n"/>
      <c r="S2275" s="8" t="n"/>
      <c r="T2275" s="7" t="inlineStr">
        <is>
          <t>SEM COTAÇÃO</t>
        </is>
      </c>
      <c r="U2275" s="8" t="n"/>
      <c r="V2275" s="14" t="n"/>
      <c r="W2275" s="14" t="n"/>
      <c r="X2275" s="7" t="inlineStr"/>
      <c r="Y2275" s="7" t="inlineStr"/>
    </row>
    <row r="2276">
      <c r="A2276" s="7" t="n">
        <v>601461</v>
      </c>
      <c r="B2276" s="12" t="inlineStr">
        <is>
          <t>7896058500196</t>
        </is>
      </c>
      <c r="C2276" s="7" t="inlineStr">
        <is>
          <t>GELATINA BANANA DORI 60G UN QTD</t>
        </is>
      </c>
      <c r="D2276" s="7" t="inlineStr">
        <is>
          <t>CONVENIENCIA</t>
        </is>
      </c>
      <c r="E2276" s="7" t="inlineStr">
        <is>
          <t>B</t>
        </is>
      </c>
      <c r="F2276" s="13" t="n">
        <v>11</v>
      </c>
      <c r="G2276" s="13" t="n">
        <v>11</v>
      </c>
      <c r="H2276" s="8" t="n">
        <v>2.84</v>
      </c>
      <c r="I2276" s="8" t="n">
        <v>2.84</v>
      </c>
      <c r="J2276" s="8" t="n">
        <v>2.84</v>
      </c>
      <c r="K2276" s="8" t="n"/>
      <c r="L2276" s="8" t="n"/>
      <c r="M2276" s="8" t="n"/>
      <c r="N2276" s="8" t="n"/>
      <c r="O2276" s="8" t="n"/>
      <c r="P2276" s="8" t="n"/>
      <c r="Q2276" s="8" t="n"/>
      <c r="R2276" s="8" t="n"/>
      <c r="S2276" s="8" t="n"/>
      <c r="T2276" s="7" t="inlineStr">
        <is>
          <t>SEM COTAÇÃO</t>
        </is>
      </c>
      <c r="U2276" s="8" t="n"/>
      <c r="V2276" s="14" t="n"/>
      <c r="W2276" s="14" t="n"/>
      <c r="X2276" s="7" t="inlineStr"/>
      <c r="Y2276" s="7" t="inlineStr"/>
    </row>
    <row r="2277">
      <c r="A2277" s="7" t="n">
        <v>599601</v>
      </c>
      <c r="B2277" s="12" t="inlineStr">
        <is>
          <t>7896058500875</t>
        </is>
      </c>
      <c r="C2277" s="7" t="inlineStr">
        <is>
          <t>GELATINA BOCA DORI 13G</t>
        </is>
      </c>
      <c r="D2277" s="7" t="inlineStr">
        <is>
          <t>CONVENIENCIA</t>
        </is>
      </c>
      <c r="E2277" s="7" t="inlineStr">
        <is>
          <t>C</t>
        </is>
      </c>
      <c r="F2277" s="13" t="n">
        <v>8</v>
      </c>
      <c r="G2277" s="13" t="n">
        <v>8</v>
      </c>
      <c r="H2277" s="8" t="n">
        <v>0.91</v>
      </c>
      <c r="I2277" s="8" t="n">
        <v>0.91</v>
      </c>
      <c r="J2277" s="8" t="n">
        <v>0.91</v>
      </c>
      <c r="K2277" s="8" t="n"/>
      <c r="L2277" s="8" t="n"/>
      <c r="M2277" s="8" t="n"/>
      <c r="N2277" s="8" t="n"/>
      <c r="O2277" s="8" t="n"/>
      <c r="P2277" s="8" t="n"/>
      <c r="Q2277" s="8" t="n"/>
      <c r="R2277" s="8" t="n"/>
      <c r="S2277" s="8" t="n"/>
      <c r="T2277" s="7" t="inlineStr">
        <is>
          <t>SEM COTAÇÃO</t>
        </is>
      </c>
      <c r="U2277" s="8" t="n"/>
      <c r="V2277" s="14" t="n"/>
      <c r="W2277" s="14" t="n"/>
      <c r="X2277" s="7" t="inlineStr"/>
      <c r="Y2277" s="7" t="inlineStr"/>
    </row>
    <row r="2278">
      <c r="A2278" s="7" t="n">
        <v>621171</v>
      </c>
      <c r="B2278" s="12" t="inlineStr">
        <is>
          <t>7896058500233</t>
        </is>
      </c>
      <c r="C2278" s="7" t="inlineStr">
        <is>
          <t>GELATINA MINHOCA ACIDA DORI 60G UN</t>
        </is>
      </c>
      <c r="D2278" s="7" t="inlineStr">
        <is>
          <t>CONVENIENCIA</t>
        </is>
      </c>
      <c r="E2278" s="7" t="inlineStr">
        <is>
          <t>B</t>
        </is>
      </c>
      <c r="F2278" s="13" t="n">
        <v>20</v>
      </c>
      <c r="G2278" s="13" t="n">
        <v>20</v>
      </c>
      <c r="H2278" s="8" t="n">
        <v>2.84</v>
      </c>
      <c r="I2278" s="8" t="n">
        <v>2.84</v>
      </c>
      <c r="J2278" s="8" t="n">
        <v>2.84</v>
      </c>
      <c r="K2278" s="8" t="n"/>
      <c r="L2278" s="8" t="n"/>
      <c r="M2278" s="8" t="n"/>
      <c r="N2278" s="8" t="n"/>
      <c r="O2278" s="8" t="n"/>
      <c r="P2278" s="8" t="n"/>
      <c r="Q2278" s="8" t="n"/>
      <c r="R2278" s="8" t="n"/>
      <c r="S2278" s="8" t="n"/>
      <c r="T2278" s="7" t="inlineStr">
        <is>
          <t>SEM COTAÇÃO</t>
        </is>
      </c>
      <c r="U2278" s="8" t="n"/>
      <c r="V2278" s="14" t="n"/>
      <c r="W2278" s="14" t="n"/>
      <c r="X2278" s="7" t="inlineStr"/>
      <c r="Y2278" s="7" t="inlineStr"/>
    </row>
    <row r="2279">
      <c r="A2279" s="7" t="n">
        <v>590941</v>
      </c>
      <c r="B2279" s="12" t="inlineStr">
        <is>
          <t>7896058500219</t>
        </is>
      </c>
      <c r="C2279" s="7" t="inlineStr">
        <is>
          <t>GELATINA URSO DORI 60G UN</t>
        </is>
      </c>
      <c r="D2279" s="7" t="inlineStr">
        <is>
          <t>CONVENIENCIA</t>
        </is>
      </c>
      <c r="E2279" s="7" t="inlineStr">
        <is>
          <t>B</t>
        </is>
      </c>
      <c r="F2279" s="13" t="n">
        <v>18</v>
      </c>
      <c r="G2279" s="13" t="n">
        <v>18</v>
      </c>
      <c r="H2279" s="8" t="n">
        <v>2.84</v>
      </c>
      <c r="I2279" s="8" t="n">
        <v>2.84</v>
      </c>
      <c r="J2279" s="8" t="n">
        <v>2.84</v>
      </c>
      <c r="K2279" s="8" t="n"/>
      <c r="L2279" s="8" t="n"/>
      <c r="M2279" s="8" t="n"/>
      <c r="N2279" s="8" t="n"/>
      <c r="O2279" s="8" t="n"/>
      <c r="P2279" s="8" t="n"/>
      <c r="Q2279" s="8" t="n"/>
      <c r="R2279" s="8" t="n"/>
      <c r="S2279" s="8" t="n"/>
      <c r="T2279" s="7" t="inlineStr">
        <is>
          <t>SEM COTAÇÃO</t>
        </is>
      </c>
      <c r="U2279" s="8" t="n"/>
      <c r="V2279" s="14" t="n"/>
      <c r="W2279" s="14" t="n"/>
      <c r="X2279" s="7" t="inlineStr"/>
      <c r="Y2279" s="7" t="inlineStr"/>
    </row>
    <row r="2280">
      <c r="A2280" s="7" t="n">
        <v>610041</v>
      </c>
      <c r="B2280" s="12" t="inlineStr">
        <is>
          <t>7898719040195</t>
        </is>
      </c>
      <c r="C2280" s="7" t="inlineStr">
        <is>
          <t>GELOFLAN BALSAMO AEROSSOL 120ML</t>
        </is>
      </c>
      <c r="D2280" s="7" t="inlineStr">
        <is>
          <t>SIMILAR</t>
        </is>
      </c>
      <c r="E2280" s="7" t="inlineStr">
        <is>
          <t>C</t>
        </is>
      </c>
      <c r="F2280" s="13" t="n">
        <v>3</v>
      </c>
      <c r="G2280" s="13" t="n">
        <v>3</v>
      </c>
      <c r="H2280" s="8" t="n">
        <v>12.59</v>
      </c>
      <c r="I2280" s="8" t="n">
        <v>12.1</v>
      </c>
      <c r="J2280" s="8" t="n">
        <v>12.42666666666667</v>
      </c>
      <c r="K2280" s="8" t="n">
        <v>12.1</v>
      </c>
      <c r="L2280" s="8" t="n"/>
      <c r="M2280" s="8" t="n"/>
      <c r="N2280" s="8" t="n"/>
      <c r="O2280" s="8" t="n"/>
      <c r="P2280" s="8" t="n"/>
      <c r="Q2280" s="8" t="n"/>
      <c r="R2280" s="15" t="n">
        <v>11.99</v>
      </c>
      <c r="S2280" s="8" t="n"/>
      <c r="T2280" s="7" t="inlineStr">
        <is>
          <t>BRASFARMA</t>
        </is>
      </c>
      <c r="U2280" s="8" t="n">
        <v>11.99</v>
      </c>
      <c r="V2280" s="14">
        <f>U2280/J2280-1</f>
        <v/>
      </c>
      <c r="W2280" s="14">
        <f>U2280/H2280-1</f>
        <v/>
      </c>
      <c r="X2280" s="17" t="inlineStr">
        <is>
          <t>OK (≤ menor hist.)</t>
        </is>
      </c>
      <c r="Y2280" s="7" t="inlineStr"/>
    </row>
    <row r="2281">
      <c r="A2281" s="7" t="n">
        <v>324</v>
      </c>
      <c r="B2281" s="12" t="inlineStr">
        <is>
          <t>7896920305225</t>
        </is>
      </c>
      <c r="C2281" s="7" t="inlineStr">
        <is>
          <t>GEROFOR TESTO C/60 CAPS</t>
        </is>
      </c>
      <c r="D2281" s="7" t="inlineStr">
        <is>
          <t>VITAMINA E SIMILARES</t>
        </is>
      </c>
      <c r="E2281" s="7" t="inlineStr">
        <is>
          <t>C</t>
        </is>
      </c>
      <c r="F2281" s="13" t="n">
        <v>1</v>
      </c>
      <c r="G2281" s="13" t="n">
        <v>1</v>
      </c>
      <c r="H2281" s="8" t="n">
        <v>37.48</v>
      </c>
      <c r="I2281" s="8" t="n">
        <v>37.48</v>
      </c>
      <c r="J2281" s="8" t="n">
        <v>37.48</v>
      </c>
      <c r="K2281" s="15" t="n">
        <v>42.612902</v>
      </c>
      <c r="L2281" s="8" t="n"/>
      <c r="M2281" s="8" t="n"/>
      <c r="N2281" s="8" t="n"/>
      <c r="O2281" s="8" t="n"/>
      <c r="P2281" s="8" t="n"/>
      <c r="Q2281" s="8" t="n"/>
      <c r="R2281" s="8" t="n"/>
      <c r="S2281" s="8" t="n"/>
      <c r="T2281" s="7" t="inlineStr">
        <is>
          <t>DIMEC</t>
        </is>
      </c>
      <c r="U2281" s="8" t="n">
        <v>42.612902</v>
      </c>
      <c r="V2281" s="14">
        <f>U2281/J2281-1</f>
        <v/>
      </c>
      <c r="W2281" s="14">
        <f>U2281/H2281-1</f>
        <v/>
      </c>
      <c r="X2281" s="16" t="inlineStr">
        <is>
          <t>ACIMA +13.7%</t>
        </is>
      </c>
      <c r="Y2281" s="7" t="inlineStr"/>
    </row>
    <row r="2282">
      <c r="A2282" s="7" t="n">
        <v>694</v>
      </c>
      <c r="B2282" s="12" t="inlineStr">
        <is>
          <t>7500435244688</t>
        </is>
      </c>
      <c r="C2282" s="7" t="inlineStr">
        <is>
          <t>GILLETE PRESTORBABA 3</t>
        </is>
      </c>
      <c r="D2282" s="7" t="inlineStr">
        <is>
          <t>PERF/COSME</t>
        </is>
      </c>
      <c r="E2282" s="7" t="inlineStr">
        <is>
          <t>B</t>
        </is>
      </c>
      <c r="F2282" s="13" t="n">
        <v>1</v>
      </c>
      <c r="G2282" s="13" t="n">
        <v>1</v>
      </c>
      <c r="H2282" s="8" t="n">
        <v>5.0174</v>
      </c>
      <c r="I2282" s="8" t="n">
        <v>4.0183</v>
      </c>
      <c r="J2282" s="8" t="n">
        <v>4.3608</v>
      </c>
      <c r="K2282" s="8" t="n"/>
      <c r="L2282" s="8" t="n"/>
      <c r="M2282" s="8" t="n"/>
      <c r="N2282" s="8" t="n"/>
      <c r="O2282" s="8" t="n"/>
      <c r="P2282" s="8" t="n"/>
      <c r="Q2282" s="8" t="n"/>
      <c r="R2282" s="8" t="n"/>
      <c r="S2282" s="8" t="n"/>
      <c r="T2282" s="7" t="inlineStr">
        <is>
          <t>SEM COTAÇÃO</t>
        </is>
      </c>
      <c r="U2282" s="8" t="n"/>
      <c r="V2282" s="14" t="n"/>
      <c r="W2282" s="14" t="n"/>
      <c r="X2282" s="7" t="inlineStr"/>
      <c r="Y2282" s="7" t="inlineStr"/>
    </row>
    <row r="2283">
      <c r="A2283" s="7" t="n">
        <v>365461</v>
      </c>
      <c r="B2283" s="12" t="inlineStr">
        <is>
          <t>7891317489595</t>
        </is>
      </c>
      <c r="C2283" s="7" t="inlineStr">
        <is>
          <t>GINNA 0,02G CREM VAG BG 40G+7APLIC</t>
        </is>
      </c>
      <c r="D2283" s="7" t="inlineStr">
        <is>
          <t>RX</t>
        </is>
      </c>
      <c r="E2283" s="7" t="inlineStr">
        <is>
          <t>B</t>
        </is>
      </c>
      <c r="F2283" s="13" t="n">
        <v>1</v>
      </c>
      <c r="G2283" s="13" t="n">
        <v>1</v>
      </c>
      <c r="H2283" s="8" t="n">
        <v>37.45</v>
      </c>
      <c r="I2283" s="8" t="n">
        <v>33.595</v>
      </c>
      <c r="J2283" s="8" t="n">
        <v>35.695</v>
      </c>
      <c r="K2283" s="8" t="n"/>
      <c r="L2283" s="8" t="n"/>
      <c r="M2283" s="8" t="n"/>
      <c r="N2283" s="8" t="n"/>
      <c r="O2283" s="8" t="n"/>
      <c r="P2283" s="15" t="n">
        <v>37.99460000000001</v>
      </c>
      <c r="Q2283" s="8" t="n"/>
      <c r="R2283" s="8" t="n"/>
      <c r="S2283" s="8" t="n"/>
      <c r="T2283" s="7" t="inlineStr">
        <is>
          <t>NAZARIA</t>
        </is>
      </c>
      <c r="U2283" s="8" t="n">
        <v>37.99460000000001</v>
      </c>
      <c r="V2283" s="14">
        <f>U2283/J2283-1</f>
        <v/>
      </c>
      <c r="W2283" s="14">
        <f>U2283/H2283-1</f>
        <v/>
      </c>
      <c r="X2283" s="16" t="inlineStr">
        <is>
          <t>ACIMA +1.5%</t>
        </is>
      </c>
      <c r="Y2283" s="7" t="inlineStr"/>
    </row>
    <row r="2284">
      <c r="A2284" s="7" t="n">
        <v>635741</v>
      </c>
      <c r="B2284" s="12" t="inlineStr">
        <is>
          <t>7891106916059</t>
        </is>
      </c>
      <c r="C2284" s="7" t="inlineStr">
        <is>
          <t>GINO CANESTEN 1 500MG 1COMP+APL-REFERENCIA</t>
        </is>
      </c>
      <c r="D2284" s="7" t="inlineStr">
        <is>
          <t>RX - OTC</t>
        </is>
      </c>
      <c r="E2284" s="7" t="inlineStr">
        <is>
          <t>A</t>
        </is>
      </c>
      <c r="F2284" s="13" t="n">
        <v>4</v>
      </c>
      <c r="G2284" s="13" t="n">
        <v>4</v>
      </c>
      <c r="H2284" s="8" t="n">
        <v>80.51000000000001</v>
      </c>
      <c r="I2284" s="8" t="n">
        <v>68.87</v>
      </c>
      <c r="J2284" s="8" t="n">
        <v>71.25666666666667</v>
      </c>
      <c r="K2284" s="8" t="n"/>
      <c r="L2284" s="8" t="n"/>
      <c r="M2284" s="15" t="n">
        <v>72.45</v>
      </c>
      <c r="N2284" s="8" t="n"/>
      <c r="O2284" s="8" t="n">
        <v>78.02</v>
      </c>
      <c r="P2284" s="8" t="n">
        <v>80.51000000000001</v>
      </c>
      <c r="Q2284" s="8" t="n"/>
      <c r="R2284" s="8" t="n"/>
      <c r="S2284" s="8" t="n"/>
      <c r="T2284" s="7" t="inlineStr">
        <is>
          <t>EPAN</t>
        </is>
      </c>
      <c r="U2284" s="8" t="n">
        <v>72.45</v>
      </c>
      <c r="V2284" s="14">
        <f>U2284/J2284-1</f>
        <v/>
      </c>
      <c r="W2284" s="14">
        <f>U2284/H2284-1</f>
        <v/>
      </c>
      <c r="X2284" s="17" t="inlineStr">
        <is>
          <t>OK (≤ últ. compra)</t>
        </is>
      </c>
      <c r="Y2284" s="7" t="inlineStr"/>
    </row>
    <row r="2285">
      <c r="A2285" s="7" t="n">
        <v>189141</v>
      </c>
      <c r="B2285" s="12" t="inlineStr">
        <is>
          <t>7891106003230</t>
        </is>
      </c>
      <c r="C2285" s="7" t="inlineStr">
        <is>
          <t>GINO CANESTEN 20 MG/G CREME VAG BG 20G+3APLIC</t>
        </is>
      </c>
      <c r="D2285" s="7" t="inlineStr">
        <is>
          <t>RX - OTC</t>
        </is>
      </c>
      <c r="E2285" s="7" t="inlineStr">
        <is>
          <t>A</t>
        </is>
      </c>
      <c r="F2285" s="13" t="n">
        <v>2</v>
      </c>
      <c r="G2285" s="13" t="n">
        <v>2</v>
      </c>
      <c r="H2285" s="8" t="n">
        <v>70.93000000000001</v>
      </c>
      <c r="I2285" s="8" t="n">
        <v>65.23</v>
      </c>
      <c r="J2285" s="8" t="n">
        <v>67.52166666666666</v>
      </c>
      <c r="K2285" s="8" t="n"/>
      <c r="L2285" s="8" t="n"/>
      <c r="M2285" s="15" t="n">
        <v>72.78</v>
      </c>
      <c r="N2285" s="8" t="n"/>
      <c r="O2285" s="8" t="n"/>
      <c r="P2285" s="8" t="n">
        <v>73.19619999999999</v>
      </c>
      <c r="Q2285" s="8" t="n"/>
      <c r="R2285" s="8" t="n"/>
      <c r="S2285" s="8" t="n"/>
      <c r="T2285" s="7" t="inlineStr">
        <is>
          <t>EPAN</t>
        </is>
      </c>
      <c r="U2285" s="8" t="n">
        <v>72.78</v>
      </c>
      <c r="V2285" s="14">
        <f>U2285/J2285-1</f>
        <v/>
      </c>
      <c r="W2285" s="14">
        <f>U2285/H2285-1</f>
        <v/>
      </c>
      <c r="X2285" s="16" t="inlineStr">
        <is>
          <t>ACIMA +2.6%</t>
        </is>
      </c>
      <c r="Y2285" s="7" t="inlineStr"/>
    </row>
    <row r="2286">
      <c r="A2286" s="7" t="n">
        <v>489281</v>
      </c>
      <c r="B2286" s="12" t="inlineStr"/>
      <c r="C2286" s="7" t="inlineStr">
        <is>
          <t>GINO CANESTEN 500MG CAP VAG+APLIC</t>
        </is>
      </c>
      <c r="D2286" s="7" t="inlineStr">
        <is>
          <t>RX - OTC</t>
        </is>
      </c>
      <c r="E2286" s="7" t="inlineStr">
        <is>
          <t>A</t>
        </is>
      </c>
      <c r="F2286" s="13" t="n">
        <v>1</v>
      </c>
      <c r="G2286" s="13" t="n">
        <v>1</v>
      </c>
      <c r="H2286" s="8" t="n">
        <v>85.64</v>
      </c>
      <c r="I2286" s="8" t="n">
        <v>79.69499999999999</v>
      </c>
      <c r="J2286" s="8" t="n">
        <v>81.50666666666666</v>
      </c>
      <c r="K2286" s="8" t="n"/>
      <c r="L2286" s="8" t="n"/>
      <c r="M2286" s="8" t="n"/>
      <c r="N2286" s="8" t="n"/>
      <c r="O2286" s="8" t="n"/>
      <c r="P2286" s="8" t="n"/>
      <c r="Q2286" s="8" t="n"/>
      <c r="R2286" s="8" t="n"/>
      <c r="S2286" s="8" t="n"/>
      <c r="T2286" s="7" t="inlineStr">
        <is>
          <t>SEM COTAÇÃO</t>
        </is>
      </c>
      <c r="U2286" s="8" t="n"/>
      <c r="V2286" s="14" t="n"/>
      <c r="W2286" s="14" t="n"/>
      <c r="X2286" s="7" t="inlineStr"/>
      <c r="Y2286" s="7" t="inlineStr"/>
    </row>
    <row r="2287">
      <c r="A2287" s="7" t="n">
        <v>672581</v>
      </c>
      <c r="B2287" s="12" t="inlineStr">
        <is>
          <t>7891106916561</t>
        </is>
      </c>
      <c r="C2287" s="7" t="inlineStr">
        <is>
          <t>GINO CANESTEN PURO CUIDADO 200ML-DEMAIS PROD</t>
        </is>
      </c>
      <c r="D2287" s="7" t="inlineStr">
        <is>
          <t>RX</t>
        </is>
      </c>
      <c r="E2287" s="7" t="inlineStr">
        <is>
          <t>B</t>
        </is>
      </c>
      <c r="F2287" s="13" t="n">
        <v>2</v>
      </c>
      <c r="G2287" s="13" t="n">
        <v>2</v>
      </c>
      <c r="H2287" s="8" t="n">
        <v>18.34</v>
      </c>
      <c r="I2287" s="8" t="n">
        <v>18.34</v>
      </c>
      <c r="J2287" s="8" t="n">
        <v>18.34</v>
      </c>
      <c r="K2287" s="8" t="n"/>
      <c r="L2287" s="8" t="n"/>
      <c r="M2287" s="8" t="n"/>
      <c r="N2287" s="8" t="n"/>
      <c r="O2287" s="8" t="n"/>
      <c r="P2287" s="15" t="n">
        <v>23.086</v>
      </c>
      <c r="Q2287" s="8" t="n"/>
      <c r="R2287" s="8" t="n"/>
      <c r="S2287" s="8" t="n"/>
      <c r="T2287" s="7" t="inlineStr">
        <is>
          <t>NAZARIA</t>
        </is>
      </c>
      <c r="U2287" s="8" t="n">
        <v>23.086</v>
      </c>
      <c r="V2287" s="14">
        <f>U2287/J2287-1</f>
        <v/>
      </c>
      <c r="W2287" s="14">
        <f>U2287/H2287-1</f>
        <v/>
      </c>
      <c r="X2287" s="16" t="inlineStr">
        <is>
          <t>ACIMA +25.9%</t>
        </is>
      </c>
      <c r="Y2287" s="7" t="inlineStr"/>
    </row>
    <row r="2288">
      <c r="A2288" s="7" t="n">
        <v>625141</v>
      </c>
      <c r="B2288" s="12" t="inlineStr">
        <is>
          <t>7896044928515</t>
        </is>
      </c>
      <c r="C2288" s="7" t="inlineStr">
        <is>
          <t>GIOVANNA BABY 50ML CLAS RSA</t>
        </is>
      </c>
      <c r="D2288" s="7" t="inlineStr">
        <is>
          <t>PERF/COSME</t>
        </is>
      </c>
      <c r="E2288" s="7" t="inlineStr">
        <is>
          <t>C</t>
        </is>
      </c>
      <c r="F2288" s="13" t="n">
        <v>4</v>
      </c>
      <c r="G2288" s="13" t="n">
        <v>4</v>
      </c>
      <c r="H2288" s="8" t="n">
        <v>6.3</v>
      </c>
      <c r="I2288" s="8" t="n">
        <v>6.3</v>
      </c>
      <c r="J2288" s="8" t="n">
        <v>6.3</v>
      </c>
      <c r="K2288" s="8" t="n"/>
      <c r="L2288" s="8" t="n"/>
      <c r="M2288" s="8" t="n"/>
      <c r="N2288" s="8" t="n"/>
      <c r="O2288" s="8" t="n"/>
      <c r="P2288" s="8" t="n"/>
      <c r="Q2288" s="8" t="n"/>
      <c r="R2288" s="8" t="n"/>
      <c r="S2288" s="8" t="n"/>
      <c r="T2288" s="7" t="inlineStr">
        <is>
          <t>SEM COTAÇÃO</t>
        </is>
      </c>
      <c r="U2288" s="8" t="n"/>
      <c r="V2288" s="14" t="n"/>
      <c r="W2288" s="14" t="n"/>
      <c r="X2288" s="7" t="inlineStr"/>
      <c r="Y2288" s="7" t="inlineStr"/>
    </row>
    <row r="2289">
      <c r="A2289" s="7" t="n">
        <v>625131</v>
      </c>
      <c r="B2289" s="12" t="inlineStr">
        <is>
          <t>7896044928539</t>
        </is>
      </c>
      <c r="C2289" s="7" t="inlineStr">
        <is>
          <t>GIOVANNA BABY DESO 50ML CLAS BLUE</t>
        </is>
      </c>
      <c r="D2289" s="7" t="inlineStr">
        <is>
          <t>PERF/COSME</t>
        </is>
      </c>
      <c r="E2289" s="7" t="inlineStr">
        <is>
          <t>B</t>
        </is>
      </c>
      <c r="F2289" s="13" t="n">
        <v>2</v>
      </c>
      <c r="G2289" s="13" t="n">
        <v>2</v>
      </c>
      <c r="H2289" s="8" t="n">
        <v>6.3</v>
      </c>
      <c r="I2289" s="8" t="n">
        <v>6.3</v>
      </c>
      <c r="J2289" s="8" t="n">
        <v>6.3</v>
      </c>
      <c r="K2289" s="8" t="n"/>
      <c r="L2289" s="8" t="n"/>
      <c r="M2289" s="8" t="n"/>
      <c r="N2289" s="8" t="n"/>
      <c r="O2289" s="8" t="n"/>
      <c r="P2289" s="8" t="n"/>
      <c r="Q2289" s="8" t="n"/>
      <c r="R2289" s="8" t="n"/>
      <c r="S2289" s="8" t="n"/>
      <c r="T2289" s="7" t="inlineStr">
        <is>
          <t>SEM COTAÇÃO</t>
        </is>
      </c>
      <c r="U2289" s="8" t="n"/>
      <c r="V2289" s="14" t="n"/>
      <c r="W2289" s="14" t="n"/>
      <c r="X2289" s="7" t="inlineStr"/>
      <c r="Y2289" s="7" t="inlineStr"/>
    </row>
    <row r="2290">
      <c r="A2290" s="7" t="n">
        <v>657281</v>
      </c>
      <c r="B2290" s="12" t="inlineStr"/>
      <c r="C2290" s="7" t="inlineStr">
        <is>
          <t>GLIBENCLAMIDA 5MG CX 30 COMP</t>
        </is>
      </c>
      <c r="D2290" s="7" t="inlineStr">
        <is>
          <t>GENERICO</t>
        </is>
      </c>
      <c r="E2290" s="7" t="inlineStr">
        <is>
          <t>C</t>
        </is>
      </c>
      <c r="F2290" s="13" t="n">
        <v>8</v>
      </c>
      <c r="G2290" s="13" t="n">
        <v>8</v>
      </c>
      <c r="H2290" s="8" t="n">
        <v>1.47</v>
      </c>
      <c r="I2290" s="8" t="n">
        <v>1.47</v>
      </c>
      <c r="J2290" s="8" t="n">
        <v>1.47</v>
      </c>
      <c r="K2290" s="8" t="n"/>
      <c r="L2290" s="8" t="n"/>
      <c r="M2290" s="8" t="n"/>
      <c r="N2290" s="8" t="n"/>
      <c r="O2290" s="8" t="n"/>
      <c r="P2290" s="8" t="n"/>
      <c r="Q2290" s="8" t="n"/>
      <c r="R2290" s="15" t="n">
        <v>1.47</v>
      </c>
      <c r="S2290" s="8" t="n"/>
      <c r="T2290" s="7" t="inlineStr">
        <is>
          <t>BRASFARMA</t>
        </is>
      </c>
      <c r="U2290" s="8" t="n">
        <v>1.47</v>
      </c>
      <c r="V2290" s="14">
        <f>U2290/J2290-1</f>
        <v/>
      </c>
      <c r="W2290" s="14">
        <f>U2290/H2290-1</f>
        <v/>
      </c>
      <c r="X2290" s="17" t="inlineStr">
        <is>
          <t>OK (≤ menor hist.)</t>
        </is>
      </c>
      <c r="Y2290" s="7" t="inlineStr"/>
    </row>
    <row r="2291">
      <c r="A2291" s="7" t="n">
        <v>542921</v>
      </c>
      <c r="B2291" s="12" t="inlineStr">
        <is>
          <t>7898100242955</t>
        </is>
      </c>
      <c r="C2291" s="7" t="inlineStr">
        <is>
          <t>GLICEL (N.S.) 2,254G CX 6 SUP ADU</t>
        </is>
      </c>
      <c r="D2291" s="7" t="inlineStr">
        <is>
          <t>SIMILAR</t>
        </is>
      </c>
      <c r="E2291" s="7" t="inlineStr">
        <is>
          <t>C</t>
        </is>
      </c>
      <c r="F2291" s="13" t="n">
        <v>2</v>
      </c>
      <c r="G2291" s="13" t="n">
        <v>2</v>
      </c>
      <c r="H2291" s="8" t="n">
        <v>6.69</v>
      </c>
      <c r="I2291" s="8" t="n">
        <v>5.59</v>
      </c>
      <c r="J2291" s="8" t="n">
        <v>6.223333333333334</v>
      </c>
      <c r="K2291" s="8" t="n"/>
      <c r="L2291" s="8" t="n"/>
      <c r="M2291" s="8" t="n"/>
      <c r="N2291" s="8" t="n"/>
      <c r="O2291" s="8" t="n"/>
      <c r="P2291" s="8" t="n"/>
      <c r="Q2291" s="15" t="n">
        <v>7.47</v>
      </c>
      <c r="R2291" s="8" t="n"/>
      <c r="S2291" s="8" t="n"/>
      <c r="T2291" s="7" t="inlineStr">
        <is>
          <t>MEDCENTRO</t>
        </is>
      </c>
      <c r="U2291" s="8" t="n">
        <v>7.47</v>
      </c>
      <c r="V2291" s="14">
        <f>U2291/J2291-1</f>
        <v/>
      </c>
      <c r="W2291" s="14">
        <f>U2291/H2291-1</f>
        <v/>
      </c>
      <c r="X2291" s="16" t="inlineStr">
        <is>
          <t>ACIMA +11.7%</t>
        </is>
      </c>
      <c r="Y2291" s="7" t="inlineStr"/>
    </row>
    <row r="2292">
      <c r="A2292" s="7" t="n">
        <v>599261</v>
      </c>
      <c r="B2292" s="12" t="inlineStr">
        <is>
          <t>7899620911840</t>
        </is>
      </c>
      <c r="C2292" s="7" t="inlineStr">
        <is>
          <t>GLICENIX (N.S.) 0,91G CX 6 GLICEROL LACTENTE</t>
        </is>
      </c>
      <c r="D2292" s="7" t="inlineStr">
        <is>
          <t>SIMILAR</t>
        </is>
      </c>
      <c r="E2292" s="7" t="inlineStr">
        <is>
          <t>C</t>
        </is>
      </c>
      <c r="F2292" s="13" t="n">
        <v>4</v>
      </c>
      <c r="G2292" s="13" t="n">
        <v>4</v>
      </c>
      <c r="H2292" s="8" t="n">
        <v>5.79</v>
      </c>
      <c r="I2292" s="8" t="n">
        <v>5.79</v>
      </c>
      <c r="J2292" s="8" t="n">
        <v>5.79</v>
      </c>
      <c r="K2292" s="15" t="n">
        <v>5.94</v>
      </c>
      <c r="L2292" s="8" t="n"/>
      <c r="M2292" s="8" t="n"/>
      <c r="N2292" s="8" t="n"/>
      <c r="O2292" s="8" t="n"/>
      <c r="P2292" s="8" t="n"/>
      <c r="Q2292" s="8" t="n"/>
      <c r="R2292" s="8" t="n"/>
      <c r="S2292" s="8" t="n"/>
      <c r="T2292" s="7" t="inlineStr">
        <is>
          <t>DIMEC</t>
        </is>
      </c>
      <c r="U2292" s="8" t="n">
        <v>5.94</v>
      </c>
      <c r="V2292" s="14">
        <f>U2292/J2292-1</f>
        <v/>
      </c>
      <c r="W2292" s="14">
        <f>U2292/H2292-1</f>
        <v/>
      </c>
      <c r="X2292" s="16" t="inlineStr">
        <is>
          <t>ACIMA +2.6%</t>
        </is>
      </c>
      <c r="Y2292" s="7" t="inlineStr"/>
    </row>
    <row r="2293">
      <c r="A2293" s="7" t="n">
        <v>601411</v>
      </c>
      <c r="B2293" s="12" t="inlineStr">
        <is>
          <t>7899620911833</t>
        </is>
      </c>
      <c r="C2293" s="7" t="inlineStr">
        <is>
          <t>GLICENIX (N.S.) 1,37G CX 6 GLICEROL PED</t>
        </is>
      </c>
      <c r="D2293" s="7" t="inlineStr">
        <is>
          <t>SIMILAR</t>
        </is>
      </c>
      <c r="E2293" s="7" t="inlineStr">
        <is>
          <t>B</t>
        </is>
      </c>
      <c r="F2293" s="13" t="n">
        <v>5</v>
      </c>
      <c r="G2293" s="13" t="n">
        <v>5</v>
      </c>
      <c r="H2293" s="8" t="n">
        <v>5.68</v>
      </c>
      <c r="I2293" s="8" t="n">
        <v>5.68</v>
      </c>
      <c r="J2293" s="8" t="n">
        <v>5.68</v>
      </c>
      <c r="K2293" s="8" t="n">
        <v>6.05</v>
      </c>
      <c r="L2293" s="8" t="n"/>
      <c r="M2293" s="8" t="n"/>
      <c r="N2293" s="8" t="n">
        <v>5.98</v>
      </c>
      <c r="O2293" s="8" t="n">
        <v>5.75</v>
      </c>
      <c r="P2293" s="8" t="n"/>
      <c r="Q2293" s="8" t="n"/>
      <c r="R2293" s="15" t="n">
        <v>5.53</v>
      </c>
      <c r="S2293" s="8" t="n"/>
      <c r="T2293" s="7" t="inlineStr">
        <is>
          <t>BRASFARMA</t>
        </is>
      </c>
      <c r="U2293" s="8" t="n">
        <v>5.53</v>
      </c>
      <c r="V2293" s="14">
        <f>U2293/J2293-1</f>
        <v/>
      </c>
      <c r="W2293" s="14">
        <f>U2293/H2293-1</f>
        <v/>
      </c>
      <c r="X2293" s="17" t="inlineStr">
        <is>
          <t>OK (≤ menor hist.)</t>
        </is>
      </c>
      <c r="Y2293" s="7" t="inlineStr"/>
    </row>
    <row r="2294">
      <c r="A2294" s="7" t="n">
        <v>601641</v>
      </c>
      <c r="B2294" s="12" t="inlineStr">
        <is>
          <t>7899620911826</t>
        </is>
      </c>
      <c r="C2294" s="7" t="inlineStr">
        <is>
          <t>GLICENIX (N.S.) 2,275G CX 6 GLICEROL ADU</t>
        </is>
      </c>
      <c r="D2294" s="7" t="inlineStr">
        <is>
          <t>SIMILAR</t>
        </is>
      </c>
      <c r="E2294" s="7" t="inlineStr">
        <is>
          <t>C</t>
        </is>
      </c>
      <c r="F2294" s="13" t="n">
        <v>5</v>
      </c>
      <c r="G2294" s="13" t="n">
        <v>5</v>
      </c>
      <c r="H2294" s="8" t="n">
        <v>5.79</v>
      </c>
      <c r="I2294" s="8" t="n">
        <v>5.49</v>
      </c>
      <c r="J2294" s="8" t="n">
        <v>5.489999999999999</v>
      </c>
      <c r="K2294" s="8" t="n"/>
      <c r="L2294" s="8" t="n"/>
      <c r="M2294" s="8" t="n"/>
      <c r="N2294" s="8" t="n"/>
      <c r="O2294" s="8" t="n"/>
      <c r="P2294" s="8" t="n"/>
      <c r="Q2294" s="8" t="n"/>
      <c r="R2294" s="8" t="n"/>
      <c r="S2294" s="8" t="n"/>
      <c r="T2294" s="7" t="inlineStr">
        <is>
          <t>SEM COTAÇÃO</t>
        </is>
      </c>
      <c r="U2294" s="8" t="n"/>
      <c r="V2294" s="14" t="n"/>
      <c r="W2294" s="14" t="n"/>
      <c r="X2294" s="7" t="inlineStr"/>
      <c r="Y2294" s="7" t="inlineStr"/>
    </row>
    <row r="2295">
      <c r="A2295" s="7" t="n">
        <v>584761</v>
      </c>
      <c r="B2295" s="12" t="inlineStr">
        <is>
          <t>7896902217614</t>
        </is>
      </c>
      <c r="C2295" s="7" t="inlineStr">
        <is>
          <t>GLICERINA PURA 100ML</t>
        </is>
      </c>
      <c r="D2295" s="7" t="inlineStr">
        <is>
          <t>SIMILAR</t>
        </is>
      </c>
      <c r="E2295" s="7" t="inlineStr">
        <is>
          <t>A</t>
        </is>
      </c>
      <c r="F2295" s="13" t="n">
        <v>6</v>
      </c>
      <c r="G2295" s="13" t="n">
        <v>6</v>
      </c>
      <c r="H2295" s="8" t="n">
        <v>6.04</v>
      </c>
      <c r="I2295" s="8" t="n">
        <v>5.85</v>
      </c>
      <c r="J2295" s="8" t="n">
        <v>5.896666666666666</v>
      </c>
      <c r="K2295" s="8" t="n">
        <v>6.76</v>
      </c>
      <c r="L2295" s="8" t="n"/>
      <c r="M2295" s="8" t="n"/>
      <c r="N2295" s="8" t="n">
        <v>6.71</v>
      </c>
      <c r="O2295" s="8" t="n"/>
      <c r="P2295" s="15" t="n">
        <v>6.42</v>
      </c>
      <c r="Q2295" s="8" t="n"/>
      <c r="R2295" s="8" t="n"/>
      <c r="S2295" s="8" t="n"/>
      <c r="T2295" s="7" t="inlineStr">
        <is>
          <t>NAZARIA</t>
        </is>
      </c>
      <c r="U2295" s="8" t="n">
        <v>6.42</v>
      </c>
      <c r="V2295" s="14">
        <f>U2295/J2295-1</f>
        <v/>
      </c>
      <c r="W2295" s="14">
        <f>U2295/H2295-1</f>
        <v/>
      </c>
      <c r="X2295" s="16" t="inlineStr">
        <is>
          <t>ACIMA +6.3%</t>
        </is>
      </c>
      <c r="Y2295" s="7" t="inlineStr"/>
    </row>
    <row r="2296">
      <c r="A2296" s="7" t="n">
        <v>264861</v>
      </c>
      <c r="B2296" s="12" t="inlineStr">
        <is>
          <t>8903855076812</t>
        </is>
      </c>
      <c r="C2296" s="7" t="inlineStr">
        <is>
          <t>GLICLAZIDA 30 MG COM LIB PROL CT BL AL AL X 60</t>
        </is>
      </c>
      <c r="D2296" s="7" t="inlineStr">
        <is>
          <t>GENERICO</t>
        </is>
      </c>
      <c r="E2296" s="7" t="inlineStr">
        <is>
          <t>C</t>
        </is>
      </c>
      <c r="F2296" s="13" t="n">
        <v>4</v>
      </c>
      <c r="G2296" s="13" t="n">
        <v>4</v>
      </c>
      <c r="H2296" s="8" t="n">
        <v>11.5525</v>
      </c>
      <c r="I2296" s="8" t="n">
        <v>11.5525</v>
      </c>
      <c r="J2296" s="8" t="n">
        <v>11.5525</v>
      </c>
      <c r="K2296" s="8" t="n"/>
      <c r="L2296" s="8" t="n"/>
      <c r="M2296" s="15" t="n">
        <v>11.56</v>
      </c>
      <c r="N2296" s="8" t="n"/>
      <c r="O2296" s="8" t="n"/>
      <c r="P2296" s="8" t="n">
        <v>42.76</v>
      </c>
      <c r="Q2296" s="8" t="n"/>
      <c r="R2296" s="8" t="n"/>
      <c r="S2296" s="8" t="n"/>
      <c r="T2296" s="7" t="inlineStr">
        <is>
          <t>EPAN</t>
        </is>
      </c>
      <c r="U2296" s="8" t="n">
        <v>11.56</v>
      </c>
      <c r="V2296" s="14">
        <f>U2296/J2296-1</f>
        <v/>
      </c>
      <c r="W2296" s="14">
        <f>U2296/H2296-1</f>
        <v/>
      </c>
      <c r="X2296" s="16" t="inlineStr">
        <is>
          <t>ACIMA +0.1%</t>
        </is>
      </c>
      <c r="Y2296" s="7" t="inlineStr">
        <is>
          <t>NAZARIA: sem estoque; conferir emb.</t>
        </is>
      </c>
    </row>
    <row r="2297">
      <c r="A2297" s="7" t="n">
        <v>36203</v>
      </c>
      <c r="B2297" s="12" t="inlineStr">
        <is>
          <t>7896714294520</t>
        </is>
      </c>
      <c r="C2297" s="7" t="inlineStr">
        <is>
          <t>GLICLAZIDA 30MG 30 CPR LIB PROL</t>
        </is>
      </c>
      <c r="D2297" s="7" t="inlineStr">
        <is>
          <t>GENERICO</t>
        </is>
      </c>
      <c r="E2297" s="7" t="inlineStr">
        <is>
          <t>B</t>
        </is>
      </c>
      <c r="F2297" s="13" t="n">
        <v>5</v>
      </c>
      <c r="G2297" s="13" t="n">
        <v>5</v>
      </c>
      <c r="H2297" s="8" t="n">
        <v>7.15</v>
      </c>
      <c r="I2297" s="8" t="n">
        <v>7.15</v>
      </c>
      <c r="J2297" s="8" t="n">
        <v>7.150000000000001</v>
      </c>
      <c r="K2297" s="8" t="n"/>
      <c r="L2297" s="8" t="n"/>
      <c r="M2297" s="8" t="n"/>
      <c r="N2297" s="8" t="n"/>
      <c r="O2297" s="15" t="n">
        <v>7.56</v>
      </c>
      <c r="P2297" s="8" t="n"/>
      <c r="Q2297" s="8" t="n">
        <v>7.92</v>
      </c>
      <c r="R2297" s="8" t="n"/>
      <c r="S2297" s="8" t="n"/>
      <c r="T2297" s="7" t="inlineStr">
        <is>
          <t>TAPAJOS</t>
        </is>
      </c>
      <c r="U2297" s="8" t="n">
        <v>7.56</v>
      </c>
      <c r="V2297" s="14">
        <f>U2297/J2297-1</f>
        <v/>
      </c>
      <c r="W2297" s="14">
        <f>U2297/H2297-1</f>
        <v/>
      </c>
      <c r="X2297" s="16" t="inlineStr">
        <is>
          <t>ACIMA +5.7%</t>
        </is>
      </c>
      <c r="Y2297" s="7" t="inlineStr"/>
    </row>
    <row r="2298">
      <c r="A2298" s="7" t="n">
        <v>531401</v>
      </c>
      <c r="B2298" s="12" t="inlineStr">
        <is>
          <t>7898216360604</t>
        </is>
      </c>
      <c r="C2298" s="7" t="inlineStr">
        <is>
          <t>GLICLAZIDA 30MG CX 30 COMP LIB PROL</t>
        </is>
      </c>
      <c r="D2298" s="7" t="inlineStr">
        <is>
          <t>GENERICO</t>
        </is>
      </c>
      <c r="E2298" s="7" t="inlineStr">
        <is>
          <t>C</t>
        </is>
      </c>
      <c r="F2298" s="13" t="n">
        <v>7</v>
      </c>
      <c r="G2298" s="13" t="n">
        <v>7</v>
      </c>
      <c r="H2298" s="8" t="n">
        <v>8.300000000000001</v>
      </c>
      <c r="I2298" s="8" t="n">
        <v>8.300000000000001</v>
      </c>
      <c r="J2298" s="8" t="n">
        <v>8.300000000000001</v>
      </c>
      <c r="K2298" s="8" t="n">
        <v>9.67</v>
      </c>
      <c r="L2298" s="8" t="n"/>
      <c r="M2298" s="8" t="n"/>
      <c r="N2298" s="8" t="n">
        <v>9.789999999999999</v>
      </c>
      <c r="O2298" s="8" t="n"/>
      <c r="P2298" s="8" t="n"/>
      <c r="Q2298" s="8" t="n"/>
      <c r="R2298" s="15" t="n">
        <v>9.24</v>
      </c>
      <c r="S2298" s="8" t="n"/>
      <c r="T2298" s="7" t="inlineStr">
        <is>
          <t>BRASFARMA</t>
        </is>
      </c>
      <c r="U2298" s="8" t="n">
        <v>9.24</v>
      </c>
      <c r="V2298" s="14">
        <f>U2298/J2298-1</f>
        <v/>
      </c>
      <c r="W2298" s="14">
        <f>U2298/H2298-1</f>
        <v/>
      </c>
      <c r="X2298" s="16" t="inlineStr">
        <is>
          <t>ACIMA +11.3%</t>
        </is>
      </c>
      <c r="Y2298" s="7" t="inlineStr"/>
    </row>
    <row r="2299">
      <c r="A2299" s="7" t="n">
        <v>265001</v>
      </c>
      <c r="B2299" s="12" t="inlineStr"/>
      <c r="C2299" s="7" t="inlineStr">
        <is>
          <t>GLICLAZIDA 30MG CX 30 COMP LIB PROL</t>
        </is>
      </c>
      <c r="D2299" s="7" t="inlineStr">
        <is>
          <t>GENERICO</t>
        </is>
      </c>
      <c r="E2299" s="7" t="inlineStr">
        <is>
          <t>A</t>
        </is>
      </c>
      <c r="F2299" s="13" t="n">
        <v>26</v>
      </c>
      <c r="G2299" s="13" t="n">
        <v>26</v>
      </c>
      <c r="H2299" s="8" t="n">
        <v>4.96</v>
      </c>
      <c r="I2299" s="8" t="n">
        <v>4.96</v>
      </c>
      <c r="J2299" s="8" t="n">
        <v>4.96</v>
      </c>
      <c r="K2299" s="8" t="n"/>
      <c r="L2299" s="8" t="n"/>
      <c r="M2299" s="8" t="n"/>
      <c r="N2299" s="8" t="n"/>
      <c r="O2299" s="8" t="n"/>
      <c r="P2299" s="8" t="n"/>
      <c r="Q2299" s="8" t="n"/>
      <c r="R2299" s="8" t="n"/>
      <c r="S2299" s="8" t="n"/>
      <c r="T2299" s="7" t="inlineStr">
        <is>
          <t>SEM COTAÇÃO</t>
        </is>
      </c>
      <c r="U2299" s="8" t="n"/>
      <c r="V2299" s="14" t="n"/>
      <c r="W2299" s="14" t="n"/>
      <c r="X2299" s="7" t="inlineStr"/>
      <c r="Y2299" s="7" t="inlineStr"/>
    </row>
    <row r="2300">
      <c r="A2300" s="7" t="n">
        <v>263841</v>
      </c>
      <c r="B2300" s="12" t="inlineStr">
        <is>
          <t>7896862910556</t>
        </is>
      </c>
      <c r="C2300" s="7" t="inlineStr">
        <is>
          <t>GLICONIL 5MG CX 30 COMP</t>
        </is>
      </c>
      <c r="D2300" s="7" t="inlineStr">
        <is>
          <t>DESATIVADO</t>
        </is>
      </c>
      <c r="E2300" s="7" t="inlineStr">
        <is>
          <t>C</t>
        </is>
      </c>
      <c r="F2300" s="13" t="n">
        <v>1</v>
      </c>
      <c r="G2300" s="13" t="n">
        <v>1</v>
      </c>
      <c r="H2300" s="8" t="n">
        <v>1.1645</v>
      </c>
      <c r="I2300" s="8" t="n">
        <v>1.1645</v>
      </c>
      <c r="J2300" s="8" t="n">
        <v>1.1645</v>
      </c>
      <c r="K2300" s="8" t="n"/>
      <c r="L2300" s="8" t="n"/>
      <c r="M2300" s="8" t="n"/>
      <c r="N2300" s="8" t="n"/>
      <c r="O2300" s="8" t="n"/>
      <c r="P2300" s="8" t="n"/>
      <c r="Q2300" s="8" t="n"/>
      <c r="R2300" s="8" t="n"/>
      <c r="S2300" s="8" t="n"/>
      <c r="T2300" s="7" t="inlineStr">
        <is>
          <t>SEM COTAÇÃO</t>
        </is>
      </c>
      <c r="U2300" s="8" t="n"/>
      <c r="V2300" s="14" t="n"/>
      <c r="W2300" s="14" t="n"/>
      <c r="X2300" s="7" t="inlineStr"/>
      <c r="Y2300" s="7" t="inlineStr"/>
    </row>
    <row r="2301">
      <c r="A2301" s="7" t="n">
        <v>533121</v>
      </c>
      <c r="B2301" s="12" t="inlineStr">
        <is>
          <t>7891721201806</t>
        </is>
      </c>
      <c r="C2301" s="7" t="inlineStr">
        <is>
          <t>GLIFAGE XR 500MG CX 30 COMP</t>
        </is>
      </c>
      <c r="D2301" s="7" t="inlineStr">
        <is>
          <t>RX - DIABETES</t>
        </is>
      </c>
      <c r="E2301" s="7" t="inlineStr">
        <is>
          <t>A</t>
        </is>
      </c>
      <c r="F2301" s="13" t="n">
        <v>266</v>
      </c>
      <c r="G2301" s="13" t="n">
        <v>266</v>
      </c>
      <c r="H2301" s="8" t="n">
        <v>7.2626</v>
      </c>
      <c r="I2301" s="8" t="n">
        <v>6.4487</v>
      </c>
      <c r="J2301" s="8" t="n">
        <v>6.711666666666666</v>
      </c>
      <c r="K2301" s="8" t="n"/>
      <c r="L2301" s="8" t="n"/>
      <c r="M2301" s="15" t="n">
        <v>7.42</v>
      </c>
      <c r="N2301" s="8" t="n"/>
      <c r="O2301" s="8" t="n">
        <v>7.62</v>
      </c>
      <c r="P2301" s="8" t="n">
        <v>7.436800000000001</v>
      </c>
      <c r="Q2301" s="8" t="n"/>
      <c r="R2301" s="8" t="n"/>
      <c r="S2301" s="8" t="n"/>
      <c r="T2301" s="7" t="inlineStr">
        <is>
          <t>EPAN</t>
        </is>
      </c>
      <c r="U2301" s="8" t="n">
        <v>7.42</v>
      </c>
      <c r="V2301" s="14">
        <f>U2301/J2301-1</f>
        <v/>
      </c>
      <c r="W2301" s="14">
        <f>U2301/H2301-1</f>
        <v/>
      </c>
      <c r="X2301" s="16" t="inlineStr">
        <is>
          <t>ACIMA +2.2%</t>
        </is>
      </c>
      <c r="Y2301" s="7" t="inlineStr"/>
    </row>
    <row r="2302">
      <c r="A2302" s="7" t="n">
        <v>499461</v>
      </c>
      <c r="B2302" s="12" t="inlineStr">
        <is>
          <t>7896523210926</t>
        </is>
      </c>
      <c r="C2302" s="7" t="inlineStr">
        <is>
          <t>GLIMEPIRIDA 2MG CX 30 COMP</t>
        </is>
      </c>
      <c r="D2302" s="7" t="inlineStr">
        <is>
          <t>GENERICO</t>
        </is>
      </c>
      <c r="E2302" s="7" t="inlineStr">
        <is>
          <t>B</t>
        </is>
      </c>
      <c r="F2302" s="13" t="n">
        <v>3</v>
      </c>
      <c r="G2302" s="13" t="n">
        <v>3</v>
      </c>
      <c r="H2302" s="8" t="n">
        <v>2.49</v>
      </c>
      <c r="I2302" s="8" t="n">
        <v>2.39</v>
      </c>
      <c r="J2302" s="8" t="n">
        <v>2.39</v>
      </c>
      <c r="K2302" s="8" t="n"/>
      <c r="L2302" s="8" t="n"/>
      <c r="M2302" s="8" t="n"/>
      <c r="N2302" s="8" t="n"/>
      <c r="O2302" s="8" t="n"/>
      <c r="P2302" s="15" t="n">
        <v>28.04</v>
      </c>
      <c r="Q2302" s="8" t="n"/>
      <c r="R2302" s="8" t="n"/>
      <c r="S2302" s="8" t="n"/>
      <c r="T2302" s="7" t="inlineStr">
        <is>
          <t>NAZARIA</t>
        </is>
      </c>
      <c r="U2302" s="8" t="n">
        <v>28.04</v>
      </c>
      <c r="V2302" s="14">
        <f>U2302/J2302-1</f>
        <v/>
      </c>
      <c r="W2302" s="14">
        <f>U2302/H2302-1</f>
        <v/>
      </c>
      <c r="X2302" s="16" t="inlineStr">
        <is>
          <t>ACIMA +1026.1%</t>
        </is>
      </c>
      <c r="Y2302" s="7" t="inlineStr">
        <is>
          <t>NAZARIA: conferir emb.</t>
        </is>
      </c>
    </row>
    <row r="2303">
      <c r="A2303" s="7" t="n">
        <v>499481</v>
      </c>
      <c r="B2303" s="12" t="inlineStr"/>
      <c r="C2303" s="7" t="inlineStr">
        <is>
          <t>GLIMEPIRIDA 4MG CX 30 COMP</t>
        </is>
      </c>
      <c r="D2303" s="7" t="inlineStr">
        <is>
          <t>GENERICO</t>
        </is>
      </c>
      <c r="E2303" s="7" t="inlineStr">
        <is>
          <t>B</t>
        </is>
      </c>
      <c r="F2303" s="13" t="n">
        <v>3</v>
      </c>
      <c r="G2303" s="13" t="n">
        <v>3</v>
      </c>
      <c r="H2303" s="8" t="n">
        <v>3.19</v>
      </c>
      <c r="I2303" s="8" t="n">
        <v>2.99</v>
      </c>
      <c r="J2303" s="8" t="n">
        <v>3.056666666666667</v>
      </c>
      <c r="K2303" s="8" t="n"/>
      <c r="L2303" s="8" t="n"/>
      <c r="M2303" s="8" t="n"/>
      <c r="N2303" s="8" t="n"/>
      <c r="O2303" s="8" t="n"/>
      <c r="P2303" s="8" t="n"/>
      <c r="Q2303" s="8" t="n"/>
      <c r="R2303" s="8" t="n"/>
      <c r="S2303" s="8" t="n"/>
      <c r="T2303" s="7" t="inlineStr">
        <is>
          <t>SEM COTAÇÃO</t>
        </is>
      </c>
      <c r="U2303" s="8" t="n"/>
      <c r="V2303" s="14" t="n"/>
      <c r="W2303" s="14" t="n"/>
      <c r="X2303" s="7" t="inlineStr"/>
      <c r="Y2303" s="7" t="inlineStr"/>
    </row>
    <row r="2304">
      <c r="A2304" s="7" t="n">
        <v>663841</v>
      </c>
      <c r="B2304" s="12" t="inlineStr">
        <is>
          <t>7891158106835</t>
        </is>
      </c>
      <c r="C2304" s="7" t="inlineStr">
        <is>
          <t>GLUCERNA SR BAUNILHA 200ML-DEMAIS PROD</t>
        </is>
      </c>
      <c r="D2304" s="7" t="inlineStr">
        <is>
          <t>BEBIDAS GERAL</t>
        </is>
      </c>
      <c r="E2304" s="7" t="inlineStr">
        <is>
          <t>C</t>
        </is>
      </c>
      <c r="F2304" s="13" t="n">
        <v>1</v>
      </c>
      <c r="G2304" s="13" t="n">
        <v>1</v>
      </c>
      <c r="H2304" s="8" t="n">
        <v>14.855</v>
      </c>
      <c r="I2304" s="8" t="n">
        <v>14.855</v>
      </c>
      <c r="J2304" s="8" t="n">
        <v>14.855</v>
      </c>
      <c r="K2304" s="8" t="n"/>
      <c r="L2304" s="8" t="n"/>
      <c r="M2304" s="8" t="n"/>
      <c r="N2304" s="8" t="n"/>
      <c r="O2304" s="8" t="n"/>
      <c r="P2304" s="15" t="n">
        <v>16.9302</v>
      </c>
      <c r="Q2304" s="8" t="n"/>
      <c r="R2304" s="8" t="n"/>
      <c r="S2304" s="8" t="n"/>
      <c r="T2304" s="7" t="inlineStr">
        <is>
          <t>NAZARIA</t>
        </is>
      </c>
      <c r="U2304" s="8" t="n">
        <v>16.9302</v>
      </c>
      <c r="V2304" s="14">
        <f>U2304/J2304-1</f>
        <v/>
      </c>
      <c r="W2304" s="14">
        <f>U2304/H2304-1</f>
        <v/>
      </c>
      <c r="X2304" s="16" t="inlineStr">
        <is>
          <t>ACIMA +14.0%</t>
        </is>
      </c>
      <c r="Y2304" s="7" t="inlineStr"/>
    </row>
    <row r="2305">
      <c r="A2305" s="7" t="n">
        <v>669561</v>
      </c>
      <c r="B2305" s="12" t="inlineStr">
        <is>
          <t>7891158106842</t>
        </is>
      </c>
      <c r="C2305" s="7" t="inlineStr">
        <is>
          <t>GLUCERNA SR CHOCOLATE 200ML-DEMAIS PROD</t>
        </is>
      </c>
      <c r="D2305" s="7" t="inlineStr">
        <is>
          <t>PERF/COSME</t>
        </is>
      </c>
      <c r="E2305" s="7" t="inlineStr">
        <is>
          <t>C</t>
        </is>
      </c>
      <c r="F2305" s="13" t="n">
        <v>1</v>
      </c>
      <c r="G2305" s="13" t="n">
        <v>1</v>
      </c>
      <c r="H2305" s="8" t="n">
        <v>14.12</v>
      </c>
      <c r="I2305" s="8" t="n">
        <v>14.12</v>
      </c>
      <c r="J2305" s="8" t="n">
        <v>14.12</v>
      </c>
      <c r="K2305" s="8" t="n"/>
      <c r="L2305" s="8" t="n"/>
      <c r="M2305" s="8" t="n"/>
      <c r="N2305" s="8" t="n"/>
      <c r="O2305" s="8" t="n"/>
      <c r="P2305" s="15" t="n">
        <v>16.9302</v>
      </c>
      <c r="Q2305" s="8" t="n"/>
      <c r="R2305" s="8" t="n"/>
      <c r="S2305" s="8" t="n"/>
      <c r="T2305" s="7" t="inlineStr">
        <is>
          <t>NAZARIA</t>
        </is>
      </c>
      <c r="U2305" s="8" t="n">
        <v>16.9302</v>
      </c>
      <c r="V2305" s="14">
        <f>U2305/J2305-1</f>
        <v/>
      </c>
      <c r="W2305" s="14">
        <f>U2305/H2305-1</f>
        <v/>
      </c>
      <c r="X2305" s="16" t="inlineStr">
        <is>
          <t>ACIMA +19.9%</t>
        </is>
      </c>
      <c r="Y2305" s="7" t="inlineStr"/>
    </row>
    <row r="2306">
      <c r="A2306" s="7" t="n">
        <v>264141</v>
      </c>
      <c r="B2306" s="12" t="inlineStr">
        <is>
          <t>7891721026621</t>
        </is>
      </c>
      <c r="C2306" s="7" t="inlineStr">
        <is>
          <t>GLUCOVANCE 500+5MG CX 30 COMP REV</t>
        </is>
      </c>
      <c r="D2306" s="7" t="inlineStr">
        <is>
          <t>RX - DIABETES</t>
        </is>
      </c>
      <c r="E2306" s="7" t="inlineStr">
        <is>
          <t>A</t>
        </is>
      </c>
      <c r="F2306" s="13" t="n">
        <v>4</v>
      </c>
      <c r="G2306" s="13" t="n">
        <v>4</v>
      </c>
      <c r="H2306" s="8" t="n">
        <v>42.8067</v>
      </c>
      <c r="I2306" s="8" t="n">
        <v>40.76</v>
      </c>
      <c r="J2306" s="8" t="n">
        <v>40.76</v>
      </c>
      <c r="K2306" s="8" t="n"/>
      <c r="L2306" s="8" t="n"/>
      <c r="M2306" s="8" t="n">
        <v>41.36</v>
      </c>
      <c r="N2306" s="8" t="n"/>
      <c r="O2306" s="15" t="n">
        <v>40.76</v>
      </c>
      <c r="P2306" s="8" t="n">
        <v>42.4928</v>
      </c>
      <c r="Q2306" s="8" t="n"/>
      <c r="R2306" s="8" t="n"/>
      <c r="S2306" s="8" t="n"/>
      <c r="T2306" s="7" t="inlineStr">
        <is>
          <t>TAPAJOS</t>
        </is>
      </c>
      <c r="U2306" s="8" t="n">
        <v>40.76</v>
      </c>
      <c r="V2306" s="14">
        <f>U2306/J2306-1</f>
        <v/>
      </c>
      <c r="W2306" s="14">
        <f>U2306/H2306-1</f>
        <v/>
      </c>
      <c r="X2306" s="17" t="inlineStr">
        <is>
          <t>OK (≤ menor hist.)</t>
        </is>
      </c>
      <c r="Y2306" s="7" t="inlineStr"/>
    </row>
    <row r="2307">
      <c r="A2307" s="7" t="n">
        <v>619931</v>
      </c>
      <c r="B2307" s="12" t="inlineStr">
        <is>
          <t>7894913002809</t>
        </is>
      </c>
      <c r="C2307" s="7" t="inlineStr">
        <is>
          <t>GLUCOZINC LARANJA 120ML</t>
        </is>
      </c>
      <c r="D2307" s="7" t="inlineStr">
        <is>
          <t>VITAMINA E SIMILARES</t>
        </is>
      </c>
      <c r="E2307" s="7" t="inlineStr">
        <is>
          <t>C</t>
        </is>
      </c>
      <c r="F2307" s="13" t="n">
        <v>1</v>
      </c>
      <c r="G2307" s="13" t="n">
        <v>1</v>
      </c>
      <c r="H2307" s="8" t="n">
        <v>17.61</v>
      </c>
      <c r="I2307" s="8" t="n">
        <v>17.61</v>
      </c>
      <c r="J2307" s="8" t="n">
        <v>17.61</v>
      </c>
      <c r="K2307" s="8" t="n"/>
      <c r="L2307" s="8" t="n"/>
      <c r="M2307" s="8" t="n"/>
      <c r="N2307" s="15" t="n">
        <v>16.67</v>
      </c>
      <c r="O2307" s="8" t="n"/>
      <c r="P2307" s="8" t="n"/>
      <c r="Q2307" s="8" t="n"/>
      <c r="R2307" s="8" t="n"/>
      <c r="S2307" s="8" t="n"/>
      <c r="T2307" s="7" t="inlineStr">
        <is>
          <t>CENTROFARMA</t>
        </is>
      </c>
      <c r="U2307" s="8" t="n">
        <v>16.67</v>
      </c>
      <c r="V2307" s="14">
        <f>U2307/J2307-1</f>
        <v/>
      </c>
      <c r="W2307" s="14">
        <f>U2307/H2307-1</f>
        <v/>
      </c>
      <c r="X2307" s="17" t="inlineStr">
        <is>
          <t>OK (≤ menor hist.)</t>
        </is>
      </c>
      <c r="Y2307" s="7" t="inlineStr"/>
    </row>
    <row r="2308">
      <c r="A2308" s="7" t="n">
        <v>673251</v>
      </c>
      <c r="B2308" s="12" t="inlineStr">
        <is>
          <t>7898762110050</t>
        </is>
      </c>
      <c r="C2308" s="7" t="inlineStr">
        <is>
          <t>GODS WHEY 100% CANIBALINC BAUNILHA 900G</t>
        </is>
      </c>
      <c r="D2308" s="7" t="inlineStr">
        <is>
          <t>SUPLEMENTO</t>
        </is>
      </c>
      <c r="E2308" s="7" t="inlineStr">
        <is>
          <t>C</t>
        </is>
      </c>
      <c r="F2308" s="13" t="n">
        <v>1</v>
      </c>
      <c r="G2308" s="13" t="n">
        <v>1</v>
      </c>
      <c r="H2308" s="8" t="n">
        <v>83.54000000000001</v>
      </c>
      <c r="I2308" s="8" t="n">
        <v>83.54000000000001</v>
      </c>
      <c r="J2308" s="8" t="n">
        <v>83.54000000000001</v>
      </c>
      <c r="K2308" s="8" t="n"/>
      <c r="L2308" s="8" t="n"/>
      <c r="M2308" s="8" t="n"/>
      <c r="N2308" s="8" t="n"/>
      <c r="O2308" s="8" t="n"/>
      <c r="P2308" s="8" t="n"/>
      <c r="Q2308" s="8" t="n"/>
      <c r="R2308" s="8" t="n"/>
      <c r="S2308" s="8" t="n"/>
      <c r="T2308" s="7" t="inlineStr">
        <is>
          <t>SEM COTAÇÃO</t>
        </is>
      </c>
      <c r="U2308" s="8" t="n"/>
      <c r="V2308" s="14" t="n"/>
      <c r="W2308" s="14" t="n"/>
      <c r="X2308" s="7" t="inlineStr"/>
      <c r="Y2308" s="7" t="inlineStr"/>
    </row>
    <row r="2309">
      <c r="A2309" s="7" t="n">
        <v>673211</v>
      </c>
      <c r="B2309" s="12" t="inlineStr">
        <is>
          <t>7898762110098</t>
        </is>
      </c>
      <c r="C2309" s="7" t="inlineStr">
        <is>
          <t>GODS WHEY 100% CANIBALINC LEITE 900G PT</t>
        </is>
      </c>
      <c r="D2309" s="7" t="inlineStr">
        <is>
          <t>SUPLEMENTO</t>
        </is>
      </c>
      <c r="E2309" s="7" t="inlineStr">
        <is>
          <t>B</t>
        </is>
      </c>
      <c r="F2309" s="13" t="n">
        <v>2</v>
      </c>
      <c r="G2309" s="13" t="n">
        <v>2</v>
      </c>
      <c r="H2309" s="8" t="n">
        <v>82.70999999999999</v>
      </c>
      <c r="I2309" s="8" t="n">
        <v>82.70999999999999</v>
      </c>
      <c r="J2309" s="8" t="n">
        <v>82.70999999999999</v>
      </c>
      <c r="K2309" s="8" t="n"/>
      <c r="L2309" s="8" t="n"/>
      <c r="M2309" s="8" t="n"/>
      <c r="N2309" s="8" t="n"/>
      <c r="O2309" s="8" t="n"/>
      <c r="P2309" s="8" t="n"/>
      <c r="Q2309" s="8" t="n"/>
      <c r="R2309" s="8" t="n"/>
      <c r="S2309" s="8" t="n"/>
      <c r="T2309" s="7" t="inlineStr">
        <is>
          <t>SEM COTAÇÃO</t>
        </is>
      </c>
      <c r="U2309" s="8" t="n"/>
      <c r="V2309" s="14" t="n"/>
      <c r="W2309" s="14" t="n"/>
      <c r="X2309" s="7" t="inlineStr"/>
      <c r="Y2309" s="7" t="inlineStr"/>
    </row>
    <row r="2310">
      <c r="A2310" s="7" t="n">
        <v>565241</v>
      </c>
      <c r="B2310" s="12" t="inlineStr">
        <is>
          <t>7895144893730</t>
        </is>
      </c>
      <c r="C2310" s="7" t="inlineStr">
        <is>
          <t>GOMA DE MASCAR MENTOS - PURE FRESH 8,5G PRETO</t>
        </is>
      </c>
      <c r="D2310" s="7" t="inlineStr">
        <is>
          <t>CONVENIENCIA</t>
        </is>
      </c>
      <c r="E2310" s="7" t="inlineStr">
        <is>
          <t>A</t>
        </is>
      </c>
      <c r="F2310" s="13" t="n">
        <v>2</v>
      </c>
      <c r="G2310" s="13" t="n">
        <v>28</v>
      </c>
      <c r="H2310" s="8" t="n">
        <v>1.7707</v>
      </c>
      <c r="I2310" s="8" t="n">
        <v>1.75</v>
      </c>
      <c r="J2310" s="8" t="n">
        <v>1.7638</v>
      </c>
      <c r="K2310" s="8" t="n"/>
      <c r="L2310" s="8" t="n"/>
      <c r="M2310" s="8" t="n"/>
      <c r="N2310" s="8" t="n"/>
      <c r="O2310" s="8" t="n"/>
      <c r="P2310" s="8" t="n"/>
      <c r="Q2310" s="8" t="n"/>
      <c r="R2310" s="8" t="n"/>
      <c r="S2310" s="8" t="n"/>
      <c r="T2310" s="7" t="inlineStr">
        <is>
          <t>SEM COTAÇÃO</t>
        </is>
      </c>
      <c r="U2310" s="8" t="n"/>
      <c r="V2310" s="14" t="n"/>
      <c r="W2310" s="14" t="n"/>
      <c r="X2310" s="7" t="inlineStr"/>
      <c r="Y2310" s="7" t="inlineStr"/>
    </row>
    <row r="2311">
      <c r="A2311" s="7" t="n">
        <v>565261</v>
      </c>
      <c r="B2311" s="12" t="inlineStr">
        <is>
          <t>7895144892931</t>
        </is>
      </c>
      <c r="C2311" s="7" t="inlineStr">
        <is>
          <t>GOMA DE MASCAR MENTOS 8G - SPEAR MINT</t>
        </is>
      </c>
      <c r="D2311" s="7" t="inlineStr">
        <is>
          <t>CONVENIENCIA</t>
        </is>
      </c>
      <c r="E2311" s="7" t="inlineStr">
        <is>
          <t>A</t>
        </is>
      </c>
      <c r="F2311" s="13" t="n">
        <v>3</v>
      </c>
      <c r="G2311" s="13" t="n">
        <v>32</v>
      </c>
      <c r="H2311" s="8" t="n">
        <v>2.2133</v>
      </c>
      <c r="I2311" s="8" t="n">
        <v>2.1875</v>
      </c>
      <c r="J2311" s="8" t="n">
        <v>2.2047</v>
      </c>
      <c r="K2311" s="8" t="n"/>
      <c r="L2311" s="8" t="n"/>
      <c r="M2311" s="8" t="n"/>
      <c r="N2311" s="8" t="n"/>
      <c r="O2311" s="8" t="n"/>
      <c r="P2311" s="8" t="n"/>
      <c r="Q2311" s="8" t="n"/>
      <c r="R2311" s="8" t="n"/>
      <c r="S2311" s="8" t="n"/>
      <c r="T2311" s="7" t="inlineStr">
        <is>
          <t>SEM COTAÇÃO</t>
        </is>
      </c>
      <c r="U2311" s="8" t="n"/>
      <c r="V2311" s="14" t="n"/>
      <c r="W2311" s="14" t="n"/>
      <c r="X2311" s="7" t="inlineStr"/>
      <c r="Y2311" s="7" t="inlineStr"/>
    </row>
    <row r="2312">
      <c r="A2312" s="7" t="n">
        <v>557341</v>
      </c>
      <c r="B2312" s="12" t="inlineStr">
        <is>
          <t>7895800304228</t>
        </is>
      </c>
      <c r="C2312" s="7" t="inlineStr">
        <is>
          <t>GOMA DE MASCAR TRIDENT 8G - MENTA</t>
        </is>
      </c>
      <c r="D2312" s="7" t="inlineStr">
        <is>
          <t>CONVENIENCIA</t>
        </is>
      </c>
      <c r="E2312" s="7" t="inlineStr">
        <is>
          <t>A</t>
        </is>
      </c>
      <c r="F2312" s="13" t="n">
        <v>66</v>
      </c>
      <c r="G2312" s="13" t="n">
        <v>66</v>
      </c>
      <c r="H2312" s="8" t="n">
        <v>1.99</v>
      </c>
      <c r="I2312" s="8" t="n">
        <v>1.85</v>
      </c>
      <c r="J2312" s="8" t="n">
        <v>1.943333333333333</v>
      </c>
      <c r="K2312" s="8" t="n"/>
      <c r="L2312" s="8" t="n"/>
      <c r="M2312" s="8" t="n"/>
      <c r="N2312" s="8" t="n"/>
      <c r="O2312" s="8" t="n"/>
      <c r="P2312" s="8" t="n"/>
      <c r="Q2312" s="8" t="n"/>
      <c r="R2312" s="8" t="n"/>
      <c r="S2312" s="8" t="n"/>
      <c r="T2312" s="7" t="inlineStr">
        <is>
          <t>SEM COTAÇÃO</t>
        </is>
      </c>
      <c r="U2312" s="8" t="n"/>
      <c r="V2312" s="14" t="n"/>
      <c r="W2312" s="14" t="n"/>
      <c r="X2312" s="7" t="inlineStr"/>
      <c r="Y2312" s="7" t="inlineStr"/>
    </row>
    <row r="2313">
      <c r="A2313" s="7" t="n">
        <v>557381</v>
      </c>
      <c r="B2313" s="12" t="inlineStr">
        <is>
          <t>7895800430002</t>
        </is>
      </c>
      <c r="C2313" s="7" t="inlineStr">
        <is>
          <t>GOMA DE MASCAR TRIDENT 8G - TUTTI FRUTTI</t>
        </is>
      </c>
      <c r="D2313" s="7" t="inlineStr">
        <is>
          <t>CONVENIENCIA</t>
        </is>
      </c>
      <c r="E2313" s="7" t="inlineStr">
        <is>
          <t>B</t>
        </is>
      </c>
      <c r="F2313" s="13" t="n">
        <v>38</v>
      </c>
      <c r="G2313" s="13" t="n">
        <v>38</v>
      </c>
      <c r="H2313" s="8" t="n">
        <v>1.99</v>
      </c>
      <c r="I2313" s="8" t="n">
        <v>1.85</v>
      </c>
      <c r="J2313" s="8" t="n">
        <v>1.943333333333333</v>
      </c>
      <c r="K2313" s="8" t="n"/>
      <c r="L2313" s="8" t="n"/>
      <c r="M2313" s="8" t="n"/>
      <c r="N2313" s="8" t="n"/>
      <c r="O2313" s="8" t="n"/>
      <c r="P2313" s="8" t="n"/>
      <c r="Q2313" s="8" t="n"/>
      <c r="R2313" s="8" t="n"/>
      <c r="S2313" s="8" t="n"/>
      <c r="T2313" s="7" t="inlineStr">
        <is>
          <t>SEM COTAÇÃO</t>
        </is>
      </c>
      <c r="U2313" s="8" t="n"/>
      <c r="V2313" s="14" t="n"/>
      <c r="W2313" s="14" t="n"/>
      <c r="X2313" s="7" t="inlineStr"/>
      <c r="Y2313" s="7" t="inlineStr"/>
    </row>
    <row r="2314">
      <c r="A2314" s="7" t="n">
        <v>32103</v>
      </c>
      <c r="B2314" s="12" t="inlineStr">
        <is>
          <t>7895800304211</t>
        </is>
      </c>
      <c r="C2314" s="7" t="inlineStr">
        <is>
          <t>GOMA DE MASCAR TRIDENT HORTELA 8G</t>
        </is>
      </c>
      <c r="D2314" s="7" t="inlineStr">
        <is>
          <t>CONVENIENCIA</t>
        </is>
      </c>
      <c r="E2314" s="7" t="inlineStr">
        <is>
          <t>B</t>
        </is>
      </c>
      <c r="F2314" s="13" t="n">
        <v>31</v>
      </c>
      <c r="G2314" s="13" t="n">
        <v>31</v>
      </c>
      <c r="H2314" s="8" t="n"/>
      <c r="I2314" s="8" t="n"/>
      <c r="J2314" s="8" t="n"/>
      <c r="K2314" s="8" t="n"/>
      <c r="L2314" s="8" t="n"/>
      <c r="M2314" s="8" t="n"/>
      <c r="N2314" s="8" t="n"/>
      <c r="O2314" s="8" t="n"/>
      <c r="P2314" s="8" t="n"/>
      <c r="Q2314" s="8" t="n"/>
      <c r="R2314" s="8" t="n"/>
      <c r="S2314" s="8" t="n"/>
      <c r="T2314" s="7" t="inlineStr">
        <is>
          <t>SEM COTAÇÃO</t>
        </is>
      </c>
      <c r="U2314" s="8" t="n"/>
      <c r="V2314" s="14" t="n"/>
      <c r="W2314" s="14" t="n"/>
      <c r="X2314" s="7" t="inlineStr"/>
      <c r="Y2314" s="7" t="inlineStr"/>
    </row>
    <row r="2315">
      <c r="A2315" s="7" t="n">
        <v>590911</v>
      </c>
      <c r="B2315" s="12" t="inlineStr">
        <is>
          <t>7896058501407</t>
        </is>
      </c>
      <c r="C2315" s="7" t="inlineStr">
        <is>
          <t>GOMETS GOMA SINO 100GR UN QTD</t>
        </is>
      </c>
      <c r="D2315" s="7" t="inlineStr">
        <is>
          <t>CONVENIENCIA</t>
        </is>
      </c>
      <c r="E2315" s="7" t="inlineStr">
        <is>
          <t>B</t>
        </is>
      </c>
      <c r="F2315" s="13" t="n">
        <v>13</v>
      </c>
      <c r="G2315" s="13" t="n">
        <v>13</v>
      </c>
      <c r="H2315" s="8" t="n">
        <v>3.62</v>
      </c>
      <c r="I2315" s="8" t="n">
        <v>3.58</v>
      </c>
      <c r="J2315" s="8" t="n">
        <v>3.606666666666667</v>
      </c>
      <c r="K2315" s="8" t="n"/>
      <c r="L2315" s="8" t="n"/>
      <c r="M2315" s="8" t="n"/>
      <c r="N2315" s="8" t="n"/>
      <c r="O2315" s="8" t="n"/>
      <c r="P2315" s="8" t="n"/>
      <c r="Q2315" s="8" t="n"/>
      <c r="R2315" s="8" t="n"/>
      <c r="S2315" s="8" t="n"/>
      <c r="T2315" s="7" t="inlineStr">
        <is>
          <t>SEM COTAÇÃO</t>
        </is>
      </c>
      <c r="U2315" s="8" t="n"/>
      <c r="V2315" s="14" t="n"/>
      <c r="W2315" s="14" t="n"/>
      <c r="X2315" s="7" t="inlineStr"/>
      <c r="Y2315" s="7" t="inlineStr"/>
    </row>
    <row r="2316">
      <c r="A2316" s="7" t="n">
        <v>578521</v>
      </c>
      <c r="B2316" s="12" t="inlineStr">
        <is>
          <t>7896058500745</t>
        </is>
      </c>
      <c r="C2316" s="7" t="inlineStr">
        <is>
          <t>GOMETS GOMA SINO 70GR UN</t>
        </is>
      </c>
      <c r="D2316" s="7" t="inlineStr">
        <is>
          <t>CONVENIENCIA</t>
        </is>
      </c>
      <c r="E2316" s="7" t="inlineStr">
        <is>
          <t>A</t>
        </is>
      </c>
      <c r="F2316" s="13" t="n">
        <v>15</v>
      </c>
      <c r="G2316" s="13" t="n">
        <v>15</v>
      </c>
      <c r="H2316" s="8" t="n">
        <v>3.05</v>
      </c>
      <c r="I2316" s="8" t="n">
        <v>3.05</v>
      </c>
      <c r="J2316" s="8" t="n">
        <v>3.049999999999999</v>
      </c>
      <c r="K2316" s="8" t="n"/>
      <c r="L2316" s="8" t="n"/>
      <c r="M2316" s="8" t="n"/>
      <c r="N2316" s="8" t="n"/>
      <c r="O2316" s="8" t="n"/>
      <c r="P2316" s="8" t="n"/>
      <c r="Q2316" s="8" t="n"/>
      <c r="R2316" s="8" t="n"/>
      <c r="S2316" s="8" t="n"/>
      <c r="T2316" s="7" t="inlineStr">
        <is>
          <t>SEM COTAÇÃO</t>
        </is>
      </c>
      <c r="U2316" s="8" t="n"/>
      <c r="V2316" s="14" t="n"/>
      <c r="W2316" s="14" t="n"/>
      <c r="X2316" s="7" t="inlineStr"/>
      <c r="Y2316" s="7" t="inlineStr"/>
    </row>
    <row r="2317">
      <c r="A2317" s="7" t="n">
        <v>15703</v>
      </c>
      <c r="B2317" s="12" t="inlineStr">
        <is>
          <t>4010544030018</t>
        </is>
      </c>
      <c r="C2317" s="7" t="inlineStr">
        <is>
          <t>GOMETS GOMA TUBO CREME E FRUTAS 32GR CR 30X32GR QTD. 3.00 CR</t>
        </is>
      </c>
      <c r="D2317" s="7" t="inlineStr">
        <is>
          <t>CONVENIENCIA</t>
        </is>
      </c>
      <c r="E2317" s="7" t="inlineStr">
        <is>
          <t>C</t>
        </is>
      </c>
      <c r="F2317" s="13" t="n">
        <v>10</v>
      </c>
      <c r="G2317" s="13" t="n">
        <v>10</v>
      </c>
      <c r="H2317" s="8" t="n">
        <v>0.83</v>
      </c>
      <c r="I2317" s="8" t="n">
        <v>0.83</v>
      </c>
      <c r="J2317" s="8" t="n">
        <v>0.83</v>
      </c>
      <c r="K2317" s="8" t="n"/>
      <c r="L2317" s="8" t="n"/>
      <c r="M2317" s="8" t="n"/>
      <c r="N2317" s="8" t="n"/>
      <c r="O2317" s="8" t="n"/>
      <c r="P2317" s="8" t="n"/>
      <c r="Q2317" s="8" t="n"/>
      <c r="R2317" s="8" t="n"/>
      <c r="S2317" s="8" t="n"/>
      <c r="T2317" s="7" t="inlineStr">
        <is>
          <t>SEM COTAÇÃO</t>
        </is>
      </c>
      <c r="U2317" s="8" t="n"/>
      <c r="V2317" s="14" t="n"/>
      <c r="W2317" s="14" t="n"/>
      <c r="X2317" s="7" t="inlineStr"/>
      <c r="Y2317" s="7" t="inlineStr"/>
    </row>
    <row r="2318">
      <c r="A2318" s="7" t="n">
        <v>699001</v>
      </c>
      <c r="B2318" s="12" t="inlineStr">
        <is>
          <t>7896058507423</t>
        </is>
      </c>
      <c r="C2318" s="7" t="inlineStr">
        <is>
          <t>GOMETS GOMA TUBO CREME E FRUTAS 32GR CR 30X32GR QTD. 3.00 CR</t>
        </is>
      </c>
      <c r="D2318" s="7" t="inlineStr">
        <is>
          <t>CONVENIENCIA</t>
        </is>
      </c>
      <c r="E2318" s="7" t="inlineStr">
        <is>
          <t>B</t>
        </is>
      </c>
      <c r="F2318" s="13" t="n">
        <v>41</v>
      </c>
      <c r="G2318" s="13" t="n">
        <v>41</v>
      </c>
      <c r="H2318" s="8" t="n">
        <v>0.83</v>
      </c>
      <c r="I2318" s="8" t="n">
        <v>0.83</v>
      </c>
      <c r="J2318" s="8" t="n">
        <v>0.83</v>
      </c>
      <c r="K2318" s="8" t="n"/>
      <c r="L2318" s="8" t="n"/>
      <c r="M2318" s="8" t="n"/>
      <c r="N2318" s="8" t="n"/>
      <c r="O2318" s="8" t="n"/>
      <c r="P2318" s="8" t="n"/>
      <c r="Q2318" s="8" t="n"/>
      <c r="R2318" s="8" t="n"/>
      <c r="S2318" s="8" t="n"/>
      <c r="T2318" s="7" t="inlineStr">
        <is>
          <t>SEM COTAÇÃO</t>
        </is>
      </c>
      <c r="U2318" s="8" t="n"/>
      <c r="V2318" s="14" t="n"/>
      <c r="W2318" s="14" t="n"/>
      <c r="X2318" s="7" t="inlineStr"/>
      <c r="Y2318" s="7" t="inlineStr"/>
    </row>
    <row r="2319">
      <c r="A2319" s="7" t="n">
        <v>578261</v>
      </c>
      <c r="B2319" s="12" t="inlineStr">
        <is>
          <t>7896058506105</t>
        </is>
      </c>
      <c r="C2319" s="7" t="inlineStr">
        <is>
          <t>GOMETS GOMA TUBO FRUTAS 32GR CR 30X32GR QTD. 1.00 CR</t>
        </is>
      </c>
      <c r="D2319" s="7" t="inlineStr">
        <is>
          <t>CONVENIENCIA</t>
        </is>
      </c>
      <c r="E2319" s="7" t="inlineStr">
        <is>
          <t>A</t>
        </is>
      </c>
      <c r="F2319" s="13" t="n">
        <v>60</v>
      </c>
      <c r="G2319" s="13" t="n">
        <v>60</v>
      </c>
      <c r="H2319" s="8" t="n">
        <v>0.83</v>
      </c>
      <c r="I2319" s="8" t="n">
        <v>0.82</v>
      </c>
      <c r="J2319" s="8" t="n">
        <v>0.8266666666666667</v>
      </c>
      <c r="K2319" s="8" t="n"/>
      <c r="L2319" s="8" t="n"/>
      <c r="M2319" s="8" t="n"/>
      <c r="N2319" s="8" t="n"/>
      <c r="O2319" s="8" t="n"/>
      <c r="P2319" s="8" t="n"/>
      <c r="Q2319" s="8" t="n"/>
      <c r="R2319" s="8" t="n"/>
      <c r="S2319" s="8" t="n"/>
      <c r="T2319" s="7" t="inlineStr">
        <is>
          <t>SEM COTAÇÃO</t>
        </is>
      </c>
      <c r="U2319" s="8" t="n"/>
      <c r="V2319" s="14" t="n"/>
      <c r="W2319" s="14" t="n"/>
      <c r="X2319" s="7" t="inlineStr"/>
      <c r="Y2319" s="7" t="inlineStr"/>
    </row>
    <row r="2320">
      <c r="A2320" s="7" t="n">
        <v>599671</v>
      </c>
      <c r="B2320" s="12" t="inlineStr">
        <is>
          <t>7896058506099</t>
        </is>
      </c>
      <c r="C2320" s="7" t="inlineStr">
        <is>
          <t>GOMETS GOMA TUBO IOGURTE 32GR</t>
        </is>
      </c>
      <c r="D2320" s="7" t="inlineStr">
        <is>
          <t>CONVENIENCIA</t>
        </is>
      </c>
      <c r="E2320" s="7" t="inlineStr">
        <is>
          <t>B</t>
        </is>
      </c>
      <c r="F2320" s="13" t="n">
        <v>24</v>
      </c>
      <c r="G2320" s="13" t="n">
        <v>24</v>
      </c>
      <c r="H2320" s="8" t="n">
        <v>0.83</v>
      </c>
      <c r="I2320" s="8" t="n">
        <v>0.79</v>
      </c>
      <c r="J2320" s="8" t="n">
        <v>0.8166666666666668</v>
      </c>
      <c r="K2320" s="8" t="n"/>
      <c r="L2320" s="8" t="n"/>
      <c r="M2320" s="8" t="n"/>
      <c r="N2320" s="8" t="n"/>
      <c r="O2320" s="8" t="n"/>
      <c r="P2320" s="8" t="n"/>
      <c r="Q2320" s="8" t="n"/>
      <c r="R2320" s="8" t="n"/>
      <c r="S2320" s="8" t="n"/>
      <c r="T2320" s="7" t="inlineStr">
        <is>
          <t>SEM COTAÇÃO</t>
        </is>
      </c>
      <c r="U2320" s="8" t="n"/>
      <c r="V2320" s="14" t="n"/>
      <c r="W2320" s="14" t="n"/>
      <c r="X2320" s="7" t="inlineStr"/>
      <c r="Y2320" s="7" t="inlineStr"/>
    </row>
    <row r="2321">
      <c r="A2321" s="7" t="n">
        <v>651531</v>
      </c>
      <c r="B2321" s="12" t="inlineStr">
        <is>
          <t>7897158726400</t>
        </is>
      </c>
      <c r="C2321" s="7" t="inlineStr">
        <is>
          <t>GOTA D. CCP 1KG MEU CACHO P.ABAC ARG COC</t>
        </is>
      </c>
      <c r="D2321" s="7" t="inlineStr">
        <is>
          <t>COND/SHAM/CREM/SIMILARES</t>
        </is>
      </c>
      <c r="E2321" s="7" t="inlineStr">
        <is>
          <t>C</t>
        </is>
      </c>
      <c r="F2321" s="13" t="n">
        <v>1</v>
      </c>
      <c r="G2321" s="13" t="n">
        <v>1</v>
      </c>
      <c r="H2321" s="8" t="n">
        <v>12.23</v>
      </c>
      <c r="I2321" s="8" t="n">
        <v>12.23</v>
      </c>
      <c r="J2321" s="8" t="n">
        <v>12.23</v>
      </c>
      <c r="K2321" s="8" t="n"/>
      <c r="L2321" s="8" t="n"/>
      <c r="M2321" s="8" t="n"/>
      <c r="N2321" s="8" t="n"/>
      <c r="O2321" s="8" t="n"/>
      <c r="P2321" s="8" t="n"/>
      <c r="Q2321" s="8" t="n"/>
      <c r="R2321" s="8" t="n"/>
      <c r="S2321" s="8" t="n"/>
      <c r="T2321" s="7" t="inlineStr">
        <is>
          <t>SEM COTAÇÃO</t>
        </is>
      </c>
      <c r="U2321" s="8" t="n"/>
      <c r="V2321" s="14" t="n"/>
      <c r="W2321" s="14" t="n"/>
      <c r="X2321" s="7" t="inlineStr"/>
      <c r="Y2321" s="7" t="inlineStr"/>
    </row>
    <row r="2322">
      <c r="A2322" s="7" t="n">
        <v>651541</v>
      </c>
      <c r="B2322" s="12" t="inlineStr">
        <is>
          <t>7897158726417</t>
        </is>
      </c>
      <c r="C2322" s="7" t="inlineStr">
        <is>
          <t>GOTA D. CCP 1KG MEU CACHO P.ABAC BABO CO</t>
        </is>
      </c>
      <c r="D2322" s="7" t="inlineStr">
        <is>
          <t>COND/SHAM/CREM/SIMILARES</t>
        </is>
      </c>
      <c r="E2322" s="7" t="inlineStr">
        <is>
          <t>A</t>
        </is>
      </c>
      <c r="F2322" s="13" t="n">
        <v>5</v>
      </c>
      <c r="G2322" s="13" t="n">
        <v>5</v>
      </c>
      <c r="H2322" s="8" t="n">
        <v>13.9</v>
      </c>
      <c r="I2322" s="8" t="n">
        <v>13.9</v>
      </c>
      <c r="J2322" s="8" t="n">
        <v>13.9</v>
      </c>
      <c r="K2322" s="8" t="n"/>
      <c r="L2322" s="8" t="n"/>
      <c r="M2322" s="8" t="n"/>
      <c r="N2322" s="8" t="n"/>
      <c r="O2322" s="8" t="n"/>
      <c r="P2322" s="8" t="n"/>
      <c r="Q2322" s="8" t="n"/>
      <c r="R2322" s="8" t="n"/>
      <c r="S2322" s="8" t="n"/>
      <c r="T2322" s="7" t="inlineStr">
        <is>
          <t>SEM COTAÇÃO</t>
        </is>
      </c>
      <c r="U2322" s="8" t="n"/>
      <c r="V2322" s="14" t="n"/>
      <c r="W2322" s="14" t="n"/>
      <c r="X2322" s="7" t="inlineStr"/>
      <c r="Y2322" s="7" t="inlineStr"/>
    </row>
    <row r="2323">
      <c r="A2323" s="7" t="n">
        <v>627551</v>
      </c>
      <c r="B2323" s="12" t="inlineStr">
        <is>
          <t>7897158722037</t>
        </is>
      </c>
      <c r="C2323" s="7" t="inlineStr">
        <is>
          <t>GOTA D. CCP 320ML FORT DESMARELADOR</t>
        </is>
      </c>
      <c r="D2323" s="7" t="inlineStr">
        <is>
          <t>PERF/COSME</t>
        </is>
      </c>
      <c r="E2323" s="7" t="inlineStr">
        <is>
          <t>C</t>
        </is>
      </c>
      <c r="F2323" s="13" t="n">
        <v>1</v>
      </c>
      <c r="G2323" s="13" t="n">
        <v>1</v>
      </c>
      <c r="H2323" s="8" t="n">
        <v>9.85</v>
      </c>
      <c r="I2323" s="8" t="n">
        <v>9.85</v>
      </c>
      <c r="J2323" s="8" t="n">
        <v>9.85</v>
      </c>
      <c r="K2323" s="8" t="n"/>
      <c r="L2323" s="8" t="n"/>
      <c r="M2323" s="8" t="n"/>
      <c r="N2323" s="8" t="n"/>
      <c r="O2323" s="8" t="n"/>
      <c r="P2323" s="8" t="n"/>
      <c r="Q2323" s="8" t="n"/>
      <c r="R2323" s="8" t="n"/>
      <c r="S2323" s="8" t="n"/>
      <c r="T2323" s="7" t="inlineStr">
        <is>
          <t>SEM COTAÇÃO</t>
        </is>
      </c>
      <c r="U2323" s="8" t="n"/>
      <c r="V2323" s="14" t="n"/>
      <c r="W2323" s="14" t="n"/>
      <c r="X2323" s="7" t="inlineStr"/>
      <c r="Y2323" s="7" t="inlineStr"/>
    </row>
    <row r="2324">
      <c r="A2324" s="7" t="n">
        <v>620191</v>
      </c>
      <c r="B2324" s="12" t="inlineStr">
        <is>
          <t>7897158716272</t>
        </is>
      </c>
      <c r="C2324" s="7" t="inlineStr">
        <is>
          <t>GOTA D. SB INTIMO 250ML FRESH</t>
        </is>
      </c>
      <c r="D2324" s="7" t="inlineStr">
        <is>
          <t>PERF/COSME</t>
        </is>
      </c>
      <c r="E2324" s="7" t="inlineStr">
        <is>
          <t>C</t>
        </is>
      </c>
      <c r="F2324" s="13" t="n">
        <v>1</v>
      </c>
      <c r="G2324" s="13" t="n">
        <v>1</v>
      </c>
      <c r="H2324" s="8" t="n">
        <v>12.94</v>
      </c>
      <c r="I2324" s="8" t="n">
        <v>12.94</v>
      </c>
      <c r="J2324" s="8" t="n">
        <v>12.94</v>
      </c>
      <c r="K2324" s="8" t="n"/>
      <c r="L2324" s="8" t="n"/>
      <c r="M2324" s="8" t="n"/>
      <c r="N2324" s="8" t="n"/>
      <c r="O2324" s="8" t="n"/>
      <c r="P2324" s="8" t="n"/>
      <c r="Q2324" s="8" t="n"/>
      <c r="R2324" s="8" t="n"/>
      <c r="S2324" s="8" t="n"/>
      <c r="T2324" s="7" t="inlineStr">
        <is>
          <t>SEM COTAÇÃO</t>
        </is>
      </c>
      <c r="U2324" s="8" t="n"/>
      <c r="V2324" s="14" t="n"/>
      <c r="W2324" s="14" t="n"/>
      <c r="X2324" s="7" t="inlineStr"/>
      <c r="Y2324" s="7" t="inlineStr"/>
    </row>
    <row r="2325">
      <c r="A2325" s="7" t="n">
        <v>614701</v>
      </c>
      <c r="B2325" s="12" t="inlineStr">
        <is>
          <t>7897158700172</t>
        </is>
      </c>
      <c r="C2325" s="7" t="inlineStr">
        <is>
          <t>GOTA D. SH+CO  CLUBINHO 340ML</t>
        </is>
      </c>
      <c r="D2325" s="7" t="inlineStr">
        <is>
          <t>PERF/COSME</t>
        </is>
      </c>
      <c r="E2325" s="7" t="inlineStr">
        <is>
          <t>C</t>
        </is>
      </c>
      <c r="F2325" s="13" t="n">
        <v>1</v>
      </c>
      <c r="G2325" s="13" t="n">
        <v>1</v>
      </c>
      <c r="H2325" s="8" t="n">
        <v>12.21</v>
      </c>
      <c r="I2325" s="8" t="n">
        <v>12.21</v>
      </c>
      <c r="J2325" s="8" t="n">
        <v>12.21</v>
      </c>
      <c r="K2325" s="8" t="n"/>
      <c r="L2325" s="8" t="n"/>
      <c r="M2325" s="8" t="n"/>
      <c r="N2325" s="8" t="n"/>
      <c r="O2325" s="8" t="n"/>
      <c r="P2325" s="8" t="n"/>
      <c r="Q2325" s="8" t="n"/>
      <c r="R2325" s="8" t="n"/>
      <c r="S2325" s="8" t="n"/>
      <c r="T2325" s="7" t="inlineStr">
        <is>
          <t>SEM COTAÇÃO</t>
        </is>
      </c>
      <c r="U2325" s="8" t="n"/>
      <c r="V2325" s="14" t="n"/>
      <c r="W2325" s="14" t="n"/>
      <c r="X2325" s="7" t="inlineStr"/>
      <c r="Y2325" s="7" t="inlineStr"/>
    </row>
    <row r="2326">
      <c r="A2326" s="7" t="n">
        <v>620171</v>
      </c>
      <c r="B2326" s="12" t="inlineStr">
        <is>
          <t>7897158723003</t>
        </is>
      </c>
      <c r="C2326" s="7" t="inlineStr">
        <is>
          <t>GOTA D. SH+CO 300ML FORT TRADICIONAL</t>
        </is>
      </c>
      <c r="D2326" s="7" t="inlineStr">
        <is>
          <t>COND/SHAM/CREM/SIMILARES</t>
        </is>
      </c>
      <c r="E2326" s="7" t="inlineStr">
        <is>
          <t>C</t>
        </is>
      </c>
      <c r="F2326" s="13" t="n">
        <v>1</v>
      </c>
      <c r="G2326" s="13" t="n">
        <v>1</v>
      </c>
      <c r="H2326" s="8" t="n">
        <v>22.33</v>
      </c>
      <c r="I2326" s="8" t="n">
        <v>22.33</v>
      </c>
      <c r="J2326" s="8" t="n">
        <v>22.33</v>
      </c>
      <c r="K2326" s="8" t="n"/>
      <c r="L2326" s="8" t="n"/>
      <c r="M2326" s="8" t="n"/>
      <c r="N2326" s="8" t="n"/>
      <c r="O2326" s="8" t="n"/>
      <c r="P2326" s="8" t="n"/>
      <c r="Q2326" s="8" t="n"/>
      <c r="R2326" s="8" t="n"/>
      <c r="S2326" s="8" t="n"/>
      <c r="T2326" s="7" t="inlineStr">
        <is>
          <t>SEM COTAÇÃO</t>
        </is>
      </c>
      <c r="U2326" s="8" t="n"/>
      <c r="V2326" s="14" t="n"/>
      <c r="W2326" s="14" t="n"/>
      <c r="X2326" s="7" t="inlineStr"/>
      <c r="Y2326" s="7" t="inlineStr"/>
    </row>
    <row r="2327">
      <c r="A2327" s="7" t="n">
        <v>614711</v>
      </c>
      <c r="B2327" s="12" t="inlineStr">
        <is>
          <t>7897158700189</t>
        </is>
      </c>
      <c r="C2327" s="7" t="inlineStr">
        <is>
          <t>GOTA D. SH+CO CLUBINHO CACHEADOS 340ML</t>
        </is>
      </c>
      <c r="D2327" s="7" t="inlineStr">
        <is>
          <t>PERF/COSME</t>
        </is>
      </c>
      <c r="E2327" s="7" t="inlineStr">
        <is>
          <t>C</t>
        </is>
      </c>
      <c r="F2327" s="13" t="n">
        <v>1</v>
      </c>
      <c r="G2327" s="13" t="n">
        <v>1</v>
      </c>
      <c r="H2327" s="8" t="n">
        <v>12.21</v>
      </c>
      <c r="I2327" s="8" t="n">
        <v>12.21</v>
      </c>
      <c r="J2327" s="8" t="n">
        <v>12.21</v>
      </c>
      <c r="K2327" s="8" t="n"/>
      <c r="L2327" s="8" t="n"/>
      <c r="M2327" s="8" t="n"/>
      <c r="N2327" s="8" t="n"/>
      <c r="O2327" s="8" t="n"/>
      <c r="P2327" s="8" t="n"/>
      <c r="Q2327" s="8" t="n"/>
      <c r="R2327" s="8" t="n"/>
      <c r="S2327" s="8" t="n"/>
      <c r="T2327" s="7" t="inlineStr">
        <is>
          <t>SEM COTAÇÃO</t>
        </is>
      </c>
      <c r="U2327" s="8" t="n"/>
      <c r="V2327" s="14" t="n"/>
      <c r="W2327" s="14" t="n"/>
      <c r="X2327" s="7" t="inlineStr"/>
      <c r="Y2327" s="7" t="inlineStr"/>
    </row>
    <row r="2328">
      <c r="A2328" s="7" t="n">
        <v>577881</v>
      </c>
      <c r="B2328" s="12" t="inlineStr">
        <is>
          <t>7897158702138</t>
        </is>
      </c>
      <c r="C2328" s="7" t="inlineStr">
        <is>
          <t>GOTA D. TONICO 100ML FORT TRADICIONAL</t>
        </is>
      </c>
      <c r="D2328" s="7" t="inlineStr">
        <is>
          <t>PERF/COSME</t>
        </is>
      </c>
      <c r="E2328" s="7" t="inlineStr">
        <is>
          <t>A</t>
        </is>
      </c>
      <c r="F2328" s="13" t="n">
        <v>5</v>
      </c>
      <c r="G2328" s="13" t="n">
        <v>5</v>
      </c>
      <c r="H2328" s="8" t="n">
        <v>12.32</v>
      </c>
      <c r="I2328" s="8" t="n">
        <v>12.05</v>
      </c>
      <c r="J2328" s="8" t="n">
        <v>12.23</v>
      </c>
      <c r="K2328" s="8" t="n"/>
      <c r="L2328" s="8" t="n"/>
      <c r="M2328" s="8" t="n"/>
      <c r="N2328" s="8" t="n"/>
      <c r="O2328" s="8" t="n"/>
      <c r="P2328" s="8" t="n"/>
      <c r="Q2328" s="8" t="n"/>
      <c r="R2328" s="8" t="n"/>
      <c r="S2328" s="8" t="n"/>
      <c r="T2328" s="7" t="inlineStr">
        <is>
          <t>SEM COTAÇÃO</t>
        </is>
      </c>
      <c r="U2328" s="8" t="n"/>
      <c r="V2328" s="14" t="n"/>
      <c r="W2328" s="14" t="n"/>
      <c r="X2328" s="7" t="inlineStr"/>
      <c r="Y2328" s="7" t="inlineStr"/>
    </row>
    <row r="2329">
      <c r="A2329" s="7" t="n">
        <v>583441</v>
      </c>
      <c r="B2329" s="12" t="inlineStr">
        <is>
          <t>7896512944436</t>
        </is>
      </c>
      <c r="C2329" s="7" t="inlineStr">
        <is>
          <t>GRANADO BEBE CR HID 120ML TRADICIONAL</t>
        </is>
      </c>
      <c r="D2329" s="7" t="inlineStr">
        <is>
          <t>BABY/KIDS</t>
        </is>
      </c>
      <c r="E2329" s="7" t="inlineStr">
        <is>
          <t>C</t>
        </is>
      </c>
      <c r="F2329" s="13" t="n">
        <v>1</v>
      </c>
      <c r="G2329" s="13" t="n">
        <v>1</v>
      </c>
      <c r="H2329" s="8" t="n">
        <v>21.65</v>
      </c>
      <c r="I2329" s="8" t="n">
        <v>21.65</v>
      </c>
      <c r="J2329" s="8" t="n">
        <v>21.65</v>
      </c>
      <c r="K2329" s="8" t="n"/>
      <c r="L2329" s="8" t="n"/>
      <c r="M2329" s="8" t="n"/>
      <c r="N2329" s="8" t="n"/>
      <c r="O2329" s="8" t="n"/>
      <c r="P2329" s="15" t="n">
        <v>21.32</v>
      </c>
      <c r="Q2329" s="8" t="n"/>
      <c r="R2329" s="8" t="n"/>
      <c r="S2329" s="8" t="n"/>
      <c r="T2329" s="7" t="inlineStr">
        <is>
          <t>NAZARIA</t>
        </is>
      </c>
      <c r="U2329" s="8" t="n">
        <v>21.32</v>
      </c>
      <c r="V2329" s="14">
        <f>U2329/J2329-1</f>
        <v/>
      </c>
      <c r="W2329" s="14">
        <f>U2329/H2329-1</f>
        <v/>
      </c>
      <c r="X2329" s="17" t="inlineStr">
        <is>
          <t>OK (≤ menor hist.)</t>
        </is>
      </c>
      <c r="Y2329" s="7" t="inlineStr"/>
    </row>
    <row r="2330">
      <c r="A2330" s="7" t="n">
        <v>583361</v>
      </c>
      <c r="B2330" s="12" t="inlineStr">
        <is>
          <t>7896512921369</t>
        </is>
      </c>
      <c r="C2330" s="7" t="inlineStr">
        <is>
          <t>GRANADO BEBE LCO UMD C/50</t>
        </is>
      </c>
      <c r="D2330" s="7" t="inlineStr">
        <is>
          <t>BABY/KIDS</t>
        </is>
      </c>
      <c r="E2330" s="7" t="inlineStr">
        <is>
          <t>C</t>
        </is>
      </c>
      <c r="F2330" s="13" t="n">
        <v>1</v>
      </c>
      <c r="G2330" s="13" t="n">
        <v>1</v>
      </c>
      <c r="H2330" s="8" t="n">
        <v>10.375</v>
      </c>
      <c r="I2330" s="8" t="n">
        <v>10.375</v>
      </c>
      <c r="J2330" s="8" t="n">
        <v>10.375</v>
      </c>
      <c r="K2330" s="8" t="n"/>
      <c r="L2330" s="8" t="n"/>
      <c r="M2330" s="15" t="n">
        <v>9.06</v>
      </c>
      <c r="N2330" s="8" t="n"/>
      <c r="O2330" s="8" t="n"/>
      <c r="P2330" s="8" t="n">
        <v>12.87</v>
      </c>
      <c r="Q2330" s="8" t="n"/>
      <c r="R2330" s="8" t="n"/>
      <c r="S2330" s="8" t="n"/>
      <c r="T2330" s="7" t="inlineStr">
        <is>
          <t>EPAN</t>
        </is>
      </c>
      <c r="U2330" s="8" t="n">
        <v>9.06</v>
      </c>
      <c r="V2330" s="14">
        <f>U2330/J2330-1</f>
        <v/>
      </c>
      <c r="W2330" s="14">
        <f>U2330/H2330-1</f>
        <v/>
      </c>
      <c r="X2330" s="17" t="inlineStr">
        <is>
          <t>OK (≤ menor hist.)</t>
        </is>
      </c>
      <c r="Y2330" s="7" t="inlineStr"/>
    </row>
    <row r="2331">
      <c r="A2331" s="7" t="n">
        <v>555481</v>
      </c>
      <c r="B2331" s="12" t="inlineStr">
        <is>
          <t>7898075311755</t>
        </is>
      </c>
      <c r="C2331" s="7" t="inlineStr">
        <is>
          <t>GRAV TEST CLICK</t>
        </is>
      </c>
      <c r="D2331" s="7" t="inlineStr">
        <is>
          <t>UTENSILIOS</t>
        </is>
      </c>
      <c r="E2331" s="7" t="inlineStr">
        <is>
          <t>A</t>
        </is>
      </c>
      <c r="F2331" s="13" t="n">
        <v>20</v>
      </c>
      <c r="G2331" s="13" t="n">
        <v>20</v>
      </c>
      <c r="H2331" s="8" t="n">
        <v>9.09</v>
      </c>
      <c r="I2331" s="8" t="n">
        <v>7.29</v>
      </c>
      <c r="J2331" s="8" t="n">
        <v>7.386666666666667</v>
      </c>
      <c r="K2331" s="8" t="n"/>
      <c r="L2331" s="8" t="n"/>
      <c r="M2331" s="8" t="n"/>
      <c r="N2331" s="8" t="n"/>
      <c r="O2331" s="8" t="n"/>
      <c r="P2331" s="15" t="n">
        <v>10.41</v>
      </c>
      <c r="Q2331" s="8" t="n"/>
      <c r="R2331" s="8" t="n"/>
      <c r="S2331" s="8" t="n"/>
      <c r="T2331" s="7" t="inlineStr">
        <is>
          <t>NAZARIA</t>
        </is>
      </c>
      <c r="U2331" s="8" t="n">
        <v>10.41</v>
      </c>
      <c r="V2331" s="14">
        <f>U2331/J2331-1</f>
        <v/>
      </c>
      <c r="W2331" s="14">
        <f>U2331/H2331-1</f>
        <v/>
      </c>
      <c r="X2331" s="16" t="inlineStr">
        <is>
          <t>ACIMA +14.5%</t>
        </is>
      </c>
      <c r="Y2331" s="7" t="inlineStr"/>
    </row>
    <row r="2332">
      <c r="A2332" s="7" t="n">
        <v>558721</v>
      </c>
      <c r="B2332" s="12" t="inlineStr">
        <is>
          <t>7898075310383</t>
        </is>
      </c>
      <c r="C2332" s="7" t="inlineStr">
        <is>
          <t>GRAV TEST EASY</t>
        </is>
      </c>
      <c r="D2332" s="7" t="inlineStr">
        <is>
          <t>UTENSILIOS</t>
        </is>
      </c>
      <c r="E2332" s="7" t="inlineStr">
        <is>
          <t>A</t>
        </is>
      </c>
      <c r="F2332" s="13" t="n">
        <v>93</v>
      </c>
      <c r="G2332" s="13" t="n">
        <v>93</v>
      </c>
      <c r="H2332" s="8" t="n">
        <v>2.69</v>
      </c>
      <c r="I2332" s="8" t="n">
        <v>1.99</v>
      </c>
      <c r="J2332" s="8" t="n">
        <v>2.223333333333333</v>
      </c>
      <c r="K2332" s="8" t="n"/>
      <c r="L2332" s="8" t="n"/>
      <c r="M2332" s="8" t="n"/>
      <c r="N2332" s="8" t="n"/>
      <c r="O2332" s="8" t="n"/>
      <c r="P2332" s="15" t="n">
        <v>3.63</v>
      </c>
      <c r="Q2332" s="8" t="n"/>
      <c r="R2332" s="8" t="n"/>
      <c r="S2332" s="8" t="n"/>
      <c r="T2332" s="7" t="inlineStr">
        <is>
          <t>NAZARIA</t>
        </is>
      </c>
      <c r="U2332" s="8" t="n">
        <v>3.63</v>
      </c>
      <c r="V2332" s="14">
        <f>U2332/J2332-1</f>
        <v/>
      </c>
      <c r="W2332" s="14">
        <f>U2332/H2332-1</f>
        <v/>
      </c>
      <c r="X2332" s="16" t="inlineStr">
        <is>
          <t>ACIMA +34.9%</t>
        </is>
      </c>
      <c r="Y2332" s="7" t="inlineStr"/>
    </row>
    <row r="2333">
      <c r="A2333" s="7" t="n">
        <v>500761</v>
      </c>
      <c r="B2333" s="12" t="inlineStr">
        <is>
          <t>7898100243570</t>
        </is>
      </c>
      <c r="C2333" s="7" t="inlineStr">
        <is>
          <t>GRIPALCE 400 MG + 4 MG + 4 MG CARTELA C/4 CP</t>
        </is>
      </c>
      <c r="D2333" s="7" t="inlineStr">
        <is>
          <t>SIMILAR</t>
        </is>
      </c>
      <c r="E2333" s="7" t="inlineStr">
        <is>
          <t>C</t>
        </is>
      </c>
      <c r="F2333" s="13" t="n">
        <v>17</v>
      </c>
      <c r="G2333" s="13" t="n">
        <v>17</v>
      </c>
      <c r="H2333" s="8" t="n">
        <v>0.8298</v>
      </c>
      <c r="I2333" s="8" t="n">
        <v>0.8298</v>
      </c>
      <c r="J2333" s="8" t="n">
        <v>0.8298</v>
      </c>
      <c r="K2333" s="8" t="n"/>
      <c r="L2333" s="8" t="n"/>
      <c r="M2333" s="8" t="n"/>
      <c r="N2333" s="8" t="n"/>
      <c r="O2333" s="8" t="n"/>
      <c r="P2333" s="8" t="n"/>
      <c r="Q2333" s="8" t="n"/>
      <c r="R2333" s="8" t="n"/>
      <c r="S2333" s="8" t="n"/>
      <c r="T2333" s="7" t="inlineStr">
        <is>
          <t>SEM COTAÇÃO</t>
        </is>
      </c>
      <c r="U2333" s="8" t="n"/>
      <c r="V2333" s="14" t="n"/>
      <c r="W2333" s="14" t="n"/>
      <c r="X2333" s="7" t="inlineStr"/>
      <c r="Y2333" s="7" t="inlineStr"/>
    </row>
    <row r="2334">
      <c r="A2334" s="7" t="n">
        <v>532961</v>
      </c>
      <c r="B2334" s="12" t="inlineStr">
        <is>
          <t>7898100243587</t>
        </is>
      </c>
      <c r="C2334" s="7" t="inlineStr">
        <is>
          <t>GRIPALCE 400MG+4MG+4MG CARTELA C/10 CP</t>
        </is>
      </c>
      <c r="D2334" s="7" t="inlineStr">
        <is>
          <t>SIMILAR</t>
        </is>
      </c>
      <c r="E2334" s="7" t="inlineStr">
        <is>
          <t>A</t>
        </is>
      </c>
      <c r="F2334" s="13" t="n">
        <v>18</v>
      </c>
      <c r="G2334" s="13" t="n">
        <v>342</v>
      </c>
      <c r="H2334" s="8" t="n">
        <v>1.9845</v>
      </c>
      <c r="I2334" s="8" t="n">
        <v>1.85</v>
      </c>
      <c r="J2334" s="8" t="n">
        <v>1.939666666666667</v>
      </c>
      <c r="K2334" s="15" t="n">
        <v>2.2485</v>
      </c>
      <c r="L2334" s="8" t="n"/>
      <c r="M2334" s="8" t="n"/>
      <c r="N2334" s="8" t="n">
        <v>43.63</v>
      </c>
      <c r="O2334" s="8" t="n">
        <v>46.77</v>
      </c>
      <c r="P2334" s="8" t="n"/>
      <c r="Q2334" s="8" t="n">
        <v>46.97</v>
      </c>
      <c r="R2334" s="8" t="n">
        <v>39.99</v>
      </c>
      <c r="S2334" s="8" t="n"/>
      <c r="T2334" s="7" t="inlineStr">
        <is>
          <t>DIMEC</t>
        </is>
      </c>
      <c r="U2334" s="8" t="n">
        <v>2.2485</v>
      </c>
      <c r="V2334" s="14">
        <f>U2334/J2334-1</f>
        <v/>
      </c>
      <c r="W2334" s="14">
        <f>U2334/H2334-1</f>
        <v/>
      </c>
      <c r="X2334" s="16" t="inlineStr">
        <is>
          <t>ACIMA +13.3%</t>
        </is>
      </c>
      <c r="Y2334" s="7" t="inlineStr">
        <is>
          <t>DIMEC: 1 emb = 20 un; CENTROFARMA: conferir emb.; TAPAJOS: conferir emb.; MEDCENTRO: conferir emb.; BRASFARMA: conferir emb.</t>
        </is>
      </c>
    </row>
    <row r="2335">
      <c r="A2335" s="7" t="n">
        <v>330261</v>
      </c>
      <c r="B2335" s="12" t="inlineStr">
        <is>
          <t>7898100244430</t>
        </is>
      </c>
      <c r="C2335" s="7" t="inlineStr">
        <is>
          <t>GRIPALCE CX 20BL X 5 COMP</t>
        </is>
      </c>
      <c r="D2335" s="7" t="inlineStr">
        <is>
          <t>SIMILAR</t>
        </is>
      </c>
      <c r="E2335" s="7" t="inlineStr">
        <is>
          <t>A</t>
        </is>
      </c>
      <c r="F2335" s="13" t="n">
        <v>107</v>
      </c>
      <c r="G2335" s="13" t="n">
        <v>107</v>
      </c>
      <c r="H2335" s="8" t="n">
        <v>1.0425</v>
      </c>
      <c r="I2335" s="8" t="n">
        <v>1.0425</v>
      </c>
      <c r="J2335" s="8" t="n">
        <v>1.0425</v>
      </c>
      <c r="K2335" s="15" t="n">
        <v>1.3495</v>
      </c>
      <c r="L2335" s="8" t="n"/>
      <c r="M2335" s="8" t="n"/>
      <c r="N2335" s="8" t="n">
        <v>28.67</v>
      </c>
      <c r="O2335" s="8" t="n">
        <v>26.59</v>
      </c>
      <c r="P2335" s="8" t="n"/>
      <c r="Q2335" s="8" t="n"/>
      <c r="R2335" s="8" t="n">
        <v>25.69</v>
      </c>
      <c r="S2335" s="8" t="n"/>
      <c r="T2335" s="7" t="inlineStr">
        <is>
          <t>DIMEC</t>
        </is>
      </c>
      <c r="U2335" s="8" t="n">
        <v>1.3495</v>
      </c>
      <c r="V2335" s="14">
        <f>U2335/J2335-1</f>
        <v/>
      </c>
      <c r="W2335" s="14">
        <f>U2335/H2335-1</f>
        <v/>
      </c>
      <c r="X2335" s="16" t="inlineStr">
        <is>
          <t>ACIMA +29.4%</t>
        </is>
      </c>
      <c r="Y2335" s="7" t="inlineStr">
        <is>
          <t>DIMEC: 1 emb = 20 un; CENTROFARMA: conferir emb.; TAPAJOS: conferir emb.; BRASFARMA: conferir emb.</t>
        </is>
      </c>
    </row>
    <row r="2336">
      <c r="A2336" s="7" t="n">
        <v>622421</v>
      </c>
      <c r="B2336" s="12" t="inlineStr">
        <is>
          <t>7908020506904</t>
        </is>
      </c>
      <c r="C2336" s="7" t="inlineStr">
        <is>
          <t>GRIPEOL LIQUIDO 100ML</t>
        </is>
      </c>
      <c r="D2336" s="7" t="inlineStr">
        <is>
          <t>SIMILAR</t>
        </is>
      </c>
      <c r="E2336" s="7" t="inlineStr">
        <is>
          <t>C</t>
        </is>
      </c>
      <c r="F2336" s="13" t="n">
        <v>1</v>
      </c>
      <c r="G2336" s="13" t="n">
        <v>1</v>
      </c>
      <c r="H2336" s="8" t="n">
        <v>11.21</v>
      </c>
      <c r="I2336" s="8" t="n">
        <v>11.21</v>
      </c>
      <c r="J2336" s="8" t="n">
        <v>11.21</v>
      </c>
      <c r="K2336" s="8" t="n"/>
      <c r="L2336" s="8" t="n"/>
      <c r="M2336" s="8" t="n"/>
      <c r="N2336" s="8" t="n"/>
      <c r="O2336" s="8" t="n"/>
      <c r="P2336" s="8" t="n"/>
      <c r="Q2336" s="8" t="n"/>
      <c r="R2336" s="8" t="n"/>
      <c r="S2336" s="8" t="n"/>
      <c r="T2336" s="7" t="inlineStr">
        <is>
          <t>SEM COTAÇÃO</t>
        </is>
      </c>
      <c r="U2336" s="8" t="n"/>
      <c r="V2336" s="14" t="n"/>
      <c r="W2336" s="14" t="n"/>
      <c r="X2336" s="7" t="inlineStr"/>
      <c r="Y2336" s="7" t="inlineStr"/>
    </row>
    <row r="2337">
      <c r="A2337" s="7" t="n">
        <v>595291</v>
      </c>
      <c r="B2337" s="12" t="inlineStr">
        <is>
          <t>7898495609289</t>
        </is>
      </c>
      <c r="C2337" s="7" t="inlineStr">
        <is>
          <t>GROW CALCIO 150ML + SER DOS</t>
        </is>
      </c>
      <c r="D2337" s="7" t="inlineStr">
        <is>
          <t>RX</t>
        </is>
      </c>
      <c r="E2337" s="7" t="inlineStr">
        <is>
          <t>C</t>
        </is>
      </c>
      <c r="F2337" s="13" t="n">
        <v>1</v>
      </c>
      <c r="G2337" s="13" t="n">
        <v>1</v>
      </c>
      <c r="H2337" s="8" t="n">
        <v>59.83</v>
      </c>
      <c r="I2337" s="8" t="n">
        <v>59.83</v>
      </c>
      <c r="J2337" s="8" t="n">
        <v>59.83000000000001</v>
      </c>
      <c r="K2337" s="8" t="n"/>
      <c r="L2337" s="8" t="n"/>
      <c r="M2337" s="8" t="n"/>
      <c r="N2337" s="8" t="n"/>
      <c r="O2337" s="8" t="n"/>
      <c r="P2337" s="8" t="n"/>
      <c r="Q2337" s="8" t="n"/>
      <c r="R2337" s="8" t="n"/>
      <c r="S2337" s="8" t="n"/>
      <c r="T2337" s="7" t="inlineStr">
        <is>
          <t>SEM COTAÇÃO</t>
        </is>
      </c>
      <c r="U2337" s="8" t="n"/>
      <c r="V2337" s="14" t="n"/>
      <c r="W2337" s="14" t="n"/>
      <c r="X2337" s="7" t="inlineStr"/>
      <c r="Y2337" s="7" t="inlineStr"/>
    </row>
    <row r="2338">
      <c r="A2338" s="7" t="n">
        <v>627211</v>
      </c>
      <c r="B2338" s="12" t="inlineStr">
        <is>
          <t>7908020501435</t>
        </is>
      </c>
      <c r="C2338" s="7" t="inlineStr">
        <is>
          <t>GROW D 10ML-DEMAIS PROD</t>
        </is>
      </c>
      <c r="D2338" s="7" t="inlineStr">
        <is>
          <t>RX</t>
        </is>
      </c>
      <c r="E2338" s="7" t="inlineStr">
        <is>
          <t>C</t>
        </is>
      </c>
      <c r="F2338" s="13" t="n">
        <v>1</v>
      </c>
      <c r="G2338" s="13" t="n">
        <v>1</v>
      </c>
      <c r="H2338" s="8" t="n">
        <v>39.47</v>
      </c>
      <c r="I2338" s="8" t="n">
        <v>39.47</v>
      </c>
      <c r="J2338" s="8" t="n">
        <v>39.47</v>
      </c>
      <c r="K2338" s="8" t="n"/>
      <c r="L2338" s="8" t="n"/>
      <c r="M2338" s="8" t="n"/>
      <c r="N2338" s="8" t="n"/>
      <c r="O2338" s="8" t="n"/>
      <c r="P2338" s="8" t="n">
        <v>62.5262</v>
      </c>
      <c r="Q2338" s="8" t="n"/>
      <c r="R2338" s="8" t="n"/>
      <c r="S2338" s="8" t="n"/>
      <c r="T2338" s="7" t="inlineStr">
        <is>
          <t>SEM COTAÇÃO</t>
        </is>
      </c>
      <c r="U2338" s="8" t="n"/>
      <c r="V2338" s="14" t="n"/>
      <c r="W2338" s="14" t="n"/>
      <c r="X2338" s="7" t="inlineStr"/>
      <c r="Y2338" s="7" t="inlineStr">
        <is>
          <t>NAZARIA: sem estoque</t>
        </is>
      </c>
    </row>
    <row r="2339">
      <c r="A2339" s="7" t="n">
        <v>559601</v>
      </c>
      <c r="B2339" s="12" t="inlineStr">
        <is>
          <t>7898495609326</t>
        </is>
      </c>
      <c r="C2339" s="7" t="inlineStr">
        <is>
          <t>GROW VIT BB C/20ML (CFE)</t>
        </is>
      </c>
      <c r="D2339" s="7" t="inlineStr">
        <is>
          <t>RX</t>
        </is>
      </c>
      <c r="E2339" s="7" t="inlineStr">
        <is>
          <t>C</t>
        </is>
      </c>
      <c r="F2339" s="13" t="n">
        <v>1</v>
      </c>
      <c r="G2339" s="13" t="n">
        <v>1</v>
      </c>
      <c r="H2339" s="8" t="n">
        <v>37.1</v>
      </c>
      <c r="I2339" s="8" t="n">
        <v>37.1</v>
      </c>
      <c r="J2339" s="8" t="n">
        <v>37.1</v>
      </c>
      <c r="K2339" s="8" t="n"/>
      <c r="L2339" s="8" t="n"/>
      <c r="M2339" s="8" t="n"/>
      <c r="N2339" s="8" t="n"/>
      <c r="O2339" s="8" t="n"/>
      <c r="P2339" s="8" t="n">
        <v>55.8235</v>
      </c>
      <c r="Q2339" s="8" t="n"/>
      <c r="R2339" s="8" t="n"/>
      <c r="S2339" s="8" t="n"/>
      <c r="T2339" s="7" t="inlineStr">
        <is>
          <t>SEM COTAÇÃO</t>
        </is>
      </c>
      <c r="U2339" s="8" t="n"/>
      <c r="V2339" s="14" t="n"/>
      <c r="W2339" s="14" t="n"/>
      <c r="X2339" s="7" t="inlineStr"/>
      <c r="Y2339" s="7" t="inlineStr">
        <is>
          <t>NAZARIA: sem estoque</t>
        </is>
      </c>
    </row>
    <row r="2340">
      <c r="A2340" s="7" t="n">
        <v>34503</v>
      </c>
      <c r="B2340" s="12" t="inlineStr">
        <is>
          <t>7891000466728</t>
        </is>
      </c>
      <c r="C2340" s="7" t="inlineStr">
        <is>
          <t>GRT TABLETE PE DE MOLEQUE 80G</t>
        </is>
      </c>
      <c r="D2340" s="7" t="inlineStr">
        <is>
          <t>CHOCOLATES</t>
        </is>
      </c>
      <c r="E2340" s="7" t="inlineStr">
        <is>
          <t>B</t>
        </is>
      </c>
      <c r="F2340" s="13" t="n">
        <v>1</v>
      </c>
      <c r="G2340" s="13" t="n">
        <v>3</v>
      </c>
      <c r="H2340" s="8" t="n">
        <v>6.415</v>
      </c>
      <c r="I2340" s="8" t="n">
        <v>6.415</v>
      </c>
      <c r="J2340" s="8" t="n">
        <v>6.415</v>
      </c>
      <c r="K2340" s="8" t="n"/>
      <c r="L2340" s="8" t="n"/>
      <c r="M2340" s="8" t="n"/>
      <c r="N2340" s="8" t="n"/>
      <c r="O2340" s="8" t="n"/>
      <c r="P2340" s="8" t="n"/>
      <c r="Q2340" s="8" t="n"/>
      <c r="R2340" s="8" t="n"/>
      <c r="S2340" s="8" t="n"/>
      <c r="T2340" s="7" t="inlineStr">
        <is>
          <t>SEM COTAÇÃO</t>
        </is>
      </c>
      <c r="U2340" s="8" t="n"/>
      <c r="V2340" s="14" t="n"/>
      <c r="W2340" s="14" t="n"/>
      <c r="X2340" s="7" t="inlineStr"/>
      <c r="Y2340" s="7" t="inlineStr"/>
    </row>
    <row r="2341">
      <c r="A2341" s="7" t="n">
        <v>570021</v>
      </c>
      <c r="B2341" s="12" t="inlineStr"/>
      <c r="C2341" s="7" t="inlineStr">
        <is>
          <t>GUACOFLUS XAROPE 100ML</t>
        </is>
      </c>
      <c r="D2341" s="7" t="inlineStr">
        <is>
          <t>SIMILAR</t>
        </is>
      </c>
      <c r="E2341" s="7" t="inlineStr">
        <is>
          <t>B</t>
        </is>
      </c>
      <c r="F2341" s="13" t="n">
        <v>3</v>
      </c>
      <c r="G2341" s="13" t="n">
        <v>3</v>
      </c>
      <c r="H2341" s="8" t="n">
        <v>5.66</v>
      </c>
      <c r="I2341" s="8" t="n">
        <v>5.66</v>
      </c>
      <c r="J2341" s="8" t="n">
        <v>5.66</v>
      </c>
      <c r="K2341" s="8" t="n"/>
      <c r="L2341" s="8" t="n"/>
      <c r="M2341" s="8" t="n"/>
      <c r="N2341" s="8" t="n"/>
      <c r="O2341" s="8" t="n"/>
      <c r="P2341" s="8" t="n"/>
      <c r="Q2341" s="8" t="n"/>
      <c r="R2341" s="15" t="n">
        <v>5.41</v>
      </c>
      <c r="S2341" s="8" t="n"/>
      <c r="T2341" s="7" t="inlineStr">
        <is>
          <t>BRASFARMA</t>
        </is>
      </c>
      <c r="U2341" s="8" t="n">
        <v>5.41</v>
      </c>
      <c r="V2341" s="14">
        <f>U2341/J2341-1</f>
        <v/>
      </c>
      <c r="W2341" s="14">
        <f>U2341/H2341-1</f>
        <v/>
      </c>
      <c r="X2341" s="17" t="inlineStr">
        <is>
          <t>OK (≤ menor hist.)</t>
        </is>
      </c>
      <c r="Y2341" s="7" t="inlineStr"/>
    </row>
    <row r="2342">
      <c r="A2342" s="7" t="n">
        <v>687901</v>
      </c>
      <c r="B2342" s="12" t="inlineStr">
        <is>
          <t>7891991307529</t>
        </is>
      </c>
      <c r="C2342" s="7" t="inlineStr">
        <is>
          <t>GUARANA ANTARCTICA ZERO LATA 350ML SH C/12 NPAL MULTIPACK</t>
        </is>
      </c>
      <c r="D2342" s="7" t="inlineStr">
        <is>
          <t>BEBIDAS GERAL</t>
        </is>
      </c>
      <c r="E2342" s="7" t="inlineStr">
        <is>
          <t>C</t>
        </is>
      </c>
      <c r="F2342" s="13" t="n">
        <v>1</v>
      </c>
      <c r="G2342" s="13" t="n">
        <v>3</v>
      </c>
      <c r="H2342" s="8" t="n">
        <v>3.2183</v>
      </c>
      <c r="I2342" s="8" t="n">
        <v>3.2183</v>
      </c>
      <c r="J2342" s="8" t="n">
        <v>3.218300000000001</v>
      </c>
      <c r="K2342" s="8" t="n"/>
      <c r="L2342" s="8" t="n"/>
      <c r="M2342" s="8" t="n"/>
      <c r="N2342" s="8" t="n"/>
      <c r="O2342" s="8" t="n"/>
      <c r="P2342" s="8" t="n"/>
      <c r="Q2342" s="8" t="n"/>
      <c r="R2342" s="8" t="n"/>
      <c r="S2342" s="8" t="n"/>
      <c r="T2342" s="7" t="inlineStr">
        <is>
          <t>SEM COTAÇÃO</t>
        </is>
      </c>
      <c r="U2342" s="8" t="n"/>
      <c r="V2342" s="14" t="n"/>
      <c r="W2342" s="14" t="n"/>
      <c r="X2342" s="7" t="inlineStr"/>
      <c r="Y2342" s="7" t="inlineStr"/>
    </row>
    <row r="2343">
      <c r="A2343" s="7" t="n">
        <v>587341</v>
      </c>
      <c r="B2343" s="12" t="inlineStr">
        <is>
          <t>7894900940015</t>
        </is>
      </c>
      <c r="C2343" s="7" t="inlineStr">
        <is>
          <t>GUARANA JESUS 350ML</t>
        </is>
      </c>
      <c r="D2343" s="7" t="inlineStr">
        <is>
          <t>BEBIDAS GERAL</t>
        </is>
      </c>
      <c r="E2343" s="7" t="inlineStr">
        <is>
          <t>C</t>
        </is>
      </c>
      <c r="F2343" s="13" t="n">
        <v>1</v>
      </c>
      <c r="G2343" s="13" t="n">
        <v>1</v>
      </c>
      <c r="H2343" s="8" t="n">
        <v>3.0917</v>
      </c>
      <c r="I2343" s="8" t="n">
        <v>3.0917</v>
      </c>
      <c r="J2343" s="8" t="n">
        <v>3.0917</v>
      </c>
      <c r="K2343" s="8" t="n"/>
      <c r="L2343" s="8" t="n"/>
      <c r="M2343" s="8" t="n"/>
      <c r="N2343" s="8" t="n"/>
      <c r="O2343" s="8" t="n"/>
      <c r="P2343" s="8" t="n"/>
      <c r="Q2343" s="8" t="n"/>
      <c r="R2343" s="8" t="n"/>
      <c r="S2343" s="8" t="n"/>
      <c r="T2343" s="7" t="inlineStr">
        <is>
          <t>SEM COTAÇÃO</t>
        </is>
      </c>
      <c r="U2343" s="8" t="n"/>
      <c r="V2343" s="14" t="n"/>
      <c r="W2343" s="14" t="n"/>
      <c r="X2343" s="7" t="inlineStr"/>
      <c r="Y2343" s="7" t="inlineStr"/>
    </row>
    <row r="2344">
      <c r="A2344" s="7" t="n">
        <v>3103</v>
      </c>
      <c r="B2344" s="12" t="inlineStr">
        <is>
          <t>7897105200038</t>
        </is>
      </c>
      <c r="C2344" s="7" t="inlineStr">
        <is>
          <t>GUARANA TUCHAUA 2LT</t>
        </is>
      </c>
      <c r="D2344" s="7" t="inlineStr">
        <is>
          <t>BEBIDAS GERAL</t>
        </is>
      </c>
      <c r="E2344" s="7" t="inlineStr">
        <is>
          <t>C</t>
        </is>
      </c>
      <c r="F2344" s="13" t="n">
        <v>5</v>
      </c>
      <c r="G2344" s="13" t="n">
        <v>5</v>
      </c>
      <c r="H2344" s="8" t="n">
        <v>5.565</v>
      </c>
      <c r="I2344" s="8" t="n">
        <v>5.565</v>
      </c>
      <c r="J2344" s="8" t="n">
        <v>5.565</v>
      </c>
      <c r="K2344" s="8" t="n"/>
      <c r="L2344" s="8" t="n"/>
      <c r="M2344" s="8" t="n"/>
      <c r="N2344" s="8" t="n"/>
      <c r="O2344" s="8" t="n"/>
      <c r="P2344" s="8" t="n"/>
      <c r="Q2344" s="8" t="n"/>
      <c r="R2344" s="8" t="n"/>
      <c r="S2344" s="8" t="n"/>
      <c r="T2344" s="7" t="inlineStr">
        <is>
          <t>SEM COTAÇÃO</t>
        </is>
      </c>
      <c r="U2344" s="8" t="n"/>
      <c r="V2344" s="14" t="n"/>
      <c r="W2344" s="14" t="n"/>
      <c r="X2344" s="7" t="inlineStr"/>
      <c r="Y2344" s="7" t="inlineStr"/>
    </row>
    <row r="2345">
      <c r="A2345" s="7" t="n">
        <v>571981</v>
      </c>
      <c r="B2345" s="12" t="inlineStr">
        <is>
          <t>7897105200137</t>
        </is>
      </c>
      <c r="C2345" s="7" t="inlineStr">
        <is>
          <t>GUARANA TUCHAUA 350ML</t>
        </is>
      </c>
      <c r="D2345" s="7" t="inlineStr">
        <is>
          <t>BEBIDAS GERAL</t>
        </is>
      </c>
      <c r="E2345" s="7" t="inlineStr">
        <is>
          <t>C</t>
        </is>
      </c>
      <c r="F2345" s="13" t="n">
        <v>4</v>
      </c>
      <c r="G2345" s="13" t="n">
        <v>4</v>
      </c>
      <c r="H2345" s="8" t="n">
        <v>2.1708</v>
      </c>
      <c r="I2345" s="8" t="n">
        <v>2.1708</v>
      </c>
      <c r="J2345" s="8" t="n">
        <v>2.1708</v>
      </c>
      <c r="K2345" s="8" t="n"/>
      <c r="L2345" s="8" t="n"/>
      <c r="M2345" s="8" t="n"/>
      <c r="N2345" s="8" t="n"/>
      <c r="O2345" s="8" t="n"/>
      <c r="P2345" s="8" t="n"/>
      <c r="Q2345" s="8" t="n"/>
      <c r="R2345" s="8" t="n"/>
      <c r="S2345" s="8" t="n"/>
      <c r="T2345" s="7" t="inlineStr">
        <is>
          <t>SEM COTAÇÃO</t>
        </is>
      </c>
      <c r="U2345" s="8" t="n"/>
      <c r="V2345" s="14" t="n"/>
      <c r="W2345" s="14" t="n"/>
      <c r="X2345" s="7" t="inlineStr"/>
      <c r="Y2345" s="7" t="inlineStr"/>
    </row>
    <row r="2346">
      <c r="A2346" s="7" t="n">
        <v>603041</v>
      </c>
      <c r="B2346" s="12" t="inlineStr">
        <is>
          <t>070942507233</t>
        </is>
      </c>
      <c r="C2346" s="7" t="inlineStr">
        <is>
          <t>GUM CERA ORTODONTICA NEUTRA</t>
        </is>
      </c>
      <c r="D2346" s="7" t="inlineStr">
        <is>
          <t>ORTODONTICO</t>
        </is>
      </c>
      <c r="E2346" s="7" t="inlineStr">
        <is>
          <t>C</t>
        </is>
      </c>
      <c r="F2346" s="13" t="n">
        <v>1</v>
      </c>
      <c r="G2346" s="13" t="n">
        <v>1</v>
      </c>
      <c r="H2346" s="8" t="n">
        <v>8.630000000000001</v>
      </c>
      <c r="I2346" s="8" t="n">
        <v>8.630000000000001</v>
      </c>
      <c r="J2346" s="8" t="n">
        <v>8.630000000000001</v>
      </c>
      <c r="K2346" s="8" t="n"/>
      <c r="L2346" s="8" t="n"/>
      <c r="M2346" s="8" t="n"/>
      <c r="N2346" s="8" t="n"/>
      <c r="O2346" s="8" t="n"/>
      <c r="P2346" s="8" t="n">
        <v>8.6304</v>
      </c>
      <c r="Q2346" s="8" t="n"/>
      <c r="R2346" s="8" t="n"/>
      <c r="S2346" s="8" t="n"/>
      <c r="T2346" s="7" t="inlineStr">
        <is>
          <t>SEM COTAÇÃO</t>
        </is>
      </c>
      <c r="U2346" s="8" t="n"/>
      <c r="V2346" s="14" t="n"/>
      <c r="W2346" s="14" t="n"/>
      <c r="X2346" s="7" t="inlineStr"/>
      <c r="Y2346" s="7" t="inlineStr">
        <is>
          <t>NAZARIA: sem estoque</t>
        </is>
      </c>
    </row>
    <row r="2347">
      <c r="A2347" s="7" t="n">
        <v>626171</v>
      </c>
      <c r="B2347" s="12" t="inlineStr">
        <is>
          <t>7898185414865</t>
        </is>
      </c>
      <c r="C2347" s="7" t="inlineStr">
        <is>
          <t>GUM ENXAGUANTE INF TROLLS 250ML</t>
        </is>
      </c>
      <c r="D2347" s="7" t="inlineStr">
        <is>
          <t>ORTODONTICO</t>
        </is>
      </c>
      <c r="E2347" s="7" t="inlineStr">
        <is>
          <t>C</t>
        </is>
      </c>
      <c r="F2347" s="13" t="n">
        <v>1</v>
      </c>
      <c r="G2347" s="13" t="n">
        <v>1</v>
      </c>
      <c r="H2347" s="8" t="n">
        <v>11.245</v>
      </c>
      <c r="I2347" s="8" t="n">
        <v>11.245</v>
      </c>
      <c r="J2347" s="8" t="n">
        <v>11.245</v>
      </c>
      <c r="K2347" s="8" t="n"/>
      <c r="L2347" s="8" t="n"/>
      <c r="M2347" s="8" t="n"/>
      <c r="N2347" s="8" t="n"/>
      <c r="O2347" s="8" t="n"/>
      <c r="P2347" s="15" t="n">
        <v>13.1712</v>
      </c>
      <c r="Q2347" s="8" t="n"/>
      <c r="R2347" s="8" t="n"/>
      <c r="S2347" s="8" t="n"/>
      <c r="T2347" s="7" t="inlineStr">
        <is>
          <t>NAZARIA</t>
        </is>
      </c>
      <c r="U2347" s="8" t="n">
        <v>13.1712</v>
      </c>
      <c r="V2347" s="14">
        <f>U2347/J2347-1</f>
        <v/>
      </c>
      <c r="W2347" s="14">
        <f>U2347/H2347-1</f>
        <v/>
      </c>
      <c r="X2347" s="16" t="inlineStr">
        <is>
          <t>ACIMA +17.1%</t>
        </is>
      </c>
      <c r="Y2347" s="7" t="inlineStr"/>
    </row>
    <row r="2348">
      <c r="A2348" s="7" t="n">
        <v>626251</v>
      </c>
      <c r="B2348" s="12" t="inlineStr">
        <is>
          <t>070942005142</t>
        </is>
      </c>
      <c r="C2348" s="7" t="inlineStr">
        <is>
          <t>GUM ESC DENTAL MIRACULOUS MANUAL 2UN</t>
        </is>
      </c>
      <c r="D2348" s="7" t="inlineStr">
        <is>
          <t>ORTODONTICO</t>
        </is>
      </c>
      <c r="E2348" s="7" t="inlineStr">
        <is>
          <t>C</t>
        </is>
      </c>
      <c r="F2348" s="13" t="n">
        <v>1</v>
      </c>
      <c r="G2348" s="13" t="n">
        <v>1</v>
      </c>
      <c r="H2348" s="8" t="n">
        <v>15.265</v>
      </c>
      <c r="I2348" s="8" t="n">
        <v>15.265</v>
      </c>
      <c r="J2348" s="8" t="n">
        <v>15.265</v>
      </c>
      <c r="K2348" s="8" t="n"/>
      <c r="L2348" s="8" t="n"/>
      <c r="M2348" s="8" t="n"/>
      <c r="N2348" s="8" t="n"/>
      <c r="O2348" s="8" t="n"/>
      <c r="P2348" s="15" t="n">
        <v>14.2176</v>
      </c>
      <c r="Q2348" s="8" t="n"/>
      <c r="R2348" s="8" t="n"/>
      <c r="S2348" s="8" t="n"/>
      <c r="T2348" s="7" t="inlineStr">
        <is>
          <t>NAZARIA</t>
        </is>
      </c>
      <c r="U2348" s="8" t="n">
        <v>14.2176</v>
      </c>
      <c r="V2348" s="14">
        <f>U2348/J2348-1</f>
        <v/>
      </c>
      <c r="W2348" s="14">
        <f>U2348/H2348-1</f>
        <v/>
      </c>
      <c r="X2348" s="17" t="inlineStr">
        <is>
          <t>OK (≤ menor hist.)</t>
        </is>
      </c>
      <c r="Y2348" s="7" t="inlineStr"/>
    </row>
    <row r="2349">
      <c r="A2349" s="7" t="n">
        <v>657641</v>
      </c>
      <c r="B2349" s="12" t="inlineStr">
        <is>
          <t>0070942005487</t>
        </is>
      </c>
      <c r="C2349" s="7" t="inlineStr">
        <is>
          <t>GUM ESC DENTAL MULTI CLEAN 1UN</t>
        </is>
      </c>
      <c r="D2349" s="7" t="inlineStr">
        <is>
          <t>ORTODONTICO</t>
        </is>
      </c>
      <c r="E2349" s="7" t="inlineStr">
        <is>
          <t>C</t>
        </is>
      </c>
      <c r="F2349" s="13" t="n">
        <v>1</v>
      </c>
      <c r="G2349" s="13" t="n">
        <v>1</v>
      </c>
      <c r="H2349" s="8" t="n">
        <v>5.7475</v>
      </c>
      <c r="I2349" s="8" t="n">
        <v>5.7475</v>
      </c>
      <c r="J2349" s="8" t="n">
        <v>5.7475</v>
      </c>
      <c r="K2349" s="8" t="n"/>
      <c r="L2349" s="8" t="n"/>
      <c r="M2349" s="8" t="n"/>
      <c r="N2349" s="8" t="n"/>
      <c r="O2349" s="8" t="n"/>
      <c r="P2349" s="8" t="n">
        <v>5.529599999999999</v>
      </c>
      <c r="Q2349" s="8" t="n"/>
      <c r="R2349" s="8" t="n"/>
      <c r="S2349" s="8" t="n"/>
      <c r="T2349" s="7" t="inlineStr">
        <is>
          <t>SEM COTAÇÃO</t>
        </is>
      </c>
      <c r="U2349" s="8" t="n"/>
      <c r="V2349" s="14" t="n"/>
      <c r="W2349" s="14" t="n"/>
      <c r="X2349" s="7" t="inlineStr"/>
      <c r="Y2349" s="7" t="inlineStr">
        <is>
          <t>NAZARIA: sem estoque</t>
        </is>
      </c>
    </row>
    <row r="2350">
      <c r="A2350" s="7" t="n">
        <v>610991</v>
      </c>
      <c r="B2350" s="12" t="inlineStr">
        <is>
          <t>0070942004824</t>
        </is>
      </c>
      <c r="C2350" s="7" t="inlineStr">
        <is>
          <t>GUM GEL DENTAL INFANTIL TROLLS 50G</t>
        </is>
      </c>
      <c r="D2350" s="7" t="inlineStr">
        <is>
          <t>ORTODONTICO</t>
        </is>
      </c>
      <c r="E2350" s="7" t="inlineStr">
        <is>
          <t>C</t>
        </is>
      </c>
      <c r="F2350" s="13" t="n">
        <v>1</v>
      </c>
      <c r="G2350" s="13" t="n">
        <v>1</v>
      </c>
      <c r="H2350" s="8" t="n">
        <v>7.525</v>
      </c>
      <c r="I2350" s="8" t="n">
        <v>7.525</v>
      </c>
      <c r="J2350" s="8" t="n">
        <v>7.525000000000001</v>
      </c>
      <c r="K2350" s="8" t="n"/>
      <c r="L2350" s="8" t="n"/>
      <c r="M2350" s="8" t="n"/>
      <c r="N2350" s="8" t="n"/>
      <c r="O2350" s="8" t="n"/>
      <c r="P2350" s="8" t="n">
        <v>7.228800000000001</v>
      </c>
      <c r="Q2350" s="8" t="n"/>
      <c r="R2350" s="8" t="n"/>
      <c r="S2350" s="8" t="n"/>
      <c r="T2350" s="7" t="inlineStr">
        <is>
          <t>SEM COTAÇÃO</t>
        </is>
      </c>
      <c r="U2350" s="8" t="n"/>
      <c r="V2350" s="14" t="n"/>
      <c r="W2350" s="14" t="n"/>
      <c r="X2350" s="7" t="inlineStr"/>
      <c r="Y2350" s="7" t="inlineStr">
        <is>
          <t>NAZARIA: sem estoque</t>
        </is>
      </c>
    </row>
    <row r="2351">
      <c r="A2351" s="7" t="n">
        <v>594381</v>
      </c>
      <c r="B2351" s="12" t="inlineStr">
        <is>
          <t>070942304344</t>
        </is>
      </c>
      <c r="C2351" s="7" t="inlineStr">
        <is>
          <t>GUM PALITO INTERDENTAL SOFT PICKS 15UN</t>
        </is>
      </c>
      <c r="D2351" s="7" t="inlineStr">
        <is>
          <t>ORTODONTICO</t>
        </is>
      </c>
      <c r="E2351" s="7" t="inlineStr">
        <is>
          <t>C</t>
        </is>
      </c>
      <c r="F2351" s="13" t="n">
        <v>1</v>
      </c>
      <c r="G2351" s="13" t="n">
        <v>1</v>
      </c>
      <c r="H2351" s="8" t="n">
        <v>10.5575</v>
      </c>
      <c r="I2351" s="8" t="n">
        <v>10.5575</v>
      </c>
      <c r="J2351" s="8" t="n">
        <v>10.5575</v>
      </c>
      <c r="K2351" s="8" t="n"/>
      <c r="L2351" s="8" t="n"/>
      <c r="M2351" s="8" t="n"/>
      <c r="N2351" s="8" t="n"/>
      <c r="O2351" s="8" t="n"/>
      <c r="P2351" s="8" t="n">
        <v>10.5696</v>
      </c>
      <c r="Q2351" s="8" t="n"/>
      <c r="R2351" s="8" t="n"/>
      <c r="S2351" s="8" t="n"/>
      <c r="T2351" s="7" t="inlineStr">
        <is>
          <t>SEM COTAÇÃO</t>
        </is>
      </c>
      <c r="U2351" s="8" t="n"/>
      <c r="V2351" s="14" t="n"/>
      <c r="W2351" s="14" t="n"/>
      <c r="X2351" s="7" t="inlineStr"/>
      <c r="Y2351" s="7" t="inlineStr">
        <is>
          <t>NAZARIA: sem estoque</t>
        </is>
      </c>
    </row>
    <row r="2352">
      <c r="A2352" s="7" t="n">
        <v>622371</v>
      </c>
      <c r="B2352" s="12" t="inlineStr">
        <is>
          <t>7896321024657</t>
        </is>
      </c>
      <c r="C2352" s="7" t="inlineStr">
        <is>
          <t>GUMMY HAIR VITAMIN MELANCIA 60CPR</t>
        </is>
      </c>
      <c r="D2352" s="7" t="inlineStr">
        <is>
          <t>VITAMINA E SIMILARES</t>
        </is>
      </c>
      <c r="E2352" s="7" t="inlineStr">
        <is>
          <t>A</t>
        </is>
      </c>
      <c r="F2352" s="13" t="n">
        <v>1</v>
      </c>
      <c r="G2352" s="13" t="n">
        <v>1</v>
      </c>
      <c r="H2352" s="8" t="n">
        <v>58.95</v>
      </c>
      <c r="I2352" s="8" t="n">
        <v>58.95</v>
      </c>
      <c r="J2352" s="8" t="n">
        <v>58.95000000000001</v>
      </c>
      <c r="K2352" s="8" t="n"/>
      <c r="L2352" s="8" t="n"/>
      <c r="M2352" s="8" t="n"/>
      <c r="N2352" s="15" t="n">
        <v>72.22</v>
      </c>
      <c r="O2352" s="8" t="n"/>
      <c r="P2352" s="8" t="n"/>
      <c r="Q2352" s="8" t="n"/>
      <c r="R2352" s="8" t="n"/>
      <c r="S2352" s="8" t="n"/>
      <c r="T2352" s="7" t="inlineStr">
        <is>
          <t>CENTROFARMA</t>
        </is>
      </c>
      <c r="U2352" s="8" t="n">
        <v>72.22</v>
      </c>
      <c r="V2352" s="14">
        <f>U2352/J2352-1</f>
        <v/>
      </c>
      <c r="W2352" s="14">
        <f>U2352/H2352-1</f>
        <v/>
      </c>
      <c r="X2352" s="16" t="inlineStr">
        <is>
          <t>ACIMA +22.5%</t>
        </is>
      </c>
      <c r="Y2352" s="7" t="inlineStr"/>
    </row>
    <row r="2353">
      <c r="A2353" s="7" t="n">
        <v>622351</v>
      </c>
      <c r="B2353" s="12" t="inlineStr">
        <is>
          <t>7896321035820</t>
        </is>
      </c>
      <c r="C2353" s="7" t="inlineStr">
        <is>
          <t>GUMMY HAIR VITAMIN TUTTI-FRUTTI 60CPR</t>
        </is>
      </c>
      <c r="D2353" s="7" t="inlineStr">
        <is>
          <t>VITAMINA E SIMILARES</t>
        </is>
      </c>
      <c r="E2353" s="7" t="inlineStr">
        <is>
          <t>A</t>
        </is>
      </c>
      <c r="F2353" s="13" t="n">
        <v>1</v>
      </c>
      <c r="G2353" s="13" t="n">
        <v>1</v>
      </c>
      <c r="H2353" s="8" t="n">
        <v>51.71</v>
      </c>
      <c r="I2353" s="8" t="n">
        <v>51.71</v>
      </c>
      <c r="J2353" s="8" t="n">
        <v>51.71</v>
      </c>
      <c r="K2353" s="8" t="n"/>
      <c r="L2353" s="8" t="n"/>
      <c r="M2353" s="8" t="n"/>
      <c r="N2353" s="15" t="n">
        <v>72.22</v>
      </c>
      <c r="O2353" s="8" t="n"/>
      <c r="P2353" s="8" t="n"/>
      <c r="Q2353" s="8" t="n"/>
      <c r="R2353" s="8" t="n"/>
      <c r="S2353" s="8" t="n"/>
      <c r="T2353" s="7" t="inlineStr">
        <is>
          <t>CENTROFARMA</t>
        </is>
      </c>
      <c r="U2353" s="8" t="n">
        <v>72.22</v>
      </c>
      <c r="V2353" s="14">
        <f>U2353/J2353-1</f>
        <v/>
      </c>
      <c r="W2353" s="14">
        <f>U2353/H2353-1</f>
        <v/>
      </c>
      <c r="X2353" s="16" t="inlineStr">
        <is>
          <t>ACIMA +39.7%</t>
        </is>
      </c>
      <c r="Y2353" s="7" t="inlineStr"/>
    </row>
    <row r="2354">
      <c r="A2354" s="7" t="n">
        <v>671291</v>
      </c>
      <c r="B2354" s="12" t="inlineStr"/>
      <c r="C2354" s="7" t="inlineStr">
        <is>
          <t>GUMMY NIGHT FRAMBOESA 30 GOMAS</t>
        </is>
      </c>
      <c r="D2354" s="7" t="inlineStr">
        <is>
          <t>VITAMINA E SIMILARES</t>
        </is>
      </c>
      <c r="E2354" s="7" t="inlineStr">
        <is>
          <t>A</t>
        </is>
      </c>
      <c r="F2354" s="13" t="n">
        <v>5</v>
      </c>
      <c r="G2354" s="13" t="n">
        <v>5</v>
      </c>
      <c r="H2354" s="8" t="n">
        <v>33.64</v>
      </c>
      <c r="I2354" s="8" t="n">
        <v>25.83</v>
      </c>
      <c r="J2354" s="8" t="n">
        <v>28.43333333333333</v>
      </c>
      <c r="K2354" s="8" t="n"/>
      <c r="L2354" s="8" t="n"/>
      <c r="M2354" s="8" t="n"/>
      <c r="N2354" s="8" t="n"/>
      <c r="O2354" s="8" t="n"/>
      <c r="P2354" s="8" t="n"/>
      <c r="Q2354" s="8" t="n"/>
      <c r="R2354" s="8" t="n"/>
      <c r="S2354" s="8" t="n"/>
      <c r="T2354" s="7" t="inlineStr">
        <is>
          <t>SEM COTAÇÃO</t>
        </is>
      </c>
      <c r="U2354" s="8" t="n"/>
      <c r="V2354" s="14" t="n"/>
      <c r="W2354" s="14" t="n"/>
      <c r="X2354" s="7" t="inlineStr"/>
      <c r="Y2354" s="7" t="inlineStr"/>
    </row>
    <row r="2355">
      <c r="A2355" s="7" t="n">
        <v>554541</v>
      </c>
      <c r="B2355" s="12" t="inlineStr">
        <is>
          <t>7908134200040</t>
        </is>
      </c>
      <c r="C2355" s="7" t="inlineStr">
        <is>
          <t>GYNOTRAN 750+200MG OVULO 1 STRIP X 7+14 DEDEIRAS</t>
        </is>
      </c>
      <c r="D2355" s="7" t="inlineStr">
        <is>
          <t>RX - REFERENCIA - ATB</t>
        </is>
      </c>
      <c r="E2355" s="7" t="inlineStr">
        <is>
          <t>A</t>
        </is>
      </c>
      <c r="F2355" s="13" t="n">
        <v>2</v>
      </c>
      <c r="G2355" s="13" t="n">
        <v>2</v>
      </c>
      <c r="H2355" s="8" t="n">
        <v>90.84</v>
      </c>
      <c r="I2355" s="8" t="n">
        <v>84.2</v>
      </c>
      <c r="J2355" s="8" t="n">
        <v>88.62666666666667</v>
      </c>
      <c r="K2355" s="8" t="n"/>
      <c r="L2355" s="8" t="n"/>
      <c r="M2355" s="8" t="n"/>
      <c r="N2355" s="8" t="n"/>
      <c r="O2355" s="8" t="n">
        <v>90.3</v>
      </c>
      <c r="P2355" s="15" t="n">
        <v>87.41460000000001</v>
      </c>
      <c r="Q2355" s="8" t="n"/>
      <c r="R2355" s="8" t="n"/>
      <c r="S2355" s="8" t="n"/>
      <c r="T2355" s="7" t="inlineStr">
        <is>
          <t>NAZARIA</t>
        </is>
      </c>
      <c r="U2355" s="8" t="n">
        <v>87.41460000000001</v>
      </c>
      <c r="V2355" s="14">
        <f>U2355/J2355-1</f>
        <v/>
      </c>
      <c r="W2355" s="14">
        <f>U2355/H2355-1</f>
        <v/>
      </c>
      <c r="X2355" s="17" t="inlineStr">
        <is>
          <t>OK (≤ últ. compra)</t>
        </is>
      </c>
      <c r="Y2355" s="7" t="inlineStr"/>
    </row>
    <row r="2356">
      <c r="A2356" s="7" t="n">
        <v>583641</v>
      </c>
      <c r="B2356" s="12" t="inlineStr">
        <is>
          <t>7892840812423</t>
        </is>
      </c>
      <c r="C2356" s="7" t="inlineStr">
        <is>
          <t>H2O LIMAO 500ML</t>
        </is>
      </c>
      <c r="D2356" s="7" t="inlineStr">
        <is>
          <t>BEBIDAS GERAL</t>
        </is>
      </c>
      <c r="E2356" s="7" t="inlineStr">
        <is>
          <t>C</t>
        </is>
      </c>
      <c r="F2356" s="13" t="n">
        <v>1</v>
      </c>
      <c r="G2356" s="13" t="n">
        <v>2</v>
      </c>
      <c r="H2356" s="8" t="n">
        <v>4.1691</v>
      </c>
      <c r="I2356" s="8" t="n">
        <v>4.1691</v>
      </c>
      <c r="J2356" s="8" t="n">
        <v>4.1691</v>
      </c>
      <c r="K2356" s="8" t="n"/>
      <c r="L2356" s="8" t="n"/>
      <c r="M2356" s="8" t="n"/>
      <c r="N2356" s="8" t="n"/>
      <c r="O2356" s="8" t="n"/>
      <c r="P2356" s="8" t="n"/>
      <c r="Q2356" s="8" t="n"/>
      <c r="R2356" s="8" t="n"/>
      <c r="S2356" s="8" t="n"/>
      <c r="T2356" s="7" t="inlineStr">
        <is>
          <t>SEM COTAÇÃO</t>
        </is>
      </c>
      <c r="U2356" s="8" t="n"/>
      <c r="V2356" s="14" t="n"/>
      <c r="W2356" s="14" t="n"/>
      <c r="X2356" s="7" t="inlineStr"/>
      <c r="Y2356" s="7" t="inlineStr"/>
    </row>
    <row r="2357">
      <c r="A2357" s="7" t="n">
        <v>591181</v>
      </c>
      <c r="B2357" s="12" t="inlineStr">
        <is>
          <t>7892840812850</t>
        </is>
      </c>
      <c r="C2357" s="7" t="inlineStr">
        <is>
          <t>H2O LIMONETO 500ML</t>
        </is>
      </c>
      <c r="D2357" s="7" t="inlineStr">
        <is>
          <t>BEBIDAS GERAL</t>
        </is>
      </c>
      <c r="E2357" s="7" t="inlineStr">
        <is>
          <t>B</t>
        </is>
      </c>
      <c r="F2357" s="13" t="n">
        <v>1</v>
      </c>
      <c r="G2357" s="13" t="n">
        <v>2</v>
      </c>
      <c r="H2357" s="8" t="n">
        <v>4.1691</v>
      </c>
      <c r="I2357" s="8" t="n">
        <v>4.1691</v>
      </c>
      <c r="J2357" s="8" t="n">
        <v>4.1691</v>
      </c>
      <c r="K2357" s="8" t="n"/>
      <c r="L2357" s="8" t="n"/>
      <c r="M2357" s="8" t="n"/>
      <c r="N2357" s="8" t="n"/>
      <c r="O2357" s="8" t="n"/>
      <c r="P2357" s="8" t="n"/>
      <c r="Q2357" s="8" t="n"/>
      <c r="R2357" s="8" t="n"/>
      <c r="S2357" s="8" t="n"/>
      <c r="T2357" s="7" t="inlineStr">
        <is>
          <t>SEM COTAÇÃO</t>
        </is>
      </c>
      <c r="U2357" s="8" t="n"/>
      <c r="V2357" s="14" t="n"/>
      <c r="W2357" s="14" t="n"/>
      <c r="X2357" s="7" t="inlineStr"/>
      <c r="Y2357" s="7" t="inlineStr"/>
    </row>
    <row r="2358">
      <c r="A2358" s="7" t="n">
        <v>654961</v>
      </c>
      <c r="B2358" s="12" t="inlineStr">
        <is>
          <t>7908475807625</t>
        </is>
      </c>
      <c r="C2358" s="7" t="inlineStr">
        <is>
          <t>HAIR UP 30 GOMAS</t>
        </is>
      </c>
      <c r="D2358" s="7" t="inlineStr">
        <is>
          <t>VITAMINA E SIMILARES</t>
        </is>
      </c>
      <c r="E2358" s="7" t="inlineStr">
        <is>
          <t>C</t>
        </is>
      </c>
      <c r="F2358" s="13" t="n">
        <v>1</v>
      </c>
      <c r="G2358" s="13" t="n">
        <v>1</v>
      </c>
      <c r="H2358" s="8" t="n">
        <v>33.28</v>
      </c>
      <c r="I2358" s="8" t="n">
        <v>33.28</v>
      </c>
      <c r="J2358" s="8" t="n">
        <v>33.28</v>
      </c>
      <c r="K2358" s="8" t="n"/>
      <c r="L2358" s="8" t="n"/>
      <c r="M2358" s="8" t="n"/>
      <c r="N2358" s="8" t="n"/>
      <c r="O2358" s="8" t="n"/>
      <c r="P2358" s="8" t="n"/>
      <c r="Q2358" s="8" t="n"/>
      <c r="R2358" s="8" t="n"/>
      <c r="S2358" s="8" t="n"/>
      <c r="T2358" s="7" t="inlineStr">
        <is>
          <t>SEM COTAÇÃO</t>
        </is>
      </c>
      <c r="U2358" s="8" t="n"/>
      <c r="V2358" s="14" t="n"/>
      <c r="W2358" s="14" t="n"/>
      <c r="X2358" s="7" t="inlineStr"/>
      <c r="Y2358" s="7" t="inlineStr"/>
    </row>
    <row r="2359">
      <c r="A2359" s="7" t="n">
        <v>625481</v>
      </c>
      <c r="B2359" s="12" t="inlineStr">
        <is>
          <t>7622300858797</t>
        </is>
      </c>
      <c r="C2359" s="7" t="inlineStr">
        <is>
          <t>HALLS MINI CEREJA 270GR CR 18</t>
        </is>
      </c>
      <c r="D2359" s="7" t="inlineStr">
        <is>
          <t>CONVENIENCIA</t>
        </is>
      </c>
      <c r="E2359" s="7" t="inlineStr">
        <is>
          <t>C</t>
        </is>
      </c>
      <c r="F2359" s="13" t="n">
        <v>1</v>
      </c>
      <c r="G2359" s="13" t="n">
        <v>1</v>
      </c>
      <c r="H2359" s="8" t="n">
        <v>1.8089</v>
      </c>
      <c r="I2359" s="8" t="n">
        <v>1.8089</v>
      </c>
      <c r="J2359" s="8" t="n">
        <v>1.8089</v>
      </c>
      <c r="K2359" s="8" t="n"/>
      <c r="L2359" s="8" t="n"/>
      <c r="M2359" s="8" t="n"/>
      <c r="N2359" s="8" t="n"/>
      <c r="O2359" s="8" t="n"/>
      <c r="P2359" s="8" t="n"/>
      <c r="Q2359" s="8" t="n"/>
      <c r="R2359" s="8" t="n"/>
      <c r="S2359" s="8" t="n"/>
      <c r="T2359" s="7" t="inlineStr">
        <is>
          <t>SEM COTAÇÃO</t>
        </is>
      </c>
      <c r="U2359" s="8" t="n"/>
      <c r="V2359" s="14" t="n"/>
      <c r="W2359" s="14" t="n"/>
      <c r="X2359" s="7" t="inlineStr"/>
      <c r="Y2359" s="7" t="inlineStr"/>
    </row>
    <row r="2360">
      <c r="A2360" s="7" t="n">
        <v>597751</v>
      </c>
      <c r="B2360" s="12" t="inlineStr">
        <is>
          <t>7897104905200</t>
        </is>
      </c>
      <c r="C2360" s="7" t="inlineStr">
        <is>
          <t>HARDMASS 1800 BODYACTION CHOCOLATE PC 3K</t>
        </is>
      </c>
      <c r="D2360" s="7" t="inlineStr">
        <is>
          <t>SUPLEMENTO</t>
        </is>
      </c>
      <c r="E2360" s="7" t="inlineStr">
        <is>
          <t>C</t>
        </is>
      </c>
      <c r="F2360" s="13" t="n">
        <v>1</v>
      </c>
      <c r="G2360" s="13" t="n">
        <v>1</v>
      </c>
      <c r="H2360" s="8" t="n">
        <v>82.42</v>
      </c>
      <c r="I2360" s="8" t="n">
        <v>82.42</v>
      </c>
      <c r="J2360" s="8" t="n">
        <v>82.42</v>
      </c>
      <c r="K2360" s="8" t="n"/>
      <c r="L2360" s="8" t="n"/>
      <c r="M2360" s="8" t="n"/>
      <c r="N2360" s="8" t="n"/>
      <c r="O2360" s="8" t="n"/>
      <c r="P2360" s="8" t="n"/>
      <c r="Q2360" s="8" t="n"/>
      <c r="R2360" s="8" t="n"/>
      <c r="S2360" s="15" t="n">
        <v>85</v>
      </c>
      <c r="T2360" s="7" t="inlineStr">
        <is>
          <t>AT_SUPLEMENTOS</t>
        </is>
      </c>
      <c r="U2360" s="8" t="n">
        <v>85</v>
      </c>
      <c r="V2360" s="14">
        <f>U2360/J2360-1</f>
        <v/>
      </c>
      <c r="W2360" s="14">
        <f>U2360/H2360-1</f>
        <v/>
      </c>
      <c r="X2360" s="16" t="inlineStr">
        <is>
          <t>ACIMA +3.1%</t>
        </is>
      </c>
      <c r="Y2360" s="7" t="inlineStr"/>
    </row>
    <row r="2361">
      <c r="A2361" s="7" t="n">
        <v>661421</v>
      </c>
      <c r="B2361" s="12" t="inlineStr">
        <is>
          <t>7897104905194</t>
        </is>
      </c>
      <c r="C2361" s="7" t="inlineStr">
        <is>
          <t>HARDMASS 1800 BODYACTION MORANGO PC 3KG</t>
        </is>
      </c>
      <c r="D2361" s="7" t="inlineStr">
        <is>
          <t>SUPLEMENTO</t>
        </is>
      </c>
      <c r="E2361" s="7" t="inlineStr">
        <is>
          <t>B</t>
        </is>
      </c>
      <c r="F2361" s="13" t="n">
        <v>1</v>
      </c>
      <c r="G2361" s="13" t="n">
        <v>1</v>
      </c>
      <c r="H2361" s="8" t="n">
        <v>82.42</v>
      </c>
      <c r="I2361" s="8" t="n">
        <v>82.42</v>
      </c>
      <c r="J2361" s="8" t="n">
        <v>82.42</v>
      </c>
      <c r="K2361" s="8" t="n"/>
      <c r="L2361" s="8" t="n"/>
      <c r="M2361" s="8" t="n"/>
      <c r="N2361" s="8" t="n"/>
      <c r="O2361" s="8" t="n"/>
      <c r="P2361" s="8" t="n"/>
      <c r="Q2361" s="8" t="n"/>
      <c r="R2361" s="8" t="n"/>
      <c r="S2361" s="15" t="n">
        <v>85</v>
      </c>
      <c r="T2361" s="7" t="inlineStr">
        <is>
          <t>AT_SUPLEMENTOS</t>
        </is>
      </c>
      <c r="U2361" s="8" t="n">
        <v>85</v>
      </c>
      <c r="V2361" s="14">
        <f>U2361/J2361-1</f>
        <v/>
      </c>
      <c r="W2361" s="14">
        <f>U2361/H2361-1</f>
        <v/>
      </c>
      <c r="X2361" s="16" t="inlineStr">
        <is>
          <t>ACIMA +3.1%</t>
        </is>
      </c>
      <c r="Y2361" s="7" t="inlineStr"/>
    </row>
    <row r="2362">
      <c r="A2362" s="7" t="n">
        <v>637291</v>
      </c>
      <c r="B2362" s="12" t="inlineStr">
        <is>
          <t>7898961775012</t>
        </is>
      </c>
      <c r="C2362" s="7" t="inlineStr">
        <is>
          <t>HASTE FLEXIVEL NATHY CARTUCHO 75UN</t>
        </is>
      </c>
      <c r="D2362" s="7" t="inlineStr">
        <is>
          <t>PERF/COSME</t>
        </is>
      </c>
      <c r="E2362" s="7" t="inlineStr">
        <is>
          <t>C</t>
        </is>
      </c>
      <c r="F2362" s="13" t="n">
        <v>17</v>
      </c>
      <c r="G2362" s="13" t="n">
        <v>17</v>
      </c>
      <c r="H2362" s="8" t="n">
        <v>1.98</v>
      </c>
      <c r="I2362" s="8" t="n">
        <v>1.98</v>
      </c>
      <c r="J2362" s="8" t="n">
        <v>1.98</v>
      </c>
      <c r="K2362" s="8" t="n"/>
      <c r="L2362" s="8" t="n"/>
      <c r="M2362" s="8" t="n"/>
      <c r="N2362" s="8" t="n"/>
      <c r="O2362" s="8" t="n"/>
      <c r="P2362" s="8" t="n"/>
      <c r="Q2362" s="8" t="n"/>
      <c r="R2362" s="8" t="n"/>
      <c r="S2362" s="8" t="n"/>
      <c r="T2362" s="7" t="inlineStr">
        <is>
          <t>SEM COTAÇÃO</t>
        </is>
      </c>
      <c r="U2362" s="8" t="n"/>
      <c r="V2362" s="14" t="n"/>
      <c r="W2362" s="14" t="n"/>
      <c r="X2362" s="7" t="inlineStr"/>
      <c r="Y2362" s="7" t="inlineStr"/>
    </row>
    <row r="2363">
      <c r="A2363" s="7" t="n">
        <v>614791</v>
      </c>
      <c r="B2363" s="12" t="inlineStr">
        <is>
          <t>7896227620069</t>
        </is>
      </c>
      <c r="C2363" s="7" t="inlineStr">
        <is>
          <t>HASTES COTTONBABY COPO 150</t>
        </is>
      </c>
      <c r="D2363" s="7" t="inlineStr">
        <is>
          <t>PERF/COSME</t>
        </is>
      </c>
      <c r="E2363" s="7" t="inlineStr">
        <is>
          <t>B</t>
        </is>
      </c>
      <c r="F2363" s="13" t="n">
        <v>8</v>
      </c>
      <c r="G2363" s="13" t="n">
        <v>8</v>
      </c>
      <c r="H2363" s="8" t="n">
        <v>7.26</v>
      </c>
      <c r="I2363" s="8" t="n">
        <v>7.26</v>
      </c>
      <c r="J2363" s="8" t="n">
        <v>7.260000000000001</v>
      </c>
      <c r="K2363" s="8" t="n"/>
      <c r="L2363" s="8" t="n"/>
      <c r="M2363" s="8" t="n"/>
      <c r="N2363" s="8" t="n"/>
      <c r="O2363" s="8" t="n"/>
      <c r="P2363" s="8" t="n"/>
      <c r="Q2363" s="8" t="n"/>
      <c r="R2363" s="8" t="n"/>
      <c r="S2363" s="8" t="n"/>
      <c r="T2363" s="7" t="inlineStr">
        <is>
          <t>SEM COTAÇÃO</t>
        </is>
      </c>
      <c r="U2363" s="8" t="n"/>
      <c r="V2363" s="14" t="n"/>
      <c r="W2363" s="14" t="n"/>
      <c r="X2363" s="7" t="inlineStr"/>
      <c r="Y2363" s="7" t="inlineStr"/>
    </row>
    <row r="2364">
      <c r="A2364" s="7" t="n">
        <v>648351</v>
      </c>
      <c r="B2364" s="12" t="inlineStr">
        <is>
          <t>7898108640623</t>
        </is>
      </c>
      <c r="C2364" s="7" t="inlineStr">
        <is>
          <t>HASTES FLEX SANCARE 75UN</t>
        </is>
      </c>
      <c r="D2364" s="7" t="inlineStr">
        <is>
          <t>CURATIVO</t>
        </is>
      </c>
      <c r="E2364" s="7" t="inlineStr">
        <is>
          <t>C</t>
        </is>
      </c>
      <c r="F2364" s="13" t="n">
        <v>1</v>
      </c>
      <c r="G2364" s="13" t="n">
        <v>1</v>
      </c>
      <c r="H2364" s="8" t="n">
        <v>1.8442</v>
      </c>
      <c r="I2364" s="8" t="n">
        <v>1.8442</v>
      </c>
      <c r="J2364" s="8" t="n">
        <v>1.8442</v>
      </c>
      <c r="K2364" s="8" t="n">
        <v>1.78</v>
      </c>
      <c r="L2364" s="8" t="n">
        <v>1.95</v>
      </c>
      <c r="M2364" s="8" t="n"/>
      <c r="N2364" s="8" t="n">
        <v>1.82</v>
      </c>
      <c r="O2364" s="8" t="n"/>
      <c r="P2364" s="15" t="n">
        <v>1.767</v>
      </c>
      <c r="Q2364" s="8" t="n"/>
      <c r="R2364" s="8" t="n">
        <v>1.85</v>
      </c>
      <c r="S2364" s="8" t="n"/>
      <c r="T2364" s="7" t="inlineStr">
        <is>
          <t>NAZARIA</t>
        </is>
      </c>
      <c r="U2364" s="8" t="n">
        <v>1.767</v>
      </c>
      <c r="V2364" s="14">
        <f>U2364/J2364-1</f>
        <v/>
      </c>
      <c r="W2364" s="14">
        <f>U2364/H2364-1</f>
        <v/>
      </c>
      <c r="X2364" s="17" t="inlineStr">
        <is>
          <t>OK (≤ menor hist.)</t>
        </is>
      </c>
      <c r="Y2364" s="7" t="inlineStr"/>
    </row>
    <row r="2365">
      <c r="A2365" s="7" t="n">
        <v>620871</v>
      </c>
      <c r="B2365" s="12" t="inlineStr">
        <is>
          <t>7898095297787</t>
        </is>
      </c>
      <c r="C2365" s="7" t="inlineStr">
        <is>
          <t>HASTES FLEXIVEIS BABY CARE GIRL 12X75UN</t>
        </is>
      </c>
      <c r="D2365" s="7" t="inlineStr">
        <is>
          <t>PERF/COSME</t>
        </is>
      </c>
      <c r="E2365" s="7" t="inlineStr">
        <is>
          <t>C</t>
        </is>
      </c>
      <c r="F2365" s="13" t="n">
        <v>1</v>
      </c>
      <c r="G2365" s="13" t="n">
        <v>1</v>
      </c>
      <c r="H2365" s="8" t="n">
        <v>1.85</v>
      </c>
      <c r="I2365" s="8" t="n">
        <v>1.85</v>
      </c>
      <c r="J2365" s="8" t="n">
        <v>1.85</v>
      </c>
      <c r="K2365" s="8" t="n"/>
      <c r="L2365" s="8" t="n"/>
      <c r="M2365" s="8" t="n"/>
      <c r="N2365" s="8" t="n"/>
      <c r="O2365" s="8" t="n"/>
      <c r="P2365" s="8" t="n"/>
      <c r="Q2365" s="8" t="n"/>
      <c r="R2365" s="8" t="n"/>
      <c r="S2365" s="8" t="n"/>
      <c r="T2365" s="7" t="inlineStr">
        <is>
          <t>SEM COTAÇÃO</t>
        </is>
      </c>
      <c r="U2365" s="8" t="n"/>
      <c r="V2365" s="14" t="n"/>
      <c r="W2365" s="14" t="n"/>
      <c r="X2365" s="7" t="inlineStr"/>
      <c r="Y2365" s="7" t="inlineStr"/>
    </row>
    <row r="2366">
      <c r="A2366" s="7" t="n">
        <v>598651</v>
      </c>
      <c r="B2366" s="12" t="inlineStr">
        <is>
          <t>7898095296063</t>
        </is>
      </c>
      <c r="C2366" s="7" t="inlineStr">
        <is>
          <t>HASTES FLEXIVEIS COTTON LINE EMB.PROM. 12X75UN</t>
        </is>
      </c>
      <c r="D2366" s="7" t="inlineStr">
        <is>
          <t>PERF/COSME</t>
        </is>
      </c>
      <c r="E2366" s="7" t="inlineStr">
        <is>
          <t>C</t>
        </is>
      </c>
      <c r="F2366" s="13" t="n">
        <v>2</v>
      </c>
      <c r="G2366" s="13" t="n">
        <v>2</v>
      </c>
      <c r="H2366" s="8" t="n">
        <v>1.94</v>
      </c>
      <c r="I2366" s="8" t="n">
        <v>1.94</v>
      </c>
      <c r="J2366" s="8" t="n">
        <v>1.94</v>
      </c>
      <c r="K2366" s="8" t="n"/>
      <c r="L2366" s="8" t="n"/>
      <c r="M2366" s="8" t="n"/>
      <c r="N2366" s="8" t="n"/>
      <c r="O2366" s="8" t="n"/>
      <c r="P2366" s="8" t="n"/>
      <c r="Q2366" s="8" t="n"/>
      <c r="R2366" s="8" t="n"/>
      <c r="S2366" s="8" t="n"/>
      <c r="T2366" s="7" t="inlineStr">
        <is>
          <t>SEM COTAÇÃO</t>
        </is>
      </c>
      <c r="U2366" s="8" t="n"/>
      <c r="V2366" s="14" t="n"/>
      <c r="W2366" s="14" t="n"/>
      <c r="X2366" s="7" t="inlineStr"/>
      <c r="Y2366" s="7" t="inlineStr"/>
    </row>
    <row r="2367">
      <c r="A2367" s="7" t="n">
        <v>615651</v>
      </c>
      <c r="B2367" s="12" t="inlineStr">
        <is>
          <t>7896104993552</t>
        </is>
      </c>
      <c r="C2367" s="7" t="inlineStr">
        <is>
          <t>HASTES FLEXIVEIS MILI C/75</t>
        </is>
      </c>
      <c r="D2367" s="7" t="inlineStr">
        <is>
          <t>PERF/COSME</t>
        </is>
      </c>
      <c r="E2367" s="7" t="inlineStr">
        <is>
          <t>B</t>
        </is>
      </c>
      <c r="F2367" s="13" t="n">
        <v>3</v>
      </c>
      <c r="G2367" s="13" t="n">
        <v>3</v>
      </c>
      <c r="H2367" s="8" t="n">
        <v>2.05</v>
      </c>
      <c r="I2367" s="8" t="n">
        <v>2.05</v>
      </c>
      <c r="J2367" s="8" t="n">
        <v>2.05</v>
      </c>
      <c r="K2367" s="8" t="n"/>
      <c r="L2367" s="8" t="n"/>
      <c r="M2367" s="8" t="n"/>
      <c r="N2367" s="8" t="n"/>
      <c r="O2367" s="8" t="n"/>
      <c r="P2367" s="8" t="n"/>
      <c r="Q2367" s="8" t="n"/>
      <c r="R2367" s="8" t="n"/>
      <c r="S2367" s="8" t="n"/>
      <c r="T2367" s="7" t="inlineStr">
        <is>
          <t>SEM COTAÇÃO</t>
        </is>
      </c>
      <c r="U2367" s="8" t="n"/>
      <c r="V2367" s="14" t="n"/>
      <c r="W2367" s="14" t="n"/>
      <c r="X2367" s="7" t="inlineStr"/>
      <c r="Y2367" s="7" t="inlineStr"/>
    </row>
    <row r="2368">
      <c r="A2368" s="7" t="n">
        <v>589201</v>
      </c>
      <c r="B2368" s="12" t="inlineStr">
        <is>
          <t>7506309865393</t>
        </is>
      </c>
      <c r="C2368" s="7" t="inlineStr">
        <is>
          <t>HEAD&amp;SHOULD AT-C SH 200ML 3X1</t>
        </is>
      </c>
      <c r="D2368" s="7" t="inlineStr">
        <is>
          <t>PERF/COSME</t>
        </is>
      </c>
      <c r="E2368" s="7" t="inlineStr">
        <is>
          <t>B</t>
        </is>
      </c>
      <c r="F2368" s="13" t="n">
        <v>4</v>
      </c>
      <c r="G2368" s="13" t="n">
        <v>4</v>
      </c>
      <c r="H2368" s="8" t="n">
        <v>14.96</v>
      </c>
      <c r="I2368" s="8" t="n">
        <v>14.96</v>
      </c>
      <c r="J2368" s="8" t="n">
        <v>14.96</v>
      </c>
      <c r="K2368" s="8" t="n"/>
      <c r="L2368" s="8" t="n"/>
      <c r="M2368" s="8" t="n"/>
      <c r="N2368" s="8" t="n"/>
      <c r="O2368" s="8" t="n"/>
      <c r="P2368" s="8" t="n"/>
      <c r="Q2368" s="8" t="n"/>
      <c r="R2368" s="8" t="n"/>
      <c r="S2368" s="8" t="n"/>
      <c r="T2368" s="7" t="inlineStr">
        <is>
          <t>SEM COTAÇÃO</t>
        </is>
      </c>
      <c r="U2368" s="8" t="n"/>
      <c r="V2368" s="14" t="n"/>
      <c r="W2368" s="14" t="n"/>
      <c r="X2368" s="7" t="inlineStr"/>
      <c r="Y2368" s="7" t="inlineStr"/>
    </row>
    <row r="2369">
      <c r="A2369" s="7" t="n">
        <v>589081</v>
      </c>
      <c r="B2369" s="12" t="inlineStr">
        <is>
          <t>7506195142035</t>
        </is>
      </c>
      <c r="C2369" s="7" t="inlineStr">
        <is>
          <t>HEAD&amp;SHOULD AT-C SH 200ML ANTI COCEIR</t>
        </is>
      </c>
      <c r="D2369" s="7" t="inlineStr">
        <is>
          <t>PERF/COSME</t>
        </is>
      </c>
      <c r="E2369" s="7" t="inlineStr">
        <is>
          <t>A</t>
        </is>
      </c>
      <c r="F2369" s="13" t="n">
        <v>2</v>
      </c>
      <c r="G2369" s="13" t="n">
        <v>2</v>
      </c>
      <c r="H2369" s="8" t="n">
        <v>14.96</v>
      </c>
      <c r="I2369" s="8" t="n">
        <v>14.66</v>
      </c>
      <c r="J2369" s="8" t="n">
        <v>14.76</v>
      </c>
      <c r="K2369" s="8" t="n"/>
      <c r="L2369" s="8" t="n"/>
      <c r="M2369" s="8" t="n"/>
      <c r="N2369" s="8" t="n"/>
      <c r="O2369" s="8" t="n"/>
      <c r="P2369" s="8" t="n"/>
      <c r="Q2369" s="8" t="n"/>
      <c r="R2369" s="8" t="n"/>
      <c r="S2369" s="8" t="n"/>
      <c r="T2369" s="7" t="inlineStr">
        <is>
          <t>SEM COTAÇÃO</t>
        </is>
      </c>
      <c r="U2369" s="8" t="n"/>
      <c r="V2369" s="14" t="n"/>
      <c r="W2369" s="14" t="n"/>
      <c r="X2369" s="7" t="inlineStr"/>
      <c r="Y2369" s="7" t="inlineStr"/>
    </row>
    <row r="2370">
      <c r="A2370" s="7" t="n">
        <v>589101</v>
      </c>
      <c r="B2370" s="12" t="inlineStr">
        <is>
          <t>7501006707687</t>
        </is>
      </c>
      <c r="C2370" s="7" t="inlineStr">
        <is>
          <t>HEAD&amp;SHOULD AT-C SH 200ML PREVE QUEDA</t>
        </is>
      </c>
      <c r="D2370" s="7" t="inlineStr">
        <is>
          <t>PERF/COSME</t>
        </is>
      </c>
      <c r="E2370" s="7" t="inlineStr">
        <is>
          <t>B</t>
        </is>
      </c>
      <c r="F2370" s="13" t="n">
        <v>2</v>
      </c>
      <c r="G2370" s="13" t="n">
        <v>2</v>
      </c>
      <c r="H2370" s="8" t="n">
        <v>14.66</v>
      </c>
      <c r="I2370" s="8" t="n">
        <v>14.66</v>
      </c>
      <c r="J2370" s="8" t="n">
        <v>14.66</v>
      </c>
      <c r="K2370" s="8" t="n"/>
      <c r="L2370" s="8" t="n"/>
      <c r="M2370" s="8" t="n"/>
      <c r="N2370" s="8" t="n"/>
      <c r="O2370" s="8" t="n"/>
      <c r="P2370" s="8" t="n"/>
      <c r="Q2370" s="8" t="n"/>
      <c r="R2370" s="8" t="n"/>
      <c r="S2370" s="8" t="n"/>
      <c r="T2370" s="7" t="inlineStr">
        <is>
          <t>SEM COTAÇÃO</t>
        </is>
      </c>
      <c r="U2370" s="8" t="n"/>
      <c r="V2370" s="14" t="n"/>
      <c r="W2370" s="14" t="n"/>
      <c r="X2370" s="7" t="inlineStr"/>
      <c r="Y2370" s="7" t="inlineStr"/>
    </row>
    <row r="2371">
      <c r="A2371" s="7" t="n">
        <v>506201</v>
      </c>
      <c r="B2371" s="12" t="inlineStr"/>
      <c r="C2371" s="7" t="inlineStr">
        <is>
          <t>HEDERA 7,0MG/ML SOL OR FR 100ML</t>
        </is>
      </c>
      <c r="D2371" s="7" t="inlineStr">
        <is>
          <t>GENERICO</t>
        </is>
      </c>
      <c r="E2371" s="7" t="inlineStr">
        <is>
          <t>A</t>
        </is>
      </c>
      <c r="F2371" s="13" t="n">
        <v>10</v>
      </c>
      <c r="G2371" s="13" t="n">
        <v>10</v>
      </c>
      <c r="H2371" s="8" t="n">
        <v>5.99</v>
      </c>
      <c r="I2371" s="8" t="n">
        <v>5.99</v>
      </c>
      <c r="J2371" s="8" t="n">
        <v>5.989999999999999</v>
      </c>
      <c r="K2371" s="8" t="n"/>
      <c r="L2371" s="8" t="n"/>
      <c r="M2371" s="8" t="n"/>
      <c r="N2371" s="8" t="n"/>
      <c r="O2371" s="8" t="n"/>
      <c r="P2371" s="8" t="n"/>
      <c r="Q2371" s="8" t="n"/>
      <c r="R2371" s="8" t="n"/>
      <c r="S2371" s="8" t="n"/>
      <c r="T2371" s="7" t="inlineStr">
        <is>
          <t>SEM COTAÇÃO</t>
        </is>
      </c>
      <c r="U2371" s="8" t="n"/>
      <c r="V2371" s="14" t="n"/>
      <c r="W2371" s="14" t="n"/>
      <c r="X2371" s="7" t="inlineStr"/>
      <c r="Y2371" s="7" t="inlineStr"/>
    </row>
    <row r="2372">
      <c r="A2372" s="7" t="n">
        <v>553901</v>
      </c>
      <c r="B2372" s="12" t="inlineStr">
        <is>
          <t>7896004780481</t>
        </is>
      </c>
      <c r="C2372" s="7" t="inlineStr">
        <is>
          <t>HEDRA EXPEC 7MG/ML SOL ORAL FR 100ML</t>
        </is>
      </c>
      <c r="D2372" s="7" t="inlineStr">
        <is>
          <t>SIMILAR</t>
        </is>
      </c>
      <c r="E2372" s="7" t="inlineStr">
        <is>
          <t>B</t>
        </is>
      </c>
      <c r="F2372" s="13" t="n">
        <v>11</v>
      </c>
      <c r="G2372" s="13" t="n">
        <v>11</v>
      </c>
      <c r="H2372" s="8" t="n">
        <v>13.0325</v>
      </c>
      <c r="I2372" s="8" t="n">
        <v>11.95</v>
      </c>
      <c r="J2372" s="8" t="n">
        <v>12.67166666666667</v>
      </c>
      <c r="K2372" s="8" t="n"/>
      <c r="L2372" s="8" t="n"/>
      <c r="M2372" s="8" t="n"/>
      <c r="N2372" s="8" t="n">
        <v>14.51</v>
      </c>
      <c r="O2372" s="8" t="n">
        <v>13.51</v>
      </c>
      <c r="P2372" s="8" t="n">
        <v>24.41</v>
      </c>
      <c r="Q2372" s="15" t="n">
        <v>13.24</v>
      </c>
      <c r="R2372" s="8" t="n"/>
      <c r="S2372" s="8" t="n"/>
      <c r="T2372" s="7" t="inlineStr">
        <is>
          <t>MEDCENTRO</t>
        </is>
      </c>
      <c r="U2372" s="8" t="n">
        <v>13.24</v>
      </c>
      <c r="V2372" s="14">
        <f>U2372/J2372-1</f>
        <v/>
      </c>
      <c r="W2372" s="14">
        <f>U2372/H2372-1</f>
        <v/>
      </c>
      <c r="X2372" s="16" t="inlineStr">
        <is>
          <t>ACIMA +1.6%</t>
        </is>
      </c>
      <c r="Y2372" s="7" t="inlineStr"/>
    </row>
    <row r="2373">
      <c r="A2373" s="7" t="n">
        <v>275481</v>
      </c>
      <c r="B2373" s="12" t="inlineStr"/>
      <c r="C2373" s="7" t="inlineStr">
        <is>
          <t>HEMIFUMARATO DE BISOPROLOL 1,25MG CX 30 COMP REV</t>
        </is>
      </c>
      <c r="D2373" s="7" t="inlineStr">
        <is>
          <t>GENERICO</t>
        </is>
      </c>
      <c r="E2373" s="7" t="inlineStr">
        <is>
          <t>B</t>
        </is>
      </c>
      <c r="F2373" s="13" t="n">
        <v>1</v>
      </c>
      <c r="G2373" s="13" t="n">
        <v>1</v>
      </c>
      <c r="H2373" s="8" t="n">
        <v>17.3842</v>
      </c>
      <c r="I2373" s="8" t="n">
        <v>17.3842</v>
      </c>
      <c r="J2373" s="8" t="n">
        <v>17.3842</v>
      </c>
      <c r="K2373" s="8" t="n"/>
      <c r="L2373" s="8" t="n"/>
      <c r="M2373" s="8" t="n"/>
      <c r="N2373" s="8" t="n"/>
      <c r="O2373" s="8" t="n"/>
      <c r="P2373" s="8" t="n"/>
      <c r="Q2373" s="8" t="n"/>
      <c r="R2373" s="8" t="n"/>
      <c r="S2373" s="8" t="n"/>
      <c r="T2373" s="7" t="inlineStr">
        <is>
          <t>SEM COTAÇÃO</t>
        </is>
      </c>
      <c r="U2373" s="8" t="n"/>
      <c r="V2373" s="14" t="n"/>
      <c r="W2373" s="14" t="n"/>
      <c r="X2373" s="7" t="inlineStr"/>
      <c r="Y2373" s="7" t="inlineStr"/>
    </row>
    <row r="2374">
      <c r="A2374" s="7" t="n">
        <v>276061</v>
      </c>
      <c r="B2374" s="12" t="inlineStr">
        <is>
          <t>8902220114128</t>
        </is>
      </c>
      <c r="C2374" s="7" t="inlineStr">
        <is>
          <t>HEMIFUMARATO DE BISOPROLOL 1,25MG CX 30 COMP REV</t>
        </is>
      </c>
      <c r="D2374" s="7" t="inlineStr">
        <is>
          <t>GENERICO</t>
        </is>
      </c>
      <c r="E2374" s="7" t="inlineStr">
        <is>
          <t>B</t>
        </is>
      </c>
      <c r="F2374" s="13" t="n">
        <v>2</v>
      </c>
      <c r="G2374" s="13" t="n">
        <v>2</v>
      </c>
      <c r="H2374" s="8" t="n">
        <v>19.81</v>
      </c>
      <c r="I2374" s="8" t="n">
        <v>19.81</v>
      </c>
      <c r="J2374" s="8" t="n">
        <v>19.81</v>
      </c>
      <c r="K2374" s="8" t="n"/>
      <c r="L2374" s="8" t="n"/>
      <c r="M2374" s="8" t="n"/>
      <c r="N2374" s="15" t="n">
        <v>11.81</v>
      </c>
      <c r="O2374" s="8" t="n"/>
      <c r="P2374" s="8" t="n">
        <v>36.55</v>
      </c>
      <c r="Q2374" s="8" t="n"/>
      <c r="R2374" s="8" t="n"/>
      <c r="S2374" s="8" t="n"/>
      <c r="T2374" s="7" t="inlineStr">
        <is>
          <t>CENTROFARMA</t>
        </is>
      </c>
      <c r="U2374" s="8" t="n">
        <v>11.81</v>
      </c>
      <c r="V2374" s="14">
        <f>U2374/J2374-1</f>
        <v/>
      </c>
      <c r="W2374" s="14">
        <f>U2374/H2374-1</f>
        <v/>
      </c>
      <c r="X2374" s="17" t="inlineStr">
        <is>
          <t>OK (≤ menor hist.)</t>
        </is>
      </c>
      <c r="Y2374" s="7" t="inlineStr">
        <is>
          <t>NAZARIA: sem estoque</t>
        </is>
      </c>
    </row>
    <row r="2375">
      <c r="A2375" s="7" t="n">
        <v>275521</v>
      </c>
      <c r="B2375" s="12" t="inlineStr">
        <is>
          <t>7891721027017</t>
        </is>
      </c>
      <c r="C2375" s="7" t="inlineStr">
        <is>
          <t>HEMIFUMARATO DE BISOPROLOL 10MG CX 30 COMP REV</t>
        </is>
      </c>
      <c r="D2375" s="7" t="inlineStr">
        <is>
          <t>GENERICO</t>
        </is>
      </c>
      <c r="E2375" s="7" t="inlineStr">
        <is>
          <t>B</t>
        </is>
      </c>
      <c r="F2375" s="13" t="n">
        <v>1</v>
      </c>
      <c r="G2375" s="13" t="n">
        <v>1</v>
      </c>
      <c r="H2375" s="8" t="n">
        <v>27.72</v>
      </c>
      <c r="I2375" s="8" t="n">
        <v>27.72</v>
      </c>
      <c r="J2375" s="8" t="n">
        <v>27.72</v>
      </c>
      <c r="K2375" s="8" t="n"/>
      <c r="L2375" s="8" t="n"/>
      <c r="M2375" s="8" t="n"/>
      <c r="N2375" s="8" t="n"/>
      <c r="O2375" s="8" t="n"/>
      <c r="P2375" s="15" t="n">
        <v>55.44</v>
      </c>
      <c r="Q2375" s="8" t="n"/>
      <c r="R2375" s="8" t="n"/>
      <c r="S2375" s="8" t="n"/>
      <c r="T2375" s="7" t="inlineStr">
        <is>
          <t>NAZARIA</t>
        </is>
      </c>
      <c r="U2375" s="8" t="n">
        <v>55.44</v>
      </c>
      <c r="V2375" s="14">
        <f>U2375/J2375-1</f>
        <v/>
      </c>
      <c r="W2375" s="14">
        <f>U2375/H2375-1</f>
        <v/>
      </c>
      <c r="X2375" s="16" t="inlineStr">
        <is>
          <t>ACIMA +100.0%</t>
        </is>
      </c>
      <c r="Y2375" s="7" t="inlineStr"/>
    </row>
    <row r="2376">
      <c r="A2376" s="7" t="n">
        <v>276041</v>
      </c>
      <c r="B2376" s="12" t="inlineStr">
        <is>
          <t>8902220114203</t>
        </is>
      </c>
      <c r="C2376" s="7" t="inlineStr">
        <is>
          <t>HEMIFUMARATO DE BISOPROLOL 10MG CX 30 COMP REV</t>
        </is>
      </c>
      <c r="D2376" s="7" t="inlineStr">
        <is>
          <t>GENERICO</t>
        </is>
      </c>
      <c r="E2376" s="7" t="inlineStr">
        <is>
          <t>C</t>
        </is>
      </c>
      <c r="F2376" s="13" t="n">
        <v>1</v>
      </c>
      <c r="G2376" s="13" t="n">
        <v>1</v>
      </c>
      <c r="H2376" s="8" t="n">
        <v>9.6</v>
      </c>
      <c r="I2376" s="8" t="n">
        <v>9.6</v>
      </c>
      <c r="J2376" s="8" t="n">
        <v>9.6</v>
      </c>
      <c r="K2376" s="8" t="n"/>
      <c r="L2376" s="8" t="n"/>
      <c r="M2376" s="8" t="n"/>
      <c r="N2376" s="8" t="n"/>
      <c r="O2376" s="8" t="n"/>
      <c r="P2376" s="8" t="n">
        <v>58.39</v>
      </c>
      <c r="Q2376" s="15" t="n">
        <v>31.45</v>
      </c>
      <c r="R2376" s="8" t="n"/>
      <c r="S2376" s="8" t="n"/>
      <c r="T2376" s="7" t="inlineStr">
        <is>
          <t>MEDCENTRO</t>
        </is>
      </c>
      <c r="U2376" s="8" t="n">
        <v>31.45</v>
      </c>
      <c r="V2376" s="14">
        <f>U2376/J2376-1</f>
        <v/>
      </c>
      <c r="W2376" s="14">
        <f>U2376/H2376-1</f>
        <v/>
      </c>
      <c r="X2376" s="16" t="inlineStr">
        <is>
          <t>ACIMA +227.6%</t>
        </is>
      </c>
      <c r="Y2376" s="7" t="inlineStr">
        <is>
          <t>NAZARIA: conferir emb.; MEDCENTRO: conferir emb.</t>
        </is>
      </c>
    </row>
    <row r="2377">
      <c r="A2377" s="7" t="n">
        <v>276001</v>
      </c>
      <c r="B2377" s="12" t="inlineStr">
        <is>
          <t>8902220114166</t>
        </is>
      </c>
      <c r="C2377" s="7" t="inlineStr">
        <is>
          <t>HEMIFUMARATO DE BISOPROLOL 2,5MG CX 30 COMP REV</t>
        </is>
      </c>
      <c r="D2377" s="7" t="inlineStr">
        <is>
          <t>GENERICO</t>
        </is>
      </c>
      <c r="E2377" s="7" t="inlineStr">
        <is>
          <t>C</t>
        </is>
      </c>
      <c r="F2377" s="13" t="n">
        <v>1</v>
      </c>
      <c r="G2377" s="13" t="n">
        <v>1</v>
      </c>
      <c r="H2377" s="8" t="n">
        <v>6.92</v>
      </c>
      <c r="I2377" s="8" t="n">
        <v>6.92</v>
      </c>
      <c r="J2377" s="8" t="n">
        <v>6.919999999999999</v>
      </c>
      <c r="K2377" s="8" t="n"/>
      <c r="L2377" s="8" t="n"/>
      <c r="M2377" s="8" t="n"/>
      <c r="N2377" s="15" t="n">
        <v>7.29</v>
      </c>
      <c r="O2377" s="8" t="n"/>
      <c r="P2377" s="8" t="n">
        <v>42.1</v>
      </c>
      <c r="Q2377" s="8" t="n">
        <v>9.98</v>
      </c>
      <c r="R2377" s="8" t="n"/>
      <c r="S2377" s="8" t="n"/>
      <c r="T2377" s="7" t="inlineStr">
        <is>
          <t>CENTROFARMA</t>
        </is>
      </c>
      <c r="U2377" s="8" t="n">
        <v>7.29</v>
      </c>
      <c r="V2377" s="14">
        <f>U2377/J2377-1</f>
        <v/>
      </c>
      <c r="W2377" s="14">
        <f>U2377/H2377-1</f>
        <v/>
      </c>
      <c r="X2377" s="16" t="inlineStr">
        <is>
          <t>ACIMA +5.3%</t>
        </is>
      </c>
      <c r="Y2377" s="7" t="inlineStr">
        <is>
          <t>NAZARIA: conferir emb.</t>
        </is>
      </c>
    </row>
    <row r="2378">
      <c r="A2378" s="7" t="n">
        <v>275641</v>
      </c>
      <c r="B2378" s="12" t="inlineStr">
        <is>
          <t>7896422522670</t>
        </is>
      </c>
      <c r="C2378" s="7" t="inlineStr">
        <is>
          <t>HEMIFUMARATO DE BISOPROLOL 5MG CX 30 COMP REV</t>
        </is>
      </c>
      <c r="D2378" s="7" t="inlineStr">
        <is>
          <t>GENERICO</t>
        </is>
      </c>
      <c r="E2378" s="7" t="inlineStr">
        <is>
          <t>C</t>
        </is>
      </c>
      <c r="F2378" s="13" t="n">
        <v>1</v>
      </c>
      <c r="G2378" s="13" t="n">
        <v>1</v>
      </c>
      <c r="H2378" s="8" t="n">
        <v>24.6867</v>
      </c>
      <c r="I2378" s="8" t="n">
        <v>19.7317</v>
      </c>
      <c r="J2378" s="8" t="n">
        <v>23.03503333333333</v>
      </c>
      <c r="K2378" s="8" t="n"/>
      <c r="L2378" s="8" t="n"/>
      <c r="M2378" s="8" t="n"/>
      <c r="N2378" s="8" t="n"/>
      <c r="O2378" s="8" t="n"/>
      <c r="P2378" s="15" t="n">
        <v>46.942124</v>
      </c>
      <c r="Q2378" s="8" t="n"/>
      <c r="R2378" s="8" t="n"/>
      <c r="S2378" s="8" t="n"/>
      <c r="T2378" s="7" t="inlineStr">
        <is>
          <t>NAZARIA</t>
        </is>
      </c>
      <c r="U2378" s="8" t="n">
        <v>46.942124</v>
      </c>
      <c r="V2378" s="14">
        <f>U2378/J2378-1</f>
        <v/>
      </c>
      <c r="W2378" s="14">
        <f>U2378/H2378-1</f>
        <v/>
      </c>
      <c r="X2378" s="16" t="inlineStr">
        <is>
          <t>ACIMA +90.2%</t>
        </is>
      </c>
      <c r="Y2378" s="7" t="inlineStr"/>
    </row>
    <row r="2379">
      <c r="A2379" s="7" t="n">
        <v>649691</v>
      </c>
      <c r="B2379" s="12" t="inlineStr">
        <is>
          <t>7908324406689</t>
        </is>
      </c>
      <c r="C2379" s="7" t="inlineStr">
        <is>
          <t>HID DEO FRANCIS 200ML ALGODAO AZUL</t>
        </is>
      </c>
      <c r="D2379" s="7" t="inlineStr">
        <is>
          <t>PERF/COSME</t>
        </is>
      </c>
      <c r="E2379" s="7" t="inlineStr">
        <is>
          <t>B</t>
        </is>
      </c>
      <c r="F2379" s="13" t="n">
        <v>1</v>
      </c>
      <c r="G2379" s="13" t="n">
        <v>1</v>
      </c>
      <c r="H2379" s="8" t="n">
        <v>11.5</v>
      </c>
      <c r="I2379" s="8" t="n">
        <v>11.5</v>
      </c>
      <c r="J2379" s="8" t="n">
        <v>11.5</v>
      </c>
      <c r="K2379" s="8" t="n"/>
      <c r="L2379" s="8" t="n"/>
      <c r="M2379" s="8" t="n"/>
      <c r="N2379" s="8" t="n"/>
      <c r="O2379" s="8" t="n"/>
      <c r="P2379" s="8" t="n"/>
      <c r="Q2379" s="8" t="n"/>
      <c r="R2379" s="8" t="n"/>
      <c r="S2379" s="8" t="n"/>
      <c r="T2379" s="7" t="inlineStr">
        <is>
          <t>SEM COTAÇÃO</t>
        </is>
      </c>
      <c r="U2379" s="8" t="n"/>
      <c r="V2379" s="14" t="n"/>
      <c r="W2379" s="14" t="n"/>
      <c r="X2379" s="7" t="inlineStr"/>
      <c r="Y2379" s="7" t="inlineStr"/>
    </row>
    <row r="2380">
      <c r="A2380" s="7" t="n">
        <v>598351</v>
      </c>
      <c r="B2380" s="12" t="inlineStr">
        <is>
          <t>7896512944443</t>
        </is>
      </c>
      <c r="C2380" s="7" t="inlineStr">
        <is>
          <t>HID INF GRANADO BEBE 120ML LAVANDA</t>
        </is>
      </c>
      <c r="D2380" s="7" t="inlineStr">
        <is>
          <t>BABY/KIDS</t>
        </is>
      </c>
      <c r="E2380" s="7" t="inlineStr">
        <is>
          <t>C</t>
        </is>
      </c>
      <c r="F2380" s="13" t="n">
        <v>1</v>
      </c>
      <c r="G2380" s="13" t="n">
        <v>1</v>
      </c>
      <c r="H2380" s="8" t="n">
        <v>21.65</v>
      </c>
      <c r="I2380" s="8" t="n">
        <v>21.65</v>
      </c>
      <c r="J2380" s="8" t="n">
        <v>21.65</v>
      </c>
      <c r="K2380" s="8" t="n"/>
      <c r="L2380" s="8" t="n"/>
      <c r="M2380" s="8" t="n"/>
      <c r="N2380" s="8" t="n"/>
      <c r="O2380" s="8" t="n"/>
      <c r="P2380" s="15" t="n">
        <v>21.32</v>
      </c>
      <c r="Q2380" s="8" t="n"/>
      <c r="R2380" s="8" t="n"/>
      <c r="S2380" s="8" t="n"/>
      <c r="T2380" s="7" t="inlineStr">
        <is>
          <t>NAZARIA</t>
        </is>
      </c>
      <c r="U2380" s="8" t="n">
        <v>21.32</v>
      </c>
      <c r="V2380" s="14">
        <f>U2380/J2380-1</f>
        <v/>
      </c>
      <c r="W2380" s="14">
        <f>U2380/H2380-1</f>
        <v/>
      </c>
      <c r="X2380" s="17" t="inlineStr">
        <is>
          <t>OK (≤ menor hist.)</t>
        </is>
      </c>
      <c r="Y2380" s="7" t="inlineStr"/>
    </row>
    <row r="2381">
      <c r="A2381" s="7" t="n">
        <v>598281</v>
      </c>
      <c r="B2381" s="12" t="inlineStr">
        <is>
          <t>7898085943847</t>
        </is>
      </c>
      <c r="C2381" s="7" t="inlineStr">
        <is>
          <t>HID LEITE AVEIA DAV 180ML INTENSA</t>
        </is>
      </c>
      <c r="D2381" s="7" t="inlineStr">
        <is>
          <t>PERF/COSME</t>
        </is>
      </c>
      <c r="E2381" s="7" t="inlineStr">
        <is>
          <t>C</t>
        </is>
      </c>
      <c r="F2381" s="13" t="n">
        <v>1</v>
      </c>
      <c r="G2381" s="13" t="n">
        <v>1</v>
      </c>
      <c r="H2381" s="8" t="n">
        <v>8.49</v>
      </c>
      <c r="I2381" s="8" t="n">
        <v>8.49</v>
      </c>
      <c r="J2381" s="8" t="n">
        <v>8.49</v>
      </c>
      <c r="K2381" s="8" t="n"/>
      <c r="L2381" s="8" t="n"/>
      <c r="M2381" s="8" t="n"/>
      <c r="N2381" s="8" t="n"/>
      <c r="O2381" s="8" t="n"/>
      <c r="P2381" s="8" t="n"/>
      <c r="Q2381" s="8" t="n"/>
      <c r="R2381" s="8" t="n"/>
      <c r="S2381" s="8" t="n"/>
      <c r="T2381" s="7" t="inlineStr">
        <is>
          <t>SEM COTAÇÃO</t>
        </is>
      </c>
      <c r="U2381" s="8" t="n"/>
      <c r="V2381" s="14" t="n"/>
      <c r="W2381" s="14" t="n"/>
      <c r="X2381" s="7" t="inlineStr"/>
      <c r="Y2381" s="7" t="inlineStr"/>
    </row>
    <row r="2382">
      <c r="A2382" s="7" t="n">
        <v>2493</v>
      </c>
      <c r="B2382" s="12" t="inlineStr">
        <is>
          <t>7908324405378</t>
        </is>
      </c>
      <c r="C2382" s="7" t="inlineStr">
        <is>
          <t>HID LOCAO HYDRATTA 200ML HIDRAT PROFUNDA</t>
        </is>
      </c>
      <c r="D2382" s="7" t="inlineStr">
        <is>
          <t>PERF/COSME</t>
        </is>
      </c>
      <c r="E2382" s="7" t="inlineStr">
        <is>
          <t>C</t>
        </is>
      </c>
      <c r="F2382" s="13" t="n">
        <v>1</v>
      </c>
      <c r="G2382" s="13" t="n">
        <v>1</v>
      </c>
      <c r="H2382" s="8" t="n">
        <v>8.470000000000001</v>
      </c>
      <c r="I2382" s="8" t="n">
        <v>8.470000000000001</v>
      </c>
      <c r="J2382" s="8" t="n">
        <v>8.470000000000001</v>
      </c>
      <c r="K2382" s="8" t="n"/>
      <c r="L2382" s="8" t="n"/>
      <c r="M2382" s="8" t="n"/>
      <c r="N2382" s="8" t="n"/>
      <c r="O2382" s="8" t="n"/>
      <c r="P2382" s="8" t="n"/>
      <c r="Q2382" s="8" t="n"/>
      <c r="R2382" s="8" t="n"/>
      <c r="S2382" s="8" t="n"/>
      <c r="T2382" s="7" t="inlineStr">
        <is>
          <t>SEM COTAÇÃO</t>
        </is>
      </c>
      <c r="U2382" s="8" t="n"/>
      <c r="V2382" s="14" t="n"/>
      <c r="W2382" s="14" t="n"/>
      <c r="X2382" s="7" t="inlineStr"/>
      <c r="Y2382" s="7" t="inlineStr"/>
    </row>
    <row r="2383">
      <c r="A2383" s="7" t="n">
        <v>605151</v>
      </c>
      <c r="B2383" s="12" t="inlineStr">
        <is>
          <t>7896235354055</t>
        </is>
      </c>
      <c r="C2383" s="7" t="inlineStr">
        <is>
          <t>HID PAIXAO 200ML FRAMBOESA NEGRA</t>
        </is>
      </c>
      <c r="D2383" s="7" t="inlineStr">
        <is>
          <t>PERF/COSME</t>
        </is>
      </c>
      <c r="E2383" s="7" t="inlineStr">
        <is>
          <t>A</t>
        </is>
      </c>
      <c r="F2383" s="13" t="n">
        <v>4</v>
      </c>
      <c r="G2383" s="13" t="n">
        <v>4</v>
      </c>
      <c r="H2383" s="8" t="n">
        <v>8.17</v>
      </c>
      <c r="I2383" s="8" t="n">
        <v>7.58</v>
      </c>
      <c r="J2383" s="8" t="n">
        <v>7.973333333333334</v>
      </c>
      <c r="K2383" s="8" t="n"/>
      <c r="L2383" s="8" t="n"/>
      <c r="M2383" s="8" t="n"/>
      <c r="N2383" s="8" t="n"/>
      <c r="O2383" s="8" t="n"/>
      <c r="P2383" s="8" t="n"/>
      <c r="Q2383" s="8" t="n"/>
      <c r="R2383" s="8" t="n"/>
      <c r="S2383" s="8" t="n"/>
      <c r="T2383" s="7" t="inlineStr">
        <is>
          <t>SEM COTAÇÃO</t>
        </is>
      </c>
      <c r="U2383" s="8" t="n"/>
      <c r="V2383" s="14" t="n"/>
      <c r="W2383" s="14" t="n"/>
      <c r="X2383" s="7" t="inlineStr"/>
      <c r="Y2383" s="7" t="inlineStr"/>
    </row>
    <row r="2384">
      <c r="A2384" s="7" t="n">
        <v>2083</v>
      </c>
      <c r="B2384" s="12" t="inlineStr">
        <is>
          <t>7897230303604</t>
        </is>
      </c>
      <c r="C2384" s="7" t="inlineStr">
        <is>
          <t>HIDRABENE BASE STICK ESCURA FPS 50 - 12 G</t>
        </is>
      </c>
      <c r="D2384" s="7" t="inlineStr">
        <is>
          <t>DERMOCOSMETICOS/COSMETICOS</t>
        </is>
      </c>
      <c r="E2384" s="7" t="inlineStr">
        <is>
          <t>C</t>
        </is>
      </c>
      <c r="F2384" s="13" t="n">
        <v>1</v>
      </c>
      <c r="G2384" s="13" t="n">
        <v>1</v>
      </c>
      <c r="H2384" s="8" t="n">
        <v>55</v>
      </c>
      <c r="I2384" s="8" t="n">
        <v>55</v>
      </c>
      <c r="J2384" s="8" t="n">
        <v>55</v>
      </c>
      <c r="K2384" s="8" t="n"/>
      <c r="L2384" s="8" t="n"/>
      <c r="M2384" s="8" t="n"/>
      <c r="N2384" s="8" t="n"/>
      <c r="O2384" s="8" t="n"/>
      <c r="P2384" s="8" t="n"/>
      <c r="Q2384" s="8" t="n"/>
      <c r="R2384" s="8" t="n"/>
      <c r="S2384" s="8" t="n"/>
      <c r="T2384" s="7" t="inlineStr">
        <is>
          <t>SEM COTAÇÃO</t>
        </is>
      </c>
      <c r="U2384" s="8" t="n"/>
      <c r="V2384" s="14" t="n"/>
      <c r="W2384" s="14" t="n"/>
      <c r="X2384" s="7" t="inlineStr"/>
      <c r="Y2384" s="7" t="inlineStr"/>
    </row>
    <row r="2385">
      <c r="A2385" s="7" t="n">
        <v>675721</v>
      </c>
      <c r="B2385" s="12" t="inlineStr">
        <is>
          <t>7897230306858</t>
        </is>
      </c>
      <c r="C2385" s="7" t="inlineStr">
        <is>
          <t>HIDRABENE BASE STICK MEDIA 4.0 - FPS 50 - 15 G  ITEM BONIFICADO</t>
        </is>
      </c>
      <c r="D2385" s="7" t="inlineStr">
        <is>
          <t>PERF/COSME</t>
        </is>
      </c>
      <c r="E2385" s="7" t="inlineStr">
        <is>
          <t>B</t>
        </is>
      </c>
      <c r="F2385" s="13" t="n">
        <v>1</v>
      </c>
      <c r="G2385" s="13" t="n">
        <v>1</v>
      </c>
      <c r="H2385" s="8" t="n"/>
      <c r="I2385" s="8" t="n"/>
      <c r="J2385" s="8" t="n"/>
      <c r="K2385" s="8" t="n"/>
      <c r="L2385" s="8" t="n"/>
      <c r="M2385" s="8" t="n"/>
      <c r="N2385" s="8" t="n"/>
      <c r="O2385" s="8" t="n"/>
      <c r="P2385" s="8" t="n"/>
      <c r="Q2385" s="8" t="n"/>
      <c r="R2385" s="8" t="n"/>
      <c r="S2385" s="8" t="n"/>
      <c r="T2385" s="7" t="inlineStr">
        <is>
          <t>SEM COTAÇÃO</t>
        </is>
      </c>
      <c r="U2385" s="8" t="n"/>
      <c r="V2385" s="14" t="n"/>
      <c r="W2385" s="14" t="n"/>
      <c r="X2385" s="7" t="inlineStr"/>
      <c r="Y2385" s="7" t="inlineStr"/>
    </row>
    <row r="2386">
      <c r="A2386" s="7" t="n">
        <v>2073</v>
      </c>
      <c r="B2386" s="12" t="inlineStr">
        <is>
          <t>7897230303482</t>
        </is>
      </c>
      <c r="C2386" s="7" t="inlineStr">
        <is>
          <t>HIDRABENE BASE STICK MEDIA FPS 50 - 12 G</t>
        </is>
      </c>
      <c r="D2386" s="7" t="inlineStr">
        <is>
          <t>DERMOCOSMETICOS/COSMETICOS</t>
        </is>
      </c>
      <c r="E2386" s="7" t="inlineStr">
        <is>
          <t>C</t>
        </is>
      </c>
      <c r="F2386" s="13" t="n">
        <v>1</v>
      </c>
      <c r="G2386" s="13" t="n">
        <v>1</v>
      </c>
      <c r="H2386" s="8" t="n">
        <v>67.94</v>
      </c>
      <c r="I2386" s="8" t="n">
        <v>67.94</v>
      </c>
      <c r="J2386" s="8" t="n">
        <v>67.94</v>
      </c>
      <c r="K2386" s="8" t="n"/>
      <c r="L2386" s="8" t="n"/>
      <c r="M2386" s="8" t="n"/>
      <c r="N2386" s="8" t="n"/>
      <c r="O2386" s="8" t="n"/>
      <c r="P2386" s="8" t="n"/>
      <c r="Q2386" s="8" t="n"/>
      <c r="R2386" s="8" t="n"/>
      <c r="S2386" s="8" t="n"/>
      <c r="T2386" s="7" t="inlineStr">
        <is>
          <t>SEM COTAÇÃO</t>
        </is>
      </c>
      <c r="U2386" s="8" t="n"/>
      <c r="V2386" s="14" t="n"/>
      <c r="W2386" s="14" t="n"/>
      <c r="X2386" s="7" t="inlineStr"/>
      <c r="Y2386" s="7" t="inlineStr"/>
    </row>
    <row r="2387">
      <c r="A2387" s="7" t="n">
        <v>675671</v>
      </c>
      <c r="B2387" s="12" t="inlineStr">
        <is>
          <t>7897230306872</t>
        </is>
      </c>
      <c r="C2387" s="7" t="inlineStr">
        <is>
          <t>HIDRABENE DESODORANTE COLONIA BODY SPLASH - CHARM WAY - 200 ML</t>
        </is>
      </c>
      <c r="D2387" s="7" t="inlineStr">
        <is>
          <t>PERF/COSME</t>
        </is>
      </c>
      <c r="E2387" s="7" t="inlineStr">
        <is>
          <t>C</t>
        </is>
      </c>
      <c r="F2387" s="13" t="n">
        <v>1</v>
      </c>
      <c r="G2387" s="13" t="n">
        <v>1</v>
      </c>
      <c r="H2387" s="8" t="n">
        <v>22.55</v>
      </c>
      <c r="I2387" s="8" t="n">
        <v>22.55</v>
      </c>
      <c r="J2387" s="8" t="n">
        <v>22.55</v>
      </c>
      <c r="K2387" s="8" t="n"/>
      <c r="L2387" s="8" t="n"/>
      <c r="M2387" s="8" t="n"/>
      <c r="N2387" s="8" t="n"/>
      <c r="O2387" s="8" t="n"/>
      <c r="P2387" s="8" t="n"/>
      <c r="Q2387" s="8" t="n"/>
      <c r="R2387" s="8" t="n"/>
      <c r="S2387" s="8" t="n"/>
      <c r="T2387" s="7" t="inlineStr">
        <is>
          <t>SEM COTAÇÃO</t>
        </is>
      </c>
      <c r="U2387" s="8" t="n"/>
      <c r="V2387" s="14" t="n"/>
      <c r="W2387" s="14" t="n"/>
      <c r="X2387" s="7" t="inlineStr"/>
      <c r="Y2387" s="7" t="inlineStr"/>
    </row>
    <row r="2388">
      <c r="A2388" s="7" t="n">
        <v>675691</v>
      </c>
      <c r="B2388" s="12" t="inlineStr">
        <is>
          <t>7897230306896</t>
        </is>
      </c>
      <c r="C2388" s="7" t="inlineStr">
        <is>
          <t>HIDRABENE DESODORANTE COLONIA BODY SPLASH - ICONIC FAME - 200 ML</t>
        </is>
      </c>
      <c r="D2388" s="7" t="inlineStr">
        <is>
          <t>PERF/COSME</t>
        </is>
      </c>
      <c r="E2388" s="7" t="inlineStr">
        <is>
          <t>B</t>
        </is>
      </c>
      <c r="F2388" s="13" t="n">
        <v>1</v>
      </c>
      <c r="G2388" s="13" t="n">
        <v>1</v>
      </c>
      <c r="H2388" s="8" t="n">
        <v>22.55</v>
      </c>
      <c r="I2388" s="8" t="n">
        <v>22.55</v>
      </c>
      <c r="J2388" s="8" t="n">
        <v>22.55</v>
      </c>
      <c r="K2388" s="8" t="n"/>
      <c r="L2388" s="8" t="n"/>
      <c r="M2388" s="8" t="n"/>
      <c r="N2388" s="8" t="n"/>
      <c r="O2388" s="8" t="n"/>
      <c r="P2388" s="8" t="n"/>
      <c r="Q2388" s="8" t="n"/>
      <c r="R2388" s="8" t="n"/>
      <c r="S2388" s="8" t="n"/>
      <c r="T2388" s="7" t="inlineStr">
        <is>
          <t>SEM COTAÇÃO</t>
        </is>
      </c>
      <c r="U2388" s="8" t="n"/>
      <c r="V2388" s="14" t="n"/>
      <c r="W2388" s="14" t="n"/>
      <c r="X2388" s="7" t="inlineStr"/>
      <c r="Y2388" s="7" t="inlineStr"/>
    </row>
    <row r="2389">
      <c r="A2389" s="7" t="n">
        <v>675701</v>
      </c>
      <c r="B2389" s="12" t="inlineStr">
        <is>
          <t>7897230306902</t>
        </is>
      </c>
      <c r="C2389" s="7" t="inlineStr">
        <is>
          <t>HIDRABENE DESODORANTE COLONIA BODY SPLASH - VELVET VANILLA - 200 ML</t>
        </is>
      </c>
      <c r="D2389" s="7" t="inlineStr">
        <is>
          <t>PERF/COSME</t>
        </is>
      </c>
      <c r="E2389" s="7" t="inlineStr">
        <is>
          <t>C</t>
        </is>
      </c>
      <c r="F2389" s="13" t="n">
        <v>1</v>
      </c>
      <c r="G2389" s="13" t="n">
        <v>1</v>
      </c>
      <c r="H2389" s="8" t="n">
        <v>22.55</v>
      </c>
      <c r="I2389" s="8" t="n">
        <v>22.55</v>
      </c>
      <c r="J2389" s="8" t="n">
        <v>22.55</v>
      </c>
      <c r="K2389" s="8" t="n"/>
      <c r="L2389" s="8" t="n"/>
      <c r="M2389" s="8" t="n"/>
      <c r="N2389" s="8" t="n"/>
      <c r="O2389" s="8" t="n"/>
      <c r="P2389" s="8" t="n"/>
      <c r="Q2389" s="8" t="n"/>
      <c r="R2389" s="8" t="n"/>
      <c r="S2389" s="8" t="n"/>
      <c r="T2389" s="7" t="inlineStr">
        <is>
          <t>SEM COTAÇÃO</t>
        </is>
      </c>
      <c r="U2389" s="8" t="n"/>
      <c r="V2389" s="14" t="n"/>
      <c r="W2389" s="14" t="n"/>
      <c r="X2389" s="7" t="inlineStr"/>
      <c r="Y2389" s="7" t="inlineStr"/>
    </row>
    <row r="2390">
      <c r="A2390" s="7" t="n">
        <v>4023</v>
      </c>
      <c r="B2390" s="12" t="inlineStr">
        <is>
          <t>7897230303680</t>
        </is>
      </c>
      <c r="C2390" s="7" t="inlineStr">
        <is>
          <t>HIDRABENE GEL SECATIVO - 15 G</t>
        </is>
      </c>
      <c r="D2390" s="7" t="inlineStr">
        <is>
          <t>PERF/COSME</t>
        </is>
      </c>
      <c r="E2390" s="7" t="inlineStr">
        <is>
          <t>C</t>
        </is>
      </c>
      <c r="F2390" s="13" t="n">
        <v>1</v>
      </c>
      <c r="G2390" s="13" t="n">
        <v>1</v>
      </c>
      <c r="H2390" s="8" t="n">
        <v>23.9967</v>
      </c>
      <c r="I2390" s="8" t="n">
        <v>23.9967</v>
      </c>
      <c r="J2390" s="8" t="n">
        <v>23.9967</v>
      </c>
      <c r="K2390" s="8" t="n"/>
      <c r="L2390" s="8" t="n"/>
      <c r="M2390" s="8" t="n"/>
      <c r="N2390" s="8" t="n"/>
      <c r="O2390" s="8" t="n"/>
      <c r="P2390" s="8" t="n"/>
      <c r="Q2390" s="8" t="n"/>
      <c r="R2390" s="8" t="n"/>
      <c r="S2390" s="8" t="n"/>
      <c r="T2390" s="7" t="inlineStr">
        <is>
          <t>SEM COTAÇÃO</t>
        </is>
      </c>
      <c r="U2390" s="8" t="n"/>
      <c r="V2390" s="14" t="n"/>
      <c r="W2390" s="14" t="n"/>
      <c r="X2390" s="7" t="inlineStr"/>
      <c r="Y2390" s="7" t="inlineStr"/>
    </row>
    <row r="2391">
      <c r="A2391" s="7" t="n">
        <v>652441</v>
      </c>
      <c r="B2391" s="12" t="inlineStr">
        <is>
          <t>7897230305820</t>
        </is>
      </c>
      <c r="C2391" s="7" t="inlineStr">
        <is>
          <t>HIDRABENE LIPSTICK - PITAYA- 5 G</t>
        </is>
      </c>
      <c r="D2391" s="7" t="inlineStr">
        <is>
          <t>DERMATOLOGICO</t>
        </is>
      </c>
      <c r="E2391" s="7" t="inlineStr">
        <is>
          <t>C</t>
        </is>
      </c>
      <c r="F2391" s="13" t="n">
        <v>1</v>
      </c>
      <c r="G2391" s="13" t="n">
        <v>1</v>
      </c>
      <c r="H2391" s="8" t="n"/>
      <c r="I2391" s="8" t="n"/>
      <c r="J2391" s="8" t="n"/>
      <c r="K2391" s="8" t="n"/>
      <c r="L2391" s="8" t="n"/>
      <c r="M2391" s="8" t="n"/>
      <c r="N2391" s="8" t="n"/>
      <c r="O2391" s="8" t="n"/>
      <c r="P2391" s="8" t="n"/>
      <c r="Q2391" s="8" t="n"/>
      <c r="R2391" s="8" t="n"/>
      <c r="S2391" s="8" t="n"/>
      <c r="T2391" s="7" t="inlineStr">
        <is>
          <t>SEM COTAÇÃO</t>
        </is>
      </c>
      <c r="U2391" s="8" t="n"/>
      <c r="V2391" s="14" t="n"/>
      <c r="W2391" s="14" t="n"/>
      <c r="X2391" s="7" t="inlineStr"/>
      <c r="Y2391" s="7" t="inlineStr"/>
    </row>
    <row r="2392">
      <c r="A2392" s="7" t="n">
        <v>2023</v>
      </c>
      <c r="B2392" s="12" t="inlineStr">
        <is>
          <t>7897230304212</t>
        </is>
      </c>
      <c r="C2392" s="7" t="inlineStr">
        <is>
          <t>HIDRABENE MEU CREMINHO - BELLE - 30G</t>
        </is>
      </c>
      <c r="D2392" s="7" t="inlineStr">
        <is>
          <t>DERMOCOSMETICOS/COSMETICOS</t>
        </is>
      </c>
      <c r="E2392" s="7" t="inlineStr">
        <is>
          <t>C</t>
        </is>
      </c>
      <c r="F2392" s="13" t="n">
        <v>1</v>
      </c>
      <c r="G2392" s="13" t="n">
        <v>1</v>
      </c>
      <c r="H2392" s="8" t="n"/>
      <c r="I2392" s="8" t="n"/>
      <c r="J2392" s="8" t="n"/>
      <c r="K2392" s="8" t="n"/>
      <c r="L2392" s="8" t="n"/>
      <c r="M2392" s="8" t="n"/>
      <c r="N2392" s="8" t="n"/>
      <c r="O2392" s="8" t="n"/>
      <c r="P2392" s="8" t="n"/>
      <c r="Q2392" s="8" t="n"/>
      <c r="R2392" s="8" t="n"/>
      <c r="S2392" s="8" t="n"/>
      <c r="T2392" s="7" t="inlineStr">
        <is>
          <t>SEM COTAÇÃO</t>
        </is>
      </c>
      <c r="U2392" s="8" t="n"/>
      <c r="V2392" s="14" t="n"/>
      <c r="W2392" s="14" t="n"/>
      <c r="X2392" s="7" t="inlineStr"/>
      <c r="Y2392" s="7" t="inlineStr"/>
    </row>
    <row r="2393">
      <c r="A2393" s="7" t="n">
        <v>4873</v>
      </c>
      <c r="B2393" s="12" t="inlineStr">
        <is>
          <t>7898656164541</t>
        </is>
      </c>
      <c r="C2393" s="7" t="inlineStr">
        <is>
          <t>HIDRADOSE AFTER RED 480ML</t>
        </is>
      </c>
      <c r="D2393" s="7" t="inlineStr">
        <is>
          <t>VITAMINA E SIMILARES</t>
        </is>
      </c>
      <c r="E2393" s="7" t="inlineStr">
        <is>
          <t>C</t>
        </is>
      </c>
      <c r="F2393" s="13" t="n">
        <v>1</v>
      </c>
      <c r="G2393" s="13" t="n">
        <v>1</v>
      </c>
      <c r="H2393" s="8" t="n"/>
      <c r="I2393" s="8" t="n"/>
      <c r="J2393" s="8" t="n"/>
      <c r="K2393" s="8" t="n"/>
      <c r="L2393" s="8" t="n"/>
      <c r="M2393" s="8" t="n"/>
      <c r="N2393" s="8" t="n"/>
      <c r="O2393" s="8" t="n"/>
      <c r="P2393" s="8" t="n"/>
      <c r="Q2393" s="8" t="n"/>
      <c r="R2393" s="8" t="n"/>
      <c r="S2393" s="8" t="n"/>
      <c r="T2393" s="7" t="inlineStr">
        <is>
          <t>SEM COTAÇÃO</t>
        </is>
      </c>
      <c r="U2393" s="8" t="n"/>
      <c r="V2393" s="14" t="n"/>
      <c r="W2393" s="14" t="n"/>
      <c r="X2393" s="7" t="inlineStr"/>
      <c r="Y2393" s="7" t="inlineStr"/>
    </row>
    <row r="2394">
      <c r="A2394" s="7" t="n">
        <v>4883</v>
      </c>
      <c r="B2394" s="12" t="inlineStr">
        <is>
          <t>7898656165081</t>
        </is>
      </c>
      <c r="C2394" s="7" t="inlineStr">
        <is>
          <t>HIDRADOSE AGUA DE COCO 4 SACHES DE 30G</t>
        </is>
      </c>
      <c r="D2394" s="7" t="inlineStr">
        <is>
          <t>VITAMINA E SIMILARES</t>
        </is>
      </c>
      <c r="E2394" s="7" t="inlineStr">
        <is>
          <t>C</t>
        </is>
      </c>
      <c r="F2394" s="13" t="n">
        <v>1</v>
      </c>
      <c r="G2394" s="13" t="n">
        <v>1</v>
      </c>
      <c r="H2394" s="8" t="n"/>
      <c r="I2394" s="8" t="n"/>
      <c r="J2394" s="8" t="n"/>
      <c r="K2394" s="8" t="n"/>
      <c r="L2394" s="8" t="n"/>
      <c r="M2394" s="8" t="n"/>
      <c r="N2394" s="8" t="n"/>
      <c r="O2394" s="8" t="n"/>
      <c r="P2394" s="8" t="n"/>
      <c r="Q2394" s="8" t="n"/>
      <c r="R2394" s="8" t="n"/>
      <c r="S2394" s="8" t="n"/>
      <c r="T2394" s="7" t="inlineStr">
        <is>
          <t>SEM COTAÇÃO</t>
        </is>
      </c>
      <c r="U2394" s="8" t="n"/>
      <c r="V2394" s="14" t="n"/>
      <c r="W2394" s="14" t="n"/>
      <c r="X2394" s="7" t="inlineStr"/>
      <c r="Y2394" s="7" t="inlineStr"/>
    </row>
    <row r="2395">
      <c r="A2395" s="7" t="n">
        <v>4693</v>
      </c>
      <c r="B2395" s="12" t="inlineStr">
        <is>
          <t>7898656161373</t>
        </is>
      </c>
      <c r="C2395" s="7" t="inlineStr">
        <is>
          <t>HIDRADOSE AGUA DE COCO 480ML</t>
        </is>
      </c>
      <c r="D2395" s="7" t="inlineStr">
        <is>
          <t>VITAMINA E SIMILARES</t>
        </is>
      </c>
      <c r="E2395" s="7" t="inlineStr">
        <is>
          <t>C</t>
        </is>
      </c>
      <c r="F2395" s="13" t="n">
        <v>2</v>
      </c>
      <c r="G2395" s="13" t="n">
        <v>2</v>
      </c>
      <c r="H2395" s="8" t="n"/>
      <c r="I2395" s="8" t="n"/>
      <c r="J2395" s="8" t="n"/>
      <c r="K2395" s="8" t="n"/>
      <c r="L2395" s="8" t="n"/>
      <c r="M2395" s="8" t="n"/>
      <c r="N2395" s="8" t="n"/>
      <c r="O2395" s="8" t="n"/>
      <c r="P2395" s="8" t="n"/>
      <c r="Q2395" s="8" t="n"/>
      <c r="R2395" s="8" t="n"/>
      <c r="S2395" s="8" t="n"/>
      <c r="T2395" s="7" t="inlineStr">
        <is>
          <t>SEM COTAÇÃO</t>
        </is>
      </c>
      <c r="U2395" s="8" t="n"/>
      <c r="V2395" s="14" t="n"/>
      <c r="W2395" s="14" t="n"/>
      <c r="X2395" s="7" t="inlineStr"/>
      <c r="Y2395" s="7" t="inlineStr"/>
    </row>
    <row r="2396">
      <c r="A2396" s="7" t="n">
        <v>4643</v>
      </c>
      <c r="B2396" s="12" t="inlineStr">
        <is>
          <t>7898656165074</t>
        </is>
      </c>
      <c r="C2396" s="7" t="inlineStr">
        <is>
          <t>HIDRADOSE LARANJA 4 SACHES DE 30G</t>
        </is>
      </c>
      <c r="D2396" s="7" t="inlineStr">
        <is>
          <t>VITAMINA E SIMILARES</t>
        </is>
      </c>
      <c r="E2396" s="7" t="inlineStr">
        <is>
          <t>C</t>
        </is>
      </c>
      <c r="F2396" s="13" t="n">
        <v>1</v>
      </c>
      <c r="G2396" s="13" t="n">
        <v>1</v>
      </c>
      <c r="H2396" s="8" t="n"/>
      <c r="I2396" s="8" t="n"/>
      <c r="J2396" s="8" t="n"/>
      <c r="K2396" s="8" t="n"/>
      <c r="L2396" s="8" t="n"/>
      <c r="M2396" s="8" t="n"/>
      <c r="N2396" s="8" t="n"/>
      <c r="O2396" s="8" t="n"/>
      <c r="P2396" s="8" t="n"/>
      <c r="Q2396" s="8" t="n"/>
      <c r="R2396" s="8" t="n"/>
      <c r="S2396" s="8" t="n"/>
      <c r="T2396" s="7" t="inlineStr">
        <is>
          <t>SEM COTAÇÃO</t>
        </is>
      </c>
      <c r="U2396" s="8" t="n"/>
      <c r="V2396" s="14" t="n"/>
      <c r="W2396" s="14" t="n"/>
      <c r="X2396" s="7" t="inlineStr"/>
      <c r="Y2396" s="7" t="inlineStr"/>
    </row>
    <row r="2397">
      <c r="A2397" s="7" t="n">
        <v>4593</v>
      </c>
      <c r="B2397" s="12" t="inlineStr">
        <is>
          <t>7898656160727</t>
        </is>
      </c>
      <c r="C2397" s="7" t="inlineStr">
        <is>
          <t>HIDRADOSE UVA 480ML</t>
        </is>
      </c>
      <c r="D2397" s="7" t="inlineStr">
        <is>
          <t>VITAMINA E SIMILARES</t>
        </is>
      </c>
      <c r="E2397" s="7" t="inlineStr">
        <is>
          <t>C</t>
        </is>
      </c>
      <c r="F2397" s="13" t="n">
        <v>2</v>
      </c>
      <c r="G2397" s="13" t="n">
        <v>2</v>
      </c>
      <c r="H2397" s="8" t="n"/>
      <c r="I2397" s="8" t="n"/>
      <c r="J2397" s="8" t="n"/>
      <c r="K2397" s="8" t="n"/>
      <c r="L2397" s="8" t="n"/>
      <c r="M2397" s="8" t="n"/>
      <c r="N2397" s="8" t="n"/>
      <c r="O2397" s="8" t="n"/>
      <c r="P2397" s="8" t="n"/>
      <c r="Q2397" s="8" t="n"/>
      <c r="R2397" s="8" t="n"/>
      <c r="S2397" s="8" t="n"/>
      <c r="T2397" s="7" t="inlineStr">
        <is>
          <t>SEM COTAÇÃO</t>
        </is>
      </c>
      <c r="U2397" s="8" t="n"/>
      <c r="V2397" s="14" t="n"/>
      <c r="W2397" s="14" t="n"/>
      <c r="X2397" s="7" t="inlineStr"/>
      <c r="Y2397" s="7" t="inlineStr"/>
    </row>
    <row r="2398">
      <c r="A2398" s="7" t="n">
        <v>626321</v>
      </c>
      <c r="B2398" s="12" t="inlineStr">
        <is>
          <t>7898040325008</t>
        </is>
      </c>
      <c r="C2398" s="7" t="inlineStr">
        <is>
          <t>HIDRAFEMME GEL 24G C/ 8 APLIC</t>
        </is>
      </c>
      <c r="D2398" s="7" t="inlineStr">
        <is>
          <t>RX - OTC</t>
        </is>
      </c>
      <c r="E2398" s="7" t="inlineStr">
        <is>
          <t>A</t>
        </is>
      </c>
      <c r="F2398" s="13" t="n">
        <v>2</v>
      </c>
      <c r="G2398" s="13" t="n">
        <v>2</v>
      </c>
      <c r="H2398" s="8" t="n">
        <v>69.84</v>
      </c>
      <c r="I2398" s="8" t="n">
        <v>57.646</v>
      </c>
      <c r="J2398" s="8" t="n">
        <v>65.77533333333334</v>
      </c>
      <c r="K2398" s="8" t="n"/>
      <c r="L2398" s="8" t="n"/>
      <c r="M2398" s="8" t="n"/>
      <c r="N2398" s="8" t="n"/>
      <c r="O2398" s="8" t="n"/>
      <c r="P2398" s="15" t="n">
        <v>75.2041</v>
      </c>
      <c r="Q2398" s="8" t="n"/>
      <c r="R2398" s="8" t="n"/>
      <c r="S2398" s="8" t="n"/>
      <c r="T2398" s="7" t="inlineStr">
        <is>
          <t>NAZARIA</t>
        </is>
      </c>
      <c r="U2398" s="8" t="n">
        <v>75.2041</v>
      </c>
      <c r="V2398" s="14">
        <f>U2398/J2398-1</f>
        <v/>
      </c>
      <c r="W2398" s="14">
        <f>U2398/H2398-1</f>
        <v/>
      </c>
      <c r="X2398" s="16" t="inlineStr">
        <is>
          <t>ACIMA +7.7%</t>
        </is>
      </c>
      <c r="Y2398" s="7" t="inlineStr"/>
    </row>
    <row r="2399">
      <c r="A2399" s="7" t="n">
        <v>1633</v>
      </c>
      <c r="B2399" s="12" t="inlineStr">
        <is>
          <t>7894164009480</t>
        </is>
      </c>
      <c r="C2399" s="7" t="inlineStr">
        <is>
          <t>HIDRALI 45 PO ENVELOPE CX C/ 4</t>
        </is>
      </c>
      <c r="D2399" s="7" t="inlineStr">
        <is>
          <t>SIMILAR</t>
        </is>
      </c>
      <c r="E2399" s="7" t="inlineStr">
        <is>
          <t>C</t>
        </is>
      </c>
      <c r="F2399" s="13" t="n">
        <v>1</v>
      </c>
      <c r="G2399" s="13" t="n">
        <v>2</v>
      </c>
      <c r="H2399" s="8" t="n">
        <v>2.3475</v>
      </c>
      <c r="I2399" s="8" t="n">
        <v>2.2875</v>
      </c>
      <c r="J2399" s="8" t="n">
        <v>2.3275</v>
      </c>
      <c r="K2399" s="8" t="n"/>
      <c r="L2399" s="8" t="n"/>
      <c r="M2399" s="8" t="n"/>
      <c r="N2399" s="15" t="n">
        <v>9.050000000000001</v>
      </c>
      <c r="O2399" s="8" t="n"/>
      <c r="P2399" s="8" t="n"/>
      <c r="Q2399" s="8" t="n">
        <v>9.720000000000001</v>
      </c>
      <c r="R2399" s="8" t="n"/>
      <c r="S2399" s="8" t="n"/>
      <c r="T2399" s="7" t="inlineStr">
        <is>
          <t>CENTROFARMA</t>
        </is>
      </c>
      <c r="U2399" s="8" t="n">
        <v>9.050000000000001</v>
      </c>
      <c r="V2399" s="14">
        <f>U2399/J2399-1</f>
        <v/>
      </c>
      <c r="W2399" s="14">
        <f>U2399/H2399-1</f>
        <v/>
      </c>
      <c r="X2399" s="16" t="inlineStr">
        <is>
          <t>ACIMA +285.5%</t>
        </is>
      </c>
      <c r="Y2399" s="7" t="inlineStr">
        <is>
          <t>CENTROFARMA: conferir emb.; MEDCENTRO: conferir emb.</t>
        </is>
      </c>
    </row>
    <row r="2400">
      <c r="A2400" s="7" t="n">
        <v>531481</v>
      </c>
      <c r="B2400" s="12" t="inlineStr">
        <is>
          <t>7894164005420</t>
        </is>
      </c>
      <c r="C2400" s="7" t="inlineStr">
        <is>
          <t>HIDRALI 500ML LARANJA AIRELA</t>
        </is>
      </c>
      <c r="D2400" s="7" t="inlineStr">
        <is>
          <t>SIMILAR</t>
        </is>
      </c>
      <c r="E2400" s="7" t="inlineStr">
        <is>
          <t>C</t>
        </is>
      </c>
      <c r="F2400" s="13" t="n">
        <v>7</v>
      </c>
      <c r="G2400" s="13" t="n">
        <v>7</v>
      </c>
      <c r="H2400" s="8" t="n">
        <v>8.300000000000001</v>
      </c>
      <c r="I2400" s="8" t="n">
        <v>7.97</v>
      </c>
      <c r="J2400" s="8" t="n">
        <v>8.19</v>
      </c>
      <c r="K2400" s="8" t="n">
        <v>8.359999999999999</v>
      </c>
      <c r="L2400" s="8" t="n"/>
      <c r="M2400" s="8" t="n"/>
      <c r="N2400" s="8" t="n"/>
      <c r="O2400" s="8" t="n"/>
      <c r="P2400" s="8" t="n"/>
      <c r="Q2400" s="8" t="n">
        <v>9.27</v>
      </c>
      <c r="R2400" s="15" t="n">
        <v>7.99</v>
      </c>
      <c r="S2400" s="8" t="n"/>
      <c r="T2400" s="7" t="inlineStr">
        <is>
          <t>BRASFARMA</t>
        </is>
      </c>
      <c r="U2400" s="8" t="n">
        <v>7.99</v>
      </c>
      <c r="V2400" s="14">
        <f>U2400/J2400-1</f>
        <v/>
      </c>
      <c r="W2400" s="14">
        <f>U2400/H2400-1</f>
        <v/>
      </c>
      <c r="X2400" s="17" t="inlineStr">
        <is>
          <t>OK (≤ últ. compra)</t>
        </is>
      </c>
      <c r="Y2400" s="7" t="inlineStr"/>
    </row>
    <row r="2401">
      <c r="A2401" s="7" t="n">
        <v>542961</v>
      </c>
      <c r="B2401" s="12" t="inlineStr">
        <is>
          <t>7894164005451</t>
        </is>
      </c>
      <c r="C2401" s="7" t="inlineStr">
        <is>
          <t>HIDRALI 500ML MACA VERMELHA A</t>
        </is>
      </c>
      <c r="D2401" s="7" t="inlineStr">
        <is>
          <t>SIMILAR</t>
        </is>
      </c>
      <c r="E2401" s="7" t="inlineStr">
        <is>
          <t>C</t>
        </is>
      </c>
      <c r="F2401" s="13" t="n">
        <v>1</v>
      </c>
      <c r="G2401" s="13" t="n">
        <v>1</v>
      </c>
      <c r="H2401" s="8" t="n">
        <v>8.43</v>
      </c>
      <c r="I2401" s="8" t="n">
        <v>8.43</v>
      </c>
      <c r="J2401" s="8" t="n">
        <v>8.43</v>
      </c>
      <c r="K2401" s="8" t="n"/>
      <c r="L2401" s="8" t="n"/>
      <c r="M2401" s="8" t="n"/>
      <c r="N2401" s="8" t="n"/>
      <c r="O2401" s="8" t="n"/>
      <c r="P2401" s="8" t="n"/>
      <c r="Q2401" s="8" t="n"/>
      <c r="R2401" s="8" t="n"/>
      <c r="S2401" s="8" t="n"/>
      <c r="T2401" s="7" t="inlineStr">
        <is>
          <t>SEM COTAÇÃO</t>
        </is>
      </c>
      <c r="U2401" s="8" t="n"/>
      <c r="V2401" s="14" t="n"/>
      <c r="W2401" s="14" t="n"/>
      <c r="X2401" s="7" t="inlineStr"/>
      <c r="Y2401" s="7" t="inlineStr"/>
    </row>
    <row r="2402">
      <c r="A2402" s="7" t="n">
        <v>531501</v>
      </c>
      <c r="B2402" s="12" t="inlineStr">
        <is>
          <t>7894164005406</t>
        </is>
      </c>
      <c r="C2402" s="7" t="inlineStr">
        <is>
          <t>HIDRALI 500ML UVA ROXA AIRELA</t>
        </is>
      </c>
      <c r="D2402" s="7" t="inlineStr">
        <is>
          <t>SIMILAR</t>
        </is>
      </c>
      <c r="E2402" s="7" t="inlineStr">
        <is>
          <t>C</t>
        </is>
      </c>
      <c r="F2402" s="13" t="n">
        <v>2</v>
      </c>
      <c r="G2402" s="13" t="n">
        <v>2</v>
      </c>
      <c r="H2402" s="8" t="n">
        <v>8.300000000000001</v>
      </c>
      <c r="I2402" s="8" t="n">
        <v>7.97</v>
      </c>
      <c r="J2402" s="8" t="n">
        <v>8.19</v>
      </c>
      <c r="K2402" s="15" t="n">
        <v>8.359999999999999</v>
      </c>
      <c r="L2402" s="8" t="n"/>
      <c r="M2402" s="8" t="n"/>
      <c r="N2402" s="8" t="n"/>
      <c r="O2402" s="8" t="n"/>
      <c r="P2402" s="8" t="n"/>
      <c r="Q2402" s="8" t="n">
        <v>9.27</v>
      </c>
      <c r="R2402" s="8" t="n"/>
      <c r="S2402" s="8" t="n"/>
      <c r="T2402" s="7" t="inlineStr">
        <is>
          <t>DIMEC</t>
        </is>
      </c>
      <c r="U2402" s="8" t="n">
        <v>8.359999999999999</v>
      </c>
      <c r="V2402" s="14">
        <f>U2402/J2402-1</f>
        <v/>
      </c>
      <c r="W2402" s="14">
        <f>U2402/H2402-1</f>
        <v/>
      </c>
      <c r="X2402" s="16" t="inlineStr">
        <is>
          <t>ACIMA +0.7%</t>
        </is>
      </c>
      <c r="Y2402" s="7" t="inlineStr"/>
    </row>
    <row r="2403">
      <c r="A2403" s="7" t="n">
        <v>547981</v>
      </c>
      <c r="B2403" s="12" t="inlineStr"/>
      <c r="C2403" s="7" t="inlineStr">
        <is>
          <t>HIDRALI AGUA COCO 500ML</t>
        </is>
      </c>
      <c r="D2403" s="7" t="inlineStr">
        <is>
          <t>SIMILAR</t>
        </is>
      </c>
      <c r="E2403" s="7" t="inlineStr">
        <is>
          <t>A</t>
        </is>
      </c>
      <c r="F2403" s="13" t="n">
        <v>7</v>
      </c>
      <c r="G2403" s="13" t="n">
        <v>7</v>
      </c>
      <c r="H2403" s="8" t="n">
        <v>8.300000000000001</v>
      </c>
      <c r="I2403" s="8" t="n">
        <v>7.97</v>
      </c>
      <c r="J2403" s="8" t="n">
        <v>8.19</v>
      </c>
      <c r="K2403" s="8" t="n"/>
      <c r="L2403" s="8" t="n"/>
      <c r="M2403" s="8" t="n"/>
      <c r="N2403" s="8" t="n"/>
      <c r="O2403" s="8" t="n"/>
      <c r="P2403" s="8" t="n"/>
      <c r="Q2403" s="8" t="n"/>
      <c r="R2403" s="8" t="n"/>
      <c r="S2403" s="8" t="n"/>
      <c r="T2403" s="7" t="inlineStr">
        <is>
          <t>SEM COTAÇÃO</t>
        </is>
      </c>
      <c r="U2403" s="8" t="n"/>
      <c r="V2403" s="14" t="n"/>
      <c r="W2403" s="14" t="n"/>
      <c r="X2403" s="7" t="inlineStr"/>
      <c r="Y2403" s="7" t="inlineStr"/>
    </row>
    <row r="2404">
      <c r="A2404" s="7" t="n">
        <v>604151</v>
      </c>
      <c r="B2404" s="12" t="inlineStr">
        <is>
          <t>7894164009473</t>
        </is>
      </c>
      <c r="C2404" s="7" t="inlineStr">
        <is>
          <t>HIDRALI PO 28,29G  ENVELOPE CX COM 4 (GUARANÁ)</t>
        </is>
      </c>
      <c r="D2404" s="7" t="inlineStr">
        <is>
          <t>SIMILAR</t>
        </is>
      </c>
      <c r="E2404" s="7" t="inlineStr">
        <is>
          <t>A</t>
        </is>
      </c>
      <c r="F2404" s="13" t="n">
        <v>9</v>
      </c>
      <c r="G2404" s="13" t="n">
        <v>9</v>
      </c>
      <c r="H2404" s="8" t="n">
        <v>8.94</v>
      </c>
      <c r="I2404" s="8" t="n">
        <v>8.890000000000001</v>
      </c>
      <c r="J2404" s="8" t="n">
        <v>8.923333333333334</v>
      </c>
      <c r="K2404" s="15" t="n">
        <v>8.94</v>
      </c>
      <c r="L2404" s="8" t="n"/>
      <c r="M2404" s="8" t="n"/>
      <c r="N2404" s="8" t="n"/>
      <c r="O2404" s="8" t="n"/>
      <c r="P2404" s="8" t="n"/>
      <c r="Q2404" s="8" t="n">
        <v>9.720000000000001</v>
      </c>
      <c r="R2404" s="8" t="n"/>
      <c r="S2404" s="8" t="n"/>
      <c r="T2404" s="7" t="inlineStr">
        <is>
          <t>DIMEC</t>
        </is>
      </c>
      <c r="U2404" s="8" t="n">
        <v>8.94</v>
      </c>
      <c r="V2404" s="14">
        <f>U2404/J2404-1</f>
        <v/>
      </c>
      <c r="W2404" s="14">
        <f>U2404/H2404-1</f>
        <v/>
      </c>
      <c r="X2404" s="17" t="inlineStr">
        <is>
          <t>OK (≤ últ. compra)</t>
        </is>
      </c>
      <c r="Y2404" s="7" t="inlineStr"/>
    </row>
    <row r="2405">
      <c r="A2405" s="7" t="n">
        <v>602561</v>
      </c>
      <c r="B2405" s="12" t="inlineStr">
        <is>
          <t>7894164009466</t>
        </is>
      </c>
      <c r="C2405" s="7" t="inlineStr">
        <is>
          <t>HIDRALI PO 28,29G 4ENV LARANJA SOL</t>
        </is>
      </c>
      <c r="D2405" s="7" t="inlineStr">
        <is>
          <t>SIMILAR</t>
        </is>
      </c>
      <c r="E2405" s="7" t="inlineStr">
        <is>
          <t>A</t>
        </is>
      </c>
      <c r="F2405" s="13" t="n">
        <v>8</v>
      </c>
      <c r="G2405" s="13" t="n">
        <v>8</v>
      </c>
      <c r="H2405" s="8" t="n">
        <v>8.6</v>
      </c>
      <c r="I2405" s="8" t="n">
        <v>8.6</v>
      </c>
      <c r="J2405" s="8" t="n">
        <v>8.6</v>
      </c>
      <c r="K2405" s="15" t="n">
        <v>8.94</v>
      </c>
      <c r="L2405" s="8" t="n"/>
      <c r="M2405" s="8" t="n"/>
      <c r="N2405" s="8" t="n"/>
      <c r="O2405" s="8" t="n"/>
      <c r="P2405" s="8" t="n"/>
      <c r="Q2405" s="8" t="n">
        <v>9.720000000000001</v>
      </c>
      <c r="R2405" s="8" t="n"/>
      <c r="S2405" s="8" t="n"/>
      <c r="T2405" s="7" t="inlineStr">
        <is>
          <t>DIMEC</t>
        </is>
      </c>
      <c r="U2405" s="8" t="n">
        <v>8.94</v>
      </c>
      <c r="V2405" s="14">
        <f>U2405/J2405-1</f>
        <v/>
      </c>
      <c r="W2405" s="14">
        <f>U2405/H2405-1</f>
        <v/>
      </c>
      <c r="X2405" s="16" t="inlineStr">
        <is>
          <t>ACIMA +4.0%</t>
        </is>
      </c>
      <c r="Y2405" s="7" t="inlineStr"/>
    </row>
    <row r="2406">
      <c r="A2406" s="7" t="n">
        <v>602571</v>
      </c>
      <c r="B2406" s="12" t="inlineStr">
        <is>
          <t>7894164009503</t>
        </is>
      </c>
      <c r="C2406" s="7" t="inlineStr">
        <is>
          <t>HIDRALI PO 28,97G 4ENV COCO SOL</t>
        </is>
      </c>
      <c r="D2406" s="7" t="inlineStr">
        <is>
          <t>SIMILAR</t>
        </is>
      </c>
      <c r="E2406" s="7" t="inlineStr">
        <is>
          <t>A</t>
        </is>
      </c>
      <c r="F2406" s="13" t="n">
        <v>8</v>
      </c>
      <c r="G2406" s="13" t="n">
        <v>8</v>
      </c>
      <c r="H2406" s="8" t="n">
        <v>9.390000000000001</v>
      </c>
      <c r="I2406" s="8" t="n">
        <v>8.9</v>
      </c>
      <c r="J2406" s="8" t="n">
        <v>9.226666666666667</v>
      </c>
      <c r="K2406" s="8" t="n"/>
      <c r="L2406" s="8" t="n"/>
      <c r="M2406" s="8" t="n"/>
      <c r="N2406" s="8" t="n"/>
      <c r="O2406" s="8" t="n"/>
      <c r="P2406" s="8" t="n"/>
      <c r="Q2406" s="8" t="n"/>
      <c r="R2406" s="8" t="n"/>
      <c r="S2406" s="8" t="n"/>
      <c r="T2406" s="7" t="inlineStr">
        <is>
          <t>SEM COTAÇÃO</t>
        </is>
      </c>
      <c r="U2406" s="8" t="n"/>
      <c r="V2406" s="14" t="n"/>
      <c r="W2406" s="14" t="n"/>
      <c r="X2406" s="7" t="inlineStr"/>
      <c r="Y2406" s="7" t="inlineStr"/>
    </row>
    <row r="2407">
      <c r="A2407" s="7" t="n">
        <v>604091</v>
      </c>
      <c r="B2407" s="12" t="inlineStr">
        <is>
          <t>7894164009510</t>
        </is>
      </c>
      <c r="C2407" s="7" t="inlineStr">
        <is>
          <t>HIDRALI PO NATURAL  UND</t>
        </is>
      </c>
      <c r="D2407" s="7" t="inlineStr">
        <is>
          <t>SIMILAR</t>
        </is>
      </c>
      <c r="E2407" s="7" t="inlineStr">
        <is>
          <t>C</t>
        </is>
      </c>
      <c r="F2407" s="13" t="n">
        <v>2</v>
      </c>
      <c r="G2407" s="13" t="n">
        <v>2</v>
      </c>
      <c r="H2407" s="8" t="n">
        <v>8.890000000000001</v>
      </c>
      <c r="I2407" s="8" t="n">
        <v>8.890000000000001</v>
      </c>
      <c r="J2407" s="8" t="n">
        <v>8.890000000000001</v>
      </c>
      <c r="K2407" s="15" t="n">
        <v>8.94</v>
      </c>
      <c r="L2407" s="8" t="n"/>
      <c r="M2407" s="8" t="n"/>
      <c r="N2407" s="8" t="n">
        <v>9.050000000000001</v>
      </c>
      <c r="O2407" s="8" t="n"/>
      <c r="P2407" s="8" t="n"/>
      <c r="Q2407" s="8" t="n">
        <v>10.02</v>
      </c>
      <c r="R2407" s="8" t="n"/>
      <c r="S2407" s="8" t="n"/>
      <c r="T2407" s="7" t="inlineStr">
        <is>
          <t>DIMEC</t>
        </is>
      </c>
      <c r="U2407" s="8" t="n">
        <v>8.94</v>
      </c>
      <c r="V2407" s="14">
        <f>U2407/J2407-1</f>
        <v/>
      </c>
      <c r="W2407" s="14">
        <f>U2407/H2407-1</f>
        <v/>
      </c>
      <c r="X2407" s="16" t="inlineStr">
        <is>
          <t>ACIMA +0.6%</t>
        </is>
      </c>
      <c r="Y2407" s="7" t="inlineStr"/>
    </row>
    <row r="2408">
      <c r="A2408" s="7" t="n">
        <v>1573</v>
      </c>
      <c r="B2408" s="12" t="inlineStr">
        <is>
          <t>7894164009589</t>
        </is>
      </c>
      <c r="C2408" s="7" t="inlineStr">
        <is>
          <t>HIDRALI SABOR AGUA DE COCO</t>
        </is>
      </c>
      <c r="D2408" s="7" t="inlineStr">
        <is>
          <t>SIMILAR</t>
        </is>
      </c>
      <c r="E2408" s="7" t="inlineStr">
        <is>
          <t>C</t>
        </is>
      </c>
      <c r="F2408" s="13" t="n">
        <v>1</v>
      </c>
      <c r="G2408" s="13" t="n">
        <v>1</v>
      </c>
      <c r="H2408" s="8" t="n"/>
      <c r="I2408" s="8" t="n"/>
      <c r="J2408" s="8" t="n"/>
      <c r="K2408" s="8" t="n"/>
      <c r="L2408" s="8" t="n"/>
      <c r="M2408" s="8" t="n"/>
      <c r="N2408" s="8" t="n"/>
      <c r="O2408" s="8" t="n"/>
      <c r="P2408" s="8" t="n"/>
      <c r="Q2408" s="8" t="n"/>
      <c r="R2408" s="8" t="n"/>
      <c r="S2408" s="8" t="n"/>
      <c r="T2408" s="7" t="inlineStr">
        <is>
          <t>SEM COTAÇÃO</t>
        </is>
      </c>
      <c r="U2408" s="8" t="n"/>
      <c r="V2408" s="14" t="n"/>
      <c r="W2408" s="14" t="n"/>
      <c r="X2408" s="7" t="inlineStr"/>
      <c r="Y2408" s="7" t="inlineStr"/>
    </row>
    <row r="2409">
      <c r="A2409" s="7" t="n">
        <v>634191</v>
      </c>
      <c r="B2409" s="12" t="inlineStr">
        <is>
          <t>7894164005444</t>
        </is>
      </c>
      <c r="C2409" s="7" t="inlineStr">
        <is>
          <t>HIDRALI SABOR NATURAL 500MLFR</t>
        </is>
      </c>
      <c r="D2409" s="7" t="inlineStr">
        <is>
          <t>SIMILAR</t>
        </is>
      </c>
      <c r="E2409" s="7" t="inlineStr">
        <is>
          <t>C</t>
        </is>
      </c>
      <c r="F2409" s="13" t="n">
        <v>1</v>
      </c>
      <c r="G2409" s="13" t="n">
        <v>1</v>
      </c>
      <c r="H2409" s="8" t="n">
        <v>8.359999999999999</v>
      </c>
      <c r="I2409" s="8" t="n">
        <v>8.359999999999999</v>
      </c>
      <c r="J2409" s="8" t="n">
        <v>8.359999999999999</v>
      </c>
      <c r="K2409" s="8" t="n"/>
      <c r="L2409" s="8" t="n"/>
      <c r="M2409" s="8" t="n"/>
      <c r="N2409" s="8" t="n"/>
      <c r="O2409" s="8" t="n"/>
      <c r="P2409" s="8" t="n"/>
      <c r="Q2409" s="8" t="n"/>
      <c r="R2409" s="8" t="n"/>
      <c r="S2409" s="8" t="n"/>
      <c r="T2409" s="7" t="inlineStr">
        <is>
          <t>SEM COTAÇÃO</t>
        </is>
      </c>
      <c r="U2409" s="8" t="n"/>
      <c r="V2409" s="14" t="n"/>
      <c r="W2409" s="14" t="n"/>
      <c r="X2409" s="7" t="inlineStr"/>
      <c r="Y2409" s="7" t="inlineStr"/>
    </row>
    <row r="2410">
      <c r="A2410" s="7" t="n">
        <v>602551</v>
      </c>
      <c r="B2410" s="12" t="inlineStr">
        <is>
          <t>7894164009565</t>
        </is>
      </c>
      <c r="C2410" s="7" t="inlineStr">
        <is>
          <t>HIDRALI SAIS UVA PO SOL 4ENV 30CT</t>
        </is>
      </c>
      <c r="D2410" s="7" t="inlineStr">
        <is>
          <t>SIMILAR</t>
        </is>
      </c>
      <c r="E2410" s="7" t="inlineStr">
        <is>
          <t>C</t>
        </is>
      </c>
      <c r="F2410" s="13" t="n">
        <v>1</v>
      </c>
      <c r="G2410" s="13" t="n">
        <v>1</v>
      </c>
      <c r="H2410" s="8" t="n">
        <v>1.7375</v>
      </c>
      <c r="I2410" s="8" t="n">
        <v>1.7375</v>
      </c>
      <c r="J2410" s="8" t="n">
        <v>1.7375</v>
      </c>
      <c r="K2410" s="8" t="n"/>
      <c r="L2410" s="8" t="n"/>
      <c r="M2410" s="8" t="n"/>
      <c r="N2410" s="8" t="n"/>
      <c r="O2410" s="8" t="n"/>
      <c r="P2410" s="8" t="n"/>
      <c r="Q2410" s="8" t="n"/>
      <c r="R2410" s="8" t="n"/>
      <c r="S2410" s="8" t="n"/>
      <c r="T2410" s="7" t="inlineStr">
        <is>
          <t>SEM COTAÇÃO</t>
        </is>
      </c>
      <c r="U2410" s="8" t="n"/>
      <c r="V2410" s="14" t="n"/>
      <c r="W2410" s="14" t="n"/>
      <c r="X2410" s="7" t="inlineStr"/>
      <c r="Y2410" s="7" t="inlineStr"/>
    </row>
    <row r="2411">
      <c r="A2411" s="7" t="n">
        <v>570721</v>
      </c>
      <c r="B2411" s="12" t="inlineStr"/>
      <c r="C2411" s="7" t="inlineStr">
        <is>
          <t>HIDRALI SOL ORAL 500ML TUTTI FRUT</t>
        </is>
      </c>
      <c r="D2411" s="7" t="inlineStr">
        <is>
          <t>SIMILAR</t>
        </is>
      </c>
      <c r="E2411" s="7" t="inlineStr">
        <is>
          <t>C</t>
        </is>
      </c>
      <c r="F2411" s="13" t="n">
        <v>1</v>
      </c>
      <c r="G2411" s="13" t="n">
        <v>1</v>
      </c>
      <c r="H2411" s="8" t="n">
        <v>8.359999999999999</v>
      </c>
      <c r="I2411" s="8" t="n">
        <v>7.97</v>
      </c>
      <c r="J2411" s="8" t="n">
        <v>8.229999999999999</v>
      </c>
      <c r="K2411" s="8" t="n"/>
      <c r="L2411" s="8" t="n"/>
      <c r="M2411" s="8" t="n"/>
      <c r="N2411" s="8" t="n"/>
      <c r="O2411" s="8" t="n"/>
      <c r="P2411" s="8" t="n"/>
      <c r="Q2411" s="8" t="n"/>
      <c r="R2411" s="8" t="n"/>
      <c r="S2411" s="8" t="n"/>
      <c r="T2411" s="7" t="inlineStr">
        <is>
          <t>SEM COTAÇÃO</t>
        </is>
      </c>
      <c r="U2411" s="8" t="n"/>
      <c r="V2411" s="14" t="n"/>
      <c r="W2411" s="14" t="n"/>
      <c r="X2411" s="7" t="inlineStr"/>
      <c r="Y2411" s="7" t="inlineStr"/>
    </row>
    <row r="2412">
      <c r="A2412" s="7" t="n">
        <v>558881</v>
      </c>
      <c r="B2412" s="12" t="inlineStr">
        <is>
          <t>7898133137358</t>
        </is>
      </c>
      <c r="C2412" s="7" t="inlineStr">
        <is>
          <t>HIDRAPLEX PO 27,9G ENVELOPE  FRACIONADO  UVA EN</t>
        </is>
      </c>
      <c r="D2412" s="7" t="inlineStr">
        <is>
          <t>SIMILAR</t>
        </is>
      </c>
      <c r="E2412" s="7" t="inlineStr">
        <is>
          <t>C</t>
        </is>
      </c>
      <c r="F2412" s="13" t="n">
        <v>2</v>
      </c>
      <c r="G2412" s="13" t="n">
        <v>5</v>
      </c>
      <c r="H2412" s="8" t="n">
        <v>2.475</v>
      </c>
      <c r="I2412" s="8" t="n">
        <v>2.475</v>
      </c>
      <c r="J2412" s="8" t="n">
        <v>2.475</v>
      </c>
      <c r="K2412" s="15" t="n">
        <v>11.41</v>
      </c>
      <c r="L2412" s="8" t="n"/>
      <c r="M2412" s="8" t="n"/>
      <c r="N2412" s="8" t="n"/>
      <c r="O2412" s="8" t="n"/>
      <c r="P2412" s="8" t="n"/>
      <c r="Q2412" s="8" t="n"/>
      <c r="R2412" s="8" t="n"/>
      <c r="S2412" s="8" t="n"/>
      <c r="T2412" s="7" t="inlineStr">
        <is>
          <t>DIMEC</t>
        </is>
      </c>
      <c r="U2412" s="8" t="n">
        <v>11.41</v>
      </c>
      <c r="V2412" s="14">
        <f>U2412/J2412-1</f>
        <v/>
      </c>
      <c r="W2412" s="14">
        <f>U2412/H2412-1</f>
        <v/>
      </c>
      <c r="X2412" s="16" t="inlineStr">
        <is>
          <t>ACIMA +361.0%</t>
        </is>
      </c>
      <c r="Y2412" s="7" t="inlineStr">
        <is>
          <t>DIMEC: conferir emb.</t>
        </is>
      </c>
    </row>
    <row r="2413">
      <c r="A2413" s="7" t="n">
        <v>619571</v>
      </c>
      <c r="B2413" s="12" t="inlineStr">
        <is>
          <t>4005900163875</t>
        </is>
      </c>
      <c r="C2413" s="7" t="inlineStr">
        <is>
          <t>HIDRAT NIVEA ANTIC PERNAS RENOV 400ML   NIVE %DN:2.00</t>
        </is>
      </c>
      <c r="D2413" s="7" t="inlineStr">
        <is>
          <t>RX - DERMO</t>
        </is>
      </c>
      <c r="E2413" s="7" t="inlineStr">
        <is>
          <t>C</t>
        </is>
      </c>
      <c r="F2413" s="13" t="n">
        <v>1</v>
      </c>
      <c r="G2413" s="13" t="n">
        <v>1</v>
      </c>
      <c r="H2413" s="8" t="n">
        <v>35.4725</v>
      </c>
      <c r="I2413" s="8" t="n">
        <v>35.4725</v>
      </c>
      <c r="J2413" s="8" t="n">
        <v>35.4725</v>
      </c>
      <c r="K2413" s="8" t="n"/>
      <c r="L2413" s="8" t="n"/>
      <c r="M2413" s="8" t="n"/>
      <c r="N2413" s="8" t="n"/>
      <c r="O2413" s="8" t="n"/>
      <c r="P2413" s="8" t="n"/>
      <c r="Q2413" s="8" t="n"/>
      <c r="R2413" s="8" t="n"/>
      <c r="S2413" s="8" t="n"/>
      <c r="T2413" s="7" t="inlineStr">
        <is>
          <t>SEM COTAÇÃO</t>
        </is>
      </c>
      <c r="U2413" s="8" t="n"/>
      <c r="V2413" s="14" t="n"/>
      <c r="W2413" s="14" t="n"/>
      <c r="X2413" s="7" t="inlineStr"/>
      <c r="Y2413" s="7" t="inlineStr"/>
    </row>
    <row r="2414">
      <c r="A2414" s="7" t="n">
        <v>618011</v>
      </c>
      <c r="B2414" s="12" t="inlineStr">
        <is>
          <t>4005900929365</t>
        </is>
      </c>
      <c r="C2414" s="7" t="inlineStr">
        <is>
          <t>HIDRAT NIVEA PELE UNIFORME 200ML</t>
        </is>
      </c>
      <c r="D2414" s="7" t="inlineStr">
        <is>
          <t>PERF/COSME</t>
        </is>
      </c>
      <c r="E2414" s="7" t="inlineStr">
        <is>
          <t>C</t>
        </is>
      </c>
      <c r="F2414" s="13" t="n">
        <v>1</v>
      </c>
      <c r="G2414" s="13" t="n">
        <v>1</v>
      </c>
      <c r="H2414" s="8" t="n">
        <v>14.98</v>
      </c>
      <c r="I2414" s="8" t="n">
        <v>14.98</v>
      </c>
      <c r="J2414" s="8" t="n">
        <v>14.98</v>
      </c>
      <c r="K2414" s="8" t="n"/>
      <c r="L2414" s="8" t="n"/>
      <c r="M2414" s="8" t="n"/>
      <c r="N2414" s="8" t="n"/>
      <c r="O2414" s="8" t="n"/>
      <c r="P2414" s="8" t="n"/>
      <c r="Q2414" s="8" t="n"/>
      <c r="R2414" s="8" t="n"/>
      <c r="S2414" s="8" t="n"/>
      <c r="T2414" s="7" t="inlineStr">
        <is>
          <t>SEM COTAÇÃO</t>
        </is>
      </c>
      <c r="U2414" s="8" t="n"/>
      <c r="V2414" s="14" t="n"/>
      <c r="W2414" s="14" t="n"/>
      <c r="X2414" s="7" t="inlineStr"/>
      <c r="Y2414" s="7" t="inlineStr"/>
    </row>
    <row r="2415">
      <c r="A2415" s="7" t="n">
        <v>657091</v>
      </c>
      <c r="B2415" s="12" t="inlineStr">
        <is>
          <t>7908353615441</t>
        </is>
      </c>
      <c r="C2415" s="7" t="inlineStr">
        <is>
          <t>HIDRATANTE CORPORAL BEAUTYLOO UVA 200ML - FACE BEAUTIFUL</t>
        </is>
      </c>
      <c r="D2415" s="7" t="inlineStr">
        <is>
          <t>PERF/COSME</t>
        </is>
      </c>
      <c r="E2415" s="7" t="inlineStr">
        <is>
          <t>C</t>
        </is>
      </c>
      <c r="F2415" s="13" t="n">
        <v>1</v>
      </c>
      <c r="G2415" s="13" t="n">
        <v>1</v>
      </c>
      <c r="H2415" s="8" t="n">
        <v>11.58</v>
      </c>
      <c r="I2415" s="8" t="n">
        <v>11.58</v>
      </c>
      <c r="J2415" s="8" t="n">
        <v>11.58</v>
      </c>
      <c r="K2415" s="8" t="n"/>
      <c r="L2415" s="8" t="n"/>
      <c r="M2415" s="8" t="n"/>
      <c r="N2415" s="8" t="n"/>
      <c r="O2415" s="8" t="n"/>
      <c r="P2415" s="8" t="n"/>
      <c r="Q2415" s="8" t="n"/>
      <c r="R2415" s="8" t="n"/>
      <c r="S2415" s="8" t="n"/>
      <c r="T2415" s="7" t="inlineStr">
        <is>
          <t>SEM COTAÇÃO</t>
        </is>
      </c>
      <c r="U2415" s="8" t="n"/>
      <c r="V2415" s="14" t="n"/>
      <c r="W2415" s="14" t="n"/>
      <c r="X2415" s="7" t="inlineStr"/>
      <c r="Y2415" s="7" t="inlineStr"/>
    </row>
    <row r="2416">
      <c r="A2416" s="7" t="n">
        <v>649921</v>
      </c>
      <c r="B2416" s="12" t="inlineStr">
        <is>
          <t>7898132988166</t>
        </is>
      </c>
      <c r="C2416" s="7" t="inlineStr">
        <is>
          <t>HIDRATANTE CORPORAL LAVANDA 200G</t>
        </is>
      </c>
      <c r="D2416" s="7" t="inlineStr">
        <is>
          <t>PERF/COSME</t>
        </is>
      </c>
      <c r="E2416" s="7" t="inlineStr">
        <is>
          <t>C</t>
        </is>
      </c>
      <c r="F2416" s="13" t="n">
        <v>1</v>
      </c>
      <c r="G2416" s="13" t="n">
        <v>1</v>
      </c>
      <c r="H2416" s="8" t="n">
        <v>22.28</v>
      </c>
      <c r="I2416" s="8" t="n">
        <v>22.28</v>
      </c>
      <c r="J2416" s="8" t="n">
        <v>22.28</v>
      </c>
      <c r="K2416" s="8" t="n"/>
      <c r="L2416" s="8" t="n"/>
      <c r="M2416" s="8" t="n"/>
      <c r="N2416" s="8" t="n"/>
      <c r="O2416" s="8" t="n"/>
      <c r="P2416" s="8" t="n"/>
      <c r="Q2416" s="8" t="n"/>
      <c r="R2416" s="8" t="n"/>
      <c r="S2416" s="8" t="n"/>
      <c r="T2416" s="7" t="inlineStr">
        <is>
          <t>SEM COTAÇÃO</t>
        </is>
      </c>
      <c r="U2416" s="8" t="n"/>
      <c r="V2416" s="14" t="n"/>
      <c r="W2416" s="14" t="n"/>
      <c r="X2416" s="7" t="inlineStr"/>
      <c r="Y2416" s="7" t="inlineStr"/>
    </row>
    <row r="2417">
      <c r="A2417" s="7" t="n">
        <v>654591</v>
      </c>
      <c r="B2417" s="12" t="inlineStr">
        <is>
          <t>7898975292208</t>
        </is>
      </c>
      <c r="C2417" s="7" t="inlineStr">
        <is>
          <t>HIDRATANTE LABIAL TUTTI FRUTTI 10G BEAUTYLOO</t>
        </is>
      </c>
      <c r="D2417" s="7" t="inlineStr">
        <is>
          <t>PERF/COSME</t>
        </is>
      </c>
      <c r="E2417" s="7" t="inlineStr">
        <is>
          <t>C</t>
        </is>
      </c>
      <c r="F2417" s="13" t="n">
        <v>1</v>
      </c>
      <c r="G2417" s="13" t="n">
        <v>1</v>
      </c>
      <c r="H2417" s="8" t="n">
        <v>8.24</v>
      </c>
      <c r="I2417" s="8" t="n">
        <v>8.24</v>
      </c>
      <c r="J2417" s="8" t="n">
        <v>8.24</v>
      </c>
      <c r="K2417" s="8" t="n"/>
      <c r="L2417" s="8" t="n"/>
      <c r="M2417" s="8" t="n"/>
      <c r="N2417" s="8" t="n"/>
      <c r="O2417" s="8" t="n"/>
      <c r="P2417" s="8" t="n"/>
      <c r="Q2417" s="8" t="n"/>
      <c r="R2417" s="8" t="n"/>
      <c r="S2417" s="8" t="n"/>
      <c r="T2417" s="7" t="inlineStr">
        <is>
          <t>SEM COTAÇÃO</t>
        </is>
      </c>
      <c r="U2417" s="8" t="n"/>
      <c r="V2417" s="14" t="n"/>
      <c r="W2417" s="14" t="n"/>
      <c r="X2417" s="7" t="inlineStr"/>
      <c r="Y2417" s="7" t="inlineStr"/>
    </row>
    <row r="2418">
      <c r="A2418" s="7" t="n">
        <v>284521</v>
      </c>
      <c r="B2418" s="12" t="inlineStr">
        <is>
          <t>7891058002657</t>
        </is>
      </c>
      <c r="C2418" s="7" t="inlineStr">
        <is>
          <t>HIDROCLOROTIAZIDA 25MG CX 30 COMP</t>
        </is>
      </c>
      <c r="D2418" s="7" t="inlineStr">
        <is>
          <t>GENERICO</t>
        </is>
      </c>
      <c r="E2418" s="7" t="inlineStr">
        <is>
          <t>A</t>
        </is>
      </c>
      <c r="F2418" s="13" t="n">
        <v>75</v>
      </c>
      <c r="G2418" s="13" t="n">
        <v>75</v>
      </c>
      <c r="H2418" s="8" t="n">
        <v>2.38</v>
      </c>
      <c r="I2418" s="8" t="n">
        <v>0.8065</v>
      </c>
      <c r="J2418" s="8" t="n">
        <v>1.8555</v>
      </c>
      <c r="K2418" s="8" t="n"/>
      <c r="L2418" s="8" t="n"/>
      <c r="M2418" s="8" t="n"/>
      <c r="N2418" s="8" t="n"/>
      <c r="O2418" s="8" t="n"/>
      <c r="P2418" s="15" t="n">
        <v>2.434242</v>
      </c>
      <c r="Q2418" s="8" t="n"/>
      <c r="R2418" s="8" t="n"/>
      <c r="S2418" s="8" t="n"/>
      <c r="T2418" s="7" t="inlineStr">
        <is>
          <t>NAZARIA</t>
        </is>
      </c>
      <c r="U2418" s="8" t="n">
        <v>2.434242</v>
      </c>
      <c r="V2418" s="14">
        <f>U2418/J2418-1</f>
        <v/>
      </c>
      <c r="W2418" s="14">
        <f>U2418/H2418-1</f>
        <v/>
      </c>
      <c r="X2418" s="16" t="inlineStr">
        <is>
          <t>ACIMA +2.3%</t>
        </is>
      </c>
      <c r="Y2418" s="7" t="inlineStr"/>
    </row>
    <row r="2419">
      <c r="A2419" s="7" t="n">
        <v>285361</v>
      </c>
      <c r="B2419" s="12" t="inlineStr">
        <is>
          <t>7896523210070</t>
        </is>
      </c>
      <c r="C2419" s="7" t="inlineStr">
        <is>
          <t>HIDROCLOROTIAZIDA 25MG CX 3BL X 10 COMP</t>
        </is>
      </c>
      <c r="D2419" s="7" t="inlineStr">
        <is>
          <t>GENERICO</t>
        </is>
      </c>
      <c r="E2419" s="7" t="inlineStr">
        <is>
          <t>A</t>
        </is>
      </c>
      <c r="F2419" s="13" t="n">
        <v>62</v>
      </c>
      <c r="G2419" s="13" t="n">
        <v>62</v>
      </c>
      <c r="H2419" s="8" t="n">
        <v>1.25</v>
      </c>
      <c r="I2419" s="8" t="n">
        <v>1.15</v>
      </c>
      <c r="J2419" s="8" t="n">
        <v>1.166666666666667</v>
      </c>
      <c r="K2419" s="8" t="n"/>
      <c r="L2419" s="8" t="n"/>
      <c r="M2419" s="8" t="n"/>
      <c r="N2419" s="8" t="n"/>
      <c r="O2419" s="8" t="n"/>
      <c r="P2419" s="15" t="n">
        <v>5.09</v>
      </c>
      <c r="Q2419" s="8" t="n"/>
      <c r="R2419" s="8" t="n"/>
      <c r="S2419" s="8" t="n"/>
      <c r="T2419" s="7" t="inlineStr">
        <is>
          <t>NAZARIA</t>
        </is>
      </c>
      <c r="U2419" s="8" t="n">
        <v>5.09</v>
      </c>
      <c r="V2419" s="14">
        <f>U2419/J2419-1</f>
        <v/>
      </c>
      <c r="W2419" s="14">
        <f>U2419/H2419-1</f>
        <v/>
      </c>
      <c r="X2419" s="16" t="inlineStr">
        <is>
          <t>ACIMA +307.2%</t>
        </is>
      </c>
      <c r="Y2419" s="7" t="inlineStr">
        <is>
          <t>NAZARIA: conferir emb.</t>
        </is>
      </c>
    </row>
    <row r="2420">
      <c r="A2420" s="7" t="n">
        <v>637601</v>
      </c>
      <c r="B2420" s="12" t="inlineStr">
        <is>
          <t>7908265201503</t>
        </is>
      </c>
      <c r="C2420" s="7" t="inlineStr">
        <is>
          <t>HIDROGEL AMORFO COM ALGINATO 30 G TB</t>
        </is>
      </c>
      <c r="D2420" s="7" t="inlineStr">
        <is>
          <t>CURATIVO</t>
        </is>
      </c>
      <c r="E2420" s="7" t="inlineStr">
        <is>
          <t>C</t>
        </is>
      </c>
      <c r="F2420" s="13" t="n">
        <v>1</v>
      </c>
      <c r="G2420" s="13" t="n">
        <v>1</v>
      </c>
      <c r="H2420" s="8" t="n">
        <v>14</v>
      </c>
      <c r="I2420" s="8" t="n">
        <v>14</v>
      </c>
      <c r="J2420" s="8" t="n">
        <v>14</v>
      </c>
      <c r="K2420" s="8" t="n"/>
      <c r="L2420" s="8" t="n"/>
      <c r="M2420" s="8" t="n"/>
      <c r="N2420" s="8" t="n"/>
      <c r="O2420" s="8" t="n"/>
      <c r="P2420" s="8" t="n"/>
      <c r="Q2420" s="8" t="n"/>
      <c r="R2420" s="8" t="n"/>
      <c r="S2420" s="8" t="n"/>
      <c r="T2420" s="7" t="inlineStr">
        <is>
          <t>SEM COTAÇÃO</t>
        </is>
      </c>
      <c r="U2420" s="8" t="n"/>
      <c r="V2420" s="14" t="n"/>
      <c r="W2420" s="14" t="n"/>
      <c r="X2420" s="7" t="inlineStr"/>
      <c r="Y2420" s="7" t="inlineStr"/>
    </row>
    <row r="2421">
      <c r="A2421" s="7" t="n">
        <v>621281</v>
      </c>
      <c r="B2421" s="12" t="inlineStr">
        <is>
          <t>7908265201480</t>
        </is>
      </c>
      <c r="C2421" s="7" t="inlineStr">
        <is>
          <t>HIDROGEL AMORFO COM ALGINATO 85 G TB</t>
        </is>
      </c>
      <c r="D2421" s="7" t="inlineStr">
        <is>
          <t>SIMILAR</t>
        </is>
      </c>
      <c r="E2421" s="7" t="inlineStr">
        <is>
          <t>A</t>
        </is>
      </c>
      <c r="F2421" s="13" t="n">
        <v>1</v>
      </c>
      <c r="G2421" s="13" t="n">
        <v>1</v>
      </c>
      <c r="H2421" s="8" t="n">
        <v>16</v>
      </c>
      <c r="I2421" s="8" t="n">
        <v>16</v>
      </c>
      <c r="J2421" s="8" t="n">
        <v>16</v>
      </c>
      <c r="K2421" s="8" t="n"/>
      <c r="L2421" s="8" t="n"/>
      <c r="M2421" s="8" t="n"/>
      <c r="N2421" s="8" t="n"/>
      <c r="O2421" s="8" t="n"/>
      <c r="P2421" s="8" t="n"/>
      <c r="Q2421" s="8" t="n"/>
      <c r="R2421" s="8" t="n"/>
      <c r="S2421" s="8" t="n"/>
      <c r="T2421" s="7" t="inlineStr">
        <is>
          <t>SEM COTAÇÃO</t>
        </is>
      </c>
      <c r="U2421" s="8" t="n"/>
      <c r="V2421" s="14" t="n"/>
      <c r="W2421" s="14" t="n"/>
      <c r="X2421" s="7" t="inlineStr"/>
      <c r="Y2421" s="7" t="inlineStr"/>
    </row>
    <row r="2422">
      <c r="A2422" s="7" t="n">
        <v>531541</v>
      </c>
      <c r="B2422" s="12" t="inlineStr">
        <is>
          <t>7894164006755</t>
        </is>
      </c>
      <c r="C2422" s="7" t="inlineStr">
        <is>
          <t>HIDROXIDO ALUMINIO SAB HORTELA 100ML</t>
        </is>
      </c>
      <c r="D2422" s="7" t="inlineStr">
        <is>
          <t>GENERICO</t>
        </is>
      </c>
      <c r="E2422" s="7" t="inlineStr">
        <is>
          <t>A</t>
        </is>
      </c>
      <c r="F2422" s="13" t="n">
        <v>53</v>
      </c>
      <c r="G2422" s="13" t="n">
        <v>53</v>
      </c>
      <c r="H2422" s="8" t="n">
        <v>5.28</v>
      </c>
      <c r="I2422" s="8" t="n">
        <v>4.65</v>
      </c>
      <c r="J2422" s="8" t="n">
        <v>5.07</v>
      </c>
      <c r="K2422" s="8" t="n">
        <v>6.08</v>
      </c>
      <c r="L2422" s="8" t="n"/>
      <c r="M2422" s="8" t="n"/>
      <c r="N2422" s="8" t="n">
        <v>6.17</v>
      </c>
      <c r="O2422" s="8" t="n"/>
      <c r="P2422" s="8" t="n"/>
      <c r="Q2422" s="8" t="n">
        <v>6.36</v>
      </c>
      <c r="R2422" s="15" t="n">
        <v>6.06</v>
      </c>
      <c r="S2422" s="8" t="n"/>
      <c r="T2422" s="7" t="inlineStr">
        <is>
          <t>BRASFARMA</t>
        </is>
      </c>
      <c r="U2422" s="8" t="n">
        <v>6.06</v>
      </c>
      <c r="V2422" s="14">
        <f>U2422/J2422-1</f>
        <v/>
      </c>
      <c r="W2422" s="14">
        <f>U2422/H2422-1</f>
        <v/>
      </c>
      <c r="X2422" s="16" t="inlineStr">
        <is>
          <t>ACIMA +14.8%</t>
        </is>
      </c>
      <c r="Y2422" s="7" t="inlineStr"/>
    </row>
    <row r="2423">
      <c r="A2423" s="7" t="n">
        <v>531561</v>
      </c>
      <c r="B2423" s="12" t="inlineStr">
        <is>
          <t>7894164006762</t>
        </is>
      </c>
      <c r="C2423" s="7" t="inlineStr">
        <is>
          <t>HIDROXIDO ALUMINIO SAB HORTELA 150ML</t>
        </is>
      </c>
      <c r="D2423" s="7" t="inlineStr">
        <is>
          <t>SIMILAR</t>
        </is>
      </c>
      <c r="E2423" s="7" t="inlineStr">
        <is>
          <t>C</t>
        </is>
      </c>
      <c r="F2423" s="13" t="n">
        <v>4</v>
      </c>
      <c r="G2423" s="13" t="n">
        <v>4</v>
      </c>
      <c r="H2423" s="8" t="n">
        <v>7.25</v>
      </c>
      <c r="I2423" s="8" t="n">
        <v>7.25</v>
      </c>
      <c r="J2423" s="8" t="n">
        <v>7.25</v>
      </c>
      <c r="K2423" s="15" t="n">
        <v>7.25</v>
      </c>
      <c r="L2423" s="8" t="n"/>
      <c r="M2423" s="8" t="n"/>
      <c r="N2423" s="8" t="n">
        <v>7.86</v>
      </c>
      <c r="O2423" s="8" t="n"/>
      <c r="P2423" s="8" t="n"/>
      <c r="Q2423" s="8" t="n">
        <v>8.109999999999999</v>
      </c>
      <c r="R2423" s="8" t="n">
        <v>7.6</v>
      </c>
      <c r="S2423" s="8" t="n"/>
      <c r="T2423" s="7" t="inlineStr">
        <is>
          <t>DIMEC</t>
        </is>
      </c>
      <c r="U2423" s="8" t="n">
        <v>7.25</v>
      </c>
      <c r="V2423" s="14">
        <f>U2423/J2423-1</f>
        <v/>
      </c>
      <c r="W2423" s="14">
        <f>U2423/H2423-1</f>
        <v/>
      </c>
      <c r="X2423" s="17" t="inlineStr">
        <is>
          <t>OK (≤ menor hist.)</t>
        </is>
      </c>
      <c r="Y2423" s="7" t="inlineStr"/>
    </row>
    <row r="2424">
      <c r="A2424" s="7" t="n">
        <v>639851</v>
      </c>
      <c r="B2424" s="12" t="inlineStr">
        <is>
          <t>7899095200586</t>
        </is>
      </c>
      <c r="C2424" s="7" t="inlineStr">
        <is>
          <t>HILUROPT 1,5MG/ML SOL OFT FR GOT X 10ML</t>
        </is>
      </c>
      <c r="D2424" s="7" t="inlineStr">
        <is>
          <t>RX - OTC</t>
        </is>
      </c>
      <c r="E2424" s="7" t="inlineStr">
        <is>
          <t>A</t>
        </is>
      </c>
      <c r="F2424" s="13" t="n">
        <v>9</v>
      </c>
      <c r="G2424" s="13" t="n">
        <v>9</v>
      </c>
      <c r="H2424" s="8" t="n">
        <v>39.465</v>
      </c>
      <c r="I2424" s="8" t="n">
        <v>33.63</v>
      </c>
      <c r="J2424" s="8" t="n">
        <v>35.83166666666667</v>
      </c>
      <c r="K2424" s="8" t="n"/>
      <c r="L2424" s="8" t="n"/>
      <c r="M2424" s="15" t="n">
        <v>36.09</v>
      </c>
      <c r="N2424" s="8" t="n"/>
      <c r="O2424" s="8" t="n"/>
      <c r="P2424" s="8" t="n">
        <v>39.55</v>
      </c>
      <c r="Q2424" s="8" t="n"/>
      <c r="R2424" s="8" t="n"/>
      <c r="S2424" s="8" t="n"/>
      <c r="T2424" s="7" t="inlineStr">
        <is>
          <t>EPAN</t>
        </is>
      </c>
      <c r="U2424" s="8" t="n">
        <v>36.09</v>
      </c>
      <c r="V2424" s="14">
        <f>U2424/J2424-1</f>
        <v/>
      </c>
      <c r="W2424" s="14">
        <f>U2424/H2424-1</f>
        <v/>
      </c>
      <c r="X2424" s="17" t="inlineStr">
        <is>
          <t>OK (≤ últ. compra)</t>
        </is>
      </c>
      <c r="Y2424" s="7" t="inlineStr"/>
    </row>
    <row r="2425">
      <c r="A2425" s="7" t="n">
        <v>554181</v>
      </c>
      <c r="B2425" s="12" t="inlineStr"/>
      <c r="C2425" s="7" t="inlineStr">
        <is>
          <t>HIPOGLOS AMENDOAS 40G</t>
        </is>
      </c>
      <c r="D2425" s="7" t="inlineStr">
        <is>
          <t>RX</t>
        </is>
      </c>
      <c r="E2425" s="7" t="inlineStr">
        <is>
          <t>A</t>
        </is>
      </c>
      <c r="F2425" s="13" t="n">
        <v>3</v>
      </c>
      <c r="G2425" s="13" t="n">
        <v>3</v>
      </c>
      <c r="H2425" s="8" t="n">
        <v>22.94</v>
      </c>
      <c r="I2425" s="8" t="n">
        <v>19.3367</v>
      </c>
      <c r="J2425" s="8" t="n">
        <v>20.76363333333333</v>
      </c>
      <c r="K2425" s="8" t="n"/>
      <c r="L2425" s="8" t="n"/>
      <c r="M2425" s="8" t="n"/>
      <c r="N2425" s="8" t="n"/>
      <c r="O2425" s="8" t="n"/>
      <c r="P2425" s="8" t="n"/>
      <c r="Q2425" s="8" t="n"/>
      <c r="R2425" s="8" t="n"/>
      <c r="S2425" s="8" t="n"/>
      <c r="T2425" s="7" t="inlineStr">
        <is>
          <t>SEM COTAÇÃO</t>
        </is>
      </c>
      <c r="U2425" s="8" t="n"/>
      <c r="V2425" s="14" t="n"/>
      <c r="W2425" s="14" t="n"/>
      <c r="X2425" s="7" t="inlineStr"/>
      <c r="Y2425" s="7" t="inlineStr"/>
    </row>
    <row r="2426">
      <c r="A2426" s="7" t="n">
        <v>621551</v>
      </c>
      <c r="B2426" s="12" t="inlineStr">
        <is>
          <t>7891010255763</t>
        </is>
      </c>
      <c r="C2426" s="7" t="inlineStr">
        <is>
          <t>HIPOGLOS ORIGINAL 40G</t>
        </is>
      </c>
      <c r="D2426" s="7" t="inlineStr">
        <is>
          <t>RX</t>
        </is>
      </c>
      <c r="E2426" s="7" t="inlineStr">
        <is>
          <t>A</t>
        </is>
      </c>
      <c r="F2426" s="13" t="n">
        <v>6</v>
      </c>
      <c r="G2426" s="13" t="n">
        <v>6</v>
      </c>
      <c r="H2426" s="8" t="n">
        <v>21.3575</v>
      </c>
      <c r="I2426" s="8" t="n">
        <v>18.405</v>
      </c>
      <c r="J2426" s="8" t="n">
        <v>19.7634</v>
      </c>
      <c r="K2426" s="8" t="n"/>
      <c r="L2426" s="8" t="n"/>
      <c r="M2426" s="15" t="n">
        <v>19.49</v>
      </c>
      <c r="N2426" s="8" t="n"/>
      <c r="O2426" s="8" t="n"/>
      <c r="P2426" s="8" t="n">
        <v>22.73</v>
      </c>
      <c r="Q2426" s="8" t="n"/>
      <c r="R2426" s="8" t="n"/>
      <c r="S2426" s="8" t="n"/>
      <c r="T2426" s="7" t="inlineStr">
        <is>
          <t>EPAN</t>
        </is>
      </c>
      <c r="U2426" s="8" t="n">
        <v>19.49</v>
      </c>
      <c r="V2426" s="14">
        <f>U2426/J2426-1</f>
        <v/>
      </c>
      <c r="W2426" s="14">
        <f>U2426/H2426-1</f>
        <v/>
      </c>
      <c r="X2426" s="17" t="inlineStr">
        <is>
          <t>OK (≤ últ. compra)</t>
        </is>
      </c>
      <c r="Y2426" s="7" t="inlineStr"/>
    </row>
    <row r="2427">
      <c r="A2427" s="7" t="n">
        <v>572661</v>
      </c>
      <c r="B2427" s="12" t="inlineStr">
        <is>
          <t>7896523219189</t>
        </is>
      </c>
      <c r="C2427" s="7" t="inlineStr">
        <is>
          <t>HIPOMED AD E PED POM BG 45 G</t>
        </is>
      </c>
      <c r="D2427" s="7" t="inlineStr">
        <is>
          <t>SIMILAR</t>
        </is>
      </c>
      <c r="E2427" s="7" t="inlineStr">
        <is>
          <t>C</t>
        </is>
      </c>
      <c r="F2427" s="13" t="n">
        <v>5</v>
      </c>
      <c r="G2427" s="13" t="n">
        <v>5</v>
      </c>
      <c r="H2427" s="8" t="n">
        <v>5.69</v>
      </c>
      <c r="I2427" s="8" t="n">
        <v>5.69</v>
      </c>
      <c r="J2427" s="8" t="n">
        <v>5.69</v>
      </c>
      <c r="K2427" s="8" t="n"/>
      <c r="L2427" s="8" t="n"/>
      <c r="M2427" s="8" t="n"/>
      <c r="N2427" s="8" t="n"/>
      <c r="O2427" s="8" t="n"/>
      <c r="P2427" s="8" t="n"/>
      <c r="Q2427" s="8" t="n"/>
      <c r="R2427" s="8" t="n"/>
      <c r="S2427" s="8" t="n"/>
      <c r="T2427" s="7" t="inlineStr">
        <is>
          <t>SEM COTAÇÃO</t>
        </is>
      </c>
      <c r="U2427" s="8" t="n"/>
      <c r="V2427" s="14" t="n"/>
      <c r="W2427" s="14" t="n"/>
      <c r="X2427" s="7" t="inlineStr"/>
      <c r="Y2427" s="7" t="inlineStr"/>
    </row>
    <row r="2428">
      <c r="A2428" s="7" t="n">
        <v>406241</v>
      </c>
      <c r="B2428" s="12" t="inlineStr">
        <is>
          <t>7897411601505</t>
        </is>
      </c>
      <c r="C2428" s="7" t="inlineStr">
        <is>
          <t>HIRUDOID 3MG/G GEL BG X 40G</t>
        </is>
      </c>
      <c r="D2428" s="7" t="inlineStr">
        <is>
          <t>RX - OTC</t>
        </is>
      </c>
      <c r="E2428" s="7" t="inlineStr">
        <is>
          <t>A</t>
        </is>
      </c>
      <c r="F2428" s="13" t="n">
        <v>2</v>
      </c>
      <c r="G2428" s="13" t="n">
        <v>2</v>
      </c>
      <c r="H2428" s="8" t="n">
        <v>32.92</v>
      </c>
      <c r="I2428" s="8" t="n">
        <v>28.79</v>
      </c>
      <c r="J2428" s="8" t="n">
        <v>31.54333333333333</v>
      </c>
      <c r="K2428" s="8" t="n"/>
      <c r="L2428" s="8" t="n"/>
      <c r="M2428" s="8" t="n">
        <v>32.92</v>
      </c>
      <c r="N2428" s="8" t="n"/>
      <c r="O2428" s="8" t="n"/>
      <c r="P2428" s="15" t="n">
        <v>32.016</v>
      </c>
      <c r="Q2428" s="8" t="n"/>
      <c r="R2428" s="8" t="n"/>
      <c r="S2428" s="8" t="n"/>
      <c r="T2428" s="7" t="inlineStr">
        <is>
          <t>NAZARIA</t>
        </is>
      </c>
      <c r="U2428" s="8" t="n">
        <v>32.016</v>
      </c>
      <c r="V2428" s="14">
        <f>U2428/J2428-1</f>
        <v/>
      </c>
      <c r="W2428" s="14">
        <f>U2428/H2428-1</f>
        <v/>
      </c>
      <c r="X2428" s="17" t="inlineStr">
        <is>
          <t>OK (≤ últ. compra)</t>
        </is>
      </c>
      <c r="Y2428" s="7" t="inlineStr"/>
    </row>
    <row r="2429">
      <c r="A2429" s="7" t="n">
        <v>406261</v>
      </c>
      <c r="B2429" s="12" t="inlineStr">
        <is>
          <t>7897411601567</t>
        </is>
      </c>
      <c r="C2429" s="7" t="inlineStr">
        <is>
          <t>HIRUDOID 5MG/G POM BG X 40G</t>
        </is>
      </c>
      <c r="D2429" s="7" t="inlineStr">
        <is>
          <t>RX - OTC</t>
        </is>
      </c>
      <c r="E2429" s="7" t="inlineStr">
        <is>
          <t>B</t>
        </is>
      </c>
      <c r="F2429" s="13" t="n">
        <v>1</v>
      </c>
      <c r="G2429" s="13" t="n">
        <v>1</v>
      </c>
      <c r="H2429" s="8" t="n">
        <v>36.05</v>
      </c>
      <c r="I2429" s="8" t="n">
        <v>31.52</v>
      </c>
      <c r="J2429" s="8" t="n">
        <v>34.415</v>
      </c>
      <c r="K2429" s="8" t="n"/>
      <c r="L2429" s="8" t="n"/>
      <c r="M2429" s="8" t="n">
        <v>36.05</v>
      </c>
      <c r="N2429" s="8" t="n"/>
      <c r="O2429" s="8" t="n"/>
      <c r="P2429" s="15" t="n">
        <v>35.0592</v>
      </c>
      <c r="Q2429" s="8" t="n"/>
      <c r="R2429" s="8" t="n"/>
      <c r="S2429" s="8" t="n"/>
      <c r="T2429" s="7" t="inlineStr">
        <is>
          <t>NAZARIA</t>
        </is>
      </c>
      <c r="U2429" s="8" t="n">
        <v>35.0592</v>
      </c>
      <c r="V2429" s="14">
        <f>U2429/J2429-1</f>
        <v/>
      </c>
      <c r="W2429" s="14">
        <f>U2429/H2429-1</f>
        <v/>
      </c>
      <c r="X2429" s="17" t="inlineStr">
        <is>
          <t>OK (≤ últ. compra)</t>
        </is>
      </c>
      <c r="Y2429" s="7" t="inlineStr"/>
    </row>
    <row r="2430">
      <c r="A2430" s="7" t="n">
        <v>213481</v>
      </c>
      <c r="B2430" s="12" t="inlineStr">
        <is>
          <t>7897129301506</t>
        </is>
      </c>
      <c r="C2430" s="7" t="inlineStr">
        <is>
          <t>HIXIZINE 2MG/ML SOL OR FR 120ML</t>
        </is>
      </c>
      <c r="D2430" s="7" t="inlineStr">
        <is>
          <t>RX</t>
        </is>
      </c>
      <c r="E2430" s="7" t="inlineStr">
        <is>
          <t>A</t>
        </is>
      </c>
      <c r="F2430" s="13" t="n">
        <v>1</v>
      </c>
      <c r="G2430" s="13" t="n">
        <v>1</v>
      </c>
      <c r="H2430" s="8" t="n">
        <v>47.88</v>
      </c>
      <c r="I2430" s="8" t="n">
        <v>43.2</v>
      </c>
      <c r="J2430" s="8" t="n">
        <v>45.56890000000001</v>
      </c>
      <c r="K2430" s="8" t="n"/>
      <c r="L2430" s="8" t="n"/>
      <c r="M2430" s="8" t="n"/>
      <c r="N2430" s="8" t="n"/>
      <c r="O2430" s="15" t="n">
        <v>47.38</v>
      </c>
      <c r="P2430" s="8" t="n">
        <v>49.3822</v>
      </c>
      <c r="Q2430" s="8" t="n"/>
      <c r="R2430" s="8" t="n"/>
      <c r="S2430" s="8" t="n"/>
      <c r="T2430" s="7" t="inlineStr">
        <is>
          <t>TAPAJOS</t>
        </is>
      </c>
      <c r="U2430" s="8" t="n">
        <v>47.38</v>
      </c>
      <c r="V2430" s="14">
        <f>U2430/J2430-1</f>
        <v/>
      </c>
      <c r="W2430" s="14">
        <f>U2430/H2430-1</f>
        <v/>
      </c>
      <c r="X2430" s="17" t="inlineStr">
        <is>
          <t>OK (≤ últ. compra)</t>
        </is>
      </c>
      <c r="Y2430" s="7" t="inlineStr"/>
    </row>
    <row r="2431">
      <c r="A2431" s="7" t="n">
        <v>289481</v>
      </c>
      <c r="B2431" s="12" t="inlineStr"/>
      <c r="C2431" s="7" t="inlineStr">
        <is>
          <t>HOLMES H 40+25MG CX 30 COMP REV</t>
        </is>
      </c>
      <c r="D2431" s="7" t="inlineStr">
        <is>
          <t>RX</t>
        </is>
      </c>
      <c r="E2431" s="7" t="inlineStr">
        <is>
          <t>A</t>
        </is>
      </c>
      <c r="F2431" s="13" t="n">
        <v>1</v>
      </c>
      <c r="G2431" s="13" t="n">
        <v>1</v>
      </c>
      <c r="H2431" s="8" t="n">
        <v>65.11</v>
      </c>
      <c r="I2431" s="8" t="n">
        <v>59.345</v>
      </c>
      <c r="J2431" s="8" t="n">
        <v>63.18833333333333</v>
      </c>
      <c r="K2431" s="8" t="n"/>
      <c r="L2431" s="8" t="n"/>
      <c r="M2431" s="8" t="n"/>
      <c r="N2431" s="8" t="n"/>
      <c r="O2431" s="8" t="n"/>
      <c r="P2431" s="8" t="n"/>
      <c r="Q2431" s="8" t="n"/>
      <c r="R2431" s="8" t="n"/>
      <c r="S2431" s="8" t="n"/>
      <c r="T2431" s="7" t="inlineStr">
        <is>
          <t>SEM COTAÇÃO</t>
        </is>
      </c>
      <c r="U2431" s="8" t="n"/>
      <c r="V2431" s="14" t="n"/>
      <c r="W2431" s="14" t="n"/>
      <c r="X2431" s="7" t="inlineStr"/>
      <c r="Y2431" s="7" t="inlineStr"/>
    </row>
    <row r="2432">
      <c r="A2432" s="7" t="n">
        <v>597601</v>
      </c>
      <c r="B2432" s="12" t="inlineStr">
        <is>
          <t>7899941201958</t>
        </is>
      </c>
      <c r="C2432" s="7" t="inlineStr">
        <is>
          <t>HORUS MAX TITANIUM BLUE ICE POTE 150G</t>
        </is>
      </c>
      <c r="D2432" s="7" t="inlineStr">
        <is>
          <t>VITAMINA E SIMILARES</t>
        </is>
      </c>
      <c r="E2432" s="7" t="inlineStr">
        <is>
          <t>C</t>
        </is>
      </c>
      <c r="F2432" s="13" t="n">
        <v>1</v>
      </c>
      <c r="G2432" s="13" t="n">
        <v>1</v>
      </c>
      <c r="H2432" s="8" t="n">
        <v>63.43</v>
      </c>
      <c r="I2432" s="8" t="n">
        <v>63.43</v>
      </c>
      <c r="J2432" s="8" t="n">
        <v>63.43</v>
      </c>
      <c r="K2432" s="8" t="n"/>
      <c r="L2432" s="8" t="n"/>
      <c r="M2432" s="8" t="n"/>
      <c r="N2432" s="15" t="n">
        <v>41.64</v>
      </c>
      <c r="O2432" s="8" t="n"/>
      <c r="P2432" s="8" t="n">
        <v>38.09</v>
      </c>
      <c r="Q2432" s="8" t="n"/>
      <c r="R2432" s="8" t="n"/>
      <c r="S2432" s="8" t="n"/>
      <c r="T2432" s="7" t="inlineStr">
        <is>
          <t>CENTROFARMA</t>
        </is>
      </c>
      <c r="U2432" s="8" t="n">
        <v>41.64</v>
      </c>
      <c r="V2432" s="14">
        <f>U2432/J2432-1</f>
        <v/>
      </c>
      <c r="W2432" s="14">
        <f>U2432/H2432-1</f>
        <v/>
      </c>
      <c r="X2432" s="17" t="inlineStr">
        <is>
          <t>OK (≤ menor hist.)</t>
        </is>
      </c>
      <c r="Y2432" s="7" t="inlineStr">
        <is>
          <t>NAZARIA: sem estoque</t>
        </is>
      </c>
    </row>
    <row r="2433">
      <c r="A2433" s="7" t="n">
        <v>597591</v>
      </c>
      <c r="B2433" s="12" t="inlineStr">
        <is>
          <t>7899941202849</t>
        </is>
      </c>
      <c r="C2433" s="7" t="inlineStr">
        <is>
          <t>HORUS MAX TITANIUM CITRUS POTE 150G</t>
        </is>
      </c>
      <c r="D2433" s="7" t="inlineStr">
        <is>
          <t>SUPLEMENTO</t>
        </is>
      </c>
      <c r="E2433" s="7" t="inlineStr">
        <is>
          <t>C</t>
        </is>
      </c>
      <c r="F2433" s="13" t="n">
        <v>1</v>
      </c>
      <c r="G2433" s="13" t="n">
        <v>1</v>
      </c>
      <c r="H2433" s="8" t="n">
        <v>56.83</v>
      </c>
      <c r="I2433" s="8" t="n">
        <v>56.83</v>
      </c>
      <c r="J2433" s="8" t="n">
        <v>56.83000000000001</v>
      </c>
      <c r="K2433" s="8" t="n"/>
      <c r="L2433" s="8" t="n"/>
      <c r="M2433" s="8" t="n"/>
      <c r="N2433" s="15" t="n">
        <v>41.64</v>
      </c>
      <c r="O2433" s="8" t="n"/>
      <c r="P2433" s="8" t="n"/>
      <c r="Q2433" s="8" t="n"/>
      <c r="R2433" s="8" t="n"/>
      <c r="S2433" s="8" t="n">
        <v>59</v>
      </c>
      <c r="T2433" s="7" t="inlineStr">
        <is>
          <t>CENTROFARMA</t>
        </is>
      </c>
      <c r="U2433" s="8" t="n">
        <v>41.64</v>
      </c>
      <c r="V2433" s="14">
        <f>U2433/J2433-1</f>
        <v/>
      </c>
      <c r="W2433" s="14">
        <f>U2433/H2433-1</f>
        <v/>
      </c>
      <c r="X2433" s="17" t="inlineStr">
        <is>
          <t>OK (≤ menor hist.)</t>
        </is>
      </c>
      <c r="Y2433" s="7" t="inlineStr"/>
    </row>
    <row r="2434">
      <c r="A2434" s="7" t="n">
        <v>646171</v>
      </c>
      <c r="B2434" s="12" t="inlineStr">
        <is>
          <t>7899941202269</t>
        </is>
      </c>
      <c r="C2434" s="7" t="inlineStr">
        <is>
          <t>HORUS MAX TITANIUM FRUTAS VERMELHAS POTE 150G</t>
        </is>
      </c>
      <c r="D2434" s="7" t="inlineStr">
        <is>
          <t>SUPLEMENTO</t>
        </is>
      </c>
      <c r="E2434" s="7" t="inlineStr">
        <is>
          <t>A</t>
        </is>
      </c>
      <c r="F2434" s="13" t="n">
        <v>3</v>
      </c>
      <c r="G2434" s="13" t="n">
        <v>3</v>
      </c>
      <c r="H2434" s="8" t="n">
        <v>59.9</v>
      </c>
      <c r="I2434" s="8" t="n">
        <v>59.9</v>
      </c>
      <c r="J2434" s="8" t="n">
        <v>59.9</v>
      </c>
      <c r="K2434" s="8" t="n"/>
      <c r="L2434" s="8" t="n"/>
      <c r="M2434" s="8" t="n"/>
      <c r="N2434" s="8" t="n">
        <v>41.64</v>
      </c>
      <c r="O2434" s="8" t="n"/>
      <c r="P2434" s="15" t="n">
        <v>38.09</v>
      </c>
      <c r="Q2434" s="8" t="n"/>
      <c r="R2434" s="8" t="n"/>
      <c r="S2434" s="8" t="n">
        <v>59</v>
      </c>
      <c r="T2434" s="7" t="inlineStr">
        <is>
          <t>NAZARIA</t>
        </is>
      </c>
      <c r="U2434" s="8" t="n">
        <v>38.09</v>
      </c>
      <c r="V2434" s="14">
        <f>U2434/J2434-1</f>
        <v/>
      </c>
      <c r="W2434" s="14">
        <f>U2434/H2434-1</f>
        <v/>
      </c>
      <c r="X2434" s="17" t="inlineStr">
        <is>
          <t>OK (≤ menor hist.)</t>
        </is>
      </c>
      <c r="Y2434" s="7" t="inlineStr"/>
    </row>
    <row r="2435">
      <c r="A2435" s="7" t="n">
        <v>589151</v>
      </c>
      <c r="B2435" s="12" t="inlineStr">
        <is>
          <t>7896018700741</t>
        </is>
      </c>
      <c r="C2435" s="7" t="inlineStr">
        <is>
          <t>HUGGIES SB LIQ 200ML CHA DE CAMOMILA</t>
        </is>
      </c>
      <c r="D2435" s="7" t="inlineStr">
        <is>
          <t>BABY/KIDS</t>
        </is>
      </c>
      <c r="E2435" s="7" t="inlineStr">
        <is>
          <t>C</t>
        </is>
      </c>
      <c r="F2435" s="13" t="n">
        <v>2</v>
      </c>
      <c r="G2435" s="13" t="n">
        <v>2</v>
      </c>
      <c r="H2435" s="8" t="n">
        <v>10.9442</v>
      </c>
      <c r="I2435" s="8" t="n">
        <v>10.9442</v>
      </c>
      <c r="J2435" s="8" t="n">
        <v>10.9442</v>
      </c>
      <c r="K2435" s="8" t="n"/>
      <c r="L2435" s="8" t="n"/>
      <c r="M2435" s="8" t="n"/>
      <c r="N2435" s="8" t="n"/>
      <c r="O2435" s="8" t="n"/>
      <c r="P2435" s="8" t="n">
        <v>15.73</v>
      </c>
      <c r="Q2435" s="8" t="n"/>
      <c r="R2435" s="8" t="n"/>
      <c r="S2435" s="8" t="n"/>
      <c r="T2435" s="7" t="inlineStr">
        <is>
          <t>SEM COTAÇÃO</t>
        </is>
      </c>
      <c r="U2435" s="8" t="n"/>
      <c r="V2435" s="14" t="n"/>
      <c r="W2435" s="14" t="n"/>
      <c r="X2435" s="7" t="inlineStr"/>
      <c r="Y2435" s="7" t="inlineStr">
        <is>
          <t>NAZARIA: sem estoque</t>
        </is>
      </c>
    </row>
    <row r="2436">
      <c r="A2436" s="7" t="n">
        <v>648871</v>
      </c>
      <c r="B2436" s="12" t="inlineStr">
        <is>
          <t>7908615033181</t>
        </is>
      </c>
      <c r="C2436" s="7" t="inlineStr">
        <is>
          <t>HYDRA-MATTE FPS50 COR4.0 30G+NORMADERM GEL 50G</t>
        </is>
      </c>
      <c r="D2436" s="7" t="inlineStr">
        <is>
          <t>DERMATOLOGICO</t>
        </is>
      </c>
      <c r="E2436" s="7" t="inlineStr">
        <is>
          <t>C</t>
        </is>
      </c>
      <c r="F2436" s="13" t="n">
        <v>1</v>
      </c>
      <c r="G2436" s="13" t="n">
        <v>1</v>
      </c>
      <c r="H2436" s="8" t="n">
        <v>60.6</v>
      </c>
      <c r="I2436" s="8" t="n">
        <v>60.6</v>
      </c>
      <c r="J2436" s="8" t="n">
        <v>60.6</v>
      </c>
      <c r="K2436" s="8" t="n"/>
      <c r="L2436" s="8" t="n"/>
      <c r="M2436" s="8" t="n"/>
      <c r="N2436" s="8" t="n"/>
      <c r="O2436" s="8" t="n"/>
      <c r="P2436" s="8" t="n"/>
      <c r="Q2436" s="8" t="n"/>
      <c r="R2436" s="8" t="n"/>
      <c r="S2436" s="8" t="n"/>
      <c r="T2436" s="7" t="inlineStr">
        <is>
          <t>SEM COTAÇÃO</t>
        </is>
      </c>
      <c r="U2436" s="8" t="n"/>
      <c r="V2436" s="14" t="n"/>
      <c r="W2436" s="14" t="n"/>
      <c r="X2436" s="7" t="inlineStr"/>
      <c r="Y2436" s="7" t="inlineStr"/>
    </row>
    <row r="2437">
      <c r="A2437" s="7" t="n">
        <v>656341</v>
      </c>
      <c r="B2437" s="12" t="inlineStr">
        <is>
          <t>7908324403886</t>
        </is>
      </c>
      <c r="C2437" s="7" t="inlineStr">
        <is>
          <t>HYDRATTA DES AERO MEN FRESH POWER VERDE 150ML</t>
        </is>
      </c>
      <c r="D2437" s="7" t="inlineStr">
        <is>
          <t>ANTITRANSPIRANTE/DESODORANTE</t>
        </is>
      </c>
      <c r="E2437" s="7" t="inlineStr">
        <is>
          <t>C</t>
        </is>
      </c>
      <c r="F2437" s="13" t="n">
        <v>1</v>
      </c>
      <c r="G2437" s="13" t="n">
        <v>1</v>
      </c>
      <c r="H2437" s="8" t="n">
        <v>5.55</v>
      </c>
      <c r="I2437" s="8" t="n">
        <v>5.55</v>
      </c>
      <c r="J2437" s="8" t="n">
        <v>5.55</v>
      </c>
      <c r="K2437" s="8" t="n"/>
      <c r="L2437" s="8" t="n"/>
      <c r="M2437" s="8" t="n"/>
      <c r="N2437" s="8" t="n"/>
      <c r="O2437" s="8" t="n"/>
      <c r="P2437" s="8" t="n"/>
      <c r="Q2437" s="8" t="n"/>
      <c r="R2437" s="8" t="n"/>
      <c r="S2437" s="8" t="n"/>
      <c r="T2437" s="7" t="inlineStr">
        <is>
          <t>SEM COTAÇÃO</t>
        </is>
      </c>
      <c r="U2437" s="8" t="n"/>
      <c r="V2437" s="14" t="n"/>
      <c r="W2437" s="14" t="n"/>
      <c r="X2437" s="7" t="inlineStr"/>
      <c r="Y2437" s="7" t="inlineStr"/>
    </row>
    <row r="2438">
      <c r="A2438" s="7" t="n">
        <v>656391</v>
      </c>
      <c r="B2438" s="12" t="inlineStr">
        <is>
          <t>7908324403893</t>
        </is>
      </c>
      <c r="C2438" s="7" t="inlineStr">
        <is>
          <t>HYDRATTA DES AERO MEN SPORT AZUL 150ML</t>
        </is>
      </c>
      <c r="D2438" s="7" t="inlineStr">
        <is>
          <t>ANTITRANSPIRANTE/DESODORANTE</t>
        </is>
      </c>
      <c r="E2438" s="7" t="inlineStr">
        <is>
          <t>C</t>
        </is>
      </c>
      <c r="F2438" s="13" t="n">
        <v>2</v>
      </c>
      <c r="G2438" s="13" t="n">
        <v>2</v>
      </c>
      <c r="H2438" s="8" t="n">
        <v>5.55</v>
      </c>
      <c r="I2438" s="8" t="n">
        <v>5.55</v>
      </c>
      <c r="J2438" s="8" t="n">
        <v>5.55</v>
      </c>
      <c r="K2438" s="8" t="n"/>
      <c r="L2438" s="8" t="n"/>
      <c r="M2438" s="8" t="n"/>
      <c r="N2438" s="8" t="n"/>
      <c r="O2438" s="8" t="n"/>
      <c r="P2438" s="8" t="n"/>
      <c r="Q2438" s="8" t="n"/>
      <c r="R2438" s="8" t="n"/>
      <c r="S2438" s="8" t="n"/>
      <c r="T2438" s="7" t="inlineStr">
        <is>
          <t>SEM COTAÇÃO</t>
        </is>
      </c>
      <c r="U2438" s="8" t="n"/>
      <c r="V2438" s="14" t="n"/>
      <c r="W2438" s="14" t="n"/>
      <c r="X2438" s="7" t="inlineStr"/>
      <c r="Y2438" s="7" t="inlineStr"/>
    </row>
    <row r="2439">
      <c r="A2439" s="7" t="n">
        <v>656321</v>
      </c>
      <c r="B2439" s="12" t="inlineStr">
        <is>
          <t>7908324403855</t>
        </is>
      </c>
      <c r="C2439" s="7" t="inlineStr">
        <is>
          <t>HYDRATTA DESO AERO FEM. ESSENCIAL  AZUL 150ML</t>
        </is>
      </c>
      <c r="D2439" s="7" t="inlineStr">
        <is>
          <t>ANTITRANSPIRANTE/DESODORANTE</t>
        </is>
      </c>
      <c r="E2439" s="7" t="inlineStr">
        <is>
          <t>C</t>
        </is>
      </c>
      <c r="F2439" s="13" t="n">
        <v>1</v>
      </c>
      <c r="G2439" s="13" t="n">
        <v>1</v>
      </c>
      <c r="H2439" s="8" t="n">
        <v>5.55</v>
      </c>
      <c r="I2439" s="8" t="n">
        <v>5.55</v>
      </c>
      <c r="J2439" s="8" t="n">
        <v>5.55</v>
      </c>
      <c r="K2439" s="8" t="n"/>
      <c r="L2439" s="8" t="n"/>
      <c r="M2439" s="8" t="n"/>
      <c r="N2439" s="8" t="n"/>
      <c r="O2439" s="8" t="n"/>
      <c r="P2439" s="8" t="n"/>
      <c r="Q2439" s="8" t="n"/>
      <c r="R2439" s="8" t="n"/>
      <c r="S2439" s="8" t="n"/>
      <c r="T2439" s="7" t="inlineStr">
        <is>
          <t>SEM COTAÇÃO</t>
        </is>
      </c>
      <c r="U2439" s="8" t="n"/>
      <c r="V2439" s="14" t="n"/>
      <c r="W2439" s="14" t="n"/>
      <c r="X2439" s="7" t="inlineStr"/>
      <c r="Y2439" s="7" t="inlineStr"/>
    </row>
    <row r="2440">
      <c r="A2440" s="7" t="n">
        <v>656331</v>
      </c>
      <c r="B2440" s="12" t="inlineStr">
        <is>
          <t>7908324403879</t>
        </is>
      </c>
      <c r="C2440" s="7" t="inlineStr">
        <is>
          <t>HYDRATTA DESODORANTE AEROSOL FEM. FRESH  VERDE  150ML R4151</t>
        </is>
      </c>
      <c r="D2440" s="7" t="inlineStr">
        <is>
          <t>ANTITRANSPIRANTE/DESODORANTE</t>
        </is>
      </c>
      <c r="E2440" s="7" t="inlineStr">
        <is>
          <t>C</t>
        </is>
      </c>
      <c r="F2440" s="13" t="n">
        <v>1</v>
      </c>
      <c r="G2440" s="13" t="n">
        <v>1</v>
      </c>
      <c r="H2440" s="8" t="n">
        <v>5.55</v>
      </c>
      <c r="I2440" s="8" t="n">
        <v>5.55</v>
      </c>
      <c r="J2440" s="8" t="n">
        <v>5.55</v>
      </c>
      <c r="K2440" s="8" t="n"/>
      <c r="L2440" s="8" t="n"/>
      <c r="M2440" s="8" t="n"/>
      <c r="N2440" s="8" t="n"/>
      <c r="O2440" s="8" t="n"/>
      <c r="P2440" s="8" t="n"/>
      <c r="Q2440" s="8" t="n"/>
      <c r="R2440" s="8" t="n"/>
      <c r="S2440" s="8" t="n"/>
      <c r="T2440" s="7" t="inlineStr">
        <is>
          <t>SEM COTAÇÃO</t>
        </is>
      </c>
      <c r="U2440" s="8" t="n"/>
      <c r="V2440" s="14" t="n"/>
      <c r="W2440" s="14" t="n"/>
      <c r="X2440" s="7" t="inlineStr"/>
      <c r="Y2440" s="7" t="inlineStr"/>
    </row>
    <row r="2441">
      <c r="A2441" s="7" t="n">
        <v>359601</v>
      </c>
      <c r="B2441" s="12" t="inlineStr">
        <is>
          <t>7898122911587</t>
        </is>
      </c>
      <c r="C2441" s="7" t="inlineStr">
        <is>
          <t>HYPLEX B SOL INJ IM CX 100 AMP VD AMB X 2 ML</t>
        </is>
      </c>
      <c r="D2441" s="7" t="inlineStr">
        <is>
          <t>SIMILAR</t>
        </is>
      </c>
      <c r="E2441" s="7" t="inlineStr">
        <is>
          <t>C</t>
        </is>
      </c>
      <c r="F2441" s="13" t="n">
        <v>1</v>
      </c>
      <c r="G2441" s="13" t="n">
        <v>1</v>
      </c>
      <c r="H2441" s="8" t="n">
        <v>1.4052</v>
      </c>
      <c r="I2441" s="8" t="n">
        <v>1.4052</v>
      </c>
      <c r="J2441" s="8" t="n">
        <v>1.4052</v>
      </c>
      <c r="K2441" s="15" t="n">
        <v>126.14</v>
      </c>
      <c r="L2441" s="8" t="n"/>
      <c r="M2441" s="8" t="n"/>
      <c r="N2441" s="8" t="n"/>
      <c r="O2441" s="8" t="n"/>
      <c r="P2441" s="8" t="n"/>
      <c r="Q2441" s="8" t="n"/>
      <c r="R2441" s="8" t="n"/>
      <c r="S2441" s="8" t="n"/>
      <c r="T2441" s="7" t="inlineStr">
        <is>
          <t>DIMEC</t>
        </is>
      </c>
      <c r="U2441" s="8" t="n">
        <v>126.14</v>
      </c>
      <c r="V2441" s="14">
        <f>U2441/J2441-1</f>
        <v/>
      </c>
      <c r="W2441" s="14">
        <f>U2441/H2441-1</f>
        <v/>
      </c>
      <c r="X2441" s="16" t="inlineStr">
        <is>
          <t>ACIMA +8876.7%</t>
        </is>
      </c>
      <c r="Y2441" s="7" t="inlineStr">
        <is>
          <t>DIMEC: conferir emb.</t>
        </is>
      </c>
    </row>
    <row r="2442">
      <c r="A2442" s="7" t="n">
        <v>442741</v>
      </c>
      <c r="B2442" s="12" t="inlineStr">
        <is>
          <t>7896006259701</t>
        </is>
      </c>
      <c r="C2442" s="7" t="inlineStr">
        <is>
          <t>HYTOS PLUS 4+0,75MG XPE FR 100ML</t>
        </is>
      </c>
      <c r="D2442" s="7" t="inlineStr">
        <is>
          <t>SIMILAR</t>
        </is>
      </c>
      <c r="E2442" s="7" t="inlineStr">
        <is>
          <t>C</t>
        </is>
      </c>
      <c r="F2442" s="13" t="n">
        <v>10</v>
      </c>
      <c r="G2442" s="13" t="n">
        <v>10</v>
      </c>
      <c r="H2442" s="8" t="n">
        <v>19.31</v>
      </c>
      <c r="I2442" s="8" t="n">
        <v>19.31</v>
      </c>
      <c r="J2442" s="8" t="n">
        <v>19.31</v>
      </c>
      <c r="K2442" s="8" t="n"/>
      <c r="L2442" s="8" t="n"/>
      <c r="M2442" s="8" t="n"/>
      <c r="N2442" s="8" t="n"/>
      <c r="O2442" s="8" t="n"/>
      <c r="P2442" s="8" t="n">
        <v>22.94</v>
      </c>
      <c r="Q2442" s="8" t="n"/>
      <c r="R2442" s="8" t="n"/>
      <c r="S2442" s="8" t="n"/>
      <c r="T2442" s="7" t="inlineStr">
        <is>
          <t>SEM COTAÇÃO</t>
        </is>
      </c>
      <c r="U2442" s="8" t="n"/>
      <c r="V2442" s="14" t="n"/>
      <c r="W2442" s="14" t="n"/>
      <c r="X2442" s="7" t="inlineStr"/>
      <c r="Y2442" s="7" t="inlineStr">
        <is>
          <t>NAZARIA: sem estoque</t>
        </is>
      </c>
    </row>
    <row r="2443">
      <c r="A2443" s="7" t="n">
        <v>294061</v>
      </c>
      <c r="B2443" s="12" t="inlineStr">
        <is>
          <t>7898569763633</t>
        </is>
      </c>
      <c r="C2443" s="7" t="inlineStr">
        <is>
          <t>IBANDRONATO DE SODIO 150MG CX 1 COMP REV</t>
        </is>
      </c>
      <c r="D2443" s="7" t="inlineStr">
        <is>
          <t>GENERICO</t>
        </is>
      </c>
      <c r="E2443" s="7" t="inlineStr">
        <is>
          <t>C</t>
        </is>
      </c>
      <c r="F2443" s="13" t="n">
        <v>1</v>
      </c>
      <c r="G2443" s="13" t="n">
        <v>1</v>
      </c>
      <c r="H2443" s="8" t="n">
        <v>19.51</v>
      </c>
      <c r="I2443" s="8" t="n">
        <v>19.51</v>
      </c>
      <c r="J2443" s="8" t="n">
        <v>19.51</v>
      </c>
      <c r="K2443" s="8" t="n"/>
      <c r="L2443" s="15" t="n">
        <v>24.46</v>
      </c>
      <c r="M2443" s="8" t="n"/>
      <c r="N2443" s="8" t="n"/>
      <c r="O2443" s="8" t="n"/>
      <c r="P2443" s="8" t="n">
        <v>26.5088</v>
      </c>
      <c r="Q2443" s="8" t="n"/>
      <c r="R2443" s="8" t="n"/>
      <c r="S2443" s="8" t="n"/>
      <c r="T2443" s="7" t="inlineStr">
        <is>
          <t>PLUSFARMA</t>
        </is>
      </c>
      <c r="U2443" s="8" t="n">
        <v>24.46</v>
      </c>
      <c r="V2443" s="14">
        <f>U2443/J2443-1</f>
        <v/>
      </c>
      <c r="W2443" s="14">
        <f>U2443/H2443-1</f>
        <v/>
      </c>
      <c r="X2443" s="16" t="inlineStr">
        <is>
          <t>ACIMA +25.4%</t>
        </is>
      </c>
      <c r="Y2443" s="7" t="inlineStr"/>
    </row>
    <row r="2444">
      <c r="A2444" s="7" t="n">
        <v>295141</v>
      </c>
      <c r="B2444" s="12" t="inlineStr">
        <is>
          <t>7896004747507</t>
        </is>
      </c>
      <c r="C2444" s="7" t="inlineStr">
        <is>
          <t>IBUFLEX 400MG CX 4 CAPS</t>
        </is>
      </c>
      <c r="D2444" s="7" t="inlineStr">
        <is>
          <t>SIMILAR</t>
        </is>
      </c>
      <c r="E2444" s="7" t="inlineStr">
        <is>
          <t>C</t>
        </is>
      </c>
      <c r="F2444" s="13" t="n">
        <v>1</v>
      </c>
      <c r="G2444" s="13" t="n">
        <v>5</v>
      </c>
      <c r="H2444" s="8" t="n">
        <v>3.0145</v>
      </c>
      <c r="I2444" s="8" t="n">
        <v>2.782</v>
      </c>
      <c r="J2444" s="8" t="n">
        <v>2.937</v>
      </c>
      <c r="K2444" s="8" t="n"/>
      <c r="L2444" s="8" t="n"/>
      <c r="M2444" s="8" t="n"/>
      <c r="N2444" s="8" t="n">
        <v>33.56</v>
      </c>
      <c r="O2444" s="8" t="n">
        <v>32.8</v>
      </c>
      <c r="P2444" s="8" t="n">
        <v>113.96</v>
      </c>
      <c r="Q2444" s="8" t="n">
        <v>31.3</v>
      </c>
      <c r="R2444" s="15" t="n">
        <v>3.17</v>
      </c>
      <c r="S2444" s="8" t="n"/>
      <c r="T2444" s="7" t="inlineStr">
        <is>
          <t>BRASFARMA</t>
        </is>
      </c>
      <c r="U2444" s="8" t="n">
        <v>3.17</v>
      </c>
      <c r="V2444" s="14">
        <f>U2444/J2444-1</f>
        <v/>
      </c>
      <c r="W2444" s="14">
        <f>U2444/H2444-1</f>
        <v/>
      </c>
      <c r="X2444" s="16" t="inlineStr">
        <is>
          <t>ACIMA +5.2%</t>
        </is>
      </c>
      <c r="Y2444" s="7" t="inlineStr">
        <is>
          <t>CENTROFARMA: conferir emb.; TAPAJOS: conferir emb.; NAZARIA: estoque parcial (3 un); conferir emb.; MEDCENTRO: conferir emb.</t>
        </is>
      </c>
    </row>
    <row r="2445">
      <c r="A2445" s="7" t="n">
        <v>295121</v>
      </c>
      <c r="B2445" s="12" t="inlineStr">
        <is>
          <t>7896004746029</t>
        </is>
      </c>
      <c r="C2445" s="7" t="inlineStr">
        <is>
          <t>IBULIV 400MG CX 10BL X 4 CAP</t>
        </is>
      </c>
      <c r="D2445" s="7" t="inlineStr">
        <is>
          <t>SIMILAR</t>
        </is>
      </c>
      <c r="E2445" s="7" t="inlineStr">
        <is>
          <t>C</t>
        </is>
      </c>
      <c r="F2445" s="13" t="n">
        <v>1</v>
      </c>
      <c r="G2445" s="13" t="n">
        <v>4</v>
      </c>
      <c r="H2445" s="8" t="n">
        <v>3.588</v>
      </c>
      <c r="I2445" s="8" t="n">
        <v>3.588</v>
      </c>
      <c r="J2445" s="8" t="n">
        <v>3.588</v>
      </c>
      <c r="K2445" s="8" t="n"/>
      <c r="L2445" s="8" t="n"/>
      <c r="M2445" s="8" t="n"/>
      <c r="N2445" s="8" t="n"/>
      <c r="O2445" s="8" t="n"/>
      <c r="P2445" s="8" t="n">
        <v>113.4</v>
      </c>
      <c r="Q2445" s="15" t="n">
        <v>38.73</v>
      </c>
      <c r="R2445" s="8" t="n"/>
      <c r="S2445" s="8" t="n"/>
      <c r="T2445" s="7" t="inlineStr">
        <is>
          <t>MEDCENTRO</t>
        </is>
      </c>
      <c r="U2445" s="8" t="n">
        <v>38.73</v>
      </c>
      <c r="V2445" s="14">
        <f>U2445/J2445-1</f>
        <v/>
      </c>
      <c r="W2445" s="14">
        <f>U2445/H2445-1</f>
        <v/>
      </c>
      <c r="X2445" s="16" t="inlineStr">
        <is>
          <t>ACIMA +979.4%</t>
        </is>
      </c>
      <c r="Y2445" s="7" t="inlineStr">
        <is>
          <t>NAZARIA: conferir emb.; MEDCENTRO: conferir emb.</t>
        </is>
      </c>
    </row>
    <row r="2446">
      <c r="A2446" s="7" t="n">
        <v>297621</v>
      </c>
      <c r="B2446" s="12" t="inlineStr">
        <is>
          <t>7896862960087</t>
        </is>
      </c>
      <c r="C2446" s="7" t="inlineStr">
        <is>
          <t>IBUPROFENO 100MG/ML SUS OR FR GTS 20ML</t>
        </is>
      </c>
      <c r="D2446" s="7" t="inlineStr">
        <is>
          <t>GENERICO</t>
        </is>
      </c>
      <c r="E2446" s="7" t="inlineStr">
        <is>
          <t>C</t>
        </is>
      </c>
      <c r="F2446" s="13" t="n">
        <v>9</v>
      </c>
      <c r="G2446" s="13" t="n">
        <v>9</v>
      </c>
      <c r="H2446" s="8" t="n">
        <v>2.64</v>
      </c>
      <c r="I2446" s="8" t="n">
        <v>2.64</v>
      </c>
      <c r="J2446" s="8" t="n">
        <v>2.64</v>
      </c>
      <c r="K2446" s="8" t="n"/>
      <c r="L2446" s="8" t="n">
        <v>3.25</v>
      </c>
      <c r="M2446" s="8" t="n"/>
      <c r="N2446" s="8" t="n">
        <v>3.19</v>
      </c>
      <c r="O2446" s="15" t="n">
        <v>3.11</v>
      </c>
      <c r="P2446" s="8" t="n"/>
      <c r="Q2446" s="8" t="n"/>
      <c r="R2446" s="8" t="n"/>
      <c r="S2446" s="8" t="n"/>
      <c r="T2446" s="7" t="inlineStr">
        <is>
          <t>TAPAJOS</t>
        </is>
      </c>
      <c r="U2446" s="8" t="n">
        <v>3.11</v>
      </c>
      <c r="V2446" s="14">
        <f>U2446/J2446-1</f>
        <v/>
      </c>
      <c r="W2446" s="14">
        <f>U2446/H2446-1</f>
        <v/>
      </c>
      <c r="X2446" s="16" t="inlineStr">
        <is>
          <t>ACIMA +17.8%</t>
        </is>
      </c>
      <c r="Y2446" s="7" t="inlineStr"/>
    </row>
    <row r="2447">
      <c r="A2447" s="7" t="n">
        <v>30703</v>
      </c>
      <c r="B2447" s="12" t="inlineStr">
        <is>
          <t>7896006263890</t>
        </is>
      </c>
      <c r="C2447" s="7" t="inlineStr">
        <is>
          <t>IBUPROFENO 100MG/ML X 20ML SUS GOT</t>
        </is>
      </c>
      <c r="D2447" s="7" t="inlineStr">
        <is>
          <t>GENERICO</t>
        </is>
      </c>
      <c r="E2447" s="7" t="inlineStr">
        <is>
          <t>C</t>
        </is>
      </c>
      <c r="F2447" s="13" t="n">
        <v>6</v>
      </c>
      <c r="G2447" s="13" t="n">
        <v>6</v>
      </c>
      <c r="H2447" s="8" t="n">
        <v>2.98</v>
      </c>
      <c r="I2447" s="8" t="n">
        <v>2.98</v>
      </c>
      <c r="J2447" s="8" t="n">
        <v>2.98</v>
      </c>
      <c r="K2447" s="8" t="n"/>
      <c r="L2447" s="8" t="n"/>
      <c r="M2447" s="8" t="n"/>
      <c r="N2447" s="8" t="n"/>
      <c r="O2447" s="8" t="n"/>
      <c r="P2447" s="8" t="n">
        <v>12.96</v>
      </c>
      <c r="Q2447" s="8" t="n"/>
      <c r="R2447" s="8" t="n"/>
      <c r="S2447" s="8" t="n"/>
      <c r="T2447" s="7" t="inlineStr">
        <is>
          <t>SEM COTAÇÃO</t>
        </is>
      </c>
      <c r="U2447" s="8" t="n"/>
      <c r="V2447" s="14" t="n"/>
      <c r="W2447" s="14" t="n"/>
      <c r="X2447" s="7" t="inlineStr"/>
      <c r="Y2447" s="7" t="inlineStr">
        <is>
          <t>NAZARIA: sem estoque; conferir emb.</t>
        </is>
      </c>
    </row>
    <row r="2448">
      <c r="A2448" s="7" t="n">
        <v>518921</v>
      </c>
      <c r="B2448" s="12" t="inlineStr">
        <is>
          <t>7898687730500</t>
        </is>
      </c>
      <c r="C2448" s="7" t="inlineStr">
        <is>
          <t>IBUPROFENO 600MG CX 10 CAP GEL</t>
        </is>
      </c>
      <c r="D2448" s="7" t="inlineStr">
        <is>
          <t>GENERICO</t>
        </is>
      </c>
      <c r="E2448" s="7" t="inlineStr">
        <is>
          <t>C</t>
        </is>
      </c>
      <c r="F2448" s="13" t="n">
        <v>1</v>
      </c>
      <c r="G2448" s="13" t="n">
        <v>1</v>
      </c>
      <c r="H2448" s="8" t="n">
        <v>13.06</v>
      </c>
      <c r="I2448" s="8" t="n">
        <v>12.73</v>
      </c>
      <c r="J2448" s="8" t="n">
        <v>12.73</v>
      </c>
      <c r="K2448" s="8" t="n"/>
      <c r="L2448" s="8" t="n"/>
      <c r="M2448" s="8" t="n"/>
      <c r="N2448" s="15" t="n">
        <v>15.04</v>
      </c>
      <c r="O2448" s="8" t="n"/>
      <c r="P2448" s="8" t="n">
        <v>15.542912</v>
      </c>
      <c r="Q2448" s="8" t="n">
        <v>15.82</v>
      </c>
      <c r="R2448" s="8" t="n"/>
      <c r="S2448" s="8" t="n"/>
      <c r="T2448" s="7" t="inlineStr">
        <is>
          <t>CENTROFARMA</t>
        </is>
      </c>
      <c r="U2448" s="8" t="n">
        <v>15.04</v>
      </c>
      <c r="V2448" s="14">
        <f>U2448/J2448-1</f>
        <v/>
      </c>
      <c r="W2448" s="14">
        <f>U2448/H2448-1</f>
        <v/>
      </c>
      <c r="X2448" s="16" t="inlineStr">
        <is>
          <t>ACIMA +15.2%</t>
        </is>
      </c>
      <c r="Y2448" s="7" t="inlineStr"/>
    </row>
    <row r="2449">
      <c r="A2449" s="7" t="n">
        <v>627841</v>
      </c>
      <c r="B2449" s="12" t="inlineStr">
        <is>
          <t>7897344301527</t>
        </is>
      </c>
      <c r="C2449" s="7" t="inlineStr">
        <is>
          <t>ICE GEL 250G POTE</t>
        </is>
      </c>
      <c r="D2449" s="7" t="inlineStr">
        <is>
          <t>SIMILAR</t>
        </is>
      </c>
      <c r="E2449" s="7" t="inlineStr">
        <is>
          <t>C</t>
        </is>
      </c>
      <c r="F2449" s="13" t="n">
        <v>5</v>
      </c>
      <c r="G2449" s="13" t="n">
        <v>5</v>
      </c>
      <c r="H2449" s="8" t="n">
        <v>8.1</v>
      </c>
      <c r="I2449" s="8" t="n">
        <v>8.1</v>
      </c>
      <c r="J2449" s="8" t="n">
        <v>8.1</v>
      </c>
      <c r="K2449" s="15" t="n">
        <v>8.1</v>
      </c>
      <c r="L2449" s="8" t="n"/>
      <c r="M2449" s="8" t="n"/>
      <c r="N2449" s="8" t="n"/>
      <c r="O2449" s="8" t="n"/>
      <c r="P2449" s="8" t="n"/>
      <c r="Q2449" s="8" t="n"/>
      <c r="R2449" s="8" t="n"/>
      <c r="S2449" s="8" t="n"/>
      <c r="T2449" s="7" t="inlineStr">
        <is>
          <t>DIMEC</t>
        </is>
      </c>
      <c r="U2449" s="8" t="n">
        <v>8.1</v>
      </c>
      <c r="V2449" s="14">
        <f>U2449/J2449-1</f>
        <v/>
      </c>
      <c r="W2449" s="14">
        <f>U2449/H2449-1</f>
        <v/>
      </c>
      <c r="X2449" s="17" t="inlineStr">
        <is>
          <t>OK (≤ menor hist.)</t>
        </is>
      </c>
      <c r="Y2449" s="7" t="inlineStr"/>
    </row>
    <row r="2450">
      <c r="A2450" s="7" t="n">
        <v>572741</v>
      </c>
      <c r="B2450" s="12" t="inlineStr">
        <is>
          <t>7898495609364</t>
        </is>
      </c>
      <c r="C2450" s="7" t="inlineStr">
        <is>
          <t>IMOLAC 120ML</t>
        </is>
      </c>
      <c r="D2450" s="7" t="inlineStr">
        <is>
          <t>RX</t>
        </is>
      </c>
      <c r="E2450" s="7" t="inlineStr">
        <is>
          <t>B</t>
        </is>
      </c>
      <c r="F2450" s="13" t="n">
        <v>2</v>
      </c>
      <c r="G2450" s="13" t="n">
        <v>2</v>
      </c>
      <c r="H2450" s="8" t="n">
        <v>58.6</v>
      </c>
      <c r="I2450" s="8" t="n">
        <v>52.15</v>
      </c>
      <c r="J2450" s="8" t="n">
        <v>56.45</v>
      </c>
      <c r="K2450" s="8" t="n"/>
      <c r="L2450" s="8" t="n"/>
      <c r="M2450" s="8" t="n"/>
      <c r="N2450" s="8" t="n"/>
      <c r="O2450" s="8" t="n"/>
      <c r="P2450" s="8" t="n">
        <v>61.789</v>
      </c>
      <c r="Q2450" s="8" t="n"/>
      <c r="R2450" s="8" t="n"/>
      <c r="S2450" s="8" t="n"/>
      <c r="T2450" s="7" t="inlineStr">
        <is>
          <t>SEM COTAÇÃO</t>
        </is>
      </c>
      <c r="U2450" s="8" t="n"/>
      <c r="V2450" s="14" t="n"/>
      <c r="W2450" s="14" t="n"/>
      <c r="X2450" s="7" t="inlineStr"/>
      <c r="Y2450" s="7" t="inlineStr">
        <is>
          <t>NAZARIA: sem estoque</t>
        </is>
      </c>
    </row>
    <row r="2451">
      <c r="A2451" s="7" t="n">
        <v>592811</v>
      </c>
      <c r="B2451" s="12" t="inlineStr">
        <is>
          <t>7898495609487</t>
        </is>
      </c>
      <c r="C2451" s="7" t="inlineStr">
        <is>
          <t>IMOLAC SOL C/200ML+COP (CFE)</t>
        </is>
      </c>
      <c r="D2451" s="7" t="inlineStr">
        <is>
          <t>RX</t>
        </is>
      </c>
      <c r="E2451" s="7" t="inlineStr">
        <is>
          <t>A</t>
        </is>
      </c>
      <c r="F2451" s="13" t="n">
        <v>3</v>
      </c>
      <c r="G2451" s="13" t="n">
        <v>3</v>
      </c>
      <c r="H2451" s="8" t="n">
        <v>67.37</v>
      </c>
      <c r="I2451" s="8" t="n">
        <v>67.37</v>
      </c>
      <c r="J2451" s="8" t="n">
        <v>67.37</v>
      </c>
      <c r="K2451" s="8" t="n"/>
      <c r="L2451" s="8" t="n"/>
      <c r="M2451" s="8" t="n"/>
      <c r="N2451" s="8" t="n"/>
      <c r="O2451" s="8" t="n"/>
      <c r="P2451" s="15" t="n">
        <v>91.3061</v>
      </c>
      <c r="Q2451" s="8" t="n"/>
      <c r="R2451" s="8" t="n"/>
      <c r="S2451" s="8" t="n"/>
      <c r="T2451" s="7" t="inlineStr">
        <is>
          <t>NAZARIA</t>
        </is>
      </c>
      <c r="U2451" s="8" t="n">
        <v>91.3061</v>
      </c>
      <c r="V2451" s="14">
        <f>U2451/J2451-1</f>
        <v/>
      </c>
      <c r="W2451" s="14">
        <f>U2451/H2451-1</f>
        <v/>
      </c>
      <c r="X2451" s="16" t="inlineStr">
        <is>
          <t>ACIMA +35.5%</t>
        </is>
      </c>
      <c r="Y2451" s="7" t="inlineStr"/>
    </row>
    <row r="2452">
      <c r="A2452" s="7" t="n">
        <v>153101</v>
      </c>
      <c r="B2452" s="12" t="inlineStr"/>
      <c r="C2452" s="7" t="inlineStr">
        <is>
          <t>IMOSEC 2MG CX 12 COMP</t>
        </is>
      </c>
      <c r="D2452" s="7" t="inlineStr">
        <is>
          <t>RX</t>
        </is>
      </c>
      <c r="E2452" s="7" t="inlineStr">
        <is>
          <t>A</t>
        </is>
      </c>
      <c r="F2452" s="13" t="n">
        <v>46</v>
      </c>
      <c r="G2452" s="13" t="n">
        <v>46</v>
      </c>
      <c r="H2452" s="8" t="n">
        <v>9.02</v>
      </c>
      <c r="I2452" s="8" t="n">
        <v>8.399100000000001</v>
      </c>
      <c r="J2452" s="8" t="n">
        <v>8.729200000000001</v>
      </c>
      <c r="K2452" s="8" t="n"/>
      <c r="L2452" s="8" t="n"/>
      <c r="M2452" s="8" t="n"/>
      <c r="N2452" s="8" t="n"/>
      <c r="O2452" s="8" t="n"/>
      <c r="P2452" s="8" t="n"/>
      <c r="Q2452" s="8" t="n"/>
      <c r="R2452" s="8" t="n"/>
      <c r="S2452" s="8" t="n"/>
      <c r="T2452" s="7" t="inlineStr">
        <is>
          <t>SEM COTAÇÃO</t>
        </is>
      </c>
      <c r="U2452" s="8" t="n"/>
      <c r="V2452" s="14" t="n"/>
      <c r="W2452" s="14" t="n"/>
      <c r="X2452" s="7" t="inlineStr"/>
      <c r="Y2452" s="7" t="inlineStr"/>
    </row>
    <row r="2453">
      <c r="A2453" s="7" t="n">
        <v>594881</v>
      </c>
      <c r="B2453" s="12" t="inlineStr"/>
      <c r="C2453" s="7" t="inlineStr">
        <is>
          <t>INALADOR NEBULIZADOR COMPACT DC1 G-TECH</t>
        </is>
      </c>
      <c r="D2453" s="7" t="inlineStr">
        <is>
          <t>RX - OTC</t>
        </is>
      </c>
      <c r="E2453" s="7" t="inlineStr">
        <is>
          <t>A</t>
        </is>
      </c>
      <c r="F2453" s="13" t="n">
        <v>2</v>
      </c>
      <c r="G2453" s="13" t="n">
        <v>2</v>
      </c>
      <c r="H2453" s="8" t="n">
        <v>90.756</v>
      </c>
      <c r="I2453" s="8" t="n">
        <v>90.756</v>
      </c>
      <c r="J2453" s="8" t="n">
        <v>90.75600000000001</v>
      </c>
      <c r="K2453" s="8" t="n"/>
      <c r="L2453" s="8" t="n"/>
      <c r="M2453" s="8" t="n"/>
      <c r="N2453" s="8" t="n"/>
      <c r="O2453" s="8" t="n"/>
      <c r="P2453" s="8" t="n"/>
      <c r="Q2453" s="8" t="n"/>
      <c r="R2453" s="8" t="n"/>
      <c r="S2453" s="8" t="n"/>
      <c r="T2453" s="7" t="inlineStr">
        <is>
          <t>SEM COTAÇÃO</t>
        </is>
      </c>
      <c r="U2453" s="8" t="n"/>
      <c r="V2453" s="14" t="n"/>
      <c r="W2453" s="14" t="n"/>
      <c r="X2453" s="7" t="inlineStr"/>
      <c r="Y2453" s="7" t="inlineStr"/>
    </row>
    <row r="2454">
      <c r="A2454" s="7" t="n">
        <v>594891</v>
      </c>
      <c r="B2454" s="12" t="inlineStr">
        <is>
          <t>7898639690708</t>
        </is>
      </c>
      <c r="C2454" s="7" t="inlineStr">
        <is>
          <t>INALADOR NEBULIZADOR ULTRANEB DESK2</t>
        </is>
      </c>
      <c r="D2454" s="7" t="inlineStr">
        <is>
          <t>RX - OTC</t>
        </is>
      </c>
      <c r="E2454" s="7" t="inlineStr">
        <is>
          <t>A</t>
        </is>
      </c>
      <c r="F2454" s="13" t="n">
        <v>3</v>
      </c>
      <c r="G2454" s="13" t="n">
        <v>3</v>
      </c>
      <c r="H2454" s="8" t="n">
        <v>130.26</v>
      </c>
      <c r="I2454" s="8" t="n">
        <v>130.26</v>
      </c>
      <c r="J2454" s="8" t="n">
        <v>130.26</v>
      </c>
      <c r="K2454" s="8" t="n"/>
      <c r="L2454" s="8" t="n"/>
      <c r="M2454" s="15" t="n">
        <v>117.53</v>
      </c>
      <c r="N2454" s="8" t="n">
        <v>160.39</v>
      </c>
      <c r="O2454" s="8" t="n"/>
      <c r="P2454" s="8" t="n"/>
      <c r="Q2454" s="8" t="n"/>
      <c r="R2454" s="8" t="n"/>
      <c r="S2454" s="8" t="n"/>
      <c r="T2454" s="7" t="inlineStr">
        <is>
          <t>EPAN</t>
        </is>
      </c>
      <c r="U2454" s="8" t="n">
        <v>117.53</v>
      </c>
      <c r="V2454" s="14">
        <f>U2454/J2454-1</f>
        <v/>
      </c>
      <c r="W2454" s="14">
        <f>U2454/H2454-1</f>
        <v/>
      </c>
      <c r="X2454" s="17" t="inlineStr">
        <is>
          <t>OK (≤ menor hist.)</t>
        </is>
      </c>
      <c r="Y2454" s="7" t="inlineStr"/>
    </row>
    <row r="2455">
      <c r="A2455" s="7" t="n">
        <v>389621</v>
      </c>
      <c r="B2455" s="12" t="inlineStr"/>
      <c r="C2455" s="7" t="inlineStr">
        <is>
          <t>INILOK 40MG CX 30 COMP</t>
        </is>
      </c>
      <c r="D2455" s="7" t="inlineStr">
        <is>
          <t>RX</t>
        </is>
      </c>
      <c r="E2455" s="7" t="inlineStr">
        <is>
          <t>A</t>
        </is>
      </c>
      <c r="F2455" s="13" t="n">
        <v>3</v>
      </c>
      <c r="G2455" s="13" t="n">
        <v>3</v>
      </c>
      <c r="H2455" s="8" t="n">
        <v>46.29</v>
      </c>
      <c r="I2455" s="8" t="n">
        <v>39.0771</v>
      </c>
      <c r="J2455" s="8" t="n">
        <v>41.4814</v>
      </c>
      <c r="K2455" s="8" t="n"/>
      <c r="L2455" s="8" t="n"/>
      <c r="M2455" s="8" t="n"/>
      <c r="N2455" s="8" t="n"/>
      <c r="O2455" s="8" t="n"/>
      <c r="P2455" s="8" t="n"/>
      <c r="Q2455" s="8" t="n"/>
      <c r="R2455" s="8" t="n"/>
      <c r="S2455" s="8" t="n"/>
      <c r="T2455" s="7" t="inlineStr">
        <is>
          <t>SEM COTAÇÃO</t>
        </is>
      </c>
      <c r="U2455" s="8" t="n"/>
      <c r="V2455" s="14" t="n"/>
      <c r="W2455" s="14" t="n"/>
      <c r="X2455" s="7" t="inlineStr"/>
      <c r="Y2455" s="7" t="inlineStr"/>
    </row>
    <row r="2456">
      <c r="A2456" s="7" t="n">
        <v>587981</v>
      </c>
      <c r="B2456" s="12" t="inlineStr">
        <is>
          <t>7896311710317</t>
        </is>
      </c>
      <c r="C2456" s="7" t="inlineStr">
        <is>
          <t>INT. MEDICA PROT CRISP BAR DOC COCO DP/12</t>
        </is>
      </c>
      <c r="D2456" s="7" t="inlineStr">
        <is>
          <t>SUPLEMENTO</t>
        </is>
      </c>
      <c r="E2456" s="7" t="inlineStr">
        <is>
          <t>C</t>
        </is>
      </c>
      <c r="F2456" s="13" t="n">
        <v>2</v>
      </c>
      <c r="G2456" s="13" t="n">
        <v>2</v>
      </c>
      <c r="H2456" s="8" t="n">
        <v>6.23</v>
      </c>
      <c r="I2456" s="8" t="n">
        <v>6.23</v>
      </c>
      <c r="J2456" s="8" t="n">
        <v>6.23</v>
      </c>
      <c r="K2456" s="8" t="n"/>
      <c r="L2456" s="8" t="n"/>
      <c r="M2456" s="8" t="n"/>
      <c r="N2456" s="8" t="n"/>
      <c r="O2456" s="8" t="n"/>
      <c r="P2456" s="8" t="n"/>
      <c r="Q2456" s="8" t="n"/>
      <c r="R2456" s="8" t="n"/>
      <c r="S2456" s="15" t="n">
        <v>8</v>
      </c>
      <c r="T2456" s="7" t="inlineStr">
        <is>
          <t>AT_SUPLEMENTOS</t>
        </is>
      </c>
      <c r="U2456" s="8" t="n">
        <v>8</v>
      </c>
      <c r="V2456" s="14">
        <f>U2456/J2456-1</f>
        <v/>
      </c>
      <c r="W2456" s="14">
        <f>U2456/H2456-1</f>
        <v/>
      </c>
      <c r="X2456" s="16" t="inlineStr">
        <is>
          <t>ACIMA +28.4%</t>
        </is>
      </c>
      <c r="Y2456" s="7" t="inlineStr"/>
    </row>
    <row r="2457">
      <c r="A2457" s="7" t="n">
        <v>592501</v>
      </c>
      <c r="B2457" s="12" t="inlineStr">
        <is>
          <t>7896311710348</t>
        </is>
      </c>
      <c r="C2457" s="7" t="inlineStr">
        <is>
          <t>INTEGRAL MEDICA PROT CRISP BAR PEAN BUT 45G</t>
        </is>
      </c>
      <c r="D2457" s="7" t="inlineStr">
        <is>
          <t>SUPLEMENTO</t>
        </is>
      </c>
      <c r="E2457" s="7" t="inlineStr">
        <is>
          <t>C</t>
        </is>
      </c>
      <c r="F2457" s="13" t="n">
        <v>1</v>
      </c>
      <c r="G2457" s="13" t="n">
        <v>1</v>
      </c>
      <c r="H2457" s="8" t="n">
        <v>6.3</v>
      </c>
      <c r="I2457" s="8" t="n">
        <v>6.3</v>
      </c>
      <c r="J2457" s="8" t="n">
        <v>6.3</v>
      </c>
      <c r="K2457" s="8" t="n"/>
      <c r="L2457" s="8" t="n"/>
      <c r="M2457" s="8" t="n"/>
      <c r="N2457" s="8" t="n"/>
      <c r="O2457" s="8" t="n"/>
      <c r="P2457" s="8" t="n"/>
      <c r="Q2457" s="8" t="n"/>
      <c r="R2457" s="8" t="n"/>
      <c r="S2457" s="15" t="n">
        <v>8</v>
      </c>
      <c r="T2457" s="7" t="inlineStr">
        <is>
          <t>AT_SUPLEMENTOS</t>
        </is>
      </c>
      <c r="U2457" s="8" t="n">
        <v>8</v>
      </c>
      <c r="V2457" s="14">
        <f>U2457/J2457-1</f>
        <v/>
      </c>
      <c r="W2457" s="14">
        <f>U2457/H2457-1</f>
        <v/>
      </c>
      <c r="X2457" s="16" t="inlineStr">
        <is>
          <t>ACIMA +27.0%</t>
        </is>
      </c>
      <c r="Y2457" s="7" t="inlineStr"/>
    </row>
    <row r="2458">
      <c r="A2458" s="7" t="n">
        <v>153041</v>
      </c>
      <c r="B2458" s="12" t="inlineStr">
        <is>
          <t>7898060132297</t>
        </is>
      </c>
      <c r="C2458" s="7" t="inlineStr">
        <is>
          <t>INTESTIN 2MG CX 12 COMP</t>
        </is>
      </c>
      <c r="D2458" s="7" t="inlineStr">
        <is>
          <t>SIMILAR</t>
        </is>
      </c>
      <c r="E2458" s="7" t="inlineStr">
        <is>
          <t>C</t>
        </is>
      </c>
      <c r="F2458" s="13" t="n">
        <v>2</v>
      </c>
      <c r="G2458" s="13" t="n">
        <v>2</v>
      </c>
      <c r="H2458" s="8" t="n">
        <v>2.02</v>
      </c>
      <c r="I2458" s="8" t="n">
        <v>2.02</v>
      </c>
      <c r="J2458" s="8" t="n">
        <v>2.02</v>
      </c>
      <c r="K2458" s="15" t="n">
        <v>2.08</v>
      </c>
      <c r="L2458" s="8" t="n"/>
      <c r="M2458" s="8" t="n"/>
      <c r="N2458" s="8" t="n">
        <v>2.13</v>
      </c>
      <c r="O2458" s="8" t="n">
        <v>2.09</v>
      </c>
      <c r="P2458" s="8" t="n"/>
      <c r="Q2458" s="8" t="n"/>
      <c r="R2458" s="8" t="n"/>
      <c r="S2458" s="8" t="n"/>
      <c r="T2458" s="7" t="inlineStr">
        <is>
          <t>DIMEC</t>
        </is>
      </c>
      <c r="U2458" s="8" t="n">
        <v>2.08</v>
      </c>
      <c r="V2458" s="14">
        <f>U2458/J2458-1</f>
        <v/>
      </c>
      <c r="W2458" s="14">
        <f>U2458/H2458-1</f>
        <v/>
      </c>
      <c r="X2458" s="16" t="inlineStr">
        <is>
          <t>ACIMA +3.0%</t>
        </is>
      </c>
      <c r="Y2458" s="7" t="inlineStr"/>
    </row>
    <row r="2459">
      <c r="A2459" s="7" t="n">
        <v>630321</v>
      </c>
      <c r="B2459" s="12" t="inlineStr">
        <is>
          <t>7898687735918</t>
        </is>
      </c>
      <c r="C2459" s="7" t="inlineStr">
        <is>
          <t>IROSE  NITAZOXANIDA 20MG/ML PO SUS OR FR 100ML+SER DOS</t>
        </is>
      </c>
      <c r="D2459" s="7" t="inlineStr">
        <is>
          <t>SIMILAR</t>
        </is>
      </c>
      <c r="E2459" s="7" t="inlineStr">
        <is>
          <t>B</t>
        </is>
      </c>
      <c r="F2459" s="13" t="n">
        <v>11</v>
      </c>
      <c r="G2459" s="13" t="n">
        <v>11</v>
      </c>
      <c r="H2459" s="8" t="n">
        <v>14.56</v>
      </c>
      <c r="I2459" s="8" t="n">
        <v>14.56</v>
      </c>
      <c r="J2459" s="8" t="n">
        <v>14.56</v>
      </c>
      <c r="K2459" s="8" t="n">
        <v>15.46</v>
      </c>
      <c r="L2459" s="15" t="n">
        <v>15.11</v>
      </c>
      <c r="M2459" s="8" t="n"/>
      <c r="N2459" s="8" t="n"/>
      <c r="O2459" s="8" t="n"/>
      <c r="P2459" s="8" t="n"/>
      <c r="Q2459" s="8" t="n">
        <v>16.58</v>
      </c>
      <c r="R2459" s="8" t="n"/>
      <c r="S2459" s="8" t="n"/>
      <c r="T2459" s="7" t="inlineStr">
        <is>
          <t>PLUSFARMA</t>
        </is>
      </c>
      <c r="U2459" s="8" t="n">
        <v>15.11</v>
      </c>
      <c r="V2459" s="14">
        <f>U2459/J2459-1</f>
        <v/>
      </c>
      <c r="W2459" s="14">
        <f>U2459/H2459-1</f>
        <v/>
      </c>
      <c r="X2459" s="16" t="inlineStr">
        <is>
          <t>ACIMA +3.8%</t>
        </is>
      </c>
      <c r="Y2459" s="7" t="inlineStr"/>
    </row>
    <row r="2460">
      <c r="A2460" s="7" t="n">
        <v>630311</v>
      </c>
      <c r="B2460" s="12" t="inlineStr">
        <is>
          <t>7898687735901</t>
        </is>
      </c>
      <c r="C2460" s="7" t="inlineStr">
        <is>
          <t>IROSE  NITAZOXANIDA 20MG/ML PO SUS OR FR 45ML+SER DOS</t>
        </is>
      </c>
      <c r="D2460" s="7" t="inlineStr">
        <is>
          <t>SIMILAR</t>
        </is>
      </c>
      <c r="E2460" s="7" t="inlineStr">
        <is>
          <t>B</t>
        </is>
      </c>
      <c r="F2460" s="13" t="n">
        <v>7</v>
      </c>
      <c r="G2460" s="13" t="n">
        <v>7</v>
      </c>
      <c r="H2460" s="8" t="n">
        <v>7.32</v>
      </c>
      <c r="I2460" s="8" t="n">
        <v>7.32</v>
      </c>
      <c r="J2460" s="8" t="n">
        <v>7.32</v>
      </c>
      <c r="K2460" s="8" t="n">
        <v>7.85</v>
      </c>
      <c r="L2460" s="8" t="n"/>
      <c r="M2460" s="8" t="n"/>
      <c r="N2460" s="8" t="n"/>
      <c r="O2460" s="8" t="n"/>
      <c r="P2460" s="8" t="n"/>
      <c r="Q2460" s="15" t="n">
        <v>7.79</v>
      </c>
      <c r="R2460" s="8" t="n"/>
      <c r="S2460" s="8" t="n"/>
      <c r="T2460" s="7" t="inlineStr">
        <is>
          <t>MEDCENTRO</t>
        </is>
      </c>
      <c r="U2460" s="8" t="n">
        <v>7.79</v>
      </c>
      <c r="V2460" s="14">
        <f>U2460/J2460-1</f>
        <v/>
      </c>
      <c r="W2460" s="14">
        <f>U2460/H2460-1</f>
        <v/>
      </c>
      <c r="X2460" s="16" t="inlineStr">
        <is>
          <t>ACIMA +6.4%</t>
        </is>
      </c>
      <c r="Y2460" s="7" t="inlineStr"/>
    </row>
    <row r="2461">
      <c r="A2461" s="7" t="n">
        <v>364281</v>
      </c>
      <c r="B2461" s="12" t="inlineStr"/>
      <c r="C2461" s="7" t="inlineStr">
        <is>
          <t>IROSE 500MG CX 6 COMP</t>
        </is>
      </c>
      <c r="D2461" s="7" t="inlineStr">
        <is>
          <t>SIMILAR</t>
        </is>
      </c>
      <c r="E2461" s="7" t="inlineStr">
        <is>
          <t>B</t>
        </is>
      </c>
      <c r="F2461" s="13" t="n">
        <v>12</v>
      </c>
      <c r="G2461" s="13" t="n">
        <v>12</v>
      </c>
      <c r="H2461" s="8" t="n">
        <v>12.02</v>
      </c>
      <c r="I2461" s="8" t="n">
        <v>10.97</v>
      </c>
      <c r="J2461" s="8" t="n">
        <v>11.67</v>
      </c>
      <c r="K2461" s="8" t="n"/>
      <c r="L2461" s="8" t="n"/>
      <c r="M2461" s="8" t="n"/>
      <c r="N2461" s="8" t="n"/>
      <c r="O2461" s="8" t="n"/>
      <c r="P2461" s="8" t="n"/>
      <c r="Q2461" s="8" t="n"/>
      <c r="R2461" s="8" t="n"/>
      <c r="S2461" s="8" t="n"/>
      <c r="T2461" s="7" t="inlineStr">
        <is>
          <t>SEM COTAÇÃO</t>
        </is>
      </c>
      <c r="U2461" s="8" t="n"/>
      <c r="V2461" s="14" t="n"/>
      <c r="W2461" s="14" t="n"/>
      <c r="X2461" s="7" t="inlineStr"/>
      <c r="Y2461" s="7" t="inlineStr"/>
    </row>
    <row r="2462">
      <c r="A2462" s="7" t="n">
        <v>706701</v>
      </c>
      <c r="B2462" s="12" t="inlineStr">
        <is>
          <t>7896227690130</t>
        </is>
      </c>
      <c r="C2462" s="7" t="inlineStr">
        <is>
          <t>ISABABY ABSORVENTE PARA SEIOS 12UN</t>
        </is>
      </c>
      <c r="D2462" s="7" t="inlineStr">
        <is>
          <t>ABSORVENTES</t>
        </is>
      </c>
      <c r="E2462" s="7" t="inlineStr">
        <is>
          <t>C</t>
        </is>
      </c>
      <c r="F2462" s="13" t="n">
        <v>8</v>
      </c>
      <c r="G2462" s="13" t="n">
        <v>8</v>
      </c>
      <c r="H2462" s="8" t="n">
        <v>8.210000000000001</v>
      </c>
      <c r="I2462" s="8" t="n">
        <v>8.210000000000001</v>
      </c>
      <c r="J2462" s="8" t="n">
        <v>8.210000000000001</v>
      </c>
      <c r="K2462" s="8" t="n"/>
      <c r="L2462" s="8" t="n"/>
      <c r="M2462" s="8" t="n"/>
      <c r="N2462" s="8" t="n"/>
      <c r="O2462" s="8" t="n"/>
      <c r="P2462" s="8" t="n"/>
      <c r="Q2462" s="8" t="n"/>
      <c r="R2462" s="8" t="n"/>
      <c r="S2462" s="8" t="n"/>
      <c r="T2462" s="7" t="inlineStr">
        <is>
          <t>SEM COTAÇÃO</t>
        </is>
      </c>
      <c r="U2462" s="8" t="n"/>
      <c r="V2462" s="14" t="n"/>
      <c r="W2462" s="14" t="n"/>
      <c r="X2462" s="7" t="inlineStr"/>
      <c r="Y2462" s="7" t="inlineStr"/>
    </row>
    <row r="2463">
      <c r="A2463" s="7" t="n">
        <v>667821</v>
      </c>
      <c r="B2463" s="12" t="inlineStr">
        <is>
          <t>7898947389073</t>
        </is>
      </c>
      <c r="C2463" s="7" t="inlineStr">
        <is>
          <t>ISABABY CURATIVO TRADICIONAL 10 UNIDADES</t>
        </is>
      </c>
      <c r="D2463" s="7" t="inlineStr">
        <is>
          <t>UTENSILIOS</t>
        </is>
      </c>
      <c r="E2463" s="7" t="inlineStr">
        <is>
          <t>B</t>
        </is>
      </c>
      <c r="F2463" s="13" t="n">
        <v>16</v>
      </c>
      <c r="G2463" s="13" t="n">
        <v>16</v>
      </c>
      <c r="H2463" s="8" t="n">
        <v>1.98</v>
      </c>
      <c r="I2463" s="8" t="n">
        <v>1.98</v>
      </c>
      <c r="J2463" s="8" t="n">
        <v>1.98</v>
      </c>
      <c r="K2463" s="8" t="n"/>
      <c r="L2463" s="8" t="n"/>
      <c r="M2463" s="8" t="n"/>
      <c r="N2463" s="8" t="n"/>
      <c r="O2463" s="8" t="n"/>
      <c r="P2463" s="8" t="n"/>
      <c r="Q2463" s="8" t="n"/>
      <c r="R2463" s="8" t="n"/>
      <c r="S2463" s="8" t="n"/>
      <c r="T2463" s="7" t="inlineStr">
        <is>
          <t>SEM COTAÇÃO</t>
        </is>
      </c>
      <c r="U2463" s="8" t="n"/>
      <c r="V2463" s="14" t="n"/>
      <c r="W2463" s="14" t="n"/>
      <c r="X2463" s="7" t="inlineStr"/>
      <c r="Y2463" s="7" t="inlineStr"/>
    </row>
    <row r="2464">
      <c r="A2464" s="7" t="n">
        <v>675551</v>
      </c>
      <c r="B2464" s="12" t="inlineStr"/>
      <c r="C2464" s="7" t="inlineStr">
        <is>
          <t>ISABABY CURATIVO TRADICIONAL 12</t>
        </is>
      </c>
      <c r="D2464" s="7" t="inlineStr">
        <is>
          <t>CURATIVO</t>
        </is>
      </c>
      <c r="E2464" s="7" t="inlineStr">
        <is>
          <t>A</t>
        </is>
      </c>
      <c r="F2464" s="13" t="n">
        <v>2</v>
      </c>
      <c r="G2464" s="13" t="n">
        <v>15</v>
      </c>
      <c r="H2464" s="8" t="n">
        <v>2.25</v>
      </c>
      <c r="I2464" s="8" t="n">
        <v>2.25</v>
      </c>
      <c r="J2464" s="8" t="n">
        <v>2.25</v>
      </c>
      <c r="K2464" s="8" t="n"/>
      <c r="L2464" s="8" t="n"/>
      <c r="M2464" s="8" t="n"/>
      <c r="N2464" s="8" t="n"/>
      <c r="O2464" s="8" t="n"/>
      <c r="P2464" s="8" t="n"/>
      <c r="Q2464" s="8" t="n"/>
      <c r="R2464" s="8" t="n"/>
      <c r="S2464" s="8" t="n"/>
      <c r="T2464" s="7" t="inlineStr">
        <is>
          <t>SEM COTAÇÃO</t>
        </is>
      </c>
      <c r="U2464" s="8" t="n"/>
      <c r="V2464" s="14" t="n"/>
      <c r="W2464" s="14" t="n"/>
      <c r="X2464" s="7" t="inlineStr"/>
      <c r="Y2464" s="7" t="inlineStr"/>
    </row>
    <row r="2465">
      <c r="A2465" s="7" t="n">
        <v>692801</v>
      </c>
      <c r="B2465" s="12" t="inlineStr">
        <is>
          <t>7899700803133</t>
        </is>
      </c>
      <c r="C2465" s="7" t="inlineStr">
        <is>
          <t>ISABABY FRALDA SUPER SEQUINHA HIPER G 60UN</t>
        </is>
      </c>
      <c r="D2465" s="7" t="inlineStr">
        <is>
          <t>FRALDAS INFANTIL</t>
        </is>
      </c>
      <c r="E2465" s="7" t="inlineStr">
        <is>
          <t>A</t>
        </is>
      </c>
      <c r="F2465" s="13" t="n">
        <v>6</v>
      </c>
      <c r="G2465" s="13" t="n">
        <v>6</v>
      </c>
      <c r="H2465" s="8" t="n">
        <v>34.11</v>
      </c>
      <c r="I2465" s="8" t="n">
        <v>32.21</v>
      </c>
      <c r="J2465" s="8" t="n">
        <v>32.21</v>
      </c>
      <c r="K2465" s="8" t="n"/>
      <c r="L2465" s="8" t="n"/>
      <c r="M2465" s="8" t="n"/>
      <c r="N2465" s="8" t="n"/>
      <c r="O2465" s="8" t="n"/>
      <c r="P2465" s="8" t="n"/>
      <c r="Q2465" s="8" t="n"/>
      <c r="R2465" s="8" t="n"/>
      <c r="S2465" s="8" t="n"/>
      <c r="T2465" s="7" t="inlineStr">
        <is>
          <t>SEM COTAÇÃO</t>
        </is>
      </c>
      <c r="U2465" s="8" t="n"/>
      <c r="V2465" s="14" t="n"/>
      <c r="W2465" s="14" t="n"/>
      <c r="X2465" s="7" t="inlineStr"/>
      <c r="Y2465" s="7" t="inlineStr"/>
    </row>
    <row r="2466">
      <c r="A2466" s="7" t="n">
        <v>692901</v>
      </c>
      <c r="B2466" s="12" t="inlineStr">
        <is>
          <t>7899700803126</t>
        </is>
      </c>
      <c r="C2466" s="7" t="inlineStr">
        <is>
          <t>ISABABY FRALDA SUPER SEQUINHA HIPER M 70UN</t>
        </is>
      </c>
      <c r="D2466" s="7" t="inlineStr">
        <is>
          <t>FRALDAS INFANTIL</t>
        </is>
      </c>
      <c r="E2466" s="7" t="inlineStr">
        <is>
          <t>A</t>
        </is>
      </c>
      <c r="F2466" s="13" t="n">
        <v>6</v>
      </c>
      <c r="G2466" s="13" t="n">
        <v>6</v>
      </c>
      <c r="H2466" s="8" t="n">
        <v>34.11</v>
      </c>
      <c r="I2466" s="8" t="n">
        <v>32.21</v>
      </c>
      <c r="J2466" s="8" t="n">
        <v>32.21</v>
      </c>
      <c r="K2466" s="8" t="n"/>
      <c r="L2466" s="8" t="n"/>
      <c r="M2466" s="8" t="n"/>
      <c r="N2466" s="8" t="n"/>
      <c r="O2466" s="8" t="n"/>
      <c r="P2466" s="8" t="n"/>
      <c r="Q2466" s="8" t="n"/>
      <c r="R2466" s="8" t="n"/>
      <c r="S2466" s="8" t="n"/>
      <c r="T2466" s="7" t="inlineStr">
        <is>
          <t>SEM COTAÇÃO</t>
        </is>
      </c>
      <c r="U2466" s="8" t="n"/>
      <c r="V2466" s="14" t="n"/>
      <c r="W2466" s="14" t="n"/>
      <c r="X2466" s="7" t="inlineStr"/>
      <c r="Y2466" s="7" t="inlineStr"/>
    </row>
    <row r="2467">
      <c r="A2467" s="7" t="n">
        <v>668171</v>
      </c>
      <c r="B2467" s="12" t="inlineStr">
        <is>
          <t>7899700802983</t>
        </is>
      </c>
      <c r="C2467" s="7" t="inlineStr">
        <is>
          <t>ISABABY FRALDA SUPER SEQUINHA JUMBINHO G 16UN</t>
        </is>
      </c>
      <c r="D2467" s="7" t="inlineStr">
        <is>
          <t>FRALDAS INFANTIL</t>
        </is>
      </c>
      <c r="E2467" s="7" t="inlineStr">
        <is>
          <t>A</t>
        </is>
      </c>
      <c r="F2467" s="13" t="n">
        <v>4</v>
      </c>
      <c r="G2467" s="13" t="n">
        <v>4</v>
      </c>
      <c r="H2467" s="8" t="n">
        <v>8.17</v>
      </c>
      <c r="I2467" s="8" t="n">
        <v>8.17</v>
      </c>
      <c r="J2467" s="8" t="n">
        <v>8.17</v>
      </c>
      <c r="K2467" s="8" t="n"/>
      <c r="L2467" s="8" t="n"/>
      <c r="M2467" s="8" t="n"/>
      <c r="N2467" s="8" t="n"/>
      <c r="O2467" s="8" t="n"/>
      <c r="P2467" s="8" t="n"/>
      <c r="Q2467" s="8" t="n"/>
      <c r="R2467" s="8" t="n"/>
      <c r="S2467" s="8" t="n"/>
      <c r="T2467" s="7" t="inlineStr">
        <is>
          <t>SEM COTAÇÃO</t>
        </is>
      </c>
      <c r="U2467" s="8" t="n"/>
      <c r="V2467" s="14" t="n"/>
      <c r="W2467" s="14" t="n"/>
      <c r="X2467" s="7" t="inlineStr"/>
      <c r="Y2467" s="7" t="inlineStr"/>
    </row>
    <row r="2468">
      <c r="A2468" s="7" t="n">
        <v>668191</v>
      </c>
      <c r="B2468" s="12" t="inlineStr"/>
      <c r="C2468" s="7" t="inlineStr">
        <is>
          <t>ISABABY FRALDA SUPER SEQUINHA JUMBINHO XG 12UN</t>
        </is>
      </c>
      <c r="D2468" s="7" t="inlineStr">
        <is>
          <t>FRALDAS INFANTIL</t>
        </is>
      </c>
      <c r="E2468" s="7" t="inlineStr">
        <is>
          <t>A</t>
        </is>
      </c>
      <c r="F2468" s="13" t="n">
        <v>6</v>
      </c>
      <c r="G2468" s="13" t="n">
        <v>6</v>
      </c>
      <c r="H2468" s="8" t="n">
        <v>8.17</v>
      </c>
      <c r="I2468" s="8" t="n">
        <v>8.17</v>
      </c>
      <c r="J2468" s="8" t="n">
        <v>8.17</v>
      </c>
      <c r="K2468" s="8" t="n"/>
      <c r="L2468" s="8" t="n"/>
      <c r="M2468" s="8" t="n"/>
      <c r="N2468" s="8" t="n"/>
      <c r="O2468" s="8" t="n"/>
      <c r="P2468" s="8" t="n"/>
      <c r="Q2468" s="8" t="n"/>
      <c r="R2468" s="8" t="n"/>
      <c r="S2468" s="8" t="n"/>
      <c r="T2468" s="7" t="inlineStr">
        <is>
          <t>SEM COTAÇÃO</t>
        </is>
      </c>
      <c r="U2468" s="8" t="n"/>
      <c r="V2468" s="14" t="n"/>
      <c r="W2468" s="14" t="n"/>
      <c r="X2468" s="7" t="inlineStr"/>
      <c r="Y2468" s="7" t="inlineStr"/>
    </row>
    <row r="2469">
      <c r="A2469" s="7" t="n">
        <v>693301</v>
      </c>
      <c r="B2469" s="12" t="inlineStr">
        <is>
          <t>7899700802945</t>
        </is>
      </c>
      <c r="C2469" s="7" t="inlineStr">
        <is>
          <t>ISABABY FRALDA SUPER SEQUINHA REGULAR G 7UN</t>
        </is>
      </c>
      <c r="D2469" s="7" t="inlineStr">
        <is>
          <t>FRALDAS INFANTIL</t>
        </is>
      </c>
      <c r="E2469" s="7" t="inlineStr">
        <is>
          <t>B</t>
        </is>
      </c>
      <c r="F2469" s="13" t="n">
        <v>5</v>
      </c>
      <c r="G2469" s="13" t="n">
        <v>5</v>
      </c>
      <c r="H2469" s="8" t="n">
        <v>4.56</v>
      </c>
      <c r="I2469" s="8" t="n">
        <v>4.56</v>
      </c>
      <c r="J2469" s="8" t="n">
        <v>4.56</v>
      </c>
      <c r="K2469" s="8" t="n"/>
      <c r="L2469" s="8" t="n"/>
      <c r="M2469" s="8" t="n"/>
      <c r="N2469" s="8" t="n"/>
      <c r="O2469" s="8" t="n"/>
      <c r="P2469" s="8" t="n"/>
      <c r="Q2469" s="8" t="n"/>
      <c r="R2469" s="8" t="n"/>
      <c r="S2469" s="8" t="n"/>
      <c r="T2469" s="7" t="inlineStr">
        <is>
          <t>SEM COTAÇÃO</t>
        </is>
      </c>
      <c r="U2469" s="8" t="n"/>
      <c r="V2469" s="14" t="n"/>
      <c r="W2469" s="14" t="n"/>
      <c r="X2469" s="7" t="inlineStr"/>
      <c r="Y2469" s="7" t="inlineStr"/>
    </row>
    <row r="2470">
      <c r="A2470" s="7" t="n">
        <v>693401</v>
      </c>
      <c r="B2470" s="12" t="inlineStr">
        <is>
          <t>7899700802952</t>
        </is>
      </c>
      <c r="C2470" s="7" t="inlineStr">
        <is>
          <t>ISABABY FRALDA SUPER SEQUINHA REGULAR XG 07UN</t>
        </is>
      </c>
      <c r="D2470" s="7" t="inlineStr">
        <is>
          <t>FRALDAS INFANTIL</t>
        </is>
      </c>
      <c r="E2470" s="7" t="inlineStr">
        <is>
          <t>B</t>
        </is>
      </c>
      <c r="F2470" s="13" t="n">
        <v>5</v>
      </c>
      <c r="G2470" s="13" t="n">
        <v>5</v>
      </c>
      <c r="H2470" s="8" t="n">
        <v>4.56</v>
      </c>
      <c r="I2470" s="8" t="n">
        <v>4.56</v>
      </c>
      <c r="J2470" s="8" t="n">
        <v>4.56</v>
      </c>
      <c r="K2470" s="8" t="n"/>
      <c r="L2470" s="8" t="n"/>
      <c r="M2470" s="8" t="n"/>
      <c r="N2470" s="8" t="n"/>
      <c r="O2470" s="8" t="n"/>
      <c r="P2470" s="8" t="n"/>
      <c r="Q2470" s="8" t="n"/>
      <c r="R2470" s="8" t="n"/>
      <c r="S2470" s="8" t="n"/>
      <c r="T2470" s="7" t="inlineStr">
        <is>
          <t>SEM COTAÇÃO</t>
        </is>
      </c>
      <c r="U2470" s="8" t="n"/>
      <c r="V2470" s="14" t="n"/>
      <c r="W2470" s="14" t="n"/>
      <c r="X2470" s="7" t="inlineStr"/>
      <c r="Y2470" s="7" t="inlineStr"/>
    </row>
    <row r="2471">
      <c r="A2471" s="7" t="n">
        <v>692701</v>
      </c>
      <c r="B2471" s="12" t="inlineStr">
        <is>
          <t>7898966448683</t>
        </is>
      </c>
      <c r="C2471" s="7" t="inlineStr">
        <is>
          <t>ISABABY TOALHA UMEDECIDA L100 P90 UN. HORA DE BRINCAR</t>
        </is>
      </c>
      <c r="D2471" s="7" t="inlineStr">
        <is>
          <t>FRALDAS INFANTIL</t>
        </is>
      </c>
      <c r="E2471" s="7" t="inlineStr">
        <is>
          <t>A</t>
        </is>
      </c>
      <c r="F2471" s="13" t="n">
        <v>14</v>
      </c>
      <c r="G2471" s="13" t="n">
        <v>14</v>
      </c>
      <c r="H2471" s="8" t="n">
        <v>4.99</v>
      </c>
      <c r="I2471" s="8" t="n">
        <v>4.99</v>
      </c>
      <c r="J2471" s="8" t="n">
        <v>4.99</v>
      </c>
      <c r="K2471" s="8" t="n"/>
      <c r="L2471" s="8" t="n"/>
      <c r="M2471" s="8" t="n"/>
      <c r="N2471" s="8" t="n"/>
      <c r="O2471" s="8" t="n"/>
      <c r="P2471" s="8" t="n"/>
      <c r="Q2471" s="8" t="n"/>
      <c r="R2471" s="8" t="n"/>
      <c r="S2471" s="8" t="n"/>
      <c r="T2471" s="7" t="inlineStr">
        <is>
          <t>SEM COTAÇÃO</t>
        </is>
      </c>
      <c r="U2471" s="8" t="n"/>
      <c r="V2471" s="14" t="n"/>
      <c r="W2471" s="14" t="n"/>
      <c r="X2471" s="7" t="inlineStr"/>
      <c r="Y2471" s="7" t="inlineStr"/>
    </row>
    <row r="2472">
      <c r="A2472" s="7" t="n">
        <v>655191</v>
      </c>
      <c r="B2472" s="12" t="inlineStr">
        <is>
          <t>7898677732637</t>
        </is>
      </c>
      <c r="C2472" s="7" t="inlineStr">
        <is>
          <t>ISACARE BOTANIC BUCHA VEGETAL TRADICIONAL</t>
        </is>
      </c>
      <c r="D2472" s="7" t="inlineStr">
        <is>
          <t>PERF/COSME</t>
        </is>
      </c>
      <c r="E2472" s="7" t="inlineStr">
        <is>
          <t>B</t>
        </is>
      </c>
      <c r="F2472" s="13" t="n">
        <v>8</v>
      </c>
      <c r="G2472" s="13" t="n">
        <v>8</v>
      </c>
      <c r="H2472" s="8" t="n">
        <v>6.48</v>
      </c>
      <c r="I2472" s="8" t="n">
        <v>6.48</v>
      </c>
      <c r="J2472" s="8" t="n">
        <v>6.48</v>
      </c>
      <c r="K2472" s="8" t="n"/>
      <c r="L2472" s="8" t="n"/>
      <c r="M2472" s="8" t="n"/>
      <c r="N2472" s="8" t="n"/>
      <c r="O2472" s="8" t="n"/>
      <c r="P2472" s="8" t="n"/>
      <c r="Q2472" s="8" t="n"/>
      <c r="R2472" s="8" t="n"/>
      <c r="S2472" s="8" t="n"/>
      <c r="T2472" s="7" t="inlineStr">
        <is>
          <t>SEM COTAÇÃO</t>
        </is>
      </c>
      <c r="U2472" s="8" t="n"/>
      <c r="V2472" s="14" t="n"/>
      <c r="W2472" s="14" t="n"/>
      <c r="X2472" s="7" t="inlineStr"/>
      <c r="Y2472" s="7" t="inlineStr"/>
    </row>
    <row r="2473">
      <c r="A2473" s="7" t="n">
        <v>673831</v>
      </c>
      <c r="B2473" s="12" t="inlineStr">
        <is>
          <t>7898466604428</t>
        </is>
      </c>
      <c r="C2473" s="7" t="inlineStr">
        <is>
          <t>ISACARE CREME DE PENTEAR CACHOS DEFINIDOS CONDICIONADOR 300 ML</t>
        </is>
      </c>
      <c r="D2473" s="7" t="inlineStr">
        <is>
          <t>COND/SHAM/CREM/SIMILARES</t>
        </is>
      </c>
      <c r="E2473" s="7" t="inlineStr">
        <is>
          <t>C</t>
        </is>
      </c>
      <c r="F2473" s="13" t="n">
        <v>1</v>
      </c>
      <c r="G2473" s="13" t="n">
        <v>1</v>
      </c>
      <c r="H2473" s="8" t="n"/>
      <c r="I2473" s="8" t="n"/>
      <c r="J2473" s="8" t="n"/>
      <c r="K2473" s="8" t="n"/>
      <c r="L2473" s="8" t="n"/>
      <c r="M2473" s="8" t="n"/>
      <c r="N2473" s="8" t="n"/>
      <c r="O2473" s="8" t="n"/>
      <c r="P2473" s="8" t="n"/>
      <c r="Q2473" s="8" t="n"/>
      <c r="R2473" s="8" t="n"/>
      <c r="S2473" s="8" t="n"/>
      <c r="T2473" s="7" t="inlineStr">
        <is>
          <t>SEM COTAÇÃO</t>
        </is>
      </c>
      <c r="U2473" s="8" t="n"/>
      <c r="V2473" s="14" t="n"/>
      <c r="W2473" s="14" t="n"/>
      <c r="X2473" s="7" t="inlineStr"/>
      <c r="Y2473" s="7" t="inlineStr"/>
    </row>
    <row r="2474">
      <c r="A2474" s="7" t="n">
        <v>656191</v>
      </c>
      <c r="B2474" s="12" t="inlineStr">
        <is>
          <t>7898546781278</t>
        </is>
      </c>
      <c r="C2474" s="7" t="inlineStr">
        <is>
          <t>ISACARE ESCOVA FLEXIVEL ALL DAY OVAL</t>
        </is>
      </c>
      <c r="D2474" s="7" t="inlineStr">
        <is>
          <t>UTENSILIOS</t>
        </is>
      </c>
      <c r="E2474" s="7" t="inlineStr">
        <is>
          <t>C</t>
        </is>
      </c>
      <c r="F2474" s="13" t="n">
        <v>1</v>
      </c>
      <c r="G2474" s="13" t="n">
        <v>1</v>
      </c>
      <c r="H2474" s="8" t="n">
        <v>4.1</v>
      </c>
      <c r="I2474" s="8" t="n">
        <v>4.1</v>
      </c>
      <c r="J2474" s="8" t="n">
        <v>4.1</v>
      </c>
      <c r="K2474" s="8" t="n"/>
      <c r="L2474" s="8" t="n"/>
      <c r="M2474" s="8" t="n"/>
      <c r="N2474" s="8" t="n"/>
      <c r="O2474" s="8" t="n"/>
      <c r="P2474" s="8" t="n"/>
      <c r="Q2474" s="8" t="n"/>
      <c r="R2474" s="8" t="n"/>
      <c r="S2474" s="8" t="n"/>
      <c r="T2474" s="7" t="inlineStr">
        <is>
          <t>SEM COTAÇÃO</t>
        </is>
      </c>
      <c r="U2474" s="8" t="n"/>
      <c r="V2474" s="14" t="n"/>
      <c r="W2474" s="14" t="n"/>
      <c r="X2474" s="7" t="inlineStr"/>
      <c r="Y2474" s="7" t="inlineStr"/>
    </row>
    <row r="2475">
      <c r="A2475" s="7" t="n">
        <v>656291</v>
      </c>
      <c r="B2475" s="12" t="inlineStr">
        <is>
          <t>7898546789267</t>
        </is>
      </c>
      <c r="C2475" s="7" t="inlineStr">
        <is>
          <t>ISACARE ESCOVA GLAM HIT QUADRADA REF 8926</t>
        </is>
      </c>
      <c r="D2475" s="7" t="inlineStr">
        <is>
          <t>UTENSILIOS</t>
        </is>
      </c>
      <c r="E2475" s="7" t="inlineStr">
        <is>
          <t>C</t>
        </is>
      </c>
      <c r="F2475" s="13" t="n">
        <v>1</v>
      </c>
      <c r="G2475" s="13" t="n">
        <v>1</v>
      </c>
      <c r="H2475" s="8" t="n">
        <v>27.49</v>
      </c>
      <c r="I2475" s="8" t="n">
        <v>27.49</v>
      </c>
      <c r="J2475" s="8" t="n">
        <v>27.49</v>
      </c>
      <c r="K2475" s="8" t="n"/>
      <c r="L2475" s="8" t="n"/>
      <c r="M2475" s="8" t="n"/>
      <c r="N2475" s="8" t="n"/>
      <c r="O2475" s="8" t="n"/>
      <c r="P2475" s="8" t="n"/>
      <c r="Q2475" s="8" t="n"/>
      <c r="R2475" s="8" t="n"/>
      <c r="S2475" s="8" t="n"/>
      <c r="T2475" s="7" t="inlineStr">
        <is>
          <t>SEM COTAÇÃO</t>
        </is>
      </c>
      <c r="U2475" s="8" t="n"/>
      <c r="V2475" s="14" t="n"/>
      <c r="W2475" s="14" t="n"/>
      <c r="X2475" s="7" t="inlineStr"/>
      <c r="Y2475" s="7" t="inlineStr"/>
    </row>
    <row r="2476">
      <c r="A2476" s="7" t="n">
        <v>656261</v>
      </c>
      <c r="B2476" s="12" t="inlineStr">
        <is>
          <t>7898546782244</t>
        </is>
      </c>
      <c r="C2476" s="7" t="inlineStr">
        <is>
          <t>ISACARE ESCOVA MAGIC COLORS BLACK &amp;AMP; WHITE OVAL REF8224</t>
        </is>
      </c>
      <c r="D2476" s="7" t="inlineStr">
        <is>
          <t>UTENSILIOS</t>
        </is>
      </c>
      <c r="E2476" s="7" t="inlineStr">
        <is>
          <t>B</t>
        </is>
      </c>
      <c r="F2476" s="13" t="n">
        <v>4</v>
      </c>
      <c r="G2476" s="13" t="n">
        <v>4</v>
      </c>
      <c r="H2476" s="8" t="n">
        <v>9.859999999999999</v>
      </c>
      <c r="I2476" s="8" t="n">
        <v>9.859999999999999</v>
      </c>
      <c r="J2476" s="8" t="n">
        <v>9.859999999999999</v>
      </c>
      <c r="K2476" s="8" t="n"/>
      <c r="L2476" s="8" t="n"/>
      <c r="M2476" s="8" t="n"/>
      <c r="N2476" s="8" t="n"/>
      <c r="O2476" s="8" t="n"/>
      <c r="P2476" s="8" t="n"/>
      <c r="Q2476" s="8" t="n"/>
      <c r="R2476" s="8" t="n"/>
      <c r="S2476" s="8" t="n"/>
      <c r="T2476" s="7" t="inlineStr">
        <is>
          <t>SEM COTAÇÃO</t>
        </is>
      </c>
      <c r="U2476" s="8" t="n"/>
      <c r="V2476" s="14" t="n"/>
      <c r="W2476" s="14" t="n"/>
      <c r="X2476" s="7" t="inlineStr"/>
      <c r="Y2476" s="7" t="inlineStr"/>
    </row>
    <row r="2477">
      <c r="A2477" s="7" t="n">
        <v>668051</v>
      </c>
      <c r="B2477" s="12" t="inlineStr">
        <is>
          <t>7898546782220</t>
        </is>
      </c>
      <c r="C2477" s="7" t="inlineStr">
        <is>
          <t>ISACARE ESCOVA MAGIC COLORS BLACK OVAL REF8222</t>
        </is>
      </c>
      <c r="D2477" s="7" t="inlineStr">
        <is>
          <t>UTENSILIOS</t>
        </is>
      </c>
      <c r="E2477" s="7" t="inlineStr">
        <is>
          <t>C</t>
        </is>
      </c>
      <c r="F2477" s="13" t="n">
        <v>1</v>
      </c>
      <c r="G2477" s="13" t="n">
        <v>1</v>
      </c>
      <c r="H2477" s="8" t="n">
        <v>9.52</v>
      </c>
      <c r="I2477" s="8" t="n">
        <v>9.52</v>
      </c>
      <c r="J2477" s="8" t="n">
        <v>9.52</v>
      </c>
      <c r="K2477" s="8" t="n"/>
      <c r="L2477" s="8" t="n"/>
      <c r="M2477" s="8" t="n"/>
      <c r="N2477" s="8" t="n"/>
      <c r="O2477" s="8" t="n"/>
      <c r="P2477" s="8" t="n"/>
      <c r="Q2477" s="8" t="n"/>
      <c r="R2477" s="8" t="n"/>
      <c r="S2477" s="8" t="n"/>
      <c r="T2477" s="7" t="inlineStr">
        <is>
          <t>SEM COTAÇÃO</t>
        </is>
      </c>
      <c r="U2477" s="8" t="n"/>
      <c r="V2477" s="14" t="n"/>
      <c r="W2477" s="14" t="n"/>
      <c r="X2477" s="7" t="inlineStr"/>
      <c r="Y2477" s="7" t="inlineStr"/>
    </row>
    <row r="2478">
      <c r="A2478" s="7" t="n">
        <v>656401</v>
      </c>
      <c r="B2478" s="12" t="inlineStr">
        <is>
          <t>7898546714504</t>
        </is>
      </c>
      <c r="C2478" s="7" t="inlineStr">
        <is>
          <t>ISACARE ESCOVA MAGICA QUADRADA COM CABO R0450</t>
        </is>
      </c>
      <c r="D2478" s="7" t="inlineStr">
        <is>
          <t>UTENSILIOS</t>
        </is>
      </c>
      <c r="E2478" s="7" t="inlineStr">
        <is>
          <t>C</t>
        </is>
      </c>
      <c r="F2478" s="13" t="n">
        <v>1</v>
      </c>
      <c r="G2478" s="13" t="n">
        <v>1</v>
      </c>
      <c r="H2478" s="8" t="n">
        <v>19.04</v>
      </c>
      <c r="I2478" s="8" t="n">
        <v>19.04</v>
      </c>
      <c r="J2478" s="8" t="n">
        <v>19.04</v>
      </c>
      <c r="K2478" s="8" t="n"/>
      <c r="L2478" s="8" t="n"/>
      <c r="M2478" s="8" t="n"/>
      <c r="N2478" s="8" t="n"/>
      <c r="O2478" s="8" t="n"/>
      <c r="P2478" s="8" t="n"/>
      <c r="Q2478" s="8" t="n"/>
      <c r="R2478" s="8" t="n"/>
      <c r="S2478" s="8" t="n"/>
      <c r="T2478" s="7" t="inlineStr">
        <is>
          <t>SEM COTAÇÃO</t>
        </is>
      </c>
      <c r="U2478" s="8" t="n"/>
      <c r="V2478" s="14" t="n"/>
      <c r="W2478" s="14" t="n"/>
      <c r="X2478" s="7" t="inlineStr"/>
      <c r="Y2478" s="7" t="inlineStr"/>
    </row>
    <row r="2479">
      <c r="A2479" s="7" t="n">
        <v>668131</v>
      </c>
      <c r="B2479" s="12" t="inlineStr">
        <is>
          <t>7898546786167</t>
        </is>
      </c>
      <c r="C2479" s="7" t="inlineStr">
        <is>
          <t>ISACARE ESPONJA DE NYLON PARA BANHO</t>
        </is>
      </c>
      <c r="D2479" s="7" t="inlineStr">
        <is>
          <t>COND/SHAM/CREM/SIMILARES</t>
        </is>
      </c>
      <c r="E2479" s="7" t="inlineStr">
        <is>
          <t>B</t>
        </is>
      </c>
      <c r="F2479" s="13" t="n">
        <v>4</v>
      </c>
      <c r="G2479" s="13" t="n">
        <v>4</v>
      </c>
      <c r="H2479" s="8" t="n">
        <v>6.51</v>
      </c>
      <c r="I2479" s="8" t="n">
        <v>5.91</v>
      </c>
      <c r="J2479" s="8" t="n">
        <v>6.31</v>
      </c>
      <c r="K2479" s="8" t="n"/>
      <c r="L2479" s="8" t="n"/>
      <c r="M2479" s="8" t="n"/>
      <c r="N2479" s="8" t="n"/>
      <c r="O2479" s="8" t="n"/>
      <c r="P2479" s="8" t="n"/>
      <c r="Q2479" s="8" t="n"/>
      <c r="R2479" s="8" t="n"/>
      <c r="S2479" s="8" t="n"/>
      <c r="T2479" s="7" t="inlineStr">
        <is>
          <t>SEM COTAÇÃO</t>
        </is>
      </c>
      <c r="U2479" s="8" t="n"/>
      <c r="V2479" s="14" t="n"/>
      <c r="W2479" s="14" t="n"/>
      <c r="X2479" s="7" t="inlineStr"/>
      <c r="Y2479" s="7" t="inlineStr"/>
    </row>
    <row r="2480">
      <c r="A2480" s="7" t="n">
        <v>641571</v>
      </c>
      <c r="B2480" s="12" t="inlineStr">
        <is>
          <t>071603211049</t>
        </is>
      </c>
      <c r="C2480" s="7" t="inlineStr">
        <is>
          <t>ISACARE PERSONAL CORTADOR DE UNHAS DISCO 12X1$</t>
        </is>
      </c>
      <c r="D2480" s="7" t="inlineStr">
        <is>
          <t>UTENSILIOS</t>
        </is>
      </c>
      <c r="E2480" s="7" t="inlineStr">
        <is>
          <t>C</t>
        </is>
      </c>
      <c r="F2480" s="13" t="n">
        <v>1</v>
      </c>
      <c r="G2480" s="13" t="n">
        <v>1</v>
      </c>
      <c r="H2480" s="8" t="n">
        <v>2.2675</v>
      </c>
      <c r="I2480" s="8" t="n">
        <v>2.2675</v>
      </c>
      <c r="J2480" s="8" t="n">
        <v>2.2675</v>
      </c>
      <c r="K2480" s="8" t="n"/>
      <c r="L2480" s="8" t="n"/>
      <c r="M2480" s="8" t="n"/>
      <c r="N2480" s="8" t="n"/>
      <c r="O2480" s="8" t="n"/>
      <c r="P2480" s="8" t="n"/>
      <c r="Q2480" s="8" t="n"/>
      <c r="R2480" s="8" t="n"/>
      <c r="S2480" s="8" t="n"/>
      <c r="T2480" s="7" t="inlineStr">
        <is>
          <t>SEM COTAÇÃO</t>
        </is>
      </c>
      <c r="U2480" s="8" t="n"/>
      <c r="V2480" s="14" t="n"/>
      <c r="W2480" s="14" t="n"/>
      <c r="X2480" s="7" t="inlineStr"/>
      <c r="Y2480" s="7" t="inlineStr"/>
    </row>
    <row r="2481">
      <c r="A2481" s="7" t="n">
        <v>667991</v>
      </c>
      <c r="B2481" s="12" t="inlineStr">
        <is>
          <t>7160356211628</t>
        </is>
      </c>
      <c r="C2481" s="7" t="inlineStr">
        <is>
          <t>ISACARE PERSONAL KIT MANICURE E PEDICURE</t>
        </is>
      </c>
      <c r="D2481" s="7" t="inlineStr">
        <is>
          <t>UTENSILIOS</t>
        </is>
      </c>
      <c r="E2481" s="7" t="inlineStr">
        <is>
          <t>C</t>
        </is>
      </c>
      <c r="F2481" s="13" t="n">
        <v>1</v>
      </c>
      <c r="G2481" s="13" t="n">
        <v>1</v>
      </c>
      <c r="H2481" s="8" t="n">
        <v>14.57</v>
      </c>
      <c r="I2481" s="8" t="n">
        <v>14.57</v>
      </c>
      <c r="J2481" s="8" t="n">
        <v>14.57</v>
      </c>
      <c r="K2481" s="8" t="n"/>
      <c r="L2481" s="8" t="n"/>
      <c r="M2481" s="8" t="n"/>
      <c r="N2481" s="8" t="n"/>
      <c r="O2481" s="8" t="n"/>
      <c r="P2481" s="8" t="n"/>
      <c r="Q2481" s="8" t="n"/>
      <c r="R2481" s="8" t="n"/>
      <c r="S2481" s="8" t="n"/>
      <c r="T2481" s="7" t="inlineStr">
        <is>
          <t>SEM COTAÇÃO</t>
        </is>
      </c>
      <c r="U2481" s="8" t="n"/>
      <c r="V2481" s="14" t="n"/>
      <c r="W2481" s="14" t="n"/>
      <c r="X2481" s="7" t="inlineStr"/>
      <c r="Y2481" s="7" t="inlineStr"/>
    </row>
    <row r="2482">
      <c r="A2482" s="7" t="n">
        <v>305921</v>
      </c>
      <c r="B2482" s="12" t="inlineStr">
        <is>
          <t>7895296043069</t>
        </is>
      </c>
      <c r="C2482" s="7" t="inlineStr">
        <is>
          <t>ISOTRETINOINA 20MG CX 30 CAP</t>
        </is>
      </c>
      <c r="D2482" s="7" t="inlineStr">
        <is>
          <t>GENERICO</t>
        </is>
      </c>
      <c r="E2482" s="7" t="inlineStr">
        <is>
          <t>C</t>
        </is>
      </c>
      <c r="F2482" s="13" t="n">
        <v>1</v>
      </c>
      <c r="G2482" s="13" t="n">
        <v>1</v>
      </c>
      <c r="H2482" s="8" t="n">
        <v>31.09</v>
      </c>
      <c r="I2482" s="8" t="n">
        <v>31.09</v>
      </c>
      <c r="J2482" s="8" t="n">
        <v>31.09</v>
      </c>
      <c r="K2482" s="8" t="n">
        <v>36.93</v>
      </c>
      <c r="L2482" s="15" t="n">
        <v>36.39</v>
      </c>
      <c r="M2482" s="8" t="n"/>
      <c r="N2482" s="8" t="n"/>
      <c r="O2482" s="8" t="n"/>
      <c r="P2482" s="8" t="n"/>
      <c r="Q2482" s="8" t="n">
        <v>37.85</v>
      </c>
      <c r="R2482" s="8" t="n"/>
      <c r="S2482" s="8" t="n"/>
      <c r="T2482" s="7" t="inlineStr">
        <is>
          <t>PLUSFARMA</t>
        </is>
      </c>
      <c r="U2482" s="8" t="n">
        <v>36.39</v>
      </c>
      <c r="V2482" s="14">
        <f>U2482/J2482-1</f>
        <v/>
      </c>
      <c r="W2482" s="14">
        <f>U2482/H2482-1</f>
        <v/>
      </c>
      <c r="X2482" s="16" t="inlineStr">
        <is>
          <t>ACIMA +17.0%</t>
        </is>
      </c>
      <c r="Y2482" s="7" t="inlineStr"/>
    </row>
    <row r="2483">
      <c r="A2483" s="7" t="n">
        <v>306601</v>
      </c>
      <c r="B2483" s="12" t="inlineStr">
        <is>
          <t>7894916141000</t>
        </is>
      </c>
      <c r="C2483" s="7" t="inlineStr">
        <is>
          <t>ITRACONAZOL 100MG CX 15 CAP</t>
        </is>
      </c>
      <c r="D2483" s="7" t="inlineStr">
        <is>
          <t>GENERICO</t>
        </is>
      </c>
      <c r="E2483" s="7" t="inlineStr">
        <is>
          <t>A</t>
        </is>
      </c>
      <c r="F2483" s="13" t="n">
        <v>9</v>
      </c>
      <c r="G2483" s="13" t="n">
        <v>9</v>
      </c>
      <c r="H2483" s="8" t="n">
        <v>17.49</v>
      </c>
      <c r="I2483" s="8" t="n">
        <v>17.49</v>
      </c>
      <c r="J2483" s="8" t="n">
        <v>17.49</v>
      </c>
      <c r="K2483" s="8" t="n"/>
      <c r="L2483" s="8" t="n"/>
      <c r="M2483" s="8" t="n"/>
      <c r="N2483" s="8" t="n"/>
      <c r="O2483" s="8" t="n"/>
      <c r="P2483" s="8" t="n"/>
      <c r="Q2483" s="8" t="n">
        <v>19.91</v>
      </c>
      <c r="R2483" s="15" t="n">
        <v>18.38</v>
      </c>
      <c r="S2483" s="8" t="n"/>
      <c r="T2483" s="7" t="inlineStr">
        <is>
          <t>BRASFARMA</t>
        </is>
      </c>
      <c r="U2483" s="8" t="n">
        <v>18.38</v>
      </c>
      <c r="V2483" s="14">
        <f>U2483/J2483-1</f>
        <v/>
      </c>
      <c r="W2483" s="14">
        <f>U2483/H2483-1</f>
        <v/>
      </c>
      <c r="X2483" s="16" t="inlineStr">
        <is>
          <t>ACIMA +5.1%</t>
        </is>
      </c>
      <c r="Y2483" s="7" t="inlineStr"/>
    </row>
    <row r="2484">
      <c r="A2484" s="7" t="n">
        <v>240081</v>
      </c>
      <c r="B2484" s="12" t="inlineStr">
        <is>
          <t>7896094208094</t>
        </is>
      </c>
      <c r="C2484" s="7" t="inlineStr">
        <is>
          <t>IUMI 3+0,02MG CX 24 COMP REV</t>
        </is>
      </c>
      <c r="D2484" s="7" t="inlineStr">
        <is>
          <t>RX</t>
        </is>
      </c>
      <c r="E2484" s="7" t="inlineStr">
        <is>
          <t>A</t>
        </is>
      </c>
      <c r="F2484" s="13" t="n">
        <v>1</v>
      </c>
      <c r="G2484" s="13" t="n">
        <v>1</v>
      </c>
      <c r="H2484" s="8" t="n">
        <v>58.84</v>
      </c>
      <c r="I2484" s="8" t="n">
        <v>54.58</v>
      </c>
      <c r="J2484" s="8" t="n">
        <v>57.41999999999999</v>
      </c>
      <c r="K2484" s="8" t="n"/>
      <c r="L2484" s="8" t="n"/>
      <c r="M2484" s="8" t="n">
        <v>58.84</v>
      </c>
      <c r="N2484" s="8" t="n"/>
      <c r="O2484" s="8" t="n"/>
      <c r="P2484" s="15" t="n">
        <v>57.7764</v>
      </c>
      <c r="Q2484" s="8" t="n"/>
      <c r="R2484" s="8" t="n"/>
      <c r="S2484" s="8" t="n"/>
      <c r="T2484" s="7" t="inlineStr">
        <is>
          <t>NAZARIA</t>
        </is>
      </c>
      <c r="U2484" s="8" t="n">
        <v>57.7764</v>
      </c>
      <c r="V2484" s="14">
        <f>U2484/J2484-1</f>
        <v/>
      </c>
      <c r="W2484" s="14">
        <f>U2484/H2484-1</f>
        <v/>
      </c>
      <c r="X2484" s="17" t="inlineStr">
        <is>
          <t>OK (≤ últ. compra)</t>
        </is>
      </c>
      <c r="Y2484" s="7" t="inlineStr"/>
    </row>
    <row r="2485">
      <c r="A2485" s="7" t="n">
        <v>14903</v>
      </c>
      <c r="B2485" s="12" t="inlineStr">
        <is>
          <t>7899620915817</t>
        </is>
      </c>
      <c r="C2485" s="7" t="inlineStr">
        <is>
          <t>IVERMECTINA COM 6 MG C/ 4CP</t>
        </is>
      </c>
      <c r="D2485" s="7" t="inlineStr">
        <is>
          <t>GENERICO</t>
        </is>
      </c>
      <c r="E2485" s="7" t="inlineStr">
        <is>
          <t>A</t>
        </is>
      </c>
      <c r="F2485" s="13" t="n">
        <v>12</v>
      </c>
      <c r="G2485" s="13" t="n">
        <v>12</v>
      </c>
      <c r="H2485" s="8" t="n">
        <v>1.35</v>
      </c>
      <c r="I2485" s="8" t="n">
        <v>1.35</v>
      </c>
      <c r="J2485" s="8" t="n">
        <v>1.35</v>
      </c>
      <c r="K2485" s="8" t="n"/>
      <c r="L2485" s="8" t="n"/>
      <c r="M2485" s="8" t="n"/>
      <c r="N2485" s="8" t="n"/>
      <c r="O2485" s="8" t="n"/>
      <c r="P2485" s="8" t="n"/>
      <c r="Q2485" s="8" t="n"/>
      <c r="R2485" s="8" t="n"/>
      <c r="S2485" s="8" t="n"/>
      <c r="T2485" s="7" t="inlineStr">
        <is>
          <t>SEM COTAÇÃO</t>
        </is>
      </c>
      <c r="U2485" s="8" t="n"/>
      <c r="V2485" s="14" t="n"/>
      <c r="W2485" s="14" t="n"/>
      <c r="X2485" s="7" t="inlineStr"/>
      <c r="Y2485" s="7" t="inlineStr"/>
    </row>
    <row r="2486">
      <c r="A2486" s="7" t="n">
        <v>237681</v>
      </c>
      <c r="B2486" s="12" t="inlineStr">
        <is>
          <t>7896094209510</t>
        </is>
      </c>
      <c r="C2486" s="7" t="inlineStr">
        <is>
          <t>IZIZ 2,5+1,5MG CX CARTELA COMP REV CAIXA C/ 3 CARTELAS</t>
        </is>
      </c>
      <c r="D2486" s="7" t="inlineStr">
        <is>
          <t>RX</t>
        </is>
      </c>
      <c r="E2486" s="7" t="inlineStr">
        <is>
          <t>B</t>
        </is>
      </c>
      <c r="F2486" s="13" t="n">
        <v>1</v>
      </c>
      <c r="G2486" s="13" t="n">
        <v>1</v>
      </c>
      <c r="H2486" s="8" t="n">
        <v>42.1167</v>
      </c>
      <c r="I2486" s="8" t="n">
        <v>38.5967</v>
      </c>
      <c r="J2486" s="8" t="n">
        <v>40.94336666666667</v>
      </c>
      <c r="K2486" s="8" t="n"/>
      <c r="L2486" s="8" t="n"/>
      <c r="M2486" s="8" t="n"/>
      <c r="N2486" s="8" t="n"/>
      <c r="O2486" s="8" t="n"/>
      <c r="P2486" s="15" t="n">
        <v>124.0767</v>
      </c>
      <c r="Q2486" s="8" t="n"/>
      <c r="R2486" s="8" t="n"/>
      <c r="S2486" s="8" t="n"/>
      <c r="T2486" s="7" t="inlineStr">
        <is>
          <t>NAZARIA</t>
        </is>
      </c>
      <c r="U2486" s="8" t="n">
        <v>124.0767</v>
      </c>
      <c r="V2486" s="14">
        <f>U2486/J2486-1</f>
        <v/>
      </c>
      <c r="W2486" s="14">
        <f>U2486/H2486-1</f>
        <v/>
      </c>
      <c r="X2486" s="16" t="inlineStr">
        <is>
          <t>ACIMA +194.6%</t>
        </is>
      </c>
      <c r="Y2486" s="7" t="inlineStr">
        <is>
          <t>NAZARIA: conferir emb.</t>
        </is>
      </c>
    </row>
    <row r="2487">
      <c r="A2487" s="7" t="n">
        <v>654851</v>
      </c>
      <c r="B2487" s="12" t="inlineStr">
        <is>
          <t>7897947619500</t>
        </is>
      </c>
      <c r="C2487" s="7" t="inlineStr">
        <is>
          <t>JOAO E MARIA CREME ASSADURA BG 40G</t>
        </is>
      </c>
      <c r="D2487" s="7" t="inlineStr">
        <is>
          <t>BABY/KIDS</t>
        </is>
      </c>
      <c r="E2487" s="7" t="inlineStr">
        <is>
          <t>B</t>
        </is>
      </c>
      <c r="F2487" s="13" t="n">
        <v>2</v>
      </c>
      <c r="G2487" s="13" t="n">
        <v>2</v>
      </c>
      <c r="H2487" s="8" t="n">
        <v>8.65</v>
      </c>
      <c r="I2487" s="8" t="n">
        <v>8.380000000000001</v>
      </c>
      <c r="J2487" s="8" t="n">
        <v>8.56</v>
      </c>
      <c r="K2487" s="8" t="n"/>
      <c r="L2487" s="8" t="n"/>
      <c r="M2487" s="8" t="n"/>
      <c r="N2487" s="8" t="n"/>
      <c r="O2487" s="8" t="n"/>
      <c r="P2487" s="8" t="n">
        <v>12.89</v>
      </c>
      <c r="Q2487" s="8" t="n"/>
      <c r="R2487" s="8" t="n"/>
      <c r="S2487" s="8" t="n"/>
      <c r="T2487" s="7" t="inlineStr">
        <is>
          <t>SEM COTAÇÃO</t>
        </is>
      </c>
      <c r="U2487" s="8" t="n"/>
      <c r="V2487" s="14" t="n"/>
      <c r="W2487" s="14" t="n"/>
      <c r="X2487" s="7" t="inlineStr"/>
      <c r="Y2487" s="7" t="inlineStr">
        <is>
          <t>NAZARIA: sem estoque</t>
        </is>
      </c>
    </row>
    <row r="2488">
      <c r="A2488" s="7" t="n">
        <v>1184</v>
      </c>
      <c r="B2488" s="12" t="inlineStr">
        <is>
          <t>7897947620643</t>
        </is>
      </c>
      <c r="C2488" s="7" t="inlineStr">
        <is>
          <t>JOAO E MARIA LENCO UMEDECIDO X90 S/ FRAG</t>
        </is>
      </c>
      <c r="D2488" s="7" t="inlineStr">
        <is>
          <t>FRALDAS INFANTIL</t>
        </is>
      </c>
      <c r="E2488" s="7" t="inlineStr">
        <is>
          <t>A</t>
        </is>
      </c>
      <c r="F2488" s="13" t="n">
        <v>13</v>
      </c>
      <c r="G2488" s="13" t="n">
        <v>13</v>
      </c>
      <c r="H2488" s="8" t="n">
        <v>8.99</v>
      </c>
      <c r="I2488" s="8" t="n">
        <v>8.99</v>
      </c>
      <c r="J2488" s="8" t="n">
        <v>8.99</v>
      </c>
      <c r="K2488" s="8" t="n"/>
      <c r="L2488" s="8" t="n"/>
      <c r="M2488" s="8" t="n"/>
      <c r="N2488" s="8" t="n"/>
      <c r="O2488" s="8" t="n"/>
      <c r="P2488" s="8" t="n"/>
      <c r="Q2488" s="8" t="n"/>
      <c r="R2488" s="8" t="n"/>
      <c r="S2488" s="8" t="n"/>
      <c r="T2488" s="7" t="inlineStr">
        <is>
          <t>SEM COTAÇÃO</t>
        </is>
      </c>
      <c r="U2488" s="8" t="n"/>
      <c r="V2488" s="14" t="n"/>
      <c r="W2488" s="14" t="n"/>
      <c r="X2488" s="7" t="inlineStr"/>
      <c r="Y2488" s="7" t="inlineStr"/>
    </row>
    <row r="2489">
      <c r="A2489" s="7" t="n">
        <v>654861</v>
      </c>
      <c r="B2489" s="12" t="inlineStr">
        <is>
          <t>7897947620131</t>
        </is>
      </c>
      <c r="C2489" s="7" t="inlineStr">
        <is>
          <t>JOAO E MARIA SAB LIQ BABY GLIC FR 200ML</t>
        </is>
      </c>
      <c r="D2489" s="7" t="inlineStr">
        <is>
          <t>BABY/KIDS</t>
        </is>
      </c>
      <c r="E2489" s="7" t="inlineStr">
        <is>
          <t>C</t>
        </is>
      </c>
      <c r="F2489" s="13" t="n">
        <v>1</v>
      </c>
      <c r="G2489" s="13" t="n">
        <v>1</v>
      </c>
      <c r="H2489" s="8" t="n">
        <v>13.83</v>
      </c>
      <c r="I2489" s="8" t="n">
        <v>13.83</v>
      </c>
      <c r="J2489" s="8" t="n">
        <v>13.83</v>
      </c>
      <c r="K2489" s="8" t="n"/>
      <c r="L2489" s="8" t="n"/>
      <c r="M2489" s="8" t="n"/>
      <c r="N2489" s="8" t="n"/>
      <c r="O2489" s="8" t="n"/>
      <c r="P2489" s="15" t="n">
        <v>16.21</v>
      </c>
      <c r="Q2489" s="8" t="n"/>
      <c r="R2489" s="8" t="n"/>
      <c r="S2489" s="8" t="n"/>
      <c r="T2489" s="7" t="inlineStr">
        <is>
          <t>NAZARIA</t>
        </is>
      </c>
      <c r="U2489" s="8" t="n">
        <v>16.21</v>
      </c>
      <c r="V2489" s="14">
        <f>U2489/J2489-1</f>
        <v/>
      </c>
      <c r="W2489" s="14">
        <f>U2489/H2489-1</f>
        <v/>
      </c>
      <c r="X2489" s="16" t="inlineStr">
        <is>
          <t>ACIMA +17.2%</t>
        </is>
      </c>
      <c r="Y2489" s="7" t="inlineStr"/>
    </row>
    <row r="2490">
      <c r="A2490" s="7" t="n">
        <v>649221</v>
      </c>
      <c r="B2490" s="12" t="inlineStr">
        <is>
          <t>7891035991189</t>
        </is>
      </c>
      <c r="C2490" s="7" t="inlineStr">
        <is>
          <t>JONTEX PRESERV MORANGO 48X3UND</t>
        </is>
      </c>
      <c r="D2490" s="7" t="inlineStr">
        <is>
          <t>PRESERVATIVOS</t>
        </is>
      </c>
      <c r="E2490" s="7" t="inlineStr">
        <is>
          <t>C</t>
        </is>
      </c>
      <c r="F2490" s="13" t="n">
        <v>2</v>
      </c>
      <c r="G2490" s="13" t="n">
        <v>2</v>
      </c>
      <c r="H2490" s="8" t="n">
        <v>5.055</v>
      </c>
      <c r="I2490" s="8" t="n">
        <v>4.8117</v>
      </c>
      <c r="J2490" s="8" t="n">
        <v>4.8117</v>
      </c>
      <c r="K2490" s="8" t="n"/>
      <c r="L2490" s="8" t="n"/>
      <c r="M2490" s="8" t="n"/>
      <c r="N2490" s="8" t="n"/>
      <c r="O2490" s="8" t="n"/>
      <c r="P2490" s="8" t="n"/>
      <c r="Q2490" s="8" t="n"/>
      <c r="R2490" s="8" t="n"/>
      <c r="S2490" s="8" t="n"/>
      <c r="T2490" s="7" t="inlineStr">
        <is>
          <t>SEM COTAÇÃO</t>
        </is>
      </c>
      <c r="U2490" s="8" t="n"/>
      <c r="V2490" s="14" t="n"/>
      <c r="W2490" s="14" t="n"/>
      <c r="X2490" s="7" t="inlineStr"/>
      <c r="Y2490" s="7" t="inlineStr"/>
    </row>
    <row r="2491">
      <c r="A2491" s="7" t="n">
        <v>42603</v>
      </c>
      <c r="B2491" s="12" t="inlineStr">
        <is>
          <t>7896222720368</t>
        </is>
      </c>
      <c r="C2491" s="7" t="inlineStr">
        <is>
          <t>JONTEX XL LUBRIFICADO 6-DEMAIS PROD</t>
        </is>
      </c>
      <c r="D2491" s="7" t="inlineStr">
        <is>
          <t>PRESERVATIVOS</t>
        </is>
      </c>
      <c r="E2491" s="7" t="inlineStr">
        <is>
          <t>C</t>
        </is>
      </c>
      <c r="F2491" s="13" t="n">
        <v>1</v>
      </c>
      <c r="G2491" s="13" t="n">
        <v>1</v>
      </c>
      <c r="H2491" s="8" t="n">
        <v>13.7433</v>
      </c>
      <c r="I2491" s="8" t="n">
        <v>13.7433</v>
      </c>
      <c r="J2491" s="8" t="n">
        <v>13.7433</v>
      </c>
      <c r="K2491" s="8" t="n"/>
      <c r="L2491" s="8" t="n"/>
      <c r="M2491" s="8" t="n"/>
      <c r="N2491" s="8" t="n"/>
      <c r="O2491" s="8" t="n"/>
      <c r="P2491" s="15" t="n">
        <v>15.1998</v>
      </c>
      <c r="Q2491" s="8" t="n"/>
      <c r="R2491" s="8" t="n"/>
      <c r="S2491" s="8" t="n"/>
      <c r="T2491" s="7" t="inlineStr">
        <is>
          <t>NAZARIA</t>
        </is>
      </c>
      <c r="U2491" s="8" t="n">
        <v>15.1998</v>
      </c>
      <c r="V2491" s="14">
        <f>U2491/J2491-1</f>
        <v/>
      </c>
      <c r="W2491" s="14">
        <f>U2491/H2491-1</f>
        <v/>
      </c>
      <c r="X2491" s="16" t="inlineStr">
        <is>
          <t>ACIMA +10.6%</t>
        </is>
      </c>
      <c r="Y2491" s="7" t="inlineStr"/>
    </row>
    <row r="2492">
      <c r="A2492" s="7" t="n">
        <v>607411</v>
      </c>
      <c r="B2492" s="12" t="inlineStr">
        <is>
          <t>7896058593570</t>
        </is>
      </c>
      <c r="C2492" s="7" t="inlineStr">
        <is>
          <t>JUBES FRUIT SNACKS TROP TUBO 48GR</t>
        </is>
      </c>
      <c r="D2492" s="7" t="inlineStr">
        <is>
          <t>DESATIVADO</t>
        </is>
      </c>
      <c r="E2492" s="7" t="inlineStr">
        <is>
          <t>C</t>
        </is>
      </c>
      <c r="F2492" s="13" t="n">
        <v>10</v>
      </c>
      <c r="G2492" s="13" t="n">
        <v>10</v>
      </c>
      <c r="H2492" s="8" t="n">
        <v>1.68</v>
      </c>
      <c r="I2492" s="8" t="n">
        <v>1.68</v>
      </c>
      <c r="J2492" s="8" t="n">
        <v>1.68</v>
      </c>
      <c r="K2492" s="8" t="n"/>
      <c r="L2492" s="8" t="n"/>
      <c r="M2492" s="8" t="n"/>
      <c r="N2492" s="8" t="n"/>
      <c r="O2492" s="8" t="n"/>
      <c r="P2492" s="8" t="n"/>
      <c r="Q2492" s="8" t="n"/>
      <c r="R2492" s="8" t="n"/>
      <c r="S2492" s="8" t="n"/>
      <c r="T2492" s="7" t="inlineStr">
        <is>
          <t>SEM COTAÇÃO</t>
        </is>
      </c>
      <c r="U2492" s="8" t="n"/>
      <c r="V2492" s="14" t="n"/>
      <c r="W2492" s="14" t="n"/>
      <c r="X2492" s="7" t="inlineStr"/>
      <c r="Y2492" s="7" t="inlineStr"/>
    </row>
    <row r="2493">
      <c r="A2493" s="7" t="n">
        <v>615081</v>
      </c>
      <c r="B2493" s="12" t="inlineStr">
        <is>
          <t>7896058501391</t>
        </is>
      </c>
      <c r="C2493" s="7" t="inlineStr">
        <is>
          <t>JUBES FS YOGURTE100 MORANGO+CREME 48G</t>
        </is>
      </c>
      <c r="D2493" s="7" t="inlineStr">
        <is>
          <t>CONVENIENCIA</t>
        </is>
      </c>
      <c r="E2493" s="7" t="inlineStr">
        <is>
          <t>C</t>
        </is>
      </c>
      <c r="F2493" s="13" t="n">
        <v>7</v>
      </c>
      <c r="G2493" s="13" t="n">
        <v>7</v>
      </c>
      <c r="H2493" s="8" t="n">
        <v>1.68</v>
      </c>
      <c r="I2493" s="8" t="n">
        <v>1.68</v>
      </c>
      <c r="J2493" s="8" t="n">
        <v>1.68</v>
      </c>
      <c r="K2493" s="8" t="n"/>
      <c r="L2493" s="8" t="n"/>
      <c r="M2493" s="8" t="n"/>
      <c r="N2493" s="8" t="n"/>
      <c r="O2493" s="8" t="n"/>
      <c r="P2493" s="8" t="n"/>
      <c r="Q2493" s="8" t="n"/>
      <c r="R2493" s="8" t="n"/>
      <c r="S2493" s="8" t="n"/>
      <c r="T2493" s="7" t="inlineStr">
        <is>
          <t>SEM COTAÇÃO</t>
        </is>
      </c>
      <c r="U2493" s="8" t="n"/>
      <c r="V2493" s="14" t="n"/>
      <c r="W2493" s="14" t="n"/>
      <c r="X2493" s="7" t="inlineStr"/>
      <c r="Y2493" s="7" t="inlineStr"/>
    </row>
    <row r="2494">
      <c r="A2494" s="7" t="n">
        <v>655071</v>
      </c>
      <c r="B2494" s="12" t="inlineStr">
        <is>
          <t>7908475803481</t>
        </is>
      </c>
      <c r="C2494" s="7" t="inlineStr">
        <is>
          <t>K'PSULA EROS HOMEM 30 CAPS</t>
        </is>
      </c>
      <c r="D2494" s="7" t="inlineStr">
        <is>
          <t>VITAMINA E SIMILARES</t>
        </is>
      </c>
      <c r="E2494" s="7" t="inlineStr">
        <is>
          <t>C</t>
        </is>
      </c>
      <c r="F2494" s="13" t="n">
        <v>1</v>
      </c>
      <c r="G2494" s="13" t="n">
        <v>1</v>
      </c>
      <c r="H2494" s="8" t="n">
        <v>24.94</v>
      </c>
      <c r="I2494" s="8" t="n">
        <v>24.94</v>
      </c>
      <c r="J2494" s="8" t="n">
        <v>24.94</v>
      </c>
      <c r="K2494" s="8" t="n"/>
      <c r="L2494" s="8" t="n"/>
      <c r="M2494" s="8" t="n"/>
      <c r="N2494" s="8" t="n"/>
      <c r="O2494" s="8" t="n"/>
      <c r="P2494" s="8" t="n"/>
      <c r="Q2494" s="8" t="n"/>
      <c r="R2494" s="8" t="n"/>
      <c r="S2494" s="8" t="n"/>
      <c r="T2494" s="7" t="inlineStr">
        <is>
          <t>SEM COTAÇÃO</t>
        </is>
      </c>
      <c r="U2494" s="8" t="n"/>
      <c r="V2494" s="14" t="n"/>
      <c r="W2494" s="14" t="n"/>
      <c r="X2494" s="7" t="inlineStr"/>
      <c r="Y2494" s="7" t="inlineStr"/>
    </row>
    <row r="2495">
      <c r="A2495" s="7" t="n">
        <v>546681</v>
      </c>
      <c r="B2495" s="12" t="inlineStr">
        <is>
          <t>7896523210582</t>
        </is>
      </c>
      <c r="C2495" s="7" t="inlineStr">
        <is>
          <t>K-MED 2 EM 1 GEL FR 203 G</t>
        </is>
      </c>
      <c r="D2495" s="7" t="inlineStr">
        <is>
          <t>PRESERVATIVOS</t>
        </is>
      </c>
      <c r="E2495" s="7" t="inlineStr">
        <is>
          <t>A</t>
        </is>
      </c>
      <c r="F2495" s="13" t="n">
        <v>8</v>
      </c>
      <c r="G2495" s="13" t="n">
        <v>8</v>
      </c>
      <c r="H2495" s="8" t="n">
        <v>27.83</v>
      </c>
      <c r="I2495" s="8" t="n">
        <v>13.99</v>
      </c>
      <c r="J2495" s="8" t="n">
        <v>21.52666666666667</v>
      </c>
      <c r="K2495" s="8" t="n"/>
      <c r="L2495" s="8" t="n"/>
      <c r="M2495" s="8" t="n"/>
      <c r="N2495" s="8" t="n"/>
      <c r="O2495" s="8" t="n"/>
      <c r="P2495" s="15" t="n">
        <v>30.61</v>
      </c>
      <c r="Q2495" s="8" t="n"/>
      <c r="R2495" s="8" t="n"/>
      <c r="S2495" s="8" t="n"/>
      <c r="T2495" s="7" t="inlineStr">
        <is>
          <t>NAZARIA</t>
        </is>
      </c>
      <c r="U2495" s="8" t="n">
        <v>30.61</v>
      </c>
      <c r="V2495" s="14">
        <f>U2495/J2495-1</f>
        <v/>
      </c>
      <c r="W2495" s="14">
        <f>U2495/H2495-1</f>
        <v/>
      </c>
      <c r="X2495" s="16" t="inlineStr">
        <is>
          <t>ACIMA +10.0%</t>
        </is>
      </c>
      <c r="Y2495" s="7" t="inlineStr"/>
    </row>
    <row r="2496">
      <c r="A2496" s="7" t="n">
        <v>607011</v>
      </c>
      <c r="B2496" s="12" t="inlineStr">
        <is>
          <t>7896523228136</t>
        </is>
      </c>
      <c r="C2496" s="7" t="inlineStr">
        <is>
          <t>K-MED 2 EM 1 GEL FR 203 G LGBTQIA+</t>
        </is>
      </c>
      <c r="D2496" s="7" t="inlineStr">
        <is>
          <t>PRESERVATIVOS</t>
        </is>
      </c>
      <c r="E2496" s="7" t="inlineStr">
        <is>
          <t>A</t>
        </is>
      </c>
      <c r="F2496" s="13" t="n">
        <v>3</v>
      </c>
      <c r="G2496" s="13" t="n">
        <v>3</v>
      </c>
      <c r="H2496" s="8" t="n">
        <v>26.72</v>
      </c>
      <c r="I2496" s="8" t="n">
        <v>24.29</v>
      </c>
      <c r="J2496" s="8" t="n">
        <v>24.29</v>
      </c>
      <c r="K2496" s="8" t="n"/>
      <c r="L2496" s="8" t="n"/>
      <c r="M2496" s="8" t="n"/>
      <c r="N2496" s="8" t="n"/>
      <c r="O2496" s="8" t="n"/>
      <c r="P2496" s="15" t="n">
        <v>30.45</v>
      </c>
      <c r="Q2496" s="8" t="n"/>
      <c r="R2496" s="8" t="n"/>
      <c r="S2496" s="8" t="n"/>
      <c r="T2496" s="7" t="inlineStr">
        <is>
          <t>NAZARIA</t>
        </is>
      </c>
      <c r="U2496" s="8" t="n">
        <v>30.45</v>
      </c>
      <c r="V2496" s="14">
        <f>U2496/J2496-1</f>
        <v/>
      </c>
      <c r="W2496" s="14">
        <f>U2496/H2496-1</f>
        <v/>
      </c>
      <c r="X2496" s="16" t="inlineStr">
        <is>
          <t>ACIMA +14.0%</t>
        </is>
      </c>
      <c r="Y2496" s="7" t="inlineStr"/>
    </row>
    <row r="2497">
      <c r="A2497" s="7" t="n">
        <v>630501</v>
      </c>
      <c r="B2497" s="12" t="inlineStr">
        <is>
          <t>7896523201948</t>
        </is>
      </c>
      <c r="C2497" s="7" t="inlineStr">
        <is>
          <t>K-MED 2 EM 1 GEL FR 50 G</t>
        </is>
      </c>
      <c r="D2497" s="7" t="inlineStr">
        <is>
          <t>PRESERVATIVOS</t>
        </is>
      </c>
      <c r="E2497" s="7" t="inlineStr">
        <is>
          <t>A</t>
        </is>
      </c>
      <c r="F2497" s="13" t="n">
        <v>7</v>
      </c>
      <c r="G2497" s="13" t="n">
        <v>7</v>
      </c>
      <c r="H2497" s="8" t="n">
        <v>13.3</v>
      </c>
      <c r="I2497" s="8" t="n">
        <v>12.09</v>
      </c>
      <c r="J2497" s="8" t="n">
        <v>12.09</v>
      </c>
      <c r="K2497" s="8" t="n"/>
      <c r="L2497" s="8" t="n"/>
      <c r="M2497" s="8" t="n"/>
      <c r="N2497" s="8" t="n"/>
      <c r="O2497" s="8" t="n"/>
      <c r="P2497" s="15" t="n">
        <v>17.48</v>
      </c>
      <c r="Q2497" s="8" t="n"/>
      <c r="R2497" s="8" t="n"/>
      <c r="S2497" s="8" t="n"/>
      <c r="T2497" s="7" t="inlineStr">
        <is>
          <t>NAZARIA</t>
        </is>
      </c>
      <c r="U2497" s="8" t="n">
        <v>17.48</v>
      </c>
      <c r="V2497" s="14">
        <f>U2497/J2497-1</f>
        <v/>
      </c>
      <c r="W2497" s="14">
        <f>U2497/H2497-1</f>
        <v/>
      </c>
      <c r="X2497" s="16" t="inlineStr">
        <is>
          <t>ACIMA +31.4%</t>
        </is>
      </c>
      <c r="Y2497" s="7" t="inlineStr"/>
    </row>
    <row r="2498">
      <c r="A2498" s="7" t="n">
        <v>553601</v>
      </c>
      <c r="B2498" s="12" t="inlineStr">
        <is>
          <t>7896523207834</t>
        </is>
      </c>
      <c r="C2498" s="7" t="inlineStr">
        <is>
          <t>K-MED GEL BG 25 G</t>
        </is>
      </c>
      <c r="D2498" s="7" t="inlineStr">
        <is>
          <t>PRESERVATIVOS</t>
        </is>
      </c>
      <c r="E2498" s="7" t="inlineStr">
        <is>
          <t>A</t>
        </is>
      </c>
      <c r="F2498" s="13" t="n">
        <v>13</v>
      </c>
      <c r="G2498" s="13" t="n">
        <v>13</v>
      </c>
      <c r="H2498" s="8" t="n">
        <v>6.59</v>
      </c>
      <c r="I2498" s="8" t="n">
        <v>2.99</v>
      </c>
      <c r="J2498" s="8" t="n">
        <v>5.19</v>
      </c>
      <c r="K2498" s="15" t="n">
        <v>5.67</v>
      </c>
      <c r="L2498" s="8" t="n"/>
      <c r="M2498" s="8" t="n"/>
      <c r="N2498" s="8" t="n"/>
      <c r="O2498" s="8" t="n"/>
      <c r="P2498" s="8" t="n">
        <v>8.09</v>
      </c>
      <c r="Q2498" s="8" t="n"/>
      <c r="R2498" s="8" t="n"/>
      <c r="S2498" s="8" t="n"/>
      <c r="T2498" s="7" t="inlineStr">
        <is>
          <t>DIMEC</t>
        </is>
      </c>
      <c r="U2498" s="8" t="n">
        <v>5.67</v>
      </c>
      <c r="V2498" s="14">
        <f>U2498/J2498-1</f>
        <v/>
      </c>
      <c r="W2498" s="14">
        <f>U2498/H2498-1</f>
        <v/>
      </c>
      <c r="X2498" s="17" t="inlineStr">
        <is>
          <t>OK (≤ últ. compra)</t>
        </is>
      </c>
      <c r="Y2498" s="7" t="inlineStr"/>
    </row>
    <row r="2499">
      <c r="A2499" s="7" t="n">
        <v>33</v>
      </c>
      <c r="B2499" s="12" t="inlineStr"/>
      <c r="C2499" s="7" t="inlineStr">
        <is>
          <t>K-MED HOT FR 50G</t>
        </is>
      </c>
      <c r="D2499" s="7" t="inlineStr">
        <is>
          <t>PRESERVATIVOS</t>
        </is>
      </c>
      <c r="E2499" s="7" t="inlineStr">
        <is>
          <t>A</t>
        </is>
      </c>
      <c r="F2499" s="13" t="n">
        <v>9</v>
      </c>
      <c r="G2499" s="13" t="n">
        <v>9</v>
      </c>
      <c r="H2499" s="8" t="n">
        <v>14.79</v>
      </c>
      <c r="I2499" s="8" t="n">
        <v>12.09</v>
      </c>
      <c r="J2499" s="8" t="n">
        <v>12.52333333333333</v>
      </c>
      <c r="K2499" s="8" t="n"/>
      <c r="L2499" s="8" t="n"/>
      <c r="M2499" s="8" t="n"/>
      <c r="N2499" s="8" t="n"/>
      <c r="O2499" s="8" t="n"/>
      <c r="P2499" s="8" t="n"/>
      <c r="Q2499" s="8" t="n"/>
      <c r="R2499" s="8" t="n"/>
      <c r="S2499" s="8" t="n"/>
      <c r="T2499" s="7" t="inlineStr">
        <is>
          <t>SEM COTAÇÃO</t>
        </is>
      </c>
      <c r="U2499" s="8" t="n"/>
      <c r="V2499" s="14" t="n"/>
      <c r="W2499" s="14" t="n"/>
      <c r="X2499" s="7" t="inlineStr"/>
      <c r="Y2499" s="7" t="inlineStr"/>
    </row>
    <row r="2500">
      <c r="A2500" s="7" t="n">
        <v>621221</v>
      </c>
      <c r="B2500" s="12" t="inlineStr">
        <is>
          <t>7896523228440</t>
        </is>
      </c>
      <c r="C2500" s="7" t="inlineStr">
        <is>
          <t>K-MED ICE FR 50G</t>
        </is>
      </c>
      <c r="D2500" s="7" t="inlineStr">
        <is>
          <t>PRESERVATIVOS</t>
        </is>
      </c>
      <c r="E2500" s="7" t="inlineStr">
        <is>
          <t>A</t>
        </is>
      </c>
      <c r="F2500" s="13" t="n">
        <v>7</v>
      </c>
      <c r="G2500" s="13" t="n">
        <v>7</v>
      </c>
      <c r="H2500" s="8" t="n">
        <v>14.06</v>
      </c>
      <c r="I2500" s="8" t="n">
        <v>12.09</v>
      </c>
      <c r="J2500" s="8" t="n">
        <v>12.49333333333333</v>
      </c>
      <c r="K2500" s="8" t="n"/>
      <c r="L2500" s="8" t="n"/>
      <c r="M2500" s="8" t="n"/>
      <c r="N2500" s="8" t="n"/>
      <c r="O2500" s="8" t="n"/>
      <c r="P2500" s="15" t="n">
        <v>17.48</v>
      </c>
      <c r="Q2500" s="8" t="n"/>
      <c r="R2500" s="8" t="n"/>
      <c r="S2500" s="8" t="n"/>
      <c r="T2500" s="7" t="inlineStr">
        <is>
          <t>NAZARIA</t>
        </is>
      </c>
      <c r="U2500" s="8" t="n">
        <v>17.48</v>
      </c>
      <c r="V2500" s="14">
        <f>U2500/J2500-1</f>
        <v/>
      </c>
      <c r="W2500" s="14">
        <f>U2500/H2500-1</f>
        <v/>
      </c>
      <c r="X2500" s="16" t="inlineStr">
        <is>
          <t>ACIMA +24.3%</t>
        </is>
      </c>
      <c r="Y2500" s="7" t="inlineStr"/>
    </row>
    <row r="2501">
      <c r="A2501" s="7" t="n">
        <v>657241</v>
      </c>
      <c r="B2501" s="12" t="inlineStr">
        <is>
          <t>7896523228310</t>
        </is>
      </c>
      <c r="C2501" s="7" t="inlineStr">
        <is>
          <t>K-MED K-MISINHA INVISIVEL 3 UN</t>
        </is>
      </c>
      <c r="D2501" s="7" t="inlineStr">
        <is>
          <t>PRESERVATIVOS</t>
        </is>
      </c>
      <c r="E2501" s="7" t="inlineStr">
        <is>
          <t>C</t>
        </is>
      </c>
      <c r="F2501" s="13" t="n">
        <v>1</v>
      </c>
      <c r="G2501" s="13" t="n">
        <v>1</v>
      </c>
      <c r="H2501" s="8" t="n"/>
      <c r="I2501" s="8" t="n"/>
      <c r="J2501" s="8" t="n"/>
      <c r="K2501" s="8" t="n"/>
      <c r="L2501" s="8" t="n"/>
      <c r="M2501" s="8" t="n"/>
      <c r="N2501" s="8" t="n"/>
      <c r="O2501" s="8" t="n"/>
      <c r="P2501" s="8" t="n"/>
      <c r="Q2501" s="8" t="n"/>
      <c r="R2501" s="8" t="n"/>
      <c r="S2501" s="8" t="n"/>
      <c r="T2501" s="7" t="inlineStr">
        <is>
          <t>SEM COTAÇÃO</t>
        </is>
      </c>
      <c r="U2501" s="8" t="n"/>
      <c r="V2501" s="14" t="n"/>
      <c r="W2501" s="14" t="n"/>
      <c r="X2501" s="7" t="inlineStr"/>
      <c r="Y2501" s="7" t="inlineStr"/>
    </row>
    <row r="2502">
      <c r="A2502" s="7" t="n">
        <v>657261</v>
      </c>
      <c r="B2502" s="12" t="inlineStr">
        <is>
          <t>7896523228327</t>
        </is>
      </c>
      <c r="C2502" s="7" t="inlineStr">
        <is>
          <t>K-MED K-MISINHA INVISIVEL 8 UN</t>
        </is>
      </c>
      <c r="D2502" s="7" t="inlineStr">
        <is>
          <t>PRESERVATIVOS</t>
        </is>
      </c>
      <c r="E2502" s="7" t="inlineStr">
        <is>
          <t>C</t>
        </is>
      </c>
      <c r="F2502" s="13" t="n">
        <v>1</v>
      </c>
      <c r="G2502" s="13" t="n">
        <v>1</v>
      </c>
      <c r="H2502" s="8" t="n"/>
      <c r="I2502" s="8" t="n"/>
      <c r="J2502" s="8" t="n"/>
      <c r="K2502" s="8" t="n"/>
      <c r="L2502" s="8" t="n"/>
      <c r="M2502" s="8" t="n"/>
      <c r="N2502" s="8" t="n"/>
      <c r="O2502" s="8" t="n"/>
      <c r="P2502" s="8" t="n"/>
      <c r="Q2502" s="8" t="n"/>
      <c r="R2502" s="8" t="n"/>
      <c r="S2502" s="8" t="n"/>
      <c r="T2502" s="7" t="inlineStr">
        <is>
          <t>SEM COTAÇÃO</t>
        </is>
      </c>
      <c r="U2502" s="8" t="n"/>
      <c r="V2502" s="14" t="n"/>
      <c r="W2502" s="14" t="n"/>
      <c r="X2502" s="7" t="inlineStr"/>
      <c r="Y2502" s="7" t="inlineStr"/>
    </row>
    <row r="2503">
      <c r="A2503" s="7" t="n">
        <v>1253</v>
      </c>
      <c r="B2503" s="12" t="inlineStr">
        <is>
          <t>7896523228402</t>
        </is>
      </c>
      <c r="C2503" s="7" t="inlineStr">
        <is>
          <t>K-MED K-MISINHA TRAD SEX EDUCATION 8 UN</t>
        </is>
      </c>
      <c r="D2503" s="7" t="inlineStr">
        <is>
          <t>PRESERVATIVOS</t>
        </is>
      </c>
      <c r="E2503" s="7" t="inlineStr">
        <is>
          <t>C</t>
        </is>
      </c>
      <c r="F2503" s="13" t="n">
        <v>1</v>
      </c>
      <c r="G2503" s="13" t="n">
        <v>1</v>
      </c>
      <c r="H2503" s="8" t="n"/>
      <c r="I2503" s="8" t="n"/>
      <c r="J2503" s="8" t="n"/>
      <c r="K2503" s="8" t="n"/>
      <c r="L2503" s="8" t="n"/>
      <c r="M2503" s="8" t="n"/>
      <c r="N2503" s="8" t="n"/>
      <c r="O2503" s="8" t="n"/>
      <c r="P2503" s="8" t="n"/>
      <c r="Q2503" s="8" t="n"/>
      <c r="R2503" s="8" t="n"/>
      <c r="S2503" s="8" t="n"/>
      <c r="T2503" s="7" t="inlineStr">
        <is>
          <t>SEM COTAÇÃO</t>
        </is>
      </c>
      <c r="U2503" s="8" t="n"/>
      <c r="V2503" s="14" t="n"/>
      <c r="W2503" s="14" t="n"/>
      <c r="X2503" s="7" t="inlineStr"/>
      <c r="Y2503" s="7" t="inlineStr"/>
    </row>
    <row r="2504">
      <c r="A2504" s="7" t="n">
        <v>657251</v>
      </c>
      <c r="B2504" s="12" t="inlineStr">
        <is>
          <t>7896523228297</t>
        </is>
      </c>
      <c r="C2504" s="7" t="inlineStr">
        <is>
          <t>K-MED K-MISINHA TRADICIONAL 3 UN</t>
        </is>
      </c>
      <c r="D2504" s="7" t="inlineStr">
        <is>
          <t>PRESERVATIVOS</t>
        </is>
      </c>
      <c r="E2504" s="7" t="inlineStr">
        <is>
          <t>C</t>
        </is>
      </c>
      <c r="F2504" s="13" t="n">
        <v>1</v>
      </c>
      <c r="G2504" s="13" t="n">
        <v>1</v>
      </c>
      <c r="H2504" s="8" t="n"/>
      <c r="I2504" s="8" t="n"/>
      <c r="J2504" s="8" t="n"/>
      <c r="K2504" s="8" t="n"/>
      <c r="L2504" s="8" t="n"/>
      <c r="M2504" s="8" t="n"/>
      <c r="N2504" s="8" t="n"/>
      <c r="O2504" s="8" t="n"/>
      <c r="P2504" s="8" t="n"/>
      <c r="Q2504" s="8" t="n"/>
      <c r="R2504" s="8" t="n"/>
      <c r="S2504" s="8" t="n"/>
      <c r="T2504" s="7" t="inlineStr">
        <is>
          <t>SEM COTAÇÃO</t>
        </is>
      </c>
      <c r="U2504" s="8" t="n"/>
      <c r="V2504" s="14" t="n"/>
      <c r="W2504" s="14" t="n"/>
      <c r="X2504" s="7" t="inlineStr"/>
      <c r="Y2504" s="7" t="inlineStr"/>
    </row>
    <row r="2505">
      <c r="A2505" s="7" t="n">
        <v>666121</v>
      </c>
      <c r="B2505" s="12" t="inlineStr">
        <is>
          <t>6976031290243</t>
        </is>
      </c>
      <c r="C2505" s="7" t="inlineStr">
        <is>
          <t>K-TOYS PLUG-IN</t>
        </is>
      </c>
      <c r="D2505" s="7" t="inlineStr">
        <is>
          <t>PRESERVATIVOS</t>
        </is>
      </c>
      <c r="E2505" s="7" t="inlineStr">
        <is>
          <t>C</t>
        </is>
      </c>
      <c r="F2505" s="13" t="n">
        <v>1</v>
      </c>
      <c r="G2505" s="13" t="n">
        <v>1</v>
      </c>
      <c r="H2505" s="8" t="n"/>
      <c r="I2505" s="8" t="n"/>
      <c r="J2505" s="8" t="n"/>
      <c r="K2505" s="8" t="n"/>
      <c r="L2505" s="8" t="n"/>
      <c r="M2505" s="8" t="n"/>
      <c r="N2505" s="8" t="n"/>
      <c r="O2505" s="8" t="n"/>
      <c r="P2505" s="8" t="n"/>
      <c r="Q2505" s="8" t="n"/>
      <c r="R2505" s="8" t="n"/>
      <c r="S2505" s="8" t="n"/>
      <c r="T2505" s="7" t="inlineStr">
        <is>
          <t>SEM COTAÇÃO</t>
        </is>
      </c>
      <c r="U2505" s="8" t="n"/>
      <c r="V2505" s="14" t="n"/>
      <c r="W2505" s="14" t="n"/>
      <c r="X2505" s="7" t="inlineStr"/>
      <c r="Y2505" s="7" t="inlineStr"/>
    </row>
    <row r="2506">
      <c r="A2506" s="7" t="n">
        <v>637531</v>
      </c>
      <c r="B2506" s="12" t="inlineStr">
        <is>
          <t>7897211100192</t>
        </is>
      </c>
      <c r="C2506" s="7" t="inlineStr">
        <is>
          <t>K-Y GEL LUBRIF INTIMO 50G</t>
        </is>
      </c>
      <c r="D2506" s="7" t="inlineStr">
        <is>
          <t>PRESERVATIVOS</t>
        </is>
      </c>
      <c r="E2506" s="7" t="inlineStr">
        <is>
          <t>B</t>
        </is>
      </c>
      <c r="F2506" s="13" t="n">
        <v>3</v>
      </c>
      <c r="G2506" s="13" t="n">
        <v>3</v>
      </c>
      <c r="H2506" s="8" t="n">
        <v>18.53</v>
      </c>
      <c r="I2506" s="8" t="n">
        <v>18.53</v>
      </c>
      <c r="J2506" s="8" t="n">
        <v>18.53</v>
      </c>
      <c r="K2506" s="8" t="n"/>
      <c r="L2506" s="8" t="n"/>
      <c r="M2506" s="15" t="n">
        <v>17.47</v>
      </c>
      <c r="N2506" s="8" t="n"/>
      <c r="O2506" s="8" t="n"/>
      <c r="P2506" s="8" t="n">
        <v>19.3</v>
      </c>
      <c r="Q2506" s="8" t="n"/>
      <c r="R2506" s="8" t="n"/>
      <c r="S2506" s="8" t="n"/>
      <c r="T2506" s="7" t="inlineStr">
        <is>
          <t>EPAN</t>
        </is>
      </c>
      <c r="U2506" s="8" t="n">
        <v>17.47</v>
      </c>
      <c r="V2506" s="14">
        <f>U2506/J2506-1</f>
        <v/>
      </c>
      <c r="W2506" s="14">
        <f>U2506/H2506-1</f>
        <v/>
      </c>
      <c r="X2506" s="17" t="inlineStr">
        <is>
          <t>OK (≤ menor hist.)</t>
        </is>
      </c>
      <c r="Y2506" s="7" t="inlineStr"/>
    </row>
    <row r="2507">
      <c r="A2507" s="7" t="n">
        <v>400881</v>
      </c>
      <c r="B2507" s="12" t="inlineStr">
        <is>
          <t>7896641804380</t>
        </is>
      </c>
      <c r="C2507" s="7" t="inlineStr">
        <is>
          <t>KALOBA 825MG/ML SOL ORAL FR 20ML</t>
        </is>
      </c>
      <c r="D2507" s="7" t="inlineStr">
        <is>
          <t>RX</t>
        </is>
      </c>
      <c r="E2507" s="7" t="inlineStr">
        <is>
          <t>A</t>
        </is>
      </c>
      <c r="F2507" s="13" t="n">
        <v>7</v>
      </c>
      <c r="G2507" s="13" t="n">
        <v>7</v>
      </c>
      <c r="H2507" s="8" t="n">
        <v>77.37</v>
      </c>
      <c r="I2507" s="8" t="n">
        <v>71.405</v>
      </c>
      <c r="J2507" s="8" t="n">
        <v>74.71666666666667</v>
      </c>
      <c r="K2507" s="8" t="n"/>
      <c r="L2507" s="8" t="n"/>
      <c r="M2507" s="15" t="n">
        <v>77.37</v>
      </c>
      <c r="N2507" s="8" t="n"/>
      <c r="O2507" s="8" t="n"/>
      <c r="P2507" s="8" t="n">
        <v>79.5936</v>
      </c>
      <c r="Q2507" s="8" t="n"/>
      <c r="R2507" s="8" t="n"/>
      <c r="S2507" s="8" t="n"/>
      <c r="T2507" s="7" t="inlineStr">
        <is>
          <t>EPAN</t>
        </is>
      </c>
      <c r="U2507" s="8" t="n">
        <v>77.37</v>
      </c>
      <c r="V2507" s="14">
        <f>U2507/J2507-1</f>
        <v/>
      </c>
      <c r="W2507" s="14">
        <f>U2507/H2507-1</f>
        <v/>
      </c>
      <c r="X2507" s="17" t="inlineStr">
        <is>
          <t>OK (≤ últ. compra)</t>
        </is>
      </c>
      <c r="Y2507" s="7" t="inlineStr"/>
    </row>
    <row r="2508">
      <c r="A2508" s="7" t="n">
        <v>400901</v>
      </c>
      <c r="B2508" s="12" t="inlineStr">
        <is>
          <t>7896641804397</t>
        </is>
      </c>
      <c r="C2508" s="7" t="inlineStr">
        <is>
          <t>KALOBA 825MG/ML SOL ORAL FR 50ML</t>
        </is>
      </c>
      <c r="D2508" s="7" t="inlineStr">
        <is>
          <t>RX</t>
        </is>
      </c>
      <c r="E2508" s="7" t="inlineStr">
        <is>
          <t>A</t>
        </is>
      </c>
      <c r="F2508" s="13" t="n">
        <v>1</v>
      </c>
      <c r="G2508" s="13" t="n">
        <v>1</v>
      </c>
      <c r="H2508" s="8" t="n">
        <v>128.35</v>
      </c>
      <c r="I2508" s="8" t="n">
        <v>111.97</v>
      </c>
      <c r="J2508" s="8" t="n">
        <v>121.54</v>
      </c>
      <c r="K2508" s="8" t="n"/>
      <c r="L2508" s="8" t="n"/>
      <c r="M2508" s="8" t="n">
        <v>128.35</v>
      </c>
      <c r="N2508" s="8" t="n"/>
      <c r="O2508" s="8" t="n"/>
      <c r="P2508" s="15" t="n">
        <v>124.8096</v>
      </c>
      <c r="Q2508" s="8" t="n"/>
      <c r="R2508" s="8" t="n"/>
      <c r="S2508" s="8" t="n"/>
      <c r="T2508" s="7" t="inlineStr">
        <is>
          <t>NAZARIA</t>
        </is>
      </c>
      <c r="U2508" s="8" t="n">
        <v>124.8096</v>
      </c>
      <c r="V2508" s="14">
        <f>U2508/J2508-1</f>
        <v/>
      </c>
      <c r="W2508" s="14">
        <f>U2508/H2508-1</f>
        <v/>
      </c>
      <c r="X2508" s="17" t="inlineStr">
        <is>
          <t>OK (≤ últ. compra)</t>
        </is>
      </c>
      <c r="Y2508" s="7" t="inlineStr"/>
    </row>
    <row r="2509">
      <c r="A2509" s="7" t="n">
        <v>14103</v>
      </c>
      <c r="B2509" s="12" t="inlineStr">
        <is>
          <t>7899620913202</t>
        </is>
      </c>
      <c r="C2509" s="7" t="inlineStr">
        <is>
          <t>KALOSTOP (N.S.) 0,20+0,15ML/ML SOL FR 10ML</t>
        </is>
      </c>
      <c r="D2509" s="7" t="inlineStr">
        <is>
          <t>SIMILAR</t>
        </is>
      </c>
      <c r="E2509" s="7" t="inlineStr">
        <is>
          <t>B</t>
        </is>
      </c>
      <c r="F2509" s="13" t="n">
        <v>1</v>
      </c>
      <c r="G2509" s="13" t="n">
        <v>1</v>
      </c>
      <c r="H2509" s="8" t="n">
        <v>8.41</v>
      </c>
      <c r="I2509" s="8" t="n">
        <v>8.359999999999999</v>
      </c>
      <c r="J2509" s="8" t="n">
        <v>8.376666666666667</v>
      </c>
      <c r="K2509" s="8" t="n">
        <v>8.73</v>
      </c>
      <c r="L2509" s="8" t="n"/>
      <c r="M2509" s="8" t="n"/>
      <c r="N2509" s="8" t="n">
        <v>8.85</v>
      </c>
      <c r="O2509" s="15" t="n">
        <v>8.640000000000001</v>
      </c>
      <c r="P2509" s="8" t="n"/>
      <c r="Q2509" s="8" t="n"/>
      <c r="R2509" s="8" t="n"/>
      <c r="S2509" s="8" t="n"/>
      <c r="T2509" s="7" t="inlineStr">
        <is>
          <t>TAPAJOS</t>
        </is>
      </c>
      <c r="U2509" s="8" t="n">
        <v>8.640000000000001</v>
      </c>
      <c r="V2509" s="14">
        <f>U2509/J2509-1</f>
        <v/>
      </c>
      <c r="W2509" s="14">
        <f>U2509/H2509-1</f>
        <v/>
      </c>
      <c r="X2509" s="16" t="inlineStr">
        <is>
          <t>ACIMA +2.7%</t>
        </is>
      </c>
      <c r="Y2509" s="7" t="inlineStr"/>
    </row>
    <row r="2510">
      <c r="A2510" s="7" t="n">
        <v>583721</v>
      </c>
      <c r="B2510" s="12" t="inlineStr">
        <is>
          <t>7894900583700</t>
        </is>
      </c>
      <c r="C2510" s="7" t="inlineStr">
        <is>
          <t>KAPO DEL VALLE MORANGO 473ML</t>
        </is>
      </c>
      <c r="D2510" s="7" t="inlineStr">
        <is>
          <t>BEBIDAS GERAL</t>
        </is>
      </c>
      <c r="E2510" s="7" t="inlineStr">
        <is>
          <t>C</t>
        </is>
      </c>
      <c r="F2510" s="13" t="n">
        <v>1</v>
      </c>
      <c r="G2510" s="13" t="n">
        <v>1</v>
      </c>
      <c r="H2510" s="8" t="n">
        <v>2.19</v>
      </c>
      <c r="I2510" s="8" t="n">
        <v>2.19</v>
      </c>
      <c r="J2510" s="8" t="n">
        <v>2.19</v>
      </c>
      <c r="K2510" s="8" t="n"/>
      <c r="L2510" s="8" t="n"/>
      <c r="M2510" s="8" t="n"/>
      <c r="N2510" s="8" t="n"/>
      <c r="O2510" s="8" t="n"/>
      <c r="P2510" s="8" t="n"/>
      <c r="Q2510" s="8" t="n"/>
      <c r="R2510" s="8" t="n"/>
      <c r="S2510" s="8" t="n"/>
      <c r="T2510" s="7" t="inlineStr">
        <is>
          <t>SEM COTAÇÃO</t>
        </is>
      </c>
      <c r="U2510" s="8" t="n"/>
      <c r="V2510" s="14" t="n"/>
      <c r="W2510" s="14" t="n"/>
      <c r="X2510" s="7" t="inlineStr"/>
      <c r="Y2510" s="7" t="inlineStr"/>
    </row>
    <row r="2511">
      <c r="A2511" s="7" t="n">
        <v>3703</v>
      </c>
      <c r="B2511" s="12" t="inlineStr">
        <is>
          <t>7894900563719</t>
        </is>
      </c>
      <c r="C2511" s="7" t="inlineStr">
        <is>
          <t>KAPO LARANJA 200ML</t>
        </is>
      </c>
      <c r="D2511" s="7" t="inlineStr">
        <is>
          <t>BEBIDAS GERAL</t>
        </is>
      </c>
      <c r="E2511" s="7" t="inlineStr">
        <is>
          <t>C</t>
        </is>
      </c>
      <c r="F2511" s="13" t="n">
        <v>1</v>
      </c>
      <c r="G2511" s="13" t="n">
        <v>1</v>
      </c>
      <c r="H2511" s="8" t="n">
        <v>2.335</v>
      </c>
      <c r="I2511" s="8" t="n">
        <v>2.335</v>
      </c>
      <c r="J2511" s="8" t="n">
        <v>2.335</v>
      </c>
      <c r="K2511" s="8" t="n"/>
      <c r="L2511" s="8" t="n"/>
      <c r="M2511" s="8" t="n"/>
      <c r="N2511" s="8" t="n"/>
      <c r="O2511" s="8" t="n"/>
      <c r="P2511" s="8" t="n"/>
      <c r="Q2511" s="8" t="n"/>
      <c r="R2511" s="8" t="n"/>
      <c r="S2511" s="8" t="n"/>
      <c r="T2511" s="7" t="inlineStr">
        <is>
          <t>SEM COTAÇÃO</t>
        </is>
      </c>
      <c r="U2511" s="8" t="n"/>
      <c r="V2511" s="14" t="n"/>
      <c r="W2511" s="14" t="n"/>
      <c r="X2511" s="7" t="inlineStr"/>
      <c r="Y2511" s="7" t="inlineStr"/>
    </row>
    <row r="2512">
      <c r="A2512" s="7" t="n">
        <v>622541</v>
      </c>
      <c r="B2512" s="12" t="inlineStr">
        <is>
          <t>7894900563702</t>
        </is>
      </c>
      <c r="C2512" s="7" t="inlineStr">
        <is>
          <t>KAPO LARANJA TP</t>
        </is>
      </c>
      <c r="D2512" s="7" t="inlineStr">
        <is>
          <t>BEBIDAS GERAL</t>
        </is>
      </c>
      <c r="E2512" s="7" t="inlineStr">
        <is>
          <t>C</t>
        </is>
      </c>
      <c r="F2512" s="13" t="n">
        <v>1</v>
      </c>
      <c r="G2512" s="13" t="n">
        <v>1</v>
      </c>
      <c r="H2512" s="8" t="n">
        <v>2.08</v>
      </c>
      <c r="I2512" s="8" t="n">
        <v>2.08</v>
      </c>
      <c r="J2512" s="8" t="n">
        <v>2.08</v>
      </c>
      <c r="K2512" s="8" t="n"/>
      <c r="L2512" s="8" t="n"/>
      <c r="M2512" s="8" t="n"/>
      <c r="N2512" s="8" t="n"/>
      <c r="O2512" s="8" t="n"/>
      <c r="P2512" s="8" t="n"/>
      <c r="Q2512" s="8" t="n"/>
      <c r="R2512" s="8" t="n"/>
      <c r="S2512" s="8" t="n"/>
      <c r="T2512" s="7" t="inlineStr">
        <is>
          <t>SEM COTAÇÃO</t>
        </is>
      </c>
      <c r="U2512" s="8" t="n"/>
      <c r="V2512" s="14" t="n"/>
      <c r="W2512" s="14" t="n"/>
      <c r="X2512" s="7" t="inlineStr"/>
      <c r="Y2512" s="7" t="inlineStr"/>
    </row>
    <row r="2513">
      <c r="A2513" s="7" t="n">
        <v>2233</v>
      </c>
      <c r="B2513" s="12" t="inlineStr">
        <is>
          <t>7893300521145</t>
        </is>
      </c>
      <c r="C2513" s="7" t="inlineStr">
        <is>
          <t>KARINA HAIR SPRAY FIX 250ML EXTRA FORTE</t>
        </is>
      </c>
      <c r="D2513" s="7" t="inlineStr">
        <is>
          <t>PERF/COSME</t>
        </is>
      </c>
      <c r="E2513" s="7" t="inlineStr">
        <is>
          <t>C</t>
        </is>
      </c>
      <c r="F2513" s="13" t="n">
        <v>1</v>
      </c>
      <c r="G2513" s="13" t="n">
        <v>1</v>
      </c>
      <c r="H2513" s="8" t="n">
        <v>23.54</v>
      </c>
      <c r="I2513" s="8" t="n">
        <v>23.54</v>
      </c>
      <c r="J2513" s="8" t="n">
        <v>23.54</v>
      </c>
      <c r="K2513" s="8" t="n"/>
      <c r="L2513" s="8" t="n"/>
      <c r="M2513" s="8" t="n"/>
      <c r="N2513" s="8" t="n"/>
      <c r="O2513" s="8" t="n"/>
      <c r="P2513" s="8" t="n"/>
      <c r="Q2513" s="8" t="n"/>
      <c r="R2513" s="8" t="n"/>
      <c r="S2513" s="8" t="n"/>
      <c r="T2513" s="7" t="inlineStr">
        <is>
          <t>SEM COTAÇÃO</t>
        </is>
      </c>
      <c r="U2513" s="8" t="n"/>
      <c r="V2513" s="14" t="n"/>
      <c r="W2513" s="14" t="n"/>
      <c r="X2513" s="7" t="inlineStr"/>
      <c r="Y2513" s="7" t="inlineStr"/>
    </row>
    <row r="2514">
      <c r="A2514" s="7" t="n">
        <v>648831</v>
      </c>
      <c r="B2514" s="12" t="inlineStr">
        <is>
          <t>7896004746531</t>
        </is>
      </c>
      <c r="C2514" s="7" t="inlineStr">
        <is>
          <t>KELOSIL GEL DE SILICONE 15G</t>
        </is>
      </c>
      <c r="D2514" s="7" t="inlineStr">
        <is>
          <t>SIMILAR</t>
        </is>
      </c>
      <c r="E2514" s="7" t="inlineStr">
        <is>
          <t>C</t>
        </is>
      </c>
      <c r="F2514" s="13" t="n">
        <v>1</v>
      </c>
      <c r="G2514" s="13" t="n">
        <v>1</v>
      </c>
      <c r="H2514" s="8" t="n">
        <v>39.99</v>
      </c>
      <c r="I2514" s="8" t="n">
        <v>39.99</v>
      </c>
      <c r="J2514" s="8" t="n">
        <v>39.99</v>
      </c>
      <c r="K2514" s="8" t="n"/>
      <c r="L2514" s="8" t="n"/>
      <c r="M2514" s="8" t="n"/>
      <c r="N2514" s="8" t="n"/>
      <c r="O2514" s="8" t="n"/>
      <c r="P2514" s="8" t="n"/>
      <c r="Q2514" s="8" t="n"/>
      <c r="R2514" s="8" t="n"/>
      <c r="S2514" s="8" t="n"/>
      <c r="T2514" s="7" t="inlineStr">
        <is>
          <t>SEM COTAÇÃO</t>
        </is>
      </c>
      <c r="U2514" s="8" t="n"/>
      <c r="V2514" s="14" t="n"/>
      <c r="W2514" s="14" t="n"/>
      <c r="X2514" s="7" t="inlineStr"/>
      <c r="Y2514" s="7" t="inlineStr"/>
    </row>
    <row r="2515">
      <c r="A2515" s="7" t="n">
        <v>403121</v>
      </c>
      <c r="B2515" s="12" t="inlineStr"/>
      <c r="C2515" s="7" t="inlineStr">
        <is>
          <t>KELTRINA PLUS 5% LOCAO 60ML</t>
        </is>
      </c>
      <c r="D2515" s="7" t="inlineStr">
        <is>
          <t>SIMILAR</t>
        </is>
      </c>
      <c r="E2515" s="7" t="inlineStr">
        <is>
          <t>A</t>
        </is>
      </c>
      <c r="F2515" s="13" t="n">
        <v>21</v>
      </c>
      <c r="G2515" s="13" t="n">
        <v>21</v>
      </c>
      <c r="H2515" s="8" t="n">
        <v>9.68</v>
      </c>
      <c r="I2515" s="8" t="n">
        <v>9.68</v>
      </c>
      <c r="J2515" s="8" t="n">
        <v>9.68</v>
      </c>
      <c r="K2515" s="8" t="n"/>
      <c r="L2515" s="8" t="n"/>
      <c r="M2515" s="8" t="n"/>
      <c r="N2515" s="8" t="n"/>
      <c r="O2515" s="8" t="n"/>
      <c r="P2515" s="8" t="n"/>
      <c r="Q2515" s="8" t="n"/>
      <c r="R2515" s="15" t="n">
        <v>10.38</v>
      </c>
      <c r="S2515" s="8" t="n"/>
      <c r="T2515" s="7" t="inlineStr">
        <is>
          <t>BRASFARMA</t>
        </is>
      </c>
      <c r="U2515" s="8" t="n">
        <v>10.38</v>
      </c>
      <c r="V2515" s="14">
        <f>U2515/J2515-1</f>
        <v/>
      </c>
      <c r="W2515" s="14">
        <f>U2515/H2515-1</f>
        <v/>
      </c>
      <c r="X2515" s="16" t="inlineStr">
        <is>
          <t>ACIMA +7.2%</t>
        </is>
      </c>
      <c r="Y2515" s="7" t="inlineStr"/>
    </row>
    <row r="2516">
      <c r="A2516" s="7" t="n">
        <v>602131</v>
      </c>
      <c r="B2516" s="12" t="inlineStr">
        <is>
          <t>7899732102006</t>
        </is>
      </c>
      <c r="C2516" s="7" t="inlineStr">
        <is>
          <t>KIMERA WOMAN IRIDIUM LABS 60 CAPS</t>
        </is>
      </c>
      <c r="D2516" s="7" t="inlineStr">
        <is>
          <t>SUPLEMENTO</t>
        </is>
      </c>
      <c r="E2516" s="7" t="inlineStr">
        <is>
          <t>C</t>
        </is>
      </c>
      <c r="F2516" s="13" t="n">
        <v>1</v>
      </c>
      <c r="G2516" s="13" t="n">
        <v>1</v>
      </c>
      <c r="H2516" s="8" t="n">
        <v>50.43</v>
      </c>
      <c r="I2516" s="8" t="n">
        <v>50.43</v>
      </c>
      <c r="J2516" s="8" t="n">
        <v>50.43</v>
      </c>
      <c r="K2516" s="8" t="n"/>
      <c r="L2516" s="8" t="n"/>
      <c r="M2516" s="8" t="n"/>
      <c r="N2516" s="8" t="n"/>
      <c r="O2516" s="8" t="n"/>
      <c r="P2516" s="8" t="n"/>
      <c r="Q2516" s="8" t="n"/>
      <c r="R2516" s="8" t="n"/>
      <c r="S2516" s="8" t="n"/>
      <c r="T2516" s="7" t="inlineStr">
        <is>
          <t>SEM COTAÇÃO</t>
        </is>
      </c>
      <c r="U2516" s="8" t="n"/>
      <c r="V2516" s="14" t="n"/>
      <c r="W2516" s="14" t="n"/>
      <c r="X2516" s="7" t="inlineStr"/>
      <c r="Y2516" s="7" t="inlineStr"/>
    </row>
    <row r="2517">
      <c r="A2517" s="7" t="n">
        <v>590901</v>
      </c>
      <c r="B2517" s="12" t="inlineStr">
        <is>
          <t>80761761</t>
        </is>
      </c>
      <c r="C2517" s="7" t="inlineStr">
        <is>
          <t>KINDER BUENO WHITE 39G</t>
        </is>
      </c>
      <c r="D2517" s="7" t="inlineStr">
        <is>
          <t>CONVENIENCIA</t>
        </is>
      </c>
      <c r="E2517" s="7" t="inlineStr">
        <is>
          <t>A</t>
        </is>
      </c>
      <c r="F2517" s="13" t="n">
        <v>20</v>
      </c>
      <c r="G2517" s="13" t="n">
        <v>20</v>
      </c>
      <c r="H2517" s="8" t="n">
        <v>0.4793</v>
      </c>
      <c r="I2517" s="8" t="n">
        <v>0.4793</v>
      </c>
      <c r="J2517" s="8" t="n">
        <v>0.4793</v>
      </c>
      <c r="K2517" s="8" t="n"/>
      <c r="L2517" s="8" t="n"/>
      <c r="M2517" s="8" t="n"/>
      <c r="N2517" s="8" t="n"/>
      <c r="O2517" s="8" t="n"/>
      <c r="P2517" s="8" t="n"/>
      <c r="Q2517" s="8" t="n"/>
      <c r="R2517" s="8" t="n"/>
      <c r="S2517" s="8" t="n"/>
      <c r="T2517" s="7" t="inlineStr">
        <is>
          <t>SEM COTAÇÃO</t>
        </is>
      </c>
      <c r="U2517" s="8" t="n"/>
      <c r="V2517" s="14" t="n"/>
      <c r="W2517" s="14" t="n"/>
      <c r="X2517" s="7" t="inlineStr"/>
      <c r="Y2517" s="7" t="inlineStr"/>
    </row>
    <row r="2518">
      <c r="A2518" s="7" t="n">
        <v>640361</v>
      </c>
      <c r="B2518" s="12" t="inlineStr">
        <is>
          <t>78602731</t>
        </is>
      </c>
      <c r="C2518" s="7" t="inlineStr">
        <is>
          <t>KINDER JOY HARRY POTTER T8 CR 8XUN QTD. 1.00 CR</t>
        </is>
      </c>
      <c r="D2518" s="7" t="inlineStr">
        <is>
          <t>CONVENIENCIA</t>
        </is>
      </c>
      <c r="E2518" s="7" t="inlineStr">
        <is>
          <t>A</t>
        </is>
      </c>
      <c r="F2518" s="13" t="n">
        <v>1</v>
      </c>
      <c r="G2518" s="13" t="n">
        <v>8</v>
      </c>
      <c r="H2518" s="8" t="n">
        <v>7.7858</v>
      </c>
      <c r="I2518" s="8" t="n">
        <v>7.7858</v>
      </c>
      <c r="J2518" s="8" t="n">
        <v>7.785799999999999</v>
      </c>
      <c r="K2518" s="8" t="n"/>
      <c r="L2518" s="8" t="n"/>
      <c r="M2518" s="8" t="n"/>
      <c r="N2518" s="8" t="n"/>
      <c r="O2518" s="8" t="n"/>
      <c r="P2518" s="8" t="n"/>
      <c r="Q2518" s="8" t="n"/>
      <c r="R2518" s="8" t="n"/>
      <c r="S2518" s="8" t="n"/>
      <c r="T2518" s="7" t="inlineStr">
        <is>
          <t>SEM COTAÇÃO</t>
        </is>
      </c>
      <c r="U2518" s="8" t="n"/>
      <c r="V2518" s="14" t="n"/>
      <c r="W2518" s="14" t="n"/>
      <c r="X2518" s="7" t="inlineStr"/>
      <c r="Y2518" s="7" t="inlineStr"/>
    </row>
    <row r="2519">
      <c r="A2519" s="7" t="n">
        <v>599751</v>
      </c>
      <c r="B2519" s="12" t="inlineStr">
        <is>
          <t>78940734</t>
        </is>
      </c>
      <c r="C2519" s="7" t="inlineStr">
        <is>
          <t>KINDER JOY MENINA 20G</t>
        </is>
      </c>
      <c r="D2519" s="7" t="inlineStr">
        <is>
          <t>CONVENIENCIA</t>
        </is>
      </c>
      <c r="E2519" s="7" t="inlineStr">
        <is>
          <t>A</t>
        </is>
      </c>
      <c r="F2519" s="13" t="n">
        <v>15</v>
      </c>
      <c r="G2519" s="13" t="n">
        <v>15</v>
      </c>
      <c r="H2519" s="8" t="n">
        <v>7.7858</v>
      </c>
      <c r="I2519" s="8" t="n">
        <v>7.7858</v>
      </c>
      <c r="J2519" s="8" t="n">
        <v>7.785799999999999</v>
      </c>
      <c r="K2519" s="8" t="n"/>
      <c r="L2519" s="8" t="n"/>
      <c r="M2519" s="8" t="n"/>
      <c r="N2519" s="8" t="n"/>
      <c r="O2519" s="8" t="n"/>
      <c r="P2519" s="8" t="n"/>
      <c r="Q2519" s="8" t="n"/>
      <c r="R2519" s="8" t="n"/>
      <c r="S2519" s="8" t="n"/>
      <c r="T2519" s="7" t="inlineStr">
        <is>
          <t>SEM COTAÇÃO</t>
        </is>
      </c>
      <c r="U2519" s="8" t="n"/>
      <c r="V2519" s="14" t="n"/>
      <c r="W2519" s="14" t="n"/>
      <c r="X2519" s="7" t="inlineStr"/>
      <c r="Y2519" s="7" t="inlineStr"/>
    </row>
    <row r="2520">
      <c r="A2520" s="7" t="n">
        <v>599761</v>
      </c>
      <c r="B2520" s="12" t="inlineStr">
        <is>
          <t>78940741</t>
        </is>
      </c>
      <c r="C2520" s="7" t="inlineStr">
        <is>
          <t>KINDER JOY MENINO 20G</t>
        </is>
      </c>
      <c r="D2520" s="7" t="inlineStr">
        <is>
          <t>CONVENIENCIA</t>
        </is>
      </c>
      <c r="E2520" s="7" t="inlineStr">
        <is>
          <t>A</t>
        </is>
      </c>
      <c r="F2520" s="13" t="n">
        <v>10</v>
      </c>
      <c r="G2520" s="13" t="n">
        <v>10</v>
      </c>
      <c r="H2520" s="8" t="n">
        <v>7.7858</v>
      </c>
      <c r="I2520" s="8" t="n">
        <v>7.7858</v>
      </c>
      <c r="J2520" s="8" t="n">
        <v>7.785799999999999</v>
      </c>
      <c r="K2520" s="8" t="n"/>
      <c r="L2520" s="8" t="n"/>
      <c r="M2520" s="8" t="n"/>
      <c r="N2520" s="8" t="n"/>
      <c r="O2520" s="8" t="n"/>
      <c r="P2520" s="8" t="n"/>
      <c r="Q2520" s="8" t="n"/>
      <c r="R2520" s="8" t="n"/>
      <c r="S2520" s="8" t="n"/>
      <c r="T2520" s="7" t="inlineStr">
        <is>
          <t>SEM COTAÇÃO</t>
        </is>
      </c>
      <c r="U2520" s="8" t="n"/>
      <c r="V2520" s="14" t="n"/>
      <c r="W2520" s="14" t="n"/>
      <c r="X2520" s="7" t="inlineStr"/>
      <c r="Y2520" s="7" t="inlineStr"/>
    </row>
    <row r="2521">
      <c r="A2521" s="7" t="n">
        <v>627771</v>
      </c>
      <c r="B2521" s="12" t="inlineStr">
        <is>
          <t>78946767</t>
        </is>
      </c>
      <c r="C2521" s="7" t="inlineStr">
        <is>
          <t>KINDER JOY NATOONS T1X8X12 CR 8XUN</t>
        </is>
      </c>
      <c r="D2521" s="7" t="inlineStr">
        <is>
          <t>CONVENIENCIA</t>
        </is>
      </c>
      <c r="E2521" s="7" t="inlineStr">
        <is>
          <t>C</t>
        </is>
      </c>
      <c r="F2521" s="13" t="n">
        <v>2</v>
      </c>
      <c r="G2521" s="13" t="n">
        <v>2</v>
      </c>
      <c r="H2521" s="8" t="n">
        <v>9.16</v>
      </c>
      <c r="I2521" s="8" t="n">
        <v>9.16</v>
      </c>
      <c r="J2521" s="8" t="n">
        <v>9.16</v>
      </c>
      <c r="K2521" s="8" t="n"/>
      <c r="L2521" s="8" t="n"/>
      <c r="M2521" s="8" t="n"/>
      <c r="N2521" s="8" t="n"/>
      <c r="O2521" s="8" t="n"/>
      <c r="P2521" s="8" t="n"/>
      <c r="Q2521" s="8" t="n"/>
      <c r="R2521" s="8" t="n"/>
      <c r="S2521" s="8" t="n"/>
      <c r="T2521" s="7" t="inlineStr">
        <is>
          <t>SEM COTAÇÃO</t>
        </is>
      </c>
      <c r="U2521" s="8" t="n"/>
      <c r="V2521" s="14" t="n"/>
      <c r="W2521" s="14" t="n"/>
      <c r="X2521" s="7" t="inlineStr"/>
      <c r="Y2521" s="7" t="inlineStr"/>
    </row>
    <row r="2522">
      <c r="A2522" s="7" t="n">
        <v>670551</v>
      </c>
      <c r="B2522" s="12" t="inlineStr">
        <is>
          <t>7898024398905</t>
        </is>
      </c>
      <c r="C2522" s="7" t="inlineStr">
        <is>
          <t>KINDER TRONKY T1X10 18G CR 1X10X18GR QTD. 3.00 CR</t>
        </is>
      </c>
      <c r="D2522" s="7" t="inlineStr">
        <is>
          <t>CONVENIENCIA</t>
        </is>
      </c>
      <c r="E2522" s="7" t="inlineStr">
        <is>
          <t>C</t>
        </is>
      </c>
      <c r="F2522" s="13" t="n">
        <v>1</v>
      </c>
      <c r="G2522" s="13" t="n">
        <v>3</v>
      </c>
      <c r="H2522" s="8" t="n">
        <v>4.229</v>
      </c>
      <c r="I2522" s="8" t="n">
        <v>4.229</v>
      </c>
      <c r="J2522" s="8" t="n">
        <v>4.229</v>
      </c>
      <c r="K2522" s="8" t="n"/>
      <c r="L2522" s="8" t="n"/>
      <c r="M2522" s="8" t="n"/>
      <c r="N2522" s="8" t="n"/>
      <c r="O2522" s="8" t="n"/>
      <c r="P2522" s="8" t="n"/>
      <c r="Q2522" s="8" t="n"/>
      <c r="R2522" s="8" t="n"/>
      <c r="S2522" s="8" t="n"/>
      <c r="T2522" s="7" t="inlineStr">
        <is>
          <t>SEM COTAÇÃO</t>
        </is>
      </c>
      <c r="U2522" s="8" t="n"/>
      <c r="V2522" s="14" t="n"/>
      <c r="W2522" s="14" t="n"/>
      <c r="X2522" s="7" t="inlineStr"/>
      <c r="Y2522" s="7" t="inlineStr"/>
    </row>
    <row r="2523">
      <c r="A2523" s="7" t="n">
        <v>633531</v>
      </c>
      <c r="B2523" s="12" t="inlineStr">
        <is>
          <t>7898632474718</t>
        </is>
      </c>
      <c r="C2523" s="7" t="inlineStr">
        <is>
          <t>KIT  DIA A DIA C/ 2  - MELANCIA</t>
        </is>
      </c>
      <c r="D2523" s="7" t="inlineStr">
        <is>
          <t>PERF/COSME</t>
        </is>
      </c>
      <c r="E2523" s="7" t="inlineStr">
        <is>
          <t>B</t>
        </is>
      </c>
      <c r="F2523" s="13" t="n">
        <v>2</v>
      </c>
      <c r="G2523" s="13" t="n">
        <v>2</v>
      </c>
      <c r="H2523" s="8" t="n">
        <v>25.96</v>
      </c>
      <c r="I2523" s="8" t="n">
        <v>25.96</v>
      </c>
      <c r="J2523" s="8" t="n">
        <v>25.96</v>
      </c>
      <c r="K2523" s="8" t="n"/>
      <c r="L2523" s="8" t="n"/>
      <c r="M2523" s="8" t="n"/>
      <c r="N2523" s="8" t="n"/>
      <c r="O2523" s="8" t="n"/>
      <c r="P2523" s="8" t="n"/>
      <c r="Q2523" s="8" t="n"/>
      <c r="R2523" s="8" t="n"/>
      <c r="S2523" s="8" t="n"/>
      <c r="T2523" s="7" t="inlineStr">
        <is>
          <t>SEM COTAÇÃO</t>
        </is>
      </c>
      <c r="U2523" s="8" t="n"/>
      <c r="V2523" s="14" t="n"/>
      <c r="W2523" s="14" t="n"/>
      <c r="X2523" s="7" t="inlineStr"/>
      <c r="Y2523" s="7" t="inlineStr"/>
    </row>
    <row r="2524">
      <c r="A2524" s="7" t="n">
        <v>633511</v>
      </c>
      <c r="B2524" s="12" t="inlineStr">
        <is>
          <t>7898632474725</t>
        </is>
      </c>
      <c r="C2524" s="7" t="inlineStr">
        <is>
          <t>KIT  DIA A DIA C/ 2  - MORANGO</t>
        </is>
      </c>
      <c r="D2524" s="7" t="inlineStr">
        <is>
          <t>PERF/COSME</t>
        </is>
      </c>
      <c r="E2524" s="7" t="inlineStr">
        <is>
          <t>B</t>
        </is>
      </c>
      <c r="F2524" s="13" t="n">
        <v>4</v>
      </c>
      <c r="G2524" s="13" t="n">
        <v>4</v>
      </c>
      <c r="H2524" s="8" t="n">
        <v>25.96</v>
      </c>
      <c r="I2524" s="8" t="n">
        <v>25.96</v>
      </c>
      <c r="J2524" s="8" t="n">
        <v>25.96</v>
      </c>
      <c r="K2524" s="8" t="n"/>
      <c r="L2524" s="8" t="n"/>
      <c r="M2524" s="8" t="n"/>
      <c r="N2524" s="8" t="n"/>
      <c r="O2524" s="8" t="n"/>
      <c r="P2524" s="8" t="n"/>
      <c r="Q2524" s="8" t="n"/>
      <c r="R2524" s="8" t="n"/>
      <c r="S2524" s="8" t="n"/>
      <c r="T2524" s="7" t="inlineStr">
        <is>
          <t>SEM COTAÇÃO</t>
        </is>
      </c>
      <c r="U2524" s="8" t="n"/>
      <c r="V2524" s="14" t="n"/>
      <c r="W2524" s="14" t="n"/>
      <c r="X2524" s="7" t="inlineStr"/>
      <c r="Y2524" s="7" t="inlineStr"/>
    </row>
    <row r="2525">
      <c r="A2525" s="7" t="n">
        <v>629631</v>
      </c>
      <c r="B2525" s="12" t="inlineStr">
        <is>
          <t>7898170370411</t>
        </is>
      </c>
      <c r="C2525" s="7" t="inlineStr">
        <is>
          <t>KIT ALIMENT CEFISA C/TAMPA+COLHER AZUL</t>
        </is>
      </c>
      <c r="D2525" s="7" t="inlineStr">
        <is>
          <t>BABY/KIDS</t>
        </is>
      </c>
      <c r="E2525" s="7" t="inlineStr">
        <is>
          <t>C</t>
        </is>
      </c>
      <c r="F2525" s="13" t="n">
        <v>1</v>
      </c>
      <c r="G2525" s="13" t="n">
        <v>1</v>
      </c>
      <c r="H2525" s="8" t="n">
        <v>21.9</v>
      </c>
      <c r="I2525" s="8" t="n">
        <v>21.9</v>
      </c>
      <c r="J2525" s="8" t="n">
        <v>21.9</v>
      </c>
      <c r="K2525" s="8" t="n"/>
      <c r="L2525" s="8" t="n"/>
      <c r="M2525" s="8" t="n"/>
      <c r="N2525" s="8" t="n"/>
      <c r="O2525" s="8" t="n"/>
      <c r="P2525" s="8" t="n"/>
      <c r="Q2525" s="8" t="n"/>
      <c r="R2525" s="8" t="n"/>
      <c r="S2525" s="8" t="n"/>
      <c r="T2525" s="7" t="inlineStr">
        <is>
          <t>SEM COTAÇÃO</t>
        </is>
      </c>
      <c r="U2525" s="8" t="n"/>
      <c r="V2525" s="14" t="n"/>
      <c r="W2525" s="14" t="n"/>
      <c r="X2525" s="7" t="inlineStr"/>
      <c r="Y2525" s="7" t="inlineStr"/>
    </row>
    <row r="2526">
      <c r="A2526" s="7" t="n">
        <v>629641</v>
      </c>
      <c r="B2526" s="12" t="inlineStr">
        <is>
          <t>7898170370428</t>
        </is>
      </c>
      <c r="C2526" s="7" t="inlineStr">
        <is>
          <t>KIT ALIMENT CEFISA C/TAMPA+COLHER ROSA</t>
        </is>
      </c>
      <c r="D2526" s="7" t="inlineStr">
        <is>
          <t>BABY/KIDS</t>
        </is>
      </c>
      <c r="E2526" s="7" t="inlineStr">
        <is>
          <t>C</t>
        </is>
      </c>
      <c r="F2526" s="13" t="n">
        <v>1</v>
      </c>
      <c r="G2526" s="13" t="n">
        <v>1</v>
      </c>
      <c r="H2526" s="8" t="n">
        <v>21.9</v>
      </c>
      <c r="I2526" s="8" t="n">
        <v>21.9</v>
      </c>
      <c r="J2526" s="8" t="n">
        <v>21.9</v>
      </c>
      <c r="K2526" s="8" t="n"/>
      <c r="L2526" s="8" t="n"/>
      <c r="M2526" s="8" t="n"/>
      <c r="N2526" s="8" t="n"/>
      <c r="O2526" s="8" t="n"/>
      <c r="P2526" s="8" t="n"/>
      <c r="Q2526" s="8" t="n"/>
      <c r="R2526" s="8" t="n"/>
      <c r="S2526" s="8" t="n"/>
      <c r="T2526" s="7" t="inlineStr">
        <is>
          <t>SEM COTAÇÃO</t>
        </is>
      </c>
      <c r="U2526" s="8" t="n"/>
      <c r="V2526" s="14" t="n"/>
      <c r="W2526" s="14" t="n"/>
      <c r="X2526" s="7" t="inlineStr"/>
      <c r="Y2526" s="7" t="inlineStr"/>
    </row>
    <row r="2527">
      <c r="A2527" s="7" t="n">
        <v>610691</v>
      </c>
      <c r="B2527" s="12" t="inlineStr">
        <is>
          <t>7896699022804</t>
        </is>
      </c>
      <c r="C2527" s="7" t="inlineStr">
        <is>
          <t>KIT ALIMENTACAO TIP 4PCS ROSA 7131-01</t>
        </is>
      </c>
      <c r="D2527" s="7" t="inlineStr">
        <is>
          <t>BABY/KIDS</t>
        </is>
      </c>
      <c r="E2527" s="7" t="inlineStr">
        <is>
          <t>C</t>
        </is>
      </c>
      <c r="F2527" s="13" t="n">
        <v>1</v>
      </c>
      <c r="G2527" s="13" t="n">
        <v>1</v>
      </c>
      <c r="H2527" s="8" t="n">
        <v>28.2</v>
      </c>
      <c r="I2527" s="8" t="n">
        <v>28.2</v>
      </c>
      <c r="J2527" s="8" t="n">
        <v>28.2</v>
      </c>
      <c r="K2527" s="8" t="n"/>
      <c r="L2527" s="8" t="n"/>
      <c r="M2527" s="8" t="n"/>
      <c r="N2527" s="8" t="n"/>
      <c r="O2527" s="8" t="n"/>
      <c r="P2527" s="8" t="n"/>
      <c r="Q2527" s="8" t="n"/>
      <c r="R2527" s="8" t="n"/>
      <c r="S2527" s="8" t="n"/>
      <c r="T2527" s="7" t="inlineStr">
        <is>
          <t>SEM COTAÇÃO</t>
        </is>
      </c>
      <c r="U2527" s="8" t="n"/>
      <c r="V2527" s="14" t="n"/>
      <c r="W2527" s="14" t="n"/>
      <c r="X2527" s="7" t="inlineStr"/>
      <c r="Y2527" s="7" t="inlineStr"/>
    </row>
    <row r="2528">
      <c r="A2528" s="7" t="n">
        <v>649961</v>
      </c>
      <c r="B2528" s="12" t="inlineStr">
        <is>
          <t>7898132988791</t>
        </is>
      </c>
      <c r="C2528" s="7" t="inlineStr">
        <is>
          <t>KIT ANTIQUEDA JABORANDI (SH 250ML+COND 150ML)</t>
        </is>
      </c>
      <c r="D2528" s="7" t="inlineStr">
        <is>
          <t>COND/SHAM/CREM/SIMILARES</t>
        </is>
      </c>
      <c r="E2528" s="7" t="inlineStr">
        <is>
          <t>C</t>
        </is>
      </c>
      <c r="F2528" s="13" t="n">
        <v>1</v>
      </c>
      <c r="G2528" s="13" t="n">
        <v>1</v>
      </c>
      <c r="H2528" s="8" t="n">
        <v>25.34</v>
      </c>
      <c r="I2528" s="8" t="n">
        <v>25.34</v>
      </c>
      <c r="J2528" s="8" t="n">
        <v>25.34</v>
      </c>
      <c r="K2528" s="8" t="n"/>
      <c r="L2528" s="8" t="n"/>
      <c r="M2528" s="8" t="n"/>
      <c r="N2528" s="8" t="n"/>
      <c r="O2528" s="8" t="n"/>
      <c r="P2528" s="8" t="n"/>
      <c r="Q2528" s="8" t="n"/>
      <c r="R2528" s="8" t="n"/>
      <c r="S2528" s="8" t="n"/>
      <c r="T2528" s="7" t="inlineStr">
        <is>
          <t>SEM COTAÇÃO</t>
        </is>
      </c>
      <c r="U2528" s="8" t="n"/>
      <c r="V2528" s="14" t="n"/>
      <c r="W2528" s="14" t="n"/>
      <c r="X2528" s="7" t="inlineStr"/>
      <c r="Y2528" s="7" t="inlineStr"/>
    </row>
    <row r="2529">
      <c r="A2529" s="7" t="n">
        <v>632831</v>
      </c>
      <c r="B2529" s="12" t="inlineStr">
        <is>
          <t>3282779341509</t>
        </is>
      </c>
      <c r="C2529" s="7" t="inlineStr">
        <is>
          <t>KIT AVENE MAT ANTIACNE+CLEANANCE INT 40G</t>
        </is>
      </c>
      <c r="D2529" s="7" t="inlineStr">
        <is>
          <t>DERMOCOSMETICOS/COSMETICOS</t>
        </is>
      </c>
      <c r="E2529" s="7" t="inlineStr">
        <is>
          <t>C</t>
        </is>
      </c>
      <c r="F2529" s="13" t="n">
        <v>1</v>
      </c>
      <c r="G2529" s="13" t="n">
        <v>1</v>
      </c>
      <c r="H2529" s="8" t="n">
        <v>41.72</v>
      </c>
      <c r="I2529" s="8" t="n">
        <v>41.72</v>
      </c>
      <c r="J2529" s="8" t="n">
        <v>41.72</v>
      </c>
      <c r="K2529" s="8" t="n"/>
      <c r="L2529" s="8" t="n"/>
      <c r="M2529" s="8" t="n"/>
      <c r="N2529" s="8" t="n"/>
      <c r="O2529" s="8" t="n"/>
      <c r="P2529" s="8" t="n"/>
      <c r="Q2529" s="8" t="n"/>
      <c r="R2529" s="8" t="n"/>
      <c r="S2529" s="8" t="n"/>
      <c r="T2529" s="7" t="inlineStr">
        <is>
          <t>SEM COTAÇÃO</t>
        </is>
      </c>
      <c r="U2529" s="8" t="n"/>
      <c r="V2529" s="14" t="n"/>
      <c r="W2529" s="14" t="n"/>
      <c r="X2529" s="7" t="inlineStr"/>
      <c r="Y2529" s="7" t="inlineStr"/>
    </row>
    <row r="2530">
      <c r="A2530" s="7" t="n">
        <v>601101</v>
      </c>
      <c r="B2530" s="12" t="inlineStr">
        <is>
          <t>7898170330217</t>
        </is>
      </c>
      <c r="C2530" s="7" t="inlineStr">
        <is>
          <t>KIT BANHO CEFISA AZUL C/PREND. CHUPETA UN</t>
        </is>
      </c>
      <c r="D2530" s="7" t="inlineStr">
        <is>
          <t>BABY/KIDS</t>
        </is>
      </c>
      <c r="E2530" s="7" t="inlineStr">
        <is>
          <t>C</t>
        </is>
      </c>
      <c r="F2530" s="13" t="n">
        <v>1</v>
      </c>
      <c r="G2530" s="13" t="n">
        <v>1</v>
      </c>
      <c r="H2530" s="8" t="n">
        <v>17.75</v>
      </c>
      <c r="I2530" s="8" t="n">
        <v>17.75</v>
      </c>
      <c r="J2530" s="8" t="n">
        <v>17.75</v>
      </c>
      <c r="K2530" s="8" t="n"/>
      <c r="L2530" s="8" t="n"/>
      <c r="M2530" s="8" t="n"/>
      <c r="N2530" s="8" t="n"/>
      <c r="O2530" s="8" t="n"/>
      <c r="P2530" s="8" t="n"/>
      <c r="Q2530" s="8" t="n"/>
      <c r="R2530" s="8" t="n"/>
      <c r="S2530" s="8" t="n"/>
      <c r="T2530" s="7" t="inlineStr">
        <is>
          <t>SEM COTAÇÃO</t>
        </is>
      </c>
      <c r="U2530" s="8" t="n"/>
      <c r="V2530" s="14" t="n"/>
      <c r="W2530" s="14" t="n"/>
      <c r="X2530" s="7" t="inlineStr"/>
      <c r="Y2530" s="7" t="inlineStr"/>
    </row>
    <row r="2531">
      <c r="A2531" s="7" t="n">
        <v>3853</v>
      </c>
      <c r="B2531" s="12" t="inlineStr">
        <is>
          <t>6939184630908</t>
        </is>
      </c>
      <c r="C2531" s="7" t="inlineStr">
        <is>
          <t>KIT BIOLAND GLICEMIA</t>
        </is>
      </c>
      <c r="D2531" s="7" t="inlineStr">
        <is>
          <t>UTENSILIOS</t>
        </is>
      </c>
      <c r="E2531" s="7" t="inlineStr">
        <is>
          <t>C</t>
        </is>
      </c>
      <c r="F2531" s="13" t="n">
        <v>1</v>
      </c>
      <c r="G2531" s="13" t="n">
        <v>1</v>
      </c>
      <c r="H2531" s="8" t="n"/>
      <c r="I2531" s="8" t="n"/>
      <c r="J2531" s="8" t="n"/>
      <c r="K2531" s="8" t="n"/>
      <c r="L2531" s="8" t="n"/>
      <c r="M2531" s="8" t="n"/>
      <c r="N2531" s="8" t="n"/>
      <c r="O2531" s="8" t="n"/>
      <c r="P2531" s="8" t="n"/>
      <c r="Q2531" s="8" t="n"/>
      <c r="R2531" s="8" t="n"/>
      <c r="S2531" s="8" t="n"/>
      <c r="T2531" s="7" t="inlineStr">
        <is>
          <t>SEM COTAÇÃO</t>
        </is>
      </c>
      <c r="U2531" s="8" t="n"/>
      <c r="V2531" s="14" t="n"/>
      <c r="W2531" s="14" t="n"/>
      <c r="X2531" s="7" t="inlineStr"/>
      <c r="Y2531" s="7" t="inlineStr"/>
    </row>
    <row r="2532">
      <c r="A2532" s="7" t="n">
        <v>648471</v>
      </c>
      <c r="B2532" s="12" t="inlineStr">
        <is>
          <t>7896044900528</t>
        </is>
      </c>
      <c r="C2532" s="7" t="inlineStr">
        <is>
          <t>KIT BLUE CL+LO+SB NECESSAIRE</t>
        </is>
      </c>
      <c r="D2532" s="7" t="inlineStr">
        <is>
          <t>PERF/COSME</t>
        </is>
      </c>
      <c r="E2532" s="7" t="inlineStr">
        <is>
          <t>C</t>
        </is>
      </c>
      <c r="F2532" s="13" t="n">
        <v>1</v>
      </c>
      <c r="G2532" s="13" t="n">
        <v>1</v>
      </c>
      <c r="H2532" s="8" t="n">
        <v>33.25</v>
      </c>
      <c r="I2532" s="8" t="n">
        <v>33.25</v>
      </c>
      <c r="J2532" s="8" t="n">
        <v>33.25</v>
      </c>
      <c r="K2532" s="8" t="n"/>
      <c r="L2532" s="8" t="n"/>
      <c r="M2532" s="8" t="n"/>
      <c r="N2532" s="8" t="n"/>
      <c r="O2532" s="8" t="n"/>
      <c r="P2532" s="8" t="n"/>
      <c r="Q2532" s="8" t="n"/>
      <c r="R2532" s="8" t="n"/>
      <c r="S2532" s="8" t="n"/>
      <c r="T2532" s="7" t="inlineStr">
        <is>
          <t>SEM COTAÇÃO</t>
        </is>
      </c>
      <c r="U2532" s="8" t="n"/>
      <c r="V2532" s="14" t="n"/>
      <c r="W2532" s="14" t="n"/>
      <c r="X2532" s="7" t="inlineStr"/>
      <c r="Y2532" s="7" t="inlineStr"/>
    </row>
    <row r="2533">
      <c r="A2533" s="7" t="n">
        <v>664551</v>
      </c>
      <c r="B2533" s="12" t="inlineStr">
        <is>
          <t>7898132989453</t>
        </is>
      </c>
      <c r="C2533" s="7" t="inlineStr">
        <is>
          <t>KIT CACHOS (SHAMPOO 250ML + COND. 250ML)</t>
        </is>
      </c>
      <c r="D2533" s="7" t="inlineStr">
        <is>
          <t>PERF/COSME</t>
        </is>
      </c>
      <c r="E2533" s="7" t="inlineStr">
        <is>
          <t>C</t>
        </is>
      </c>
      <c r="F2533" s="13" t="n">
        <v>1</v>
      </c>
      <c r="G2533" s="13" t="n">
        <v>1</v>
      </c>
      <c r="H2533" s="8" t="n">
        <v>43.08</v>
      </c>
      <c r="I2533" s="8" t="n">
        <v>43.08</v>
      </c>
      <c r="J2533" s="8" t="n">
        <v>43.08000000000001</v>
      </c>
      <c r="K2533" s="8" t="n"/>
      <c r="L2533" s="8" t="n"/>
      <c r="M2533" s="8" t="n"/>
      <c r="N2533" s="8" t="n"/>
      <c r="O2533" s="8" t="n"/>
      <c r="P2533" s="8" t="n"/>
      <c r="Q2533" s="8" t="n"/>
      <c r="R2533" s="8" t="n"/>
      <c r="S2533" s="8" t="n"/>
      <c r="T2533" s="7" t="inlineStr">
        <is>
          <t>SEM COTAÇÃO</t>
        </is>
      </c>
      <c r="U2533" s="8" t="n"/>
      <c r="V2533" s="14" t="n"/>
      <c r="W2533" s="14" t="n"/>
      <c r="X2533" s="7" t="inlineStr"/>
      <c r="Y2533" s="7" t="inlineStr"/>
    </row>
    <row r="2534">
      <c r="A2534" s="7" t="n">
        <v>662841</v>
      </c>
      <c r="B2534" s="12" t="inlineStr">
        <is>
          <t>7897947621183</t>
        </is>
      </c>
      <c r="C2534" s="7" t="inlineStr">
        <is>
          <t>KIT CARMED SOS LABIOS HIDRA LAB 2BGX10G</t>
        </is>
      </c>
      <c r="D2534" s="7" t="inlineStr">
        <is>
          <t>DERMATOLOGICO</t>
        </is>
      </c>
      <c r="E2534" s="7" t="inlineStr">
        <is>
          <t>C</t>
        </is>
      </c>
      <c r="F2534" s="13" t="n">
        <v>1</v>
      </c>
      <c r="G2534" s="13" t="n">
        <v>1</v>
      </c>
      <c r="H2534" s="8" t="n"/>
      <c r="I2534" s="8" t="n"/>
      <c r="J2534" s="8" t="n"/>
      <c r="K2534" s="8" t="n"/>
      <c r="L2534" s="8" t="n"/>
      <c r="M2534" s="8" t="n"/>
      <c r="N2534" s="8" t="n"/>
      <c r="O2534" s="8" t="n"/>
      <c r="P2534" s="8" t="n"/>
      <c r="Q2534" s="8" t="n"/>
      <c r="R2534" s="8" t="n"/>
      <c r="S2534" s="8" t="n"/>
      <c r="T2534" s="7" t="inlineStr">
        <is>
          <t>SEM COTAÇÃO</t>
        </is>
      </c>
      <c r="U2534" s="8" t="n"/>
      <c r="V2534" s="14" t="n"/>
      <c r="W2534" s="14" t="n"/>
      <c r="X2534" s="7" t="inlineStr"/>
      <c r="Y2534" s="7" t="inlineStr"/>
    </row>
    <row r="2535">
      <c r="A2535" s="7" t="n">
        <v>570441</v>
      </c>
      <c r="B2535" s="12" t="inlineStr">
        <is>
          <t>7896000724779</t>
        </is>
      </c>
      <c r="C2535" s="7" t="inlineStr">
        <is>
          <t>KIT COLOCAO CREME 7.77 LOURO NIELY GOLD</t>
        </is>
      </c>
      <c r="D2535" s="7" t="inlineStr">
        <is>
          <t>PERF/COSME</t>
        </is>
      </c>
      <c r="E2535" s="7" t="inlineStr">
        <is>
          <t>C</t>
        </is>
      </c>
      <c r="F2535" s="13" t="n">
        <v>1</v>
      </c>
      <c r="G2535" s="13" t="n">
        <v>1</v>
      </c>
      <c r="H2535" s="8" t="n">
        <v>10.5</v>
      </c>
      <c r="I2535" s="8" t="n">
        <v>10.5</v>
      </c>
      <c r="J2535" s="8" t="n">
        <v>10.5</v>
      </c>
      <c r="K2535" s="8" t="n"/>
      <c r="L2535" s="8" t="n"/>
      <c r="M2535" s="8" t="n"/>
      <c r="N2535" s="8" t="n"/>
      <c r="O2535" s="8" t="n"/>
      <c r="P2535" s="8" t="n">
        <v>12.87</v>
      </c>
      <c r="Q2535" s="8" t="n"/>
      <c r="R2535" s="8" t="n"/>
      <c r="S2535" s="8" t="n"/>
      <c r="T2535" s="7" t="inlineStr">
        <is>
          <t>SEM COTAÇÃO</t>
        </is>
      </c>
      <c r="U2535" s="8" t="n"/>
      <c r="V2535" s="14" t="n"/>
      <c r="W2535" s="14" t="n"/>
      <c r="X2535" s="7" t="inlineStr"/>
      <c r="Y2535" s="7" t="inlineStr">
        <is>
          <t>NAZARIA: sem estoque</t>
        </is>
      </c>
    </row>
    <row r="2536">
      <c r="A2536" s="7" t="n">
        <v>698101</v>
      </c>
      <c r="B2536" s="12" t="inlineStr">
        <is>
          <t>7898610374061</t>
        </is>
      </c>
      <c r="C2536" s="7" t="inlineStr">
        <is>
          <t>KIT COLOR PRATIC - 6.7 CHOCOLATE CX C/12 UN</t>
        </is>
      </c>
      <c r="D2536" s="7" t="inlineStr">
        <is>
          <t>TINTAS/DESCOLORANTES</t>
        </is>
      </c>
      <c r="E2536" s="7" t="inlineStr">
        <is>
          <t>A</t>
        </is>
      </c>
      <c r="F2536" s="13" t="n">
        <v>1</v>
      </c>
      <c r="G2536" s="13" t="n">
        <v>1</v>
      </c>
      <c r="H2536" s="8" t="n">
        <v>18.15</v>
      </c>
      <c r="I2536" s="8" t="n">
        <v>18.15</v>
      </c>
      <c r="J2536" s="8" t="n">
        <v>18.15</v>
      </c>
      <c r="K2536" s="8" t="n"/>
      <c r="L2536" s="8" t="n"/>
      <c r="M2536" s="8" t="n"/>
      <c r="N2536" s="8" t="n"/>
      <c r="O2536" s="8" t="n"/>
      <c r="P2536" s="8" t="n"/>
      <c r="Q2536" s="8" t="n"/>
      <c r="R2536" s="8" t="n"/>
      <c r="S2536" s="8" t="n"/>
      <c r="T2536" s="7" t="inlineStr">
        <is>
          <t>SEM COTAÇÃO</t>
        </is>
      </c>
      <c r="U2536" s="8" t="n"/>
      <c r="V2536" s="14" t="n"/>
      <c r="W2536" s="14" t="n"/>
      <c r="X2536" s="7" t="inlineStr"/>
      <c r="Y2536" s="7" t="inlineStr"/>
    </row>
    <row r="2537">
      <c r="A2537" s="7" t="n">
        <v>698501</v>
      </c>
      <c r="B2537" s="12" t="inlineStr">
        <is>
          <t>7898610374085</t>
        </is>
      </c>
      <c r="C2537" s="7" t="inlineStr">
        <is>
          <t>KIT COLOR PRATIC - 7.44 LOURO MEDIO COBRE INTENSO CX C/12 UN</t>
        </is>
      </c>
      <c r="D2537" s="7" t="inlineStr">
        <is>
          <t>TINTAS/DESCOLORANTES</t>
        </is>
      </c>
      <c r="E2537" s="7" t="inlineStr">
        <is>
          <t>A</t>
        </is>
      </c>
      <c r="F2537" s="13" t="n">
        <v>1</v>
      </c>
      <c r="G2537" s="13" t="n">
        <v>1</v>
      </c>
      <c r="H2537" s="8" t="n">
        <v>18.15</v>
      </c>
      <c r="I2537" s="8" t="n">
        <v>18.15</v>
      </c>
      <c r="J2537" s="8" t="n">
        <v>18.15</v>
      </c>
      <c r="K2537" s="8" t="n"/>
      <c r="L2537" s="8" t="n"/>
      <c r="M2537" s="8" t="n"/>
      <c r="N2537" s="8" t="n"/>
      <c r="O2537" s="8" t="n"/>
      <c r="P2537" s="8" t="n"/>
      <c r="Q2537" s="8" t="n"/>
      <c r="R2537" s="8" t="n"/>
      <c r="S2537" s="8" t="n"/>
      <c r="T2537" s="7" t="inlineStr">
        <is>
          <t>SEM COTAÇÃO</t>
        </is>
      </c>
      <c r="U2537" s="8" t="n"/>
      <c r="V2537" s="14" t="n"/>
      <c r="W2537" s="14" t="n"/>
      <c r="X2537" s="7" t="inlineStr"/>
      <c r="Y2537" s="7" t="inlineStr"/>
    </row>
    <row r="2538">
      <c r="A2538" s="7" t="n">
        <v>641301</v>
      </c>
      <c r="B2538" s="12" t="inlineStr">
        <is>
          <t>7898610373941</t>
        </is>
      </c>
      <c r="C2538" s="7" t="inlineStr">
        <is>
          <t>KIT COLOR PRATIC 1.0 PRETO AZULADO</t>
        </is>
      </c>
      <c r="D2538" s="7" t="inlineStr">
        <is>
          <t>COND/SHAM/CREM/SIMILARES</t>
        </is>
      </c>
      <c r="E2538" s="7" t="inlineStr">
        <is>
          <t>A</t>
        </is>
      </c>
      <c r="F2538" s="13" t="n">
        <v>7</v>
      </c>
      <c r="G2538" s="13" t="n">
        <v>7</v>
      </c>
      <c r="H2538" s="8" t="n">
        <v>18.15</v>
      </c>
      <c r="I2538" s="8" t="n">
        <v>18.15</v>
      </c>
      <c r="J2538" s="8" t="n">
        <v>18.15</v>
      </c>
      <c r="K2538" s="8" t="n"/>
      <c r="L2538" s="8" t="n"/>
      <c r="M2538" s="8" t="n"/>
      <c r="N2538" s="8" t="n"/>
      <c r="O2538" s="8" t="n"/>
      <c r="P2538" s="8" t="n"/>
      <c r="Q2538" s="8" t="n"/>
      <c r="R2538" s="8" t="n"/>
      <c r="S2538" s="8" t="n"/>
      <c r="T2538" s="7" t="inlineStr">
        <is>
          <t>SEM COTAÇÃO</t>
        </is>
      </c>
      <c r="U2538" s="8" t="n"/>
      <c r="V2538" s="14" t="n"/>
      <c r="W2538" s="14" t="n"/>
      <c r="X2538" s="7" t="inlineStr"/>
      <c r="Y2538" s="7" t="inlineStr"/>
    </row>
    <row r="2539">
      <c r="A2539" s="7" t="n">
        <v>535001</v>
      </c>
      <c r="B2539" s="12" t="inlineStr">
        <is>
          <t>7896000724953</t>
        </is>
      </c>
      <c r="C2539" s="7" t="inlineStr">
        <is>
          <t>KIT COLORACAO CREME 1.110 PRETO ÔNIX NIELY COR&amp;TON MEGA COLORS</t>
        </is>
      </c>
      <c r="D2539" s="7" t="inlineStr">
        <is>
          <t>PERF/COSME</t>
        </is>
      </c>
      <c r="E2539" s="7" t="inlineStr">
        <is>
          <t>A</t>
        </is>
      </c>
      <c r="F2539" s="13" t="n">
        <v>4</v>
      </c>
      <c r="G2539" s="13" t="n">
        <v>4</v>
      </c>
      <c r="H2539" s="8" t="n">
        <v>12.58</v>
      </c>
      <c r="I2539" s="8" t="n">
        <v>10.5</v>
      </c>
      <c r="J2539" s="8" t="n">
        <v>11.72333333333333</v>
      </c>
      <c r="K2539" s="8" t="n"/>
      <c r="L2539" s="8" t="n"/>
      <c r="M2539" s="8" t="n"/>
      <c r="N2539" s="8" t="n"/>
      <c r="O2539" s="8" t="n"/>
      <c r="P2539" s="15" t="n">
        <v>12.87</v>
      </c>
      <c r="Q2539" s="8" t="n"/>
      <c r="R2539" s="8" t="n"/>
      <c r="S2539" s="8" t="n"/>
      <c r="T2539" s="7" t="inlineStr">
        <is>
          <t>NAZARIA</t>
        </is>
      </c>
      <c r="U2539" s="8" t="n">
        <v>12.87</v>
      </c>
      <c r="V2539" s="14">
        <f>U2539/J2539-1</f>
        <v/>
      </c>
      <c r="W2539" s="14">
        <f>U2539/H2539-1</f>
        <v/>
      </c>
      <c r="X2539" s="16" t="inlineStr">
        <is>
          <t>ACIMA +2.3%</t>
        </is>
      </c>
      <c r="Y2539" s="7" t="inlineStr"/>
    </row>
    <row r="2540">
      <c r="A2540" s="7" t="n">
        <v>535041</v>
      </c>
      <c r="B2540" s="12" t="inlineStr">
        <is>
          <t>7896000705969</t>
        </is>
      </c>
      <c r="C2540" s="7" t="inlineStr">
        <is>
          <t>KIT COLORACAO CREME 3.0 CASTANHO ESCURO NIELY COR&amp;TON</t>
        </is>
      </c>
      <c r="D2540" s="7" t="inlineStr">
        <is>
          <t>PERF/COSME</t>
        </is>
      </c>
      <c r="E2540" s="7" t="inlineStr">
        <is>
          <t>A</t>
        </is>
      </c>
      <c r="F2540" s="13" t="n">
        <v>2</v>
      </c>
      <c r="G2540" s="13" t="n">
        <v>2</v>
      </c>
      <c r="H2540" s="8" t="n">
        <v>12.58</v>
      </c>
      <c r="I2540" s="8" t="n">
        <v>9.585000000000001</v>
      </c>
      <c r="J2540" s="8" t="n">
        <v>11.45833333333333</v>
      </c>
      <c r="K2540" s="8" t="n"/>
      <c r="L2540" s="8" t="n"/>
      <c r="M2540" s="8" t="n"/>
      <c r="N2540" s="8" t="n"/>
      <c r="O2540" s="8" t="n"/>
      <c r="P2540" s="15" t="n">
        <v>12.87</v>
      </c>
      <c r="Q2540" s="8" t="n"/>
      <c r="R2540" s="8" t="n"/>
      <c r="S2540" s="8" t="n"/>
      <c r="T2540" s="7" t="inlineStr">
        <is>
          <t>NAZARIA</t>
        </is>
      </c>
      <c r="U2540" s="8" t="n">
        <v>12.87</v>
      </c>
      <c r="V2540" s="14">
        <f>U2540/J2540-1</f>
        <v/>
      </c>
      <c r="W2540" s="14">
        <f>U2540/H2540-1</f>
        <v/>
      </c>
      <c r="X2540" s="16" t="inlineStr">
        <is>
          <t>ACIMA +2.3%</t>
        </is>
      </c>
      <c r="Y2540" s="7" t="inlineStr"/>
    </row>
    <row r="2541">
      <c r="A2541" s="7" t="n">
        <v>534981</v>
      </c>
      <c r="B2541" s="12" t="inlineStr">
        <is>
          <t>7896000705983</t>
        </is>
      </c>
      <c r="C2541" s="7" t="inlineStr">
        <is>
          <t>KIT COLORACAO CREME 5.0 CASTANHO CLARO NIELY COR&amp;TON</t>
        </is>
      </c>
      <c r="D2541" s="7" t="inlineStr">
        <is>
          <t>PERF/COSME</t>
        </is>
      </c>
      <c r="E2541" s="7" t="inlineStr">
        <is>
          <t>B</t>
        </is>
      </c>
      <c r="F2541" s="13" t="n">
        <v>4</v>
      </c>
      <c r="G2541" s="13" t="n">
        <v>4</v>
      </c>
      <c r="H2541" s="8" t="n">
        <v>12.58</v>
      </c>
      <c r="I2541" s="8" t="n">
        <v>9.82</v>
      </c>
      <c r="J2541" s="8" t="n">
        <v>11.49666666666667</v>
      </c>
      <c r="K2541" s="8" t="n"/>
      <c r="L2541" s="8" t="n"/>
      <c r="M2541" s="8" t="n"/>
      <c r="N2541" s="8" t="n"/>
      <c r="O2541" s="8" t="n"/>
      <c r="P2541" s="15" t="n">
        <v>12.87</v>
      </c>
      <c r="Q2541" s="8" t="n"/>
      <c r="R2541" s="8" t="n"/>
      <c r="S2541" s="8" t="n"/>
      <c r="T2541" s="7" t="inlineStr">
        <is>
          <t>NAZARIA</t>
        </is>
      </c>
      <c r="U2541" s="8" t="n">
        <v>12.87</v>
      </c>
      <c r="V2541" s="14">
        <f>U2541/J2541-1</f>
        <v/>
      </c>
      <c r="W2541" s="14">
        <f>U2541/H2541-1</f>
        <v/>
      </c>
      <c r="X2541" s="16" t="inlineStr">
        <is>
          <t>ACIMA +2.3%</t>
        </is>
      </c>
      <c r="Y2541" s="7" t="inlineStr"/>
    </row>
    <row r="2542">
      <c r="A2542" s="7" t="n">
        <v>536661</v>
      </c>
      <c r="B2542" s="12" t="inlineStr">
        <is>
          <t>7896000724731</t>
        </is>
      </c>
      <c r="C2542" s="7" t="inlineStr">
        <is>
          <t>KIT COLORACAO CREME 6.646 VERMELHO CEREJA NIELY COR&amp;TON MEGA COLORS</t>
        </is>
      </c>
      <c r="D2542" s="7" t="inlineStr">
        <is>
          <t>PERF/COSME</t>
        </is>
      </c>
      <c r="E2542" s="7" t="inlineStr">
        <is>
          <t>C</t>
        </is>
      </c>
      <c r="F2542" s="13" t="n">
        <v>3</v>
      </c>
      <c r="G2542" s="13" t="n">
        <v>3</v>
      </c>
      <c r="H2542" s="8" t="n">
        <v>12.58</v>
      </c>
      <c r="I2542" s="8" t="n">
        <v>9.7033</v>
      </c>
      <c r="J2542" s="8" t="n">
        <v>11.6211</v>
      </c>
      <c r="K2542" s="8" t="n"/>
      <c r="L2542" s="8" t="n"/>
      <c r="M2542" s="8" t="n"/>
      <c r="N2542" s="8" t="n"/>
      <c r="O2542" s="8" t="n"/>
      <c r="P2542" s="15" t="n">
        <v>12.87</v>
      </c>
      <c r="Q2542" s="8" t="n"/>
      <c r="R2542" s="8" t="n"/>
      <c r="S2542" s="8" t="n"/>
      <c r="T2542" s="7" t="inlineStr">
        <is>
          <t>NAZARIA</t>
        </is>
      </c>
      <c r="U2542" s="8" t="n">
        <v>12.87</v>
      </c>
      <c r="V2542" s="14">
        <f>U2542/J2542-1</f>
        <v/>
      </c>
      <c r="W2542" s="14">
        <f>U2542/H2542-1</f>
        <v/>
      </c>
      <c r="X2542" s="16" t="inlineStr">
        <is>
          <t>ACIMA +2.3%</t>
        </is>
      </c>
      <c r="Y2542" s="7" t="inlineStr"/>
    </row>
    <row r="2543">
      <c r="A2543" s="7" t="n">
        <v>535081</v>
      </c>
      <c r="B2543" s="12" t="inlineStr">
        <is>
          <t>7899706180658</t>
        </is>
      </c>
      <c r="C2543" s="7" t="inlineStr">
        <is>
          <t>KIT COLORACAO CREME COR &amp;TON 7.44 RUIVO ACOBREADO</t>
        </is>
      </c>
      <c r="D2543" s="7" t="inlineStr">
        <is>
          <t>PERF/COSME</t>
        </is>
      </c>
      <c r="E2543" s="7" t="inlineStr">
        <is>
          <t>C</t>
        </is>
      </c>
      <c r="F2543" s="13" t="n">
        <v>3</v>
      </c>
      <c r="G2543" s="13" t="n">
        <v>3</v>
      </c>
      <c r="H2543" s="8" t="n">
        <v>12.58</v>
      </c>
      <c r="I2543" s="8" t="n">
        <v>10.5</v>
      </c>
      <c r="J2543" s="8" t="n">
        <v>11.88666666666666</v>
      </c>
      <c r="K2543" s="8" t="n"/>
      <c r="L2543" s="8" t="n"/>
      <c r="M2543" s="8" t="n"/>
      <c r="N2543" s="8" t="n"/>
      <c r="O2543" s="8" t="n"/>
      <c r="P2543" s="8" t="n">
        <v>12.87</v>
      </c>
      <c r="Q2543" s="8" t="n"/>
      <c r="R2543" s="8" t="n"/>
      <c r="S2543" s="8" t="n"/>
      <c r="T2543" s="7" t="inlineStr">
        <is>
          <t>SEM COTAÇÃO</t>
        </is>
      </c>
      <c r="U2543" s="8" t="n"/>
      <c r="V2543" s="14" t="n"/>
      <c r="W2543" s="14" t="n"/>
      <c r="X2543" s="7" t="inlineStr"/>
      <c r="Y2543" s="7" t="inlineStr">
        <is>
          <t>NAZARIA: sem estoque</t>
        </is>
      </c>
    </row>
    <row r="2544">
      <c r="A2544" s="7" t="n">
        <v>535101</v>
      </c>
      <c r="B2544" s="12" t="inlineStr">
        <is>
          <t>7896000705921</t>
        </is>
      </c>
      <c r="C2544" s="7" t="inlineStr">
        <is>
          <t>KIT COLORACAO CREME COR&amp;TON 6.7 CHOCOLATE</t>
        </is>
      </c>
      <c r="D2544" s="7" t="inlineStr">
        <is>
          <t>PERF/COSME</t>
        </is>
      </c>
      <c r="E2544" s="7" t="inlineStr">
        <is>
          <t>A</t>
        </is>
      </c>
      <c r="F2544" s="13" t="n">
        <v>3</v>
      </c>
      <c r="G2544" s="13" t="n">
        <v>3</v>
      </c>
      <c r="H2544" s="8" t="n">
        <v>12.58</v>
      </c>
      <c r="I2544" s="8" t="n">
        <v>9.585000000000001</v>
      </c>
      <c r="J2544" s="8" t="n">
        <v>11.41833333333333</v>
      </c>
      <c r="K2544" s="8" t="n"/>
      <c r="L2544" s="8" t="n"/>
      <c r="M2544" s="8" t="n"/>
      <c r="N2544" s="8" t="n"/>
      <c r="O2544" s="8" t="n"/>
      <c r="P2544" s="15" t="n">
        <v>12.87</v>
      </c>
      <c r="Q2544" s="8" t="n"/>
      <c r="R2544" s="8" t="n"/>
      <c r="S2544" s="8" t="n"/>
      <c r="T2544" s="7" t="inlineStr">
        <is>
          <t>NAZARIA</t>
        </is>
      </c>
      <c r="U2544" s="8" t="n">
        <v>12.87</v>
      </c>
      <c r="V2544" s="14">
        <f>U2544/J2544-1</f>
        <v/>
      </c>
      <c r="W2544" s="14">
        <f>U2544/H2544-1</f>
        <v/>
      </c>
      <c r="X2544" s="16" t="inlineStr">
        <is>
          <t>ACIMA +2.3%</t>
        </is>
      </c>
      <c r="Y2544" s="7" t="inlineStr"/>
    </row>
    <row r="2545">
      <c r="A2545" s="7" t="n">
        <v>580161</v>
      </c>
      <c r="B2545" s="12" t="inlineStr">
        <is>
          <t>7896013544289</t>
        </is>
      </c>
      <c r="C2545" s="7" t="inlineStr">
        <is>
          <t>KIT COLORACAO CREME MAXT PRAT 7.0 LOU NAT FESTIVO</t>
        </is>
      </c>
      <c r="D2545" s="7" t="inlineStr">
        <is>
          <t>COND/SHAM/CREM/SIMILARES</t>
        </is>
      </c>
      <c r="E2545" s="7" t="inlineStr">
        <is>
          <t>C</t>
        </is>
      </c>
      <c r="F2545" s="13" t="n">
        <v>1</v>
      </c>
      <c r="G2545" s="13" t="n">
        <v>1</v>
      </c>
      <c r="H2545" s="8" t="n">
        <v>11.55</v>
      </c>
      <c r="I2545" s="8" t="n">
        <v>10.83</v>
      </c>
      <c r="J2545" s="8" t="n">
        <v>11.31</v>
      </c>
      <c r="K2545" s="8" t="n"/>
      <c r="L2545" s="8" t="n"/>
      <c r="M2545" s="8" t="n"/>
      <c r="N2545" s="8" t="n"/>
      <c r="O2545" s="8" t="n"/>
      <c r="P2545" s="8" t="n"/>
      <c r="Q2545" s="8" t="n"/>
      <c r="R2545" s="8" t="n"/>
      <c r="S2545" s="8" t="n"/>
      <c r="T2545" s="7" t="inlineStr">
        <is>
          <t>SEM COTAÇÃO</t>
        </is>
      </c>
      <c r="U2545" s="8" t="n"/>
      <c r="V2545" s="14" t="n"/>
      <c r="W2545" s="14" t="n"/>
      <c r="X2545" s="7" t="inlineStr"/>
      <c r="Y2545" s="7" t="inlineStr"/>
    </row>
    <row r="2546">
      <c r="A2546" s="7" t="n">
        <v>577081</v>
      </c>
      <c r="B2546" s="12" t="inlineStr">
        <is>
          <t>7896000706164</t>
        </is>
      </c>
      <c r="C2546" s="7" t="inlineStr">
        <is>
          <t>KIT COLORAÇÃO CREME 7.66 VERMELHO INTENSO NIELY COR&amp;TON</t>
        </is>
      </c>
      <c r="D2546" s="7" t="inlineStr">
        <is>
          <t>PERF/COSME</t>
        </is>
      </c>
      <c r="E2546" s="7" t="inlineStr">
        <is>
          <t>C</t>
        </is>
      </c>
      <c r="F2546" s="13" t="n">
        <v>1</v>
      </c>
      <c r="G2546" s="13" t="n">
        <v>1</v>
      </c>
      <c r="H2546" s="8" t="n">
        <v>10.5</v>
      </c>
      <c r="I2546" s="8" t="n">
        <v>10.5</v>
      </c>
      <c r="J2546" s="8" t="n">
        <v>10.5</v>
      </c>
      <c r="K2546" s="8" t="n"/>
      <c r="L2546" s="8" t="n"/>
      <c r="M2546" s="8" t="n"/>
      <c r="N2546" s="8" t="n"/>
      <c r="O2546" s="8" t="n"/>
      <c r="P2546" s="8" t="n"/>
      <c r="Q2546" s="8" t="n"/>
      <c r="R2546" s="8" t="n"/>
      <c r="S2546" s="8" t="n"/>
      <c r="T2546" s="7" t="inlineStr">
        <is>
          <t>SEM COTAÇÃO</t>
        </is>
      </c>
      <c r="U2546" s="8" t="n"/>
      <c r="V2546" s="14" t="n"/>
      <c r="W2546" s="14" t="n"/>
      <c r="X2546" s="7" t="inlineStr"/>
      <c r="Y2546" s="7" t="inlineStr"/>
    </row>
    <row r="2547">
      <c r="A2547" s="7" t="n">
        <v>633521</v>
      </c>
      <c r="B2547" s="12" t="inlineStr">
        <is>
          <t>7898632474701</t>
        </is>
      </c>
      <c r="C2547" s="7" t="inlineStr">
        <is>
          <t>KIT DIA A DIA C/ 2 - PITAYA</t>
        </is>
      </c>
      <c r="D2547" s="7" t="inlineStr">
        <is>
          <t>PERF/COSME</t>
        </is>
      </c>
      <c r="E2547" s="7" t="inlineStr">
        <is>
          <t>C</t>
        </is>
      </c>
      <c r="F2547" s="13" t="n">
        <v>1</v>
      </c>
      <c r="G2547" s="13" t="n">
        <v>1</v>
      </c>
      <c r="H2547" s="8" t="n">
        <v>25.96</v>
      </c>
      <c r="I2547" s="8" t="n">
        <v>25.96</v>
      </c>
      <c r="J2547" s="8" t="n">
        <v>25.96</v>
      </c>
      <c r="K2547" s="8" t="n"/>
      <c r="L2547" s="8" t="n"/>
      <c r="M2547" s="8" t="n"/>
      <c r="N2547" s="8" t="n"/>
      <c r="O2547" s="8" t="n"/>
      <c r="P2547" s="8" t="n"/>
      <c r="Q2547" s="8" t="n"/>
      <c r="R2547" s="8" t="n"/>
      <c r="S2547" s="8" t="n"/>
      <c r="T2547" s="7" t="inlineStr">
        <is>
          <t>SEM COTAÇÃO</t>
        </is>
      </c>
      <c r="U2547" s="8" t="n"/>
      <c r="V2547" s="14" t="n"/>
      <c r="W2547" s="14" t="n"/>
      <c r="X2547" s="7" t="inlineStr"/>
      <c r="Y2547" s="7" t="inlineStr"/>
    </row>
    <row r="2548">
      <c r="A2548" s="7" t="n">
        <v>653111</v>
      </c>
      <c r="B2548" s="12" t="inlineStr">
        <is>
          <t>7896480688622</t>
        </is>
      </c>
      <c r="C2548" s="7" t="inlineStr">
        <is>
          <t>KIT ENLACE MENINAS SUPERPODEROSAS ESCOVA + CREME DENTAL + FIO DENTAL + ESTOJO</t>
        </is>
      </c>
      <c r="D2548" s="7" t="inlineStr">
        <is>
          <t>BABY/KIDS</t>
        </is>
      </c>
      <c r="E2548" s="7" t="inlineStr">
        <is>
          <t>B</t>
        </is>
      </c>
      <c r="F2548" s="13" t="n">
        <v>3</v>
      </c>
      <c r="G2548" s="13" t="n">
        <v>3</v>
      </c>
      <c r="H2548" s="8" t="n">
        <v>15.16</v>
      </c>
      <c r="I2548" s="8" t="n">
        <v>15.16</v>
      </c>
      <c r="J2548" s="8" t="n">
        <v>15.16</v>
      </c>
      <c r="K2548" s="8" t="n"/>
      <c r="L2548" s="8" t="n"/>
      <c r="M2548" s="8" t="n"/>
      <c r="N2548" s="8" t="n"/>
      <c r="O2548" s="8" t="n"/>
      <c r="P2548" s="8" t="n"/>
      <c r="Q2548" s="8" t="n"/>
      <c r="R2548" s="8" t="n"/>
      <c r="S2548" s="8" t="n"/>
      <c r="T2548" s="7" t="inlineStr">
        <is>
          <t>SEM COTAÇÃO</t>
        </is>
      </c>
      <c r="U2548" s="8" t="n"/>
      <c r="V2548" s="14" t="n"/>
      <c r="W2548" s="14" t="n"/>
      <c r="X2548" s="7" t="inlineStr"/>
      <c r="Y2548" s="7" t="inlineStr"/>
    </row>
    <row r="2549">
      <c r="A2549" s="7" t="n">
        <v>667231</v>
      </c>
      <c r="B2549" s="12" t="inlineStr">
        <is>
          <t>7898211384315</t>
        </is>
      </c>
      <c r="C2549" s="7" t="inlineStr">
        <is>
          <t>KIT FIXED GEL POS SOL+OLEO CORP HIA/COCO</t>
        </is>
      </c>
      <c r="D2549" s="7" t="inlineStr">
        <is>
          <t>PERF/COSME</t>
        </is>
      </c>
      <c r="E2549" s="7" t="inlineStr">
        <is>
          <t>C</t>
        </is>
      </c>
      <c r="F2549" s="13" t="n">
        <v>1</v>
      </c>
      <c r="G2549" s="13" t="n">
        <v>1</v>
      </c>
      <c r="H2549" s="8" t="n"/>
      <c r="I2549" s="8" t="n"/>
      <c r="J2549" s="8" t="n"/>
      <c r="K2549" s="8" t="n"/>
      <c r="L2549" s="8" t="n"/>
      <c r="M2549" s="8" t="n"/>
      <c r="N2549" s="8" t="n"/>
      <c r="O2549" s="8" t="n"/>
      <c r="P2549" s="8" t="n"/>
      <c r="Q2549" s="8" t="n"/>
      <c r="R2549" s="8" t="n"/>
      <c r="S2549" s="8" t="n"/>
      <c r="T2549" s="7" t="inlineStr">
        <is>
          <t>SEM COTAÇÃO</t>
        </is>
      </c>
      <c r="U2549" s="8" t="n"/>
      <c r="V2549" s="14" t="n"/>
      <c r="W2549" s="14" t="n"/>
      <c r="X2549" s="7" t="inlineStr"/>
      <c r="Y2549" s="7" t="inlineStr"/>
    </row>
    <row r="2550">
      <c r="A2550" s="7" t="n">
        <v>662851</v>
      </c>
      <c r="B2550" s="12" t="inlineStr">
        <is>
          <t>7896523202006</t>
        </is>
      </c>
      <c r="C2550" s="7" t="inlineStr">
        <is>
          <t>KIT K-MED ICE 50G + K-MISINHA X 8</t>
        </is>
      </c>
      <c r="D2550" s="7" t="inlineStr">
        <is>
          <t>PRESERVATIVOS</t>
        </is>
      </c>
      <c r="E2550" s="7" t="inlineStr">
        <is>
          <t>C</t>
        </is>
      </c>
      <c r="F2550" s="13" t="n">
        <v>1</v>
      </c>
      <c r="G2550" s="13" t="n">
        <v>1</v>
      </c>
      <c r="H2550" s="8" t="n"/>
      <c r="I2550" s="8" t="n"/>
      <c r="J2550" s="8" t="n"/>
      <c r="K2550" s="8" t="n"/>
      <c r="L2550" s="8" t="n"/>
      <c r="M2550" s="8" t="n"/>
      <c r="N2550" s="8" t="n"/>
      <c r="O2550" s="8" t="n"/>
      <c r="P2550" s="8" t="n"/>
      <c r="Q2550" s="8" t="n"/>
      <c r="R2550" s="8" t="n"/>
      <c r="S2550" s="8" t="n"/>
      <c r="T2550" s="7" t="inlineStr">
        <is>
          <t>SEM COTAÇÃO</t>
        </is>
      </c>
      <c r="U2550" s="8" t="n"/>
      <c r="V2550" s="14" t="n"/>
      <c r="W2550" s="14" t="n"/>
      <c r="X2550" s="7" t="inlineStr"/>
      <c r="Y2550" s="7" t="inlineStr"/>
    </row>
    <row r="2551">
      <c r="A2551" s="7" t="n">
        <v>614061</v>
      </c>
      <c r="B2551" s="12" t="inlineStr">
        <is>
          <t>7891000349724</t>
        </is>
      </c>
      <c r="C2551" s="7" t="inlineStr">
        <is>
          <t>KIT KAT MINIMOMENTSCARAMEL 34,6G</t>
        </is>
      </c>
      <c r="D2551" s="7" t="inlineStr">
        <is>
          <t>CONVENIENCIA</t>
        </is>
      </c>
      <c r="E2551" s="7" t="inlineStr">
        <is>
          <t>C</t>
        </is>
      </c>
      <c r="F2551" s="13" t="n">
        <v>1</v>
      </c>
      <c r="G2551" s="13" t="n">
        <v>1</v>
      </c>
      <c r="H2551" s="8" t="n">
        <v>4.3462</v>
      </c>
      <c r="I2551" s="8" t="n">
        <v>4.3462</v>
      </c>
      <c r="J2551" s="8" t="n">
        <v>4.3462</v>
      </c>
      <c r="K2551" s="8" t="n"/>
      <c r="L2551" s="8" t="n"/>
      <c r="M2551" s="8" t="n"/>
      <c r="N2551" s="8" t="n"/>
      <c r="O2551" s="8" t="n"/>
      <c r="P2551" s="8" t="n"/>
      <c r="Q2551" s="8" t="n"/>
      <c r="R2551" s="8" t="n"/>
      <c r="S2551" s="8" t="n"/>
      <c r="T2551" s="7" t="inlineStr">
        <is>
          <t>SEM COTAÇÃO</t>
        </is>
      </c>
      <c r="U2551" s="8" t="n"/>
      <c r="V2551" s="14" t="n"/>
      <c r="W2551" s="14" t="n"/>
      <c r="X2551" s="7" t="inlineStr"/>
      <c r="Y2551" s="7" t="inlineStr"/>
    </row>
    <row r="2552">
      <c r="A2552" s="7" t="n">
        <v>614071</v>
      </c>
      <c r="B2552" s="12" t="inlineStr">
        <is>
          <t>7891000349779</t>
        </is>
      </c>
      <c r="C2552" s="7" t="inlineStr">
        <is>
          <t>KIT KAT MINIMOMENTSCOOKIES 34,6G</t>
        </is>
      </c>
      <c r="D2552" s="7" t="inlineStr">
        <is>
          <t>CONVENIENCIA</t>
        </is>
      </c>
      <c r="E2552" s="7" t="inlineStr">
        <is>
          <t>C</t>
        </is>
      </c>
      <c r="F2552" s="13" t="n">
        <v>1</v>
      </c>
      <c r="G2552" s="13" t="n">
        <v>4</v>
      </c>
      <c r="H2552" s="8" t="n">
        <v>4.1315</v>
      </c>
      <c r="I2552" s="8" t="n">
        <v>4.1315</v>
      </c>
      <c r="J2552" s="8" t="n">
        <v>4.1315</v>
      </c>
      <c r="K2552" s="8" t="n"/>
      <c r="L2552" s="8" t="n"/>
      <c r="M2552" s="8" t="n"/>
      <c r="N2552" s="8" t="n"/>
      <c r="O2552" s="8" t="n"/>
      <c r="P2552" s="8" t="n"/>
      <c r="Q2552" s="8" t="n"/>
      <c r="R2552" s="8" t="n"/>
      <c r="S2552" s="8" t="n"/>
      <c r="T2552" s="7" t="inlineStr">
        <is>
          <t>SEM COTAÇÃO</t>
        </is>
      </c>
      <c r="U2552" s="8" t="n"/>
      <c r="V2552" s="14" t="n"/>
      <c r="W2552" s="14" t="n"/>
      <c r="X2552" s="7" t="inlineStr"/>
      <c r="Y2552" s="7" t="inlineStr"/>
    </row>
    <row r="2553">
      <c r="A2553" s="7" t="n">
        <v>604041</v>
      </c>
      <c r="B2553" s="12" t="inlineStr">
        <is>
          <t>7897947601581</t>
        </is>
      </c>
      <c r="C2553" s="7" t="inlineStr">
        <is>
          <t>KIT LAVITAN P NATAL FRX30 + OMEGA FRX60</t>
        </is>
      </c>
      <c r="D2553" s="7" t="inlineStr">
        <is>
          <t>VITAMINA E SIMILARES</t>
        </is>
      </c>
      <c r="E2553" s="7" t="inlineStr">
        <is>
          <t>C</t>
        </is>
      </c>
      <c r="F2553" s="13" t="n">
        <v>1</v>
      </c>
      <c r="G2553" s="13" t="n">
        <v>1</v>
      </c>
      <c r="H2553" s="8" t="n">
        <v>52.91</v>
      </c>
      <c r="I2553" s="8" t="n">
        <v>52.91</v>
      </c>
      <c r="J2553" s="8" t="n">
        <v>52.91</v>
      </c>
      <c r="K2553" s="8" t="n"/>
      <c r="L2553" s="8" t="n"/>
      <c r="M2553" s="8" t="n"/>
      <c r="N2553" s="8" t="n"/>
      <c r="O2553" s="8" t="n"/>
      <c r="P2553" s="8" t="n"/>
      <c r="Q2553" s="8" t="n"/>
      <c r="R2553" s="8" t="n"/>
      <c r="S2553" s="8" t="n"/>
      <c r="T2553" s="7" t="inlineStr">
        <is>
          <t>SEM COTAÇÃO</t>
        </is>
      </c>
      <c r="U2553" s="8" t="n"/>
      <c r="V2553" s="14" t="n"/>
      <c r="W2553" s="14" t="n"/>
      <c r="X2553" s="7" t="inlineStr"/>
      <c r="Y2553" s="7" t="inlineStr"/>
    </row>
    <row r="2554">
      <c r="A2554" s="7" t="n">
        <v>648451</v>
      </c>
      <c r="B2554" s="12" t="inlineStr">
        <is>
          <t>7896044900498</t>
        </is>
      </c>
      <c r="C2554" s="7" t="inlineStr">
        <is>
          <t>KIT LO+SB BLUE</t>
        </is>
      </c>
      <c r="D2554" s="7" t="inlineStr">
        <is>
          <t>PERF/COSME</t>
        </is>
      </c>
      <c r="E2554" s="7" t="inlineStr">
        <is>
          <t>C</t>
        </is>
      </c>
      <c r="F2554" s="13" t="n">
        <v>1</v>
      </c>
      <c r="G2554" s="13" t="n">
        <v>1</v>
      </c>
      <c r="H2554" s="8" t="n">
        <v>23.88</v>
      </c>
      <c r="I2554" s="8" t="n">
        <v>23.88</v>
      </c>
      <c r="J2554" s="8" t="n">
        <v>23.88</v>
      </c>
      <c r="K2554" s="8" t="n"/>
      <c r="L2554" s="8" t="n"/>
      <c r="M2554" s="8" t="n"/>
      <c r="N2554" s="8" t="n"/>
      <c r="O2554" s="8" t="n"/>
      <c r="P2554" s="8" t="n"/>
      <c r="Q2554" s="8" t="n"/>
      <c r="R2554" s="8" t="n"/>
      <c r="S2554" s="8" t="n"/>
      <c r="T2554" s="7" t="inlineStr">
        <is>
          <t>SEM COTAÇÃO</t>
        </is>
      </c>
      <c r="U2554" s="8" t="n"/>
      <c r="V2554" s="14" t="n"/>
      <c r="W2554" s="14" t="n"/>
      <c r="X2554" s="7" t="inlineStr"/>
      <c r="Y2554" s="7" t="inlineStr"/>
    </row>
    <row r="2555">
      <c r="A2555" s="7" t="n">
        <v>648441</v>
      </c>
      <c r="B2555" s="12" t="inlineStr">
        <is>
          <t>7896044900481</t>
        </is>
      </c>
      <c r="C2555" s="7" t="inlineStr">
        <is>
          <t>KIT LO+SB CLAS ETERN ENCAN</t>
        </is>
      </c>
      <c r="D2555" s="7" t="inlineStr">
        <is>
          <t>PERF/COSME</t>
        </is>
      </c>
      <c r="E2555" s="7" t="inlineStr">
        <is>
          <t>C</t>
        </is>
      </c>
      <c r="F2555" s="13" t="n">
        <v>1</v>
      </c>
      <c r="G2555" s="13" t="n">
        <v>1</v>
      </c>
      <c r="H2555" s="8" t="n">
        <v>23.88</v>
      </c>
      <c r="I2555" s="8" t="n">
        <v>23.88</v>
      </c>
      <c r="J2555" s="8" t="n">
        <v>23.88</v>
      </c>
      <c r="K2555" s="8" t="n"/>
      <c r="L2555" s="8" t="n"/>
      <c r="M2555" s="8" t="n"/>
      <c r="N2555" s="8" t="n"/>
      <c r="O2555" s="8" t="n"/>
      <c r="P2555" s="8" t="n"/>
      <c r="Q2555" s="8" t="n"/>
      <c r="R2555" s="8" t="n"/>
      <c r="S2555" s="8" t="n"/>
      <c r="T2555" s="7" t="inlineStr">
        <is>
          <t>SEM COTAÇÃO</t>
        </is>
      </c>
      <c r="U2555" s="8" t="n"/>
      <c r="V2555" s="14" t="n"/>
      <c r="W2555" s="14" t="n"/>
      <c r="X2555" s="7" t="inlineStr"/>
      <c r="Y2555" s="7" t="inlineStr"/>
    </row>
    <row r="2556">
      <c r="A2556" s="7" t="n">
        <v>646621</v>
      </c>
      <c r="B2556" s="12" t="inlineStr"/>
      <c r="C2556" s="7" t="inlineStr">
        <is>
          <t>KIT MEDIDOR DE GLICOSE G-TECH FREE 1</t>
        </is>
      </c>
      <c r="D2556" s="7" t="inlineStr">
        <is>
          <t>RX - DIABETES</t>
        </is>
      </c>
      <c r="E2556" s="7" t="inlineStr">
        <is>
          <t>A</t>
        </is>
      </c>
      <c r="F2556" s="13" t="n">
        <v>3</v>
      </c>
      <c r="G2556" s="13" t="n">
        <v>3</v>
      </c>
      <c r="H2556" s="8" t="n">
        <v>37.929</v>
      </c>
      <c r="I2556" s="8" t="n">
        <v>35.91</v>
      </c>
      <c r="J2556" s="8" t="n">
        <v>37.25593333333333</v>
      </c>
      <c r="K2556" s="8" t="n"/>
      <c r="L2556" s="8" t="n"/>
      <c r="M2556" s="8" t="n"/>
      <c r="N2556" s="8" t="n"/>
      <c r="O2556" s="8" t="n"/>
      <c r="P2556" s="8" t="n"/>
      <c r="Q2556" s="8" t="n"/>
      <c r="R2556" s="8" t="n"/>
      <c r="S2556" s="8" t="n"/>
      <c r="T2556" s="7" t="inlineStr">
        <is>
          <t>SEM COTAÇÃO</t>
        </is>
      </c>
      <c r="U2556" s="8" t="n"/>
      <c r="V2556" s="14" t="n"/>
      <c r="W2556" s="14" t="n"/>
      <c r="X2556" s="7" t="inlineStr"/>
      <c r="Y2556" s="7" t="inlineStr"/>
    </row>
    <row r="2557">
      <c r="A2557" s="7" t="n">
        <v>619221</v>
      </c>
      <c r="B2557" s="12" t="inlineStr"/>
      <c r="C2557" s="7" t="inlineStr">
        <is>
          <t>KIT MEDIDOR DE GLICOSE LITE - COMPLETO</t>
        </is>
      </c>
      <c r="D2557" s="7" t="inlineStr">
        <is>
          <t>RX - DIABETES</t>
        </is>
      </c>
      <c r="E2557" s="7" t="inlineStr">
        <is>
          <t>A</t>
        </is>
      </c>
      <c r="F2557" s="13" t="n">
        <v>1</v>
      </c>
      <c r="G2557" s="13" t="n">
        <v>1</v>
      </c>
      <c r="H2557" s="8" t="n">
        <v>43.56</v>
      </c>
      <c r="I2557" s="8" t="n">
        <v>43.095</v>
      </c>
      <c r="J2557" s="8" t="n">
        <v>43.405</v>
      </c>
      <c r="K2557" s="8" t="n"/>
      <c r="L2557" s="8" t="n"/>
      <c r="M2557" s="8" t="n"/>
      <c r="N2557" s="8" t="n"/>
      <c r="O2557" s="8" t="n"/>
      <c r="P2557" s="8" t="n"/>
      <c r="Q2557" s="8" t="n"/>
      <c r="R2557" s="8" t="n"/>
      <c r="S2557" s="8" t="n"/>
      <c r="T2557" s="7" t="inlineStr">
        <is>
          <t>SEM COTAÇÃO</t>
        </is>
      </c>
      <c r="U2557" s="8" t="n"/>
      <c r="V2557" s="14" t="n"/>
      <c r="W2557" s="14" t="n"/>
      <c r="X2557" s="7" t="inlineStr"/>
      <c r="Y2557" s="7" t="inlineStr"/>
    </row>
    <row r="2558">
      <c r="A2558" s="7" t="n">
        <v>1723</v>
      </c>
      <c r="B2558" s="12" t="inlineStr">
        <is>
          <t>7898301058508</t>
        </is>
      </c>
      <c r="C2558" s="7" t="inlineStr">
        <is>
          <t>KIT NEBULIZACAO AD NEBCOM IV E NEBDESK</t>
        </is>
      </c>
      <c r="D2558" s="7" t="inlineStr">
        <is>
          <t>UTENSILIOS</t>
        </is>
      </c>
      <c r="E2558" s="7" t="inlineStr">
        <is>
          <t>C</t>
        </is>
      </c>
      <c r="F2558" s="13" t="n">
        <v>1</v>
      </c>
      <c r="G2558" s="13" t="n">
        <v>1</v>
      </c>
      <c r="H2558" s="8" t="n">
        <v>14.3925</v>
      </c>
      <c r="I2558" s="8" t="n">
        <v>14.3925</v>
      </c>
      <c r="J2558" s="8" t="n">
        <v>14.3925</v>
      </c>
      <c r="K2558" s="8" t="n"/>
      <c r="L2558" s="8" t="n"/>
      <c r="M2558" s="8" t="n"/>
      <c r="N2558" s="8" t="n"/>
      <c r="O2558" s="8" t="n"/>
      <c r="P2558" s="8" t="n"/>
      <c r="Q2558" s="8" t="n"/>
      <c r="R2558" s="8" t="n"/>
      <c r="S2558" s="8" t="n"/>
      <c r="T2558" s="7" t="inlineStr">
        <is>
          <t>SEM COTAÇÃO</t>
        </is>
      </c>
      <c r="U2558" s="8" t="n"/>
      <c r="V2558" s="14" t="n"/>
      <c r="W2558" s="14" t="n"/>
      <c r="X2558" s="7" t="inlineStr"/>
      <c r="Y2558" s="7" t="inlineStr"/>
    </row>
    <row r="2559">
      <c r="A2559" s="7" t="n">
        <v>414</v>
      </c>
      <c r="B2559" s="12" t="inlineStr">
        <is>
          <t>7896000672575</t>
        </is>
      </c>
      <c r="C2559" s="7" t="inlineStr">
        <is>
          <t>KIT P/CABELO KUKA SOFT AZUL</t>
        </is>
      </c>
      <c r="D2559" s="7" t="inlineStr">
        <is>
          <t>BABY/KIDS</t>
        </is>
      </c>
      <c r="E2559" s="7" t="inlineStr">
        <is>
          <t>C</t>
        </is>
      </c>
      <c r="F2559" s="13" t="n">
        <v>1</v>
      </c>
      <c r="G2559" s="13" t="n">
        <v>1</v>
      </c>
      <c r="H2559" s="8" t="n"/>
      <c r="I2559" s="8" t="n"/>
      <c r="J2559" s="8" t="n"/>
      <c r="K2559" s="8" t="n"/>
      <c r="L2559" s="8" t="n"/>
      <c r="M2559" s="8" t="n"/>
      <c r="N2559" s="8" t="n"/>
      <c r="O2559" s="8" t="n"/>
      <c r="P2559" s="8" t="n"/>
      <c r="Q2559" s="8" t="n"/>
      <c r="R2559" s="8" t="n"/>
      <c r="S2559" s="8" t="n"/>
      <c r="T2559" s="7" t="inlineStr">
        <is>
          <t>SEM COTAÇÃO</t>
        </is>
      </c>
      <c r="U2559" s="8" t="n"/>
      <c r="V2559" s="14" t="n"/>
      <c r="W2559" s="14" t="n"/>
      <c r="X2559" s="7" t="inlineStr"/>
      <c r="Y2559" s="7" t="inlineStr"/>
    </row>
    <row r="2560">
      <c r="A2560" s="7" t="n">
        <v>424</v>
      </c>
      <c r="B2560" s="12" t="inlineStr">
        <is>
          <t>7896000672582</t>
        </is>
      </c>
      <c r="C2560" s="7" t="inlineStr">
        <is>
          <t>KIT P/CABELO KUKA SOFT ROSA</t>
        </is>
      </c>
      <c r="D2560" s="7" t="inlineStr">
        <is>
          <t>BABY/KIDS</t>
        </is>
      </c>
      <c r="E2560" s="7" t="inlineStr">
        <is>
          <t>C</t>
        </is>
      </c>
      <c r="F2560" s="13" t="n">
        <v>1</v>
      </c>
      <c r="G2560" s="13" t="n">
        <v>1</v>
      </c>
      <c r="H2560" s="8" t="n"/>
      <c r="I2560" s="8" t="n"/>
      <c r="J2560" s="8" t="n"/>
      <c r="K2560" s="8" t="n"/>
      <c r="L2560" s="8" t="n"/>
      <c r="M2560" s="8" t="n"/>
      <c r="N2560" s="8" t="n"/>
      <c r="O2560" s="8" t="n"/>
      <c r="P2560" s="8" t="n"/>
      <c r="Q2560" s="8" t="n"/>
      <c r="R2560" s="8" t="n"/>
      <c r="S2560" s="8" t="n"/>
      <c r="T2560" s="7" t="inlineStr">
        <is>
          <t>SEM COTAÇÃO</t>
        </is>
      </c>
      <c r="U2560" s="8" t="n"/>
      <c r="V2560" s="14" t="n"/>
      <c r="W2560" s="14" t="n"/>
      <c r="X2560" s="7" t="inlineStr"/>
      <c r="Y2560" s="7" t="inlineStr"/>
    </row>
    <row r="2561">
      <c r="A2561" s="7" t="n">
        <v>674591</v>
      </c>
      <c r="B2561" s="12" t="inlineStr">
        <is>
          <t>7500435128353</t>
        </is>
      </c>
      <c r="C2561" s="7" t="inlineStr">
        <is>
          <t>KIT PANTENE SH+CO LISO EXTREMO 175ML</t>
        </is>
      </c>
      <c r="D2561" s="7" t="inlineStr">
        <is>
          <t>COND/SHAM/CREM/SIMILARES</t>
        </is>
      </c>
      <c r="E2561" s="7" t="inlineStr">
        <is>
          <t>B</t>
        </is>
      </c>
      <c r="F2561" s="13" t="n">
        <v>3</v>
      </c>
      <c r="G2561" s="13" t="n">
        <v>3</v>
      </c>
      <c r="H2561" s="8" t="n">
        <v>21.89</v>
      </c>
      <c r="I2561" s="8" t="n">
        <v>21.89</v>
      </c>
      <c r="J2561" s="8" t="n">
        <v>21.89</v>
      </c>
      <c r="K2561" s="8" t="n"/>
      <c r="L2561" s="8" t="n"/>
      <c r="M2561" s="8" t="n"/>
      <c r="N2561" s="8" t="n"/>
      <c r="O2561" s="8" t="n"/>
      <c r="P2561" s="8" t="n"/>
      <c r="Q2561" s="8" t="n"/>
      <c r="R2561" s="8" t="n"/>
      <c r="S2561" s="8" t="n"/>
      <c r="T2561" s="7" t="inlineStr">
        <is>
          <t>SEM COTAÇÃO</t>
        </is>
      </c>
      <c r="U2561" s="8" t="n"/>
      <c r="V2561" s="14" t="n"/>
      <c r="W2561" s="14" t="n"/>
      <c r="X2561" s="7" t="inlineStr"/>
      <c r="Y2561" s="7" t="inlineStr"/>
    </row>
    <row r="2562">
      <c r="A2562" s="7" t="n">
        <v>647201</v>
      </c>
      <c r="B2562" s="12" t="inlineStr">
        <is>
          <t>7500435128346</t>
        </is>
      </c>
      <c r="C2562" s="7" t="inlineStr">
        <is>
          <t>KIT PANTENE SH+CO RESTAURACAO 175ML</t>
        </is>
      </c>
      <c r="D2562" s="7" t="inlineStr">
        <is>
          <t>COND/SHAM/CREM/SIMILARES</t>
        </is>
      </c>
      <c r="E2562" s="7" t="inlineStr">
        <is>
          <t>A</t>
        </is>
      </c>
      <c r="F2562" s="13" t="n">
        <v>1</v>
      </c>
      <c r="G2562" s="13" t="n">
        <v>1</v>
      </c>
      <c r="H2562" s="8" t="n">
        <v>21.89</v>
      </c>
      <c r="I2562" s="8" t="n">
        <v>21.89</v>
      </c>
      <c r="J2562" s="8" t="n">
        <v>21.89</v>
      </c>
      <c r="K2562" s="8" t="n"/>
      <c r="L2562" s="8" t="n"/>
      <c r="M2562" s="8" t="n"/>
      <c r="N2562" s="8" t="n"/>
      <c r="O2562" s="8" t="n"/>
      <c r="P2562" s="8" t="n"/>
      <c r="Q2562" s="8" t="n"/>
      <c r="R2562" s="8" t="n"/>
      <c r="S2562" s="8" t="n"/>
      <c r="T2562" s="7" t="inlineStr">
        <is>
          <t>SEM COTAÇÃO</t>
        </is>
      </c>
      <c r="U2562" s="8" t="n"/>
      <c r="V2562" s="14" t="n"/>
      <c r="W2562" s="14" t="n"/>
      <c r="X2562" s="7" t="inlineStr"/>
      <c r="Y2562" s="7" t="inlineStr"/>
    </row>
    <row r="2563">
      <c r="A2563" s="7" t="n">
        <v>3583</v>
      </c>
      <c r="B2563" s="12" t="inlineStr">
        <is>
          <t>7898953484311</t>
        </is>
      </c>
      <c r="C2563" s="7" t="inlineStr">
        <is>
          <t>KIT PARA COLETA DE URINA C/1 TUBO</t>
        </is>
      </c>
      <c r="D2563" s="7" t="inlineStr">
        <is>
          <t>UTENSILIOS</t>
        </is>
      </c>
      <c r="E2563" s="7" t="inlineStr">
        <is>
          <t>C</t>
        </is>
      </c>
      <c r="F2563" s="13" t="n">
        <v>8</v>
      </c>
      <c r="G2563" s="13" t="n">
        <v>8</v>
      </c>
      <c r="H2563" s="8" t="n">
        <v>0.89</v>
      </c>
      <c r="I2563" s="8" t="n">
        <v>0.89</v>
      </c>
      <c r="J2563" s="8" t="n">
        <v>0.89</v>
      </c>
      <c r="K2563" s="15" t="n">
        <v>1.03</v>
      </c>
      <c r="L2563" s="8" t="n"/>
      <c r="M2563" s="8" t="n"/>
      <c r="N2563" s="8" t="n"/>
      <c r="O2563" s="8" t="n"/>
      <c r="P2563" s="8" t="n"/>
      <c r="Q2563" s="8" t="n"/>
      <c r="R2563" s="8" t="n"/>
      <c r="S2563" s="8" t="n"/>
      <c r="T2563" s="7" t="inlineStr">
        <is>
          <t>DIMEC</t>
        </is>
      </c>
      <c r="U2563" s="8" t="n">
        <v>1.03</v>
      </c>
      <c r="V2563" s="14">
        <f>U2563/J2563-1</f>
        <v/>
      </c>
      <c r="W2563" s="14">
        <f>U2563/H2563-1</f>
        <v/>
      </c>
      <c r="X2563" s="16" t="inlineStr">
        <is>
          <t>ACIMA +15.7%</t>
        </is>
      </c>
      <c r="Y2563" s="7" t="inlineStr"/>
    </row>
    <row r="2564">
      <c r="A2564" s="7" t="n">
        <v>655481</v>
      </c>
      <c r="B2564" s="12" t="inlineStr">
        <is>
          <t>7896523228877</t>
        </is>
      </c>
      <c r="C2564" s="7" t="inlineStr">
        <is>
          <t>KIT PRAZER KMED 2 X 1 50 G + KTOY</t>
        </is>
      </c>
      <c r="D2564" s="7" t="inlineStr">
        <is>
          <t>UTENSILIOS</t>
        </is>
      </c>
      <c r="E2564" s="7" t="inlineStr">
        <is>
          <t>C</t>
        </is>
      </c>
      <c r="F2564" s="13" t="n">
        <v>1</v>
      </c>
      <c r="G2564" s="13" t="n">
        <v>1</v>
      </c>
      <c r="H2564" s="8" t="n">
        <v>83.98999999999999</v>
      </c>
      <c r="I2564" s="8" t="n">
        <v>83.98999999999999</v>
      </c>
      <c r="J2564" s="8" t="n">
        <v>83.98999999999999</v>
      </c>
      <c r="K2564" s="8" t="n"/>
      <c r="L2564" s="8" t="n"/>
      <c r="M2564" s="8" t="n"/>
      <c r="N2564" s="8" t="n"/>
      <c r="O2564" s="8" t="n"/>
      <c r="P2564" s="8" t="n"/>
      <c r="Q2564" s="8" t="n"/>
      <c r="R2564" s="8" t="n"/>
      <c r="S2564" s="8" t="n"/>
      <c r="T2564" s="7" t="inlineStr">
        <is>
          <t>SEM COTAÇÃO</t>
        </is>
      </c>
      <c r="U2564" s="8" t="n"/>
      <c r="V2564" s="14" t="n"/>
      <c r="W2564" s="14" t="n"/>
      <c r="X2564" s="7" t="inlineStr"/>
      <c r="Y2564" s="7" t="inlineStr"/>
    </row>
    <row r="2565">
      <c r="A2565" s="7" t="n">
        <v>538421</v>
      </c>
      <c r="B2565" s="12" t="inlineStr">
        <is>
          <t>01010101</t>
        </is>
      </c>
      <c r="C2565" s="7" t="inlineStr">
        <is>
          <t>KIT RESSACA</t>
        </is>
      </c>
      <c r="D2565" s="7" t="inlineStr">
        <is>
          <t>USO INTERNO</t>
        </is>
      </c>
      <c r="E2565" s="7" t="inlineStr">
        <is>
          <t>C</t>
        </is>
      </c>
      <c r="F2565" s="13" t="n">
        <v>3</v>
      </c>
      <c r="G2565" s="13" t="n">
        <v>3</v>
      </c>
      <c r="H2565" s="8" t="n"/>
      <c r="I2565" s="8" t="n"/>
      <c r="J2565" s="8" t="n"/>
      <c r="K2565" s="8" t="n"/>
      <c r="L2565" s="8" t="n"/>
      <c r="M2565" s="8" t="n"/>
      <c r="N2565" s="8" t="n"/>
      <c r="O2565" s="8" t="n"/>
      <c r="P2565" s="8" t="n"/>
      <c r="Q2565" s="8" t="n"/>
      <c r="R2565" s="8" t="n"/>
      <c r="S2565" s="8" t="n"/>
      <c r="T2565" s="7" t="inlineStr">
        <is>
          <t>SEM COTAÇÃO</t>
        </is>
      </c>
      <c r="U2565" s="8" t="n"/>
      <c r="V2565" s="14" t="n"/>
      <c r="W2565" s="14" t="n"/>
      <c r="X2565" s="7" t="inlineStr"/>
      <c r="Y2565" s="7" t="inlineStr"/>
    </row>
    <row r="2566">
      <c r="A2566" s="7" t="n">
        <v>704601</v>
      </c>
      <c r="B2566" s="12" t="inlineStr">
        <is>
          <t>7896512954169</t>
        </is>
      </c>
      <c r="C2566" s="7" t="inlineStr">
        <is>
          <t>KIT SAB LIQ GRANADO BEBE TRAD 250ML+2REF</t>
        </is>
      </c>
      <c r="D2566" s="7" t="inlineStr">
        <is>
          <t>BABY/KIDS</t>
        </is>
      </c>
      <c r="E2566" s="7" t="inlineStr">
        <is>
          <t>A</t>
        </is>
      </c>
      <c r="F2566" s="13" t="n">
        <v>9</v>
      </c>
      <c r="G2566" s="13" t="n">
        <v>9</v>
      </c>
      <c r="H2566" s="8" t="n">
        <v>40.68</v>
      </c>
      <c r="I2566" s="8" t="n">
        <v>40.68</v>
      </c>
      <c r="J2566" s="8" t="n">
        <v>40.68</v>
      </c>
      <c r="K2566" s="8" t="n"/>
      <c r="L2566" s="8" t="n"/>
      <c r="M2566" s="8" t="n"/>
      <c r="N2566" s="8" t="n"/>
      <c r="O2566" s="8" t="n"/>
      <c r="P2566" s="8" t="n">
        <v>40.44</v>
      </c>
      <c r="Q2566" s="8" t="n"/>
      <c r="R2566" s="8" t="n"/>
      <c r="S2566" s="8" t="n"/>
      <c r="T2566" s="7" t="inlineStr">
        <is>
          <t>SEM COTAÇÃO</t>
        </is>
      </c>
      <c r="U2566" s="8" t="n"/>
      <c r="V2566" s="14" t="n"/>
      <c r="W2566" s="14" t="n"/>
      <c r="X2566" s="7" t="inlineStr"/>
      <c r="Y2566" s="7" t="inlineStr">
        <is>
          <t>NAZARIA: sem estoque</t>
        </is>
      </c>
    </row>
    <row r="2567">
      <c r="A2567" s="7" t="n">
        <v>654171</v>
      </c>
      <c r="B2567" s="12" t="inlineStr">
        <is>
          <t>7908458324323</t>
        </is>
      </c>
      <c r="C2567" s="7" t="inlineStr">
        <is>
          <t>KIT SALON SH+COND HIDRA CACH KIDS 300ML</t>
        </is>
      </c>
      <c r="D2567" s="7" t="inlineStr">
        <is>
          <t>BABY/KIDS</t>
        </is>
      </c>
      <c r="E2567" s="7" t="inlineStr">
        <is>
          <t>B</t>
        </is>
      </c>
      <c r="F2567" s="13" t="n">
        <v>3</v>
      </c>
      <c r="G2567" s="13" t="n">
        <v>3</v>
      </c>
      <c r="H2567" s="8" t="n">
        <v>12.07</v>
      </c>
      <c r="I2567" s="8" t="n">
        <v>12.07</v>
      </c>
      <c r="J2567" s="8" t="n">
        <v>12.07</v>
      </c>
      <c r="K2567" s="8" t="n"/>
      <c r="L2567" s="8" t="n"/>
      <c r="M2567" s="8" t="n"/>
      <c r="N2567" s="8" t="n"/>
      <c r="O2567" s="8" t="n"/>
      <c r="P2567" s="8" t="n"/>
      <c r="Q2567" s="8" t="n"/>
      <c r="R2567" s="8" t="n"/>
      <c r="S2567" s="8" t="n"/>
      <c r="T2567" s="7" t="inlineStr">
        <is>
          <t>SEM COTAÇÃO</t>
        </is>
      </c>
      <c r="U2567" s="8" t="n"/>
      <c r="V2567" s="14" t="n"/>
      <c r="W2567" s="14" t="n"/>
      <c r="X2567" s="7" t="inlineStr"/>
      <c r="Y2567" s="7" t="inlineStr"/>
    </row>
    <row r="2568">
      <c r="A2568" s="7" t="n">
        <v>677701</v>
      </c>
      <c r="B2568" s="12" t="inlineStr">
        <is>
          <t>7891150103801</t>
        </is>
      </c>
      <c r="C2568" s="7" t="inlineStr">
        <is>
          <t>KIT SH+COND DOVE HIDRAT+HIA 350ML+175ML</t>
        </is>
      </c>
      <c r="D2568" s="7" t="inlineStr">
        <is>
          <t>COND/SHAM/CREM/SIMILARES</t>
        </is>
      </c>
      <c r="E2568" s="7" t="inlineStr">
        <is>
          <t>C</t>
        </is>
      </c>
      <c r="F2568" s="13" t="n">
        <v>1</v>
      </c>
      <c r="G2568" s="13" t="n">
        <v>1</v>
      </c>
      <c r="H2568" s="8" t="n">
        <v>28.36</v>
      </c>
      <c r="I2568" s="8" t="n">
        <v>28.36</v>
      </c>
      <c r="J2568" s="8" t="n">
        <v>28.36</v>
      </c>
      <c r="K2568" s="8" t="n"/>
      <c r="L2568" s="8" t="n"/>
      <c r="M2568" s="8" t="n"/>
      <c r="N2568" s="8" t="n"/>
      <c r="O2568" s="8" t="n"/>
      <c r="P2568" s="15" t="n">
        <v>21.52</v>
      </c>
      <c r="Q2568" s="8" t="n"/>
      <c r="R2568" s="8" t="n"/>
      <c r="S2568" s="8" t="n"/>
      <c r="T2568" s="7" t="inlineStr">
        <is>
          <t>NAZARIA</t>
        </is>
      </c>
      <c r="U2568" s="8" t="n">
        <v>21.52</v>
      </c>
      <c r="V2568" s="14">
        <f>U2568/J2568-1</f>
        <v/>
      </c>
      <c r="W2568" s="14">
        <f>U2568/H2568-1</f>
        <v/>
      </c>
      <c r="X2568" s="17" t="inlineStr">
        <is>
          <t>OK (≤ menor hist.)</t>
        </is>
      </c>
      <c r="Y2568" s="7" t="inlineStr"/>
    </row>
    <row r="2569">
      <c r="A2569" s="7" t="n">
        <v>677801</v>
      </c>
      <c r="B2569" s="12" t="inlineStr">
        <is>
          <t>7891150103771</t>
        </is>
      </c>
      <c r="C2569" s="7" t="inlineStr">
        <is>
          <t>KIT SH+COND DOVE RECONS+AMINO 350+175ML</t>
        </is>
      </c>
      <c r="D2569" s="7" t="inlineStr">
        <is>
          <t>COND/SHAM/CREM/SIMILARES</t>
        </is>
      </c>
      <c r="E2569" s="7" t="inlineStr">
        <is>
          <t>B</t>
        </is>
      </c>
      <c r="F2569" s="13" t="n">
        <v>1</v>
      </c>
      <c r="G2569" s="13" t="n">
        <v>1</v>
      </c>
      <c r="H2569" s="8" t="n">
        <v>28.36</v>
      </c>
      <c r="I2569" s="8" t="n">
        <v>28.36</v>
      </c>
      <c r="J2569" s="8" t="n">
        <v>28.36</v>
      </c>
      <c r="K2569" s="8" t="n"/>
      <c r="L2569" s="8" t="n"/>
      <c r="M2569" s="8" t="n"/>
      <c r="N2569" s="8" t="n"/>
      <c r="O2569" s="8" t="n"/>
      <c r="P2569" s="8" t="n">
        <v>21.52</v>
      </c>
      <c r="Q2569" s="8" t="n"/>
      <c r="R2569" s="8" t="n"/>
      <c r="S2569" s="8" t="n"/>
      <c r="T2569" s="7" t="inlineStr">
        <is>
          <t>SEM COTAÇÃO</t>
        </is>
      </c>
      <c r="U2569" s="8" t="n"/>
      <c r="V2569" s="14" t="n"/>
      <c r="W2569" s="14" t="n"/>
      <c r="X2569" s="7" t="inlineStr"/>
      <c r="Y2569" s="7" t="inlineStr">
        <is>
          <t>NAZARIA: sem estoque</t>
        </is>
      </c>
    </row>
    <row r="2570">
      <c r="A2570" s="7" t="n">
        <v>620751</v>
      </c>
      <c r="B2570" s="12" t="inlineStr">
        <is>
          <t>7898395843585</t>
        </is>
      </c>
      <c r="C2570" s="7" t="inlineStr">
        <is>
          <t>KIT SH+COND KERABRASIL KIDS PRINCESS</t>
        </is>
      </c>
      <c r="D2570" s="7" t="inlineStr">
        <is>
          <t>PERF/COSME</t>
        </is>
      </c>
      <c r="E2570" s="7" t="inlineStr">
        <is>
          <t>C</t>
        </is>
      </c>
      <c r="F2570" s="13" t="n">
        <v>1</v>
      </c>
      <c r="G2570" s="13" t="n">
        <v>1</v>
      </c>
      <c r="H2570" s="8" t="n">
        <v>18.85</v>
      </c>
      <c r="I2570" s="8" t="n">
        <v>18.85</v>
      </c>
      <c r="J2570" s="8" t="n">
        <v>18.85</v>
      </c>
      <c r="K2570" s="8" t="n"/>
      <c r="L2570" s="8" t="n"/>
      <c r="M2570" s="8" t="n"/>
      <c r="N2570" s="8" t="n"/>
      <c r="O2570" s="8" t="n"/>
      <c r="P2570" s="8" t="n"/>
      <c r="Q2570" s="8" t="n"/>
      <c r="R2570" s="8" t="n"/>
      <c r="S2570" s="8" t="n"/>
      <c r="T2570" s="7" t="inlineStr">
        <is>
          <t>SEM COTAÇÃO</t>
        </is>
      </c>
      <c r="U2570" s="8" t="n"/>
      <c r="V2570" s="14" t="n"/>
      <c r="W2570" s="14" t="n"/>
      <c r="X2570" s="7" t="inlineStr"/>
      <c r="Y2570" s="7" t="inlineStr"/>
    </row>
    <row r="2571">
      <c r="A2571" s="7" t="n">
        <v>645601</v>
      </c>
      <c r="B2571" s="12" t="inlineStr">
        <is>
          <t>7908458305629</t>
        </is>
      </c>
      <c r="C2571" s="7" t="inlineStr">
        <is>
          <t>KIT SH+COND SALON L HIALURONICO 300ML</t>
        </is>
      </c>
      <c r="D2571" s="7" t="inlineStr">
        <is>
          <t>COND/SHAM/CREM/SIMILARES</t>
        </is>
      </c>
      <c r="E2571" s="7" t="inlineStr">
        <is>
          <t>C</t>
        </is>
      </c>
      <c r="F2571" s="13" t="n">
        <v>1</v>
      </c>
      <c r="G2571" s="13" t="n">
        <v>1</v>
      </c>
      <c r="H2571" s="8" t="n">
        <v>14.93</v>
      </c>
      <c r="I2571" s="8" t="n">
        <v>14.93</v>
      </c>
      <c r="J2571" s="8" t="n">
        <v>14.93</v>
      </c>
      <c r="K2571" s="8" t="n"/>
      <c r="L2571" s="8" t="n"/>
      <c r="M2571" s="8" t="n"/>
      <c r="N2571" s="8" t="n"/>
      <c r="O2571" s="8" t="n"/>
      <c r="P2571" s="8" t="n"/>
      <c r="Q2571" s="8" t="n"/>
      <c r="R2571" s="8" t="n"/>
      <c r="S2571" s="8" t="n"/>
      <c r="T2571" s="7" t="inlineStr">
        <is>
          <t>SEM COTAÇÃO</t>
        </is>
      </c>
      <c r="U2571" s="8" t="n"/>
      <c r="V2571" s="14" t="n"/>
      <c r="W2571" s="14" t="n"/>
      <c r="X2571" s="7" t="inlineStr"/>
      <c r="Y2571" s="7" t="inlineStr"/>
    </row>
    <row r="2572">
      <c r="A2572" s="7" t="n">
        <v>658431</v>
      </c>
      <c r="B2572" s="12" t="inlineStr">
        <is>
          <t>7908458329236</t>
        </is>
      </c>
      <c r="C2572" s="7" t="inlineStr">
        <is>
          <t>KIT SH+COND SALON L MELANC KD 300+200ML</t>
        </is>
      </c>
      <c r="D2572" s="7" t="inlineStr">
        <is>
          <t>BABY/KIDS</t>
        </is>
      </c>
      <c r="E2572" s="7" t="inlineStr">
        <is>
          <t>C</t>
        </is>
      </c>
      <c r="F2572" s="13" t="n">
        <v>1</v>
      </c>
      <c r="G2572" s="13" t="n">
        <v>1</v>
      </c>
      <c r="H2572" s="8" t="n">
        <v>20.29</v>
      </c>
      <c r="I2572" s="8" t="n">
        <v>20.29</v>
      </c>
      <c r="J2572" s="8" t="n">
        <v>20.29</v>
      </c>
      <c r="K2572" s="8" t="n"/>
      <c r="L2572" s="8" t="n"/>
      <c r="M2572" s="8" t="n"/>
      <c r="N2572" s="8" t="n"/>
      <c r="O2572" s="8" t="n"/>
      <c r="P2572" s="8" t="n"/>
      <c r="Q2572" s="8" t="n"/>
      <c r="R2572" s="8" t="n"/>
      <c r="S2572" s="8" t="n"/>
      <c r="T2572" s="7" t="inlineStr">
        <is>
          <t>SEM COTAÇÃO</t>
        </is>
      </c>
      <c r="U2572" s="8" t="n"/>
      <c r="V2572" s="14" t="n"/>
      <c r="W2572" s="14" t="n"/>
      <c r="X2572" s="7" t="inlineStr"/>
      <c r="Y2572" s="7" t="inlineStr"/>
    </row>
    <row r="2573">
      <c r="A2573" s="7" t="n">
        <v>658451</v>
      </c>
      <c r="B2573" s="12" t="inlineStr">
        <is>
          <t>7908458327805</t>
        </is>
      </c>
      <c r="C2573" s="7" t="inlineStr">
        <is>
          <t>KIT SH+COND SALON L MGO KIDS 300+200ML</t>
        </is>
      </c>
      <c r="D2573" s="7" t="inlineStr">
        <is>
          <t>BABY/KIDS</t>
        </is>
      </c>
      <c r="E2573" s="7" t="inlineStr">
        <is>
          <t>C</t>
        </is>
      </c>
      <c r="F2573" s="13" t="n">
        <v>1</v>
      </c>
      <c r="G2573" s="13" t="n">
        <v>1</v>
      </c>
      <c r="H2573" s="8" t="n">
        <v>20.29</v>
      </c>
      <c r="I2573" s="8" t="n">
        <v>20.29</v>
      </c>
      <c r="J2573" s="8" t="n">
        <v>20.29</v>
      </c>
      <c r="K2573" s="8" t="n"/>
      <c r="L2573" s="8" t="n"/>
      <c r="M2573" s="8" t="n"/>
      <c r="N2573" s="8" t="n"/>
      <c r="O2573" s="8" t="n"/>
      <c r="P2573" s="8" t="n"/>
      <c r="Q2573" s="8" t="n"/>
      <c r="R2573" s="8" t="n"/>
      <c r="S2573" s="8" t="n"/>
      <c r="T2573" s="7" t="inlineStr">
        <is>
          <t>SEM COTAÇÃO</t>
        </is>
      </c>
      <c r="U2573" s="8" t="n"/>
      <c r="V2573" s="14" t="n"/>
      <c r="W2573" s="14" t="n"/>
      <c r="X2573" s="7" t="inlineStr"/>
      <c r="Y2573" s="7" t="inlineStr"/>
    </row>
    <row r="2574">
      <c r="A2574" s="7" t="n">
        <v>658481</v>
      </c>
      <c r="B2574" s="12" t="inlineStr">
        <is>
          <t>7908458329267</t>
        </is>
      </c>
      <c r="C2574" s="7" t="inlineStr">
        <is>
          <t>KIT SH+COND SALON L UVA KIDS 300+200ML</t>
        </is>
      </c>
      <c r="D2574" s="7" t="inlineStr">
        <is>
          <t>BABY/KIDS</t>
        </is>
      </c>
      <c r="E2574" s="7" t="inlineStr">
        <is>
          <t>C</t>
        </is>
      </c>
      <c r="F2574" s="13" t="n">
        <v>1</v>
      </c>
      <c r="G2574" s="13" t="n">
        <v>1</v>
      </c>
      <c r="H2574" s="8" t="n">
        <v>20.29</v>
      </c>
      <c r="I2574" s="8" t="n">
        <v>20.29</v>
      </c>
      <c r="J2574" s="8" t="n">
        <v>20.29</v>
      </c>
      <c r="K2574" s="8" t="n"/>
      <c r="L2574" s="8" t="n"/>
      <c r="M2574" s="8" t="n"/>
      <c r="N2574" s="8" t="n"/>
      <c r="O2574" s="8" t="n"/>
      <c r="P2574" s="8" t="n"/>
      <c r="Q2574" s="8" t="n"/>
      <c r="R2574" s="8" t="n"/>
      <c r="S2574" s="8" t="n"/>
      <c r="T2574" s="7" t="inlineStr">
        <is>
          <t>SEM COTAÇÃO</t>
        </is>
      </c>
      <c r="U2574" s="8" t="n"/>
      <c r="V2574" s="14" t="n"/>
      <c r="W2574" s="14" t="n"/>
      <c r="X2574" s="7" t="inlineStr"/>
      <c r="Y2574" s="7" t="inlineStr"/>
    </row>
    <row r="2575">
      <c r="A2575" s="7" t="n">
        <v>677901</v>
      </c>
      <c r="B2575" s="12" t="inlineStr">
        <is>
          <t>7891150097384</t>
        </is>
      </c>
      <c r="C2575" s="7" t="inlineStr">
        <is>
          <t>KIT SH+COND SEDA LISO PERF 300ML+190ML</t>
        </is>
      </c>
      <c r="D2575" s="7" t="inlineStr">
        <is>
          <t>COND/SHAM/CREM/SIMILARES</t>
        </is>
      </c>
      <c r="E2575" s="7" t="inlineStr">
        <is>
          <t>B</t>
        </is>
      </c>
      <c r="F2575" s="13" t="n">
        <v>1</v>
      </c>
      <c r="G2575" s="13" t="n">
        <v>1</v>
      </c>
      <c r="H2575" s="8" t="n">
        <v>14.65</v>
      </c>
      <c r="I2575" s="8" t="n">
        <v>14.65</v>
      </c>
      <c r="J2575" s="8" t="n">
        <v>14.65</v>
      </c>
      <c r="K2575" s="8" t="n"/>
      <c r="L2575" s="8" t="n"/>
      <c r="M2575" s="8" t="n"/>
      <c r="N2575" s="8" t="n"/>
      <c r="O2575" s="8" t="n"/>
      <c r="P2575" s="15" t="n">
        <v>14.8</v>
      </c>
      <c r="Q2575" s="8" t="n"/>
      <c r="R2575" s="8" t="n"/>
      <c r="S2575" s="8" t="n"/>
      <c r="T2575" s="7" t="inlineStr">
        <is>
          <t>NAZARIA</t>
        </is>
      </c>
      <c r="U2575" s="8" t="n">
        <v>14.8</v>
      </c>
      <c r="V2575" s="14">
        <f>U2575/J2575-1</f>
        <v/>
      </c>
      <c r="W2575" s="14">
        <f>U2575/H2575-1</f>
        <v/>
      </c>
      <c r="X2575" s="16" t="inlineStr">
        <is>
          <t>ACIMA +1.0%</t>
        </is>
      </c>
      <c r="Y2575" s="7" t="inlineStr"/>
    </row>
    <row r="2576">
      <c r="A2576" s="7" t="n">
        <v>631531</v>
      </c>
      <c r="B2576" s="12" t="inlineStr">
        <is>
          <t>7896115703720</t>
        </is>
      </c>
      <c r="C2576" s="7" t="inlineStr">
        <is>
          <t>KIT SH+COND TRA LA LA KIDS HIDRA 480ML</t>
        </is>
      </c>
      <c r="D2576" s="7" t="inlineStr">
        <is>
          <t>PERF/COSME</t>
        </is>
      </c>
      <c r="E2576" s="7" t="inlineStr">
        <is>
          <t>C</t>
        </is>
      </c>
      <c r="F2576" s="13" t="n">
        <v>1</v>
      </c>
      <c r="G2576" s="13" t="n">
        <v>1</v>
      </c>
      <c r="H2576" s="8" t="n">
        <v>20.055</v>
      </c>
      <c r="I2576" s="8" t="n">
        <v>20.055</v>
      </c>
      <c r="J2576" s="8" t="n">
        <v>20.055</v>
      </c>
      <c r="K2576" s="8" t="n"/>
      <c r="L2576" s="8" t="n"/>
      <c r="M2576" s="8" t="n"/>
      <c r="N2576" s="8" t="n"/>
      <c r="O2576" s="8" t="n"/>
      <c r="P2576" s="8" t="n"/>
      <c r="Q2576" s="8" t="n"/>
      <c r="R2576" s="8" t="n"/>
      <c r="S2576" s="8" t="n"/>
      <c r="T2576" s="7" t="inlineStr">
        <is>
          <t>SEM COTAÇÃO</t>
        </is>
      </c>
      <c r="U2576" s="8" t="n"/>
      <c r="V2576" s="14" t="n"/>
      <c r="W2576" s="14" t="n"/>
      <c r="X2576" s="7" t="inlineStr"/>
      <c r="Y2576" s="7" t="inlineStr"/>
    </row>
    <row r="2577">
      <c r="A2577" s="7" t="n">
        <v>589701</v>
      </c>
      <c r="B2577" s="12" t="inlineStr">
        <is>
          <t>7897042013814</t>
        </is>
      </c>
      <c r="C2577" s="7" t="inlineStr">
        <is>
          <t>KIT SH.+CONDIC. SKALA B.VITAM.325M</t>
        </is>
      </c>
      <c r="D2577" s="7" t="inlineStr">
        <is>
          <t>PERF/COSME</t>
        </is>
      </c>
      <c r="E2577" s="7" t="inlineStr">
        <is>
          <t>C</t>
        </is>
      </c>
      <c r="F2577" s="13" t="n">
        <v>1</v>
      </c>
      <c r="G2577" s="13" t="n">
        <v>1</v>
      </c>
      <c r="H2577" s="8" t="n">
        <v>12.29</v>
      </c>
      <c r="I2577" s="8" t="n">
        <v>12.29</v>
      </c>
      <c r="J2577" s="8" t="n">
        <v>12.29</v>
      </c>
      <c r="K2577" s="8" t="n"/>
      <c r="L2577" s="8" t="n"/>
      <c r="M2577" s="8" t="n"/>
      <c r="N2577" s="8" t="n"/>
      <c r="O2577" s="8" t="n"/>
      <c r="P2577" s="8" t="n"/>
      <c r="Q2577" s="8" t="n"/>
      <c r="R2577" s="8" t="n"/>
      <c r="S2577" s="8" t="n"/>
      <c r="T2577" s="7" t="inlineStr">
        <is>
          <t>SEM COTAÇÃO</t>
        </is>
      </c>
      <c r="U2577" s="8" t="n"/>
      <c r="V2577" s="14" t="n"/>
      <c r="W2577" s="14" t="n"/>
      <c r="X2577" s="7" t="inlineStr"/>
      <c r="Y2577" s="7" t="inlineStr"/>
    </row>
    <row r="2578">
      <c r="A2578" s="7" t="n">
        <v>534101</v>
      </c>
      <c r="B2578" s="12" t="inlineStr">
        <is>
          <t>7897042013753</t>
        </is>
      </c>
      <c r="C2578" s="7" t="inlineStr">
        <is>
          <t>KIT SHAM + COND BRILHO IMPLCAVEL</t>
        </is>
      </c>
      <c r="D2578" s="7" t="inlineStr">
        <is>
          <t>PERF/COSME</t>
        </is>
      </c>
      <c r="E2578" s="7" t="inlineStr">
        <is>
          <t>C</t>
        </is>
      </c>
      <c r="F2578" s="13" t="n">
        <v>1</v>
      </c>
      <c r="G2578" s="13" t="n">
        <v>1</v>
      </c>
      <c r="H2578" s="8" t="n">
        <v>9.56</v>
      </c>
      <c r="I2578" s="8" t="n">
        <v>9.56</v>
      </c>
      <c r="J2578" s="8" t="n">
        <v>9.56</v>
      </c>
      <c r="K2578" s="8" t="n"/>
      <c r="L2578" s="8" t="n"/>
      <c r="M2578" s="8" t="n"/>
      <c r="N2578" s="8" t="n"/>
      <c r="O2578" s="8" t="n"/>
      <c r="P2578" s="8" t="n"/>
      <c r="Q2578" s="8" t="n"/>
      <c r="R2578" s="8" t="n"/>
      <c r="S2578" s="8" t="n"/>
      <c r="T2578" s="7" t="inlineStr">
        <is>
          <t>SEM COTAÇÃO</t>
        </is>
      </c>
      <c r="U2578" s="8" t="n"/>
      <c r="V2578" s="14" t="n"/>
      <c r="W2578" s="14" t="n"/>
      <c r="X2578" s="7" t="inlineStr"/>
      <c r="Y2578" s="7" t="inlineStr"/>
    </row>
    <row r="2579">
      <c r="A2579" s="7" t="n">
        <v>552141</v>
      </c>
      <c r="B2579" s="12" t="inlineStr">
        <is>
          <t>7896000727527</t>
        </is>
      </c>
      <c r="C2579" s="7" t="inlineStr">
        <is>
          <t>KIT SHAMP.+COND.NIELY GOLD (HIDRATACAO)</t>
        </is>
      </c>
      <c r="D2579" s="7" t="inlineStr">
        <is>
          <t>USO INTERNO</t>
        </is>
      </c>
      <c r="E2579" s="7" t="inlineStr">
        <is>
          <t>C</t>
        </is>
      </c>
      <c r="F2579" s="13" t="n">
        <v>1</v>
      </c>
      <c r="G2579" s="13" t="n">
        <v>1</v>
      </c>
      <c r="H2579" s="8" t="n">
        <v>15.08</v>
      </c>
      <c r="I2579" s="8" t="n">
        <v>15.08</v>
      </c>
      <c r="J2579" s="8" t="n">
        <v>15.08</v>
      </c>
      <c r="K2579" s="8" t="n"/>
      <c r="L2579" s="8" t="n"/>
      <c r="M2579" s="8" t="n"/>
      <c r="N2579" s="8" t="n"/>
      <c r="O2579" s="8" t="n"/>
      <c r="P2579" s="15" t="n">
        <v>17.98</v>
      </c>
      <c r="Q2579" s="8" t="n"/>
      <c r="R2579" s="8" t="n"/>
      <c r="S2579" s="8" t="n"/>
      <c r="T2579" s="7" t="inlineStr">
        <is>
          <t>NAZARIA</t>
        </is>
      </c>
      <c r="U2579" s="8" t="n">
        <v>17.98</v>
      </c>
      <c r="V2579" s="14">
        <f>U2579/J2579-1</f>
        <v/>
      </c>
      <c r="W2579" s="14">
        <f>U2579/H2579-1</f>
        <v/>
      </c>
      <c r="X2579" s="16" t="inlineStr">
        <is>
          <t>ACIMA +19.2%</t>
        </is>
      </c>
      <c r="Y2579" s="7" t="inlineStr"/>
    </row>
    <row r="2580">
      <c r="A2580" s="7" t="n">
        <v>533441</v>
      </c>
      <c r="B2580" s="12" t="inlineStr">
        <is>
          <t>7896000726407</t>
        </is>
      </c>
      <c r="C2580" s="7" t="inlineStr">
        <is>
          <t>KIT SHAMPOO+CONDICIONADOR NIELY GOLD (OELO DE RICINO + D-PANTENOL)</t>
        </is>
      </c>
      <c r="D2580" s="7" t="inlineStr">
        <is>
          <t>PERF/COSME</t>
        </is>
      </c>
      <c r="E2580" s="7" t="inlineStr">
        <is>
          <t>C</t>
        </is>
      </c>
      <c r="F2580" s="13" t="n">
        <v>1</v>
      </c>
      <c r="G2580" s="13" t="n">
        <v>1</v>
      </c>
      <c r="H2580" s="8" t="n">
        <v>12.66</v>
      </c>
      <c r="I2580" s="8" t="n">
        <v>12.66</v>
      </c>
      <c r="J2580" s="8" t="n">
        <v>12.66</v>
      </c>
      <c r="K2580" s="8" t="n"/>
      <c r="L2580" s="8" t="n"/>
      <c r="M2580" s="8" t="n"/>
      <c r="N2580" s="8" t="n"/>
      <c r="O2580" s="8" t="n"/>
      <c r="P2580" s="8" t="n"/>
      <c r="Q2580" s="8" t="n"/>
      <c r="R2580" s="8" t="n"/>
      <c r="S2580" s="8" t="n"/>
      <c r="T2580" s="7" t="inlineStr">
        <is>
          <t>SEM COTAÇÃO</t>
        </is>
      </c>
      <c r="U2580" s="8" t="n"/>
      <c r="V2580" s="14" t="n"/>
      <c r="W2580" s="14" t="n"/>
      <c r="X2580" s="7" t="inlineStr"/>
      <c r="Y2580" s="7" t="inlineStr"/>
    </row>
    <row r="2581">
      <c r="A2581" s="7" t="n">
        <v>663131</v>
      </c>
      <c r="B2581" s="12" t="inlineStr">
        <is>
          <t>7891150099982</t>
        </is>
      </c>
      <c r="C2581" s="7" t="inlineStr">
        <is>
          <t>KIT SHP+COND SEDA LUM UV GLYCOL+VIT C 300ML+190M   UNIL %DN:10.00</t>
        </is>
      </c>
      <c r="D2581" s="7" t="inlineStr">
        <is>
          <t>COND/SHAM/CREM/SIMILARES</t>
        </is>
      </c>
      <c r="E2581" s="7" t="inlineStr">
        <is>
          <t>C</t>
        </is>
      </c>
      <c r="F2581" s="13" t="n">
        <v>1</v>
      </c>
      <c r="G2581" s="13" t="n">
        <v>1</v>
      </c>
      <c r="H2581" s="8" t="n">
        <v>13.22</v>
      </c>
      <c r="I2581" s="8" t="n">
        <v>13.22</v>
      </c>
      <c r="J2581" s="8" t="n">
        <v>13.22</v>
      </c>
      <c r="K2581" s="8" t="n"/>
      <c r="L2581" s="8" t="n"/>
      <c r="M2581" s="8" t="n"/>
      <c r="N2581" s="8" t="n"/>
      <c r="O2581" s="8" t="n"/>
      <c r="P2581" s="8" t="n"/>
      <c r="Q2581" s="8" t="n"/>
      <c r="R2581" s="8" t="n"/>
      <c r="S2581" s="8" t="n"/>
      <c r="T2581" s="7" t="inlineStr">
        <is>
          <t>SEM COTAÇÃO</t>
        </is>
      </c>
      <c r="U2581" s="8" t="n"/>
      <c r="V2581" s="14" t="n"/>
      <c r="W2581" s="14" t="n"/>
      <c r="X2581" s="7" t="inlineStr"/>
      <c r="Y2581" s="7" t="inlineStr"/>
    </row>
    <row r="2582">
      <c r="A2582" s="7" t="n">
        <v>663141</v>
      </c>
      <c r="B2582" s="12" t="inlineStr">
        <is>
          <t>7891150101630</t>
        </is>
      </c>
      <c r="C2582" s="7" t="inlineStr">
        <is>
          <t>KIT SHP+COND SEDA TOQUE DE SEDA 300ML+190ML   UNIL %DN:10.00</t>
        </is>
      </c>
      <c r="D2582" s="7" t="inlineStr">
        <is>
          <t>COND/SHAM/CREM/SIMILARES</t>
        </is>
      </c>
      <c r="E2582" s="7" t="inlineStr">
        <is>
          <t>C</t>
        </is>
      </c>
      <c r="F2582" s="13" t="n">
        <v>2</v>
      </c>
      <c r="G2582" s="13" t="n">
        <v>2</v>
      </c>
      <c r="H2582" s="8" t="n">
        <v>13.625</v>
      </c>
      <c r="I2582" s="8" t="n">
        <v>13.625</v>
      </c>
      <c r="J2582" s="8" t="n">
        <v>13.625</v>
      </c>
      <c r="K2582" s="8" t="n"/>
      <c r="L2582" s="8" t="n"/>
      <c r="M2582" s="8" t="n"/>
      <c r="N2582" s="8" t="n"/>
      <c r="O2582" s="8" t="n"/>
      <c r="P2582" s="15" t="n">
        <v>14.8</v>
      </c>
      <c r="Q2582" s="8" t="n"/>
      <c r="R2582" s="8" t="n"/>
      <c r="S2582" s="8" t="n"/>
      <c r="T2582" s="7" t="inlineStr">
        <is>
          <t>NAZARIA</t>
        </is>
      </c>
      <c r="U2582" s="8" t="n">
        <v>14.8</v>
      </c>
      <c r="V2582" s="14">
        <f>U2582/J2582-1</f>
        <v/>
      </c>
      <c r="W2582" s="14">
        <f>U2582/H2582-1</f>
        <v/>
      </c>
      <c r="X2582" s="16" t="inlineStr">
        <is>
          <t>ACIMA +8.6%</t>
        </is>
      </c>
      <c r="Y2582" s="7" t="inlineStr"/>
    </row>
    <row r="2583">
      <c r="A2583" s="7" t="n">
        <v>548901</v>
      </c>
      <c r="B2583" s="12" t="inlineStr">
        <is>
          <t>7897042016419</t>
        </is>
      </c>
      <c r="C2583" s="7" t="inlineStr">
        <is>
          <t>KIT SKALA SH+COND 325ML DIVINO CRESPINHO</t>
        </is>
      </c>
      <c r="D2583" s="7" t="inlineStr">
        <is>
          <t>PERF/COSME</t>
        </is>
      </c>
      <c r="E2583" s="7" t="inlineStr">
        <is>
          <t>C</t>
        </is>
      </c>
      <c r="F2583" s="13" t="n">
        <v>1</v>
      </c>
      <c r="G2583" s="13" t="n">
        <v>1</v>
      </c>
      <c r="H2583" s="8" t="n">
        <v>9.56</v>
      </c>
      <c r="I2583" s="8" t="n">
        <v>9.56</v>
      </c>
      <c r="J2583" s="8" t="n">
        <v>9.56</v>
      </c>
      <c r="K2583" s="8" t="n"/>
      <c r="L2583" s="8" t="n"/>
      <c r="M2583" s="8" t="n"/>
      <c r="N2583" s="8" t="n"/>
      <c r="O2583" s="8" t="n"/>
      <c r="P2583" s="8" t="n"/>
      <c r="Q2583" s="8" t="n"/>
      <c r="R2583" s="8" t="n"/>
      <c r="S2583" s="8" t="n"/>
      <c r="T2583" s="7" t="inlineStr">
        <is>
          <t>SEM COTAÇÃO</t>
        </is>
      </c>
      <c r="U2583" s="8" t="n"/>
      <c r="V2583" s="14" t="n"/>
      <c r="W2583" s="14" t="n"/>
      <c r="X2583" s="7" t="inlineStr"/>
      <c r="Y2583" s="7" t="inlineStr"/>
    </row>
    <row r="2584">
      <c r="A2584" s="7" t="n">
        <v>632251</v>
      </c>
      <c r="B2584" s="12" t="inlineStr">
        <is>
          <t>7908470012819</t>
        </is>
      </c>
      <c r="C2584" s="7" t="inlineStr">
        <is>
          <t>KIT TALHER PONTA FLEXIVEL- ROSA/ 791281</t>
        </is>
      </c>
      <c r="D2584" s="7" t="inlineStr">
        <is>
          <t>PERF/COSME</t>
        </is>
      </c>
      <c r="E2584" s="7" t="inlineStr">
        <is>
          <t>C</t>
        </is>
      </c>
      <c r="F2584" s="13" t="n">
        <v>1</v>
      </c>
      <c r="G2584" s="13" t="n">
        <v>1</v>
      </c>
      <c r="H2584" s="8" t="n">
        <v>17.81</v>
      </c>
      <c r="I2584" s="8" t="n">
        <v>17.81</v>
      </c>
      <c r="J2584" s="8" t="n">
        <v>17.81</v>
      </c>
      <c r="K2584" s="8" t="n"/>
      <c r="L2584" s="8" t="n"/>
      <c r="M2584" s="8" t="n"/>
      <c r="N2584" s="8" t="n"/>
      <c r="O2584" s="8" t="n"/>
      <c r="P2584" s="8" t="n"/>
      <c r="Q2584" s="8" t="n"/>
      <c r="R2584" s="8" t="n"/>
      <c r="S2584" s="8" t="n"/>
      <c r="T2584" s="7" t="inlineStr">
        <is>
          <t>SEM COTAÇÃO</t>
        </is>
      </c>
      <c r="U2584" s="8" t="n"/>
      <c r="V2584" s="14" t="n"/>
      <c r="W2584" s="14" t="n"/>
      <c r="X2584" s="7" t="inlineStr"/>
      <c r="Y2584" s="7" t="inlineStr"/>
    </row>
    <row r="2585">
      <c r="A2585" s="7" t="n">
        <v>535221</v>
      </c>
      <c r="B2585" s="12" t="inlineStr"/>
      <c r="C2585" s="7" t="inlineStr">
        <is>
          <t>KIT TINTURA CREME 8.1 LOURO CLARO ACINZENTADO MAXTON</t>
        </is>
      </c>
      <c r="D2585" s="7" t="inlineStr">
        <is>
          <t>TINTAS/DESCOLORANTES</t>
        </is>
      </c>
      <c r="E2585" s="7" t="inlineStr">
        <is>
          <t>A</t>
        </is>
      </c>
      <c r="F2585" s="13" t="n">
        <v>3</v>
      </c>
      <c r="G2585" s="13" t="n">
        <v>3</v>
      </c>
      <c r="H2585" s="8" t="n">
        <v>12.75</v>
      </c>
      <c r="I2585" s="8" t="n">
        <v>9.73</v>
      </c>
      <c r="J2585" s="8" t="n">
        <v>11.34333333333333</v>
      </c>
      <c r="K2585" s="8" t="n"/>
      <c r="L2585" s="8" t="n"/>
      <c r="M2585" s="8" t="n"/>
      <c r="N2585" s="8" t="n"/>
      <c r="O2585" s="8" t="n"/>
      <c r="P2585" s="8" t="n"/>
      <c r="Q2585" s="8" t="n"/>
      <c r="R2585" s="8" t="n"/>
      <c r="S2585" s="8" t="n"/>
      <c r="T2585" s="7" t="inlineStr">
        <is>
          <t>SEM COTAÇÃO</t>
        </is>
      </c>
      <c r="U2585" s="8" t="n"/>
      <c r="V2585" s="14" t="n"/>
      <c r="W2585" s="14" t="n"/>
      <c r="X2585" s="7" t="inlineStr"/>
      <c r="Y2585" s="7" t="inlineStr"/>
    </row>
    <row r="2586">
      <c r="A2586" s="7" t="n">
        <v>649971</v>
      </c>
      <c r="B2586" s="12" t="inlineStr">
        <is>
          <t>7898132989231</t>
        </is>
      </c>
      <c r="C2586" s="7" t="inlineStr">
        <is>
          <t>KIT TONALIZANTE 10 - PRETO 135G</t>
        </is>
      </c>
      <c r="D2586" s="7" t="inlineStr">
        <is>
          <t>TINTAS/DESCOLORANTES</t>
        </is>
      </c>
      <c r="E2586" s="7" t="inlineStr">
        <is>
          <t>C</t>
        </is>
      </c>
      <c r="F2586" s="13" t="n">
        <v>1</v>
      </c>
      <c r="G2586" s="13" t="n">
        <v>1</v>
      </c>
      <c r="H2586" s="8" t="n">
        <v>21.19</v>
      </c>
      <c r="I2586" s="8" t="n">
        <v>21.19</v>
      </c>
      <c r="J2586" s="8" t="n">
        <v>21.19</v>
      </c>
      <c r="K2586" s="8" t="n"/>
      <c r="L2586" s="8" t="n"/>
      <c r="M2586" s="8" t="n"/>
      <c r="N2586" s="8" t="n"/>
      <c r="O2586" s="8" t="n"/>
      <c r="P2586" s="8" t="n"/>
      <c r="Q2586" s="8" t="n"/>
      <c r="R2586" s="8" t="n"/>
      <c r="S2586" s="8" t="n"/>
      <c r="T2586" s="7" t="inlineStr">
        <is>
          <t>SEM COTAÇÃO</t>
        </is>
      </c>
      <c r="U2586" s="8" t="n"/>
      <c r="V2586" s="14" t="n"/>
      <c r="W2586" s="14" t="n"/>
      <c r="X2586" s="7" t="inlineStr"/>
      <c r="Y2586" s="7" t="inlineStr"/>
    </row>
    <row r="2587">
      <c r="A2587" s="7" t="n">
        <v>649991</v>
      </c>
      <c r="B2587" s="12" t="inlineStr">
        <is>
          <t>7898132989248</t>
        </is>
      </c>
      <c r="C2587" s="7" t="inlineStr">
        <is>
          <t>KIT TONALIZANTE 30 - CASTANHO ESCURO 135G</t>
        </is>
      </c>
      <c r="D2587" s="7" t="inlineStr">
        <is>
          <t>TINTAS/DESCOLORANTES</t>
        </is>
      </c>
      <c r="E2587" s="7" t="inlineStr">
        <is>
          <t>C</t>
        </is>
      </c>
      <c r="F2587" s="13" t="n">
        <v>1</v>
      </c>
      <c r="G2587" s="13" t="n">
        <v>1</v>
      </c>
      <c r="H2587" s="8" t="n">
        <v>21.19</v>
      </c>
      <c r="I2587" s="8" t="n">
        <v>21.19</v>
      </c>
      <c r="J2587" s="8" t="n">
        <v>21.19</v>
      </c>
      <c r="K2587" s="8" t="n"/>
      <c r="L2587" s="8" t="n"/>
      <c r="M2587" s="8" t="n"/>
      <c r="N2587" s="8" t="n"/>
      <c r="O2587" s="8" t="n"/>
      <c r="P2587" s="8" t="n"/>
      <c r="Q2587" s="8" t="n"/>
      <c r="R2587" s="8" t="n"/>
      <c r="S2587" s="8" t="n"/>
      <c r="T2587" s="7" t="inlineStr">
        <is>
          <t>SEM COTAÇÃO</t>
        </is>
      </c>
      <c r="U2587" s="8" t="n"/>
      <c r="V2587" s="14" t="n"/>
      <c r="W2587" s="14" t="n"/>
      <c r="X2587" s="7" t="inlineStr"/>
      <c r="Y2587" s="7" t="inlineStr"/>
    </row>
    <row r="2588">
      <c r="A2588" s="7" t="n">
        <v>656471</v>
      </c>
      <c r="B2588" s="12" t="inlineStr">
        <is>
          <t>7898132989392</t>
        </is>
      </c>
      <c r="C2588" s="7" t="inlineStr">
        <is>
          <t>KIT TONALIZANTE 466 - CAST. M. VERM INT 135G</t>
        </is>
      </c>
      <c r="D2588" s="7" t="inlineStr">
        <is>
          <t>TINTAS/DESCOLORANTES</t>
        </is>
      </c>
      <c r="E2588" s="7" t="inlineStr">
        <is>
          <t>C</t>
        </is>
      </c>
      <c r="F2588" s="13" t="n">
        <v>1</v>
      </c>
      <c r="G2588" s="13" t="n">
        <v>1</v>
      </c>
      <c r="H2588" s="8" t="n">
        <v>21.19</v>
      </c>
      <c r="I2588" s="8" t="n">
        <v>21.19</v>
      </c>
      <c r="J2588" s="8" t="n">
        <v>21.19</v>
      </c>
      <c r="K2588" s="8" t="n"/>
      <c r="L2588" s="8" t="n"/>
      <c r="M2588" s="8" t="n"/>
      <c r="N2588" s="8" t="n"/>
      <c r="O2588" s="8" t="n"/>
      <c r="P2588" s="8" t="n"/>
      <c r="Q2588" s="8" t="n"/>
      <c r="R2588" s="8" t="n"/>
      <c r="S2588" s="8" t="n"/>
      <c r="T2588" s="7" t="inlineStr">
        <is>
          <t>SEM COTAÇÃO</t>
        </is>
      </c>
      <c r="U2588" s="8" t="n"/>
      <c r="V2588" s="14" t="n"/>
      <c r="W2588" s="14" t="n"/>
      <c r="X2588" s="7" t="inlineStr"/>
      <c r="Y2588" s="7" t="inlineStr"/>
    </row>
    <row r="2589">
      <c r="A2589" s="7" t="n">
        <v>670491</v>
      </c>
      <c r="B2589" s="12" t="inlineStr">
        <is>
          <t>7898132989262</t>
        </is>
      </c>
      <c r="C2589" s="7" t="inlineStr">
        <is>
          <t>KIT TONALIZANTE 50 - CASTANHO CLARO 135G</t>
        </is>
      </c>
      <c r="D2589" s="7" t="inlineStr">
        <is>
          <t>TINTAS/DESCOLORANTES</t>
        </is>
      </c>
      <c r="E2589" s="7" t="inlineStr">
        <is>
          <t>C</t>
        </is>
      </c>
      <c r="F2589" s="13" t="n">
        <v>1</v>
      </c>
      <c r="G2589" s="13" t="n">
        <v>1</v>
      </c>
      <c r="H2589" s="8" t="n">
        <v>21.19</v>
      </c>
      <c r="I2589" s="8" t="n">
        <v>21.19</v>
      </c>
      <c r="J2589" s="8" t="n">
        <v>21.19</v>
      </c>
      <c r="K2589" s="8" t="n"/>
      <c r="L2589" s="8" t="n"/>
      <c r="M2589" s="8" t="n"/>
      <c r="N2589" s="8" t="n"/>
      <c r="O2589" s="8" t="n"/>
      <c r="P2589" s="8" t="n"/>
      <c r="Q2589" s="8" t="n"/>
      <c r="R2589" s="8" t="n"/>
      <c r="S2589" s="8" t="n"/>
      <c r="T2589" s="7" t="inlineStr">
        <is>
          <t>SEM COTAÇÃO</t>
        </is>
      </c>
      <c r="U2589" s="8" t="n"/>
      <c r="V2589" s="14" t="n"/>
      <c r="W2589" s="14" t="n"/>
      <c r="X2589" s="7" t="inlineStr"/>
      <c r="Y2589" s="7" t="inlineStr"/>
    </row>
    <row r="2590">
      <c r="A2590" s="7" t="n">
        <v>650011</v>
      </c>
      <c r="B2590" s="12" t="inlineStr">
        <is>
          <t>7898132989279</t>
        </is>
      </c>
      <c r="C2590" s="7" t="inlineStr">
        <is>
          <t>KIT TONALIZANTE 60 - LOURO ESCURO 135G</t>
        </is>
      </c>
      <c r="D2590" s="7" t="inlineStr">
        <is>
          <t>TINTAS/DESCOLORANTES</t>
        </is>
      </c>
      <c r="E2590" s="7" t="inlineStr">
        <is>
          <t>C</t>
        </is>
      </c>
      <c r="F2590" s="13" t="n">
        <v>2</v>
      </c>
      <c r="G2590" s="13" t="n">
        <v>2</v>
      </c>
      <c r="H2590" s="8" t="n">
        <v>21.19</v>
      </c>
      <c r="I2590" s="8" t="n">
        <v>21.19</v>
      </c>
      <c r="J2590" s="8" t="n">
        <v>21.19</v>
      </c>
      <c r="K2590" s="8" t="n"/>
      <c r="L2590" s="8" t="n"/>
      <c r="M2590" s="8" t="n"/>
      <c r="N2590" s="8" t="n"/>
      <c r="O2590" s="8" t="n"/>
      <c r="P2590" s="8" t="n"/>
      <c r="Q2590" s="8" t="n"/>
      <c r="R2590" s="8" t="n"/>
      <c r="S2590" s="8" t="n"/>
      <c r="T2590" s="7" t="inlineStr">
        <is>
          <t>SEM COTAÇÃO</t>
        </is>
      </c>
      <c r="U2590" s="8" t="n"/>
      <c r="V2590" s="14" t="n"/>
      <c r="W2590" s="14" t="n"/>
      <c r="X2590" s="7" t="inlineStr"/>
      <c r="Y2590" s="7" t="inlineStr"/>
    </row>
    <row r="2591">
      <c r="A2591" s="7" t="n">
        <v>656491</v>
      </c>
      <c r="B2591" s="12" t="inlineStr">
        <is>
          <t>7898132989415</t>
        </is>
      </c>
      <c r="C2591" s="7" t="inlineStr">
        <is>
          <t>KIT TONALIZANTE 626 - MARSALA 135G</t>
        </is>
      </c>
      <c r="D2591" s="7" t="inlineStr">
        <is>
          <t>TINTAS/DESCOLORANTES</t>
        </is>
      </c>
      <c r="E2591" s="7" t="inlineStr">
        <is>
          <t>C</t>
        </is>
      </c>
      <c r="F2591" s="13" t="n">
        <v>1</v>
      </c>
      <c r="G2591" s="13" t="n">
        <v>1</v>
      </c>
      <c r="H2591" s="8" t="n">
        <v>24.93</v>
      </c>
      <c r="I2591" s="8" t="n">
        <v>24.93</v>
      </c>
      <c r="J2591" s="8" t="n">
        <v>24.93</v>
      </c>
      <c r="K2591" s="8" t="n"/>
      <c r="L2591" s="8" t="n"/>
      <c r="M2591" s="8" t="n"/>
      <c r="N2591" s="8" t="n"/>
      <c r="O2591" s="8" t="n"/>
      <c r="P2591" s="8" t="n"/>
      <c r="Q2591" s="8" t="n"/>
      <c r="R2591" s="8" t="n"/>
      <c r="S2591" s="8" t="n"/>
      <c r="T2591" s="7" t="inlineStr">
        <is>
          <t>SEM COTAÇÃO</t>
        </is>
      </c>
      <c r="U2591" s="8" t="n"/>
      <c r="V2591" s="14" t="n"/>
      <c r="W2591" s="14" t="n"/>
      <c r="X2591" s="7" t="inlineStr"/>
      <c r="Y2591" s="7" t="inlineStr"/>
    </row>
    <row r="2592">
      <c r="A2592" s="7" t="n">
        <v>664651</v>
      </c>
      <c r="B2592" s="12" t="inlineStr">
        <is>
          <t>7898132989408</t>
        </is>
      </c>
      <c r="C2592" s="7" t="inlineStr">
        <is>
          <t>KIT TONALIZANTE 666 - LOURO ESC VERM INT 135G</t>
        </is>
      </c>
      <c r="D2592" s="7" t="inlineStr">
        <is>
          <t>COND/SHAM/CREM/SIMILARES</t>
        </is>
      </c>
      <c r="E2592" s="7" t="inlineStr">
        <is>
          <t>C</t>
        </is>
      </c>
      <c r="F2592" s="13" t="n">
        <v>1</v>
      </c>
      <c r="G2592" s="13" t="n">
        <v>1</v>
      </c>
      <c r="H2592" s="8" t="n">
        <v>21.19</v>
      </c>
      <c r="I2592" s="8" t="n">
        <v>21.19</v>
      </c>
      <c r="J2592" s="8" t="n">
        <v>21.19</v>
      </c>
      <c r="K2592" s="8" t="n"/>
      <c r="L2592" s="8" t="n"/>
      <c r="M2592" s="8" t="n"/>
      <c r="N2592" s="8" t="n"/>
      <c r="O2592" s="8" t="n"/>
      <c r="P2592" s="8" t="n"/>
      <c r="Q2592" s="8" t="n"/>
      <c r="R2592" s="8" t="n"/>
      <c r="S2592" s="8" t="n"/>
      <c r="T2592" s="7" t="inlineStr">
        <is>
          <t>SEM COTAÇÃO</t>
        </is>
      </c>
      <c r="U2592" s="8" t="n"/>
      <c r="V2592" s="14" t="n"/>
      <c r="W2592" s="14" t="n"/>
      <c r="X2592" s="7" t="inlineStr"/>
      <c r="Y2592" s="7" t="inlineStr"/>
    </row>
    <row r="2593">
      <c r="A2593" s="7" t="n">
        <v>650021</v>
      </c>
      <c r="B2593" s="12" t="inlineStr">
        <is>
          <t>7898132989354</t>
        </is>
      </c>
      <c r="C2593" s="7" t="inlineStr">
        <is>
          <t>KIT TONALIZANTE 67 - LOURO ESCURO CHOC 135G</t>
        </is>
      </c>
      <c r="D2593" s="7" t="inlineStr">
        <is>
          <t>TINTAS/DESCOLORANTES</t>
        </is>
      </c>
      <c r="E2593" s="7" t="inlineStr">
        <is>
          <t>C</t>
        </is>
      </c>
      <c r="F2593" s="13" t="n">
        <v>1</v>
      </c>
      <c r="G2593" s="13" t="n">
        <v>1</v>
      </c>
      <c r="H2593" s="8" t="n">
        <v>21.19</v>
      </c>
      <c r="I2593" s="8" t="n">
        <v>21.19</v>
      </c>
      <c r="J2593" s="8" t="n">
        <v>21.19</v>
      </c>
      <c r="K2593" s="8" t="n"/>
      <c r="L2593" s="8" t="n"/>
      <c r="M2593" s="8" t="n"/>
      <c r="N2593" s="8" t="n"/>
      <c r="O2593" s="8" t="n"/>
      <c r="P2593" s="8" t="n"/>
      <c r="Q2593" s="8" t="n"/>
      <c r="R2593" s="8" t="n"/>
      <c r="S2593" s="8" t="n"/>
      <c r="T2593" s="7" t="inlineStr">
        <is>
          <t>SEM COTAÇÃO</t>
        </is>
      </c>
      <c r="U2593" s="8" t="n"/>
      <c r="V2593" s="14" t="n"/>
      <c r="W2593" s="14" t="n"/>
      <c r="X2593" s="7" t="inlineStr"/>
      <c r="Y2593" s="7" t="inlineStr"/>
    </row>
    <row r="2594">
      <c r="A2594" s="7" t="n">
        <v>656501</v>
      </c>
      <c r="B2594" s="12" t="inlineStr">
        <is>
          <t>7898132989330</t>
        </is>
      </c>
      <c r="C2594" s="7" t="inlineStr">
        <is>
          <t>KIT TONALIZANTE 71 - LOURO MEDIO ACINZ 135G</t>
        </is>
      </c>
      <c r="D2594" s="7" t="inlineStr">
        <is>
          <t>TINTAS/DESCOLORANTES</t>
        </is>
      </c>
      <c r="E2594" s="7" t="inlineStr">
        <is>
          <t>B</t>
        </is>
      </c>
      <c r="F2594" s="13" t="n">
        <v>1</v>
      </c>
      <c r="G2594" s="13" t="n">
        <v>1</v>
      </c>
      <c r="H2594" s="8" t="n">
        <v>24.93</v>
      </c>
      <c r="I2594" s="8" t="n">
        <v>24.93</v>
      </c>
      <c r="J2594" s="8" t="n">
        <v>24.93</v>
      </c>
      <c r="K2594" s="8" t="n"/>
      <c r="L2594" s="8" t="n"/>
      <c r="M2594" s="8" t="n"/>
      <c r="N2594" s="8" t="n"/>
      <c r="O2594" s="8" t="n"/>
      <c r="P2594" s="8" t="n"/>
      <c r="Q2594" s="8" t="n"/>
      <c r="R2594" s="8" t="n"/>
      <c r="S2594" s="8" t="n"/>
      <c r="T2594" s="7" t="inlineStr">
        <is>
          <t>SEM COTAÇÃO</t>
        </is>
      </c>
      <c r="U2594" s="8" t="n"/>
      <c r="V2594" s="14" t="n"/>
      <c r="W2594" s="14" t="n"/>
      <c r="X2594" s="7" t="inlineStr"/>
      <c r="Y2594" s="7" t="inlineStr"/>
    </row>
    <row r="2595">
      <c r="A2595" s="7" t="n">
        <v>656511</v>
      </c>
      <c r="B2595" s="12" t="inlineStr">
        <is>
          <t>7898132989361</t>
        </is>
      </c>
      <c r="C2595" s="7" t="inlineStr">
        <is>
          <t>KIT TONALIZANTE 77 - LOURO MEDIO CHOC 135G</t>
        </is>
      </c>
      <c r="D2595" s="7" t="inlineStr">
        <is>
          <t>TINTAS/DESCOLORANTES</t>
        </is>
      </c>
      <c r="E2595" s="7" t="inlineStr">
        <is>
          <t>C</t>
        </is>
      </c>
      <c r="F2595" s="13" t="n">
        <v>1</v>
      </c>
      <c r="G2595" s="13" t="n">
        <v>1</v>
      </c>
      <c r="H2595" s="8" t="n">
        <v>21.19</v>
      </c>
      <c r="I2595" s="8" t="n">
        <v>21.19</v>
      </c>
      <c r="J2595" s="8" t="n">
        <v>21.19</v>
      </c>
      <c r="K2595" s="8" t="n"/>
      <c r="L2595" s="8" t="n"/>
      <c r="M2595" s="8" t="n"/>
      <c r="N2595" s="8" t="n"/>
      <c r="O2595" s="8" t="n"/>
      <c r="P2595" s="8" t="n"/>
      <c r="Q2595" s="8" t="n"/>
      <c r="R2595" s="8" t="n"/>
      <c r="S2595" s="8" t="n"/>
      <c r="T2595" s="7" t="inlineStr">
        <is>
          <t>SEM COTAÇÃO</t>
        </is>
      </c>
      <c r="U2595" s="8" t="n"/>
      <c r="V2595" s="14" t="n"/>
      <c r="W2595" s="14" t="n"/>
      <c r="X2595" s="7" t="inlineStr"/>
      <c r="Y2595" s="7" t="inlineStr"/>
    </row>
    <row r="2596">
      <c r="A2596" s="7" t="n">
        <v>650041</v>
      </c>
      <c r="B2596" s="12" t="inlineStr">
        <is>
          <t>7898132989293</t>
        </is>
      </c>
      <c r="C2596" s="7" t="inlineStr">
        <is>
          <t>KIT TONALIZANTE 80 - LOUCO CLARO 135G</t>
        </is>
      </c>
      <c r="D2596" s="7" t="inlineStr">
        <is>
          <t>TINTAS/DESCOLORANTES</t>
        </is>
      </c>
      <c r="E2596" s="7" t="inlineStr">
        <is>
          <t>C</t>
        </is>
      </c>
      <c r="F2596" s="13" t="n">
        <v>2</v>
      </c>
      <c r="G2596" s="13" t="n">
        <v>2</v>
      </c>
      <c r="H2596" s="8" t="n">
        <v>21.19</v>
      </c>
      <c r="I2596" s="8" t="n">
        <v>21.19</v>
      </c>
      <c r="J2596" s="8" t="n">
        <v>21.19</v>
      </c>
      <c r="K2596" s="8" t="n"/>
      <c r="L2596" s="8" t="n"/>
      <c r="M2596" s="8" t="n"/>
      <c r="N2596" s="8" t="n"/>
      <c r="O2596" s="8" t="n"/>
      <c r="P2596" s="8" t="n"/>
      <c r="Q2596" s="8" t="n"/>
      <c r="R2596" s="8" t="n"/>
      <c r="S2596" s="8" t="n"/>
      <c r="T2596" s="7" t="inlineStr">
        <is>
          <t>SEM COTAÇÃO</t>
        </is>
      </c>
      <c r="U2596" s="8" t="n"/>
      <c r="V2596" s="14" t="n"/>
      <c r="W2596" s="14" t="n"/>
      <c r="X2596" s="7" t="inlineStr"/>
      <c r="Y2596" s="7" t="inlineStr"/>
    </row>
    <row r="2597">
      <c r="A2597" s="7" t="n">
        <v>656521</v>
      </c>
      <c r="B2597" s="12" t="inlineStr">
        <is>
          <t>7898132989347</t>
        </is>
      </c>
      <c r="C2597" s="7" t="inlineStr">
        <is>
          <t>KIT TONALIZANTE 81 - LOURO CLARO ACINZ 135G</t>
        </is>
      </c>
      <c r="D2597" s="7" t="inlineStr">
        <is>
          <t>TINTAS/DESCOLORANTES</t>
        </is>
      </c>
      <c r="E2597" s="7" t="inlineStr">
        <is>
          <t>C</t>
        </is>
      </c>
      <c r="F2597" s="13" t="n">
        <v>1</v>
      </c>
      <c r="G2597" s="13" t="n">
        <v>1</v>
      </c>
      <c r="H2597" s="8" t="n">
        <v>24.93</v>
      </c>
      <c r="I2597" s="8" t="n">
        <v>24.93</v>
      </c>
      <c r="J2597" s="8" t="n">
        <v>24.93</v>
      </c>
      <c r="K2597" s="8" t="n"/>
      <c r="L2597" s="8" t="n"/>
      <c r="M2597" s="8" t="n"/>
      <c r="N2597" s="8" t="n"/>
      <c r="O2597" s="8" t="n"/>
      <c r="P2597" s="8" t="n"/>
      <c r="Q2597" s="8" t="n"/>
      <c r="R2597" s="8" t="n"/>
      <c r="S2597" s="8" t="n"/>
      <c r="T2597" s="7" t="inlineStr">
        <is>
          <t>SEM COTAÇÃO</t>
        </is>
      </c>
      <c r="U2597" s="8" t="n"/>
      <c r="V2597" s="14" t="n"/>
      <c r="W2597" s="14" t="n"/>
      <c r="X2597" s="7" t="inlineStr"/>
      <c r="Y2597" s="7" t="inlineStr"/>
    </row>
    <row r="2598">
      <c r="A2598" s="7" t="n">
        <v>656531</v>
      </c>
      <c r="B2598" s="12" t="inlineStr">
        <is>
          <t>7898132989385</t>
        </is>
      </c>
      <c r="C2598" s="7" t="inlineStr">
        <is>
          <t>KIT TONALIZANTE 84 - LOURO CLARO ACOBR 135G</t>
        </is>
      </c>
      <c r="D2598" s="7" t="inlineStr">
        <is>
          <t>TINTAS/DESCOLORANTES</t>
        </is>
      </c>
      <c r="E2598" s="7" t="inlineStr">
        <is>
          <t>C</t>
        </is>
      </c>
      <c r="F2598" s="13" t="n">
        <v>1</v>
      </c>
      <c r="G2598" s="13" t="n">
        <v>1</v>
      </c>
      <c r="H2598" s="8" t="n">
        <v>24.93</v>
      </c>
      <c r="I2598" s="8" t="n">
        <v>24.93</v>
      </c>
      <c r="J2598" s="8" t="n">
        <v>24.93</v>
      </c>
      <c r="K2598" s="8" t="n"/>
      <c r="L2598" s="8" t="n"/>
      <c r="M2598" s="8" t="n"/>
      <c r="N2598" s="8" t="n"/>
      <c r="O2598" s="8" t="n"/>
      <c r="P2598" s="8" t="n"/>
      <c r="Q2598" s="8" t="n"/>
      <c r="R2598" s="8" t="n"/>
      <c r="S2598" s="8" t="n"/>
      <c r="T2598" s="7" t="inlineStr">
        <is>
          <t>SEM COTAÇÃO</t>
        </is>
      </c>
      <c r="U2598" s="8" t="n"/>
      <c r="V2598" s="14" t="n"/>
      <c r="W2598" s="14" t="n"/>
      <c r="X2598" s="7" t="inlineStr"/>
      <c r="Y2598" s="7" t="inlineStr"/>
    </row>
    <row r="2599">
      <c r="A2599" s="7" t="n">
        <v>595041</v>
      </c>
      <c r="B2599" s="12" t="inlineStr">
        <is>
          <t>7891000248829</t>
        </is>
      </c>
      <c r="C2599" s="7" t="inlineStr">
        <is>
          <t>KITKAT DARK D 41,5G</t>
        </is>
      </c>
      <c r="D2599" s="7" t="inlineStr">
        <is>
          <t>CONVENIENCIA</t>
        </is>
      </c>
      <c r="E2599" s="7" t="inlineStr">
        <is>
          <t>A</t>
        </is>
      </c>
      <c r="F2599" s="13" t="n">
        <v>1</v>
      </c>
      <c r="G2599" s="13" t="n">
        <v>17</v>
      </c>
      <c r="H2599" s="8" t="n">
        <v>3.4258</v>
      </c>
      <c r="I2599" s="8" t="n">
        <v>3.4258</v>
      </c>
      <c r="J2599" s="8" t="n">
        <v>3.4258</v>
      </c>
      <c r="K2599" s="8" t="n"/>
      <c r="L2599" s="8" t="n"/>
      <c r="M2599" s="8" t="n"/>
      <c r="N2599" s="8" t="n"/>
      <c r="O2599" s="8" t="n"/>
      <c r="P2599" s="8" t="n"/>
      <c r="Q2599" s="8" t="n"/>
      <c r="R2599" s="8" t="n"/>
      <c r="S2599" s="8" t="n"/>
      <c r="T2599" s="7" t="inlineStr">
        <is>
          <t>SEM COTAÇÃO</t>
        </is>
      </c>
      <c r="U2599" s="8" t="n"/>
      <c r="V2599" s="14" t="n"/>
      <c r="W2599" s="14" t="n"/>
      <c r="X2599" s="7" t="inlineStr"/>
      <c r="Y2599" s="7" t="inlineStr"/>
    </row>
    <row r="2600">
      <c r="A2600" s="7" t="n">
        <v>554901</v>
      </c>
      <c r="B2600" s="12" t="inlineStr"/>
      <c r="C2600" s="7" t="inlineStr">
        <is>
          <t>KITKAT NESTLE CHOC BRANCO 41,5G</t>
        </is>
      </c>
      <c r="D2600" s="7" t="inlineStr">
        <is>
          <t>CHOCOLATES</t>
        </is>
      </c>
      <c r="E2600" s="7" t="inlineStr">
        <is>
          <t>A</t>
        </is>
      </c>
      <c r="F2600" s="13" t="n">
        <v>1</v>
      </c>
      <c r="G2600" s="13" t="n">
        <v>19</v>
      </c>
      <c r="H2600" s="8" t="n">
        <v>3.4529</v>
      </c>
      <c r="I2600" s="8" t="n">
        <v>3.3588</v>
      </c>
      <c r="J2600" s="8" t="n">
        <v>3.390166666666667</v>
      </c>
      <c r="K2600" s="8" t="n"/>
      <c r="L2600" s="8" t="n"/>
      <c r="M2600" s="8" t="n"/>
      <c r="N2600" s="8" t="n"/>
      <c r="O2600" s="8" t="n"/>
      <c r="P2600" s="8" t="n"/>
      <c r="Q2600" s="8" t="n"/>
      <c r="R2600" s="8" t="n"/>
      <c r="S2600" s="8" t="n"/>
      <c r="T2600" s="7" t="inlineStr">
        <is>
          <t>SEM COTAÇÃO</t>
        </is>
      </c>
      <c r="U2600" s="8" t="n"/>
      <c r="V2600" s="14" t="n"/>
      <c r="W2600" s="14" t="n"/>
      <c r="X2600" s="7" t="inlineStr"/>
      <c r="Y2600" s="7" t="inlineStr"/>
    </row>
    <row r="2601">
      <c r="A2601" s="7" t="n">
        <v>537141</v>
      </c>
      <c r="B2601" s="12" t="inlineStr">
        <is>
          <t>7891000248768</t>
        </is>
      </c>
      <c r="C2601" s="7" t="inlineStr">
        <is>
          <t>KITKAT NESTLE CHOCOLATE 41,5G</t>
        </is>
      </c>
      <c r="D2601" s="7" t="inlineStr">
        <is>
          <t>CHOCOLATES</t>
        </is>
      </c>
      <c r="E2601" s="7" t="inlineStr">
        <is>
          <t>A</t>
        </is>
      </c>
      <c r="F2601" s="13" t="n">
        <v>2</v>
      </c>
      <c r="G2601" s="13" t="n">
        <v>48</v>
      </c>
      <c r="H2601" s="8" t="n">
        <v>3.4258</v>
      </c>
      <c r="I2601" s="8" t="n">
        <v>3.3588</v>
      </c>
      <c r="J2601" s="8" t="n">
        <v>3.3588</v>
      </c>
      <c r="K2601" s="8" t="n"/>
      <c r="L2601" s="8" t="n"/>
      <c r="M2601" s="8" t="n"/>
      <c r="N2601" s="8" t="n"/>
      <c r="O2601" s="8" t="n"/>
      <c r="P2601" s="8" t="n"/>
      <c r="Q2601" s="8" t="n"/>
      <c r="R2601" s="8" t="n"/>
      <c r="S2601" s="8" t="n"/>
      <c r="T2601" s="7" t="inlineStr">
        <is>
          <t>SEM COTAÇÃO</t>
        </is>
      </c>
      <c r="U2601" s="8" t="n"/>
      <c r="V2601" s="14" t="n"/>
      <c r="W2601" s="14" t="n"/>
      <c r="X2601" s="7" t="inlineStr"/>
      <c r="Y2601" s="7" t="inlineStr"/>
    </row>
    <row r="2602">
      <c r="A2602" s="7" t="n">
        <v>556341</v>
      </c>
      <c r="B2602" s="12" t="inlineStr"/>
      <c r="C2602" s="7" t="inlineStr">
        <is>
          <t>KOIDE D 0,25MG/5ML+2 MG/5ML XPE FR 120ML+CP MED</t>
        </is>
      </c>
      <c r="D2602" s="7" t="inlineStr">
        <is>
          <t>RX</t>
        </is>
      </c>
      <c r="E2602" s="7" t="inlineStr">
        <is>
          <t>A</t>
        </is>
      </c>
      <c r="F2602" s="13" t="n">
        <v>7</v>
      </c>
      <c r="G2602" s="13" t="n">
        <v>7</v>
      </c>
      <c r="H2602" s="8" t="n">
        <v>38.1</v>
      </c>
      <c r="I2602" s="8" t="n">
        <v>35.6038</v>
      </c>
      <c r="J2602" s="8" t="n">
        <v>36.96333333333334</v>
      </c>
      <c r="K2602" s="8" t="n"/>
      <c r="L2602" s="8" t="n"/>
      <c r="M2602" s="8" t="n"/>
      <c r="N2602" s="8" t="n"/>
      <c r="O2602" s="8" t="n"/>
      <c r="P2602" s="8" t="n"/>
      <c r="Q2602" s="8" t="n"/>
      <c r="R2602" s="8" t="n"/>
      <c r="S2602" s="8" t="n"/>
      <c r="T2602" s="7" t="inlineStr">
        <is>
          <t>SEM COTAÇÃO</t>
        </is>
      </c>
      <c r="U2602" s="8" t="n"/>
      <c r="V2602" s="14" t="n"/>
      <c r="W2602" s="14" t="n"/>
      <c r="X2602" s="7" t="inlineStr"/>
      <c r="Y2602" s="7" t="inlineStr"/>
    </row>
    <row r="2603">
      <c r="A2603" s="7" t="n">
        <v>636691</v>
      </c>
      <c r="B2603" s="12" t="inlineStr">
        <is>
          <t>7891176113020</t>
        </is>
      </c>
      <c r="C2603" s="7" t="inlineStr">
        <is>
          <t>KOLENE CD 90ML CREME ORIGINAL</t>
        </is>
      </c>
      <c r="D2603" s="7" t="inlineStr">
        <is>
          <t>PERF/COSME</t>
        </is>
      </c>
      <c r="E2603" s="7" t="inlineStr">
        <is>
          <t>C</t>
        </is>
      </c>
      <c r="F2603" s="13" t="n">
        <v>1</v>
      </c>
      <c r="G2603" s="13" t="n">
        <v>1</v>
      </c>
      <c r="H2603" s="8" t="n">
        <v>4.86</v>
      </c>
      <c r="I2603" s="8" t="n">
        <v>4.85</v>
      </c>
      <c r="J2603" s="8" t="n">
        <v>4.85</v>
      </c>
      <c r="K2603" s="8" t="n"/>
      <c r="L2603" s="8" t="n"/>
      <c r="M2603" s="8" t="n"/>
      <c r="N2603" s="8" t="n"/>
      <c r="O2603" s="8" t="n"/>
      <c r="P2603" s="8" t="n"/>
      <c r="Q2603" s="8" t="n"/>
      <c r="R2603" s="8" t="n"/>
      <c r="S2603" s="8" t="n"/>
      <c r="T2603" s="7" t="inlineStr">
        <is>
          <t>SEM COTAÇÃO</t>
        </is>
      </c>
      <c r="U2603" s="8" t="n"/>
      <c r="V2603" s="14" t="n"/>
      <c r="W2603" s="14" t="n"/>
      <c r="X2603" s="7" t="inlineStr"/>
      <c r="Y2603" s="7" t="inlineStr"/>
    </row>
    <row r="2604">
      <c r="A2604" s="7" t="n">
        <v>636641</v>
      </c>
      <c r="B2604" s="12" t="inlineStr">
        <is>
          <t>7908324405675</t>
        </is>
      </c>
      <c r="C2604" s="7" t="inlineStr">
        <is>
          <t>KOLENE COLONIA 200ML CACHINHOS</t>
        </is>
      </c>
      <c r="D2604" s="7" t="inlineStr">
        <is>
          <t>PERF/COSME</t>
        </is>
      </c>
      <c r="E2604" s="7" t="inlineStr">
        <is>
          <t>B</t>
        </is>
      </c>
      <c r="F2604" s="13" t="n">
        <v>2</v>
      </c>
      <c r="G2604" s="13" t="n">
        <v>2</v>
      </c>
      <c r="H2604" s="8" t="n">
        <v>14.95</v>
      </c>
      <c r="I2604" s="8" t="n">
        <v>14.95</v>
      </c>
      <c r="J2604" s="8" t="n">
        <v>14.95</v>
      </c>
      <c r="K2604" s="8" t="n"/>
      <c r="L2604" s="8" t="n"/>
      <c r="M2604" s="8" t="n"/>
      <c r="N2604" s="8" t="n"/>
      <c r="O2604" s="8" t="n"/>
      <c r="P2604" s="8" t="n"/>
      <c r="Q2604" s="8" t="n"/>
      <c r="R2604" s="8" t="n"/>
      <c r="S2604" s="8" t="n"/>
      <c r="T2604" s="7" t="inlineStr">
        <is>
          <t>SEM COTAÇÃO</t>
        </is>
      </c>
      <c r="U2604" s="8" t="n"/>
      <c r="V2604" s="14" t="n"/>
      <c r="W2604" s="14" t="n"/>
      <c r="X2604" s="7" t="inlineStr"/>
      <c r="Y2604" s="7" t="inlineStr"/>
    </row>
    <row r="2605">
      <c r="A2605" s="7" t="n">
        <v>636661</v>
      </c>
      <c r="B2605" s="12" t="inlineStr">
        <is>
          <t>7908324404487</t>
        </is>
      </c>
      <c r="C2605" s="7" t="inlineStr">
        <is>
          <t>KOLENE CR PENT 300ML CACHINHOS</t>
        </is>
      </c>
      <c r="D2605" s="7" t="inlineStr">
        <is>
          <t>PERF/COSME</t>
        </is>
      </c>
      <c r="E2605" s="7" t="inlineStr">
        <is>
          <t>B</t>
        </is>
      </c>
      <c r="F2605" s="13" t="n">
        <v>1</v>
      </c>
      <c r="G2605" s="13" t="n">
        <v>1</v>
      </c>
      <c r="H2605" s="8" t="n">
        <v>9.4</v>
      </c>
      <c r="I2605" s="8" t="n">
        <v>9.4</v>
      </c>
      <c r="J2605" s="8" t="n">
        <v>9.4</v>
      </c>
      <c r="K2605" s="8" t="n"/>
      <c r="L2605" s="8" t="n"/>
      <c r="M2605" s="8" t="n"/>
      <c r="N2605" s="8" t="n"/>
      <c r="O2605" s="8" t="n"/>
      <c r="P2605" s="8" t="n"/>
      <c r="Q2605" s="8" t="n"/>
      <c r="R2605" s="8" t="n"/>
      <c r="S2605" s="8" t="n"/>
      <c r="T2605" s="7" t="inlineStr">
        <is>
          <t>SEM COTAÇÃO</t>
        </is>
      </c>
      <c r="U2605" s="8" t="n"/>
      <c r="V2605" s="14" t="n"/>
      <c r="W2605" s="14" t="n"/>
      <c r="X2605" s="7" t="inlineStr"/>
      <c r="Y2605" s="7" t="inlineStr"/>
    </row>
    <row r="2606">
      <c r="A2606" s="7" t="n">
        <v>636741</v>
      </c>
      <c r="B2606" s="12" t="inlineStr">
        <is>
          <t>7908324404128</t>
        </is>
      </c>
      <c r="C2606" s="7" t="inlineStr">
        <is>
          <t>KOLENE CR PENT 300ML CURVATURAS</t>
        </is>
      </c>
      <c r="D2606" s="7" t="inlineStr">
        <is>
          <t>PERF/COSME</t>
        </is>
      </c>
      <c r="E2606" s="7" t="inlineStr">
        <is>
          <t>C</t>
        </is>
      </c>
      <c r="F2606" s="13" t="n">
        <v>3</v>
      </c>
      <c r="G2606" s="13" t="n">
        <v>3</v>
      </c>
      <c r="H2606" s="8" t="n">
        <v>9.16</v>
      </c>
      <c r="I2606" s="8" t="n">
        <v>9.15</v>
      </c>
      <c r="J2606" s="8" t="n">
        <v>9.15</v>
      </c>
      <c r="K2606" s="8" t="n"/>
      <c r="L2606" s="8" t="n"/>
      <c r="M2606" s="8" t="n"/>
      <c r="N2606" s="8" t="n"/>
      <c r="O2606" s="8" t="n"/>
      <c r="P2606" s="8" t="n"/>
      <c r="Q2606" s="8" t="n"/>
      <c r="R2606" s="8" t="n"/>
      <c r="S2606" s="8" t="n"/>
      <c r="T2606" s="7" t="inlineStr">
        <is>
          <t>SEM COTAÇÃO</t>
        </is>
      </c>
      <c r="U2606" s="8" t="n"/>
      <c r="V2606" s="14" t="n"/>
      <c r="W2606" s="14" t="n"/>
      <c r="X2606" s="7" t="inlineStr"/>
      <c r="Y2606" s="7" t="inlineStr"/>
    </row>
    <row r="2607">
      <c r="A2607" s="7" t="n">
        <v>2393</v>
      </c>
      <c r="B2607" s="12" t="inlineStr">
        <is>
          <t>7908324404364</t>
        </is>
      </c>
      <c r="C2607" s="7" t="inlineStr">
        <is>
          <t>KOLENE CR PENT 500ML CRONOGRAMA</t>
        </is>
      </c>
      <c r="D2607" s="7" t="inlineStr">
        <is>
          <t>PERF/COSME</t>
        </is>
      </c>
      <c r="E2607" s="7" t="inlineStr">
        <is>
          <t>B</t>
        </is>
      </c>
      <c r="F2607" s="13" t="n">
        <v>1</v>
      </c>
      <c r="G2607" s="13" t="n">
        <v>1</v>
      </c>
      <c r="H2607" s="8" t="n">
        <v>13.62</v>
      </c>
      <c r="I2607" s="8" t="n">
        <v>13.62</v>
      </c>
      <c r="J2607" s="8" t="n">
        <v>13.62</v>
      </c>
      <c r="K2607" s="8" t="n"/>
      <c r="L2607" s="8" t="n"/>
      <c r="M2607" s="8" t="n"/>
      <c r="N2607" s="8" t="n"/>
      <c r="O2607" s="8" t="n"/>
      <c r="P2607" s="8" t="n"/>
      <c r="Q2607" s="8" t="n"/>
      <c r="R2607" s="8" t="n"/>
      <c r="S2607" s="8" t="n"/>
      <c r="T2607" s="7" t="inlineStr">
        <is>
          <t>SEM COTAÇÃO</t>
        </is>
      </c>
      <c r="U2607" s="8" t="n"/>
      <c r="V2607" s="14" t="n"/>
      <c r="W2607" s="14" t="n"/>
      <c r="X2607" s="7" t="inlineStr"/>
      <c r="Y2607" s="7" t="inlineStr"/>
    </row>
    <row r="2608">
      <c r="A2608" s="7" t="n">
        <v>644551</v>
      </c>
      <c r="B2608" s="12" t="inlineStr">
        <is>
          <t>7908324407068</t>
        </is>
      </c>
      <c r="C2608" s="7" t="inlineStr">
        <is>
          <t>KOLENE LEAVE IN 300ML DANOS EXTREMOS</t>
        </is>
      </c>
      <c r="D2608" s="7" t="inlineStr">
        <is>
          <t>COND/SHAM/CREM/SIMILARES</t>
        </is>
      </c>
      <c r="E2608" s="7" t="inlineStr">
        <is>
          <t>B</t>
        </is>
      </c>
      <c r="F2608" s="13" t="n">
        <v>1</v>
      </c>
      <c r="G2608" s="13" t="n">
        <v>1</v>
      </c>
      <c r="H2608" s="8" t="n">
        <v>13.02</v>
      </c>
      <c r="I2608" s="8" t="n">
        <v>13.02</v>
      </c>
      <c r="J2608" s="8" t="n">
        <v>13.02</v>
      </c>
      <c r="K2608" s="8" t="n"/>
      <c r="L2608" s="8" t="n"/>
      <c r="M2608" s="8" t="n"/>
      <c r="N2608" s="8" t="n"/>
      <c r="O2608" s="8" t="n"/>
      <c r="P2608" s="8" t="n"/>
      <c r="Q2608" s="8" t="n"/>
      <c r="R2608" s="8" t="n"/>
      <c r="S2608" s="8" t="n"/>
      <c r="T2608" s="7" t="inlineStr">
        <is>
          <t>SEM COTAÇÃO</t>
        </is>
      </c>
      <c r="U2608" s="8" t="n"/>
      <c r="V2608" s="14" t="n"/>
      <c r="W2608" s="14" t="n"/>
      <c r="X2608" s="7" t="inlineStr"/>
      <c r="Y2608" s="7" t="inlineStr"/>
    </row>
    <row r="2609">
      <c r="A2609" s="7" t="n">
        <v>673491</v>
      </c>
      <c r="B2609" s="12" t="inlineStr">
        <is>
          <t>7908324409574</t>
        </is>
      </c>
      <c r="C2609" s="7" t="inlineStr">
        <is>
          <t>KOLENE OLEO 100ML ORIGINAL</t>
        </is>
      </c>
      <c r="D2609" s="7" t="inlineStr">
        <is>
          <t>PERF/COSME</t>
        </is>
      </c>
      <c r="E2609" s="7" t="inlineStr">
        <is>
          <t>C</t>
        </is>
      </c>
      <c r="F2609" s="13" t="n">
        <v>1</v>
      </c>
      <c r="G2609" s="13" t="n">
        <v>1</v>
      </c>
      <c r="H2609" s="8" t="n">
        <v>18.69</v>
      </c>
      <c r="I2609" s="8" t="n">
        <v>18.69</v>
      </c>
      <c r="J2609" s="8" t="n">
        <v>18.69</v>
      </c>
      <c r="K2609" s="8" t="n"/>
      <c r="L2609" s="8" t="n"/>
      <c r="M2609" s="8" t="n"/>
      <c r="N2609" s="8" t="n"/>
      <c r="O2609" s="8" t="n"/>
      <c r="P2609" s="8" t="n"/>
      <c r="Q2609" s="8" t="n"/>
      <c r="R2609" s="8" t="n"/>
      <c r="S2609" s="8" t="n"/>
      <c r="T2609" s="7" t="inlineStr">
        <is>
          <t>SEM COTAÇÃO</t>
        </is>
      </c>
      <c r="U2609" s="8" t="n"/>
      <c r="V2609" s="14" t="n"/>
      <c r="W2609" s="14" t="n"/>
      <c r="X2609" s="7" t="inlineStr"/>
      <c r="Y2609" s="7" t="inlineStr"/>
    </row>
    <row r="2610">
      <c r="A2610" s="7" t="n">
        <v>649621</v>
      </c>
      <c r="B2610" s="12" t="inlineStr">
        <is>
          <t>7908324405477</t>
        </is>
      </c>
      <c r="C2610" s="7" t="inlineStr">
        <is>
          <t>KOLENE OLEO 45ML SUPERFINALIZADORES</t>
        </is>
      </c>
      <c r="D2610" s="7" t="inlineStr">
        <is>
          <t>COND/SHAM/CREM/SIMILARES</t>
        </is>
      </c>
      <c r="E2610" s="7" t="inlineStr">
        <is>
          <t>B</t>
        </is>
      </c>
      <c r="F2610" s="13" t="n">
        <v>3</v>
      </c>
      <c r="G2610" s="13" t="n">
        <v>3</v>
      </c>
      <c r="H2610" s="8" t="n">
        <v>15.4</v>
      </c>
      <c r="I2610" s="8" t="n">
        <v>15.4</v>
      </c>
      <c r="J2610" s="8" t="n">
        <v>15.4</v>
      </c>
      <c r="K2610" s="8" t="n"/>
      <c r="L2610" s="8" t="n"/>
      <c r="M2610" s="8" t="n"/>
      <c r="N2610" s="8" t="n"/>
      <c r="O2610" s="8" t="n"/>
      <c r="P2610" s="8" t="n"/>
      <c r="Q2610" s="8" t="n"/>
      <c r="R2610" s="8" t="n"/>
      <c r="S2610" s="8" t="n"/>
      <c r="T2610" s="7" t="inlineStr">
        <is>
          <t>SEM COTAÇÃO</t>
        </is>
      </c>
      <c r="U2610" s="8" t="n"/>
      <c r="V2610" s="14" t="n"/>
      <c r="W2610" s="14" t="n"/>
      <c r="X2610" s="7" t="inlineStr"/>
      <c r="Y2610" s="7" t="inlineStr"/>
    </row>
    <row r="2611">
      <c r="A2611" s="7" t="n">
        <v>636701</v>
      </c>
      <c r="B2611" s="12" t="inlineStr">
        <is>
          <t>7891176117561</t>
        </is>
      </c>
      <c r="C2611" s="7" t="inlineStr">
        <is>
          <t>KOLENE SH 300ML ORIGINAL</t>
        </is>
      </c>
      <c r="D2611" s="7" t="inlineStr">
        <is>
          <t>PERF/COSME</t>
        </is>
      </c>
      <c r="E2611" s="7" t="inlineStr">
        <is>
          <t>C</t>
        </is>
      </c>
      <c r="F2611" s="13" t="n">
        <v>1</v>
      </c>
      <c r="G2611" s="13" t="n">
        <v>1</v>
      </c>
      <c r="H2611" s="8" t="n">
        <v>10.65</v>
      </c>
      <c r="I2611" s="8" t="n">
        <v>10.65</v>
      </c>
      <c r="J2611" s="8" t="n">
        <v>10.65</v>
      </c>
      <c r="K2611" s="8" t="n"/>
      <c r="L2611" s="8" t="n"/>
      <c r="M2611" s="8" t="n"/>
      <c r="N2611" s="8" t="n"/>
      <c r="O2611" s="8" t="n"/>
      <c r="P2611" s="8" t="n"/>
      <c r="Q2611" s="8" t="n"/>
      <c r="R2611" s="8" t="n"/>
      <c r="S2611" s="8" t="n"/>
      <c r="T2611" s="7" t="inlineStr">
        <is>
          <t>SEM COTAÇÃO</t>
        </is>
      </c>
      <c r="U2611" s="8" t="n"/>
      <c r="V2611" s="14" t="n"/>
      <c r="W2611" s="14" t="n"/>
      <c r="X2611" s="7" t="inlineStr"/>
      <c r="Y2611" s="7" t="inlineStr"/>
    </row>
    <row r="2612">
      <c r="A2612" s="7" t="n">
        <v>190241</v>
      </c>
      <c r="B2612" s="12" t="inlineStr">
        <is>
          <t>7896676427745</t>
        </is>
      </c>
      <c r="C2612" s="7" t="inlineStr">
        <is>
          <t>KOLLAGENASE 0,6U/G POM DERM BG 30G+ESP</t>
        </is>
      </c>
      <c r="D2612" s="7" t="inlineStr">
        <is>
          <t>RX - OTC</t>
        </is>
      </c>
      <c r="E2612" s="7" t="inlineStr">
        <is>
          <t>A</t>
        </is>
      </c>
      <c r="F2612" s="13" t="n">
        <v>3</v>
      </c>
      <c r="G2612" s="13" t="n">
        <v>3</v>
      </c>
      <c r="H2612" s="8" t="n">
        <v>54.35</v>
      </c>
      <c r="I2612" s="8" t="n">
        <v>49.1033</v>
      </c>
      <c r="J2612" s="8" t="n">
        <v>51.83276666666666</v>
      </c>
      <c r="K2612" s="8" t="n"/>
      <c r="L2612" s="8" t="n"/>
      <c r="M2612" s="8" t="n">
        <v>57.09</v>
      </c>
      <c r="N2612" s="8" t="n"/>
      <c r="O2612" s="15" t="n">
        <v>54.36</v>
      </c>
      <c r="P2612" s="8" t="n">
        <v>57.83</v>
      </c>
      <c r="Q2612" s="8" t="n"/>
      <c r="R2612" s="8" t="n"/>
      <c r="S2612" s="8" t="n"/>
      <c r="T2612" s="7" t="inlineStr">
        <is>
          <t>TAPAJOS</t>
        </is>
      </c>
      <c r="U2612" s="8" t="n">
        <v>54.36</v>
      </c>
      <c r="V2612" s="14">
        <f>U2612/J2612-1</f>
        <v/>
      </c>
      <c r="W2612" s="14">
        <f>U2612/H2612-1</f>
        <v/>
      </c>
      <c r="X2612" s="16" t="inlineStr">
        <is>
          <t>ACIMA +0.0%</t>
        </is>
      </c>
      <c r="Y2612" s="7" t="inlineStr"/>
    </row>
    <row r="2613">
      <c r="A2613" s="7" t="n">
        <v>114101</v>
      </c>
      <c r="B2613" s="12" t="inlineStr">
        <is>
          <t>7896676427844</t>
        </is>
      </c>
      <c r="C2613" s="7" t="inlineStr">
        <is>
          <t>KOLLAGENASE+CLORANFENICOL 0,6U/G+0,01G/G POM DERM BG 15G+ESP</t>
        </is>
      </c>
      <c r="D2613" s="7" t="inlineStr">
        <is>
          <t>RX - REFERENCIA - ATB</t>
        </is>
      </c>
      <c r="E2613" s="7" t="inlineStr">
        <is>
          <t>A</t>
        </is>
      </c>
      <c r="F2613" s="13" t="n">
        <v>7</v>
      </c>
      <c r="G2613" s="13" t="n">
        <v>7</v>
      </c>
      <c r="H2613" s="8" t="n">
        <v>29.24</v>
      </c>
      <c r="I2613" s="8" t="n">
        <v>25.52</v>
      </c>
      <c r="J2613" s="8" t="n">
        <v>26.78333333333333</v>
      </c>
      <c r="K2613" s="8" t="n"/>
      <c r="L2613" s="8" t="n"/>
      <c r="M2613" s="8" t="n"/>
      <c r="N2613" s="8" t="n"/>
      <c r="O2613" s="15" t="n">
        <v>27.55</v>
      </c>
      <c r="P2613" s="8" t="n">
        <v>29.31</v>
      </c>
      <c r="Q2613" s="8" t="n"/>
      <c r="R2613" s="8" t="n"/>
      <c r="S2613" s="8" t="n"/>
      <c r="T2613" s="7" t="inlineStr">
        <is>
          <t>TAPAJOS</t>
        </is>
      </c>
      <c r="U2613" s="8" t="n">
        <v>27.55</v>
      </c>
      <c r="V2613" s="14">
        <f>U2613/J2613-1</f>
        <v/>
      </c>
      <c r="W2613" s="14">
        <f>U2613/H2613-1</f>
        <v/>
      </c>
      <c r="X2613" s="17" t="inlineStr">
        <is>
          <t>OK (≤ últ. compra)</t>
        </is>
      </c>
      <c r="Y2613" s="7" t="inlineStr"/>
    </row>
    <row r="2614">
      <c r="A2614" s="7" t="n">
        <v>654991</v>
      </c>
      <c r="B2614" s="12" t="inlineStr">
        <is>
          <t>7908475803504</t>
        </is>
      </c>
      <c r="C2614" s="7" t="inlineStr">
        <is>
          <t>KPSULA KALMAG 60CAPS</t>
        </is>
      </c>
      <c r="D2614" s="7" t="inlineStr">
        <is>
          <t>VITAMINA E SIMILARES</t>
        </is>
      </c>
      <c r="E2614" s="7" t="inlineStr">
        <is>
          <t>C</t>
        </is>
      </c>
      <c r="F2614" s="13" t="n">
        <v>1</v>
      </c>
      <c r="G2614" s="13" t="n">
        <v>1</v>
      </c>
      <c r="H2614" s="8" t="n">
        <v>24.94</v>
      </c>
      <c r="I2614" s="8" t="n">
        <v>24.94</v>
      </c>
      <c r="J2614" s="8" t="n">
        <v>24.94</v>
      </c>
      <c r="K2614" s="8" t="n"/>
      <c r="L2614" s="8" t="n"/>
      <c r="M2614" s="8" t="n"/>
      <c r="N2614" s="8" t="n"/>
      <c r="O2614" s="8" t="n"/>
      <c r="P2614" s="8" t="n"/>
      <c r="Q2614" s="8" t="n"/>
      <c r="R2614" s="8" t="n"/>
      <c r="S2614" s="8" t="n"/>
      <c r="T2614" s="7" t="inlineStr">
        <is>
          <t>SEM COTAÇÃO</t>
        </is>
      </c>
      <c r="U2614" s="8" t="n"/>
      <c r="V2614" s="14" t="n"/>
      <c r="W2614" s="14" t="n"/>
      <c r="X2614" s="7" t="inlineStr"/>
      <c r="Y2614" s="7" t="inlineStr"/>
    </row>
    <row r="2615">
      <c r="A2615" s="7" t="n">
        <v>114801</v>
      </c>
      <c r="B2615" s="12" t="inlineStr">
        <is>
          <t>7896523206929</t>
        </is>
      </c>
      <c r="C2615" s="7" t="inlineStr">
        <is>
          <t>KURAMED 20+1,30MG/ML SOL TOP SPRAY FR 50ML</t>
        </is>
      </c>
      <c r="D2615" s="7" t="inlineStr">
        <is>
          <t>SIMILAR</t>
        </is>
      </c>
      <c r="E2615" s="7" t="inlineStr">
        <is>
          <t>A</t>
        </is>
      </c>
      <c r="F2615" s="13" t="n">
        <v>4</v>
      </c>
      <c r="G2615" s="13" t="n">
        <v>4</v>
      </c>
      <c r="H2615" s="8" t="n">
        <v>7.99</v>
      </c>
      <c r="I2615" s="8" t="n">
        <v>7.99</v>
      </c>
      <c r="J2615" s="8" t="n">
        <v>7.989999999999999</v>
      </c>
      <c r="K2615" s="8" t="n"/>
      <c r="L2615" s="8" t="n"/>
      <c r="M2615" s="8" t="n"/>
      <c r="N2615" s="8" t="n"/>
      <c r="O2615" s="8" t="n"/>
      <c r="P2615" s="15" t="n">
        <v>19.86</v>
      </c>
      <c r="Q2615" s="8" t="n"/>
      <c r="R2615" s="8" t="n"/>
      <c r="S2615" s="8" t="n"/>
      <c r="T2615" s="7" t="inlineStr">
        <is>
          <t>NAZARIA</t>
        </is>
      </c>
      <c r="U2615" s="8" t="n">
        <v>19.86</v>
      </c>
      <c r="V2615" s="14">
        <f>U2615/J2615-1</f>
        <v/>
      </c>
      <c r="W2615" s="14">
        <f>U2615/H2615-1</f>
        <v/>
      </c>
      <c r="X2615" s="16" t="inlineStr">
        <is>
          <t>ACIMA +148.6%</t>
        </is>
      </c>
      <c r="Y2615" s="7" t="inlineStr">
        <is>
          <t>NAZARIA: conferir emb.</t>
        </is>
      </c>
    </row>
    <row r="2616">
      <c r="A2616" s="7" t="n">
        <v>1733</v>
      </c>
      <c r="B2616" s="12" t="inlineStr">
        <is>
          <t>7896523202020</t>
        </is>
      </c>
      <c r="C2616" s="7" t="inlineStr">
        <is>
          <t>KURAMED HEMOFISS POM 30 G BG X 10 APLIC</t>
        </is>
      </c>
      <c r="D2616" s="7" t="inlineStr">
        <is>
          <t>SIMILAR</t>
        </is>
      </c>
      <c r="E2616" s="7" t="inlineStr">
        <is>
          <t>C</t>
        </is>
      </c>
      <c r="F2616" s="13" t="n">
        <v>2</v>
      </c>
      <c r="G2616" s="13" t="n">
        <v>2</v>
      </c>
      <c r="H2616" s="8" t="n">
        <v>14.68</v>
      </c>
      <c r="I2616" s="8" t="n">
        <v>14.68</v>
      </c>
      <c r="J2616" s="8" t="n">
        <v>14.68</v>
      </c>
      <c r="K2616" s="8" t="n"/>
      <c r="L2616" s="8" t="n"/>
      <c r="M2616" s="8" t="n"/>
      <c r="N2616" s="8" t="n"/>
      <c r="O2616" s="8" t="n"/>
      <c r="P2616" s="8" t="n"/>
      <c r="Q2616" s="8" t="n"/>
      <c r="R2616" s="8" t="n"/>
      <c r="S2616" s="8" t="n"/>
      <c r="T2616" s="7" t="inlineStr">
        <is>
          <t>SEM COTAÇÃO</t>
        </is>
      </c>
      <c r="U2616" s="8" t="n"/>
      <c r="V2616" s="14" t="n"/>
      <c r="W2616" s="14" t="n"/>
      <c r="X2616" s="7" t="inlineStr"/>
      <c r="Y2616" s="7" t="inlineStr"/>
    </row>
    <row r="2617">
      <c r="A2617" s="7" t="n">
        <v>659131</v>
      </c>
      <c r="B2617" s="12" t="inlineStr">
        <is>
          <t>7898744350047</t>
        </is>
      </c>
      <c r="C2617" s="7" t="inlineStr">
        <is>
          <t>L-TREONATO MAGNESIO 60 CAPS CX/12 - REATIVA</t>
        </is>
      </c>
      <c r="D2617" s="7" t="inlineStr">
        <is>
          <t>PERF/COSME</t>
        </is>
      </c>
      <c r="E2617" s="7" t="inlineStr">
        <is>
          <t>C</t>
        </is>
      </c>
      <c r="F2617" s="13" t="n">
        <v>1</v>
      </c>
      <c r="G2617" s="13" t="n">
        <v>1</v>
      </c>
      <c r="H2617" s="8" t="n"/>
      <c r="I2617" s="8" t="n"/>
      <c r="J2617" s="8" t="n"/>
      <c r="K2617" s="8" t="n"/>
      <c r="L2617" s="8" t="n"/>
      <c r="M2617" s="8" t="n"/>
      <c r="N2617" s="8" t="n"/>
      <c r="O2617" s="8" t="n"/>
      <c r="P2617" s="8" t="n"/>
      <c r="Q2617" s="8" t="n"/>
      <c r="R2617" s="8" t="n"/>
      <c r="S2617" s="8" t="n"/>
      <c r="T2617" s="7" t="inlineStr">
        <is>
          <t>SEM COTAÇÃO</t>
        </is>
      </c>
      <c r="U2617" s="8" t="n"/>
      <c r="V2617" s="14" t="n"/>
      <c r="W2617" s="14" t="n"/>
      <c r="X2617" s="7" t="inlineStr"/>
      <c r="Y2617" s="7" t="inlineStr"/>
    </row>
    <row r="2618">
      <c r="A2618" s="7" t="n">
        <v>152141</v>
      </c>
      <c r="B2618" s="12" t="inlineStr">
        <is>
          <t>7898216361403</t>
        </is>
      </c>
      <c r="C2618" s="7" t="inlineStr">
        <is>
          <t>LABCAINA 50MG POM DERM BG 25G</t>
        </is>
      </c>
      <c r="D2618" s="7" t="inlineStr">
        <is>
          <t>SIMILAR</t>
        </is>
      </c>
      <c r="E2618" s="7" t="inlineStr">
        <is>
          <t>B</t>
        </is>
      </c>
      <c r="F2618" s="13" t="n">
        <v>3</v>
      </c>
      <c r="G2618" s="13" t="n">
        <v>3</v>
      </c>
      <c r="H2618" s="8" t="n">
        <v>7.21</v>
      </c>
      <c r="I2618" s="8" t="n">
        <v>7.21</v>
      </c>
      <c r="J2618" s="8" t="n">
        <v>7.21</v>
      </c>
      <c r="K2618" s="8" t="n">
        <v>8.82</v>
      </c>
      <c r="L2618" s="8" t="n"/>
      <c r="M2618" s="8" t="n"/>
      <c r="N2618" s="8" t="n">
        <v>8.94</v>
      </c>
      <c r="O2618" s="8" t="n">
        <v>8.74</v>
      </c>
      <c r="P2618" s="8" t="n"/>
      <c r="Q2618" s="8" t="n">
        <v>9.57</v>
      </c>
      <c r="R2618" s="15" t="n">
        <v>8.44</v>
      </c>
      <c r="S2618" s="8" t="n"/>
      <c r="T2618" s="7" t="inlineStr">
        <is>
          <t>BRASFARMA</t>
        </is>
      </c>
      <c r="U2618" s="8" t="n">
        <v>8.44</v>
      </c>
      <c r="V2618" s="14">
        <f>U2618/J2618-1</f>
        <v/>
      </c>
      <c r="W2618" s="14">
        <f>U2618/H2618-1</f>
        <v/>
      </c>
      <c r="X2618" s="16" t="inlineStr">
        <is>
          <t>ACIMA +17.1%</t>
        </is>
      </c>
      <c r="Y2618" s="7" t="inlineStr"/>
    </row>
    <row r="2619">
      <c r="A2619" s="7" t="n">
        <v>637661</v>
      </c>
      <c r="B2619" s="12" t="inlineStr">
        <is>
          <t>4005900453259</t>
        </is>
      </c>
      <c r="C2619" s="7" t="inlineStr">
        <is>
          <t>LABIAL NIVEA AMORA SHINE 4,8G</t>
        </is>
      </c>
      <c r="D2619" s="7" t="inlineStr">
        <is>
          <t>DERMOCOSMETICOS/COSMETICOS</t>
        </is>
      </c>
      <c r="E2619" s="7" t="inlineStr">
        <is>
          <t>B</t>
        </is>
      </c>
      <c r="F2619" s="13" t="n">
        <v>2</v>
      </c>
      <c r="G2619" s="13" t="n">
        <v>2</v>
      </c>
      <c r="H2619" s="8" t="n">
        <v>14.2933</v>
      </c>
      <c r="I2619" s="8" t="n">
        <v>14.1692</v>
      </c>
      <c r="J2619" s="8" t="n">
        <v>14.21056666666667</v>
      </c>
      <c r="K2619" s="8" t="n"/>
      <c r="L2619" s="8" t="n"/>
      <c r="M2619" s="8" t="n"/>
      <c r="N2619" s="8" t="n"/>
      <c r="O2619" s="8" t="n"/>
      <c r="P2619" s="15" t="n">
        <v>19.41</v>
      </c>
      <c r="Q2619" s="8" t="n"/>
      <c r="R2619" s="8" t="n"/>
      <c r="S2619" s="8" t="n"/>
      <c r="T2619" s="7" t="inlineStr">
        <is>
          <t>NAZARIA</t>
        </is>
      </c>
      <c r="U2619" s="8" t="n">
        <v>19.41</v>
      </c>
      <c r="V2619" s="14">
        <f>U2619/J2619-1</f>
        <v/>
      </c>
      <c r="W2619" s="14">
        <f>U2619/H2619-1</f>
        <v/>
      </c>
      <c r="X2619" s="16" t="inlineStr">
        <is>
          <t>ACIMA +35.8%</t>
        </is>
      </c>
      <c r="Y2619" s="7" t="inlineStr"/>
    </row>
    <row r="2620">
      <c r="A2620" s="7" t="n">
        <v>582461</v>
      </c>
      <c r="B2620" s="12" t="inlineStr">
        <is>
          <t>4005900663993</t>
        </is>
      </c>
      <c r="C2620" s="7" t="inlineStr">
        <is>
          <t>LABIAL NIVEA CEREJA SHINE 4,8G</t>
        </is>
      </c>
      <c r="D2620" s="7" t="inlineStr">
        <is>
          <t>RX</t>
        </is>
      </c>
      <c r="E2620" s="7" t="inlineStr">
        <is>
          <t>B</t>
        </is>
      </c>
      <c r="F2620" s="13" t="n">
        <v>4</v>
      </c>
      <c r="G2620" s="13" t="n">
        <v>4</v>
      </c>
      <c r="H2620" s="8" t="n">
        <v>14.17</v>
      </c>
      <c r="I2620" s="8" t="n">
        <v>14.17</v>
      </c>
      <c r="J2620" s="8" t="n">
        <v>14.17</v>
      </c>
      <c r="K2620" s="8" t="n"/>
      <c r="L2620" s="8" t="n"/>
      <c r="M2620" s="8" t="n"/>
      <c r="N2620" s="8" t="n"/>
      <c r="O2620" s="8" t="n"/>
      <c r="P2620" s="15" t="n">
        <v>19.41</v>
      </c>
      <c r="Q2620" s="8" t="n"/>
      <c r="R2620" s="8" t="n"/>
      <c r="S2620" s="8" t="n"/>
      <c r="T2620" s="7" t="inlineStr">
        <is>
          <t>NAZARIA</t>
        </is>
      </c>
      <c r="U2620" s="8" t="n">
        <v>19.41</v>
      </c>
      <c r="V2620" s="14">
        <f>U2620/J2620-1</f>
        <v/>
      </c>
      <c r="W2620" s="14">
        <f>U2620/H2620-1</f>
        <v/>
      </c>
      <c r="X2620" s="16" t="inlineStr">
        <is>
          <t>ACIMA +37.0%</t>
        </is>
      </c>
      <c r="Y2620" s="7" t="inlineStr"/>
    </row>
    <row r="2621">
      <c r="A2621" s="7" t="n">
        <v>566881</v>
      </c>
      <c r="B2621" s="12" t="inlineStr">
        <is>
          <t>4005808850617</t>
        </is>
      </c>
      <c r="C2621" s="7" t="inlineStr">
        <is>
          <t>LABIAL NIVEA ESSENTIAL 4,8G  NIVE %DN:0.00</t>
        </is>
      </c>
      <c r="D2621" s="7" t="inlineStr">
        <is>
          <t>PERF/COSME</t>
        </is>
      </c>
      <c r="E2621" s="7" t="inlineStr">
        <is>
          <t>B</t>
        </is>
      </c>
      <c r="F2621" s="13" t="n">
        <v>1</v>
      </c>
      <c r="G2621" s="13" t="n">
        <v>1</v>
      </c>
      <c r="H2621" s="8" t="n">
        <v>13.92</v>
      </c>
      <c r="I2621" s="8" t="n">
        <v>13.92</v>
      </c>
      <c r="J2621" s="8" t="n">
        <v>13.92</v>
      </c>
      <c r="K2621" s="8" t="n"/>
      <c r="L2621" s="8" t="n"/>
      <c r="M2621" s="8" t="n"/>
      <c r="N2621" s="8" t="n"/>
      <c r="O2621" s="8" t="n"/>
      <c r="P2621" s="15" t="n">
        <v>19.41</v>
      </c>
      <c r="Q2621" s="8" t="n"/>
      <c r="R2621" s="8" t="n"/>
      <c r="S2621" s="8" t="n"/>
      <c r="T2621" s="7" t="inlineStr">
        <is>
          <t>NAZARIA</t>
        </is>
      </c>
      <c r="U2621" s="8" t="n">
        <v>19.41</v>
      </c>
      <c r="V2621" s="14">
        <f>U2621/J2621-1</f>
        <v/>
      </c>
      <c r="W2621" s="14">
        <f>U2621/H2621-1</f>
        <v/>
      </c>
      <c r="X2621" s="16" t="inlineStr">
        <is>
          <t>ACIMA +39.4%</t>
        </is>
      </c>
      <c r="Y2621" s="7" t="inlineStr"/>
    </row>
    <row r="2622">
      <c r="A2622" s="7" t="n">
        <v>22803</v>
      </c>
      <c r="B2622" s="12" t="inlineStr">
        <is>
          <t>4006000101354</t>
        </is>
      </c>
      <c r="C2622" s="7" t="inlineStr">
        <is>
          <t>LABIAL NIVEA HIDRACOLOR VERMEL FPS30 4,8G</t>
        </is>
      </c>
      <c r="D2622" s="7" t="inlineStr">
        <is>
          <t>PERF/COSME</t>
        </is>
      </c>
      <c r="E2622" s="7" t="inlineStr">
        <is>
          <t>C</t>
        </is>
      </c>
      <c r="F2622" s="13" t="n">
        <v>1</v>
      </c>
      <c r="G2622" s="13" t="n">
        <v>1</v>
      </c>
      <c r="H2622" s="8" t="n">
        <v>23.18</v>
      </c>
      <c r="I2622" s="8" t="n">
        <v>23.18</v>
      </c>
      <c r="J2622" s="8" t="n">
        <v>23.18</v>
      </c>
      <c r="K2622" s="8" t="n"/>
      <c r="L2622" s="8" t="n"/>
      <c r="M2622" s="8" t="n"/>
      <c r="N2622" s="8" t="n"/>
      <c r="O2622" s="8" t="n"/>
      <c r="P2622" s="15" t="n">
        <v>23.3</v>
      </c>
      <c r="Q2622" s="8" t="n"/>
      <c r="R2622" s="8" t="n"/>
      <c r="S2622" s="8" t="n"/>
      <c r="T2622" s="7" t="inlineStr">
        <is>
          <t>NAZARIA</t>
        </is>
      </c>
      <c r="U2622" s="8" t="n">
        <v>23.3</v>
      </c>
      <c r="V2622" s="14">
        <f>U2622/J2622-1</f>
        <v/>
      </c>
      <c r="W2622" s="14">
        <f>U2622/H2622-1</f>
        <v/>
      </c>
      <c r="X2622" s="16" t="inlineStr">
        <is>
          <t>ACIMA +0.5%</t>
        </is>
      </c>
      <c r="Y2622" s="7" t="inlineStr"/>
    </row>
    <row r="2623">
      <c r="A2623" s="7" t="n">
        <v>594291</v>
      </c>
      <c r="B2623" s="12" t="inlineStr">
        <is>
          <t>4005808934980</t>
        </is>
      </c>
      <c r="C2623" s="7" t="inlineStr">
        <is>
          <t>LABIAL NIVEA MELANCIA 4,8G</t>
        </is>
      </c>
      <c r="D2623" s="7" t="inlineStr">
        <is>
          <t>DERMOCOSMETICOS/COSMETICOS</t>
        </is>
      </c>
      <c r="E2623" s="7" t="inlineStr">
        <is>
          <t>B</t>
        </is>
      </c>
      <c r="F2623" s="13" t="n">
        <v>2</v>
      </c>
      <c r="G2623" s="13" t="n">
        <v>2</v>
      </c>
      <c r="H2623" s="8" t="n">
        <v>14.34</v>
      </c>
      <c r="I2623" s="8" t="n">
        <v>14.34</v>
      </c>
      <c r="J2623" s="8" t="n">
        <v>14.34</v>
      </c>
      <c r="K2623" s="8" t="n"/>
      <c r="L2623" s="8" t="n"/>
      <c r="M2623" s="8" t="n"/>
      <c r="N2623" s="8" t="n"/>
      <c r="O2623" s="8" t="n"/>
      <c r="P2623" s="15" t="n">
        <v>19.41</v>
      </c>
      <c r="Q2623" s="8" t="n"/>
      <c r="R2623" s="8" t="n"/>
      <c r="S2623" s="8" t="n"/>
      <c r="T2623" s="7" t="inlineStr">
        <is>
          <t>NAZARIA</t>
        </is>
      </c>
      <c r="U2623" s="8" t="n">
        <v>19.41</v>
      </c>
      <c r="V2623" s="14">
        <f>U2623/J2623-1</f>
        <v/>
      </c>
      <c r="W2623" s="14">
        <f>U2623/H2623-1</f>
        <v/>
      </c>
      <c r="X2623" s="16" t="inlineStr">
        <is>
          <t>ACIMA +35.4%</t>
        </is>
      </c>
      <c r="Y2623" s="7" t="inlineStr"/>
    </row>
    <row r="2624">
      <c r="A2624" s="7" t="n">
        <v>615351</v>
      </c>
      <c r="B2624" s="12" t="inlineStr">
        <is>
          <t>4005808850839</t>
        </is>
      </c>
      <c r="C2624" s="7" t="inlineStr">
        <is>
          <t>LABIAL NIVEA STAR FRU STRAWB 4,8G</t>
        </is>
      </c>
      <c r="D2624" s="7" t="inlineStr">
        <is>
          <t>RX</t>
        </is>
      </c>
      <c r="E2624" s="7" t="inlineStr">
        <is>
          <t>A</t>
        </is>
      </c>
      <c r="F2624" s="13" t="n">
        <v>5</v>
      </c>
      <c r="G2624" s="13" t="n">
        <v>5</v>
      </c>
      <c r="H2624" s="8" t="n">
        <v>14.2933</v>
      </c>
      <c r="I2624" s="8" t="n">
        <v>13.92</v>
      </c>
      <c r="J2624" s="8" t="n">
        <v>14.04443333333333</v>
      </c>
      <c r="K2624" s="8" t="n"/>
      <c r="L2624" s="8" t="n"/>
      <c r="M2624" s="8" t="n"/>
      <c r="N2624" s="8" t="n"/>
      <c r="O2624" s="8" t="n"/>
      <c r="P2624" s="15" t="n">
        <v>19.41</v>
      </c>
      <c r="Q2624" s="8" t="n"/>
      <c r="R2624" s="8" t="n"/>
      <c r="S2624" s="8" t="n"/>
      <c r="T2624" s="7" t="inlineStr">
        <is>
          <t>NAZARIA</t>
        </is>
      </c>
      <c r="U2624" s="8" t="n">
        <v>19.41</v>
      </c>
      <c r="V2624" s="14">
        <f>U2624/J2624-1</f>
        <v/>
      </c>
      <c r="W2624" s="14">
        <f>U2624/H2624-1</f>
        <v/>
      </c>
      <c r="X2624" s="16" t="inlineStr">
        <is>
          <t>ACIMA +35.8%</t>
        </is>
      </c>
      <c r="Y2624" s="7" t="inlineStr"/>
    </row>
    <row r="2625">
      <c r="A2625" s="7" t="n">
        <v>128981</v>
      </c>
      <c r="B2625" s="12" t="inlineStr"/>
      <c r="C2625" s="7" t="inlineStr">
        <is>
          <t>LABIRIN 16MG CX 30 COMP</t>
        </is>
      </c>
      <c r="D2625" s="7" t="inlineStr">
        <is>
          <t>RX</t>
        </is>
      </c>
      <c r="E2625" s="7" t="inlineStr">
        <is>
          <t>A</t>
        </is>
      </c>
      <c r="F2625" s="13" t="n">
        <v>1</v>
      </c>
      <c r="G2625" s="13" t="n">
        <v>1</v>
      </c>
      <c r="H2625" s="8" t="n">
        <v>18.52</v>
      </c>
      <c r="I2625" s="8" t="n">
        <v>17.82</v>
      </c>
      <c r="J2625" s="8" t="n">
        <v>18.05333333333333</v>
      </c>
      <c r="K2625" s="8" t="n"/>
      <c r="L2625" s="8" t="n"/>
      <c r="M2625" s="8" t="n"/>
      <c r="N2625" s="8" t="n"/>
      <c r="O2625" s="8" t="n"/>
      <c r="P2625" s="8" t="n"/>
      <c r="Q2625" s="8" t="n"/>
      <c r="R2625" s="8" t="n"/>
      <c r="S2625" s="8" t="n"/>
      <c r="T2625" s="7" t="inlineStr">
        <is>
          <t>SEM COTAÇÃO</t>
        </is>
      </c>
      <c r="U2625" s="8" t="n"/>
      <c r="V2625" s="14" t="n"/>
      <c r="W2625" s="14" t="n"/>
      <c r="X2625" s="7" t="inlineStr"/>
      <c r="Y2625" s="7" t="inlineStr"/>
    </row>
    <row r="2626">
      <c r="A2626" s="7" t="n">
        <v>129021</v>
      </c>
      <c r="B2626" s="12" t="inlineStr">
        <is>
          <t>7896637028523</t>
        </is>
      </c>
      <c r="C2626" s="7" t="inlineStr">
        <is>
          <t>LABIRIN 24MG CX 30 COMP</t>
        </is>
      </c>
      <c r="D2626" s="7" t="inlineStr">
        <is>
          <t>RX</t>
        </is>
      </c>
      <c r="E2626" s="7" t="inlineStr">
        <is>
          <t>A</t>
        </is>
      </c>
      <c r="F2626" s="13" t="n">
        <v>3</v>
      </c>
      <c r="G2626" s="13" t="n">
        <v>3</v>
      </c>
      <c r="H2626" s="8" t="n">
        <v>19.44</v>
      </c>
      <c r="I2626" s="8" t="n">
        <v>16.2667</v>
      </c>
      <c r="J2626" s="8" t="n">
        <v>18.38223333333334</v>
      </c>
      <c r="K2626" s="8" t="n"/>
      <c r="L2626" s="8" t="n"/>
      <c r="M2626" s="15" t="n">
        <v>19.44</v>
      </c>
      <c r="N2626" s="8" t="n"/>
      <c r="O2626" s="8" t="n">
        <v>25.13</v>
      </c>
      <c r="P2626" s="8" t="n">
        <v>26.32905</v>
      </c>
      <c r="Q2626" s="8" t="n"/>
      <c r="R2626" s="8" t="n"/>
      <c r="S2626" s="8" t="n"/>
      <c r="T2626" s="7" t="inlineStr">
        <is>
          <t>EPAN</t>
        </is>
      </c>
      <c r="U2626" s="8" t="n">
        <v>19.44</v>
      </c>
      <c r="V2626" s="14">
        <f>U2626/J2626-1</f>
        <v/>
      </c>
      <c r="W2626" s="14">
        <f>U2626/H2626-1</f>
        <v/>
      </c>
      <c r="X2626" s="17" t="inlineStr">
        <is>
          <t>OK (≤ últ. compra)</t>
        </is>
      </c>
      <c r="Y2626" s="7" t="inlineStr"/>
    </row>
    <row r="2627">
      <c r="A2627" s="7" t="n">
        <v>128941</v>
      </c>
      <c r="B2627" s="12" t="inlineStr">
        <is>
          <t>7896637028417</t>
        </is>
      </c>
      <c r="C2627" s="7" t="inlineStr">
        <is>
          <t>LABIRIN 8MG CX 30 COMP</t>
        </is>
      </c>
      <c r="D2627" s="7" t="inlineStr">
        <is>
          <t>RX</t>
        </is>
      </c>
      <c r="E2627" s="7" t="inlineStr">
        <is>
          <t>B</t>
        </is>
      </c>
      <c r="F2627" s="13" t="n">
        <v>1</v>
      </c>
      <c r="G2627" s="13" t="n">
        <v>1</v>
      </c>
      <c r="H2627" s="8" t="n">
        <v>29.194</v>
      </c>
      <c r="I2627" s="8" t="n">
        <v>29.194</v>
      </c>
      <c r="J2627" s="8" t="n">
        <v>29.194</v>
      </c>
      <c r="K2627" s="8" t="n"/>
      <c r="L2627" s="8" t="n"/>
      <c r="M2627" s="8" t="n"/>
      <c r="N2627" s="8" t="n"/>
      <c r="O2627" s="8" t="n"/>
      <c r="P2627" s="15" t="n">
        <v>29.95385</v>
      </c>
      <c r="Q2627" s="8" t="n"/>
      <c r="R2627" s="8" t="n"/>
      <c r="S2627" s="8" t="n"/>
      <c r="T2627" s="7" t="inlineStr">
        <is>
          <t>NAZARIA</t>
        </is>
      </c>
      <c r="U2627" s="8" t="n">
        <v>29.95385</v>
      </c>
      <c r="V2627" s="14">
        <f>U2627/J2627-1</f>
        <v/>
      </c>
      <c r="W2627" s="14">
        <f>U2627/H2627-1</f>
        <v/>
      </c>
      <c r="X2627" s="16" t="inlineStr">
        <is>
          <t>ACIMA +2.6%</t>
        </is>
      </c>
      <c r="Y2627" s="7" t="inlineStr"/>
    </row>
    <row r="2628">
      <c r="A2628" s="7" t="n">
        <v>662291</v>
      </c>
      <c r="B2628" s="12" t="inlineStr">
        <is>
          <t>7896637034852</t>
        </is>
      </c>
      <c r="C2628" s="7" t="inlineStr">
        <is>
          <t>LABIRIN XR 48MG 30CPR</t>
        </is>
      </c>
      <c r="D2628" s="7" t="inlineStr">
        <is>
          <t>RX</t>
        </is>
      </c>
      <c r="E2628" s="7" t="inlineStr">
        <is>
          <t>A</t>
        </is>
      </c>
      <c r="F2628" s="13" t="n">
        <v>1</v>
      </c>
      <c r="G2628" s="13" t="n">
        <v>1</v>
      </c>
      <c r="H2628" s="8" t="n">
        <v>61.68</v>
      </c>
      <c r="I2628" s="8" t="n">
        <v>61.67</v>
      </c>
      <c r="J2628" s="8" t="n">
        <v>61.66999999999999</v>
      </c>
      <c r="K2628" s="8" t="n"/>
      <c r="L2628" s="8" t="n"/>
      <c r="M2628" s="8" t="n"/>
      <c r="N2628" s="8" t="n"/>
      <c r="O2628" s="8" t="n"/>
      <c r="P2628" s="15" t="n">
        <v>65.6798</v>
      </c>
      <c r="Q2628" s="8" t="n"/>
      <c r="R2628" s="8" t="n"/>
      <c r="S2628" s="8" t="n"/>
      <c r="T2628" s="7" t="inlineStr">
        <is>
          <t>NAZARIA</t>
        </is>
      </c>
      <c r="U2628" s="8" t="n">
        <v>65.6798</v>
      </c>
      <c r="V2628" s="14">
        <f>U2628/J2628-1</f>
        <v/>
      </c>
      <c r="W2628" s="14">
        <f>U2628/H2628-1</f>
        <v/>
      </c>
      <c r="X2628" s="16" t="inlineStr">
        <is>
          <t>ACIMA +6.5%</t>
        </is>
      </c>
      <c r="Y2628" s="7" t="inlineStr"/>
    </row>
    <row r="2629">
      <c r="A2629" s="7" t="n">
        <v>615601</v>
      </c>
      <c r="B2629" s="12" t="inlineStr">
        <is>
          <t>7898632472707</t>
        </is>
      </c>
      <c r="C2629" s="7" t="inlineStr">
        <is>
          <t>LABOTRAT AGUA MICELAR 100ML</t>
        </is>
      </c>
      <c r="D2629" s="7" t="inlineStr">
        <is>
          <t>PERF/COSME</t>
        </is>
      </c>
      <c r="E2629" s="7" t="inlineStr">
        <is>
          <t>C</t>
        </is>
      </c>
      <c r="F2629" s="13" t="n">
        <v>2</v>
      </c>
      <c r="G2629" s="13" t="n">
        <v>2</v>
      </c>
      <c r="H2629" s="8" t="n">
        <v>12.43</v>
      </c>
      <c r="I2629" s="8" t="n">
        <v>12.43</v>
      </c>
      <c r="J2629" s="8" t="n">
        <v>12.43</v>
      </c>
      <c r="K2629" s="8" t="n"/>
      <c r="L2629" s="8" t="n"/>
      <c r="M2629" s="8" t="n"/>
      <c r="N2629" s="8" t="n"/>
      <c r="O2629" s="8" t="n"/>
      <c r="P2629" s="8" t="n"/>
      <c r="Q2629" s="8" t="n"/>
      <c r="R2629" s="8" t="n"/>
      <c r="S2629" s="8" t="n"/>
      <c r="T2629" s="7" t="inlineStr">
        <is>
          <t>SEM COTAÇÃO</t>
        </is>
      </c>
      <c r="U2629" s="8" t="n"/>
      <c r="V2629" s="14" t="n"/>
      <c r="W2629" s="14" t="n"/>
      <c r="X2629" s="7" t="inlineStr"/>
      <c r="Y2629" s="7" t="inlineStr"/>
    </row>
    <row r="2630">
      <c r="A2630" s="7" t="n">
        <v>615581</v>
      </c>
      <c r="B2630" s="12" t="inlineStr">
        <is>
          <t>7898632470086</t>
        </is>
      </c>
      <c r="C2630" s="7" t="inlineStr">
        <is>
          <t>LABOTRAT ARGILA 100G VERDE</t>
        </is>
      </c>
      <c r="D2630" s="7" t="inlineStr">
        <is>
          <t>PERF/COSME</t>
        </is>
      </c>
      <c r="E2630" s="7" t="inlineStr">
        <is>
          <t>C</t>
        </is>
      </c>
      <c r="F2630" s="13" t="n">
        <v>1</v>
      </c>
      <c r="G2630" s="13" t="n">
        <v>1</v>
      </c>
      <c r="H2630" s="8" t="n">
        <v>6.45</v>
      </c>
      <c r="I2630" s="8" t="n">
        <v>6.45</v>
      </c>
      <c r="J2630" s="8" t="n">
        <v>6.45</v>
      </c>
      <c r="K2630" s="8" t="n"/>
      <c r="L2630" s="8" t="n"/>
      <c r="M2630" s="8" t="n"/>
      <c r="N2630" s="8" t="n"/>
      <c r="O2630" s="8" t="n"/>
      <c r="P2630" s="8" t="n"/>
      <c r="Q2630" s="8" t="n"/>
      <c r="R2630" s="8" t="n"/>
      <c r="S2630" s="8" t="n"/>
      <c r="T2630" s="7" t="inlineStr">
        <is>
          <t>SEM COTAÇÃO</t>
        </is>
      </c>
      <c r="U2630" s="8" t="n"/>
      <c r="V2630" s="14" t="n"/>
      <c r="W2630" s="14" t="n"/>
      <c r="X2630" s="7" t="inlineStr"/>
      <c r="Y2630" s="7" t="inlineStr"/>
    </row>
    <row r="2631">
      <c r="A2631" s="7" t="n">
        <v>617981</v>
      </c>
      <c r="B2631" s="12" t="inlineStr">
        <is>
          <t>7898994532934</t>
        </is>
      </c>
      <c r="C2631" s="7" t="inlineStr">
        <is>
          <t>LABOTRAT CREME PES 100G RACHADUR C/UREIA</t>
        </is>
      </c>
      <c r="D2631" s="7" t="inlineStr">
        <is>
          <t>PERF/COSME</t>
        </is>
      </c>
      <c r="E2631" s="7" t="inlineStr">
        <is>
          <t>C</t>
        </is>
      </c>
      <c r="F2631" s="13" t="n">
        <v>1</v>
      </c>
      <c r="G2631" s="13" t="n">
        <v>1</v>
      </c>
      <c r="H2631" s="8" t="n">
        <v>11.9</v>
      </c>
      <c r="I2631" s="8" t="n">
        <v>11.9</v>
      </c>
      <c r="J2631" s="8" t="n">
        <v>11.9</v>
      </c>
      <c r="K2631" s="8" t="n"/>
      <c r="L2631" s="8" t="n"/>
      <c r="M2631" s="8" t="n"/>
      <c r="N2631" s="8" t="n"/>
      <c r="O2631" s="8" t="n"/>
      <c r="P2631" s="8" t="n"/>
      <c r="Q2631" s="8" t="n"/>
      <c r="R2631" s="8" t="n"/>
      <c r="S2631" s="8" t="n"/>
      <c r="T2631" s="7" t="inlineStr">
        <is>
          <t>SEM COTAÇÃO</t>
        </is>
      </c>
      <c r="U2631" s="8" t="n"/>
      <c r="V2631" s="14" t="n"/>
      <c r="W2631" s="14" t="n"/>
      <c r="X2631" s="7" t="inlineStr"/>
      <c r="Y2631" s="7" t="inlineStr"/>
    </row>
    <row r="2632">
      <c r="A2632" s="7" t="n">
        <v>617971</v>
      </c>
      <c r="B2632" s="12" t="inlineStr">
        <is>
          <t>7898632472790</t>
        </is>
      </c>
      <c r="C2632" s="7" t="inlineStr">
        <is>
          <t>LABOTRAT ESF ROSTO CORP 150G CAPIM LIMAO</t>
        </is>
      </c>
      <c r="D2632" s="7" t="inlineStr">
        <is>
          <t>PERF/COSME</t>
        </is>
      </c>
      <c r="E2632" s="7" t="inlineStr">
        <is>
          <t>C</t>
        </is>
      </c>
      <c r="F2632" s="13" t="n">
        <v>2</v>
      </c>
      <c r="G2632" s="13" t="n">
        <v>2</v>
      </c>
      <c r="H2632" s="8" t="n">
        <v>12.98</v>
      </c>
      <c r="I2632" s="8" t="n">
        <v>12.98</v>
      </c>
      <c r="J2632" s="8" t="n">
        <v>12.98</v>
      </c>
      <c r="K2632" s="8" t="n"/>
      <c r="L2632" s="8" t="n"/>
      <c r="M2632" s="8" t="n"/>
      <c r="N2632" s="8" t="n"/>
      <c r="O2632" s="8" t="n"/>
      <c r="P2632" s="8" t="n"/>
      <c r="Q2632" s="8" t="n"/>
      <c r="R2632" s="8" t="n"/>
      <c r="S2632" s="8" t="n"/>
      <c r="T2632" s="7" t="inlineStr">
        <is>
          <t>SEM COTAÇÃO</t>
        </is>
      </c>
      <c r="U2632" s="8" t="n"/>
      <c r="V2632" s="14" t="n"/>
      <c r="W2632" s="14" t="n"/>
      <c r="X2632" s="7" t="inlineStr"/>
      <c r="Y2632" s="7" t="inlineStr"/>
    </row>
    <row r="2633">
      <c r="A2633" s="7" t="n">
        <v>627101</v>
      </c>
      <c r="B2633" s="12" t="inlineStr">
        <is>
          <t>7898632472776</t>
        </is>
      </c>
      <c r="C2633" s="7" t="inlineStr">
        <is>
          <t>LABOTRAT ESF ROSTO CORP 150G MARACUJA</t>
        </is>
      </c>
      <c r="D2633" s="7" t="inlineStr">
        <is>
          <t>PERF/COSME</t>
        </is>
      </c>
      <c r="E2633" s="7" t="inlineStr">
        <is>
          <t>C</t>
        </is>
      </c>
      <c r="F2633" s="13" t="n">
        <v>3</v>
      </c>
      <c r="G2633" s="13" t="n">
        <v>3</v>
      </c>
      <c r="H2633" s="8" t="n">
        <v>12.98</v>
      </c>
      <c r="I2633" s="8" t="n">
        <v>12.98</v>
      </c>
      <c r="J2633" s="8" t="n">
        <v>12.98</v>
      </c>
      <c r="K2633" s="8" t="n"/>
      <c r="L2633" s="8" t="n"/>
      <c r="M2633" s="8" t="n"/>
      <c r="N2633" s="8" t="n"/>
      <c r="O2633" s="8" t="n"/>
      <c r="P2633" s="8" t="n"/>
      <c r="Q2633" s="8" t="n"/>
      <c r="R2633" s="8" t="n"/>
      <c r="S2633" s="8" t="n"/>
      <c r="T2633" s="7" t="inlineStr">
        <is>
          <t>SEM COTAÇÃO</t>
        </is>
      </c>
      <c r="U2633" s="8" t="n"/>
      <c r="V2633" s="14" t="n"/>
      <c r="W2633" s="14" t="n"/>
      <c r="X2633" s="7" t="inlineStr"/>
      <c r="Y2633" s="7" t="inlineStr"/>
    </row>
    <row r="2634">
      <c r="A2634" s="7" t="n">
        <v>618751</v>
      </c>
      <c r="B2634" s="12" t="inlineStr">
        <is>
          <t>7898632472820</t>
        </is>
      </c>
      <c r="C2634" s="7" t="inlineStr">
        <is>
          <t>LABOTRAT ESF ROSTO CORP 150G MELANCIA</t>
        </is>
      </c>
      <c r="D2634" s="7" t="inlineStr">
        <is>
          <t>PERF/COSME</t>
        </is>
      </c>
      <c r="E2634" s="7" t="inlineStr">
        <is>
          <t>C</t>
        </is>
      </c>
      <c r="F2634" s="13" t="n">
        <v>3</v>
      </c>
      <c r="G2634" s="13" t="n">
        <v>3</v>
      </c>
      <c r="H2634" s="8" t="n">
        <v>12.98</v>
      </c>
      <c r="I2634" s="8" t="n">
        <v>12.98</v>
      </c>
      <c r="J2634" s="8" t="n">
        <v>12.98</v>
      </c>
      <c r="K2634" s="8" t="n"/>
      <c r="L2634" s="8" t="n"/>
      <c r="M2634" s="8" t="n"/>
      <c r="N2634" s="8" t="n"/>
      <c r="O2634" s="8" t="n"/>
      <c r="P2634" s="8" t="n"/>
      <c r="Q2634" s="8" t="n"/>
      <c r="R2634" s="8" t="n"/>
      <c r="S2634" s="8" t="n"/>
      <c r="T2634" s="7" t="inlineStr">
        <is>
          <t>SEM COTAÇÃO</t>
        </is>
      </c>
      <c r="U2634" s="8" t="n"/>
      <c r="V2634" s="14" t="n"/>
      <c r="W2634" s="14" t="n"/>
      <c r="X2634" s="7" t="inlineStr"/>
      <c r="Y2634" s="7" t="inlineStr"/>
    </row>
    <row r="2635">
      <c r="A2635" s="7" t="n">
        <v>615551</v>
      </c>
      <c r="B2635" s="12" t="inlineStr">
        <is>
          <t>7898632472837</t>
        </is>
      </c>
      <c r="C2635" s="7" t="inlineStr">
        <is>
          <t>LABOTRAT ESF ROSTO CORP 150G MORANGO</t>
        </is>
      </c>
      <c r="D2635" s="7" t="inlineStr">
        <is>
          <t>PERF/COSME</t>
        </is>
      </c>
      <c r="E2635" s="7" t="inlineStr">
        <is>
          <t>C</t>
        </is>
      </c>
      <c r="F2635" s="13" t="n">
        <v>2</v>
      </c>
      <c r="G2635" s="13" t="n">
        <v>2</v>
      </c>
      <c r="H2635" s="8" t="n">
        <v>12.98</v>
      </c>
      <c r="I2635" s="8" t="n">
        <v>12.98</v>
      </c>
      <c r="J2635" s="8" t="n">
        <v>12.98</v>
      </c>
      <c r="K2635" s="8" t="n"/>
      <c r="L2635" s="8" t="n"/>
      <c r="M2635" s="8" t="n"/>
      <c r="N2635" s="8" t="n"/>
      <c r="O2635" s="8" t="n"/>
      <c r="P2635" s="8" t="n"/>
      <c r="Q2635" s="8" t="n"/>
      <c r="R2635" s="8" t="n"/>
      <c r="S2635" s="8" t="n"/>
      <c r="T2635" s="7" t="inlineStr">
        <is>
          <t>SEM COTAÇÃO</t>
        </is>
      </c>
      <c r="U2635" s="8" t="n"/>
      <c r="V2635" s="14" t="n"/>
      <c r="W2635" s="14" t="n"/>
      <c r="X2635" s="7" t="inlineStr"/>
      <c r="Y2635" s="7" t="inlineStr"/>
    </row>
    <row r="2636">
      <c r="A2636" s="7" t="n">
        <v>627111</v>
      </c>
      <c r="B2636" s="12" t="inlineStr">
        <is>
          <t>7898632473162</t>
        </is>
      </c>
      <c r="C2636" s="7" t="inlineStr">
        <is>
          <t>LABOTRAT ESF ROSTO CORP 150G PESSEGO</t>
        </is>
      </c>
      <c r="D2636" s="7" t="inlineStr">
        <is>
          <t>PERF/COSME</t>
        </is>
      </c>
      <c r="E2636" s="7" t="inlineStr">
        <is>
          <t>C</t>
        </is>
      </c>
      <c r="F2636" s="13" t="n">
        <v>2</v>
      </c>
      <c r="G2636" s="13" t="n">
        <v>2</v>
      </c>
      <c r="H2636" s="8" t="n">
        <v>12.98</v>
      </c>
      <c r="I2636" s="8" t="n">
        <v>12.98</v>
      </c>
      <c r="J2636" s="8" t="n">
        <v>12.98</v>
      </c>
      <c r="K2636" s="8" t="n"/>
      <c r="L2636" s="8" t="n"/>
      <c r="M2636" s="8" t="n"/>
      <c r="N2636" s="8" t="n"/>
      <c r="O2636" s="8" t="n"/>
      <c r="P2636" s="8" t="n"/>
      <c r="Q2636" s="8" t="n"/>
      <c r="R2636" s="8" t="n"/>
      <c r="S2636" s="8" t="n"/>
      <c r="T2636" s="7" t="inlineStr">
        <is>
          <t>SEM COTAÇÃO</t>
        </is>
      </c>
      <c r="U2636" s="8" t="n"/>
      <c r="V2636" s="14" t="n"/>
      <c r="W2636" s="14" t="n"/>
      <c r="X2636" s="7" t="inlineStr"/>
      <c r="Y2636" s="7" t="inlineStr"/>
    </row>
    <row r="2637">
      <c r="A2637" s="7" t="n">
        <v>615541</v>
      </c>
      <c r="B2637" s="12" t="inlineStr">
        <is>
          <t>7898632472813</t>
        </is>
      </c>
      <c r="C2637" s="7" t="inlineStr">
        <is>
          <t>LABOTRAT ESF ROSTO CORP 150G PITAYA</t>
        </is>
      </c>
      <c r="D2637" s="7" t="inlineStr">
        <is>
          <t>PERF/COSME</t>
        </is>
      </c>
      <c r="E2637" s="7" t="inlineStr">
        <is>
          <t>C</t>
        </is>
      </c>
      <c r="F2637" s="13" t="n">
        <v>2</v>
      </c>
      <c r="G2637" s="13" t="n">
        <v>2</v>
      </c>
      <c r="H2637" s="8" t="n">
        <v>12.98</v>
      </c>
      <c r="I2637" s="8" t="n">
        <v>12.98</v>
      </c>
      <c r="J2637" s="8" t="n">
        <v>12.98</v>
      </c>
      <c r="K2637" s="8" t="n"/>
      <c r="L2637" s="8" t="n"/>
      <c r="M2637" s="8" t="n"/>
      <c r="N2637" s="8" t="n"/>
      <c r="O2637" s="8" t="n"/>
      <c r="P2637" s="8" t="n"/>
      <c r="Q2637" s="8" t="n"/>
      <c r="R2637" s="8" t="n"/>
      <c r="S2637" s="8" t="n"/>
      <c r="T2637" s="7" t="inlineStr">
        <is>
          <t>SEM COTAÇÃO</t>
        </is>
      </c>
      <c r="U2637" s="8" t="n"/>
      <c r="V2637" s="14" t="n"/>
      <c r="W2637" s="14" t="n"/>
      <c r="X2637" s="7" t="inlineStr"/>
      <c r="Y2637" s="7" t="inlineStr"/>
    </row>
    <row r="2638">
      <c r="A2638" s="7" t="n">
        <v>618761</v>
      </c>
      <c r="B2638" s="12" t="inlineStr">
        <is>
          <t>7898632470529</t>
        </is>
      </c>
      <c r="C2638" s="7" t="inlineStr">
        <is>
          <t>LABOTRAT KIT CLAREADOR BANHO D LUA C/5UN</t>
        </is>
      </c>
      <c r="D2638" s="7" t="inlineStr">
        <is>
          <t>PERF/COSME</t>
        </is>
      </c>
      <c r="E2638" s="7" t="inlineStr">
        <is>
          <t>C</t>
        </is>
      </c>
      <c r="F2638" s="13" t="n">
        <v>2</v>
      </c>
      <c r="G2638" s="13" t="n">
        <v>2</v>
      </c>
      <c r="H2638" s="8" t="n">
        <v>20.52</v>
      </c>
      <c r="I2638" s="8" t="n">
        <v>20.52</v>
      </c>
      <c r="J2638" s="8" t="n">
        <v>20.52</v>
      </c>
      <c r="K2638" s="8" t="n"/>
      <c r="L2638" s="8" t="n"/>
      <c r="M2638" s="8" t="n"/>
      <c r="N2638" s="8" t="n"/>
      <c r="O2638" s="8" t="n"/>
      <c r="P2638" s="8" t="n"/>
      <c r="Q2638" s="8" t="n"/>
      <c r="R2638" s="8" t="n"/>
      <c r="S2638" s="8" t="n"/>
      <c r="T2638" s="7" t="inlineStr">
        <is>
          <t>SEM COTAÇÃO</t>
        </is>
      </c>
      <c r="U2638" s="8" t="n"/>
      <c r="V2638" s="14" t="n"/>
      <c r="W2638" s="14" t="n"/>
      <c r="X2638" s="7" t="inlineStr"/>
      <c r="Y2638" s="7" t="inlineStr"/>
    </row>
    <row r="2639">
      <c r="A2639" s="7" t="n">
        <v>622281</v>
      </c>
      <c r="B2639" s="12" t="inlineStr">
        <is>
          <t>7898632472288</t>
        </is>
      </c>
      <c r="C2639" s="7" t="inlineStr">
        <is>
          <t>LABOTRAT OLEO CORP 120ML ROSA MOSQUETA</t>
        </is>
      </c>
      <c r="D2639" s="7" t="inlineStr">
        <is>
          <t>PERF/COSME</t>
        </is>
      </c>
      <c r="E2639" s="7" t="inlineStr">
        <is>
          <t>C</t>
        </is>
      </c>
      <c r="F2639" s="13" t="n">
        <v>1</v>
      </c>
      <c r="G2639" s="13" t="n">
        <v>1</v>
      </c>
      <c r="H2639" s="8" t="n">
        <v>18.9</v>
      </c>
      <c r="I2639" s="8" t="n">
        <v>18.9</v>
      </c>
      <c r="J2639" s="8" t="n">
        <v>18.9</v>
      </c>
      <c r="K2639" s="8" t="n"/>
      <c r="L2639" s="8" t="n"/>
      <c r="M2639" s="8" t="n"/>
      <c r="N2639" s="8" t="n"/>
      <c r="O2639" s="8" t="n"/>
      <c r="P2639" s="8" t="n"/>
      <c r="Q2639" s="8" t="n"/>
      <c r="R2639" s="8" t="n"/>
      <c r="S2639" s="8" t="n"/>
      <c r="T2639" s="7" t="inlineStr">
        <is>
          <t>SEM COTAÇÃO</t>
        </is>
      </c>
      <c r="U2639" s="8" t="n"/>
      <c r="V2639" s="14" t="n"/>
      <c r="W2639" s="14" t="n"/>
      <c r="X2639" s="7" t="inlineStr"/>
      <c r="Y2639" s="7" t="inlineStr"/>
    </row>
    <row r="2640">
      <c r="A2640" s="7" t="n">
        <v>617901</v>
      </c>
      <c r="B2640" s="12" t="inlineStr"/>
      <c r="C2640" s="7" t="inlineStr">
        <is>
          <t>LABOTRAT SB LIQ CORP 190ML MORANGO</t>
        </is>
      </c>
      <c r="D2640" s="7" t="inlineStr">
        <is>
          <t>PERF/COSME</t>
        </is>
      </c>
      <c r="E2640" s="7" t="inlineStr">
        <is>
          <t>C</t>
        </is>
      </c>
      <c r="F2640" s="13" t="n">
        <v>1</v>
      </c>
      <c r="G2640" s="13" t="n">
        <v>1</v>
      </c>
      <c r="H2640" s="8" t="n">
        <v>11.96</v>
      </c>
      <c r="I2640" s="8" t="n">
        <v>11.96</v>
      </c>
      <c r="J2640" s="8" t="n">
        <v>11.96</v>
      </c>
      <c r="K2640" s="8" t="n"/>
      <c r="L2640" s="8" t="n"/>
      <c r="M2640" s="8" t="n"/>
      <c r="N2640" s="8" t="n"/>
      <c r="O2640" s="8" t="n"/>
      <c r="P2640" s="8" t="n"/>
      <c r="Q2640" s="8" t="n"/>
      <c r="R2640" s="8" t="n"/>
      <c r="S2640" s="8" t="n"/>
      <c r="T2640" s="7" t="inlineStr">
        <is>
          <t>SEM COTAÇÃO</t>
        </is>
      </c>
      <c r="U2640" s="8" t="n"/>
      <c r="V2640" s="14" t="n"/>
      <c r="W2640" s="14" t="n"/>
      <c r="X2640" s="7" t="inlineStr"/>
      <c r="Y2640" s="7" t="inlineStr"/>
    </row>
    <row r="2641">
      <c r="A2641" s="7" t="n">
        <v>615561</v>
      </c>
      <c r="B2641" s="12" t="inlineStr">
        <is>
          <t>7898632473346</t>
        </is>
      </c>
      <c r="C2641" s="7" t="inlineStr">
        <is>
          <t>LABOTRAT SB LIQ CORP 190ML PITAYA</t>
        </is>
      </c>
      <c r="D2641" s="7" t="inlineStr">
        <is>
          <t>PERF/COSME</t>
        </is>
      </c>
      <c r="E2641" s="7" t="inlineStr">
        <is>
          <t>C</t>
        </is>
      </c>
      <c r="F2641" s="13" t="n">
        <v>1</v>
      </c>
      <c r="G2641" s="13" t="n">
        <v>1</v>
      </c>
      <c r="H2641" s="8" t="n">
        <v>11.96</v>
      </c>
      <c r="I2641" s="8" t="n">
        <v>11.96</v>
      </c>
      <c r="J2641" s="8" t="n">
        <v>11.96</v>
      </c>
      <c r="K2641" s="8" t="n"/>
      <c r="L2641" s="8" t="n"/>
      <c r="M2641" s="8" t="n"/>
      <c r="N2641" s="8" t="n"/>
      <c r="O2641" s="8" t="n"/>
      <c r="P2641" s="8" t="n"/>
      <c r="Q2641" s="8" t="n"/>
      <c r="R2641" s="8" t="n"/>
      <c r="S2641" s="8" t="n"/>
      <c r="T2641" s="7" t="inlineStr">
        <is>
          <t>SEM COTAÇÃO</t>
        </is>
      </c>
      <c r="U2641" s="8" t="n"/>
      <c r="V2641" s="14" t="n"/>
      <c r="W2641" s="14" t="n"/>
      <c r="X2641" s="7" t="inlineStr"/>
      <c r="Y2641" s="7" t="inlineStr"/>
    </row>
    <row r="2642">
      <c r="A2642" s="7" t="n">
        <v>615631</v>
      </c>
      <c r="B2642" s="12" t="inlineStr">
        <is>
          <t>7898632472677</t>
        </is>
      </c>
      <c r="C2642" s="7" t="inlineStr">
        <is>
          <t>LABOTRAT SB LIQ FAC 100ML ANTIACNE</t>
        </is>
      </c>
      <c r="D2642" s="7" t="inlineStr">
        <is>
          <t>PERF/COSME</t>
        </is>
      </c>
      <c r="E2642" s="7" t="inlineStr">
        <is>
          <t>C</t>
        </is>
      </c>
      <c r="F2642" s="13" t="n">
        <v>2</v>
      </c>
      <c r="G2642" s="13" t="n">
        <v>2</v>
      </c>
      <c r="H2642" s="8" t="n">
        <v>12.43</v>
      </c>
      <c r="I2642" s="8" t="n">
        <v>12.43</v>
      </c>
      <c r="J2642" s="8" t="n">
        <v>12.43</v>
      </c>
      <c r="K2642" s="8" t="n"/>
      <c r="L2642" s="8" t="n"/>
      <c r="M2642" s="8" t="n"/>
      <c r="N2642" s="8" t="n"/>
      <c r="O2642" s="8" t="n"/>
      <c r="P2642" s="8" t="n"/>
      <c r="Q2642" s="8" t="n"/>
      <c r="R2642" s="8" t="n"/>
      <c r="S2642" s="8" t="n"/>
      <c r="T2642" s="7" t="inlineStr">
        <is>
          <t>SEM COTAÇÃO</t>
        </is>
      </c>
      <c r="U2642" s="8" t="n"/>
      <c r="V2642" s="14" t="n"/>
      <c r="W2642" s="14" t="n"/>
      <c r="X2642" s="7" t="inlineStr"/>
      <c r="Y2642" s="7" t="inlineStr"/>
    </row>
    <row r="2643">
      <c r="A2643" s="7" t="n">
        <v>627041</v>
      </c>
      <c r="B2643" s="12" t="inlineStr">
        <is>
          <t>7898632472691</t>
        </is>
      </c>
      <c r="C2643" s="7" t="inlineStr">
        <is>
          <t>LABOTRAT SB LIQ FAC 100ML PRIMER</t>
        </is>
      </c>
      <c r="D2643" s="7" t="inlineStr">
        <is>
          <t>PERF/COSME</t>
        </is>
      </c>
      <c r="E2643" s="7" t="inlineStr">
        <is>
          <t>B</t>
        </is>
      </c>
      <c r="F2643" s="13" t="n">
        <v>1</v>
      </c>
      <c r="G2643" s="13" t="n">
        <v>1</v>
      </c>
      <c r="H2643" s="8" t="n">
        <v>12.43</v>
      </c>
      <c r="I2643" s="8" t="n">
        <v>12.43</v>
      </c>
      <c r="J2643" s="8" t="n">
        <v>12.43</v>
      </c>
      <c r="K2643" s="8" t="n"/>
      <c r="L2643" s="8" t="n"/>
      <c r="M2643" s="8" t="n"/>
      <c r="N2643" s="8" t="n"/>
      <c r="O2643" s="8" t="n"/>
      <c r="P2643" s="8" t="n"/>
      <c r="Q2643" s="8" t="n"/>
      <c r="R2643" s="8" t="n"/>
      <c r="S2643" s="8" t="n"/>
      <c r="T2643" s="7" t="inlineStr">
        <is>
          <t>SEM COTAÇÃO</t>
        </is>
      </c>
      <c r="U2643" s="8" t="n"/>
      <c r="V2643" s="14" t="n"/>
      <c r="W2643" s="14" t="n"/>
      <c r="X2643" s="7" t="inlineStr"/>
      <c r="Y2643" s="7" t="inlineStr"/>
    </row>
    <row r="2644">
      <c r="A2644" s="7" t="n">
        <v>618721</v>
      </c>
      <c r="B2644" s="12" t="inlineStr">
        <is>
          <t>7898632472578</t>
        </is>
      </c>
      <c r="C2644" s="7" t="inlineStr">
        <is>
          <t>LABOTRAT SB LIQ FAC 100ML VITAMINA C</t>
        </is>
      </c>
      <c r="D2644" s="7" t="inlineStr">
        <is>
          <t>PERF/COSME</t>
        </is>
      </c>
      <c r="E2644" s="7" t="inlineStr">
        <is>
          <t>C</t>
        </is>
      </c>
      <c r="F2644" s="13" t="n">
        <v>2</v>
      </c>
      <c r="G2644" s="13" t="n">
        <v>2</v>
      </c>
      <c r="H2644" s="8" t="n">
        <v>12.43</v>
      </c>
      <c r="I2644" s="8" t="n">
        <v>12.43</v>
      </c>
      <c r="J2644" s="8" t="n">
        <v>12.43</v>
      </c>
      <c r="K2644" s="8" t="n"/>
      <c r="L2644" s="8" t="n"/>
      <c r="M2644" s="8" t="n"/>
      <c r="N2644" s="8" t="n"/>
      <c r="O2644" s="8" t="n"/>
      <c r="P2644" s="8" t="n"/>
      <c r="Q2644" s="8" t="n"/>
      <c r="R2644" s="8" t="n"/>
      <c r="S2644" s="8" t="n"/>
      <c r="T2644" s="7" t="inlineStr">
        <is>
          <t>SEM COTAÇÃO</t>
        </is>
      </c>
      <c r="U2644" s="8" t="n"/>
      <c r="V2644" s="14" t="n"/>
      <c r="W2644" s="14" t="n"/>
      <c r="X2644" s="7" t="inlineStr"/>
      <c r="Y2644" s="7" t="inlineStr"/>
    </row>
    <row r="2645">
      <c r="A2645" s="7" t="n">
        <v>615621</v>
      </c>
      <c r="B2645" s="12" t="inlineStr">
        <is>
          <t>7898632473018</t>
        </is>
      </c>
      <c r="C2645" s="7" t="inlineStr">
        <is>
          <t>LABOTRAT SB LIQ FAC ESF 80ML ENZIMATICO</t>
        </is>
      </c>
      <c r="D2645" s="7" t="inlineStr">
        <is>
          <t>PERF/COSME</t>
        </is>
      </c>
      <c r="E2645" s="7" t="inlineStr">
        <is>
          <t>B</t>
        </is>
      </c>
      <c r="F2645" s="13" t="n">
        <v>2</v>
      </c>
      <c r="G2645" s="13" t="n">
        <v>2</v>
      </c>
      <c r="H2645" s="8" t="n">
        <v>12.43</v>
      </c>
      <c r="I2645" s="8" t="n">
        <v>12.43</v>
      </c>
      <c r="J2645" s="8" t="n">
        <v>12.43</v>
      </c>
      <c r="K2645" s="8" t="n"/>
      <c r="L2645" s="8" t="n"/>
      <c r="M2645" s="8" t="n"/>
      <c r="N2645" s="8" t="n"/>
      <c r="O2645" s="8" t="n"/>
      <c r="P2645" s="8" t="n"/>
      <c r="Q2645" s="8" t="n"/>
      <c r="R2645" s="8" t="n"/>
      <c r="S2645" s="8" t="n"/>
      <c r="T2645" s="7" t="inlineStr">
        <is>
          <t>SEM COTAÇÃO</t>
        </is>
      </c>
      <c r="U2645" s="8" t="n"/>
      <c r="V2645" s="14" t="n"/>
      <c r="W2645" s="14" t="n"/>
      <c r="X2645" s="7" t="inlineStr"/>
      <c r="Y2645" s="7" t="inlineStr"/>
    </row>
    <row r="2646">
      <c r="A2646" s="7" t="n">
        <v>570201</v>
      </c>
      <c r="B2646" s="12" t="inlineStr">
        <is>
          <t>7896004762098</t>
        </is>
      </c>
      <c r="C2646" s="7" t="inlineStr">
        <is>
          <t>LACDAY 8CPR MAST</t>
        </is>
      </c>
      <c r="D2646" s="7" t="inlineStr">
        <is>
          <t>RX - OTC</t>
        </is>
      </c>
      <c r="E2646" s="7" t="inlineStr">
        <is>
          <t>B</t>
        </is>
      </c>
      <c r="F2646" s="13" t="n">
        <v>3</v>
      </c>
      <c r="G2646" s="13" t="n">
        <v>3</v>
      </c>
      <c r="H2646" s="8" t="n">
        <v>16.73</v>
      </c>
      <c r="I2646" s="8" t="n">
        <v>16.73</v>
      </c>
      <c r="J2646" s="8" t="n">
        <v>16.73</v>
      </c>
      <c r="K2646" s="8" t="n"/>
      <c r="L2646" s="8" t="n"/>
      <c r="M2646" s="8" t="n">
        <v>19.95</v>
      </c>
      <c r="N2646" s="8" t="n"/>
      <c r="O2646" s="8" t="n"/>
      <c r="P2646" s="8" t="n">
        <v>18.83</v>
      </c>
      <c r="Q2646" s="15" t="n">
        <v>19.74</v>
      </c>
      <c r="R2646" s="8" t="n"/>
      <c r="S2646" s="8" t="n"/>
      <c r="T2646" s="7" t="inlineStr">
        <is>
          <t>MEDCENTRO</t>
        </is>
      </c>
      <c r="U2646" s="8" t="n">
        <v>19.74</v>
      </c>
      <c r="V2646" s="14">
        <f>U2646/J2646-1</f>
        <v/>
      </c>
      <c r="W2646" s="14">
        <f>U2646/H2646-1</f>
        <v/>
      </c>
      <c r="X2646" s="16" t="inlineStr">
        <is>
          <t>ACIMA +18.0%</t>
        </is>
      </c>
      <c r="Y2646" s="7" t="inlineStr">
        <is>
          <t>EPAN: sem estoque; NAZARIA: sem estoque</t>
        </is>
      </c>
    </row>
    <row r="2647">
      <c r="A2647" s="7" t="n">
        <v>208201</v>
      </c>
      <c r="B2647" s="12" t="inlineStr">
        <is>
          <t>7896676432855</t>
        </is>
      </c>
      <c r="C2647" s="7" t="inlineStr">
        <is>
          <t>LACRIBELL 1+3MG SOL OFT FR 15ML</t>
        </is>
      </c>
      <c r="D2647" s="7" t="inlineStr">
        <is>
          <t>RX - OTC</t>
        </is>
      </c>
      <c r="E2647" s="7" t="inlineStr">
        <is>
          <t>B</t>
        </is>
      </c>
      <c r="F2647" s="13" t="n">
        <v>3</v>
      </c>
      <c r="G2647" s="13" t="n">
        <v>3</v>
      </c>
      <c r="H2647" s="8" t="n">
        <v>19.53</v>
      </c>
      <c r="I2647" s="8" t="n">
        <v>17.415</v>
      </c>
      <c r="J2647" s="8" t="n">
        <v>18.48</v>
      </c>
      <c r="K2647" s="8" t="n"/>
      <c r="L2647" s="8" t="n"/>
      <c r="M2647" s="8" t="n">
        <v>19.53</v>
      </c>
      <c r="N2647" s="8" t="n"/>
      <c r="O2647" s="15" t="n">
        <v>18.59</v>
      </c>
      <c r="P2647" s="8" t="n">
        <v>19.78</v>
      </c>
      <c r="Q2647" s="8" t="n"/>
      <c r="R2647" s="8" t="n"/>
      <c r="S2647" s="8" t="n"/>
      <c r="T2647" s="7" t="inlineStr">
        <is>
          <t>TAPAJOS</t>
        </is>
      </c>
      <c r="U2647" s="8" t="n">
        <v>18.59</v>
      </c>
      <c r="V2647" s="14">
        <f>U2647/J2647-1</f>
        <v/>
      </c>
      <c r="W2647" s="14">
        <f>U2647/H2647-1</f>
        <v/>
      </c>
      <c r="X2647" s="17" t="inlineStr">
        <is>
          <t>OK (≤ últ. compra)</t>
        </is>
      </c>
      <c r="Y2647" s="7" t="inlineStr"/>
    </row>
    <row r="2648">
      <c r="A2648" s="7" t="n">
        <v>556941</v>
      </c>
      <c r="B2648" s="12" t="inlineStr">
        <is>
          <t>7897947612808</t>
        </is>
      </c>
      <c r="C2648" s="7" t="inlineStr">
        <is>
          <t>LACTOLINEA 667MG SOL OR FR 120ML SBR AME</t>
        </is>
      </c>
      <c r="D2648" s="7" t="inlineStr">
        <is>
          <t>SIMILAR</t>
        </is>
      </c>
      <c r="E2648" s="7" t="inlineStr">
        <is>
          <t>C</t>
        </is>
      </c>
      <c r="F2648" s="13" t="n">
        <v>16</v>
      </c>
      <c r="G2648" s="13" t="n">
        <v>16</v>
      </c>
      <c r="H2648" s="8" t="n">
        <v>9.09</v>
      </c>
      <c r="I2648" s="8" t="n">
        <v>9.09</v>
      </c>
      <c r="J2648" s="8" t="n">
        <v>9.09</v>
      </c>
      <c r="K2648" s="8" t="n"/>
      <c r="L2648" s="8" t="n"/>
      <c r="M2648" s="8" t="n"/>
      <c r="N2648" s="8" t="n"/>
      <c r="O2648" s="8" t="n"/>
      <c r="P2648" s="8" t="n">
        <v>13.15</v>
      </c>
      <c r="Q2648" s="8" t="n"/>
      <c r="R2648" s="8" t="n"/>
      <c r="S2648" s="8" t="n"/>
      <c r="T2648" s="7" t="inlineStr">
        <is>
          <t>SEM COTAÇÃO</t>
        </is>
      </c>
      <c r="U2648" s="8" t="n"/>
      <c r="V2648" s="14" t="n"/>
      <c r="W2648" s="14" t="n"/>
      <c r="X2648" s="7" t="inlineStr"/>
      <c r="Y2648" s="7" t="inlineStr">
        <is>
          <t>NAZARIA: sem estoque</t>
        </is>
      </c>
    </row>
    <row r="2649">
      <c r="A2649" s="7" t="n">
        <v>549281</v>
      </c>
      <c r="B2649" s="12" t="inlineStr">
        <is>
          <t>7896004768465</t>
        </is>
      </c>
      <c r="C2649" s="7" t="inlineStr">
        <is>
          <t>LACTULIV 667MG/ML 120ML AMEIXA (LACTULOS</t>
        </is>
      </c>
      <c r="D2649" s="7" t="inlineStr">
        <is>
          <t>SIMILAR</t>
        </is>
      </c>
      <c r="E2649" s="7" t="inlineStr">
        <is>
          <t>A</t>
        </is>
      </c>
      <c r="F2649" s="13" t="n">
        <v>7</v>
      </c>
      <c r="G2649" s="13" t="n">
        <v>7</v>
      </c>
      <c r="H2649" s="8" t="n">
        <v>13.43</v>
      </c>
      <c r="I2649" s="8" t="n">
        <v>12.89</v>
      </c>
      <c r="J2649" s="8" t="n">
        <v>13.07</v>
      </c>
      <c r="K2649" s="8" t="n"/>
      <c r="L2649" s="8" t="n"/>
      <c r="M2649" s="8" t="n"/>
      <c r="N2649" s="8" t="n">
        <v>14.15</v>
      </c>
      <c r="O2649" s="15" t="n">
        <v>11.33</v>
      </c>
      <c r="P2649" s="8" t="n">
        <v>14.07</v>
      </c>
      <c r="Q2649" s="8" t="n">
        <v>15.44</v>
      </c>
      <c r="R2649" s="8" t="n">
        <v>15.1</v>
      </c>
      <c r="S2649" s="8" t="n"/>
      <c r="T2649" s="7" t="inlineStr">
        <is>
          <t>TAPAJOS</t>
        </is>
      </c>
      <c r="U2649" s="8" t="n">
        <v>11.33</v>
      </c>
      <c r="V2649" s="14">
        <f>U2649/J2649-1</f>
        <v/>
      </c>
      <c r="W2649" s="14">
        <f>U2649/H2649-1</f>
        <v/>
      </c>
      <c r="X2649" s="17" t="inlineStr">
        <is>
          <t>OK (≤ menor hist.)</t>
        </is>
      </c>
      <c r="Y2649" s="7" t="inlineStr">
        <is>
          <t>NAZARIA: sem estoque</t>
        </is>
      </c>
    </row>
    <row r="2650">
      <c r="A2650" s="7" t="n">
        <v>645491</v>
      </c>
      <c r="B2650" s="12" t="inlineStr">
        <is>
          <t>7896004768472</t>
        </is>
      </c>
      <c r="C2650" s="7" t="inlineStr">
        <is>
          <t>LACTULIV 667MG/ML 120ML SAL.FRUTAS (LACT</t>
        </is>
      </c>
      <c r="D2650" s="7" t="inlineStr">
        <is>
          <t>SIMILAR</t>
        </is>
      </c>
      <c r="E2650" s="7" t="inlineStr">
        <is>
          <t>B</t>
        </is>
      </c>
      <c r="F2650" s="13" t="n">
        <v>3</v>
      </c>
      <c r="G2650" s="13" t="n">
        <v>3</v>
      </c>
      <c r="H2650" s="8" t="n">
        <v>4.17</v>
      </c>
      <c r="I2650" s="8" t="n">
        <v>4.17</v>
      </c>
      <c r="J2650" s="8" t="n">
        <v>4.17</v>
      </c>
      <c r="K2650" s="8" t="n"/>
      <c r="L2650" s="8" t="n"/>
      <c r="M2650" s="8" t="n"/>
      <c r="N2650" s="8" t="n">
        <v>13.95</v>
      </c>
      <c r="O2650" s="15" t="n">
        <v>11.16</v>
      </c>
      <c r="P2650" s="8" t="n">
        <v>13.86</v>
      </c>
      <c r="Q2650" s="8" t="n">
        <v>15.34</v>
      </c>
      <c r="R2650" s="8" t="n">
        <v>14.96</v>
      </c>
      <c r="S2650" s="8" t="n"/>
      <c r="T2650" s="7" t="inlineStr">
        <is>
          <t>TAPAJOS</t>
        </is>
      </c>
      <c r="U2650" s="8" t="n">
        <v>11.16</v>
      </c>
      <c r="V2650" s="14">
        <f>U2650/J2650-1</f>
        <v/>
      </c>
      <c r="W2650" s="14">
        <f>U2650/H2650-1</f>
        <v/>
      </c>
      <c r="X2650" s="16" t="inlineStr">
        <is>
          <t>ACIMA +167.6%</t>
        </is>
      </c>
      <c r="Y2650" s="7" t="inlineStr">
        <is>
          <t>CENTROFARMA: conferir emb.; TAPAJOS: conferir emb.; NAZARIA: estoque parcial (1 un); conferir emb.; MEDCENTRO: conferir emb.; BRASFARMA: conferir emb.</t>
        </is>
      </c>
    </row>
    <row r="2651">
      <c r="A2651" s="7" t="n">
        <v>310061</v>
      </c>
      <c r="B2651" s="12" t="inlineStr">
        <is>
          <t>7897411610750</t>
        </is>
      </c>
      <c r="C2651" s="7" t="inlineStr">
        <is>
          <t>LACTULONA 667MG/ML XPE FR 120ML SB AMEIXA</t>
        </is>
      </c>
      <c r="D2651" s="7" t="inlineStr">
        <is>
          <t>RX - OTC</t>
        </is>
      </c>
      <c r="E2651" s="7" t="inlineStr">
        <is>
          <t>A</t>
        </is>
      </c>
      <c r="F2651" s="13" t="n">
        <v>1</v>
      </c>
      <c r="G2651" s="13" t="n">
        <v>1</v>
      </c>
      <c r="H2651" s="8" t="n">
        <v>48.17</v>
      </c>
      <c r="I2651" s="8" t="n">
        <v>42.12</v>
      </c>
      <c r="J2651" s="8" t="n">
        <v>45.98166666666666</v>
      </c>
      <c r="K2651" s="8" t="n"/>
      <c r="L2651" s="8" t="n"/>
      <c r="M2651" s="8" t="n">
        <v>48.17</v>
      </c>
      <c r="N2651" s="8" t="n"/>
      <c r="O2651" s="8" t="n"/>
      <c r="P2651" s="15" t="n">
        <v>46.8384</v>
      </c>
      <c r="Q2651" s="8" t="n"/>
      <c r="R2651" s="8" t="n"/>
      <c r="S2651" s="8" t="n"/>
      <c r="T2651" s="7" t="inlineStr">
        <is>
          <t>NAZARIA</t>
        </is>
      </c>
      <c r="U2651" s="8" t="n">
        <v>46.8384</v>
      </c>
      <c r="V2651" s="14">
        <f>U2651/J2651-1</f>
        <v/>
      </c>
      <c r="W2651" s="14">
        <f>U2651/H2651-1</f>
        <v/>
      </c>
      <c r="X2651" s="17" t="inlineStr">
        <is>
          <t>OK (≤ últ. compra)</t>
        </is>
      </c>
      <c r="Y2651" s="7" t="inlineStr"/>
    </row>
    <row r="2652">
      <c r="A2652" s="7" t="n">
        <v>555341</v>
      </c>
      <c r="B2652" s="12" t="inlineStr">
        <is>
          <t>7898949409458</t>
        </is>
      </c>
      <c r="C2652" s="7" t="inlineStr">
        <is>
          <t>LAKESIA GENOMMA CAIXA 30ML SOLUÇÃO ANTIMICÓTICA</t>
        </is>
      </c>
      <c r="D2652" s="7" t="inlineStr">
        <is>
          <t>RX - OTC</t>
        </is>
      </c>
      <c r="E2652" s="7" t="inlineStr">
        <is>
          <t>A</t>
        </is>
      </c>
      <c r="F2652" s="13" t="n">
        <v>4</v>
      </c>
      <c r="G2652" s="13" t="n">
        <v>4</v>
      </c>
      <c r="H2652" s="8" t="n">
        <v>35.342</v>
      </c>
      <c r="I2652" s="8" t="n">
        <v>33.17</v>
      </c>
      <c r="J2652" s="8" t="n">
        <v>34.618</v>
      </c>
      <c r="K2652" s="8" t="n"/>
      <c r="L2652" s="8" t="n"/>
      <c r="M2652" s="8" t="n"/>
      <c r="N2652" s="8" t="n"/>
      <c r="O2652" s="8" t="n"/>
      <c r="P2652" s="15" t="n">
        <v>44.18</v>
      </c>
      <c r="Q2652" s="8" t="n"/>
      <c r="R2652" s="8" t="n"/>
      <c r="S2652" s="8" t="n"/>
      <c r="T2652" s="7" t="inlineStr">
        <is>
          <t>NAZARIA</t>
        </is>
      </c>
      <c r="U2652" s="8" t="n">
        <v>44.18</v>
      </c>
      <c r="V2652" s="14">
        <f>U2652/J2652-1</f>
        <v/>
      </c>
      <c r="W2652" s="14">
        <f>U2652/H2652-1</f>
        <v/>
      </c>
      <c r="X2652" s="16" t="inlineStr">
        <is>
          <t>ACIMA +25.0%</t>
        </is>
      </c>
      <c r="Y2652" s="7" t="inlineStr"/>
    </row>
    <row r="2653">
      <c r="A2653" s="7" t="n">
        <v>586161</v>
      </c>
      <c r="B2653" s="12" t="inlineStr">
        <is>
          <t>7891051015210</t>
        </is>
      </c>
      <c r="C2653" s="7" t="inlineStr">
        <is>
          <t>LAMINA WILKSON 20X3</t>
        </is>
      </c>
      <c r="D2653" s="7" t="inlineStr">
        <is>
          <t>PERF/COSME</t>
        </is>
      </c>
      <c r="E2653" s="7" t="inlineStr">
        <is>
          <t>C</t>
        </is>
      </c>
      <c r="F2653" s="13" t="n">
        <v>10</v>
      </c>
      <c r="G2653" s="13" t="n">
        <v>10</v>
      </c>
      <c r="H2653" s="8" t="n">
        <v>1.096</v>
      </c>
      <c r="I2653" s="8" t="n">
        <v>1.096</v>
      </c>
      <c r="J2653" s="8" t="n">
        <v>1.096</v>
      </c>
      <c r="K2653" s="8" t="n"/>
      <c r="L2653" s="8" t="n"/>
      <c r="M2653" s="8" t="n"/>
      <c r="N2653" s="8" t="n"/>
      <c r="O2653" s="8" t="n"/>
      <c r="P2653" s="8" t="n"/>
      <c r="Q2653" s="8" t="n"/>
      <c r="R2653" s="8" t="n"/>
      <c r="S2653" s="8" t="n"/>
      <c r="T2653" s="7" t="inlineStr">
        <is>
          <t>SEM COTAÇÃO</t>
        </is>
      </c>
      <c r="U2653" s="8" t="n"/>
      <c r="V2653" s="14" t="n"/>
      <c r="W2653" s="14" t="n"/>
      <c r="X2653" s="7" t="inlineStr"/>
      <c r="Y2653" s="7" t="inlineStr"/>
    </row>
    <row r="2654">
      <c r="A2654" s="7" t="n">
        <v>542101</v>
      </c>
      <c r="B2654" s="12" t="inlineStr"/>
      <c r="C2654" s="7" t="inlineStr">
        <is>
          <t>LANCETA AUTOMATICA GLICOSE UNIDADE</t>
        </is>
      </c>
      <c r="D2654" s="7" t="inlineStr">
        <is>
          <t>USO INTERNO</t>
        </is>
      </c>
      <c r="E2654" s="7" t="inlineStr">
        <is>
          <t>C</t>
        </is>
      </c>
      <c r="F2654" s="13" t="n">
        <v>1</v>
      </c>
      <c r="G2654" s="13" t="n">
        <v>1</v>
      </c>
      <c r="H2654" s="8" t="n"/>
      <c r="I2654" s="8" t="n"/>
      <c r="J2654" s="8" t="n"/>
      <c r="K2654" s="8" t="n"/>
      <c r="L2654" s="8" t="n"/>
      <c r="M2654" s="8" t="n"/>
      <c r="N2654" s="8" t="n"/>
      <c r="O2654" s="8" t="n"/>
      <c r="P2654" s="8" t="n"/>
      <c r="Q2654" s="8" t="n"/>
      <c r="R2654" s="8" t="n"/>
      <c r="S2654" s="8" t="n"/>
      <c r="T2654" s="7" t="inlineStr">
        <is>
          <t>SEM COTAÇÃO</t>
        </is>
      </c>
      <c r="U2654" s="8" t="n"/>
      <c r="V2654" s="14" t="n"/>
      <c r="W2654" s="14" t="n"/>
      <c r="X2654" s="7" t="inlineStr"/>
      <c r="Y2654" s="7" t="inlineStr"/>
    </row>
    <row r="2655">
      <c r="A2655" s="7" t="n">
        <v>1173</v>
      </c>
      <c r="B2655" s="12" t="inlineStr"/>
      <c r="C2655" s="7" t="inlineStr">
        <is>
          <t>LANCETAS PARA LANCETADOR 28G C/100 UND</t>
        </is>
      </c>
      <c r="D2655" s="7" t="inlineStr">
        <is>
          <t>RX - OTC</t>
        </is>
      </c>
      <c r="E2655" s="7" t="inlineStr">
        <is>
          <t>C</t>
        </is>
      </c>
      <c r="F2655" s="13" t="n">
        <v>1</v>
      </c>
      <c r="G2655" s="13" t="n">
        <v>1</v>
      </c>
      <c r="H2655" s="8" t="n">
        <v>5.6025</v>
      </c>
      <c r="I2655" s="8" t="n">
        <v>5.6025</v>
      </c>
      <c r="J2655" s="8" t="n">
        <v>5.6025</v>
      </c>
      <c r="K2655" s="8" t="n"/>
      <c r="L2655" s="8" t="n"/>
      <c r="M2655" s="8" t="n"/>
      <c r="N2655" s="8" t="n"/>
      <c r="O2655" s="8" t="n"/>
      <c r="P2655" s="8" t="n"/>
      <c r="Q2655" s="8" t="n"/>
      <c r="R2655" s="8" t="n"/>
      <c r="S2655" s="8" t="n"/>
      <c r="T2655" s="7" t="inlineStr">
        <is>
          <t>SEM COTAÇÃO</t>
        </is>
      </c>
      <c r="U2655" s="8" t="n"/>
      <c r="V2655" s="14" t="n"/>
      <c r="W2655" s="14" t="n"/>
      <c r="X2655" s="7" t="inlineStr"/>
      <c r="Y2655" s="7" t="inlineStr"/>
    </row>
    <row r="2656">
      <c r="A2656" s="7" t="n">
        <v>1183</v>
      </c>
      <c r="B2656" s="12" t="inlineStr">
        <is>
          <t>7898639691965</t>
        </is>
      </c>
      <c r="C2656" s="7" t="inlineStr">
        <is>
          <t>LANCETAS PARA LANCETADOR 30G C/50 UND</t>
        </is>
      </c>
      <c r="D2656" s="7" t="inlineStr">
        <is>
          <t>RX - DIABETES</t>
        </is>
      </c>
      <c r="E2656" s="7" t="inlineStr">
        <is>
          <t>C</t>
        </is>
      </c>
      <c r="F2656" s="13" t="n">
        <v>1</v>
      </c>
      <c r="G2656" s="13" t="n">
        <v>1</v>
      </c>
      <c r="H2656" s="8" t="n">
        <v>2.84</v>
      </c>
      <c r="I2656" s="8" t="n">
        <v>2.84</v>
      </c>
      <c r="J2656" s="8" t="n">
        <v>2.84</v>
      </c>
      <c r="K2656" s="8" t="n"/>
      <c r="L2656" s="8" t="n"/>
      <c r="M2656" s="8" t="n"/>
      <c r="N2656" s="8" t="n"/>
      <c r="O2656" s="8" t="n"/>
      <c r="P2656" s="8" t="n"/>
      <c r="Q2656" s="8" t="n"/>
      <c r="R2656" s="8" t="n"/>
      <c r="S2656" s="8" t="n"/>
      <c r="T2656" s="7" t="inlineStr">
        <is>
          <t>SEM COTAÇÃO</t>
        </is>
      </c>
      <c r="U2656" s="8" t="n"/>
      <c r="V2656" s="14" t="n"/>
      <c r="W2656" s="14" t="n"/>
      <c r="X2656" s="7" t="inlineStr"/>
      <c r="Y2656" s="7" t="inlineStr"/>
    </row>
    <row r="2657">
      <c r="A2657" s="7" t="n">
        <v>655561</v>
      </c>
      <c r="B2657" s="12" t="inlineStr">
        <is>
          <t>7891317029869</t>
        </is>
      </c>
      <c r="C2657" s="7" t="inlineStr">
        <is>
          <t>LARC 500MG C/14 COMP-SIMILAR</t>
        </is>
      </c>
      <c r="D2657" s="7" t="inlineStr">
        <is>
          <t>RX</t>
        </is>
      </c>
      <c r="E2657" s="7" t="inlineStr">
        <is>
          <t>C</t>
        </is>
      </c>
      <c r="F2657" s="13" t="n">
        <v>2</v>
      </c>
      <c r="G2657" s="13" t="n">
        <v>2</v>
      </c>
      <c r="H2657" s="8" t="n">
        <v>33.36</v>
      </c>
      <c r="I2657" s="8" t="n">
        <v>33.36</v>
      </c>
      <c r="J2657" s="8" t="n">
        <v>33.36</v>
      </c>
      <c r="K2657" s="8" t="n"/>
      <c r="L2657" s="8" t="n"/>
      <c r="M2657" s="8" t="n"/>
      <c r="N2657" s="8" t="n"/>
      <c r="O2657" s="8" t="n"/>
      <c r="P2657" s="15" t="n">
        <v>37.3</v>
      </c>
      <c r="Q2657" s="8" t="n"/>
      <c r="R2657" s="8" t="n"/>
      <c r="S2657" s="8" t="n"/>
      <c r="T2657" s="7" t="inlineStr">
        <is>
          <t>NAZARIA</t>
        </is>
      </c>
      <c r="U2657" s="8" t="n">
        <v>37.3</v>
      </c>
      <c r="V2657" s="14">
        <f>U2657/J2657-1</f>
        <v/>
      </c>
      <c r="W2657" s="14">
        <f>U2657/H2657-1</f>
        <v/>
      </c>
      <c r="X2657" s="16" t="inlineStr">
        <is>
          <t>ACIMA +11.8%</t>
        </is>
      </c>
      <c r="Y2657" s="7" t="inlineStr">
        <is>
          <t>NAZARIA: estoque parcial (1 un)</t>
        </is>
      </c>
    </row>
    <row r="2658">
      <c r="A2658" s="7" t="n">
        <v>671941</v>
      </c>
      <c r="B2658" s="12" t="inlineStr"/>
      <c r="C2658" s="7" t="inlineStr">
        <is>
          <t>LARC 600MG C/14 COMP REV-SIMILAR</t>
        </is>
      </c>
      <c r="D2658" s="7" t="inlineStr">
        <is>
          <t>RX</t>
        </is>
      </c>
      <c r="E2658" s="7" t="inlineStr">
        <is>
          <t>A</t>
        </is>
      </c>
      <c r="F2658" s="13" t="n">
        <v>6</v>
      </c>
      <c r="G2658" s="13" t="n">
        <v>6</v>
      </c>
      <c r="H2658" s="8" t="n">
        <v>43.96</v>
      </c>
      <c r="I2658" s="8" t="n">
        <v>37.81</v>
      </c>
      <c r="J2658" s="8" t="n">
        <v>37.81</v>
      </c>
      <c r="K2658" s="8" t="n"/>
      <c r="L2658" s="8" t="n"/>
      <c r="M2658" s="8" t="n"/>
      <c r="N2658" s="8" t="n"/>
      <c r="O2658" s="8" t="n"/>
      <c r="P2658" s="8" t="n"/>
      <c r="Q2658" s="8" t="n"/>
      <c r="R2658" s="8" t="n"/>
      <c r="S2658" s="8" t="n"/>
      <c r="T2658" s="7" t="inlineStr">
        <is>
          <t>SEM COTAÇÃO</t>
        </is>
      </c>
      <c r="U2658" s="8" t="n"/>
      <c r="V2658" s="14" t="n"/>
      <c r="W2658" s="14" t="n"/>
      <c r="X2658" s="7" t="inlineStr"/>
      <c r="Y2658" s="7" t="inlineStr"/>
    </row>
    <row r="2659">
      <c r="A2659" s="7" t="n">
        <v>3203</v>
      </c>
      <c r="B2659" s="12" t="inlineStr">
        <is>
          <t>7898953484304</t>
        </is>
      </c>
      <c r="C2659" s="7" t="inlineStr">
        <is>
          <t>LAVADOR NASAL COM FRASCO 300ML C/2 BICOS</t>
        </is>
      </c>
      <c r="D2659" s="7" t="inlineStr">
        <is>
          <t>UTENSILIOS</t>
        </is>
      </c>
      <c r="E2659" s="7" t="inlineStr">
        <is>
          <t>C</t>
        </is>
      </c>
      <c r="F2659" s="13" t="n">
        <v>2</v>
      </c>
      <c r="G2659" s="13" t="n">
        <v>2</v>
      </c>
      <c r="H2659" s="8" t="n">
        <v>11.49</v>
      </c>
      <c r="I2659" s="8" t="n">
        <v>11.49</v>
      </c>
      <c r="J2659" s="8" t="n">
        <v>11.49</v>
      </c>
      <c r="K2659" s="15" t="n">
        <v>11.49</v>
      </c>
      <c r="L2659" s="8" t="n"/>
      <c r="M2659" s="8" t="n"/>
      <c r="N2659" s="8" t="n">
        <v>12.22</v>
      </c>
      <c r="O2659" s="8" t="n"/>
      <c r="P2659" s="8" t="n"/>
      <c r="Q2659" s="8" t="n">
        <v>14.22</v>
      </c>
      <c r="R2659" s="8" t="n"/>
      <c r="S2659" s="8" t="n"/>
      <c r="T2659" s="7" t="inlineStr">
        <is>
          <t>DIMEC</t>
        </is>
      </c>
      <c r="U2659" s="8" t="n">
        <v>11.49</v>
      </c>
      <c r="V2659" s="14">
        <f>U2659/J2659-1</f>
        <v/>
      </c>
      <c r="W2659" s="14">
        <f>U2659/H2659-1</f>
        <v/>
      </c>
      <c r="X2659" s="17" t="inlineStr">
        <is>
          <t>OK (≤ menor hist.)</t>
        </is>
      </c>
      <c r="Y2659" s="7" t="inlineStr"/>
    </row>
    <row r="2660">
      <c r="A2660" s="7" t="n">
        <v>568661</v>
      </c>
      <c r="B2660" s="12" t="inlineStr"/>
      <c r="C2660" s="7" t="inlineStr">
        <is>
          <t>LAVITAN 50+ MULHER COMP REV X 60</t>
        </is>
      </c>
      <c r="D2660" s="7" t="inlineStr">
        <is>
          <t>VITAMINA E SIMILARES</t>
        </is>
      </c>
      <c r="E2660" s="7" t="inlineStr">
        <is>
          <t>A</t>
        </is>
      </c>
      <c r="F2660" s="13" t="n">
        <v>4</v>
      </c>
      <c r="G2660" s="13" t="n">
        <v>4</v>
      </c>
      <c r="H2660" s="8" t="n">
        <v>20.71</v>
      </c>
      <c r="I2660" s="8" t="n">
        <v>20.71</v>
      </c>
      <c r="J2660" s="8" t="n">
        <v>20.71</v>
      </c>
      <c r="K2660" s="8" t="n"/>
      <c r="L2660" s="8" t="n"/>
      <c r="M2660" s="8" t="n"/>
      <c r="N2660" s="8" t="n"/>
      <c r="O2660" s="8" t="n"/>
      <c r="P2660" s="8" t="n"/>
      <c r="Q2660" s="8" t="n"/>
      <c r="R2660" s="8" t="n"/>
      <c r="S2660" s="8" t="n"/>
      <c r="T2660" s="7" t="inlineStr">
        <is>
          <t>SEM COTAÇÃO</t>
        </is>
      </c>
      <c r="U2660" s="8" t="n"/>
      <c r="V2660" s="14" t="n"/>
      <c r="W2660" s="14" t="n"/>
      <c r="X2660" s="7" t="inlineStr"/>
      <c r="Y2660" s="7" t="inlineStr"/>
    </row>
    <row r="2661">
      <c r="A2661" s="7" t="n">
        <v>643461</v>
      </c>
      <c r="B2661" s="12" t="inlineStr">
        <is>
          <t>7897947617315</t>
        </is>
      </c>
      <c r="C2661" s="7" t="inlineStr">
        <is>
          <t>LAVITAN 50+ MULHER CPRV FR X 60 SF</t>
        </is>
      </c>
      <c r="D2661" s="7" t="inlineStr">
        <is>
          <t>VITAMINA E SIMILARES</t>
        </is>
      </c>
      <c r="E2661" s="7" t="inlineStr">
        <is>
          <t>A</t>
        </is>
      </c>
      <c r="F2661" s="13" t="n">
        <v>2</v>
      </c>
      <c r="G2661" s="13" t="n">
        <v>2</v>
      </c>
      <c r="H2661" s="8" t="n">
        <v>31.79</v>
      </c>
      <c r="I2661" s="8" t="n">
        <v>31.79</v>
      </c>
      <c r="J2661" s="8" t="n">
        <v>31.79</v>
      </c>
      <c r="K2661" s="8" t="n"/>
      <c r="L2661" s="8" t="n"/>
      <c r="M2661" s="8" t="n"/>
      <c r="N2661" s="8" t="n"/>
      <c r="O2661" s="8" t="n"/>
      <c r="P2661" s="8" t="n"/>
      <c r="Q2661" s="8" t="n"/>
      <c r="R2661" s="8" t="n"/>
      <c r="S2661" s="8" t="n"/>
      <c r="T2661" s="7" t="inlineStr">
        <is>
          <t>SEM COTAÇÃO</t>
        </is>
      </c>
      <c r="U2661" s="8" t="n"/>
      <c r="V2661" s="14" t="n"/>
      <c r="W2661" s="14" t="n"/>
      <c r="X2661" s="7" t="inlineStr"/>
      <c r="Y2661" s="7" t="inlineStr"/>
    </row>
    <row r="2662">
      <c r="A2662" s="7" t="n">
        <v>630511</v>
      </c>
      <c r="B2662" s="12" t="inlineStr">
        <is>
          <t>7897947616776</t>
        </is>
      </c>
      <c r="C2662" s="7" t="inlineStr">
        <is>
          <t>LAVITAN BCAA 2400 CAPS FR C/ 100</t>
        </is>
      </c>
      <c r="D2662" s="7" t="inlineStr">
        <is>
          <t>VITAMINA E SIMILARES</t>
        </is>
      </c>
      <c r="E2662" s="7" t="inlineStr">
        <is>
          <t>B</t>
        </is>
      </c>
      <c r="F2662" s="13" t="n">
        <v>1</v>
      </c>
      <c r="G2662" s="13" t="n">
        <v>1</v>
      </c>
      <c r="H2662" s="8" t="n">
        <v>45.79</v>
      </c>
      <c r="I2662" s="8" t="n">
        <v>45.79</v>
      </c>
      <c r="J2662" s="8" t="n">
        <v>45.79</v>
      </c>
      <c r="K2662" s="8" t="n"/>
      <c r="L2662" s="8" t="n"/>
      <c r="M2662" s="8" t="n"/>
      <c r="N2662" s="8" t="n"/>
      <c r="O2662" s="8" t="n"/>
      <c r="P2662" s="8" t="n"/>
      <c r="Q2662" s="8" t="n"/>
      <c r="R2662" s="8" t="n"/>
      <c r="S2662" s="8" t="n"/>
      <c r="T2662" s="7" t="inlineStr">
        <is>
          <t>SEM COTAÇÃO</t>
        </is>
      </c>
      <c r="U2662" s="8" t="n"/>
      <c r="V2662" s="14" t="n"/>
      <c r="W2662" s="14" t="n"/>
      <c r="X2662" s="7" t="inlineStr"/>
      <c r="Y2662" s="7" t="inlineStr"/>
    </row>
    <row r="2663">
      <c r="A2663" s="7" t="n">
        <v>640111</v>
      </c>
      <c r="B2663" s="12" t="inlineStr">
        <is>
          <t>7897947617445</t>
        </is>
      </c>
      <c r="C2663" s="7" t="inlineStr">
        <is>
          <t>LAVITAN CABELOS E UNHAS CPRV FR C/30 SF</t>
        </is>
      </c>
      <c r="D2663" s="7" t="inlineStr">
        <is>
          <t>VITAMINA E SIMILARES</t>
        </is>
      </c>
      <c r="E2663" s="7" t="inlineStr">
        <is>
          <t>B</t>
        </is>
      </c>
      <c r="F2663" s="13" t="n">
        <v>1</v>
      </c>
      <c r="G2663" s="13" t="n">
        <v>1</v>
      </c>
      <c r="H2663" s="8" t="n">
        <v>38.21</v>
      </c>
      <c r="I2663" s="8" t="n">
        <v>36.39</v>
      </c>
      <c r="J2663" s="8" t="n">
        <v>36.99666666666666</v>
      </c>
      <c r="K2663" s="8" t="n"/>
      <c r="L2663" s="8" t="n"/>
      <c r="M2663" s="8" t="n"/>
      <c r="N2663" s="8" t="n"/>
      <c r="O2663" s="8" t="n"/>
      <c r="P2663" s="15" t="n">
        <v>43.91</v>
      </c>
      <c r="Q2663" s="8" t="n"/>
      <c r="R2663" s="8" t="n"/>
      <c r="S2663" s="8" t="n"/>
      <c r="T2663" s="7" t="inlineStr">
        <is>
          <t>NAZARIA</t>
        </is>
      </c>
      <c r="U2663" s="8" t="n">
        <v>43.91</v>
      </c>
      <c r="V2663" s="14">
        <f>U2663/J2663-1</f>
        <v/>
      </c>
      <c r="W2663" s="14">
        <f>U2663/H2663-1</f>
        <v/>
      </c>
      <c r="X2663" s="16" t="inlineStr">
        <is>
          <t>ACIMA +14.9%</t>
        </is>
      </c>
      <c r="Y2663" s="7" t="inlineStr"/>
    </row>
    <row r="2664">
      <c r="A2664" s="7" t="n">
        <v>674421</v>
      </c>
      <c r="B2664" s="12" t="inlineStr">
        <is>
          <t>7897947617322</t>
        </is>
      </c>
      <c r="C2664" s="7" t="inlineStr">
        <is>
          <t>LAVITAN CARMED CAB UNHAS COMP MAST FRX60</t>
        </is>
      </c>
      <c r="D2664" s="7" t="inlineStr">
        <is>
          <t>VITAMINA E SIMILARES</t>
        </is>
      </c>
      <c r="E2664" s="7" t="inlineStr">
        <is>
          <t>C</t>
        </is>
      </c>
      <c r="F2664" s="13" t="n">
        <v>1</v>
      </c>
      <c r="G2664" s="13" t="n">
        <v>1</v>
      </c>
      <c r="H2664" s="8" t="n"/>
      <c r="I2664" s="8" t="n"/>
      <c r="J2664" s="8" t="n"/>
      <c r="K2664" s="8" t="n"/>
      <c r="L2664" s="8" t="n"/>
      <c r="M2664" s="8" t="n"/>
      <c r="N2664" s="8" t="n"/>
      <c r="O2664" s="8" t="n"/>
      <c r="P2664" s="8" t="n">
        <v>49.17</v>
      </c>
      <c r="Q2664" s="8" t="n"/>
      <c r="R2664" s="8" t="n"/>
      <c r="S2664" s="8" t="n"/>
      <c r="T2664" s="7" t="inlineStr">
        <is>
          <t>SEM COTAÇÃO</t>
        </is>
      </c>
      <c r="U2664" s="8" t="n"/>
      <c r="V2664" s="14" t="n"/>
      <c r="W2664" s="14" t="n"/>
      <c r="X2664" s="7" t="inlineStr"/>
      <c r="Y2664" s="7" t="inlineStr">
        <is>
          <t>NAZARIA: sem estoque</t>
        </is>
      </c>
    </row>
    <row r="2665">
      <c r="A2665" s="7" t="n">
        <v>1243</v>
      </c>
      <c r="B2665" s="12" t="inlineStr">
        <is>
          <t>7897947601871</t>
        </is>
      </c>
      <c r="C2665" s="7" t="inlineStr">
        <is>
          <t>LAVITAN COLAGENO VERI+AC H PO PT 300G</t>
        </is>
      </c>
      <c r="D2665" s="7" t="inlineStr">
        <is>
          <t>VITAMINA E SIMILARES</t>
        </is>
      </c>
      <c r="E2665" s="7" t="inlineStr">
        <is>
          <t>C</t>
        </is>
      </c>
      <c r="F2665" s="13" t="n">
        <v>1</v>
      </c>
      <c r="G2665" s="13" t="n">
        <v>1</v>
      </c>
      <c r="H2665" s="8" t="n">
        <v>78.52</v>
      </c>
      <c r="I2665" s="8" t="n">
        <v>78.52</v>
      </c>
      <c r="J2665" s="8" t="n">
        <v>78.52</v>
      </c>
      <c r="K2665" s="8" t="n"/>
      <c r="L2665" s="8" t="n"/>
      <c r="M2665" s="8" t="n"/>
      <c r="N2665" s="8" t="n"/>
      <c r="O2665" s="8" t="n"/>
      <c r="P2665" s="15" t="n">
        <v>97.95999999999999</v>
      </c>
      <c r="Q2665" s="8" t="n"/>
      <c r="R2665" s="8" t="n"/>
      <c r="S2665" s="8" t="n"/>
      <c r="T2665" s="7" t="inlineStr">
        <is>
          <t>NAZARIA</t>
        </is>
      </c>
      <c r="U2665" s="8" t="n">
        <v>97.95999999999999</v>
      </c>
      <c r="V2665" s="14">
        <f>U2665/J2665-1</f>
        <v/>
      </c>
      <c r="W2665" s="14">
        <f>U2665/H2665-1</f>
        <v/>
      </c>
      <c r="X2665" s="16" t="inlineStr">
        <is>
          <t>ACIMA +24.8%</t>
        </is>
      </c>
      <c r="Y2665" s="7" t="inlineStr"/>
    </row>
    <row r="2666">
      <c r="A2666" s="7" t="n">
        <v>662861</v>
      </c>
      <c r="B2666" s="12" t="inlineStr">
        <is>
          <t>7897947620810</t>
        </is>
      </c>
      <c r="C2666" s="7" t="inlineStr">
        <is>
          <t>LAVITAN COLAGENO VERIS PT300G SBR ABA SF</t>
        </is>
      </c>
      <c r="D2666" s="7" t="inlineStr">
        <is>
          <t>SIMILAR</t>
        </is>
      </c>
      <c r="E2666" s="7" t="inlineStr">
        <is>
          <t>C</t>
        </is>
      </c>
      <c r="F2666" s="13" t="n">
        <v>1</v>
      </c>
      <c r="G2666" s="13" t="n">
        <v>1</v>
      </c>
      <c r="H2666" s="8" t="n"/>
      <c r="I2666" s="8" t="n"/>
      <c r="J2666" s="8" t="n"/>
      <c r="K2666" s="8" t="n"/>
      <c r="L2666" s="8" t="n"/>
      <c r="M2666" s="8" t="n"/>
      <c r="N2666" s="8" t="n"/>
      <c r="O2666" s="8" t="n"/>
      <c r="P2666" s="8" t="n"/>
      <c r="Q2666" s="8" t="n"/>
      <c r="R2666" s="8" t="n"/>
      <c r="S2666" s="8" t="n"/>
      <c r="T2666" s="7" t="inlineStr">
        <is>
          <t>SEM COTAÇÃO</t>
        </is>
      </c>
      <c r="U2666" s="8" t="n"/>
      <c r="V2666" s="14" t="n"/>
      <c r="W2666" s="14" t="n"/>
      <c r="X2666" s="7" t="inlineStr"/>
      <c r="Y2666" s="7" t="inlineStr"/>
    </row>
    <row r="2667">
      <c r="A2667" s="7" t="n">
        <v>984</v>
      </c>
      <c r="B2667" s="12" t="inlineStr">
        <is>
          <t>7897947621077</t>
        </is>
      </c>
      <c r="C2667" s="7" t="inlineStr">
        <is>
          <t>LAVITAN COMPLEXO B COMP REV FR X 100</t>
        </is>
      </c>
      <c r="D2667" s="7" t="inlineStr">
        <is>
          <t>VITAMINA E SIMILARES</t>
        </is>
      </c>
      <c r="E2667" s="7" t="inlineStr">
        <is>
          <t>C</t>
        </is>
      </c>
      <c r="F2667" s="13" t="n">
        <v>1</v>
      </c>
      <c r="G2667" s="13" t="n">
        <v>1</v>
      </c>
      <c r="H2667" s="8" t="n"/>
      <c r="I2667" s="8" t="n"/>
      <c r="J2667" s="8" t="n"/>
      <c r="K2667" s="8" t="n"/>
      <c r="L2667" s="8" t="n"/>
      <c r="M2667" s="8" t="n"/>
      <c r="N2667" s="8" t="n"/>
      <c r="O2667" s="8" t="n"/>
      <c r="P2667" s="15" t="n">
        <v>38.97</v>
      </c>
      <c r="Q2667" s="8" t="n"/>
      <c r="R2667" s="8" t="n"/>
      <c r="S2667" s="8" t="n"/>
      <c r="T2667" s="7" t="inlineStr">
        <is>
          <t>NAZARIA</t>
        </is>
      </c>
      <c r="U2667" s="8" t="n">
        <v>38.97</v>
      </c>
      <c r="V2667" s="14" t="n"/>
      <c r="W2667" s="14" t="n"/>
      <c r="X2667" s="7" t="inlineStr">
        <is>
          <t>SEM HISTÓRICO</t>
        </is>
      </c>
      <c r="Y2667" s="7" t="inlineStr"/>
    </row>
    <row r="2668">
      <c r="A2668" s="7" t="n">
        <v>655431</v>
      </c>
      <c r="B2668" s="12" t="inlineStr">
        <is>
          <t>7897947620223</t>
        </is>
      </c>
      <c r="C2668" s="7" t="inlineStr">
        <is>
          <t>LAVITAN CREATINA PO PT 300G</t>
        </is>
      </c>
      <c r="D2668" s="7" t="inlineStr">
        <is>
          <t>VITAMINA E SIMILARES</t>
        </is>
      </c>
      <c r="E2668" s="7" t="inlineStr">
        <is>
          <t>A</t>
        </is>
      </c>
      <c r="F2668" s="13" t="n">
        <v>3</v>
      </c>
      <c r="G2668" s="13" t="n">
        <v>3</v>
      </c>
      <c r="H2668" s="8" t="n">
        <v>31.99</v>
      </c>
      <c r="I2668" s="8" t="n">
        <v>31.99</v>
      </c>
      <c r="J2668" s="8" t="n">
        <v>31.99</v>
      </c>
      <c r="K2668" s="8" t="n"/>
      <c r="L2668" s="8" t="n"/>
      <c r="M2668" s="8" t="n"/>
      <c r="N2668" s="8" t="n"/>
      <c r="O2668" s="8" t="n"/>
      <c r="P2668" s="15" t="n">
        <v>86.87</v>
      </c>
      <c r="Q2668" s="8" t="n"/>
      <c r="R2668" s="8" t="n"/>
      <c r="S2668" s="8" t="n"/>
      <c r="T2668" s="7" t="inlineStr">
        <is>
          <t>NAZARIA</t>
        </is>
      </c>
      <c r="U2668" s="8" t="n">
        <v>86.87</v>
      </c>
      <c r="V2668" s="14">
        <f>U2668/J2668-1</f>
        <v/>
      </c>
      <c r="W2668" s="14">
        <f>U2668/H2668-1</f>
        <v/>
      </c>
      <c r="X2668" s="16" t="inlineStr">
        <is>
          <t>ACIMA +171.6%</t>
        </is>
      </c>
      <c r="Y2668" s="7" t="inlineStr">
        <is>
          <t>NAZARIA: conferir emb.</t>
        </is>
      </c>
    </row>
    <row r="2669">
      <c r="A2669" s="7" t="n">
        <v>572901</v>
      </c>
      <c r="B2669" s="12" t="inlineStr">
        <is>
          <t>7897947600782</t>
        </is>
      </c>
      <c r="C2669" s="7" t="inlineStr">
        <is>
          <t>LAVITAN LUTEINA CAPS FR C/ 60</t>
        </is>
      </c>
      <c r="D2669" s="7" t="inlineStr">
        <is>
          <t>VITAMINA E SIMILARES</t>
        </is>
      </c>
      <c r="E2669" s="7" t="inlineStr">
        <is>
          <t>C</t>
        </is>
      </c>
      <c r="F2669" s="13" t="n">
        <v>1</v>
      </c>
      <c r="G2669" s="13" t="n">
        <v>1</v>
      </c>
      <c r="H2669" s="8" t="n"/>
      <c r="I2669" s="8" t="n"/>
      <c r="J2669" s="8" t="n"/>
      <c r="K2669" s="8" t="n"/>
      <c r="L2669" s="8" t="n"/>
      <c r="M2669" s="8" t="n"/>
      <c r="N2669" s="8" t="n"/>
      <c r="O2669" s="8" t="n"/>
      <c r="P2669" s="8" t="n"/>
      <c r="Q2669" s="8" t="n"/>
      <c r="R2669" s="8" t="n"/>
      <c r="S2669" s="8" t="n"/>
      <c r="T2669" s="7" t="inlineStr">
        <is>
          <t>SEM COTAÇÃO</t>
        </is>
      </c>
      <c r="U2669" s="8" t="n"/>
      <c r="V2669" s="14" t="n"/>
      <c r="W2669" s="14" t="n"/>
      <c r="X2669" s="7" t="inlineStr"/>
      <c r="Y2669" s="7" t="inlineStr"/>
    </row>
    <row r="2670">
      <c r="A2670" s="7" t="n">
        <v>546601</v>
      </c>
      <c r="B2670" s="12" t="inlineStr">
        <is>
          <t>7897947601178</t>
        </is>
      </c>
      <c r="C2670" s="7" t="inlineStr">
        <is>
          <t>LAVITAN MELATONINA 0,21MG 150CP</t>
        </is>
      </c>
      <c r="D2670" s="7" t="inlineStr">
        <is>
          <t>VITAMINA E SIMILARES</t>
        </is>
      </c>
      <c r="E2670" s="7" t="inlineStr">
        <is>
          <t>B</t>
        </is>
      </c>
      <c r="F2670" s="13" t="n">
        <v>1</v>
      </c>
      <c r="G2670" s="13" t="n">
        <v>1</v>
      </c>
      <c r="H2670" s="8" t="n">
        <v>24.79</v>
      </c>
      <c r="I2670" s="8" t="n">
        <v>24.79</v>
      </c>
      <c r="J2670" s="8" t="n">
        <v>24.79</v>
      </c>
      <c r="K2670" s="8" t="n"/>
      <c r="L2670" s="8" t="n"/>
      <c r="M2670" s="8" t="n"/>
      <c r="N2670" s="8" t="n"/>
      <c r="O2670" s="8" t="n"/>
      <c r="P2670" s="8" t="n"/>
      <c r="Q2670" s="8" t="n"/>
      <c r="R2670" s="8" t="n"/>
      <c r="S2670" s="8" t="n"/>
      <c r="T2670" s="7" t="inlineStr">
        <is>
          <t>SEM COTAÇÃO</t>
        </is>
      </c>
      <c r="U2670" s="8" t="n"/>
      <c r="V2670" s="14" t="n"/>
      <c r="W2670" s="14" t="n"/>
      <c r="X2670" s="7" t="inlineStr"/>
      <c r="Y2670" s="7" t="inlineStr"/>
    </row>
    <row r="2671">
      <c r="A2671" s="7" t="n">
        <v>546581</v>
      </c>
      <c r="B2671" s="12" t="inlineStr"/>
      <c r="C2671" s="7" t="inlineStr">
        <is>
          <t>LAVITAN MELATONINA 0,21MG 90CP</t>
        </is>
      </c>
      <c r="D2671" s="7" t="inlineStr">
        <is>
          <t>VITAMINA E SIMILARES</t>
        </is>
      </c>
      <c r="E2671" s="7" t="inlineStr">
        <is>
          <t>A</t>
        </is>
      </c>
      <c r="F2671" s="13" t="n">
        <v>13</v>
      </c>
      <c r="G2671" s="13" t="n">
        <v>13</v>
      </c>
      <c r="H2671" s="8" t="n">
        <v>21.38</v>
      </c>
      <c r="I2671" s="8" t="n">
        <v>19.09</v>
      </c>
      <c r="J2671" s="8" t="n">
        <v>20.61666666666666</v>
      </c>
      <c r="K2671" s="8" t="n"/>
      <c r="L2671" s="8" t="n"/>
      <c r="M2671" s="8" t="n"/>
      <c r="N2671" s="8" t="n"/>
      <c r="O2671" s="8" t="n"/>
      <c r="P2671" s="8" t="n"/>
      <c r="Q2671" s="8" t="n"/>
      <c r="R2671" s="8" t="n"/>
      <c r="S2671" s="8" t="n"/>
      <c r="T2671" s="7" t="inlineStr">
        <is>
          <t>SEM COTAÇÃO</t>
        </is>
      </c>
      <c r="U2671" s="8" t="n"/>
      <c r="V2671" s="14" t="n"/>
      <c r="W2671" s="14" t="n"/>
      <c r="X2671" s="7" t="inlineStr"/>
      <c r="Y2671" s="7" t="inlineStr"/>
    </row>
    <row r="2672">
      <c r="A2672" s="7" t="n">
        <v>564641</v>
      </c>
      <c r="B2672" s="12" t="inlineStr">
        <is>
          <t>7897947601147</t>
        </is>
      </c>
      <c r="C2672" s="7" t="inlineStr">
        <is>
          <t>LAVITAN MELATONINA 0,21MG CP PT 90 MOR</t>
        </is>
      </c>
      <c r="D2672" s="7" t="inlineStr">
        <is>
          <t>VITAMINA E SIMILARES</t>
        </is>
      </c>
      <c r="E2672" s="7" t="inlineStr">
        <is>
          <t>A</t>
        </is>
      </c>
      <c r="F2672" s="13" t="n">
        <v>13</v>
      </c>
      <c r="G2672" s="13" t="n">
        <v>13</v>
      </c>
      <c r="H2672" s="8" t="n">
        <v>21.94</v>
      </c>
      <c r="I2672" s="8" t="n">
        <v>19.59</v>
      </c>
      <c r="J2672" s="8" t="n">
        <v>21.15666666666667</v>
      </c>
      <c r="K2672" s="8" t="n"/>
      <c r="L2672" s="8" t="n"/>
      <c r="M2672" s="8" t="n"/>
      <c r="N2672" s="8" t="n"/>
      <c r="O2672" s="8" t="n"/>
      <c r="P2672" s="15" t="n">
        <v>19.18</v>
      </c>
      <c r="Q2672" s="8" t="n"/>
      <c r="R2672" s="8" t="n"/>
      <c r="S2672" s="8" t="n"/>
      <c r="T2672" s="7" t="inlineStr">
        <is>
          <t>NAZARIA</t>
        </is>
      </c>
      <c r="U2672" s="8" t="n">
        <v>19.18</v>
      </c>
      <c r="V2672" s="14">
        <f>U2672/J2672-1</f>
        <v/>
      </c>
      <c r="W2672" s="14">
        <f>U2672/H2672-1</f>
        <v/>
      </c>
      <c r="X2672" s="17" t="inlineStr">
        <is>
          <t>OK (≤ menor hist.)</t>
        </is>
      </c>
      <c r="Y2672" s="7" t="inlineStr"/>
    </row>
    <row r="2673">
      <c r="A2673" s="7" t="n">
        <v>570101</v>
      </c>
      <c r="B2673" s="12" t="inlineStr">
        <is>
          <t>7897947601413</t>
        </is>
      </c>
      <c r="C2673" s="7" t="inlineStr">
        <is>
          <t>LAVITAN MELATONINA 0,21MG SOL FR30ML MOR</t>
        </is>
      </c>
      <c r="D2673" s="7" t="inlineStr">
        <is>
          <t>VITAMINA E SIMILARES</t>
        </is>
      </c>
      <c r="E2673" s="7" t="inlineStr">
        <is>
          <t>B</t>
        </is>
      </c>
      <c r="F2673" s="13" t="n">
        <v>3</v>
      </c>
      <c r="G2673" s="13" t="n">
        <v>3</v>
      </c>
      <c r="H2673" s="8" t="n">
        <v>16.68</v>
      </c>
      <c r="I2673" s="8" t="n">
        <v>16.68</v>
      </c>
      <c r="J2673" s="8" t="n">
        <v>16.68</v>
      </c>
      <c r="K2673" s="8" t="n"/>
      <c r="L2673" s="8" t="n"/>
      <c r="M2673" s="8" t="n"/>
      <c r="N2673" s="8" t="n"/>
      <c r="O2673" s="8" t="n"/>
      <c r="P2673" s="8" t="n"/>
      <c r="Q2673" s="8" t="n"/>
      <c r="R2673" s="8" t="n"/>
      <c r="S2673" s="8" t="n"/>
      <c r="T2673" s="7" t="inlineStr">
        <is>
          <t>SEM COTAÇÃO</t>
        </is>
      </c>
      <c r="U2673" s="8" t="n"/>
      <c r="V2673" s="14" t="n"/>
      <c r="W2673" s="14" t="n"/>
      <c r="X2673" s="7" t="inlineStr"/>
      <c r="Y2673" s="7" t="inlineStr"/>
    </row>
    <row r="2674">
      <c r="A2674" s="7" t="n">
        <v>546081</v>
      </c>
      <c r="B2674" s="12" t="inlineStr">
        <is>
          <t>7897947612358</t>
        </is>
      </c>
      <c r="C2674" s="7" t="inlineStr">
        <is>
          <t>LAVITAN MEMORIA 60CP</t>
        </is>
      </c>
      <c r="D2674" s="7" t="inlineStr">
        <is>
          <t>VITAMINA E SIMILARES</t>
        </is>
      </c>
      <c r="E2674" s="7" t="inlineStr">
        <is>
          <t>A</t>
        </is>
      </c>
      <c r="F2674" s="13" t="n">
        <v>7</v>
      </c>
      <c r="G2674" s="13" t="n">
        <v>7</v>
      </c>
      <c r="H2674" s="8" t="n">
        <v>21.27</v>
      </c>
      <c r="I2674" s="8" t="n">
        <v>21.27</v>
      </c>
      <c r="J2674" s="8" t="n">
        <v>21.27</v>
      </c>
      <c r="K2674" s="15" t="n">
        <v>14.85</v>
      </c>
      <c r="L2674" s="8" t="n"/>
      <c r="M2674" s="8" t="n"/>
      <c r="N2674" s="8" t="n"/>
      <c r="O2674" s="8" t="n"/>
      <c r="P2674" s="8" t="n">
        <v>21.33</v>
      </c>
      <c r="Q2674" s="8" t="n"/>
      <c r="R2674" s="8" t="n"/>
      <c r="S2674" s="8" t="n"/>
      <c r="T2674" s="7" t="inlineStr">
        <is>
          <t>DIMEC</t>
        </is>
      </c>
      <c r="U2674" s="8" t="n">
        <v>14.85</v>
      </c>
      <c r="V2674" s="14">
        <f>U2674/J2674-1</f>
        <v/>
      </c>
      <c r="W2674" s="14">
        <f>U2674/H2674-1</f>
        <v/>
      </c>
      <c r="X2674" s="17" t="inlineStr">
        <is>
          <t>OK (≤ menor hist.)</t>
        </is>
      </c>
      <c r="Y2674" s="7" t="inlineStr"/>
    </row>
    <row r="2675">
      <c r="A2675" s="7" t="n">
        <v>546241</v>
      </c>
      <c r="B2675" s="12" t="inlineStr">
        <is>
          <t>7897947616509</t>
        </is>
      </c>
      <c r="C2675" s="7" t="inlineStr">
        <is>
          <t>LAVITAN MULTI HOMEM 5G 60CP</t>
        </is>
      </c>
      <c r="D2675" s="7" t="inlineStr">
        <is>
          <t>VITAMINA E SIMILARES</t>
        </is>
      </c>
      <c r="E2675" s="7" t="inlineStr">
        <is>
          <t>A</t>
        </is>
      </c>
      <c r="F2675" s="13" t="n">
        <v>8</v>
      </c>
      <c r="G2675" s="13" t="n">
        <v>8</v>
      </c>
      <c r="H2675" s="8" t="n">
        <v>36.5</v>
      </c>
      <c r="I2675" s="8" t="n">
        <v>32.59</v>
      </c>
      <c r="J2675" s="8" t="n">
        <v>35.19666666666667</v>
      </c>
      <c r="K2675" s="8" t="n"/>
      <c r="L2675" s="8" t="n"/>
      <c r="M2675" s="8" t="n"/>
      <c r="N2675" s="8" t="n"/>
      <c r="O2675" s="8" t="n"/>
      <c r="P2675" s="15" t="n">
        <v>39.92</v>
      </c>
      <c r="Q2675" s="8" t="n"/>
      <c r="R2675" s="8" t="n"/>
      <c r="S2675" s="8" t="n"/>
      <c r="T2675" s="7" t="inlineStr">
        <is>
          <t>NAZARIA</t>
        </is>
      </c>
      <c r="U2675" s="8" t="n">
        <v>39.92</v>
      </c>
      <c r="V2675" s="14">
        <f>U2675/J2675-1</f>
        <v/>
      </c>
      <c r="W2675" s="14">
        <f>U2675/H2675-1</f>
        <v/>
      </c>
      <c r="X2675" s="16" t="inlineStr">
        <is>
          <t>ACIMA +9.4%</t>
        </is>
      </c>
      <c r="Y2675" s="7" t="inlineStr"/>
    </row>
    <row r="2676">
      <c r="A2676" s="7" t="n">
        <v>546261</v>
      </c>
      <c r="B2676" s="12" t="inlineStr">
        <is>
          <t>7897947616516</t>
        </is>
      </c>
      <c r="C2676" s="7" t="inlineStr">
        <is>
          <t>LAVITAN MULTI MULHER 5G 60CP</t>
        </is>
      </c>
      <c r="D2676" s="7" t="inlineStr">
        <is>
          <t>VITAMINA E SIMILARES</t>
        </is>
      </c>
      <c r="E2676" s="7" t="inlineStr">
        <is>
          <t>A</t>
        </is>
      </c>
      <c r="F2676" s="13" t="n">
        <v>4</v>
      </c>
      <c r="G2676" s="13" t="n">
        <v>4</v>
      </c>
      <c r="H2676" s="8" t="n">
        <v>38.33</v>
      </c>
      <c r="I2676" s="8" t="n">
        <v>32.59</v>
      </c>
      <c r="J2676" s="8" t="n">
        <v>36.41666666666666</v>
      </c>
      <c r="K2676" s="8" t="n"/>
      <c r="L2676" s="8" t="n"/>
      <c r="M2676" s="8" t="n"/>
      <c r="N2676" s="8" t="n"/>
      <c r="O2676" s="8" t="n"/>
      <c r="P2676" s="15" t="n">
        <v>39.92</v>
      </c>
      <c r="Q2676" s="8" t="n"/>
      <c r="R2676" s="8" t="n"/>
      <c r="S2676" s="8" t="n"/>
      <c r="T2676" s="7" t="inlineStr">
        <is>
          <t>NAZARIA</t>
        </is>
      </c>
      <c r="U2676" s="8" t="n">
        <v>39.92</v>
      </c>
      <c r="V2676" s="14">
        <f>U2676/J2676-1</f>
        <v/>
      </c>
      <c r="W2676" s="14">
        <f>U2676/H2676-1</f>
        <v/>
      </c>
      <c r="X2676" s="16" t="inlineStr">
        <is>
          <t>ACIMA +4.1%</t>
        </is>
      </c>
      <c r="Y2676" s="7" t="inlineStr"/>
    </row>
    <row r="2677">
      <c r="A2677" s="7" t="n">
        <v>904</v>
      </c>
      <c r="B2677" s="12" t="inlineStr">
        <is>
          <t>7897947620216</t>
        </is>
      </c>
      <c r="C2677" s="7" t="inlineStr">
        <is>
          <t>LAVITAN NOITE PO PT 300G MARACUJA SF</t>
        </is>
      </c>
      <c r="D2677" s="7" t="inlineStr">
        <is>
          <t>VITAMINA E SIMILARES</t>
        </is>
      </c>
      <c r="E2677" s="7" t="inlineStr">
        <is>
          <t>B</t>
        </is>
      </c>
      <c r="F2677" s="13" t="n">
        <v>1</v>
      </c>
      <c r="G2677" s="13" t="n">
        <v>1</v>
      </c>
      <c r="H2677" s="8" t="n"/>
      <c r="I2677" s="8" t="n"/>
      <c r="J2677" s="8" t="n"/>
      <c r="K2677" s="8" t="n"/>
      <c r="L2677" s="8" t="n"/>
      <c r="M2677" s="8" t="n"/>
      <c r="N2677" s="8" t="n"/>
      <c r="O2677" s="8" t="n"/>
      <c r="P2677" s="8" t="n"/>
      <c r="Q2677" s="8" t="n"/>
      <c r="R2677" s="8" t="n"/>
      <c r="S2677" s="8" t="n"/>
      <c r="T2677" s="7" t="inlineStr">
        <is>
          <t>SEM COTAÇÃO</t>
        </is>
      </c>
      <c r="U2677" s="8" t="n"/>
      <c r="V2677" s="14" t="n"/>
      <c r="W2677" s="14" t="n"/>
      <c r="X2677" s="7" t="inlineStr"/>
      <c r="Y2677" s="7" t="inlineStr"/>
    </row>
    <row r="2678">
      <c r="A2678" s="7" t="n">
        <v>546101</v>
      </c>
      <c r="B2678" s="12" t="inlineStr">
        <is>
          <t>7897947612600</t>
        </is>
      </c>
      <c r="C2678" s="7" t="inlineStr">
        <is>
          <t>LAVITAN OMEGA 3 MAIS 90CP GEL</t>
        </is>
      </c>
      <c r="D2678" s="7" t="inlineStr">
        <is>
          <t>VITAMINA E SIMILARES</t>
        </is>
      </c>
      <c r="E2678" s="7" t="inlineStr">
        <is>
          <t>A</t>
        </is>
      </c>
      <c r="F2678" s="13" t="n">
        <v>1</v>
      </c>
      <c r="G2678" s="13" t="n">
        <v>1</v>
      </c>
      <c r="H2678" s="8" t="n">
        <v>32.59</v>
      </c>
      <c r="I2678" s="8" t="n">
        <v>32.59</v>
      </c>
      <c r="J2678" s="8" t="n">
        <v>32.59</v>
      </c>
      <c r="K2678" s="8" t="n"/>
      <c r="L2678" s="8" t="n"/>
      <c r="M2678" s="8" t="n"/>
      <c r="N2678" s="8" t="n"/>
      <c r="O2678" s="8" t="n"/>
      <c r="P2678" s="15" t="n">
        <v>42.04</v>
      </c>
      <c r="Q2678" s="8" t="n"/>
      <c r="R2678" s="8" t="n"/>
      <c r="S2678" s="8" t="n"/>
      <c r="T2678" s="7" t="inlineStr">
        <is>
          <t>NAZARIA</t>
        </is>
      </c>
      <c r="U2678" s="8" t="n">
        <v>42.04</v>
      </c>
      <c r="V2678" s="14">
        <f>U2678/J2678-1</f>
        <v/>
      </c>
      <c r="W2678" s="14">
        <f>U2678/H2678-1</f>
        <v/>
      </c>
      <c r="X2678" s="16" t="inlineStr">
        <is>
          <t>ACIMA +29.0%</t>
        </is>
      </c>
      <c r="Y2678" s="7" t="inlineStr"/>
    </row>
    <row r="2679">
      <c r="A2679" s="7" t="n">
        <v>561121</v>
      </c>
      <c r="B2679" s="12" t="inlineStr">
        <is>
          <t>7897947615441</t>
        </is>
      </c>
      <c r="C2679" s="7" t="inlineStr">
        <is>
          <t>LAVITAN PRIMULA FEMME 60 CAPS</t>
        </is>
      </c>
      <c r="D2679" s="7" t="inlineStr">
        <is>
          <t>VITAMINA E SIMILARES</t>
        </is>
      </c>
      <c r="E2679" s="7" t="inlineStr">
        <is>
          <t>B</t>
        </is>
      </c>
      <c r="F2679" s="13" t="n">
        <v>4</v>
      </c>
      <c r="G2679" s="13" t="n">
        <v>4</v>
      </c>
      <c r="H2679" s="8" t="n">
        <v>28.21</v>
      </c>
      <c r="I2679" s="8" t="n">
        <v>28.21</v>
      </c>
      <c r="J2679" s="8" t="n">
        <v>28.21</v>
      </c>
      <c r="K2679" s="8" t="n"/>
      <c r="L2679" s="8" t="n"/>
      <c r="M2679" s="8" t="n"/>
      <c r="N2679" s="8" t="n"/>
      <c r="O2679" s="8" t="n"/>
      <c r="P2679" s="8" t="n"/>
      <c r="Q2679" s="8" t="n"/>
      <c r="R2679" s="8" t="n"/>
      <c r="S2679" s="8" t="n"/>
      <c r="T2679" s="7" t="inlineStr">
        <is>
          <t>SEM COTAÇÃO</t>
        </is>
      </c>
      <c r="U2679" s="8" t="n"/>
      <c r="V2679" s="14" t="n"/>
      <c r="W2679" s="14" t="n"/>
      <c r="X2679" s="7" t="inlineStr"/>
      <c r="Y2679" s="7" t="inlineStr"/>
    </row>
    <row r="2680">
      <c r="A2680" s="7" t="n">
        <v>944</v>
      </c>
      <c r="B2680" s="12" t="inlineStr">
        <is>
          <t>7897947620780</t>
        </is>
      </c>
      <c r="C2680" s="7" t="inlineStr">
        <is>
          <t>LAVITAN PROTEIN LIQ UHT FR 250ML BAU</t>
        </is>
      </c>
      <c r="D2680" s="7" t="inlineStr">
        <is>
          <t>SUPLEMENTO</t>
        </is>
      </c>
      <c r="E2680" s="7" t="inlineStr">
        <is>
          <t>C</t>
        </is>
      </c>
      <c r="F2680" s="13" t="n">
        <v>1</v>
      </c>
      <c r="G2680" s="13" t="n">
        <v>1</v>
      </c>
      <c r="H2680" s="8" t="n"/>
      <c r="I2680" s="8" t="n"/>
      <c r="J2680" s="8" t="n"/>
      <c r="K2680" s="8" t="n"/>
      <c r="L2680" s="8" t="n"/>
      <c r="M2680" s="8" t="n"/>
      <c r="N2680" s="8" t="n"/>
      <c r="O2680" s="8" t="n"/>
      <c r="P2680" s="8" t="n"/>
      <c r="Q2680" s="8" t="n"/>
      <c r="R2680" s="8" t="n"/>
      <c r="S2680" s="8" t="n"/>
      <c r="T2680" s="7" t="inlineStr">
        <is>
          <t>SEM COTAÇÃO</t>
        </is>
      </c>
      <c r="U2680" s="8" t="n"/>
      <c r="V2680" s="14" t="n"/>
      <c r="W2680" s="14" t="n"/>
      <c r="X2680" s="7" t="inlineStr"/>
      <c r="Y2680" s="7" t="inlineStr"/>
    </row>
    <row r="2681">
      <c r="A2681" s="7" t="n">
        <v>914</v>
      </c>
      <c r="B2681" s="12" t="inlineStr">
        <is>
          <t>7897947620803</t>
        </is>
      </c>
      <c r="C2681" s="7" t="inlineStr">
        <is>
          <t>LAVITAN PROTEIN LIQ UHT FR 250ML CHO</t>
        </is>
      </c>
      <c r="D2681" s="7" t="inlineStr">
        <is>
          <t>VITAMINA E SIMILARES</t>
        </is>
      </c>
      <c r="E2681" s="7" t="inlineStr">
        <is>
          <t>C</t>
        </is>
      </c>
      <c r="F2681" s="13" t="n">
        <v>1</v>
      </c>
      <c r="G2681" s="13" t="n">
        <v>1</v>
      </c>
      <c r="H2681" s="8" t="n"/>
      <c r="I2681" s="8" t="n"/>
      <c r="J2681" s="8" t="n"/>
      <c r="K2681" s="8" t="n"/>
      <c r="L2681" s="8" t="n"/>
      <c r="M2681" s="8" t="n"/>
      <c r="N2681" s="8" t="n"/>
      <c r="O2681" s="8" t="n"/>
      <c r="P2681" s="8" t="n"/>
      <c r="Q2681" s="8" t="n"/>
      <c r="R2681" s="8" t="n"/>
      <c r="S2681" s="8" t="n"/>
      <c r="T2681" s="7" t="inlineStr">
        <is>
          <t>SEM COTAÇÃO</t>
        </is>
      </c>
      <c r="U2681" s="8" t="n"/>
      <c r="V2681" s="14" t="n"/>
      <c r="W2681" s="14" t="n"/>
      <c r="X2681" s="7" t="inlineStr"/>
      <c r="Y2681" s="7" t="inlineStr"/>
    </row>
    <row r="2682">
      <c r="A2682" s="7" t="n">
        <v>924</v>
      </c>
      <c r="B2682" s="12" t="inlineStr">
        <is>
          <t>7897947620797</t>
        </is>
      </c>
      <c r="C2682" s="7" t="inlineStr">
        <is>
          <t>LAVITAN PROTEIN LIQ UHT FR 250ML MOR</t>
        </is>
      </c>
      <c r="D2682" s="7" t="inlineStr">
        <is>
          <t>VITAMINA E SIMILARES</t>
        </is>
      </c>
      <c r="E2682" s="7" t="inlineStr">
        <is>
          <t>C</t>
        </is>
      </c>
      <c r="F2682" s="13" t="n">
        <v>1</v>
      </c>
      <c r="G2682" s="13" t="n">
        <v>1</v>
      </c>
      <c r="H2682" s="8" t="n"/>
      <c r="I2682" s="8" t="n"/>
      <c r="J2682" s="8" t="n"/>
      <c r="K2682" s="8" t="n"/>
      <c r="L2682" s="8" t="n"/>
      <c r="M2682" s="8" t="n"/>
      <c r="N2682" s="8" t="n"/>
      <c r="O2682" s="8" t="n"/>
      <c r="P2682" s="8" t="n"/>
      <c r="Q2682" s="8" t="n"/>
      <c r="R2682" s="8" t="n"/>
      <c r="S2682" s="8" t="n"/>
      <c r="T2682" s="7" t="inlineStr">
        <is>
          <t>SEM COTAÇÃO</t>
        </is>
      </c>
      <c r="U2682" s="8" t="n"/>
      <c r="V2682" s="14" t="n"/>
      <c r="W2682" s="14" t="n"/>
      <c r="X2682" s="7" t="inlineStr"/>
      <c r="Y2682" s="7" t="inlineStr"/>
    </row>
    <row r="2683">
      <c r="A2683" s="7" t="n">
        <v>674431</v>
      </c>
      <c r="B2683" s="12" t="inlineStr">
        <is>
          <t>7897947621343</t>
        </is>
      </c>
      <c r="C2683" s="7" t="inlineStr">
        <is>
          <t>LAVITAN PROTEIN UHT FR 250ML CAPPUCINO</t>
        </is>
      </c>
      <c r="D2683" s="7" t="inlineStr">
        <is>
          <t>VITAMINA E SIMILARES</t>
        </is>
      </c>
      <c r="E2683" s="7" t="inlineStr">
        <is>
          <t>C</t>
        </is>
      </c>
      <c r="F2683" s="13" t="n">
        <v>1</v>
      </c>
      <c r="G2683" s="13" t="n">
        <v>1</v>
      </c>
      <c r="H2683" s="8" t="n"/>
      <c r="I2683" s="8" t="n"/>
      <c r="J2683" s="8" t="n"/>
      <c r="K2683" s="8" t="n"/>
      <c r="L2683" s="8" t="n"/>
      <c r="M2683" s="8" t="n"/>
      <c r="N2683" s="8" t="n"/>
      <c r="O2683" s="8" t="n"/>
      <c r="P2683" s="8" t="n"/>
      <c r="Q2683" s="8" t="n"/>
      <c r="R2683" s="8" t="n"/>
      <c r="S2683" s="8" t="n"/>
      <c r="T2683" s="7" t="inlineStr">
        <is>
          <t>SEM COTAÇÃO</t>
        </is>
      </c>
      <c r="U2683" s="8" t="n"/>
      <c r="V2683" s="14" t="n"/>
      <c r="W2683" s="14" t="n"/>
      <c r="X2683" s="7" t="inlineStr"/>
      <c r="Y2683" s="7" t="inlineStr"/>
    </row>
    <row r="2684">
      <c r="A2684" s="7" t="n">
        <v>546121</v>
      </c>
      <c r="B2684" s="12" t="inlineStr"/>
      <c r="C2684" s="7" t="inlineStr">
        <is>
          <t>LAVITAN TUT FRUTTY 60CP MAST</t>
        </is>
      </c>
      <c r="D2684" s="7" t="inlineStr">
        <is>
          <t>VITAMINA E SIMILARES</t>
        </is>
      </c>
      <c r="E2684" s="7" t="inlineStr">
        <is>
          <t>A</t>
        </is>
      </c>
      <c r="F2684" s="13" t="n">
        <v>4</v>
      </c>
      <c r="G2684" s="13" t="n">
        <v>4</v>
      </c>
      <c r="H2684" s="8" t="n">
        <v>10.99</v>
      </c>
      <c r="I2684" s="8" t="n">
        <v>9.99</v>
      </c>
      <c r="J2684" s="8" t="n">
        <v>10.32333333333333</v>
      </c>
      <c r="K2684" s="8" t="n"/>
      <c r="L2684" s="8" t="n"/>
      <c r="M2684" s="8" t="n"/>
      <c r="N2684" s="8" t="n"/>
      <c r="O2684" s="8" t="n"/>
      <c r="P2684" s="8" t="n"/>
      <c r="Q2684" s="8" t="n"/>
      <c r="R2684" s="8" t="n"/>
      <c r="S2684" s="8" t="n"/>
      <c r="T2684" s="7" t="inlineStr">
        <is>
          <t>SEM COTAÇÃO</t>
        </is>
      </c>
      <c r="U2684" s="8" t="n"/>
      <c r="V2684" s="14" t="n"/>
      <c r="W2684" s="14" t="n"/>
      <c r="X2684" s="7" t="inlineStr"/>
      <c r="Y2684" s="7" t="inlineStr"/>
    </row>
    <row r="2685">
      <c r="A2685" s="7" t="n">
        <v>546481</v>
      </c>
      <c r="B2685" s="12" t="inlineStr">
        <is>
          <t>7897947600928</t>
        </is>
      </c>
      <c r="C2685" s="7" t="inlineStr">
        <is>
          <t>LAVITAN VIT 50+ 60CP</t>
        </is>
      </c>
      <c r="D2685" s="7" t="inlineStr">
        <is>
          <t>VITAMINA E SIMILARES</t>
        </is>
      </c>
      <c r="E2685" s="7" t="inlineStr">
        <is>
          <t>A</t>
        </is>
      </c>
      <c r="F2685" s="13" t="n">
        <v>11</v>
      </c>
      <c r="G2685" s="13" t="n">
        <v>11</v>
      </c>
      <c r="H2685" s="8" t="n">
        <v>14.85</v>
      </c>
      <c r="I2685" s="8" t="n">
        <v>14.85</v>
      </c>
      <c r="J2685" s="8" t="n">
        <v>14.85</v>
      </c>
      <c r="K2685" s="15" t="n">
        <v>14.85</v>
      </c>
      <c r="L2685" s="8" t="n"/>
      <c r="M2685" s="8" t="n"/>
      <c r="N2685" s="8" t="n"/>
      <c r="O2685" s="8" t="n"/>
      <c r="P2685" s="8" t="n">
        <v>20.5</v>
      </c>
      <c r="Q2685" s="8" t="n"/>
      <c r="R2685" s="8" t="n"/>
      <c r="S2685" s="8" t="n"/>
      <c r="T2685" s="7" t="inlineStr">
        <is>
          <t>DIMEC</t>
        </is>
      </c>
      <c r="U2685" s="8" t="n">
        <v>14.85</v>
      </c>
      <c r="V2685" s="14">
        <f>U2685/J2685-1</f>
        <v/>
      </c>
      <c r="W2685" s="14">
        <f>U2685/H2685-1</f>
        <v/>
      </c>
      <c r="X2685" s="17" t="inlineStr">
        <is>
          <t>OK (≤ menor hist.)</t>
        </is>
      </c>
      <c r="Y2685" s="7" t="inlineStr"/>
    </row>
    <row r="2686">
      <c r="A2686" s="7" t="n">
        <v>616351</v>
      </c>
      <c r="B2686" s="12" t="inlineStr">
        <is>
          <t>7897947612594</t>
        </is>
      </c>
      <c r="C2686" s="7" t="inlineStr">
        <is>
          <t>LAVITAN VIT AZ MULHER COMP REV FR C/ 90</t>
        </is>
      </c>
      <c r="D2686" s="7" t="inlineStr">
        <is>
          <t>VITAMINA E SIMILARES</t>
        </is>
      </c>
      <c r="E2686" s="7" t="inlineStr">
        <is>
          <t>A</t>
        </is>
      </c>
      <c r="F2686" s="13" t="n">
        <v>9</v>
      </c>
      <c r="G2686" s="13" t="n">
        <v>9</v>
      </c>
      <c r="H2686" s="8" t="n">
        <v>21.39</v>
      </c>
      <c r="I2686" s="8" t="n">
        <v>21.39</v>
      </c>
      <c r="J2686" s="8" t="n">
        <v>21.39</v>
      </c>
      <c r="K2686" s="8" t="n"/>
      <c r="L2686" s="8" t="n"/>
      <c r="M2686" s="8" t="n"/>
      <c r="N2686" s="8" t="n"/>
      <c r="O2686" s="8" t="n"/>
      <c r="P2686" s="15" t="n">
        <v>22.22</v>
      </c>
      <c r="Q2686" s="8" t="n"/>
      <c r="R2686" s="8" t="n"/>
      <c r="S2686" s="8" t="n"/>
      <c r="T2686" s="7" t="inlineStr">
        <is>
          <t>NAZARIA</t>
        </is>
      </c>
      <c r="U2686" s="8" t="n">
        <v>22.22</v>
      </c>
      <c r="V2686" s="14">
        <f>U2686/J2686-1</f>
        <v/>
      </c>
      <c r="W2686" s="14">
        <f>U2686/H2686-1</f>
        <v/>
      </c>
      <c r="X2686" s="16" t="inlineStr">
        <is>
          <t>ACIMA +3.9%</t>
        </is>
      </c>
      <c r="Y2686" s="7" t="inlineStr"/>
    </row>
    <row r="2687">
      <c r="A2687" s="7" t="n">
        <v>550901</v>
      </c>
      <c r="B2687" s="12" t="inlineStr">
        <is>
          <t>7897947606517</t>
        </is>
      </c>
      <c r="C2687" s="7" t="inlineStr">
        <is>
          <t>LAVITAN VIT AZ ORIGINAL COMP REV FR C/60</t>
        </is>
      </c>
      <c r="D2687" s="7" t="inlineStr">
        <is>
          <t>VITAMINA E SIMILARES</t>
        </is>
      </c>
      <c r="E2687" s="7" t="inlineStr">
        <is>
          <t>A</t>
        </is>
      </c>
      <c r="F2687" s="13" t="n">
        <v>19</v>
      </c>
      <c r="G2687" s="13" t="n">
        <v>19</v>
      </c>
      <c r="H2687" s="8" t="n">
        <v>9.99</v>
      </c>
      <c r="I2687" s="8" t="n">
        <v>9.99</v>
      </c>
      <c r="J2687" s="8" t="n">
        <v>9.99</v>
      </c>
      <c r="K2687" s="15" t="n">
        <v>14.85</v>
      </c>
      <c r="L2687" s="8" t="n"/>
      <c r="M2687" s="8" t="n"/>
      <c r="N2687" s="8" t="n"/>
      <c r="O2687" s="8" t="n"/>
      <c r="P2687" s="8" t="n">
        <v>17.73</v>
      </c>
      <c r="Q2687" s="8" t="n"/>
      <c r="R2687" s="8" t="n"/>
      <c r="S2687" s="8" t="n"/>
      <c r="T2687" s="7" t="inlineStr">
        <is>
          <t>DIMEC</t>
        </is>
      </c>
      <c r="U2687" s="8" t="n">
        <v>14.85</v>
      </c>
      <c r="V2687" s="14">
        <f>U2687/J2687-1</f>
        <v/>
      </c>
      <c r="W2687" s="14">
        <f>U2687/H2687-1</f>
        <v/>
      </c>
      <c r="X2687" s="16" t="inlineStr">
        <is>
          <t>ACIMA +48.6%</t>
        </is>
      </c>
      <c r="Y2687" s="7" t="inlineStr"/>
    </row>
    <row r="2688">
      <c r="A2688" s="7" t="n">
        <v>604031</v>
      </c>
      <c r="B2688" s="12" t="inlineStr">
        <is>
          <t>7897947601611</t>
        </is>
      </c>
      <c r="C2688" s="7" t="inlineStr">
        <is>
          <t>LAVITAN VIT C+ARGININA COMP EFERV 1TBX10</t>
        </is>
      </c>
      <c r="D2688" s="7" t="inlineStr">
        <is>
          <t>VITAMINA E SIMILARES</t>
        </is>
      </c>
      <c r="E2688" s="7" t="inlineStr">
        <is>
          <t>C</t>
        </is>
      </c>
      <c r="F2688" s="13" t="n">
        <v>4</v>
      </c>
      <c r="G2688" s="13" t="n">
        <v>4</v>
      </c>
      <c r="H2688" s="8" t="n">
        <v>13.25</v>
      </c>
      <c r="I2688" s="8" t="n">
        <v>13.25</v>
      </c>
      <c r="J2688" s="8" t="n">
        <v>13.25</v>
      </c>
      <c r="K2688" s="8" t="n"/>
      <c r="L2688" s="8" t="n"/>
      <c r="M2688" s="8" t="n"/>
      <c r="N2688" s="8" t="n"/>
      <c r="O2688" s="8" t="n"/>
      <c r="P2688" s="8" t="n"/>
      <c r="Q2688" s="8" t="n"/>
      <c r="R2688" s="8" t="n"/>
      <c r="S2688" s="8" t="n"/>
      <c r="T2688" s="7" t="inlineStr">
        <is>
          <t>SEM COTAÇÃO</t>
        </is>
      </c>
      <c r="U2688" s="8" t="n"/>
      <c r="V2688" s="14" t="n"/>
      <c r="W2688" s="14" t="n"/>
      <c r="X2688" s="7" t="inlineStr"/>
      <c r="Y2688" s="7" t="inlineStr"/>
    </row>
    <row r="2689">
      <c r="A2689" s="7" t="n">
        <v>556981</v>
      </c>
      <c r="B2689" s="12" t="inlineStr">
        <is>
          <t>7897947607996</t>
        </is>
      </c>
      <c r="C2689" s="7" t="inlineStr">
        <is>
          <t>LAVITAN VIT CABELOS E UNHAS 30CP</t>
        </is>
      </c>
      <c r="D2689" s="7" t="inlineStr">
        <is>
          <t>VITAMINA E SIMILARES</t>
        </is>
      </c>
      <c r="E2689" s="7" t="inlineStr">
        <is>
          <t>A</t>
        </is>
      </c>
      <c r="F2689" s="13" t="n">
        <v>8</v>
      </c>
      <c r="G2689" s="13" t="n">
        <v>8</v>
      </c>
      <c r="H2689" s="8" t="n">
        <v>8.99</v>
      </c>
      <c r="I2689" s="8" t="n">
        <v>6.99</v>
      </c>
      <c r="J2689" s="8" t="n">
        <v>7.656666666666666</v>
      </c>
      <c r="K2689" s="15" t="n">
        <v>12.62</v>
      </c>
      <c r="L2689" s="8" t="n"/>
      <c r="M2689" s="8" t="n"/>
      <c r="N2689" s="8" t="n"/>
      <c r="O2689" s="8" t="n"/>
      <c r="P2689" s="8" t="n">
        <v>19.61</v>
      </c>
      <c r="Q2689" s="8" t="n"/>
      <c r="R2689" s="8" t="n"/>
      <c r="S2689" s="8" t="n"/>
      <c r="T2689" s="7" t="inlineStr">
        <is>
          <t>DIMEC</t>
        </is>
      </c>
      <c r="U2689" s="8" t="n">
        <v>12.62</v>
      </c>
      <c r="V2689" s="14">
        <f>U2689/J2689-1</f>
        <v/>
      </c>
      <c r="W2689" s="14">
        <f>U2689/H2689-1</f>
        <v/>
      </c>
      <c r="X2689" s="16" t="inlineStr">
        <is>
          <t>ACIMA +40.4%</t>
        </is>
      </c>
      <c r="Y2689" s="7" t="inlineStr">
        <is>
          <t>NAZARIA: conferir emb.</t>
        </is>
      </c>
    </row>
    <row r="2690">
      <c r="A2690" s="7" t="n">
        <v>574921</v>
      </c>
      <c r="B2690" s="12" t="inlineStr">
        <is>
          <t>7897947607705</t>
        </is>
      </c>
      <c r="C2690" s="7" t="inlineStr">
        <is>
          <t>LAVITAN VIT CALCIO + D3 COMP FR C/60</t>
        </is>
      </c>
      <c r="D2690" s="7" t="inlineStr">
        <is>
          <t>VITAMINA E SIMILARES</t>
        </is>
      </c>
      <c r="E2690" s="7" t="inlineStr">
        <is>
          <t>B</t>
        </is>
      </c>
      <c r="F2690" s="13" t="n">
        <v>2</v>
      </c>
      <c r="G2690" s="13" t="n">
        <v>2</v>
      </c>
      <c r="H2690" s="8" t="n">
        <v>16.99</v>
      </c>
      <c r="I2690" s="8" t="n">
        <v>16.99</v>
      </c>
      <c r="J2690" s="8" t="n">
        <v>16.99</v>
      </c>
      <c r="K2690" s="8" t="n"/>
      <c r="L2690" s="8" t="n"/>
      <c r="M2690" s="8" t="n"/>
      <c r="N2690" s="8" t="n"/>
      <c r="O2690" s="8" t="n"/>
      <c r="P2690" s="8" t="n"/>
      <c r="Q2690" s="8" t="n"/>
      <c r="R2690" s="8" t="n"/>
      <c r="S2690" s="8" t="n"/>
      <c r="T2690" s="7" t="inlineStr">
        <is>
          <t>SEM COTAÇÃO</t>
        </is>
      </c>
      <c r="U2690" s="8" t="n"/>
      <c r="V2690" s="14" t="n"/>
      <c r="W2690" s="14" t="n"/>
      <c r="X2690" s="7" t="inlineStr"/>
      <c r="Y2690" s="7" t="inlineStr"/>
    </row>
    <row r="2691">
      <c r="A2691" s="7" t="n">
        <v>655491</v>
      </c>
      <c r="B2691" s="12" t="inlineStr">
        <is>
          <t>7897947620582</t>
        </is>
      </c>
      <c r="C2691" s="7" t="inlineStr">
        <is>
          <t>LAVITAN VIT E CAPS GEL FR X 30</t>
        </is>
      </c>
      <c r="D2691" s="7" t="inlineStr">
        <is>
          <t>VITAMINA E SIMILARES</t>
        </is>
      </c>
      <c r="E2691" s="7" t="inlineStr">
        <is>
          <t>C</t>
        </is>
      </c>
      <c r="F2691" s="13" t="n">
        <v>2</v>
      </c>
      <c r="G2691" s="13" t="n">
        <v>2</v>
      </c>
      <c r="H2691" s="8" t="n">
        <v>17.94</v>
      </c>
      <c r="I2691" s="8" t="n">
        <v>17.94</v>
      </c>
      <c r="J2691" s="8" t="n">
        <v>17.94</v>
      </c>
      <c r="K2691" s="8" t="n"/>
      <c r="L2691" s="8" t="n"/>
      <c r="M2691" s="8" t="n"/>
      <c r="N2691" s="8" t="n"/>
      <c r="O2691" s="8" t="n"/>
      <c r="P2691" s="8" t="n"/>
      <c r="Q2691" s="8" t="n"/>
      <c r="R2691" s="8" t="n"/>
      <c r="S2691" s="8" t="n"/>
      <c r="T2691" s="7" t="inlineStr">
        <is>
          <t>SEM COTAÇÃO</t>
        </is>
      </c>
      <c r="U2691" s="8" t="n"/>
      <c r="V2691" s="14" t="n"/>
      <c r="W2691" s="14" t="n"/>
      <c r="X2691" s="7" t="inlineStr"/>
      <c r="Y2691" s="7" t="inlineStr"/>
    </row>
    <row r="2692">
      <c r="A2692" s="7" t="n">
        <v>553661</v>
      </c>
      <c r="B2692" s="12" t="inlineStr">
        <is>
          <t>7897947614673</t>
        </is>
      </c>
      <c r="C2692" s="7" t="inlineStr">
        <is>
          <t>LAVITAN VIT INF SOL OR FR 240ML TUT FRUT</t>
        </is>
      </c>
      <c r="D2692" s="7" t="inlineStr">
        <is>
          <t>VITAMINA E SIMILARES</t>
        </is>
      </c>
      <c r="E2692" s="7" t="inlineStr">
        <is>
          <t>A</t>
        </is>
      </c>
      <c r="F2692" s="13" t="n">
        <v>2</v>
      </c>
      <c r="G2692" s="13" t="n">
        <v>2</v>
      </c>
      <c r="H2692" s="8" t="n">
        <v>10.99</v>
      </c>
      <c r="I2692" s="8" t="n">
        <v>8.99</v>
      </c>
      <c r="J2692" s="8" t="n">
        <v>9.656666666666666</v>
      </c>
      <c r="K2692" s="15" t="n">
        <v>13.85</v>
      </c>
      <c r="L2692" s="8" t="n"/>
      <c r="M2692" s="8" t="n"/>
      <c r="N2692" s="8" t="n"/>
      <c r="O2692" s="8" t="n"/>
      <c r="P2692" s="8" t="n">
        <v>21.28</v>
      </c>
      <c r="Q2692" s="8" t="n"/>
      <c r="R2692" s="8" t="n"/>
      <c r="S2692" s="8" t="n"/>
      <c r="T2692" s="7" t="inlineStr">
        <is>
          <t>DIMEC</t>
        </is>
      </c>
      <c r="U2692" s="8" t="n">
        <v>13.85</v>
      </c>
      <c r="V2692" s="14">
        <f>U2692/J2692-1</f>
        <v/>
      </c>
      <c r="W2692" s="14">
        <f>U2692/H2692-1</f>
        <v/>
      </c>
      <c r="X2692" s="16" t="inlineStr">
        <is>
          <t>ACIMA +26.0%</t>
        </is>
      </c>
      <c r="Y2692" s="7" t="inlineStr"/>
    </row>
    <row r="2693">
      <c r="A2693" s="7" t="n">
        <v>561161</v>
      </c>
      <c r="B2693" s="12" t="inlineStr">
        <is>
          <t>7897947600775</t>
        </is>
      </c>
      <c r="C2693" s="7" t="inlineStr">
        <is>
          <t>LAVITAN VIT-D SOL OR FR 30ML</t>
        </is>
      </c>
      <c r="D2693" s="7" t="inlineStr">
        <is>
          <t>VITAMINA E SIMILARES</t>
        </is>
      </c>
      <c r="E2693" s="7" t="inlineStr">
        <is>
          <t>B</t>
        </is>
      </c>
      <c r="F2693" s="13" t="n">
        <v>4</v>
      </c>
      <c r="G2693" s="13" t="n">
        <v>4</v>
      </c>
      <c r="H2693" s="8" t="n">
        <v>15.62</v>
      </c>
      <c r="I2693" s="8" t="n">
        <v>15.62</v>
      </c>
      <c r="J2693" s="8" t="n">
        <v>15.62</v>
      </c>
      <c r="K2693" s="8" t="n"/>
      <c r="L2693" s="8" t="n"/>
      <c r="M2693" s="8" t="n"/>
      <c r="N2693" s="8" t="n"/>
      <c r="O2693" s="8" t="n"/>
      <c r="P2693" s="8" t="n"/>
      <c r="Q2693" s="8" t="n"/>
      <c r="R2693" s="8" t="n"/>
      <c r="S2693" s="8" t="n"/>
      <c r="T2693" s="7" t="inlineStr">
        <is>
          <t>SEM COTAÇÃO</t>
        </is>
      </c>
      <c r="U2693" s="8" t="n"/>
      <c r="V2693" s="14" t="n"/>
      <c r="W2693" s="14" t="n"/>
      <c r="X2693" s="7" t="inlineStr"/>
      <c r="Y2693" s="7" t="inlineStr"/>
    </row>
    <row r="2694">
      <c r="A2694" s="7" t="n">
        <v>662911</v>
      </c>
      <c r="B2694" s="12" t="inlineStr">
        <is>
          <t>7897947601079</t>
        </is>
      </c>
      <c r="C2694" s="7" t="inlineStr">
        <is>
          <t>LAVITAN X BIO COMPLEX COMP REV FR X 30</t>
        </is>
      </c>
      <c r="D2694" s="7" t="inlineStr">
        <is>
          <t>VITAMINA E SIMILARES</t>
        </is>
      </c>
      <c r="E2694" s="7" t="inlineStr">
        <is>
          <t>C</t>
        </is>
      </c>
      <c r="F2694" s="13" t="n">
        <v>1</v>
      </c>
      <c r="G2694" s="13" t="n">
        <v>1</v>
      </c>
      <c r="H2694" s="8" t="n"/>
      <c r="I2694" s="8" t="n"/>
      <c r="J2694" s="8" t="n"/>
      <c r="K2694" s="8" t="n"/>
      <c r="L2694" s="8" t="n"/>
      <c r="M2694" s="8" t="n"/>
      <c r="N2694" s="8" t="n"/>
      <c r="O2694" s="8" t="n"/>
      <c r="P2694" s="8" t="n"/>
      <c r="Q2694" s="8" t="n"/>
      <c r="R2694" s="8" t="n"/>
      <c r="S2694" s="8" t="n"/>
      <c r="T2694" s="7" t="inlineStr">
        <is>
          <t>SEM COTAÇÃO</t>
        </is>
      </c>
      <c r="U2694" s="8" t="n"/>
      <c r="V2694" s="14" t="n"/>
      <c r="W2694" s="14" t="n"/>
      <c r="X2694" s="7" t="inlineStr"/>
      <c r="Y2694" s="7" t="inlineStr"/>
    </row>
    <row r="2695">
      <c r="A2695" s="7" t="n">
        <v>546461</v>
      </c>
      <c r="B2695" s="12" t="inlineStr">
        <is>
          <t>7897947600805</t>
        </is>
      </c>
      <c r="C2695" s="7" t="inlineStr">
        <is>
          <t>LAVITAN ZINCO 29,59 MG 30CP</t>
        </is>
      </c>
      <c r="D2695" s="7" t="inlineStr">
        <is>
          <t>VITAMINA E SIMILARES</t>
        </is>
      </c>
      <c r="E2695" s="7" t="inlineStr">
        <is>
          <t>C</t>
        </is>
      </c>
      <c r="F2695" s="13" t="n">
        <v>1</v>
      </c>
      <c r="G2695" s="13" t="n">
        <v>1</v>
      </c>
      <c r="H2695" s="8" t="n">
        <v>15.04</v>
      </c>
      <c r="I2695" s="8" t="n">
        <v>15.04</v>
      </c>
      <c r="J2695" s="8" t="n">
        <v>15.04</v>
      </c>
      <c r="K2695" s="8" t="n"/>
      <c r="L2695" s="8" t="n"/>
      <c r="M2695" s="8" t="n"/>
      <c r="N2695" s="8" t="n"/>
      <c r="O2695" s="8" t="n"/>
      <c r="P2695" s="8" t="n"/>
      <c r="Q2695" s="8" t="n"/>
      <c r="R2695" s="8" t="n"/>
      <c r="S2695" s="8" t="n"/>
      <c r="T2695" s="7" t="inlineStr">
        <is>
          <t>SEM COTAÇÃO</t>
        </is>
      </c>
      <c r="U2695" s="8" t="n"/>
      <c r="V2695" s="14" t="n"/>
      <c r="W2695" s="14" t="n"/>
      <c r="X2695" s="7" t="inlineStr"/>
      <c r="Y2695" s="7" t="inlineStr"/>
    </row>
    <row r="2696">
      <c r="A2696" s="7" t="n">
        <v>627791</v>
      </c>
      <c r="B2696" s="12" t="inlineStr">
        <is>
          <t>7897947617605</t>
        </is>
      </c>
      <c r="C2696" s="7" t="inlineStr">
        <is>
          <t>LAVITAN ZMA PERFORMANCE COMP 2 BL X 15</t>
        </is>
      </c>
      <c r="D2696" s="7" t="inlineStr">
        <is>
          <t>VITAMINA E SIMILARES</t>
        </is>
      </c>
      <c r="E2696" s="7" t="inlineStr">
        <is>
          <t>A</t>
        </is>
      </c>
      <c r="F2696" s="13" t="n">
        <v>10</v>
      </c>
      <c r="G2696" s="13" t="n">
        <v>10</v>
      </c>
      <c r="H2696" s="8" t="n">
        <v>18.36</v>
      </c>
      <c r="I2696" s="8" t="n">
        <v>16.39</v>
      </c>
      <c r="J2696" s="8" t="n">
        <v>16.39</v>
      </c>
      <c r="K2696" s="15" t="n">
        <v>13.5</v>
      </c>
      <c r="L2696" s="8" t="n"/>
      <c r="M2696" s="8" t="n"/>
      <c r="N2696" s="8" t="n"/>
      <c r="O2696" s="8" t="n"/>
      <c r="P2696" s="8" t="n"/>
      <c r="Q2696" s="8" t="n"/>
      <c r="R2696" s="8" t="n"/>
      <c r="S2696" s="8" t="n"/>
      <c r="T2696" s="7" t="inlineStr">
        <is>
          <t>DIMEC</t>
        </is>
      </c>
      <c r="U2696" s="8" t="n">
        <v>13.5</v>
      </c>
      <c r="V2696" s="14">
        <f>U2696/J2696-1</f>
        <v/>
      </c>
      <c r="W2696" s="14">
        <f>U2696/H2696-1</f>
        <v/>
      </c>
      <c r="X2696" s="17" t="inlineStr">
        <is>
          <t>OK (≤ menor hist.)</t>
        </is>
      </c>
      <c r="Y2696" s="7" t="inlineStr"/>
    </row>
    <row r="2697">
      <c r="A2697" s="7" t="n">
        <v>679601</v>
      </c>
      <c r="B2697" s="12" t="inlineStr">
        <is>
          <t>7892840825157</t>
        </is>
      </c>
      <c r="C2697" s="7" t="inlineStr">
        <is>
          <t>LAYS SOUR CREAM 62GR UN 1X62GR QTD. 6.00 UN</t>
        </is>
      </c>
      <c r="D2697" s="7" t="inlineStr">
        <is>
          <t>CONVENIENCIA</t>
        </is>
      </c>
      <c r="E2697" s="7" t="inlineStr">
        <is>
          <t>A</t>
        </is>
      </c>
      <c r="F2697" s="13" t="n">
        <v>4</v>
      </c>
      <c r="G2697" s="13" t="n">
        <v>4</v>
      </c>
      <c r="H2697" s="8" t="n">
        <v>10.68</v>
      </c>
      <c r="I2697" s="8" t="n">
        <v>10.68</v>
      </c>
      <c r="J2697" s="8" t="n">
        <v>10.68</v>
      </c>
      <c r="K2697" s="8" t="n"/>
      <c r="L2697" s="8" t="n"/>
      <c r="M2697" s="8" t="n"/>
      <c r="N2697" s="8" t="n"/>
      <c r="O2697" s="8" t="n"/>
      <c r="P2697" s="8" t="n"/>
      <c r="Q2697" s="8" t="n"/>
      <c r="R2697" s="8" t="n"/>
      <c r="S2697" s="8" t="n"/>
      <c r="T2697" s="7" t="inlineStr">
        <is>
          <t>SEM COTAÇÃO</t>
        </is>
      </c>
      <c r="U2697" s="8" t="n"/>
      <c r="V2697" s="14" t="n"/>
      <c r="W2697" s="14" t="n"/>
      <c r="X2697" s="7" t="inlineStr"/>
      <c r="Y2697" s="7" t="inlineStr"/>
    </row>
    <row r="2698">
      <c r="A2698" s="7" t="n">
        <v>646341</v>
      </c>
      <c r="B2698" s="12" t="inlineStr">
        <is>
          <t>7908615053097</t>
        </is>
      </c>
      <c r="C2698" s="7" t="inlineStr">
        <is>
          <t>LEAVE IN ELSEVE 100ML CICATRI RENOV BNGA</t>
        </is>
      </c>
      <c r="D2698" s="7" t="inlineStr">
        <is>
          <t>COND/SHAM/CREM/SIMILARES</t>
        </is>
      </c>
      <c r="E2698" s="7" t="inlineStr">
        <is>
          <t>C</t>
        </is>
      </c>
      <c r="F2698" s="13" t="n">
        <v>1</v>
      </c>
      <c r="G2698" s="13" t="n">
        <v>1</v>
      </c>
      <c r="H2698" s="8" t="n">
        <v>30.07</v>
      </c>
      <c r="I2698" s="8" t="n">
        <v>30.07</v>
      </c>
      <c r="J2698" s="8" t="n">
        <v>30.07</v>
      </c>
      <c r="K2698" s="8" t="n"/>
      <c r="L2698" s="8" t="n"/>
      <c r="M2698" s="8" t="n"/>
      <c r="N2698" s="8" t="n"/>
      <c r="O2698" s="8" t="n"/>
      <c r="P2698" s="15" t="n">
        <v>26.54</v>
      </c>
      <c r="Q2698" s="8" t="n"/>
      <c r="R2698" s="8" t="n"/>
      <c r="S2698" s="8" t="n"/>
      <c r="T2698" s="7" t="inlineStr">
        <is>
          <t>NAZARIA</t>
        </is>
      </c>
      <c r="U2698" s="8" t="n">
        <v>26.54</v>
      </c>
      <c r="V2698" s="14">
        <f>U2698/J2698-1</f>
        <v/>
      </c>
      <c r="W2698" s="14">
        <f>U2698/H2698-1</f>
        <v/>
      </c>
      <c r="X2698" s="17" t="inlineStr">
        <is>
          <t>OK (≤ menor hist.)</t>
        </is>
      </c>
      <c r="Y2698" s="7" t="inlineStr"/>
    </row>
    <row r="2699">
      <c r="A2699" s="7" t="n">
        <v>670241</v>
      </c>
      <c r="B2699" s="12" t="inlineStr">
        <is>
          <t>7908324408652</t>
        </is>
      </c>
      <c r="C2699" s="7" t="inlineStr">
        <is>
          <t>LEAVE IN OX 300ML VITA GLOW CACHOS</t>
        </is>
      </c>
      <c r="D2699" s="7" t="inlineStr">
        <is>
          <t>COND/SHAM/CREM/SIMILARES</t>
        </is>
      </c>
      <c r="E2699" s="7" t="inlineStr">
        <is>
          <t>B</t>
        </is>
      </c>
      <c r="F2699" s="13" t="n">
        <v>1</v>
      </c>
      <c r="G2699" s="13" t="n">
        <v>1</v>
      </c>
      <c r="H2699" s="8" t="n">
        <v>36.68</v>
      </c>
      <c r="I2699" s="8" t="n">
        <v>36.68</v>
      </c>
      <c r="J2699" s="8" t="n">
        <v>36.68</v>
      </c>
      <c r="K2699" s="8" t="n"/>
      <c r="L2699" s="8" t="n"/>
      <c r="M2699" s="8" t="n"/>
      <c r="N2699" s="8" t="n"/>
      <c r="O2699" s="8" t="n"/>
      <c r="P2699" s="8" t="n"/>
      <c r="Q2699" s="8" t="n"/>
      <c r="R2699" s="8" t="n"/>
      <c r="S2699" s="8" t="n"/>
      <c r="T2699" s="7" t="inlineStr">
        <is>
          <t>SEM COTAÇÃO</t>
        </is>
      </c>
      <c r="U2699" s="8" t="n"/>
      <c r="V2699" s="14" t="n"/>
      <c r="W2699" s="14" t="n"/>
      <c r="X2699" s="7" t="inlineStr"/>
      <c r="Y2699" s="7" t="inlineStr"/>
    </row>
    <row r="2700">
      <c r="A2700" s="7" t="n">
        <v>28003</v>
      </c>
      <c r="B2700" s="12" t="inlineStr">
        <is>
          <t>7500435266147</t>
        </is>
      </c>
      <c r="C2700" s="7" t="inlineStr">
        <is>
          <t>LEAVE IN PANTENE BAMBU OLEO RICINO 95ML</t>
        </is>
      </c>
      <c r="D2700" s="7" t="inlineStr">
        <is>
          <t>COND/SHAM/CREM/SIMILARES</t>
        </is>
      </c>
      <c r="E2700" s="7" t="inlineStr">
        <is>
          <t>A</t>
        </is>
      </c>
      <c r="F2700" s="13" t="n">
        <v>2</v>
      </c>
      <c r="G2700" s="13" t="n">
        <v>2</v>
      </c>
      <c r="H2700" s="8" t="n">
        <v>26.31</v>
      </c>
      <c r="I2700" s="8" t="n">
        <v>26.31</v>
      </c>
      <c r="J2700" s="8" t="n">
        <v>26.31</v>
      </c>
      <c r="K2700" s="8" t="n"/>
      <c r="L2700" s="8" t="n"/>
      <c r="M2700" s="8" t="n"/>
      <c r="N2700" s="8" t="n"/>
      <c r="O2700" s="8" t="n"/>
      <c r="P2700" s="8" t="n"/>
      <c r="Q2700" s="8" t="n"/>
      <c r="R2700" s="8" t="n"/>
      <c r="S2700" s="8" t="n"/>
      <c r="T2700" s="7" t="inlineStr">
        <is>
          <t>SEM COTAÇÃO</t>
        </is>
      </c>
      <c r="U2700" s="8" t="n"/>
      <c r="V2700" s="14" t="n"/>
      <c r="W2700" s="14" t="n"/>
      <c r="X2700" s="7" t="inlineStr"/>
      <c r="Y2700" s="7" t="inlineStr"/>
    </row>
    <row r="2701">
      <c r="A2701" s="7" t="n">
        <v>560241</v>
      </c>
      <c r="B2701" s="12" t="inlineStr">
        <is>
          <t>7894164008209</t>
        </is>
      </c>
      <c r="C2701" s="7" t="inlineStr">
        <is>
          <t>LEFLORA 6 CAP</t>
        </is>
      </c>
      <c r="D2701" s="7" t="inlineStr">
        <is>
          <t>SIMILAR</t>
        </is>
      </c>
      <c r="E2701" s="7" t="inlineStr">
        <is>
          <t>C</t>
        </is>
      </c>
      <c r="F2701" s="13" t="n">
        <v>1</v>
      </c>
      <c r="G2701" s="13" t="n">
        <v>1</v>
      </c>
      <c r="H2701" s="8" t="n">
        <v>10.42</v>
      </c>
      <c r="I2701" s="8" t="n">
        <v>10.03</v>
      </c>
      <c r="J2701" s="8" t="n">
        <v>10.29</v>
      </c>
      <c r="K2701" s="8" t="n">
        <v>10.52</v>
      </c>
      <c r="L2701" s="8" t="n"/>
      <c r="M2701" s="8" t="n"/>
      <c r="N2701" s="8" t="n">
        <v>11.13</v>
      </c>
      <c r="O2701" s="15" t="n">
        <v>8.94</v>
      </c>
      <c r="P2701" s="8" t="n"/>
      <c r="Q2701" s="8" t="n">
        <v>12.44</v>
      </c>
      <c r="R2701" s="8" t="n">
        <v>11.89</v>
      </c>
      <c r="S2701" s="8" t="n"/>
      <c r="T2701" s="7" t="inlineStr">
        <is>
          <t>TAPAJOS</t>
        </is>
      </c>
      <c r="U2701" s="8" t="n">
        <v>8.94</v>
      </c>
      <c r="V2701" s="14">
        <f>U2701/J2701-1</f>
        <v/>
      </c>
      <c r="W2701" s="14">
        <f>U2701/H2701-1</f>
        <v/>
      </c>
      <c r="X2701" s="17" t="inlineStr">
        <is>
          <t>OK (≤ menor hist.)</t>
        </is>
      </c>
      <c r="Y2701" s="7" t="inlineStr"/>
    </row>
    <row r="2702">
      <c r="A2702" s="7" t="n">
        <v>434101</v>
      </c>
      <c r="B2702" s="12" t="inlineStr"/>
      <c r="C2702" s="7" t="inlineStr">
        <is>
          <t>LEGALON 64MG/5ML SUS OR FR 100ML</t>
        </is>
      </c>
      <c r="D2702" s="7" t="inlineStr">
        <is>
          <t>RX - OTC</t>
        </is>
      </c>
      <c r="E2702" s="7" t="inlineStr">
        <is>
          <t>A</t>
        </is>
      </c>
      <c r="F2702" s="13" t="n">
        <v>2</v>
      </c>
      <c r="G2702" s="13" t="n">
        <v>2</v>
      </c>
      <c r="H2702" s="8" t="n">
        <v>78.62</v>
      </c>
      <c r="I2702" s="8" t="n">
        <v>74.58</v>
      </c>
      <c r="J2702" s="8" t="n">
        <v>77.27333333333333</v>
      </c>
      <c r="K2702" s="8" t="n"/>
      <c r="L2702" s="8" t="n"/>
      <c r="M2702" s="8" t="n"/>
      <c r="N2702" s="8" t="n"/>
      <c r="O2702" s="8" t="n"/>
      <c r="P2702" s="8" t="n"/>
      <c r="Q2702" s="8" t="n"/>
      <c r="R2702" s="8" t="n"/>
      <c r="S2702" s="8" t="n"/>
      <c r="T2702" s="7" t="inlineStr">
        <is>
          <t>SEM COTAÇÃO</t>
        </is>
      </c>
      <c r="U2702" s="8" t="n"/>
      <c r="V2702" s="14" t="n"/>
      <c r="W2702" s="14" t="n"/>
      <c r="X2702" s="7" t="inlineStr"/>
      <c r="Y2702" s="7" t="inlineStr"/>
    </row>
    <row r="2703">
      <c r="A2703" s="7" t="n">
        <v>4083</v>
      </c>
      <c r="B2703" s="12" t="inlineStr">
        <is>
          <t>7898575780754</t>
        </is>
      </c>
      <c r="C2703" s="7" t="inlineStr">
        <is>
          <t>LEITE DE MAGNESIA 100ML HORTELA</t>
        </is>
      </c>
      <c r="D2703" s="7" t="inlineStr">
        <is>
          <t>SIMILAR</t>
        </is>
      </c>
      <c r="E2703" s="7" t="inlineStr">
        <is>
          <t>C</t>
        </is>
      </c>
      <c r="F2703" s="13" t="n">
        <v>6</v>
      </c>
      <c r="G2703" s="13" t="n">
        <v>6</v>
      </c>
      <c r="H2703" s="8" t="n">
        <v>3.54</v>
      </c>
      <c r="I2703" s="8" t="n">
        <v>3.54</v>
      </c>
      <c r="J2703" s="8" t="n">
        <v>3.54</v>
      </c>
      <c r="K2703" s="15" t="n">
        <v>1.99</v>
      </c>
      <c r="L2703" s="8" t="n"/>
      <c r="M2703" s="8" t="n"/>
      <c r="N2703" s="8" t="n"/>
      <c r="O2703" s="8" t="n"/>
      <c r="P2703" s="8" t="n"/>
      <c r="Q2703" s="8" t="n"/>
      <c r="R2703" s="8" t="n"/>
      <c r="S2703" s="8" t="n"/>
      <c r="T2703" s="7" t="inlineStr">
        <is>
          <t>DIMEC</t>
        </is>
      </c>
      <c r="U2703" s="8" t="n">
        <v>1.99</v>
      </c>
      <c r="V2703" s="14">
        <f>U2703/J2703-1</f>
        <v/>
      </c>
      <c r="W2703" s="14">
        <f>U2703/H2703-1</f>
        <v/>
      </c>
      <c r="X2703" s="17" t="inlineStr">
        <is>
          <t>OK (≤ menor hist.)</t>
        </is>
      </c>
      <c r="Y2703" s="7" t="inlineStr"/>
    </row>
    <row r="2704">
      <c r="A2704" s="7" t="n">
        <v>556441</v>
      </c>
      <c r="B2704" s="12" t="inlineStr">
        <is>
          <t>7897732607323</t>
        </is>
      </c>
      <c r="C2704" s="7" t="inlineStr">
        <is>
          <t>LEITE DE MAGNESIA 100ML TRADICIONAL</t>
        </is>
      </c>
      <c r="D2704" s="7" t="inlineStr">
        <is>
          <t>SIMILAR</t>
        </is>
      </c>
      <c r="E2704" s="7" t="inlineStr">
        <is>
          <t>C</t>
        </is>
      </c>
      <c r="F2704" s="13" t="n">
        <v>5</v>
      </c>
      <c r="G2704" s="13" t="n">
        <v>5</v>
      </c>
      <c r="H2704" s="8" t="n">
        <v>4.12</v>
      </c>
      <c r="I2704" s="8" t="n">
        <v>4.12</v>
      </c>
      <c r="J2704" s="8" t="n">
        <v>4.12</v>
      </c>
      <c r="K2704" s="8" t="n">
        <v>4.65</v>
      </c>
      <c r="L2704" s="8" t="n"/>
      <c r="M2704" s="8" t="n"/>
      <c r="N2704" s="15" t="n">
        <v>4.34</v>
      </c>
      <c r="O2704" s="8" t="n"/>
      <c r="P2704" s="8" t="n">
        <v>5.6</v>
      </c>
      <c r="Q2704" s="8" t="n"/>
      <c r="R2704" s="8" t="n"/>
      <c r="S2704" s="8" t="n"/>
      <c r="T2704" s="7" t="inlineStr">
        <is>
          <t>CENTROFARMA</t>
        </is>
      </c>
      <c r="U2704" s="8" t="n">
        <v>4.34</v>
      </c>
      <c r="V2704" s="14">
        <f>U2704/J2704-1</f>
        <v/>
      </c>
      <c r="W2704" s="14">
        <f>U2704/H2704-1</f>
        <v/>
      </c>
      <c r="X2704" s="16" t="inlineStr">
        <is>
          <t>ACIMA +5.3%</t>
        </is>
      </c>
      <c r="Y2704" s="7" t="inlineStr"/>
    </row>
    <row r="2705">
      <c r="A2705" s="7" t="n">
        <v>646631</v>
      </c>
      <c r="B2705" s="12" t="inlineStr">
        <is>
          <t>7898031310211</t>
        </is>
      </c>
      <c r="C2705" s="7" t="inlineStr">
        <is>
          <t>LEITE DE MAGNESIA 120ML TRADICIONAL</t>
        </is>
      </c>
      <c r="D2705" s="7" t="inlineStr">
        <is>
          <t>SIMILAR</t>
        </is>
      </c>
      <c r="E2705" s="7" t="inlineStr">
        <is>
          <t>C</t>
        </is>
      </c>
      <c r="F2705" s="13" t="n">
        <v>2</v>
      </c>
      <c r="G2705" s="13" t="n">
        <v>2</v>
      </c>
      <c r="H2705" s="8" t="n">
        <v>5.01</v>
      </c>
      <c r="I2705" s="8" t="n">
        <v>5.01</v>
      </c>
      <c r="J2705" s="8" t="n">
        <v>5.01</v>
      </c>
      <c r="K2705" s="15" t="n">
        <v>5</v>
      </c>
      <c r="L2705" s="8" t="n"/>
      <c r="M2705" s="8" t="n"/>
      <c r="N2705" s="8" t="n"/>
      <c r="O2705" s="8" t="n"/>
      <c r="P2705" s="8" t="n"/>
      <c r="Q2705" s="8" t="n"/>
      <c r="R2705" s="8" t="n"/>
      <c r="S2705" s="8" t="n"/>
      <c r="T2705" s="7" t="inlineStr">
        <is>
          <t>DIMEC</t>
        </is>
      </c>
      <c r="U2705" s="8" t="n">
        <v>5</v>
      </c>
      <c r="V2705" s="14">
        <f>U2705/J2705-1</f>
        <v/>
      </c>
      <c r="W2705" s="14">
        <f>U2705/H2705-1</f>
        <v/>
      </c>
      <c r="X2705" s="17" t="inlineStr">
        <is>
          <t>OK (≤ menor hist.)</t>
        </is>
      </c>
      <c r="Y2705" s="7" t="inlineStr"/>
    </row>
    <row r="2706">
      <c r="A2706" s="7" t="n">
        <v>651461</v>
      </c>
      <c r="B2706" s="12" t="inlineStr">
        <is>
          <t>7898179711314</t>
        </is>
      </c>
      <c r="C2706" s="7" t="inlineStr">
        <is>
          <t>LEITE DE MAGNESIA GASTRIMEC 100ML TRADIC</t>
        </is>
      </c>
      <c r="D2706" s="7" t="inlineStr">
        <is>
          <t>SIMILAR</t>
        </is>
      </c>
      <c r="E2706" s="7" t="inlineStr">
        <is>
          <t>B</t>
        </is>
      </c>
      <c r="F2706" s="13" t="n">
        <v>11</v>
      </c>
      <c r="G2706" s="13" t="n">
        <v>11</v>
      </c>
      <c r="H2706" s="8" t="n">
        <v>4.5</v>
      </c>
      <c r="I2706" s="8" t="n">
        <v>4.5</v>
      </c>
      <c r="J2706" s="8" t="n">
        <v>4.5</v>
      </c>
      <c r="K2706" s="15" t="n">
        <v>4.58</v>
      </c>
      <c r="L2706" s="8" t="n"/>
      <c r="M2706" s="8" t="n"/>
      <c r="N2706" s="8" t="n">
        <v>4.74</v>
      </c>
      <c r="O2706" s="8" t="n"/>
      <c r="P2706" s="8" t="n"/>
      <c r="Q2706" s="8" t="n">
        <v>5.48</v>
      </c>
      <c r="R2706" s="8" t="n"/>
      <c r="S2706" s="8" t="n"/>
      <c r="T2706" s="7" t="inlineStr">
        <is>
          <t>DIMEC</t>
        </is>
      </c>
      <c r="U2706" s="8" t="n">
        <v>4.58</v>
      </c>
      <c r="V2706" s="14">
        <f>U2706/J2706-1</f>
        <v/>
      </c>
      <c r="W2706" s="14">
        <f>U2706/H2706-1</f>
        <v/>
      </c>
      <c r="X2706" s="16" t="inlineStr">
        <is>
          <t>ACIMA +1.8%</t>
        </is>
      </c>
      <c r="Y2706" s="7" t="inlineStr"/>
    </row>
    <row r="2707">
      <c r="A2707" s="7" t="n">
        <v>651991</v>
      </c>
      <c r="B2707" s="12" t="inlineStr">
        <is>
          <t>7895858015664</t>
        </is>
      </c>
      <c r="C2707" s="7" t="inlineStr">
        <is>
          <t>LEITE DE MAGNESIA PHILLIPS HORT 120ML</t>
        </is>
      </c>
      <c r="D2707" s="7" t="inlineStr">
        <is>
          <t>RX</t>
        </is>
      </c>
      <c r="E2707" s="7" t="inlineStr">
        <is>
          <t>B</t>
        </is>
      </c>
      <c r="F2707" s="13" t="n">
        <v>1</v>
      </c>
      <c r="G2707" s="13" t="n">
        <v>1</v>
      </c>
      <c r="H2707" s="8" t="n">
        <v>18.31</v>
      </c>
      <c r="I2707" s="8" t="n">
        <v>9.81</v>
      </c>
      <c r="J2707" s="8" t="n">
        <v>9.81</v>
      </c>
      <c r="K2707" s="8" t="n"/>
      <c r="L2707" s="8" t="n"/>
      <c r="M2707" s="8" t="n">
        <v>13.74</v>
      </c>
      <c r="N2707" s="8" t="n"/>
      <c r="O2707" s="8" t="n"/>
      <c r="P2707" s="15" t="n">
        <v>18.88</v>
      </c>
      <c r="Q2707" s="8" t="n"/>
      <c r="R2707" s="8" t="n"/>
      <c r="S2707" s="8" t="n"/>
      <c r="T2707" s="7" t="inlineStr">
        <is>
          <t>NAZARIA</t>
        </is>
      </c>
      <c r="U2707" s="8" t="n">
        <v>18.88</v>
      </c>
      <c r="V2707" s="14">
        <f>U2707/J2707-1</f>
        <v/>
      </c>
      <c r="W2707" s="14">
        <f>U2707/H2707-1</f>
        <v/>
      </c>
      <c r="X2707" s="16" t="inlineStr">
        <is>
          <t>ACIMA +3.1%</t>
        </is>
      </c>
      <c r="Y2707" s="7" t="inlineStr">
        <is>
          <t>EPAN: sem estoque</t>
        </is>
      </c>
    </row>
    <row r="2708">
      <c r="A2708" s="7" t="n">
        <v>621601</v>
      </c>
      <c r="B2708" s="12" t="inlineStr">
        <is>
          <t>7896806700038</t>
        </is>
      </c>
      <c r="C2708" s="7" t="inlineStr">
        <is>
          <t>LEITE DE ROSAS G 170ML</t>
        </is>
      </c>
      <c r="D2708" s="7" t="inlineStr">
        <is>
          <t>PERF/COSME</t>
        </is>
      </c>
      <c r="E2708" s="7" t="inlineStr">
        <is>
          <t>B</t>
        </is>
      </c>
      <c r="F2708" s="13" t="n">
        <v>5</v>
      </c>
      <c r="G2708" s="13" t="n">
        <v>5</v>
      </c>
      <c r="H2708" s="8" t="n">
        <v>3.61</v>
      </c>
      <c r="I2708" s="8" t="n">
        <v>3.61</v>
      </c>
      <c r="J2708" s="8" t="n">
        <v>3.61</v>
      </c>
      <c r="K2708" s="8" t="n"/>
      <c r="L2708" s="8" t="n"/>
      <c r="M2708" s="8" t="n"/>
      <c r="N2708" s="8" t="n"/>
      <c r="O2708" s="8" t="n"/>
      <c r="P2708" s="8" t="n"/>
      <c r="Q2708" s="8" t="n"/>
      <c r="R2708" s="8" t="n"/>
      <c r="S2708" s="8" t="n"/>
      <c r="T2708" s="7" t="inlineStr">
        <is>
          <t>SEM COTAÇÃO</t>
        </is>
      </c>
      <c r="U2708" s="8" t="n"/>
      <c r="V2708" s="14" t="n"/>
      <c r="W2708" s="14" t="n"/>
      <c r="X2708" s="7" t="inlineStr"/>
      <c r="Y2708" s="7" t="inlineStr"/>
    </row>
    <row r="2709">
      <c r="A2709" s="7" t="n">
        <v>655401</v>
      </c>
      <c r="B2709" s="12" t="inlineStr">
        <is>
          <t>7896523228815</t>
        </is>
      </c>
      <c r="C2709" s="7" t="inlineStr">
        <is>
          <t>LEITE MAGN MAGNAZIA 8% SUSP FR120ML TRAD</t>
        </is>
      </c>
      <c r="D2709" s="7" t="inlineStr">
        <is>
          <t>SIMILAR</t>
        </is>
      </c>
      <c r="E2709" s="7" t="inlineStr">
        <is>
          <t>A</t>
        </is>
      </c>
      <c r="F2709" s="13" t="n">
        <v>12</v>
      </c>
      <c r="G2709" s="13" t="n">
        <v>12</v>
      </c>
      <c r="H2709" s="8" t="n">
        <v>5.99</v>
      </c>
      <c r="I2709" s="8" t="n">
        <v>5.79</v>
      </c>
      <c r="J2709" s="8" t="n">
        <v>5.856666666666666</v>
      </c>
      <c r="K2709" s="8" t="n"/>
      <c r="L2709" s="8" t="n"/>
      <c r="M2709" s="8" t="n"/>
      <c r="N2709" s="8" t="n"/>
      <c r="O2709" s="8" t="n"/>
      <c r="P2709" s="8" t="n">
        <v>6.89</v>
      </c>
      <c r="Q2709" s="8" t="n"/>
      <c r="R2709" s="8" t="n"/>
      <c r="S2709" s="8" t="n"/>
      <c r="T2709" s="7" t="inlineStr">
        <is>
          <t>SEM COTAÇÃO</t>
        </is>
      </c>
      <c r="U2709" s="8" t="n"/>
      <c r="V2709" s="14" t="n"/>
      <c r="W2709" s="14" t="n"/>
      <c r="X2709" s="7" t="inlineStr"/>
      <c r="Y2709" s="7" t="inlineStr">
        <is>
          <t>NAZARIA: sem estoque</t>
        </is>
      </c>
    </row>
    <row r="2710">
      <c r="A2710" s="7" t="n">
        <v>539621</v>
      </c>
      <c r="B2710" s="12" t="inlineStr">
        <is>
          <t>7895858015688</t>
        </is>
      </c>
      <c r="C2710" s="7" t="inlineStr">
        <is>
          <t>LEITE MAGNESIA PHIL C/120ML</t>
        </is>
      </c>
      <c r="D2710" s="7" t="inlineStr">
        <is>
          <t>RX - OTC</t>
        </is>
      </c>
      <c r="E2710" s="7" t="inlineStr">
        <is>
          <t>A</t>
        </is>
      </c>
      <c r="F2710" s="13" t="n">
        <v>11</v>
      </c>
      <c r="G2710" s="13" t="n">
        <v>11</v>
      </c>
      <c r="H2710" s="8" t="n">
        <v>16.875</v>
      </c>
      <c r="I2710" s="8" t="n">
        <v>8.1403</v>
      </c>
      <c r="J2710" s="8" t="n">
        <v>13.17343333333333</v>
      </c>
      <c r="K2710" s="8" t="n"/>
      <c r="L2710" s="8" t="n"/>
      <c r="M2710" s="15" t="n">
        <v>13.74</v>
      </c>
      <c r="N2710" s="8" t="n"/>
      <c r="O2710" s="8" t="n"/>
      <c r="P2710" s="8" t="n">
        <v>18.88</v>
      </c>
      <c r="Q2710" s="8" t="n"/>
      <c r="R2710" s="8" t="n"/>
      <c r="S2710" s="8" t="n"/>
      <c r="T2710" s="7" t="inlineStr">
        <is>
          <t>EPAN</t>
        </is>
      </c>
      <c r="U2710" s="8" t="n">
        <v>13.74</v>
      </c>
      <c r="V2710" s="14">
        <f>U2710/J2710-1</f>
        <v/>
      </c>
      <c r="W2710" s="14">
        <f>U2710/H2710-1</f>
        <v/>
      </c>
      <c r="X2710" s="17" t="inlineStr">
        <is>
          <t>OK (≤ últ. compra)</t>
        </is>
      </c>
      <c r="Y2710" s="7" t="inlineStr"/>
    </row>
    <row r="2711">
      <c r="A2711" s="7" t="n">
        <v>560961</v>
      </c>
      <c r="B2711" s="12" t="inlineStr">
        <is>
          <t>7895858015695</t>
        </is>
      </c>
      <c r="C2711" s="7" t="inlineStr">
        <is>
          <t>LEITE MAGNESIA PHILL 350ML</t>
        </is>
      </c>
      <c r="D2711" s="7" t="inlineStr">
        <is>
          <t>RX - OTC</t>
        </is>
      </c>
      <c r="E2711" s="7" t="inlineStr">
        <is>
          <t>A</t>
        </is>
      </c>
      <c r="F2711" s="13" t="n">
        <v>8</v>
      </c>
      <c r="G2711" s="13" t="n">
        <v>8</v>
      </c>
      <c r="H2711" s="8" t="n">
        <v>27.2467</v>
      </c>
      <c r="I2711" s="8" t="n">
        <v>13.1507</v>
      </c>
      <c r="J2711" s="8" t="n">
        <v>22.3258</v>
      </c>
      <c r="K2711" s="8" t="n"/>
      <c r="L2711" s="8" t="n"/>
      <c r="M2711" s="15" t="n">
        <v>22.18</v>
      </c>
      <c r="N2711" s="8" t="n"/>
      <c r="O2711" s="8" t="n"/>
      <c r="P2711" s="8" t="n">
        <v>30.49</v>
      </c>
      <c r="Q2711" s="8" t="n"/>
      <c r="R2711" s="8" t="n"/>
      <c r="S2711" s="8" t="n"/>
      <c r="T2711" s="7" t="inlineStr">
        <is>
          <t>EPAN</t>
        </is>
      </c>
      <c r="U2711" s="8" t="n">
        <v>22.18</v>
      </c>
      <c r="V2711" s="14">
        <f>U2711/J2711-1</f>
        <v/>
      </c>
      <c r="W2711" s="14">
        <f>U2711/H2711-1</f>
        <v/>
      </c>
      <c r="X2711" s="17" t="inlineStr">
        <is>
          <t>OK (≤ últ. compra)</t>
        </is>
      </c>
      <c r="Y2711" s="7" t="inlineStr"/>
    </row>
    <row r="2712">
      <c r="A2712" s="7" t="n">
        <v>651691</v>
      </c>
      <c r="B2712" s="12" t="inlineStr">
        <is>
          <t>7896227680124</t>
        </is>
      </c>
      <c r="C2712" s="7" t="inlineStr">
        <is>
          <t>LEN UME SNOOPY C/50 ALGODAO</t>
        </is>
      </c>
      <c r="D2712" s="7" t="inlineStr">
        <is>
          <t>BABY/KIDS</t>
        </is>
      </c>
      <c r="E2712" s="7" t="inlineStr">
        <is>
          <t>C</t>
        </is>
      </c>
      <c r="F2712" s="13" t="n">
        <v>1</v>
      </c>
      <c r="G2712" s="13" t="n">
        <v>1</v>
      </c>
      <c r="H2712" s="8" t="n">
        <v>5.75</v>
      </c>
      <c r="I2712" s="8" t="n">
        <v>5.75</v>
      </c>
      <c r="J2712" s="8" t="n">
        <v>5.75</v>
      </c>
      <c r="K2712" s="8" t="n"/>
      <c r="L2712" s="8" t="n"/>
      <c r="M2712" s="8" t="n"/>
      <c r="N2712" s="8" t="n"/>
      <c r="O2712" s="8" t="n"/>
      <c r="P2712" s="8" t="n"/>
      <c r="Q2712" s="8" t="n"/>
      <c r="R2712" s="8" t="n"/>
      <c r="S2712" s="8" t="n"/>
      <c r="T2712" s="7" t="inlineStr">
        <is>
          <t>SEM COTAÇÃO</t>
        </is>
      </c>
      <c r="U2712" s="8" t="n"/>
      <c r="V2712" s="14" t="n"/>
      <c r="W2712" s="14" t="n"/>
      <c r="X2712" s="7" t="inlineStr"/>
      <c r="Y2712" s="7" t="inlineStr"/>
    </row>
    <row r="2713">
      <c r="A2713" s="7" t="n">
        <v>540861</v>
      </c>
      <c r="B2713" s="12" t="inlineStr">
        <is>
          <t>7896227672044</t>
        </is>
      </c>
      <c r="C2713" s="7" t="inlineStr">
        <is>
          <t>LENC HUM COTTONBABY PREMIUM 50UN</t>
        </is>
      </c>
      <c r="D2713" s="7" t="inlineStr">
        <is>
          <t>FRALDAS INFANTIL</t>
        </is>
      </c>
      <c r="E2713" s="7" t="inlineStr">
        <is>
          <t>A</t>
        </is>
      </c>
      <c r="F2713" s="13" t="n">
        <v>3</v>
      </c>
      <c r="G2713" s="13" t="n">
        <v>3</v>
      </c>
      <c r="H2713" s="8" t="n">
        <v>5.59</v>
      </c>
      <c r="I2713" s="8" t="n">
        <v>5.59</v>
      </c>
      <c r="J2713" s="8" t="n">
        <v>5.59</v>
      </c>
      <c r="K2713" s="8" t="n"/>
      <c r="L2713" s="8" t="n"/>
      <c r="M2713" s="8" t="n"/>
      <c r="N2713" s="8" t="n"/>
      <c r="O2713" s="8" t="n"/>
      <c r="P2713" s="8" t="n"/>
      <c r="Q2713" s="8" t="n"/>
      <c r="R2713" s="8" t="n"/>
      <c r="S2713" s="8" t="n"/>
      <c r="T2713" s="7" t="inlineStr">
        <is>
          <t>SEM COTAÇÃO</t>
        </is>
      </c>
      <c r="U2713" s="8" t="n"/>
      <c r="V2713" s="14" t="n"/>
      <c r="W2713" s="14" t="n"/>
      <c r="X2713" s="7" t="inlineStr"/>
      <c r="Y2713" s="7" t="inlineStr"/>
    </row>
    <row r="2714">
      <c r="A2714" s="7" t="n">
        <v>537361</v>
      </c>
      <c r="B2714" s="12" t="inlineStr">
        <is>
          <t>7891010247324</t>
        </is>
      </c>
      <c r="C2714" s="7" t="inlineStr">
        <is>
          <t>LENC HUM JOHNSONS 44UN</t>
        </is>
      </c>
      <c r="D2714" s="7" t="inlineStr">
        <is>
          <t>PERF/COSME</t>
        </is>
      </c>
      <c r="E2714" s="7" t="inlineStr">
        <is>
          <t>B</t>
        </is>
      </c>
      <c r="F2714" s="13" t="n">
        <v>4</v>
      </c>
      <c r="G2714" s="13" t="n">
        <v>4</v>
      </c>
      <c r="H2714" s="8" t="n">
        <v>11.36</v>
      </c>
      <c r="I2714" s="8" t="n">
        <v>11.36</v>
      </c>
      <c r="J2714" s="8" t="n">
        <v>11.36</v>
      </c>
      <c r="K2714" s="8" t="n"/>
      <c r="L2714" s="8" t="n"/>
      <c r="M2714" s="8" t="n"/>
      <c r="N2714" s="8" t="n"/>
      <c r="O2714" s="8" t="n"/>
      <c r="P2714" s="15" t="n">
        <v>11.75</v>
      </c>
      <c r="Q2714" s="8" t="n"/>
      <c r="R2714" s="8" t="n"/>
      <c r="S2714" s="8" t="n"/>
      <c r="T2714" s="7" t="inlineStr">
        <is>
          <t>NAZARIA</t>
        </is>
      </c>
      <c r="U2714" s="8" t="n">
        <v>11.75</v>
      </c>
      <c r="V2714" s="14">
        <f>U2714/J2714-1</f>
        <v/>
      </c>
      <c r="W2714" s="14">
        <f>U2714/H2714-1</f>
        <v/>
      </c>
      <c r="X2714" s="16" t="inlineStr">
        <is>
          <t>ACIMA +3.4%</t>
        </is>
      </c>
      <c r="Y2714" s="7" t="inlineStr"/>
    </row>
    <row r="2715">
      <c r="A2715" s="7" t="n">
        <v>540841</v>
      </c>
      <c r="B2715" s="12" t="inlineStr">
        <is>
          <t>7896110005805</t>
        </is>
      </c>
      <c r="C2715" s="7" t="inlineStr">
        <is>
          <t>LENC HUM PERSONAL 50UN</t>
        </is>
      </c>
      <c r="D2715" s="7" t="inlineStr">
        <is>
          <t>USO INTERNO</t>
        </is>
      </c>
      <c r="E2715" s="7" t="inlineStr">
        <is>
          <t>C</t>
        </is>
      </c>
      <c r="F2715" s="13" t="n">
        <v>1</v>
      </c>
      <c r="G2715" s="13" t="n">
        <v>1</v>
      </c>
      <c r="H2715" s="8" t="n">
        <v>8.9</v>
      </c>
      <c r="I2715" s="8" t="n">
        <v>8.9</v>
      </c>
      <c r="J2715" s="8" t="n">
        <v>8.9</v>
      </c>
      <c r="K2715" s="8" t="n"/>
      <c r="L2715" s="8" t="n"/>
      <c r="M2715" s="8" t="n"/>
      <c r="N2715" s="8" t="n"/>
      <c r="O2715" s="8" t="n"/>
      <c r="P2715" s="8" t="n"/>
      <c r="Q2715" s="8" t="n"/>
      <c r="R2715" s="8" t="n"/>
      <c r="S2715" s="8" t="n"/>
      <c r="T2715" s="7" t="inlineStr">
        <is>
          <t>SEM COTAÇÃO</t>
        </is>
      </c>
      <c r="U2715" s="8" t="n"/>
      <c r="V2715" s="14" t="n"/>
      <c r="W2715" s="14" t="n"/>
      <c r="X2715" s="7" t="inlineStr"/>
      <c r="Y2715" s="7" t="inlineStr"/>
    </row>
    <row r="2716">
      <c r="A2716" s="7" t="n">
        <v>604</v>
      </c>
      <c r="B2716" s="12" t="inlineStr">
        <is>
          <t>7891172161162</t>
        </is>
      </c>
      <c r="C2716" s="7" t="inlineStr">
        <is>
          <t>LENCO DUPLO DESCARTÁVEL FEM C/ 50 UN</t>
        </is>
      </c>
      <c r="D2716" s="7" t="inlineStr">
        <is>
          <t>PERF/COSME</t>
        </is>
      </c>
      <c r="E2716" s="7" t="inlineStr">
        <is>
          <t>C</t>
        </is>
      </c>
      <c r="F2716" s="13" t="n">
        <v>1</v>
      </c>
      <c r="G2716" s="13" t="n">
        <v>1</v>
      </c>
      <c r="H2716" s="8" t="n"/>
      <c r="I2716" s="8" t="n"/>
      <c r="J2716" s="8" t="n"/>
      <c r="K2716" s="8" t="n"/>
      <c r="L2716" s="8" t="n"/>
      <c r="M2716" s="8" t="n"/>
      <c r="N2716" s="8" t="n"/>
      <c r="O2716" s="8" t="n"/>
      <c r="P2716" s="8" t="n"/>
      <c r="Q2716" s="8" t="n"/>
      <c r="R2716" s="8" t="n"/>
      <c r="S2716" s="8" t="n"/>
      <c r="T2716" s="7" t="inlineStr">
        <is>
          <t>SEM COTAÇÃO</t>
        </is>
      </c>
      <c r="U2716" s="8" t="n"/>
      <c r="V2716" s="14" t="n"/>
      <c r="W2716" s="14" t="n"/>
      <c r="X2716" s="7" t="inlineStr"/>
      <c r="Y2716" s="7" t="inlineStr"/>
    </row>
    <row r="2717">
      <c r="A2717" s="7" t="n">
        <v>649321</v>
      </c>
      <c r="B2717" s="12" t="inlineStr">
        <is>
          <t>7896018751019</t>
        </is>
      </c>
      <c r="C2717" s="7" t="inlineStr">
        <is>
          <t>LENCO UMED HUG GERANDO FALCOES 88UN</t>
        </is>
      </c>
      <c r="D2717" s="7" t="inlineStr">
        <is>
          <t>FRALDAS INFANTIL</t>
        </is>
      </c>
      <c r="E2717" s="7" t="inlineStr">
        <is>
          <t>C</t>
        </is>
      </c>
      <c r="F2717" s="13" t="n">
        <v>1</v>
      </c>
      <c r="G2717" s="13" t="n">
        <v>1</v>
      </c>
      <c r="H2717" s="8" t="n">
        <v>10.1283</v>
      </c>
      <c r="I2717" s="8" t="n">
        <v>10.1283</v>
      </c>
      <c r="J2717" s="8" t="n">
        <v>10.1283</v>
      </c>
      <c r="K2717" s="8" t="n"/>
      <c r="L2717" s="8" t="n"/>
      <c r="M2717" s="8" t="n"/>
      <c r="N2717" s="8" t="n"/>
      <c r="O2717" s="8" t="n"/>
      <c r="P2717" s="8" t="n"/>
      <c r="Q2717" s="8" t="n"/>
      <c r="R2717" s="8" t="n"/>
      <c r="S2717" s="8" t="n"/>
      <c r="T2717" s="7" t="inlineStr">
        <is>
          <t>SEM COTAÇÃO</t>
        </is>
      </c>
      <c r="U2717" s="8" t="n"/>
      <c r="V2717" s="14" t="n"/>
      <c r="W2717" s="14" t="n"/>
      <c r="X2717" s="7" t="inlineStr"/>
      <c r="Y2717" s="7" t="inlineStr"/>
    </row>
    <row r="2718">
      <c r="A2718" s="7" t="n">
        <v>661741</v>
      </c>
      <c r="B2718" s="12" t="inlineStr">
        <is>
          <t>7896018700536</t>
        </is>
      </c>
      <c r="C2718" s="7" t="inlineStr">
        <is>
          <t>LENCO UMED INTIMUS DEFESA NATURAL 16UN</t>
        </is>
      </c>
      <c r="D2718" s="7" t="inlineStr">
        <is>
          <t>FRALDAS INFANTIL</t>
        </is>
      </c>
      <c r="E2718" s="7" t="inlineStr">
        <is>
          <t>C</t>
        </is>
      </c>
      <c r="F2718" s="13" t="n">
        <v>2</v>
      </c>
      <c r="G2718" s="13" t="n">
        <v>2</v>
      </c>
      <c r="H2718" s="8" t="n">
        <v>6.5371</v>
      </c>
      <c r="I2718" s="8" t="n">
        <v>6.5371</v>
      </c>
      <c r="J2718" s="8" t="n">
        <v>6.5371</v>
      </c>
      <c r="K2718" s="8" t="n"/>
      <c r="L2718" s="8" t="n"/>
      <c r="M2718" s="8" t="n"/>
      <c r="N2718" s="8" t="n"/>
      <c r="O2718" s="8" t="n"/>
      <c r="P2718" s="15" t="n">
        <v>11.87</v>
      </c>
      <c r="Q2718" s="8" t="n"/>
      <c r="R2718" s="8" t="n"/>
      <c r="S2718" s="8" t="n"/>
      <c r="T2718" s="7" t="inlineStr">
        <is>
          <t>NAZARIA</t>
        </is>
      </c>
      <c r="U2718" s="8" t="n">
        <v>11.87</v>
      </c>
      <c r="V2718" s="14">
        <f>U2718/J2718-1</f>
        <v/>
      </c>
      <c r="W2718" s="14">
        <f>U2718/H2718-1</f>
        <v/>
      </c>
      <c r="X2718" s="16" t="inlineStr">
        <is>
          <t>ACIMA +81.6%</t>
        </is>
      </c>
      <c r="Y2718" s="7" t="inlineStr"/>
    </row>
    <row r="2719">
      <c r="A2719" s="7" t="n">
        <v>634071</v>
      </c>
      <c r="B2719" s="12" t="inlineStr">
        <is>
          <t>7899700801085</t>
        </is>
      </c>
      <c r="C2719" s="7" t="inlineStr">
        <is>
          <t>LENCO UMED SCOOBY DOO BABY 50</t>
        </is>
      </c>
      <c r="D2719" s="7" t="inlineStr">
        <is>
          <t>PERF/COSME</t>
        </is>
      </c>
      <c r="E2719" s="7" t="inlineStr">
        <is>
          <t>A</t>
        </is>
      </c>
      <c r="F2719" s="13" t="n">
        <v>32</v>
      </c>
      <c r="G2719" s="13" t="n">
        <v>32</v>
      </c>
      <c r="H2719" s="8" t="n">
        <v>5.29</v>
      </c>
      <c r="I2719" s="8" t="n">
        <v>5.29</v>
      </c>
      <c r="J2719" s="8" t="n">
        <v>5.29</v>
      </c>
      <c r="K2719" s="8" t="n"/>
      <c r="L2719" s="8" t="n"/>
      <c r="M2719" s="8" t="n"/>
      <c r="N2719" s="8" t="n"/>
      <c r="O2719" s="8" t="n"/>
      <c r="P2719" s="8" t="n"/>
      <c r="Q2719" s="8" t="n"/>
      <c r="R2719" s="8" t="n"/>
      <c r="S2719" s="8" t="n"/>
      <c r="T2719" s="7" t="inlineStr">
        <is>
          <t>SEM COTAÇÃO</t>
        </is>
      </c>
      <c r="U2719" s="8" t="n"/>
      <c r="V2719" s="14" t="n"/>
      <c r="W2719" s="14" t="n"/>
      <c r="X2719" s="7" t="inlineStr"/>
      <c r="Y2719" s="7" t="inlineStr"/>
    </row>
    <row r="2720">
      <c r="A2720" s="7" t="n">
        <v>557581</v>
      </c>
      <c r="B2720" s="12" t="inlineStr">
        <is>
          <t>7896227672013</t>
        </is>
      </c>
      <c r="C2720" s="7" t="inlineStr">
        <is>
          <t>LENCO UMIDECIDO COTTONBABY HIDRATACAO 50UN</t>
        </is>
      </c>
      <c r="D2720" s="7" t="inlineStr">
        <is>
          <t>FRALDAS INFANTIL</t>
        </is>
      </c>
      <c r="E2720" s="7" t="inlineStr">
        <is>
          <t>C</t>
        </is>
      </c>
      <c r="F2720" s="13" t="n">
        <v>5</v>
      </c>
      <c r="G2720" s="13" t="n">
        <v>5</v>
      </c>
      <c r="H2720" s="8" t="n">
        <v>5.59</v>
      </c>
      <c r="I2720" s="8" t="n">
        <v>5.59</v>
      </c>
      <c r="J2720" s="8" t="n">
        <v>5.59</v>
      </c>
      <c r="K2720" s="8" t="n"/>
      <c r="L2720" s="8" t="n"/>
      <c r="M2720" s="8" t="n"/>
      <c r="N2720" s="8" t="n"/>
      <c r="O2720" s="8" t="n"/>
      <c r="P2720" s="8" t="n"/>
      <c r="Q2720" s="8" t="n"/>
      <c r="R2720" s="8" t="n"/>
      <c r="S2720" s="8" t="n"/>
      <c r="T2720" s="7" t="inlineStr">
        <is>
          <t>SEM COTAÇÃO</t>
        </is>
      </c>
      <c r="U2720" s="8" t="n"/>
      <c r="V2720" s="14" t="n"/>
      <c r="W2720" s="14" t="n"/>
      <c r="X2720" s="7" t="inlineStr"/>
      <c r="Y2720" s="7" t="inlineStr"/>
    </row>
    <row r="2721">
      <c r="A2721" s="7" t="n">
        <v>594421</v>
      </c>
      <c r="B2721" s="12" t="inlineStr">
        <is>
          <t>7891010568764</t>
        </is>
      </c>
      <c r="C2721" s="7" t="inlineStr">
        <is>
          <t>LENCOS J J BABY UMED H SONO</t>
        </is>
      </c>
      <c r="D2721" s="7" t="inlineStr">
        <is>
          <t>BABY/KIDS</t>
        </is>
      </c>
      <c r="E2721" s="7" t="inlineStr">
        <is>
          <t>B</t>
        </is>
      </c>
      <c r="F2721" s="13" t="n">
        <v>2</v>
      </c>
      <c r="G2721" s="13" t="n">
        <v>2</v>
      </c>
      <c r="H2721" s="8" t="n">
        <v>15.74</v>
      </c>
      <c r="I2721" s="8" t="n">
        <v>15.74</v>
      </c>
      <c r="J2721" s="8" t="n">
        <v>15.74</v>
      </c>
      <c r="K2721" s="8" t="n"/>
      <c r="L2721" s="8" t="n"/>
      <c r="M2721" s="8" t="n"/>
      <c r="N2721" s="8" t="n"/>
      <c r="O2721" s="8" t="n"/>
      <c r="P2721" s="15" t="n">
        <v>16.94</v>
      </c>
      <c r="Q2721" s="8" t="n"/>
      <c r="R2721" s="8" t="n"/>
      <c r="S2721" s="8" t="n"/>
      <c r="T2721" s="7" t="inlineStr">
        <is>
          <t>NAZARIA</t>
        </is>
      </c>
      <c r="U2721" s="8" t="n">
        <v>16.94</v>
      </c>
      <c r="V2721" s="14">
        <f>U2721/J2721-1</f>
        <v/>
      </c>
      <c r="W2721" s="14">
        <f>U2721/H2721-1</f>
        <v/>
      </c>
      <c r="X2721" s="16" t="inlineStr">
        <is>
          <t>ACIMA +7.6%</t>
        </is>
      </c>
      <c r="Y2721" s="7" t="inlineStr"/>
    </row>
    <row r="2722">
      <c r="A2722" s="7" t="n">
        <v>569341</v>
      </c>
      <c r="B2722" s="12" t="inlineStr">
        <is>
          <t>7896480663001</t>
        </is>
      </c>
      <c r="C2722" s="7" t="inlineStr">
        <is>
          <t>LENCOS UMEDECIDOS ENLACE BABY 48UN</t>
        </is>
      </c>
      <c r="D2722" s="7" t="inlineStr">
        <is>
          <t>PERF/COSME</t>
        </is>
      </c>
      <c r="E2722" s="7" t="inlineStr">
        <is>
          <t>A</t>
        </is>
      </c>
      <c r="F2722" s="13" t="n">
        <v>12</v>
      </c>
      <c r="G2722" s="13" t="n">
        <v>12</v>
      </c>
      <c r="H2722" s="8" t="n">
        <v>4.86</v>
      </c>
      <c r="I2722" s="8" t="n">
        <v>4.26</v>
      </c>
      <c r="J2722" s="8" t="n">
        <v>4.66</v>
      </c>
      <c r="K2722" s="8" t="n"/>
      <c r="L2722" s="8" t="n"/>
      <c r="M2722" s="8" t="n"/>
      <c r="N2722" s="8" t="n"/>
      <c r="O2722" s="8" t="n"/>
      <c r="P2722" s="8" t="n"/>
      <c r="Q2722" s="8" t="n"/>
      <c r="R2722" s="8" t="n"/>
      <c r="S2722" s="8" t="n"/>
      <c r="T2722" s="7" t="inlineStr">
        <is>
          <t>SEM COTAÇÃO</t>
        </is>
      </c>
      <c r="U2722" s="8" t="n"/>
      <c r="V2722" s="14" t="n"/>
      <c r="W2722" s="14" t="n"/>
      <c r="X2722" s="7" t="inlineStr"/>
      <c r="Y2722" s="7" t="inlineStr"/>
    </row>
    <row r="2723">
      <c r="A2723" s="7" t="n">
        <v>552061</v>
      </c>
      <c r="B2723" s="12" t="inlineStr">
        <is>
          <t>7898633380575</t>
        </is>
      </c>
      <c r="C2723" s="7" t="inlineStr">
        <is>
          <t>LENÇO UMEDECIDO SUAVE MEU BEBÊ MINHA VIDA PACOTE 40 UNIDADES</t>
        </is>
      </c>
      <c r="D2723" s="7" t="inlineStr">
        <is>
          <t>BABY/KIDS</t>
        </is>
      </c>
      <c r="E2723" s="7" t="inlineStr">
        <is>
          <t>C</t>
        </is>
      </c>
      <c r="F2723" s="13" t="n">
        <v>2</v>
      </c>
      <c r="G2723" s="13" t="n">
        <v>2</v>
      </c>
      <c r="H2723" s="8" t="n">
        <v>2.96</v>
      </c>
      <c r="I2723" s="8" t="n">
        <v>2.96</v>
      </c>
      <c r="J2723" s="8" t="n">
        <v>2.96</v>
      </c>
      <c r="K2723" s="8" t="n"/>
      <c r="L2723" s="8" t="n"/>
      <c r="M2723" s="8" t="n"/>
      <c r="N2723" s="8" t="n"/>
      <c r="O2723" s="8" t="n"/>
      <c r="P2723" s="8" t="n"/>
      <c r="Q2723" s="8" t="n"/>
      <c r="R2723" s="8" t="n"/>
      <c r="S2723" s="8" t="n"/>
      <c r="T2723" s="7" t="inlineStr">
        <is>
          <t>SEM COTAÇÃO</t>
        </is>
      </c>
      <c r="U2723" s="8" t="n"/>
      <c r="V2723" s="14" t="n"/>
      <c r="W2723" s="14" t="n"/>
      <c r="X2723" s="7" t="inlineStr"/>
      <c r="Y2723" s="7" t="inlineStr"/>
    </row>
    <row r="2724">
      <c r="A2724" s="7" t="n">
        <v>55801</v>
      </c>
      <c r="B2724" s="12" t="inlineStr">
        <is>
          <t>7898060133904</t>
        </is>
      </c>
      <c r="C2724" s="7" t="inlineStr">
        <is>
          <t>LERGIDRIN 0,4+0,05MG/ML XPE FR X 120ML+CM</t>
        </is>
      </c>
      <c r="D2724" s="7" t="inlineStr">
        <is>
          <t>SIMILAR</t>
        </is>
      </c>
      <c r="E2724" s="7" t="inlineStr">
        <is>
          <t>B</t>
        </is>
      </c>
      <c r="F2724" s="13" t="n">
        <v>4</v>
      </c>
      <c r="G2724" s="13" t="n">
        <v>4</v>
      </c>
      <c r="H2724" s="8" t="n">
        <v>4.31</v>
      </c>
      <c r="I2724" s="8" t="n">
        <v>4.31</v>
      </c>
      <c r="J2724" s="8" t="n">
        <v>4.31</v>
      </c>
      <c r="K2724" s="15" t="n">
        <v>4.5</v>
      </c>
      <c r="L2724" s="8" t="n"/>
      <c r="M2724" s="8" t="n"/>
      <c r="N2724" s="8" t="n">
        <v>4.62</v>
      </c>
      <c r="O2724" s="8" t="n"/>
      <c r="P2724" s="8" t="n"/>
      <c r="Q2724" s="8" t="n"/>
      <c r="R2724" s="8" t="n"/>
      <c r="S2724" s="8" t="n"/>
      <c r="T2724" s="7" t="inlineStr">
        <is>
          <t>DIMEC</t>
        </is>
      </c>
      <c r="U2724" s="8" t="n">
        <v>4.5</v>
      </c>
      <c r="V2724" s="14">
        <f>U2724/J2724-1</f>
        <v/>
      </c>
      <c r="W2724" s="14">
        <f>U2724/H2724-1</f>
        <v/>
      </c>
      <c r="X2724" s="16" t="inlineStr">
        <is>
          <t>ACIMA +4.4%</t>
        </is>
      </c>
      <c r="Y2724" s="7" t="inlineStr"/>
    </row>
    <row r="2725">
      <c r="A2725" s="7" t="n">
        <v>316601</v>
      </c>
      <c r="B2725" s="12" t="inlineStr">
        <is>
          <t>7896523213408</t>
        </is>
      </c>
      <c r="C2725" s="7" t="inlineStr">
        <is>
          <t>LEVOFLOXACINO 500MG CX 7 COMP REV</t>
        </is>
      </c>
      <c r="D2725" s="7" t="inlineStr">
        <is>
          <t>GENERICO</t>
        </is>
      </c>
      <c r="E2725" s="7" t="inlineStr">
        <is>
          <t>C</t>
        </is>
      </c>
      <c r="F2725" s="13" t="n">
        <v>2</v>
      </c>
      <c r="G2725" s="13" t="n">
        <v>2</v>
      </c>
      <c r="H2725" s="8" t="n"/>
      <c r="I2725" s="8" t="n"/>
      <c r="J2725" s="8" t="n"/>
      <c r="K2725" s="8" t="n"/>
      <c r="L2725" s="8" t="n"/>
      <c r="M2725" s="8" t="n"/>
      <c r="N2725" s="8" t="n"/>
      <c r="O2725" s="8" t="n"/>
      <c r="P2725" s="8" t="n"/>
      <c r="Q2725" s="8" t="n"/>
      <c r="R2725" s="8" t="n"/>
      <c r="S2725" s="8" t="n"/>
      <c r="T2725" s="7" t="inlineStr">
        <is>
          <t>SEM COTAÇÃO</t>
        </is>
      </c>
      <c r="U2725" s="8" t="n"/>
      <c r="V2725" s="14" t="n"/>
      <c r="W2725" s="14" t="n"/>
      <c r="X2725" s="7" t="inlineStr"/>
      <c r="Y2725" s="7" t="inlineStr"/>
    </row>
    <row r="2726">
      <c r="A2726" s="7" t="n">
        <v>317041</v>
      </c>
      <c r="B2726" s="12" t="inlineStr">
        <is>
          <t>7893454101323</t>
        </is>
      </c>
      <c r="C2726" s="7" t="inlineStr">
        <is>
          <t>LEVOFLOXACINO HEMI-HIDRATADO 500MG CX 7 COMP REV</t>
        </is>
      </c>
      <c r="D2726" s="7" t="inlineStr">
        <is>
          <t>GENERICO - ATB</t>
        </is>
      </c>
      <c r="E2726" s="7" t="inlineStr">
        <is>
          <t>C</t>
        </is>
      </c>
      <c r="F2726" s="13" t="n">
        <v>2</v>
      </c>
      <c r="G2726" s="13" t="n">
        <v>2</v>
      </c>
      <c r="H2726" s="8" t="n">
        <v>7.92</v>
      </c>
      <c r="I2726" s="8" t="n">
        <v>7.92</v>
      </c>
      <c r="J2726" s="8" t="n">
        <v>7.919999999999999</v>
      </c>
      <c r="K2726" s="8" t="n"/>
      <c r="L2726" s="8" t="n"/>
      <c r="M2726" s="8" t="n"/>
      <c r="N2726" s="8" t="n"/>
      <c r="O2726" s="8" t="n"/>
      <c r="P2726" s="8" t="n"/>
      <c r="Q2726" s="8" t="n"/>
      <c r="R2726" s="8" t="n"/>
      <c r="S2726" s="8" t="n"/>
      <c r="T2726" s="7" t="inlineStr">
        <is>
          <t>SEM COTAÇÃO</t>
        </is>
      </c>
      <c r="U2726" s="8" t="n"/>
      <c r="V2726" s="14" t="n"/>
      <c r="W2726" s="14" t="n"/>
      <c r="X2726" s="7" t="inlineStr"/>
      <c r="Y2726" s="7" t="inlineStr"/>
    </row>
    <row r="2727">
      <c r="A2727" s="7" t="n">
        <v>320361</v>
      </c>
      <c r="B2727" s="12" t="inlineStr">
        <is>
          <t>7896658008849</t>
        </is>
      </c>
      <c r="C2727" s="7" t="inlineStr">
        <is>
          <t>LEVOID 112MCG CX 30 COMP</t>
        </is>
      </c>
      <c r="D2727" s="7" t="inlineStr">
        <is>
          <t>RX</t>
        </is>
      </c>
      <c r="E2727" s="7" t="inlineStr">
        <is>
          <t>C</t>
        </is>
      </c>
      <c r="F2727" s="13" t="n">
        <v>1</v>
      </c>
      <c r="G2727" s="13" t="n">
        <v>1</v>
      </c>
      <c r="H2727" s="8" t="n">
        <v>23.94</v>
      </c>
      <c r="I2727" s="8" t="n">
        <v>23.94</v>
      </c>
      <c r="J2727" s="8" t="n">
        <v>23.94</v>
      </c>
      <c r="K2727" s="8" t="n"/>
      <c r="L2727" s="8" t="n"/>
      <c r="M2727" s="8" t="n"/>
      <c r="N2727" s="8" t="n"/>
      <c r="O2727" s="15" t="n">
        <v>24.24</v>
      </c>
      <c r="P2727" s="8" t="n">
        <v>25.2742</v>
      </c>
      <c r="Q2727" s="8" t="n"/>
      <c r="R2727" s="8" t="n"/>
      <c r="S2727" s="8" t="n"/>
      <c r="T2727" s="7" t="inlineStr">
        <is>
          <t>TAPAJOS</t>
        </is>
      </c>
      <c r="U2727" s="8" t="n">
        <v>24.24</v>
      </c>
      <c r="V2727" s="14">
        <f>U2727/J2727-1</f>
        <v/>
      </c>
      <c r="W2727" s="14">
        <f>U2727/H2727-1</f>
        <v/>
      </c>
      <c r="X2727" s="16" t="inlineStr">
        <is>
          <t>ACIMA +1.3%</t>
        </is>
      </c>
      <c r="Y2727" s="7" t="inlineStr"/>
    </row>
    <row r="2728">
      <c r="A2728" s="7" t="n">
        <v>320321</v>
      </c>
      <c r="B2728" s="12" t="inlineStr">
        <is>
          <t>7896658008801</t>
        </is>
      </c>
      <c r="C2728" s="7" t="inlineStr">
        <is>
          <t>LEVOID 88MCG CX 30 COMP</t>
        </is>
      </c>
      <c r="D2728" s="7" t="inlineStr">
        <is>
          <t>RX</t>
        </is>
      </c>
      <c r="E2728" s="7" t="inlineStr">
        <is>
          <t>B</t>
        </is>
      </c>
      <c r="F2728" s="13" t="n">
        <v>4</v>
      </c>
      <c r="G2728" s="13" t="n">
        <v>4</v>
      </c>
      <c r="H2728" s="8" t="n">
        <v>20.33</v>
      </c>
      <c r="I2728" s="8" t="n">
        <v>18.71</v>
      </c>
      <c r="J2728" s="8" t="n">
        <v>19.25</v>
      </c>
      <c r="K2728" s="8" t="n"/>
      <c r="L2728" s="8" t="n"/>
      <c r="M2728" s="15" t="n">
        <v>20.33</v>
      </c>
      <c r="N2728" s="8" t="n"/>
      <c r="O2728" s="8" t="n"/>
      <c r="P2728" s="8" t="n">
        <v>20.188</v>
      </c>
      <c r="Q2728" s="8" t="n"/>
      <c r="R2728" s="8" t="n"/>
      <c r="S2728" s="8" t="n"/>
      <c r="T2728" s="7" t="inlineStr">
        <is>
          <t>EPAN</t>
        </is>
      </c>
      <c r="U2728" s="8" t="n">
        <v>20.33</v>
      </c>
      <c r="V2728" s="14">
        <f>U2728/J2728-1</f>
        <v/>
      </c>
      <c r="W2728" s="14">
        <f>U2728/H2728-1</f>
        <v/>
      </c>
      <c r="X2728" s="17" t="inlineStr">
        <is>
          <t>OK (≤ últ. compra)</t>
        </is>
      </c>
      <c r="Y2728" s="7" t="inlineStr">
        <is>
          <t>NAZARIA: sem estoque</t>
        </is>
      </c>
    </row>
    <row r="2729">
      <c r="A2729" s="7" t="n">
        <v>492281</v>
      </c>
      <c r="B2729" s="12" t="inlineStr">
        <is>
          <t>7908020500889</t>
        </is>
      </c>
      <c r="C2729" s="7" t="inlineStr">
        <is>
          <t>LEVONORGESTREL 0,15+0,03MG CX 21 COMP REV+CALEND</t>
        </is>
      </c>
      <c r="D2729" s="7" t="inlineStr">
        <is>
          <t>GENERICO</t>
        </is>
      </c>
      <c r="E2729" s="7" t="inlineStr">
        <is>
          <t>C</t>
        </is>
      </c>
      <c r="F2729" s="13" t="n">
        <v>1</v>
      </c>
      <c r="G2729" s="13" t="n">
        <v>1</v>
      </c>
      <c r="H2729" s="8" t="n">
        <v>3.23</v>
      </c>
      <c r="I2729" s="8" t="n">
        <v>3.23</v>
      </c>
      <c r="J2729" s="8" t="n">
        <v>3.23</v>
      </c>
      <c r="K2729" s="8" t="n"/>
      <c r="L2729" s="8" t="n"/>
      <c r="M2729" s="8" t="n"/>
      <c r="N2729" s="15" t="n">
        <v>3.4</v>
      </c>
      <c r="O2729" s="8" t="n"/>
      <c r="P2729" s="8" t="n"/>
      <c r="Q2729" s="8" t="n"/>
      <c r="R2729" s="8" t="n"/>
      <c r="S2729" s="8" t="n"/>
      <c r="T2729" s="7" t="inlineStr">
        <is>
          <t>CENTROFARMA</t>
        </is>
      </c>
      <c r="U2729" s="8" t="n">
        <v>3.4</v>
      </c>
      <c r="V2729" s="14">
        <f>U2729/J2729-1</f>
        <v/>
      </c>
      <c r="W2729" s="14">
        <f>U2729/H2729-1</f>
        <v/>
      </c>
      <c r="X2729" s="16" t="inlineStr">
        <is>
          <t>ACIMA +5.3%</t>
        </is>
      </c>
      <c r="Y2729" s="7" t="inlineStr"/>
    </row>
    <row r="2730">
      <c r="A2730" s="7" t="n">
        <v>319001</v>
      </c>
      <c r="B2730" s="12" t="inlineStr">
        <is>
          <t>7896523200361</t>
        </is>
      </c>
      <c r="C2730" s="7" t="inlineStr">
        <is>
          <t>LEVONORGESTREL 1,5MG CX 1 COMP</t>
        </is>
      </c>
      <c r="D2730" s="7" t="inlineStr">
        <is>
          <t>GENERICO</t>
        </is>
      </c>
      <c r="E2730" s="7" t="inlineStr">
        <is>
          <t>B</t>
        </is>
      </c>
      <c r="F2730" s="13" t="n">
        <v>40</v>
      </c>
      <c r="G2730" s="13" t="n">
        <v>40</v>
      </c>
      <c r="H2730" s="8" t="n">
        <v>5.19</v>
      </c>
      <c r="I2730" s="8" t="n">
        <v>5.19</v>
      </c>
      <c r="J2730" s="8" t="n">
        <v>5.19</v>
      </c>
      <c r="K2730" s="8" t="n"/>
      <c r="L2730" s="8" t="n"/>
      <c r="M2730" s="8" t="n"/>
      <c r="N2730" s="8" t="n"/>
      <c r="O2730" s="8" t="n"/>
      <c r="P2730" s="15" t="n">
        <v>13.88</v>
      </c>
      <c r="Q2730" s="8" t="n"/>
      <c r="R2730" s="8" t="n"/>
      <c r="S2730" s="8" t="n"/>
      <c r="T2730" s="7" t="inlineStr">
        <is>
          <t>NAZARIA</t>
        </is>
      </c>
      <c r="U2730" s="8" t="n">
        <v>13.88</v>
      </c>
      <c r="V2730" s="14">
        <f>U2730/J2730-1</f>
        <v/>
      </c>
      <c r="W2730" s="14">
        <f>U2730/H2730-1</f>
        <v/>
      </c>
      <c r="X2730" s="16" t="inlineStr">
        <is>
          <t>ACIMA +167.4%</t>
        </is>
      </c>
      <c r="Y2730" s="7" t="inlineStr">
        <is>
          <t>NAZARIA: conferir emb.</t>
        </is>
      </c>
    </row>
    <row r="2731">
      <c r="A2731" s="7" t="n">
        <v>634641</v>
      </c>
      <c r="B2731" s="12" t="inlineStr">
        <is>
          <t>7891721202889</t>
        </is>
      </c>
      <c r="C2731" s="7" t="inlineStr">
        <is>
          <t>LEVOTIROXINA SODICA 125MCG CX 30 COMP</t>
        </is>
      </c>
      <c r="D2731" s="7" t="inlineStr">
        <is>
          <t>GENERICO</t>
        </is>
      </c>
      <c r="E2731" s="7" t="inlineStr">
        <is>
          <t>B</t>
        </is>
      </c>
      <c r="F2731" s="13" t="n">
        <v>11</v>
      </c>
      <c r="G2731" s="13" t="n">
        <v>11</v>
      </c>
      <c r="H2731" s="8" t="n">
        <v>10.295</v>
      </c>
      <c r="I2731" s="8" t="n">
        <v>10.275</v>
      </c>
      <c r="J2731" s="8" t="n">
        <v>10.275</v>
      </c>
      <c r="K2731" s="8" t="n"/>
      <c r="L2731" s="8" t="n"/>
      <c r="M2731" s="8" t="n"/>
      <c r="N2731" s="8" t="n"/>
      <c r="O2731" s="8" t="n"/>
      <c r="P2731" s="15" t="n">
        <v>11.673102</v>
      </c>
      <c r="Q2731" s="8" t="n">
        <v>11.86</v>
      </c>
      <c r="R2731" s="8" t="n"/>
      <c r="S2731" s="8" t="n"/>
      <c r="T2731" s="7" t="inlineStr">
        <is>
          <t>NAZARIA</t>
        </is>
      </c>
      <c r="U2731" s="8" t="n">
        <v>11.673102</v>
      </c>
      <c r="V2731" s="14">
        <f>U2731/J2731-1</f>
        <v/>
      </c>
      <c r="W2731" s="14">
        <f>U2731/H2731-1</f>
        <v/>
      </c>
      <c r="X2731" s="16" t="inlineStr">
        <is>
          <t>ACIMA +13.4%</t>
        </is>
      </c>
      <c r="Y2731" s="7" t="inlineStr"/>
    </row>
    <row r="2732">
      <c r="A2732" s="7" t="n">
        <v>634661</v>
      </c>
      <c r="B2732" s="12" t="inlineStr">
        <is>
          <t>7891721202810</t>
        </is>
      </c>
      <c r="C2732" s="7" t="inlineStr">
        <is>
          <t>LEVOTIROXINA SODICA 50MCG CX 30 COMP</t>
        </is>
      </c>
      <c r="D2732" s="7" t="inlineStr">
        <is>
          <t>GENERICO</t>
        </is>
      </c>
      <c r="E2732" s="7" t="inlineStr">
        <is>
          <t>B</t>
        </is>
      </c>
      <c r="F2732" s="13" t="n">
        <v>2</v>
      </c>
      <c r="G2732" s="13" t="n">
        <v>2</v>
      </c>
      <c r="H2732" s="8" t="n">
        <v>6.89</v>
      </c>
      <c r="I2732" s="8" t="n">
        <v>6.6717</v>
      </c>
      <c r="J2732" s="8" t="n">
        <v>6.744466666666667</v>
      </c>
      <c r="K2732" s="8" t="n"/>
      <c r="L2732" s="8" t="n"/>
      <c r="M2732" s="8" t="n"/>
      <c r="N2732" s="8" t="n"/>
      <c r="O2732" s="8" t="n"/>
      <c r="P2732" s="15" t="n">
        <v>9.317828</v>
      </c>
      <c r="Q2732" s="8" t="n">
        <v>9.48</v>
      </c>
      <c r="R2732" s="8" t="n"/>
      <c r="S2732" s="8" t="n"/>
      <c r="T2732" s="7" t="inlineStr">
        <is>
          <t>NAZARIA</t>
        </is>
      </c>
      <c r="U2732" s="8" t="n">
        <v>9.317828</v>
      </c>
      <c r="V2732" s="14">
        <f>U2732/J2732-1</f>
        <v/>
      </c>
      <c r="W2732" s="14">
        <f>U2732/H2732-1</f>
        <v/>
      </c>
      <c r="X2732" s="16" t="inlineStr">
        <is>
          <t>ACIMA +35.2%</t>
        </is>
      </c>
      <c r="Y2732" s="7" t="inlineStr"/>
    </row>
    <row r="2733">
      <c r="A2733" s="7" t="n">
        <v>634671</v>
      </c>
      <c r="B2733" s="12" t="inlineStr"/>
      <c r="C2733" s="7" t="inlineStr">
        <is>
          <t>LEVOTIROXINA SODICA 75MCG CX 30 COMP</t>
        </is>
      </c>
      <c r="D2733" s="7" t="inlineStr">
        <is>
          <t>GENERICO</t>
        </is>
      </c>
      <c r="E2733" s="7" t="inlineStr">
        <is>
          <t>B</t>
        </is>
      </c>
      <c r="F2733" s="13" t="n">
        <v>1</v>
      </c>
      <c r="G2733" s="13" t="n">
        <v>1</v>
      </c>
      <c r="H2733" s="8" t="n">
        <v>7.53</v>
      </c>
      <c r="I2733" s="8" t="n">
        <v>7.3</v>
      </c>
      <c r="J2733" s="8" t="n">
        <v>7.376666666666666</v>
      </c>
      <c r="K2733" s="8" t="n"/>
      <c r="L2733" s="8" t="n"/>
      <c r="M2733" s="8" t="n"/>
      <c r="N2733" s="8" t="n"/>
      <c r="O2733" s="8" t="n"/>
      <c r="P2733" s="8" t="n"/>
      <c r="Q2733" s="8" t="n"/>
      <c r="R2733" s="8" t="n"/>
      <c r="S2733" s="8" t="n"/>
      <c r="T2733" s="7" t="inlineStr">
        <is>
          <t>SEM COTAÇÃO</t>
        </is>
      </c>
      <c r="U2733" s="8" t="n"/>
      <c r="V2733" s="14" t="n"/>
      <c r="W2733" s="14" t="n"/>
      <c r="X2733" s="7" t="inlineStr"/>
      <c r="Y2733" s="7" t="inlineStr"/>
    </row>
    <row r="2734">
      <c r="A2734" s="7" t="n">
        <v>634681</v>
      </c>
      <c r="B2734" s="12" t="inlineStr">
        <is>
          <t>7891721202841</t>
        </is>
      </c>
      <c r="C2734" s="7" t="inlineStr">
        <is>
          <t>LEVOTIROXINA SODICA 88MCG CX 30 COMP</t>
        </is>
      </c>
      <c r="D2734" s="7" t="inlineStr">
        <is>
          <t>GENERICO</t>
        </is>
      </c>
      <c r="E2734" s="7" t="inlineStr">
        <is>
          <t>A</t>
        </is>
      </c>
      <c r="F2734" s="13" t="n">
        <v>4</v>
      </c>
      <c r="G2734" s="13" t="n">
        <v>4</v>
      </c>
      <c r="H2734" s="8" t="n">
        <v>9.085599999999999</v>
      </c>
      <c r="I2734" s="8" t="n">
        <v>8.81</v>
      </c>
      <c r="J2734" s="8" t="n">
        <v>8.901866666666669</v>
      </c>
      <c r="K2734" s="8" t="n"/>
      <c r="L2734" s="8" t="n"/>
      <c r="M2734" s="8" t="n"/>
      <c r="N2734" s="8" t="n"/>
      <c r="O2734" s="8" t="n"/>
      <c r="P2734" s="15" t="n">
        <v>12.298024</v>
      </c>
      <c r="Q2734" s="8" t="n">
        <v>12.45</v>
      </c>
      <c r="R2734" s="8" t="n"/>
      <c r="S2734" s="8" t="n"/>
      <c r="T2734" s="7" t="inlineStr">
        <is>
          <t>NAZARIA</t>
        </is>
      </c>
      <c r="U2734" s="8" t="n">
        <v>12.298024</v>
      </c>
      <c r="V2734" s="14">
        <f>U2734/J2734-1</f>
        <v/>
      </c>
      <c r="W2734" s="14">
        <f>U2734/H2734-1</f>
        <v/>
      </c>
      <c r="X2734" s="16" t="inlineStr">
        <is>
          <t>ACIMA +35.4%</t>
        </is>
      </c>
      <c r="Y2734" s="7" t="inlineStr"/>
    </row>
    <row r="2735">
      <c r="A2735" s="7" t="n">
        <v>151761</v>
      </c>
      <c r="B2735" s="12" t="inlineStr">
        <is>
          <t>7893454100555</t>
        </is>
      </c>
      <c r="C2735" s="7" t="inlineStr">
        <is>
          <t>LIDIAL 50MG/G POM BG 25G</t>
        </is>
      </c>
      <c r="D2735" s="7" t="inlineStr">
        <is>
          <t>SIMILAR</t>
        </is>
      </c>
      <c r="E2735" s="7" t="inlineStr">
        <is>
          <t>C</t>
        </is>
      </c>
      <c r="F2735" s="13" t="n">
        <v>3</v>
      </c>
      <c r="G2735" s="13" t="n">
        <v>3</v>
      </c>
      <c r="H2735" s="8" t="n">
        <v>6.73</v>
      </c>
      <c r="I2735" s="8" t="n">
        <v>6.73</v>
      </c>
      <c r="J2735" s="8" t="n">
        <v>6.73</v>
      </c>
      <c r="K2735" s="15" t="n">
        <v>6.95</v>
      </c>
      <c r="L2735" s="8" t="n"/>
      <c r="M2735" s="8" t="n"/>
      <c r="N2735" s="8" t="n">
        <v>7.08</v>
      </c>
      <c r="O2735" s="8" t="n"/>
      <c r="P2735" s="8" t="n"/>
      <c r="Q2735" s="8" t="n"/>
      <c r="R2735" s="8" t="n"/>
      <c r="S2735" s="8" t="n"/>
      <c r="T2735" s="7" t="inlineStr">
        <is>
          <t>DIMEC</t>
        </is>
      </c>
      <c r="U2735" s="8" t="n">
        <v>6.95</v>
      </c>
      <c r="V2735" s="14">
        <f>U2735/J2735-1</f>
        <v/>
      </c>
      <c r="W2735" s="14">
        <f>U2735/H2735-1</f>
        <v/>
      </c>
      <c r="X2735" s="16" t="inlineStr">
        <is>
          <t>ACIMA +3.3%</t>
        </is>
      </c>
      <c r="Y2735" s="7" t="inlineStr"/>
    </row>
    <row r="2736">
      <c r="A2736" s="7" t="n">
        <v>584741</v>
      </c>
      <c r="B2736" s="12" t="inlineStr"/>
      <c r="C2736" s="7" t="inlineStr">
        <is>
          <t>LIMONADA PURGATIVA 175MG 200ML SUS</t>
        </is>
      </c>
      <c r="D2736" s="7" t="inlineStr">
        <is>
          <t>SIMILAR</t>
        </is>
      </c>
      <c r="E2736" s="7" t="inlineStr">
        <is>
          <t>B</t>
        </is>
      </c>
      <c r="F2736" s="13" t="n">
        <v>1</v>
      </c>
      <c r="G2736" s="13" t="n">
        <v>1</v>
      </c>
      <c r="H2736" s="8" t="n">
        <v>8.76</v>
      </c>
      <c r="I2736" s="8" t="n">
        <v>8.06</v>
      </c>
      <c r="J2736" s="8" t="n">
        <v>8.526666666666666</v>
      </c>
      <c r="K2736" s="8" t="n"/>
      <c r="L2736" s="8" t="n"/>
      <c r="M2736" s="8" t="n"/>
      <c r="N2736" s="8" t="n"/>
      <c r="O2736" s="8" t="n"/>
      <c r="P2736" s="8" t="n"/>
      <c r="Q2736" s="8" t="n"/>
      <c r="R2736" s="15" t="n">
        <v>8.5</v>
      </c>
      <c r="S2736" s="8" t="n"/>
      <c r="T2736" s="7" t="inlineStr">
        <is>
          <t>BRASFARMA</t>
        </is>
      </c>
      <c r="U2736" s="8" t="n">
        <v>8.5</v>
      </c>
      <c r="V2736" s="14">
        <f>U2736/J2736-1</f>
        <v/>
      </c>
      <c r="W2736" s="14">
        <f>U2736/H2736-1</f>
        <v/>
      </c>
      <c r="X2736" s="17" t="inlineStr">
        <is>
          <t>OK (≤ últ. compra)</t>
        </is>
      </c>
      <c r="Y2736" s="7" t="inlineStr"/>
    </row>
    <row r="2737">
      <c r="A2737" s="7" t="n">
        <v>623531</v>
      </c>
      <c r="B2737" s="12" t="inlineStr">
        <is>
          <t>3337875803786</t>
        </is>
      </c>
      <c r="C2737" s="7" t="inlineStr">
        <is>
          <t>LIPIKAR BAUME LIGHT AP+M 400ML-DEMAIS PROD</t>
        </is>
      </c>
      <c r="D2737" s="7" t="inlineStr">
        <is>
          <t>RX - DERMO</t>
        </is>
      </c>
      <c r="E2737" s="7" t="inlineStr">
        <is>
          <t>A</t>
        </is>
      </c>
      <c r="F2737" s="13" t="n">
        <v>1</v>
      </c>
      <c r="G2737" s="13" t="n">
        <v>1</v>
      </c>
      <c r="H2737" s="8" t="n">
        <v>162.55</v>
      </c>
      <c r="I2737" s="8" t="n">
        <v>162.55</v>
      </c>
      <c r="J2737" s="8" t="n">
        <v>162.55</v>
      </c>
      <c r="K2737" s="8" t="n"/>
      <c r="L2737" s="8" t="n"/>
      <c r="M2737" s="8" t="n"/>
      <c r="N2737" s="8" t="n"/>
      <c r="O2737" s="8" t="n"/>
      <c r="P2737" s="8" t="n">
        <v>206.58</v>
      </c>
      <c r="Q2737" s="8" t="n"/>
      <c r="R2737" s="8" t="n"/>
      <c r="S2737" s="8" t="n"/>
      <c r="T2737" s="7" t="inlineStr">
        <is>
          <t>SEM COTAÇÃO</t>
        </is>
      </c>
      <c r="U2737" s="8" t="n"/>
      <c r="V2737" s="14" t="n"/>
      <c r="W2737" s="14" t="n"/>
      <c r="X2737" s="7" t="inlineStr"/>
      <c r="Y2737" s="7" t="inlineStr">
        <is>
          <t>NAZARIA: sem estoque</t>
        </is>
      </c>
    </row>
    <row r="2738">
      <c r="A2738" s="7" t="n">
        <v>434241</v>
      </c>
      <c r="B2738" s="12" t="inlineStr">
        <is>
          <t>7898495601689</t>
        </is>
      </c>
      <c r="C2738" s="7" t="inlineStr">
        <is>
          <t>LISON 17,138 MG/ML SUS OR CT FR VD AMB X 100ML</t>
        </is>
      </c>
      <c r="D2738" s="7" t="inlineStr">
        <is>
          <t>FITOTERAPICO</t>
        </is>
      </c>
      <c r="E2738" s="7" t="inlineStr">
        <is>
          <t>C</t>
        </is>
      </c>
      <c r="F2738" s="13" t="n">
        <v>1</v>
      </c>
      <c r="G2738" s="13" t="n">
        <v>1</v>
      </c>
      <c r="H2738" s="8" t="n">
        <v>20.05</v>
      </c>
      <c r="I2738" s="8" t="n">
        <v>20.05</v>
      </c>
      <c r="J2738" s="8" t="n">
        <v>20.05</v>
      </c>
      <c r="K2738" s="8" t="n"/>
      <c r="L2738" s="8" t="n"/>
      <c r="M2738" s="8" t="n"/>
      <c r="N2738" s="8" t="n"/>
      <c r="O2738" s="8" t="n"/>
      <c r="P2738" s="8" t="n"/>
      <c r="Q2738" s="8" t="n"/>
      <c r="R2738" s="8" t="n"/>
      <c r="S2738" s="8" t="n"/>
      <c r="T2738" s="7" t="inlineStr">
        <is>
          <t>SEM COTAÇÃO</t>
        </is>
      </c>
      <c r="U2738" s="8" t="n"/>
      <c r="V2738" s="14" t="n"/>
      <c r="W2738" s="14" t="n"/>
      <c r="X2738" s="7" t="inlineStr"/>
      <c r="Y2738" s="7" t="inlineStr"/>
    </row>
    <row r="2739">
      <c r="A2739" s="7" t="n">
        <v>504</v>
      </c>
      <c r="B2739" s="12" t="inlineStr">
        <is>
          <t>7897517903626</t>
        </is>
      </c>
      <c r="C2739" s="7" t="inlineStr">
        <is>
          <t>LIXA DE UNHA C/6</t>
        </is>
      </c>
      <c r="D2739" s="7" t="inlineStr">
        <is>
          <t>PERF/COSME</t>
        </is>
      </c>
      <c r="E2739" s="7" t="inlineStr">
        <is>
          <t>C</t>
        </is>
      </c>
      <c r="F2739" s="13" t="n">
        <v>1</v>
      </c>
      <c r="G2739" s="13" t="n">
        <v>1</v>
      </c>
      <c r="H2739" s="8" t="n"/>
      <c r="I2739" s="8" t="n"/>
      <c r="J2739" s="8" t="n"/>
      <c r="K2739" s="8" t="n"/>
      <c r="L2739" s="8" t="n"/>
      <c r="M2739" s="8" t="n"/>
      <c r="N2739" s="8" t="n"/>
      <c r="O2739" s="8" t="n"/>
      <c r="P2739" s="8" t="n"/>
      <c r="Q2739" s="8" t="n"/>
      <c r="R2739" s="8" t="n"/>
      <c r="S2739" s="8" t="n"/>
      <c r="T2739" s="7" t="inlineStr">
        <is>
          <t>SEM COTAÇÃO</t>
        </is>
      </c>
      <c r="U2739" s="8" t="n"/>
      <c r="V2739" s="14" t="n"/>
      <c r="W2739" s="14" t="n"/>
      <c r="X2739" s="7" t="inlineStr"/>
      <c r="Y2739" s="7" t="inlineStr"/>
    </row>
    <row r="2740">
      <c r="A2740" s="7" t="n">
        <v>550341</v>
      </c>
      <c r="B2740" s="12" t="inlineStr">
        <is>
          <t>7898578062826</t>
        </is>
      </c>
      <c r="C2740" s="7" t="inlineStr">
        <is>
          <t>LIXA P/UNHAS ROLITO 11 CM CANÁRIO</t>
        </is>
      </c>
      <c r="D2740" s="7" t="inlineStr">
        <is>
          <t>PERF/COSME</t>
        </is>
      </c>
      <c r="E2740" s="7" t="inlineStr">
        <is>
          <t>C</t>
        </is>
      </c>
      <c r="F2740" s="13" t="n">
        <v>2</v>
      </c>
      <c r="G2740" s="13" t="n">
        <v>2</v>
      </c>
      <c r="H2740" s="8" t="n"/>
      <c r="I2740" s="8" t="n"/>
      <c r="J2740" s="8" t="n"/>
      <c r="K2740" s="8" t="n"/>
      <c r="L2740" s="8" t="n"/>
      <c r="M2740" s="8" t="n"/>
      <c r="N2740" s="8" t="n"/>
      <c r="O2740" s="8" t="n"/>
      <c r="P2740" s="8" t="n"/>
      <c r="Q2740" s="8" t="n"/>
      <c r="R2740" s="8" t="n"/>
      <c r="S2740" s="8" t="n"/>
      <c r="T2740" s="7" t="inlineStr">
        <is>
          <t>SEM COTAÇÃO</t>
        </is>
      </c>
      <c r="U2740" s="8" t="n"/>
      <c r="V2740" s="14" t="n"/>
      <c r="W2740" s="14" t="n"/>
      <c r="X2740" s="7" t="inlineStr"/>
      <c r="Y2740" s="7" t="inlineStr"/>
    </row>
    <row r="2741">
      <c r="A2741" s="7" t="n">
        <v>641791</v>
      </c>
      <c r="B2741" s="12" t="inlineStr">
        <is>
          <t>4005900207296</t>
        </is>
      </c>
      <c r="C2741" s="7" t="inlineStr">
        <is>
          <t>LOC BRONZ NIVEA SUN FPS6 125ML</t>
        </is>
      </c>
      <c r="D2741" s="7" t="inlineStr">
        <is>
          <t>DERMOCOSMETICOS/COSMETICOS</t>
        </is>
      </c>
      <c r="E2741" s="7" t="inlineStr">
        <is>
          <t>C</t>
        </is>
      </c>
      <c r="F2741" s="13" t="n">
        <v>1</v>
      </c>
      <c r="G2741" s="13" t="n">
        <v>1</v>
      </c>
      <c r="H2741" s="8" t="n">
        <v>32.85</v>
      </c>
      <c r="I2741" s="8" t="n">
        <v>32.85</v>
      </c>
      <c r="J2741" s="8" t="n">
        <v>32.85</v>
      </c>
      <c r="K2741" s="8" t="n"/>
      <c r="L2741" s="8" t="n"/>
      <c r="M2741" s="8" t="n"/>
      <c r="N2741" s="8" t="n"/>
      <c r="O2741" s="8" t="n"/>
      <c r="P2741" s="8" t="n"/>
      <c r="Q2741" s="8" t="n"/>
      <c r="R2741" s="8" t="n"/>
      <c r="S2741" s="8" t="n"/>
      <c r="T2741" s="7" t="inlineStr">
        <is>
          <t>SEM COTAÇÃO</t>
        </is>
      </c>
      <c r="U2741" s="8" t="n"/>
      <c r="V2741" s="14" t="n"/>
      <c r="W2741" s="14" t="n"/>
      <c r="X2741" s="7" t="inlineStr"/>
      <c r="Y2741" s="7" t="inlineStr"/>
    </row>
    <row r="2742">
      <c r="A2742" s="7" t="n">
        <v>619581</v>
      </c>
      <c r="B2742" s="12" t="inlineStr">
        <is>
          <t>4005900669285</t>
        </is>
      </c>
      <c r="C2742" s="7" t="inlineStr">
        <is>
          <t>LOC HIDRAT NIVEA ORANGE 400ML</t>
        </is>
      </c>
      <c r="D2742" s="7" t="inlineStr">
        <is>
          <t>DERMOCOSMETICOS/COSMETICOS</t>
        </is>
      </c>
      <c r="E2742" s="7" t="inlineStr">
        <is>
          <t>C</t>
        </is>
      </c>
      <c r="F2742" s="13" t="n">
        <v>1</v>
      </c>
      <c r="G2742" s="13" t="n">
        <v>1</v>
      </c>
      <c r="H2742" s="8" t="n">
        <v>19.8367</v>
      </c>
      <c r="I2742" s="8" t="n">
        <v>19.8367</v>
      </c>
      <c r="J2742" s="8" t="n">
        <v>19.8367</v>
      </c>
      <c r="K2742" s="8" t="n"/>
      <c r="L2742" s="8" t="n"/>
      <c r="M2742" s="8" t="n"/>
      <c r="N2742" s="8" t="n"/>
      <c r="O2742" s="8" t="n"/>
      <c r="P2742" s="8" t="n"/>
      <c r="Q2742" s="8" t="n"/>
      <c r="R2742" s="8" t="n"/>
      <c r="S2742" s="8" t="n"/>
      <c r="T2742" s="7" t="inlineStr">
        <is>
          <t>SEM COTAÇÃO</t>
        </is>
      </c>
      <c r="U2742" s="8" t="n"/>
      <c r="V2742" s="14" t="n"/>
      <c r="W2742" s="14" t="n"/>
      <c r="X2742" s="7" t="inlineStr"/>
      <c r="Y2742" s="7" t="inlineStr"/>
    </row>
    <row r="2743">
      <c r="A2743" s="7" t="n">
        <v>619591</v>
      </c>
      <c r="B2743" s="12" t="inlineStr">
        <is>
          <t>4005900399861</t>
        </is>
      </c>
      <c r="C2743" s="7" t="inlineStr">
        <is>
          <t>LOC NIVEA DEO HIDRA DERMA CARE 200ML</t>
        </is>
      </c>
      <c r="D2743" s="7" t="inlineStr">
        <is>
          <t>RX - DERMO</t>
        </is>
      </c>
      <c r="E2743" s="7" t="inlineStr">
        <is>
          <t>C</t>
        </is>
      </c>
      <c r="F2743" s="13" t="n">
        <v>1</v>
      </c>
      <c r="G2743" s="13" t="n">
        <v>1</v>
      </c>
      <c r="H2743" s="8" t="n">
        <v>35.77</v>
      </c>
      <c r="I2743" s="8" t="n">
        <v>35.77</v>
      </c>
      <c r="J2743" s="8" t="n">
        <v>35.77</v>
      </c>
      <c r="K2743" s="8" t="n"/>
      <c r="L2743" s="8" t="n"/>
      <c r="M2743" s="8" t="n"/>
      <c r="N2743" s="8" t="n"/>
      <c r="O2743" s="8" t="n"/>
      <c r="P2743" s="8" t="n"/>
      <c r="Q2743" s="8" t="n"/>
      <c r="R2743" s="8" t="n"/>
      <c r="S2743" s="8" t="n"/>
      <c r="T2743" s="7" t="inlineStr">
        <is>
          <t>SEM COTAÇÃO</t>
        </is>
      </c>
      <c r="U2743" s="8" t="n"/>
      <c r="V2743" s="14" t="n"/>
      <c r="W2743" s="14" t="n"/>
      <c r="X2743" s="7" t="inlineStr"/>
      <c r="Y2743" s="7" t="inlineStr"/>
    </row>
    <row r="2744">
      <c r="A2744" s="7" t="n">
        <v>631221</v>
      </c>
      <c r="B2744" s="12" t="inlineStr">
        <is>
          <t>7896369162380</t>
        </is>
      </c>
      <c r="C2744" s="7" t="inlineStr">
        <is>
          <t>LOCAO DESODORANTE AMEIXA NEGRA 500ML</t>
        </is>
      </c>
      <c r="D2744" s="7" t="inlineStr">
        <is>
          <t>PERF/COSME</t>
        </is>
      </c>
      <c r="E2744" s="7" t="inlineStr">
        <is>
          <t>C</t>
        </is>
      </c>
      <c r="F2744" s="13" t="n">
        <v>1</v>
      </c>
      <c r="G2744" s="13" t="n">
        <v>1</v>
      </c>
      <c r="H2744" s="8" t="n">
        <v>13.94</v>
      </c>
      <c r="I2744" s="8" t="n">
        <v>13.94</v>
      </c>
      <c r="J2744" s="8" t="n">
        <v>13.94</v>
      </c>
      <c r="K2744" s="8" t="n"/>
      <c r="L2744" s="8" t="n"/>
      <c r="M2744" s="8" t="n"/>
      <c r="N2744" s="8" t="n"/>
      <c r="O2744" s="8" t="n"/>
      <c r="P2744" s="8" t="n"/>
      <c r="Q2744" s="8" t="n"/>
      <c r="R2744" s="8" t="n"/>
      <c r="S2744" s="8" t="n"/>
      <c r="T2744" s="7" t="inlineStr">
        <is>
          <t>SEM COTAÇÃO</t>
        </is>
      </c>
      <c r="U2744" s="8" t="n"/>
      <c r="V2744" s="14" t="n"/>
      <c r="W2744" s="14" t="n"/>
      <c r="X2744" s="7" t="inlineStr"/>
      <c r="Y2744" s="7" t="inlineStr"/>
    </row>
    <row r="2745">
      <c r="A2745" s="7" t="n">
        <v>647111</v>
      </c>
      <c r="B2745" s="12" t="inlineStr">
        <is>
          <t>7896369126023</t>
        </is>
      </c>
      <c r="C2745" s="7" t="inlineStr">
        <is>
          <t>LOCAO DESODORANTE COLAGENO 40ML</t>
        </is>
      </c>
      <c r="D2745" s="7" t="inlineStr">
        <is>
          <t>PERF/COSME</t>
        </is>
      </c>
      <c r="E2745" s="7" t="inlineStr">
        <is>
          <t>C</t>
        </is>
      </c>
      <c r="F2745" s="13" t="n">
        <v>1</v>
      </c>
      <c r="G2745" s="13" t="n">
        <v>1</v>
      </c>
      <c r="H2745" s="8" t="n">
        <v>3.23</v>
      </c>
      <c r="I2745" s="8" t="n">
        <v>3.23</v>
      </c>
      <c r="J2745" s="8" t="n">
        <v>3.23</v>
      </c>
      <c r="K2745" s="8" t="n"/>
      <c r="L2745" s="8" t="n"/>
      <c r="M2745" s="8" t="n"/>
      <c r="N2745" s="8" t="n"/>
      <c r="O2745" s="8" t="n"/>
      <c r="P2745" s="8" t="n"/>
      <c r="Q2745" s="8" t="n"/>
      <c r="R2745" s="8" t="n"/>
      <c r="S2745" s="8" t="n"/>
      <c r="T2745" s="7" t="inlineStr">
        <is>
          <t>SEM COTAÇÃO</t>
        </is>
      </c>
      <c r="U2745" s="8" t="n"/>
      <c r="V2745" s="14" t="n"/>
      <c r="W2745" s="14" t="n"/>
      <c r="X2745" s="7" t="inlineStr"/>
      <c r="Y2745" s="7" t="inlineStr"/>
    </row>
    <row r="2746">
      <c r="A2746" s="7" t="n">
        <v>631201</v>
      </c>
      <c r="B2746" s="12" t="inlineStr">
        <is>
          <t>7896369126115</t>
        </is>
      </c>
      <c r="C2746" s="7" t="inlineStr">
        <is>
          <t>LOCAO DESODORANTE COLAGENO 500ML</t>
        </is>
      </c>
      <c r="D2746" s="7" t="inlineStr">
        <is>
          <t>PERF/COSME</t>
        </is>
      </c>
      <c r="E2746" s="7" t="inlineStr">
        <is>
          <t>C</t>
        </is>
      </c>
      <c r="F2746" s="13" t="n">
        <v>1</v>
      </c>
      <c r="G2746" s="13" t="n">
        <v>1</v>
      </c>
      <c r="H2746" s="8" t="n">
        <v>11.15</v>
      </c>
      <c r="I2746" s="8" t="n">
        <v>11.15</v>
      </c>
      <c r="J2746" s="8" t="n">
        <v>11.15</v>
      </c>
      <c r="K2746" s="8" t="n"/>
      <c r="L2746" s="8" t="n"/>
      <c r="M2746" s="8" t="n"/>
      <c r="N2746" s="8" t="n"/>
      <c r="O2746" s="8" t="n"/>
      <c r="P2746" s="8" t="n"/>
      <c r="Q2746" s="8" t="n"/>
      <c r="R2746" s="8" t="n"/>
      <c r="S2746" s="8" t="n"/>
      <c r="T2746" s="7" t="inlineStr">
        <is>
          <t>SEM COTAÇÃO</t>
        </is>
      </c>
      <c r="U2746" s="8" t="n"/>
      <c r="V2746" s="14" t="n"/>
      <c r="W2746" s="14" t="n"/>
      <c r="X2746" s="7" t="inlineStr"/>
      <c r="Y2746" s="7" t="inlineStr"/>
    </row>
    <row r="2747">
      <c r="A2747" s="7" t="n">
        <v>631211</v>
      </c>
      <c r="B2747" s="12" t="inlineStr">
        <is>
          <t>7896369126610</t>
        </is>
      </c>
      <c r="C2747" s="7" t="inlineStr">
        <is>
          <t>LOCAO DESODORANTE PERFUME DE BEBE 500ML</t>
        </is>
      </c>
      <c r="D2747" s="7" t="inlineStr">
        <is>
          <t>PERF/COSME</t>
        </is>
      </c>
      <c r="E2747" s="7" t="inlineStr">
        <is>
          <t>C</t>
        </is>
      </c>
      <c r="F2747" s="13" t="n">
        <v>1</v>
      </c>
      <c r="G2747" s="13" t="n">
        <v>1</v>
      </c>
      <c r="H2747" s="8" t="n">
        <v>13.94</v>
      </c>
      <c r="I2747" s="8" t="n">
        <v>13.94</v>
      </c>
      <c r="J2747" s="8" t="n">
        <v>13.94</v>
      </c>
      <c r="K2747" s="8" t="n"/>
      <c r="L2747" s="8" t="n"/>
      <c r="M2747" s="8" t="n"/>
      <c r="N2747" s="8" t="n"/>
      <c r="O2747" s="8" t="n"/>
      <c r="P2747" s="8" t="n"/>
      <c r="Q2747" s="8" t="n"/>
      <c r="R2747" s="8" t="n"/>
      <c r="S2747" s="8" t="n"/>
      <c r="T2747" s="7" t="inlineStr">
        <is>
          <t>SEM COTAÇÃO</t>
        </is>
      </c>
      <c r="U2747" s="8" t="n"/>
      <c r="V2747" s="14" t="n"/>
      <c r="W2747" s="14" t="n"/>
      <c r="X2747" s="7" t="inlineStr"/>
      <c r="Y2747" s="7" t="inlineStr"/>
    </row>
    <row r="2748">
      <c r="A2748" s="7" t="n">
        <v>638651</v>
      </c>
      <c r="B2748" s="12" t="inlineStr">
        <is>
          <t>7896369163813</t>
        </is>
      </c>
      <c r="C2748" s="7" t="inlineStr">
        <is>
          <t>LOCAO DESODORANTE ROSA MOSQUETA 500ML</t>
        </is>
      </c>
      <c r="D2748" s="7" t="inlineStr">
        <is>
          <t>PERF/COSME</t>
        </is>
      </c>
      <c r="E2748" s="7" t="inlineStr">
        <is>
          <t>C</t>
        </is>
      </c>
      <c r="F2748" s="13" t="n">
        <v>1</v>
      </c>
      <c r="G2748" s="13" t="n">
        <v>1</v>
      </c>
      <c r="H2748" s="8" t="n">
        <v>11.15</v>
      </c>
      <c r="I2748" s="8" t="n">
        <v>11.15</v>
      </c>
      <c r="J2748" s="8" t="n">
        <v>11.15</v>
      </c>
      <c r="K2748" s="8" t="n"/>
      <c r="L2748" s="8" t="n"/>
      <c r="M2748" s="8" t="n"/>
      <c r="N2748" s="8" t="n"/>
      <c r="O2748" s="8" t="n"/>
      <c r="P2748" s="8" t="n"/>
      <c r="Q2748" s="8" t="n"/>
      <c r="R2748" s="8" t="n"/>
      <c r="S2748" s="8" t="n"/>
      <c r="T2748" s="7" t="inlineStr">
        <is>
          <t>SEM COTAÇÃO</t>
        </is>
      </c>
      <c r="U2748" s="8" t="n"/>
      <c r="V2748" s="14" t="n"/>
      <c r="W2748" s="14" t="n"/>
      <c r="X2748" s="7" t="inlineStr"/>
      <c r="Y2748" s="7" t="inlineStr"/>
    </row>
    <row r="2749">
      <c r="A2749" s="7" t="n">
        <v>664561</v>
      </c>
      <c r="B2749" s="12" t="inlineStr">
        <is>
          <t>7898126407611</t>
        </is>
      </c>
      <c r="C2749" s="7" t="inlineStr">
        <is>
          <t>LOCAO FORCA PIMENTA 100ML</t>
        </is>
      </c>
      <c r="D2749" s="7" t="inlineStr">
        <is>
          <t>PERF/COSME</t>
        </is>
      </c>
      <c r="E2749" s="7" t="inlineStr">
        <is>
          <t>C</t>
        </is>
      </c>
      <c r="F2749" s="13" t="n">
        <v>1</v>
      </c>
      <c r="G2749" s="13" t="n">
        <v>1</v>
      </c>
      <c r="H2749" s="8" t="n">
        <v>46.42</v>
      </c>
      <c r="I2749" s="8" t="n">
        <v>46.42</v>
      </c>
      <c r="J2749" s="8" t="n">
        <v>46.41999999999999</v>
      </c>
      <c r="K2749" s="8" t="n"/>
      <c r="L2749" s="8" t="n"/>
      <c r="M2749" s="8" t="n"/>
      <c r="N2749" s="8" t="n"/>
      <c r="O2749" s="8" t="n"/>
      <c r="P2749" s="8" t="n"/>
      <c r="Q2749" s="8" t="n"/>
      <c r="R2749" s="8" t="n"/>
      <c r="S2749" s="8" t="n"/>
      <c r="T2749" s="7" t="inlineStr">
        <is>
          <t>SEM COTAÇÃO</t>
        </is>
      </c>
      <c r="U2749" s="8" t="n"/>
      <c r="V2749" s="14" t="n"/>
      <c r="W2749" s="14" t="n"/>
      <c r="X2749" s="7" t="inlineStr"/>
      <c r="Y2749" s="7" t="inlineStr"/>
    </row>
    <row r="2750">
      <c r="A2750" s="7" t="n">
        <v>630101</v>
      </c>
      <c r="B2750" s="12" t="inlineStr">
        <is>
          <t>7891350026627</t>
        </is>
      </c>
      <c r="C2750" s="7" t="inlineStr">
        <is>
          <t>LOCAO P/BARB BOZZ BLUE 100M</t>
        </is>
      </c>
      <c r="D2750" s="7" t="inlineStr">
        <is>
          <t>PERF/COSME</t>
        </is>
      </c>
      <c r="E2750" s="7" t="inlineStr">
        <is>
          <t>C</t>
        </is>
      </c>
      <c r="F2750" s="13" t="n">
        <v>1</v>
      </c>
      <c r="G2750" s="13" t="n">
        <v>1</v>
      </c>
      <c r="H2750" s="8" t="n">
        <v>21.84</v>
      </c>
      <c r="I2750" s="8" t="n">
        <v>21.84</v>
      </c>
      <c r="J2750" s="8" t="n">
        <v>21.84</v>
      </c>
      <c r="K2750" s="8" t="n"/>
      <c r="L2750" s="8" t="n"/>
      <c r="M2750" s="8" t="n"/>
      <c r="N2750" s="8" t="n"/>
      <c r="O2750" s="8" t="n"/>
      <c r="P2750" s="8" t="n"/>
      <c r="Q2750" s="8" t="n"/>
      <c r="R2750" s="8" t="n"/>
      <c r="S2750" s="8" t="n"/>
      <c r="T2750" s="7" t="inlineStr">
        <is>
          <t>SEM COTAÇÃO</t>
        </is>
      </c>
      <c r="U2750" s="8" t="n"/>
      <c r="V2750" s="14" t="n"/>
      <c r="W2750" s="14" t="n"/>
      <c r="X2750" s="7" t="inlineStr"/>
      <c r="Y2750" s="7" t="inlineStr"/>
    </row>
    <row r="2751">
      <c r="A2751" s="7" t="n">
        <v>665371</v>
      </c>
      <c r="B2751" s="12" t="inlineStr">
        <is>
          <t>7899572812134</t>
        </is>
      </c>
      <c r="C2751" s="7" t="inlineStr">
        <is>
          <t>LOLA ACIDIFICANTE DENSIDADE 250G</t>
        </is>
      </c>
      <c r="D2751" s="7" t="inlineStr">
        <is>
          <t>COND/SHAM/CREM/SIMILARES</t>
        </is>
      </c>
      <c r="E2751" s="7" t="inlineStr">
        <is>
          <t>C</t>
        </is>
      </c>
      <c r="F2751" s="13" t="n">
        <v>1</v>
      </c>
      <c r="G2751" s="13" t="n">
        <v>1</v>
      </c>
      <c r="H2751" s="8" t="n">
        <v>39.97</v>
      </c>
      <c r="I2751" s="8" t="n">
        <v>39.97</v>
      </c>
      <c r="J2751" s="8" t="n">
        <v>39.97</v>
      </c>
      <c r="K2751" s="8" t="n"/>
      <c r="L2751" s="8" t="n"/>
      <c r="M2751" s="8" t="n"/>
      <c r="N2751" s="8" t="n"/>
      <c r="O2751" s="8" t="n"/>
      <c r="P2751" s="8" t="n"/>
      <c r="Q2751" s="8" t="n"/>
      <c r="R2751" s="8" t="n"/>
      <c r="S2751" s="8" t="n"/>
      <c r="T2751" s="7" t="inlineStr">
        <is>
          <t>SEM COTAÇÃO</t>
        </is>
      </c>
      <c r="U2751" s="8" t="n"/>
      <c r="V2751" s="14" t="n"/>
      <c r="W2751" s="14" t="n"/>
      <c r="X2751" s="7" t="inlineStr"/>
      <c r="Y2751" s="7" t="inlineStr"/>
    </row>
    <row r="2752">
      <c r="A2752" s="7" t="n">
        <v>665351</v>
      </c>
      <c r="B2752" s="12" t="inlineStr">
        <is>
          <t>7899572815241</t>
        </is>
      </c>
      <c r="C2752" s="7" t="inlineStr">
        <is>
          <t>LOLA ACIDIFICANTE PURPLE ANTI PORO 250ML</t>
        </is>
      </c>
      <c r="D2752" s="7" t="inlineStr">
        <is>
          <t>COND/SHAM/CREM/SIMILARES</t>
        </is>
      </c>
      <c r="E2752" s="7" t="inlineStr">
        <is>
          <t>A</t>
        </is>
      </c>
      <c r="F2752" s="13" t="n">
        <v>1</v>
      </c>
      <c r="G2752" s="13" t="n">
        <v>1</v>
      </c>
      <c r="H2752" s="8" t="n">
        <v>35.31</v>
      </c>
      <c r="I2752" s="8" t="n">
        <v>35.31</v>
      </c>
      <c r="J2752" s="8" t="n">
        <v>35.31</v>
      </c>
      <c r="K2752" s="8" t="n"/>
      <c r="L2752" s="8" t="n"/>
      <c r="M2752" s="8" t="n"/>
      <c r="N2752" s="8" t="n"/>
      <c r="O2752" s="8" t="n"/>
      <c r="P2752" s="8" t="n"/>
      <c r="Q2752" s="8" t="n"/>
      <c r="R2752" s="8" t="n"/>
      <c r="S2752" s="8" t="n"/>
      <c r="T2752" s="7" t="inlineStr">
        <is>
          <t>SEM COTAÇÃO</t>
        </is>
      </c>
      <c r="U2752" s="8" t="n"/>
      <c r="V2752" s="14" t="n"/>
      <c r="W2752" s="14" t="n"/>
      <c r="X2752" s="7" t="inlineStr"/>
      <c r="Y2752" s="7" t="inlineStr"/>
    </row>
    <row r="2753">
      <c r="A2753" s="7" t="n">
        <v>664871</v>
      </c>
      <c r="B2753" s="12" t="inlineStr">
        <is>
          <t>7899572810383</t>
        </is>
      </c>
      <c r="C2753" s="7" t="inlineStr">
        <is>
          <t>LOLA ARGAN OIL OLEO CAPILAR 50ML</t>
        </is>
      </c>
      <c r="D2753" s="7" t="inlineStr">
        <is>
          <t>PERF/COSME</t>
        </is>
      </c>
      <c r="E2753" s="7" t="inlineStr">
        <is>
          <t>A</t>
        </is>
      </c>
      <c r="F2753" s="13" t="n">
        <v>2</v>
      </c>
      <c r="G2753" s="13" t="n">
        <v>2</v>
      </c>
      <c r="H2753" s="8" t="n">
        <v>23.35</v>
      </c>
      <c r="I2753" s="8" t="n">
        <v>23.35</v>
      </c>
      <c r="J2753" s="8" t="n">
        <v>23.35</v>
      </c>
      <c r="K2753" s="8" t="n"/>
      <c r="L2753" s="8" t="n"/>
      <c r="M2753" s="8" t="n"/>
      <c r="N2753" s="8" t="n"/>
      <c r="O2753" s="8" t="n"/>
      <c r="P2753" s="8" t="n"/>
      <c r="Q2753" s="8" t="n"/>
      <c r="R2753" s="8" t="n"/>
      <c r="S2753" s="8" t="n"/>
      <c r="T2753" s="7" t="inlineStr">
        <is>
          <t>SEM COTAÇÃO</t>
        </is>
      </c>
      <c r="U2753" s="8" t="n"/>
      <c r="V2753" s="14" t="n"/>
      <c r="W2753" s="14" t="n"/>
      <c r="X2753" s="7" t="inlineStr"/>
      <c r="Y2753" s="7" t="inlineStr"/>
    </row>
    <row r="2754">
      <c r="A2754" s="7" t="n">
        <v>665231</v>
      </c>
      <c r="B2754" s="12" t="inlineStr">
        <is>
          <t>7899572814534</t>
        </is>
      </c>
      <c r="C2754" s="7" t="inlineStr">
        <is>
          <t>LOLA BEMDITA GHEE KIT MASC REC+HID+NUT</t>
        </is>
      </c>
      <c r="D2754" s="7" t="inlineStr">
        <is>
          <t>COND/SHAM/CREM/SIMILARES</t>
        </is>
      </c>
      <c r="E2754" s="7" t="inlineStr">
        <is>
          <t>C</t>
        </is>
      </c>
      <c r="F2754" s="13" t="n">
        <v>1</v>
      </c>
      <c r="G2754" s="13" t="n">
        <v>1</v>
      </c>
      <c r="H2754" s="8" t="n">
        <v>44.95</v>
      </c>
      <c r="I2754" s="8" t="n">
        <v>44.95</v>
      </c>
      <c r="J2754" s="8" t="n">
        <v>44.95000000000001</v>
      </c>
      <c r="K2754" s="8" t="n"/>
      <c r="L2754" s="8" t="n"/>
      <c r="M2754" s="8" t="n"/>
      <c r="N2754" s="8" t="n"/>
      <c r="O2754" s="8" t="n"/>
      <c r="P2754" s="8" t="n"/>
      <c r="Q2754" s="8" t="n"/>
      <c r="R2754" s="8" t="n"/>
      <c r="S2754" s="8" t="n"/>
      <c r="T2754" s="7" t="inlineStr">
        <is>
          <t>SEM COTAÇÃO</t>
        </is>
      </c>
      <c r="U2754" s="8" t="n"/>
      <c r="V2754" s="14" t="n"/>
      <c r="W2754" s="14" t="n"/>
      <c r="X2754" s="7" t="inlineStr"/>
      <c r="Y2754" s="7" t="inlineStr"/>
    </row>
    <row r="2755">
      <c r="A2755" s="7" t="n">
        <v>665011</v>
      </c>
      <c r="B2755" s="12" t="inlineStr">
        <is>
          <t>7899572814398</t>
        </is>
      </c>
      <c r="C2755" s="7" t="inlineStr">
        <is>
          <t>LOLA BEMDITA GHEE OLEO CAP 50ML ABACAXI</t>
        </is>
      </c>
      <c r="D2755" s="7" t="inlineStr">
        <is>
          <t>PERF/COSME</t>
        </is>
      </c>
      <c r="E2755" s="7" t="inlineStr">
        <is>
          <t>B</t>
        </is>
      </c>
      <c r="F2755" s="13" t="n">
        <v>4</v>
      </c>
      <c r="G2755" s="13" t="n">
        <v>4</v>
      </c>
      <c r="H2755" s="8" t="n">
        <v>32.5</v>
      </c>
      <c r="I2755" s="8" t="n">
        <v>32.5</v>
      </c>
      <c r="J2755" s="8" t="n">
        <v>32.5</v>
      </c>
      <c r="K2755" s="8" t="n"/>
      <c r="L2755" s="8" t="n"/>
      <c r="M2755" s="8" t="n"/>
      <c r="N2755" s="8" t="n"/>
      <c r="O2755" s="8" t="n"/>
      <c r="P2755" s="8" t="n"/>
      <c r="Q2755" s="8" t="n"/>
      <c r="R2755" s="8" t="n"/>
      <c r="S2755" s="8" t="n"/>
      <c r="T2755" s="7" t="inlineStr">
        <is>
          <t>SEM COTAÇÃO</t>
        </is>
      </c>
      <c r="U2755" s="8" t="n"/>
      <c r="V2755" s="14" t="n"/>
      <c r="W2755" s="14" t="n"/>
      <c r="X2755" s="7" t="inlineStr"/>
      <c r="Y2755" s="7" t="inlineStr"/>
    </row>
    <row r="2756">
      <c r="A2756" s="7" t="n">
        <v>664921</v>
      </c>
      <c r="B2756" s="12" t="inlineStr">
        <is>
          <t>7899572814404</t>
        </is>
      </c>
      <c r="C2756" s="7" t="inlineStr">
        <is>
          <t>LOLA BEMDITA GHEE OLEO CAP 50ML MAMAO</t>
        </is>
      </c>
      <c r="D2756" s="7" t="inlineStr">
        <is>
          <t>PERF/COSME</t>
        </is>
      </c>
      <c r="E2756" s="7" t="inlineStr">
        <is>
          <t>C</t>
        </is>
      </c>
      <c r="F2756" s="13" t="n">
        <v>1</v>
      </c>
      <c r="G2756" s="13" t="n">
        <v>1</v>
      </c>
      <c r="H2756" s="8" t="n">
        <v>32.5</v>
      </c>
      <c r="I2756" s="8" t="n">
        <v>32.5</v>
      </c>
      <c r="J2756" s="8" t="n">
        <v>32.5</v>
      </c>
      <c r="K2756" s="8" t="n"/>
      <c r="L2756" s="8" t="n"/>
      <c r="M2756" s="8" t="n"/>
      <c r="N2756" s="8" t="n"/>
      <c r="O2756" s="8" t="n"/>
      <c r="P2756" s="8" t="n"/>
      <c r="Q2756" s="8" t="n"/>
      <c r="R2756" s="8" t="n"/>
      <c r="S2756" s="8" t="n"/>
      <c r="T2756" s="7" t="inlineStr">
        <is>
          <t>SEM COTAÇÃO</t>
        </is>
      </c>
      <c r="U2756" s="8" t="n"/>
      <c r="V2756" s="14" t="n"/>
      <c r="W2756" s="14" t="n"/>
      <c r="X2756" s="7" t="inlineStr"/>
      <c r="Y2756" s="7" t="inlineStr"/>
    </row>
    <row r="2757">
      <c r="A2757" s="7" t="n">
        <v>665311</v>
      </c>
      <c r="B2757" s="12" t="inlineStr">
        <is>
          <t>7899572812271</t>
        </is>
      </c>
      <c r="C2757" s="7" t="inlineStr">
        <is>
          <t>LOLA DANOS VORAZES MASC REPARA INTE 450G</t>
        </is>
      </c>
      <c r="D2757" s="7" t="inlineStr">
        <is>
          <t>COND/SHAM/CREM/SIMILARES</t>
        </is>
      </c>
      <c r="E2757" s="7" t="inlineStr">
        <is>
          <t>C</t>
        </is>
      </c>
      <c r="F2757" s="13" t="n">
        <v>1</v>
      </c>
      <c r="G2757" s="13" t="n">
        <v>1</v>
      </c>
      <c r="H2757" s="8" t="n">
        <v>41.74</v>
      </c>
      <c r="I2757" s="8" t="n">
        <v>41.74</v>
      </c>
      <c r="J2757" s="8" t="n">
        <v>41.74</v>
      </c>
      <c r="K2757" s="8" t="n"/>
      <c r="L2757" s="8" t="n"/>
      <c r="M2757" s="8" t="n"/>
      <c r="N2757" s="8" t="n"/>
      <c r="O2757" s="8" t="n"/>
      <c r="P2757" s="8" t="n"/>
      <c r="Q2757" s="8" t="n"/>
      <c r="R2757" s="8" t="n"/>
      <c r="S2757" s="8" t="n"/>
      <c r="T2757" s="7" t="inlineStr">
        <is>
          <t>SEM COTAÇÃO</t>
        </is>
      </c>
      <c r="U2757" s="8" t="n"/>
      <c r="V2757" s="14" t="n"/>
      <c r="W2757" s="14" t="n"/>
      <c r="X2757" s="7" t="inlineStr"/>
      <c r="Y2757" s="7" t="inlineStr"/>
    </row>
    <row r="2758">
      <c r="A2758" s="7" t="n">
        <v>665251</v>
      </c>
      <c r="B2758" s="12" t="inlineStr">
        <is>
          <t>7899572812042</t>
        </is>
      </c>
      <c r="C2758" s="7" t="inlineStr">
        <is>
          <t>LOLA DENSIDADE SH 250ML</t>
        </is>
      </c>
      <c r="D2758" s="7" t="inlineStr">
        <is>
          <t>COND/SHAM/CREM/SIMILARES</t>
        </is>
      </c>
      <c r="E2758" s="7" t="inlineStr">
        <is>
          <t>B</t>
        </is>
      </c>
      <c r="F2758" s="13" t="n">
        <v>1</v>
      </c>
      <c r="G2758" s="13" t="n">
        <v>1</v>
      </c>
      <c r="H2758" s="8" t="n">
        <v>33.93</v>
      </c>
      <c r="I2758" s="8" t="n">
        <v>33.93</v>
      </c>
      <c r="J2758" s="8" t="n">
        <v>33.93</v>
      </c>
      <c r="K2758" s="8" t="n"/>
      <c r="L2758" s="8" t="n"/>
      <c r="M2758" s="8" t="n"/>
      <c r="N2758" s="8" t="n"/>
      <c r="O2758" s="8" t="n"/>
      <c r="P2758" s="8" t="n"/>
      <c r="Q2758" s="8" t="n"/>
      <c r="R2758" s="8" t="n"/>
      <c r="S2758" s="8" t="n"/>
      <c r="T2758" s="7" t="inlineStr">
        <is>
          <t>SEM COTAÇÃO</t>
        </is>
      </c>
      <c r="U2758" s="8" t="n"/>
      <c r="V2758" s="14" t="n"/>
      <c r="W2758" s="14" t="n"/>
      <c r="X2758" s="7" t="inlineStr"/>
      <c r="Y2758" s="7" t="inlineStr"/>
    </row>
    <row r="2759">
      <c r="A2759" s="7" t="n">
        <v>665141</v>
      </c>
      <c r="B2759" s="12" t="inlineStr">
        <is>
          <t>7899572802784</t>
        </is>
      </c>
      <c r="C2759" s="7" t="inlineStr">
        <is>
          <t>LOLA DREAM CREAM MASCARA 450G</t>
        </is>
      </c>
      <c r="D2759" s="7" t="inlineStr">
        <is>
          <t>COND/SHAM/CREM/SIMILARES</t>
        </is>
      </c>
      <c r="E2759" s="7" t="inlineStr">
        <is>
          <t>C</t>
        </is>
      </c>
      <c r="F2759" s="13" t="n">
        <v>1</v>
      </c>
      <c r="G2759" s="13" t="n">
        <v>1</v>
      </c>
      <c r="H2759" s="8" t="n">
        <v>43.46</v>
      </c>
      <c r="I2759" s="8" t="n">
        <v>43.46</v>
      </c>
      <c r="J2759" s="8" t="n">
        <v>43.46</v>
      </c>
      <c r="K2759" s="8" t="n"/>
      <c r="L2759" s="8" t="n"/>
      <c r="M2759" s="8" t="n"/>
      <c r="N2759" s="8" t="n"/>
      <c r="O2759" s="8" t="n"/>
      <c r="P2759" s="8" t="n"/>
      <c r="Q2759" s="8" t="n"/>
      <c r="R2759" s="8" t="n"/>
      <c r="S2759" s="8" t="n"/>
      <c r="T2759" s="7" t="inlineStr">
        <is>
          <t>SEM COTAÇÃO</t>
        </is>
      </c>
      <c r="U2759" s="8" t="n"/>
      <c r="V2759" s="14" t="n"/>
      <c r="W2759" s="14" t="n"/>
      <c r="X2759" s="7" t="inlineStr"/>
      <c r="Y2759" s="7" t="inlineStr"/>
    </row>
    <row r="2760">
      <c r="A2760" s="7" t="n">
        <v>665331</v>
      </c>
      <c r="B2760" s="12" t="inlineStr">
        <is>
          <t>7899572810178</t>
        </is>
      </c>
      <c r="C2760" s="7" t="inlineStr">
        <is>
          <t>LOLA DREAM SUPER HIDRATANTE SH 250ML</t>
        </is>
      </c>
      <c r="D2760" s="7" t="inlineStr">
        <is>
          <t>COND/SHAM/CREM/SIMILARES</t>
        </is>
      </c>
      <c r="E2760" s="7" t="inlineStr">
        <is>
          <t>B</t>
        </is>
      </c>
      <c r="F2760" s="13" t="n">
        <v>1</v>
      </c>
      <c r="G2760" s="13" t="n">
        <v>1</v>
      </c>
      <c r="H2760" s="8" t="n">
        <v>25.45</v>
      </c>
      <c r="I2760" s="8" t="n">
        <v>25.45</v>
      </c>
      <c r="J2760" s="8" t="n">
        <v>25.45</v>
      </c>
      <c r="K2760" s="8" t="n"/>
      <c r="L2760" s="8" t="n"/>
      <c r="M2760" s="8" t="n"/>
      <c r="N2760" s="8" t="n"/>
      <c r="O2760" s="8" t="n"/>
      <c r="P2760" s="8" t="n"/>
      <c r="Q2760" s="8" t="n"/>
      <c r="R2760" s="8" t="n"/>
      <c r="S2760" s="8" t="n"/>
      <c r="T2760" s="7" t="inlineStr">
        <is>
          <t>SEM COTAÇÃO</t>
        </is>
      </c>
      <c r="U2760" s="8" t="n"/>
      <c r="V2760" s="14" t="n"/>
      <c r="W2760" s="14" t="n"/>
      <c r="X2760" s="7" t="inlineStr"/>
      <c r="Y2760" s="7" t="inlineStr"/>
    </row>
    <row r="2761">
      <c r="A2761" s="7" t="n">
        <v>665171</v>
      </c>
      <c r="B2761" s="12" t="inlineStr">
        <is>
          <t>7899572806768</t>
        </is>
      </c>
      <c r="C2761" s="7" t="inlineStr">
        <is>
          <t>LOLA MEU CACHO MINHA VIDA CO 500G</t>
        </is>
      </c>
      <c r="D2761" s="7" t="inlineStr">
        <is>
          <t>COND/SHAM/CREM/SIMILARES</t>
        </is>
      </c>
      <c r="E2761" s="7" t="inlineStr">
        <is>
          <t>B</t>
        </is>
      </c>
      <c r="F2761" s="13" t="n">
        <v>1</v>
      </c>
      <c r="G2761" s="13" t="n">
        <v>1</v>
      </c>
      <c r="H2761" s="8" t="n">
        <v>37.88</v>
      </c>
      <c r="I2761" s="8" t="n">
        <v>37.88</v>
      </c>
      <c r="J2761" s="8" t="n">
        <v>37.88</v>
      </c>
      <c r="K2761" s="8" t="n"/>
      <c r="L2761" s="8" t="n"/>
      <c r="M2761" s="8" t="n"/>
      <c r="N2761" s="8" t="n"/>
      <c r="O2761" s="8" t="n"/>
      <c r="P2761" s="8" t="n"/>
      <c r="Q2761" s="8" t="n"/>
      <c r="R2761" s="8" t="n"/>
      <c r="S2761" s="8" t="n"/>
      <c r="T2761" s="7" t="inlineStr">
        <is>
          <t>SEM COTAÇÃO</t>
        </is>
      </c>
      <c r="U2761" s="8" t="n"/>
      <c r="V2761" s="14" t="n"/>
      <c r="W2761" s="14" t="n"/>
      <c r="X2761" s="7" t="inlineStr"/>
      <c r="Y2761" s="7" t="inlineStr"/>
    </row>
    <row r="2762">
      <c r="A2762" s="7" t="n">
        <v>665001</v>
      </c>
      <c r="B2762" s="12" t="inlineStr">
        <is>
          <t>7899572803200</t>
        </is>
      </c>
      <c r="C2762" s="7" t="inlineStr">
        <is>
          <t>LOLA MORTE SUBITA MASCARA SUP HIDRA 450G</t>
        </is>
      </c>
      <c r="D2762" s="7" t="inlineStr">
        <is>
          <t>COND/SHAM/CREM/SIMILARES</t>
        </is>
      </c>
      <c r="E2762" s="7" t="inlineStr">
        <is>
          <t>A</t>
        </is>
      </c>
      <c r="F2762" s="13" t="n">
        <v>2</v>
      </c>
      <c r="G2762" s="13" t="n">
        <v>2</v>
      </c>
      <c r="H2762" s="8" t="n">
        <v>42.53</v>
      </c>
      <c r="I2762" s="8" t="n">
        <v>42.53</v>
      </c>
      <c r="J2762" s="8" t="n">
        <v>42.53</v>
      </c>
      <c r="K2762" s="8" t="n"/>
      <c r="L2762" s="8" t="n"/>
      <c r="M2762" s="8" t="n"/>
      <c r="N2762" s="8" t="n"/>
      <c r="O2762" s="8" t="n"/>
      <c r="P2762" s="8" t="n"/>
      <c r="Q2762" s="8" t="n"/>
      <c r="R2762" s="8" t="n"/>
      <c r="S2762" s="8" t="n"/>
      <c r="T2762" s="7" t="inlineStr">
        <is>
          <t>SEM COTAÇÃO</t>
        </is>
      </c>
      <c r="U2762" s="8" t="n"/>
      <c r="V2762" s="14" t="n"/>
      <c r="W2762" s="14" t="n"/>
      <c r="X2762" s="7" t="inlineStr"/>
      <c r="Y2762" s="7" t="inlineStr"/>
    </row>
    <row r="2763">
      <c r="A2763" s="7" t="n">
        <v>665181</v>
      </c>
      <c r="B2763" s="12" t="inlineStr">
        <is>
          <t>7899572814480</t>
        </is>
      </c>
      <c r="C2763" s="7" t="inlineStr">
        <is>
          <t>LOLA PAPO RETO CCT 270ML</t>
        </is>
      </c>
      <c r="D2763" s="7" t="inlineStr">
        <is>
          <t>COND/SHAM/CREM/SIMILARES</t>
        </is>
      </c>
      <c r="E2763" s="7" t="inlineStr">
        <is>
          <t>C</t>
        </is>
      </c>
      <c r="F2763" s="13" t="n">
        <v>1</v>
      </c>
      <c r="G2763" s="13" t="n">
        <v>1</v>
      </c>
      <c r="H2763" s="8" t="n">
        <v>32.1</v>
      </c>
      <c r="I2763" s="8" t="n">
        <v>32.1</v>
      </c>
      <c r="J2763" s="8" t="n">
        <v>32.1</v>
      </c>
      <c r="K2763" s="8" t="n"/>
      <c r="L2763" s="8" t="n"/>
      <c r="M2763" s="8" t="n"/>
      <c r="N2763" s="8" t="n"/>
      <c r="O2763" s="8" t="n"/>
      <c r="P2763" s="8" t="n"/>
      <c r="Q2763" s="8" t="n"/>
      <c r="R2763" s="8" t="n"/>
      <c r="S2763" s="8" t="n"/>
      <c r="T2763" s="7" t="inlineStr">
        <is>
          <t>SEM COTAÇÃO</t>
        </is>
      </c>
      <c r="U2763" s="8" t="n"/>
      <c r="V2763" s="14" t="n"/>
      <c r="W2763" s="14" t="n"/>
      <c r="X2763" s="7" t="inlineStr"/>
      <c r="Y2763" s="7" t="inlineStr"/>
    </row>
    <row r="2764">
      <c r="A2764" s="7" t="n">
        <v>665021</v>
      </c>
      <c r="B2764" s="12" t="inlineStr">
        <is>
          <t>7899572814497</t>
        </is>
      </c>
      <c r="C2764" s="7" t="inlineStr">
        <is>
          <t>LOLA PAPO RETO CO 270ML</t>
        </is>
      </c>
      <c r="D2764" s="7" t="inlineStr">
        <is>
          <t>COND/SHAM/CREM/SIMILARES</t>
        </is>
      </c>
      <c r="E2764" s="7" t="inlineStr">
        <is>
          <t>C</t>
        </is>
      </c>
      <c r="F2764" s="13" t="n">
        <v>1</v>
      </c>
      <c r="G2764" s="13" t="n">
        <v>1</v>
      </c>
      <c r="H2764" s="8" t="n">
        <v>29.17</v>
      </c>
      <c r="I2764" s="8" t="n">
        <v>29.17</v>
      </c>
      <c r="J2764" s="8" t="n">
        <v>29.17</v>
      </c>
      <c r="K2764" s="8" t="n"/>
      <c r="L2764" s="8" t="n"/>
      <c r="M2764" s="8" t="n"/>
      <c r="N2764" s="8" t="n"/>
      <c r="O2764" s="8" t="n"/>
      <c r="P2764" s="8" t="n"/>
      <c r="Q2764" s="8" t="n"/>
      <c r="R2764" s="8" t="n"/>
      <c r="S2764" s="8" t="n"/>
      <c r="T2764" s="7" t="inlineStr">
        <is>
          <t>SEM COTAÇÃO</t>
        </is>
      </c>
      <c r="U2764" s="8" t="n"/>
      <c r="V2764" s="14" t="n"/>
      <c r="W2764" s="14" t="n"/>
      <c r="X2764" s="7" t="inlineStr"/>
      <c r="Y2764" s="7" t="inlineStr"/>
    </row>
    <row r="2765">
      <c r="A2765" s="7" t="n">
        <v>665121</v>
      </c>
      <c r="B2765" s="12" t="inlineStr">
        <is>
          <t>7899572813988</t>
        </is>
      </c>
      <c r="C2765" s="7" t="inlineStr">
        <is>
          <t>LOLA PLOT TWIST MOUSSE MOD GUAVA 150ML</t>
        </is>
      </c>
      <c r="D2765" s="7" t="inlineStr">
        <is>
          <t>COND/SHAM/CREM/SIMILARES</t>
        </is>
      </c>
      <c r="E2765" s="7" t="inlineStr">
        <is>
          <t>C</t>
        </is>
      </c>
      <c r="F2765" s="13" t="n">
        <v>1</v>
      </c>
      <c r="G2765" s="13" t="n">
        <v>1</v>
      </c>
      <c r="H2765" s="8" t="n">
        <v>31.5</v>
      </c>
      <c r="I2765" s="8" t="n">
        <v>31.5</v>
      </c>
      <c r="J2765" s="8" t="n">
        <v>31.5</v>
      </c>
      <c r="K2765" s="8" t="n"/>
      <c r="L2765" s="8" t="n"/>
      <c r="M2765" s="8" t="n"/>
      <c r="N2765" s="8" t="n"/>
      <c r="O2765" s="8" t="n"/>
      <c r="P2765" s="8" t="n"/>
      <c r="Q2765" s="8" t="n"/>
      <c r="R2765" s="8" t="n"/>
      <c r="S2765" s="8" t="n"/>
      <c r="T2765" s="7" t="inlineStr">
        <is>
          <t>SEM COTAÇÃO</t>
        </is>
      </c>
      <c r="U2765" s="8" t="n"/>
      <c r="V2765" s="14" t="n"/>
      <c r="W2765" s="14" t="n"/>
      <c r="X2765" s="7" t="inlineStr"/>
      <c r="Y2765" s="7" t="inlineStr"/>
    </row>
    <row r="2766">
      <c r="A2766" s="7" t="n">
        <v>665161</v>
      </c>
      <c r="B2766" s="12" t="inlineStr">
        <is>
          <t>7899572814008</t>
        </is>
      </c>
      <c r="C2766" s="7" t="inlineStr">
        <is>
          <t>LOLA PLOT TWIST OLEO FINALIZA GUAVA 90ML</t>
        </is>
      </c>
      <c r="D2766" s="7" t="inlineStr">
        <is>
          <t>DESATIVADO</t>
        </is>
      </c>
      <c r="E2766" s="7" t="inlineStr">
        <is>
          <t>C</t>
        </is>
      </c>
      <c r="F2766" s="13" t="n">
        <v>1</v>
      </c>
      <c r="G2766" s="13" t="n">
        <v>1</v>
      </c>
      <c r="H2766" s="8" t="n">
        <v>44.76</v>
      </c>
      <c r="I2766" s="8" t="n">
        <v>44.76</v>
      </c>
      <c r="J2766" s="8" t="n">
        <v>44.76</v>
      </c>
      <c r="K2766" s="8" t="n"/>
      <c r="L2766" s="8" t="n"/>
      <c r="M2766" s="8" t="n"/>
      <c r="N2766" s="8" t="n"/>
      <c r="O2766" s="8" t="n"/>
      <c r="P2766" s="8" t="n"/>
      <c r="Q2766" s="8" t="n"/>
      <c r="R2766" s="8" t="n"/>
      <c r="S2766" s="8" t="n"/>
      <c r="T2766" s="7" t="inlineStr">
        <is>
          <t>SEM COTAÇÃO</t>
        </is>
      </c>
      <c r="U2766" s="8" t="n"/>
      <c r="V2766" s="14" t="n"/>
      <c r="W2766" s="14" t="n"/>
      <c r="X2766" s="7" t="inlineStr"/>
      <c r="Y2766" s="7" t="inlineStr"/>
    </row>
    <row r="2767">
      <c r="A2767" s="7" t="n">
        <v>665271</v>
      </c>
      <c r="B2767" s="12" t="inlineStr">
        <is>
          <t>7899572802289</t>
        </is>
      </c>
      <c r="C2767" s="7" t="inlineStr">
        <is>
          <t>LOLA RAPUNZEL TONICO DO CRESCIMENTO 250M</t>
        </is>
      </c>
      <c r="D2767" s="7" t="inlineStr">
        <is>
          <t>COND/SHAM/CREM/SIMILARES</t>
        </is>
      </c>
      <c r="E2767" s="7" t="inlineStr">
        <is>
          <t>A</t>
        </is>
      </c>
      <c r="F2767" s="13" t="n">
        <v>3</v>
      </c>
      <c r="G2767" s="13" t="n">
        <v>3</v>
      </c>
      <c r="H2767" s="8" t="n">
        <v>44.02</v>
      </c>
      <c r="I2767" s="8" t="n">
        <v>44.02</v>
      </c>
      <c r="J2767" s="8" t="n">
        <v>44.02</v>
      </c>
      <c r="K2767" s="8" t="n"/>
      <c r="L2767" s="8" t="n"/>
      <c r="M2767" s="8" t="n"/>
      <c r="N2767" s="8" t="n"/>
      <c r="O2767" s="8" t="n"/>
      <c r="P2767" s="8" t="n"/>
      <c r="Q2767" s="8" t="n"/>
      <c r="R2767" s="8" t="n"/>
      <c r="S2767" s="8" t="n"/>
      <c r="T2767" s="7" t="inlineStr">
        <is>
          <t>SEM COTAÇÃO</t>
        </is>
      </c>
      <c r="U2767" s="8" t="n"/>
      <c r="V2767" s="14" t="n"/>
      <c r="W2767" s="14" t="n"/>
      <c r="X2767" s="7" t="inlineStr"/>
      <c r="Y2767" s="7" t="inlineStr"/>
    </row>
    <row r="2768">
      <c r="A2768" s="7" t="n">
        <v>664891</v>
      </c>
      <c r="B2768" s="12" t="inlineStr">
        <is>
          <t>7899572806034</t>
        </is>
      </c>
      <c r="C2768" s="7" t="inlineStr">
        <is>
          <t>LOLA VC FEZ QUIMICA PASSAD SH 250M</t>
        </is>
      </c>
      <c r="D2768" s="7" t="inlineStr">
        <is>
          <t>COND/SHAM/CREM/SIMILARES</t>
        </is>
      </c>
      <c r="E2768" s="7" t="inlineStr">
        <is>
          <t>C</t>
        </is>
      </c>
      <c r="F2768" s="13" t="n">
        <v>1</v>
      </c>
      <c r="G2768" s="13" t="n">
        <v>1</v>
      </c>
      <c r="H2768" s="8" t="n">
        <v>33.68</v>
      </c>
      <c r="I2768" s="8" t="n">
        <v>33.68</v>
      </c>
      <c r="J2768" s="8" t="n">
        <v>33.68</v>
      </c>
      <c r="K2768" s="8" t="n"/>
      <c r="L2768" s="8" t="n"/>
      <c r="M2768" s="8" t="n"/>
      <c r="N2768" s="8" t="n"/>
      <c r="O2768" s="8" t="n"/>
      <c r="P2768" s="8" t="n"/>
      <c r="Q2768" s="8" t="n"/>
      <c r="R2768" s="8" t="n"/>
      <c r="S2768" s="8" t="n"/>
      <c r="T2768" s="7" t="inlineStr">
        <is>
          <t>SEM COTAÇÃO</t>
        </is>
      </c>
      <c r="U2768" s="8" t="n"/>
      <c r="V2768" s="14" t="n"/>
      <c r="W2768" s="14" t="n"/>
      <c r="X2768" s="7" t="inlineStr"/>
      <c r="Y2768" s="7" t="inlineStr"/>
    </row>
    <row r="2769">
      <c r="A2769" s="7" t="n">
        <v>592071</v>
      </c>
      <c r="B2769" s="12" t="inlineStr">
        <is>
          <t>7891000092606</t>
        </is>
      </c>
      <c r="C2769" s="7" t="inlineStr">
        <is>
          <t>LOLLO CHOCOLATE 28G</t>
        </is>
      </c>
      <c r="D2769" s="7" t="inlineStr">
        <is>
          <t>CONVENIENCIA</t>
        </is>
      </c>
      <c r="E2769" s="7" t="inlineStr">
        <is>
          <t>A</t>
        </is>
      </c>
      <c r="F2769" s="13" t="n">
        <v>2</v>
      </c>
      <c r="G2769" s="13" t="n">
        <v>49</v>
      </c>
      <c r="H2769" s="8" t="n">
        <v>2.41</v>
      </c>
      <c r="I2769" s="8" t="n">
        <v>2.41</v>
      </c>
      <c r="J2769" s="8" t="n">
        <v>2.41</v>
      </c>
      <c r="K2769" s="8" t="n"/>
      <c r="L2769" s="8" t="n"/>
      <c r="M2769" s="8" t="n"/>
      <c r="N2769" s="8" t="n"/>
      <c r="O2769" s="8" t="n"/>
      <c r="P2769" s="8" t="n"/>
      <c r="Q2769" s="8" t="n"/>
      <c r="R2769" s="8" t="n"/>
      <c r="S2769" s="8" t="n"/>
      <c r="T2769" s="7" t="inlineStr">
        <is>
          <t>SEM COTAÇÃO</t>
        </is>
      </c>
      <c r="U2769" s="8" t="n"/>
      <c r="V2769" s="14" t="n"/>
      <c r="W2769" s="14" t="n"/>
      <c r="X2769" s="7" t="inlineStr"/>
      <c r="Y2769" s="7" t="inlineStr"/>
    </row>
    <row r="2770">
      <c r="A2770" s="7" t="n">
        <v>655641</v>
      </c>
      <c r="B2770" s="12" t="inlineStr">
        <is>
          <t>7891000258453</t>
        </is>
      </c>
      <c r="C2770" s="7" t="inlineStr">
        <is>
          <t>LOLLO FLOWPACK 30X114G BR</t>
        </is>
      </c>
      <c r="D2770" s="7" t="inlineStr">
        <is>
          <t>CHOCOLATES</t>
        </is>
      </c>
      <c r="E2770" s="7" t="inlineStr">
        <is>
          <t>B</t>
        </is>
      </c>
      <c r="F2770" s="13" t="n">
        <v>1</v>
      </c>
      <c r="G2770" s="13" t="n">
        <v>10</v>
      </c>
      <c r="H2770" s="8" t="n">
        <v>10.7357</v>
      </c>
      <c r="I2770" s="8" t="n">
        <v>10.7357</v>
      </c>
      <c r="J2770" s="8" t="n">
        <v>10.7357</v>
      </c>
      <c r="K2770" s="8" t="n"/>
      <c r="L2770" s="8" t="n"/>
      <c r="M2770" s="8" t="n"/>
      <c r="N2770" s="8" t="n"/>
      <c r="O2770" s="8" t="n"/>
      <c r="P2770" s="8" t="n"/>
      <c r="Q2770" s="8" t="n"/>
      <c r="R2770" s="8" t="n"/>
      <c r="S2770" s="8" t="n"/>
      <c r="T2770" s="7" t="inlineStr">
        <is>
          <t>SEM COTAÇÃO</t>
        </is>
      </c>
      <c r="U2770" s="8" t="n"/>
      <c r="V2770" s="14" t="n"/>
      <c r="W2770" s="14" t="n"/>
      <c r="X2770" s="7" t="inlineStr"/>
      <c r="Y2770" s="7" t="inlineStr"/>
    </row>
    <row r="2771">
      <c r="A2771" s="7" t="n">
        <v>629751</v>
      </c>
      <c r="B2771" s="12" t="inlineStr">
        <is>
          <t>7896699029179</t>
        </is>
      </c>
      <c r="C2771" s="7" t="inlineStr">
        <is>
          <t>LOLLY BIC MAM SIL B 0 T2 FL M BL 0068-01</t>
        </is>
      </c>
      <c r="D2771" s="7" t="inlineStr">
        <is>
          <t>BABY/KIDS</t>
        </is>
      </c>
      <c r="E2771" s="7" t="inlineStr">
        <is>
          <t>C</t>
        </is>
      </c>
      <c r="F2771" s="13" t="n">
        <v>2</v>
      </c>
      <c r="G2771" s="13" t="n">
        <v>2</v>
      </c>
      <c r="H2771" s="8" t="n">
        <v>6.21</v>
      </c>
      <c r="I2771" s="8" t="n">
        <v>6.21</v>
      </c>
      <c r="J2771" s="8" t="n">
        <v>6.21</v>
      </c>
      <c r="K2771" s="8" t="n"/>
      <c r="L2771" s="8" t="n"/>
      <c r="M2771" s="8" t="n"/>
      <c r="N2771" s="8" t="n"/>
      <c r="O2771" s="8" t="n"/>
      <c r="P2771" s="8" t="n"/>
      <c r="Q2771" s="8" t="n"/>
      <c r="R2771" s="8" t="n"/>
      <c r="S2771" s="8" t="n"/>
      <c r="T2771" s="7" t="inlineStr">
        <is>
          <t>SEM COTAÇÃO</t>
        </is>
      </c>
      <c r="U2771" s="8" t="n"/>
      <c r="V2771" s="14" t="n"/>
      <c r="W2771" s="14" t="n"/>
      <c r="X2771" s="7" t="inlineStr"/>
      <c r="Y2771" s="7" t="inlineStr"/>
    </row>
    <row r="2772">
      <c r="A2772" s="7" t="n">
        <v>629951</v>
      </c>
      <c r="B2772" s="12" t="inlineStr">
        <is>
          <t>7896699029575</t>
        </is>
      </c>
      <c r="C2772" s="7" t="inlineStr">
        <is>
          <t>LOLLY CHUP CL SIL O T2 BL 5115-01-ROSA</t>
        </is>
      </c>
      <c r="D2772" s="7" t="inlineStr">
        <is>
          <t>BABY/KIDS</t>
        </is>
      </c>
      <c r="E2772" s="7" t="inlineStr">
        <is>
          <t>B</t>
        </is>
      </c>
      <c r="F2772" s="13" t="n">
        <v>6</v>
      </c>
      <c r="G2772" s="13" t="n">
        <v>6</v>
      </c>
      <c r="H2772" s="8" t="n">
        <v>6.95</v>
      </c>
      <c r="I2772" s="8" t="n">
        <v>6.95</v>
      </c>
      <c r="J2772" s="8" t="n">
        <v>6.95</v>
      </c>
      <c r="K2772" s="8" t="n"/>
      <c r="L2772" s="8" t="n"/>
      <c r="M2772" s="8" t="n"/>
      <c r="N2772" s="8" t="n"/>
      <c r="O2772" s="8" t="n"/>
      <c r="P2772" s="8" t="n"/>
      <c r="Q2772" s="8" t="n"/>
      <c r="R2772" s="8" t="n"/>
      <c r="S2772" s="8" t="n"/>
      <c r="T2772" s="7" t="inlineStr">
        <is>
          <t>SEM COTAÇÃO</t>
        </is>
      </c>
      <c r="U2772" s="8" t="n"/>
      <c r="V2772" s="14" t="n"/>
      <c r="W2772" s="14" t="n"/>
      <c r="X2772" s="7" t="inlineStr"/>
      <c r="Y2772" s="7" t="inlineStr"/>
    </row>
    <row r="2773">
      <c r="A2773" s="7" t="n">
        <v>629861</v>
      </c>
      <c r="B2773" s="12" t="inlineStr">
        <is>
          <t>7896699015714</t>
        </is>
      </c>
      <c r="C2773" s="7" t="inlineStr">
        <is>
          <t>LOLLY KIT CAB TIP C/2UN BL 7050-01-ROSA</t>
        </is>
      </c>
      <c r="D2773" s="7" t="inlineStr">
        <is>
          <t>BABY/KIDS</t>
        </is>
      </c>
      <c r="E2773" s="7" t="inlineStr">
        <is>
          <t>B</t>
        </is>
      </c>
      <c r="F2773" s="13" t="n">
        <v>2</v>
      </c>
      <c r="G2773" s="13" t="n">
        <v>2</v>
      </c>
      <c r="H2773" s="8" t="n">
        <v>13.6</v>
      </c>
      <c r="I2773" s="8" t="n">
        <v>13.6</v>
      </c>
      <c r="J2773" s="8" t="n">
        <v>13.6</v>
      </c>
      <c r="K2773" s="8" t="n"/>
      <c r="L2773" s="8" t="n"/>
      <c r="M2773" s="8" t="n"/>
      <c r="N2773" s="8" t="n"/>
      <c r="O2773" s="8" t="n"/>
      <c r="P2773" s="8" t="n"/>
      <c r="Q2773" s="8" t="n"/>
      <c r="R2773" s="8" t="n"/>
      <c r="S2773" s="8" t="n"/>
      <c r="T2773" s="7" t="inlineStr">
        <is>
          <t>SEM COTAÇÃO</t>
        </is>
      </c>
      <c r="U2773" s="8" t="n"/>
      <c r="V2773" s="14" t="n"/>
      <c r="W2773" s="14" t="n"/>
      <c r="X2773" s="7" t="inlineStr"/>
      <c r="Y2773" s="7" t="inlineStr"/>
    </row>
    <row r="2774">
      <c r="A2774" s="7" t="n">
        <v>629811</v>
      </c>
      <c r="B2774" s="12" t="inlineStr">
        <is>
          <t>7896699025423</t>
        </is>
      </c>
      <c r="C2774" s="7" t="inlineStr">
        <is>
          <t>LOLLY MAM CLEAN 250ML R 2660-01-AZUL</t>
        </is>
      </c>
      <c r="D2774" s="7" t="inlineStr">
        <is>
          <t>BABY/KIDS</t>
        </is>
      </c>
      <c r="E2774" s="7" t="inlineStr">
        <is>
          <t>B</t>
        </is>
      </c>
      <c r="F2774" s="13" t="n">
        <v>3</v>
      </c>
      <c r="G2774" s="13" t="n">
        <v>3</v>
      </c>
      <c r="H2774" s="8" t="n">
        <v>9.83</v>
      </c>
      <c r="I2774" s="8" t="n">
        <v>9.83</v>
      </c>
      <c r="J2774" s="8" t="n">
        <v>9.83</v>
      </c>
      <c r="K2774" s="8" t="n"/>
      <c r="L2774" s="8" t="n"/>
      <c r="M2774" s="8" t="n"/>
      <c r="N2774" s="8" t="n"/>
      <c r="O2774" s="8" t="n"/>
      <c r="P2774" s="8" t="n"/>
      <c r="Q2774" s="8" t="n"/>
      <c r="R2774" s="8" t="n"/>
      <c r="S2774" s="8" t="n"/>
      <c r="T2774" s="7" t="inlineStr">
        <is>
          <t>SEM COTAÇÃO</t>
        </is>
      </c>
      <c r="U2774" s="8" t="n"/>
      <c r="V2774" s="14" t="n"/>
      <c r="W2774" s="14" t="n"/>
      <c r="X2774" s="7" t="inlineStr"/>
      <c r="Y2774" s="7" t="inlineStr"/>
    </row>
    <row r="2775">
      <c r="A2775" s="7" t="n">
        <v>629821</v>
      </c>
      <c r="B2775" s="12" t="inlineStr">
        <is>
          <t>7896699025447</t>
        </is>
      </c>
      <c r="C2775" s="7" t="inlineStr">
        <is>
          <t>LOLLY MAM CLEAN 250ML SIL R 2660-01ROSA</t>
        </is>
      </c>
      <c r="D2775" s="7" t="inlineStr">
        <is>
          <t>BABY/KIDS</t>
        </is>
      </c>
      <c r="E2775" s="7" t="inlineStr">
        <is>
          <t>C</t>
        </is>
      </c>
      <c r="F2775" s="13" t="n">
        <v>4</v>
      </c>
      <c r="G2775" s="13" t="n">
        <v>4</v>
      </c>
      <c r="H2775" s="8" t="n">
        <v>10.08</v>
      </c>
      <c r="I2775" s="8" t="n">
        <v>9.31</v>
      </c>
      <c r="J2775" s="8" t="n">
        <v>9.31</v>
      </c>
      <c r="K2775" s="8" t="n"/>
      <c r="L2775" s="8" t="n"/>
      <c r="M2775" s="8" t="n"/>
      <c r="N2775" s="8" t="n"/>
      <c r="O2775" s="8" t="n"/>
      <c r="P2775" s="8" t="n"/>
      <c r="Q2775" s="8" t="n"/>
      <c r="R2775" s="8" t="n"/>
      <c r="S2775" s="8" t="n"/>
      <c r="T2775" s="7" t="inlineStr">
        <is>
          <t>SEM COTAÇÃO</t>
        </is>
      </c>
      <c r="U2775" s="8" t="n"/>
      <c r="V2775" s="14" t="n"/>
      <c r="W2775" s="14" t="n"/>
      <c r="X2775" s="7" t="inlineStr"/>
      <c r="Y2775" s="7" t="inlineStr"/>
    </row>
    <row r="2776">
      <c r="A2776" s="7" t="n">
        <v>554</v>
      </c>
      <c r="B2776" s="12" t="inlineStr">
        <is>
          <t>7896699013147</t>
        </is>
      </c>
      <c r="C2776" s="7" t="inlineStr">
        <is>
          <t>LOLLY NENNY 3+ AZUL</t>
        </is>
      </c>
      <c r="D2776" s="7" t="inlineStr">
        <is>
          <t>BABY/KIDS</t>
        </is>
      </c>
      <c r="E2776" s="7" t="inlineStr">
        <is>
          <t>C</t>
        </is>
      </c>
      <c r="F2776" s="13" t="n">
        <v>1</v>
      </c>
      <c r="G2776" s="13" t="n">
        <v>1</v>
      </c>
      <c r="H2776" s="8" t="n"/>
      <c r="I2776" s="8" t="n"/>
      <c r="J2776" s="8" t="n"/>
      <c r="K2776" s="8" t="n"/>
      <c r="L2776" s="8" t="n"/>
      <c r="M2776" s="8" t="n"/>
      <c r="N2776" s="8" t="n"/>
      <c r="O2776" s="8" t="n"/>
      <c r="P2776" s="8" t="n"/>
      <c r="Q2776" s="8" t="n"/>
      <c r="R2776" s="8" t="n"/>
      <c r="S2776" s="8" t="n"/>
      <c r="T2776" s="7" t="inlineStr">
        <is>
          <t>SEM COTAÇÃO</t>
        </is>
      </c>
      <c r="U2776" s="8" t="n"/>
      <c r="V2776" s="14" t="n"/>
      <c r="W2776" s="14" t="n"/>
      <c r="X2776" s="7" t="inlineStr"/>
      <c r="Y2776" s="7" t="inlineStr"/>
    </row>
    <row r="2777">
      <c r="A2777" s="7" t="n">
        <v>62761</v>
      </c>
      <c r="B2777" s="12" t="inlineStr">
        <is>
          <t>7896637023443</t>
        </is>
      </c>
      <c r="C2777" s="7" t="inlineStr">
        <is>
          <t>LONIUM 40MG CX 30 COMP REV</t>
        </is>
      </c>
      <c r="D2777" s="7" t="inlineStr">
        <is>
          <t>RX</t>
        </is>
      </c>
      <c r="E2777" s="7" t="inlineStr">
        <is>
          <t>C</t>
        </is>
      </c>
      <c r="F2777" s="13" t="n">
        <v>1</v>
      </c>
      <c r="G2777" s="13" t="n">
        <v>1</v>
      </c>
      <c r="H2777" s="8" t="n">
        <v>59.94</v>
      </c>
      <c r="I2777" s="8" t="n">
        <v>59.94</v>
      </c>
      <c r="J2777" s="8" t="n">
        <v>59.94</v>
      </c>
      <c r="K2777" s="8" t="n"/>
      <c r="L2777" s="8" t="n"/>
      <c r="M2777" s="8" t="n"/>
      <c r="N2777" s="8" t="n"/>
      <c r="O2777" s="8" t="n"/>
      <c r="P2777" s="8" t="n"/>
      <c r="Q2777" s="8" t="n"/>
      <c r="R2777" s="8" t="n"/>
      <c r="S2777" s="8" t="n"/>
      <c r="T2777" s="7" t="inlineStr">
        <is>
          <t>SEM COTAÇÃO</t>
        </is>
      </c>
      <c r="U2777" s="8" t="n"/>
      <c r="V2777" s="14" t="n"/>
      <c r="W2777" s="14" t="n"/>
      <c r="X2777" s="7" t="inlineStr"/>
      <c r="Y2777" s="7" t="inlineStr"/>
    </row>
    <row r="2778">
      <c r="A2778" s="7" t="n">
        <v>616271</v>
      </c>
      <c r="B2778" s="12" t="inlineStr">
        <is>
          <t>7894164010301</t>
        </is>
      </c>
      <c r="C2778" s="7" t="inlineStr">
        <is>
          <t>LORATADINA 1MG/ML 100ML XPE UN</t>
        </is>
      </c>
      <c r="D2778" s="7" t="inlineStr">
        <is>
          <t>GENERICO</t>
        </is>
      </c>
      <c r="E2778" s="7" t="inlineStr">
        <is>
          <t>C</t>
        </is>
      </c>
      <c r="F2778" s="13" t="n">
        <v>4</v>
      </c>
      <c r="G2778" s="13" t="n">
        <v>4</v>
      </c>
      <c r="H2778" s="8" t="n">
        <v>5.65</v>
      </c>
      <c r="I2778" s="8" t="n">
        <v>5.65</v>
      </c>
      <c r="J2778" s="8" t="n">
        <v>5.650000000000001</v>
      </c>
      <c r="K2778" s="8" t="n">
        <v>5.93</v>
      </c>
      <c r="L2778" s="8" t="n"/>
      <c r="M2778" s="8" t="n"/>
      <c r="N2778" s="8" t="n">
        <v>6</v>
      </c>
      <c r="O2778" s="8" t="n"/>
      <c r="P2778" s="8" t="n"/>
      <c r="Q2778" s="8" t="n">
        <v>6.42</v>
      </c>
      <c r="R2778" s="15" t="n">
        <v>5.66</v>
      </c>
      <c r="S2778" s="8" t="n"/>
      <c r="T2778" s="7" t="inlineStr">
        <is>
          <t>BRASFARMA</t>
        </is>
      </c>
      <c r="U2778" s="8" t="n">
        <v>5.66</v>
      </c>
      <c r="V2778" s="14">
        <f>U2778/J2778-1</f>
        <v/>
      </c>
      <c r="W2778" s="14">
        <f>U2778/H2778-1</f>
        <v/>
      </c>
      <c r="X2778" s="16" t="inlineStr">
        <is>
          <t>ACIMA +0.2%</t>
        </is>
      </c>
      <c r="Y2778" s="7" t="inlineStr"/>
    </row>
    <row r="2779">
      <c r="A2779" s="7" t="n">
        <v>325001</v>
      </c>
      <c r="B2779" s="12" t="inlineStr"/>
      <c r="C2779" s="7" t="inlineStr">
        <is>
          <t>LORATADINA 1MG/ML XPE FR 100ML</t>
        </is>
      </c>
      <c r="D2779" s="7" t="inlineStr">
        <is>
          <t>GENERICO</t>
        </is>
      </c>
      <c r="E2779" s="7" t="inlineStr">
        <is>
          <t>A</t>
        </is>
      </c>
      <c r="F2779" s="13" t="n">
        <v>8</v>
      </c>
      <c r="G2779" s="13" t="n">
        <v>8</v>
      </c>
      <c r="H2779" s="8" t="n">
        <v>4.58</v>
      </c>
      <c r="I2779" s="8" t="n">
        <v>4.58</v>
      </c>
      <c r="J2779" s="8" t="n">
        <v>4.58</v>
      </c>
      <c r="K2779" s="8" t="n"/>
      <c r="L2779" s="8" t="n"/>
      <c r="M2779" s="8" t="n"/>
      <c r="N2779" s="8" t="n"/>
      <c r="O2779" s="8" t="n"/>
      <c r="P2779" s="8" t="n"/>
      <c r="Q2779" s="8" t="n"/>
      <c r="R2779" s="8" t="n"/>
      <c r="S2779" s="8" t="n"/>
      <c r="T2779" s="7" t="inlineStr">
        <is>
          <t>SEM COTAÇÃO</t>
        </is>
      </c>
      <c r="U2779" s="8" t="n"/>
      <c r="V2779" s="14" t="n"/>
      <c r="W2779" s="14" t="n"/>
      <c r="X2779" s="7" t="inlineStr"/>
      <c r="Y2779" s="7" t="inlineStr"/>
    </row>
    <row r="2780">
      <c r="A2780" s="7" t="n">
        <v>324761</v>
      </c>
      <c r="B2780" s="12" t="inlineStr">
        <is>
          <t>7896523202822</t>
        </is>
      </c>
      <c r="C2780" s="7" t="inlineStr">
        <is>
          <t>LORATAMED 10MG CX 12 COMP</t>
        </is>
      </c>
      <c r="D2780" s="7" t="inlineStr">
        <is>
          <t>SIMILAR</t>
        </is>
      </c>
      <c r="E2780" s="7" t="inlineStr">
        <is>
          <t>A</t>
        </is>
      </c>
      <c r="F2780" s="13" t="n">
        <v>42</v>
      </c>
      <c r="G2780" s="13" t="n">
        <v>42</v>
      </c>
      <c r="H2780" s="8" t="n">
        <v>1.69</v>
      </c>
      <c r="I2780" s="8" t="n">
        <v>1.49</v>
      </c>
      <c r="J2780" s="8" t="n">
        <v>1.556666666666667</v>
      </c>
      <c r="K2780" s="15" t="n">
        <v>1.76</v>
      </c>
      <c r="L2780" s="8" t="n"/>
      <c r="M2780" s="8" t="n"/>
      <c r="N2780" s="8" t="n"/>
      <c r="O2780" s="8" t="n"/>
      <c r="P2780" s="8" t="n">
        <v>11.56</v>
      </c>
      <c r="Q2780" s="8" t="n"/>
      <c r="R2780" s="8" t="n"/>
      <c r="S2780" s="8" t="n"/>
      <c r="T2780" s="7" t="inlineStr">
        <is>
          <t>DIMEC</t>
        </is>
      </c>
      <c r="U2780" s="8" t="n">
        <v>1.76</v>
      </c>
      <c r="V2780" s="14">
        <f>U2780/J2780-1</f>
        <v/>
      </c>
      <c r="W2780" s="14">
        <f>U2780/H2780-1</f>
        <v/>
      </c>
      <c r="X2780" s="16" t="inlineStr">
        <is>
          <t>ACIMA +4.1%</t>
        </is>
      </c>
      <c r="Y2780" s="7" t="inlineStr">
        <is>
          <t>NAZARIA: conferir emb.</t>
        </is>
      </c>
    </row>
    <row r="2781">
      <c r="A2781" s="7" t="n">
        <v>327401</v>
      </c>
      <c r="B2781" s="12" t="inlineStr"/>
      <c r="C2781" s="7" t="inlineStr">
        <is>
          <t>LOSARTANA POTASSICA 50MG CX 30 COMP</t>
        </is>
      </c>
      <c r="D2781" s="7" t="inlineStr">
        <is>
          <t>GENERICO</t>
        </is>
      </c>
      <c r="E2781" s="7" t="inlineStr">
        <is>
          <t>C</t>
        </is>
      </c>
      <c r="F2781" s="13" t="n">
        <v>3</v>
      </c>
      <c r="G2781" s="13" t="n">
        <v>3</v>
      </c>
      <c r="H2781" s="8" t="n">
        <v>2.0479</v>
      </c>
      <c r="I2781" s="8" t="n">
        <v>0.8093</v>
      </c>
      <c r="J2781" s="8" t="n">
        <v>1.635033333333333</v>
      </c>
      <c r="K2781" s="8" t="n"/>
      <c r="L2781" s="8" t="n"/>
      <c r="M2781" s="8" t="n"/>
      <c r="N2781" s="8" t="n"/>
      <c r="O2781" s="8" t="n"/>
      <c r="P2781" s="8" t="n"/>
      <c r="Q2781" s="8" t="n"/>
      <c r="R2781" s="8" t="n"/>
      <c r="S2781" s="8" t="n"/>
      <c r="T2781" s="7" t="inlineStr">
        <is>
          <t>SEM COTAÇÃO</t>
        </is>
      </c>
      <c r="U2781" s="8" t="n"/>
      <c r="V2781" s="14" t="n"/>
      <c r="W2781" s="14" t="n"/>
      <c r="X2781" s="7" t="inlineStr"/>
      <c r="Y2781" s="7" t="inlineStr"/>
    </row>
    <row r="2782">
      <c r="A2782" s="7" t="n">
        <v>668941</v>
      </c>
      <c r="B2782" s="12" t="inlineStr">
        <is>
          <t>7896004785769</t>
        </is>
      </c>
      <c r="C2782" s="7" t="inlineStr">
        <is>
          <t>LOZEPREL 40MG CX 28 CAP</t>
        </is>
      </c>
      <c r="D2782" s="7" t="inlineStr">
        <is>
          <t>SIMILAR</t>
        </is>
      </c>
      <c r="E2782" s="7" t="inlineStr">
        <is>
          <t>C</t>
        </is>
      </c>
      <c r="F2782" s="13" t="n">
        <v>9</v>
      </c>
      <c r="G2782" s="13" t="n">
        <v>9</v>
      </c>
      <c r="H2782" s="8" t="n">
        <v>9.9</v>
      </c>
      <c r="I2782" s="8" t="n">
        <v>9.9</v>
      </c>
      <c r="J2782" s="8" t="n">
        <v>9.9</v>
      </c>
      <c r="K2782" s="15" t="n">
        <v>9.07</v>
      </c>
      <c r="L2782" s="8" t="n"/>
      <c r="M2782" s="8" t="n"/>
      <c r="N2782" s="8" t="n"/>
      <c r="O2782" s="8" t="n"/>
      <c r="P2782" s="8" t="n"/>
      <c r="Q2782" s="8" t="n"/>
      <c r="R2782" s="8" t="n"/>
      <c r="S2782" s="8" t="n"/>
      <c r="T2782" s="7" t="inlineStr">
        <is>
          <t>DIMEC</t>
        </is>
      </c>
      <c r="U2782" s="8" t="n">
        <v>9.07</v>
      </c>
      <c r="V2782" s="14">
        <f>U2782/J2782-1</f>
        <v/>
      </c>
      <c r="W2782" s="14">
        <f>U2782/H2782-1</f>
        <v/>
      </c>
      <c r="X2782" s="17" t="inlineStr">
        <is>
          <t>OK (≤ menor hist.)</t>
        </is>
      </c>
      <c r="Y2782" s="7" t="inlineStr"/>
    </row>
    <row r="2783">
      <c r="A2783" s="7" t="n">
        <v>558921</v>
      </c>
      <c r="B2783" s="12" t="inlineStr">
        <is>
          <t>7898556850513</t>
        </is>
      </c>
      <c r="C2783" s="7" t="inlineStr">
        <is>
          <t>LUBRIFICANTE GEL RILEX MENTA 100G</t>
        </is>
      </c>
      <c r="D2783" s="7" t="inlineStr">
        <is>
          <t>PERF/COSME</t>
        </is>
      </c>
      <c r="E2783" s="7" t="inlineStr">
        <is>
          <t>C</t>
        </is>
      </c>
      <c r="F2783" s="13" t="n">
        <v>1</v>
      </c>
      <c r="G2783" s="13" t="n">
        <v>1</v>
      </c>
      <c r="H2783" s="8" t="n">
        <v>15.27</v>
      </c>
      <c r="I2783" s="8" t="n">
        <v>15.27</v>
      </c>
      <c r="J2783" s="8" t="n">
        <v>15.27</v>
      </c>
      <c r="K2783" s="15" t="n">
        <v>15.34</v>
      </c>
      <c r="L2783" s="8" t="n"/>
      <c r="M2783" s="8" t="n"/>
      <c r="N2783" s="8" t="n">
        <v>16.27</v>
      </c>
      <c r="O2783" s="8" t="n"/>
      <c r="P2783" s="8" t="n"/>
      <c r="Q2783" s="8" t="n">
        <v>18.21</v>
      </c>
      <c r="R2783" s="8" t="n"/>
      <c r="S2783" s="8" t="n"/>
      <c r="T2783" s="7" t="inlineStr">
        <is>
          <t>DIMEC</t>
        </is>
      </c>
      <c r="U2783" s="8" t="n">
        <v>15.34</v>
      </c>
      <c r="V2783" s="14">
        <f>U2783/J2783-1</f>
        <v/>
      </c>
      <c r="W2783" s="14">
        <f>U2783/H2783-1</f>
        <v/>
      </c>
      <c r="X2783" s="16" t="inlineStr">
        <is>
          <t>ACIMA +0.5%</t>
        </is>
      </c>
      <c r="Y2783" s="7" t="inlineStr"/>
    </row>
    <row r="2784">
      <c r="A2784" s="7" t="n">
        <v>557121</v>
      </c>
      <c r="B2784" s="12" t="inlineStr">
        <is>
          <t>7896523200026</t>
        </is>
      </c>
      <c r="C2784" s="7" t="inlineStr">
        <is>
          <t>LUBRIFIK LUBRIFICANTE INTIMO GEL BG 50G</t>
        </is>
      </c>
      <c r="D2784" s="7" t="inlineStr">
        <is>
          <t>PRESERVATIVOS</t>
        </is>
      </c>
      <c r="E2784" s="7" t="inlineStr">
        <is>
          <t>A</t>
        </is>
      </c>
      <c r="F2784" s="13" t="n">
        <v>17</v>
      </c>
      <c r="G2784" s="13" t="n">
        <v>17</v>
      </c>
      <c r="H2784" s="8" t="n">
        <v>4.32</v>
      </c>
      <c r="I2784" s="8" t="n">
        <v>4.32</v>
      </c>
      <c r="J2784" s="8" t="n">
        <v>4.32</v>
      </c>
      <c r="K2784" s="15" t="n">
        <v>4.32</v>
      </c>
      <c r="L2784" s="8" t="n"/>
      <c r="M2784" s="8" t="n"/>
      <c r="N2784" s="8" t="n"/>
      <c r="O2784" s="8" t="n"/>
      <c r="P2784" s="8" t="n"/>
      <c r="Q2784" s="8" t="n"/>
      <c r="R2784" s="8" t="n"/>
      <c r="S2784" s="8" t="n"/>
      <c r="T2784" s="7" t="inlineStr">
        <is>
          <t>DIMEC</t>
        </is>
      </c>
      <c r="U2784" s="8" t="n">
        <v>4.32</v>
      </c>
      <c r="V2784" s="14">
        <f>U2784/J2784-1</f>
        <v/>
      </c>
      <c r="W2784" s="14">
        <f>U2784/H2784-1</f>
        <v/>
      </c>
      <c r="X2784" s="17" t="inlineStr">
        <is>
          <t>OK (≤ menor hist.)</t>
        </is>
      </c>
      <c r="Y2784" s="7" t="inlineStr"/>
    </row>
    <row r="2785">
      <c r="A2785" s="7" t="n">
        <v>672491</v>
      </c>
      <c r="B2785" s="12" t="inlineStr">
        <is>
          <t>7898416830518</t>
        </is>
      </c>
      <c r="C2785" s="7" t="inlineStr">
        <is>
          <t>LUCCAS NETO CCP 250ML CACHEADOS</t>
        </is>
      </c>
      <c r="D2785" s="7" t="inlineStr">
        <is>
          <t>BABY/KIDS</t>
        </is>
      </c>
      <c r="E2785" s="7" t="inlineStr">
        <is>
          <t>C</t>
        </is>
      </c>
      <c r="F2785" s="13" t="n">
        <v>1</v>
      </c>
      <c r="G2785" s="13" t="n">
        <v>1</v>
      </c>
      <c r="H2785" s="8" t="n"/>
      <c r="I2785" s="8" t="n"/>
      <c r="J2785" s="8" t="n"/>
      <c r="K2785" s="8" t="n"/>
      <c r="L2785" s="8" t="n"/>
      <c r="M2785" s="8" t="n"/>
      <c r="N2785" s="8" t="n"/>
      <c r="O2785" s="8" t="n"/>
      <c r="P2785" s="8" t="n"/>
      <c r="Q2785" s="8" t="n"/>
      <c r="R2785" s="8" t="n"/>
      <c r="S2785" s="8" t="n"/>
      <c r="T2785" s="7" t="inlineStr">
        <is>
          <t>SEM COTAÇÃO</t>
        </is>
      </c>
      <c r="U2785" s="8" t="n"/>
      <c r="V2785" s="14" t="n"/>
      <c r="W2785" s="14" t="n"/>
      <c r="X2785" s="7" t="inlineStr"/>
      <c r="Y2785" s="7" t="inlineStr"/>
    </row>
    <row r="2786">
      <c r="A2786" s="7" t="n">
        <v>672501</v>
      </c>
      <c r="B2786" s="12" t="inlineStr">
        <is>
          <t>7898416830495</t>
        </is>
      </c>
      <c r="C2786" s="7" t="inlineStr">
        <is>
          <t>LUCCAS NETO CO 260MLCACHEADOS</t>
        </is>
      </c>
      <c r="D2786" s="7" t="inlineStr">
        <is>
          <t>BABY/KIDS</t>
        </is>
      </c>
      <c r="E2786" s="7" t="inlineStr">
        <is>
          <t>C</t>
        </is>
      </c>
      <c r="F2786" s="13" t="n">
        <v>1</v>
      </c>
      <c r="G2786" s="13" t="n">
        <v>1</v>
      </c>
      <c r="H2786" s="8" t="n"/>
      <c r="I2786" s="8" t="n"/>
      <c r="J2786" s="8" t="n"/>
      <c r="K2786" s="8" t="n"/>
      <c r="L2786" s="8" t="n"/>
      <c r="M2786" s="8" t="n"/>
      <c r="N2786" s="8" t="n"/>
      <c r="O2786" s="8" t="n"/>
      <c r="P2786" s="8" t="n"/>
      <c r="Q2786" s="8" t="n"/>
      <c r="R2786" s="8" t="n"/>
      <c r="S2786" s="8" t="n"/>
      <c r="T2786" s="7" t="inlineStr">
        <is>
          <t>SEM COTAÇÃO</t>
        </is>
      </c>
      <c r="U2786" s="8" t="n"/>
      <c r="V2786" s="14" t="n"/>
      <c r="W2786" s="14" t="n"/>
      <c r="X2786" s="7" t="inlineStr"/>
      <c r="Y2786" s="7" t="inlineStr"/>
    </row>
    <row r="2787">
      <c r="A2787" s="7" t="n">
        <v>672481</v>
      </c>
      <c r="B2787" s="12" t="inlineStr">
        <is>
          <t>7898416830464</t>
        </is>
      </c>
      <c r="C2787" s="7" t="inlineStr">
        <is>
          <t>LUCCAS NETO SH 260ML CACHEADOS E OND</t>
        </is>
      </c>
      <c r="D2787" s="7" t="inlineStr">
        <is>
          <t>BABY/KIDS</t>
        </is>
      </c>
      <c r="E2787" s="7" t="inlineStr">
        <is>
          <t>C</t>
        </is>
      </c>
      <c r="F2787" s="13" t="n">
        <v>1</v>
      </c>
      <c r="G2787" s="13" t="n">
        <v>1</v>
      </c>
      <c r="H2787" s="8" t="n"/>
      <c r="I2787" s="8" t="n"/>
      <c r="J2787" s="8" t="n"/>
      <c r="K2787" s="8" t="n"/>
      <c r="L2787" s="8" t="n"/>
      <c r="M2787" s="8" t="n"/>
      <c r="N2787" s="8" t="n"/>
      <c r="O2787" s="8" t="n"/>
      <c r="P2787" s="8" t="n"/>
      <c r="Q2787" s="8" t="n"/>
      <c r="R2787" s="8" t="n"/>
      <c r="S2787" s="8" t="n"/>
      <c r="T2787" s="7" t="inlineStr">
        <is>
          <t>SEM COTAÇÃO</t>
        </is>
      </c>
      <c r="U2787" s="8" t="n"/>
      <c r="V2787" s="14" t="n"/>
      <c r="W2787" s="14" t="n"/>
      <c r="X2787" s="7" t="inlineStr"/>
      <c r="Y2787" s="7" t="inlineStr"/>
    </row>
    <row r="2788">
      <c r="A2788" s="7" t="n">
        <v>284241</v>
      </c>
      <c r="B2788" s="12" t="inlineStr">
        <is>
          <t>7896676435658</t>
        </is>
      </c>
      <c r="C2788" s="7" t="inlineStr">
        <is>
          <t>LUNAH 1MG /ML SOL OFT FR GOT 10ML</t>
        </is>
      </c>
      <c r="D2788" s="7" t="inlineStr">
        <is>
          <t>RX - OTC</t>
        </is>
      </c>
      <c r="E2788" s="7" t="inlineStr">
        <is>
          <t>A</t>
        </is>
      </c>
      <c r="F2788" s="13" t="n">
        <v>4</v>
      </c>
      <c r="G2788" s="13" t="n">
        <v>4</v>
      </c>
      <c r="H2788" s="8" t="n">
        <v>42.72</v>
      </c>
      <c r="I2788" s="8" t="n">
        <v>38.0767</v>
      </c>
      <c r="J2788" s="8" t="n">
        <v>39.66223333333333</v>
      </c>
      <c r="K2788" s="8" t="n"/>
      <c r="L2788" s="8" t="n"/>
      <c r="M2788" s="8" t="n">
        <v>42.72</v>
      </c>
      <c r="N2788" s="8" t="n"/>
      <c r="O2788" s="15" t="n">
        <v>40.67</v>
      </c>
      <c r="P2788" s="8" t="n">
        <v>43.27</v>
      </c>
      <c r="Q2788" s="8" t="n"/>
      <c r="R2788" s="8" t="n"/>
      <c r="S2788" s="8" t="n"/>
      <c r="T2788" s="7" t="inlineStr">
        <is>
          <t>TAPAJOS</t>
        </is>
      </c>
      <c r="U2788" s="8" t="n">
        <v>40.67</v>
      </c>
      <c r="V2788" s="14">
        <f>U2788/J2788-1</f>
        <v/>
      </c>
      <c r="W2788" s="14">
        <f>U2788/H2788-1</f>
        <v/>
      </c>
      <c r="X2788" s="17" t="inlineStr">
        <is>
          <t>OK (≤ últ. compra)</t>
        </is>
      </c>
      <c r="Y2788" s="7" t="inlineStr"/>
    </row>
    <row r="2789">
      <c r="A2789" s="7" t="n">
        <v>643801</v>
      </c>
      <c r="B2789" s="12" t="inlineStr">
        <is>
          <t>7898538970192</t>
        </is>
      </c>
      <c r="C2789" s="7" t="inlineStr">
        <is>
          <t>LUVA CIRURGICA 6.5 ESTERIL COM PO</t>
        </is>
      </c>
      <c r="D2789" s="7" t="inlineStr">
        <is>
          <t>UTENSILIOS</t>
        </is>
      </c>
      <c r="E2789" s="7" t="inlineStr">
        <is>
          <t>C</t>
        </is>
      </c>
      <c r="F2789" s="13" t="n">
        <v>1</v>
      </c>
      <c r="G2789" s="13" t="n">
        <v>1</v>
      </c>
      <c r="H2789" s="8" t="n">
        <v>1.7</v>
      </c>
      <c r="I2789" s="8" t="n">
        <v>1.7</v>
      </c>
      <c r="J2789" s="8" t="n">
        <v>1.7</v>
      </c>
      <c r="K2789" s="8" t="n"/>
      <c r="L2789" s="8" t="n"/>
      <c r="M2789" s="8" t="n"/>
      <c r="N2789" s="8" t="n"/>
      <c r="O2789" s="8" t="n"/>
      <c r="P2789" s="8" t="n"/>
      <c r="Q2789" s="8" t="n"/>
      <c r="R2789" s="8" t="n"/>
      <c r="S2789" s="8" t="n"/>
      <c r="T2789" s="7" t="inlineStr">
        <is>
          <t>SEM COTAÇÃO</t>
        </is>
      </c>
      <c r="U2789" s="8" t="n"/>
      <c r="V2789" s="14" t="n"/>
      <c r="W2789" s="14" t="n"/>
      <c r="X2789" s="7" t="inlineStr"/>
      <c r="Y2789" s="7" t="inlineStr"/>
    </row>
    <row r="2790">
      <c r="A2790" s="7" t="n">
        <v>4143</v>
      </c>
      <c r="B2790" s="12" t="inlineStr">
        <is>
          <t>7898947170176</t>
        </is>
      </c>
      <c r="C2790" s="7" t="inlineStr">
        <is>
          <t>LUVA CIRURGICA 7,0 ESTERIL COM PO</t>
        </is>
      </c>
      <c r="D2790" s="7" t="inlineStr">
        <is>
          <t>CURATIVO</t>
        </is>
      </c>
      <c r="E2790" s="7" t="inlineStr">
        <is>
          <t>C</t>
        </is>
      </c>
      <c r="F2790" s="13" t="n">
        <v>2</v>
      </c>
      <c r="G2790" s="13" t="n">
        <v>2</v>
      </c>
      <c r="H2790" s="8" t="n">
        <v>1.76</v>
      </c>
      <c r="I2790" s="8" t="n">
        <v>1.76</v>
      </c>
      <c r="J2790" s="8" t="n">
        <v>1.76</v>
      </c>
      <c r="K2790" s="15" t="n">
        <v>1.76</v>
      </c>
      <c r="L2790" s="8" t="n"/>
      <c r="M2790" s="8" t="n"/>
      <c r="N2790" s="8" t="n"/>
      <c r="O2790" s="8" t="n"/>
      <c r="P2790" s="8" t="n"/>
      <c r="Q2790" s="8" t="n"/>
      <c r="R2790" s="8" t="n"/>
      <c r="S2790" s="8" t="n"/>
      <c r="T2790" s="7" t="inlineStr">
        <is>
          <t>DIMEC</t>
        </is>
      </c>
      <c r="U2790" s="8" t="n">
        <v>1.76</v>
      </c>
      <c r="V2790" s="14">
        <f>U2790/J2790-1</f>
        <v/>
      </c>
      <c r="W2790" s="14">
        <f>U2790/H2790-1</f>
        <v/>
      </c>
      <c r="X2790" s="17" t="inlineStr">
        <is>
          <t>OK (≤ menor hist.)</t>
        </is>
      </c>
      <c r="Y2790" s="7" t="inlineStr"/>
    </row>
    <row r="2791">
      <c r="A2791" s="7" t="n">
        <v>4153</v>
      </c>
      <c r="B2791" s="12" t="inlineStr">
        <is>
          <t>7898947170190</t>
        </is>
      </c>
      <c r="C2791" s="7" t="inlineStr">
        <is>
          <t>LUVA CIRURGICA 8,0 ESTERIL COM PO</t>
        </is>
      </c>
      <c r="D2791" s="7" t="inlineStr">
        <is>
          <t>CURATIVO</t>
        </is>
      </c>
      <c r="E2791" s="7" t="inlineStr">
        <is>
          <t>C</t>
        </is>
      </c>
      <c r="F2791" s="13" t="n">
        <v>2</v>
      </c>
      <c r="G2791" s="13" t="n">
        <v>2</v>
      </c>
      <c r="H2791" s="8" t="n">
        <v>1.74</v>
      </c>
      <c r="I2791" s="8" t="n">
        <v>1.74</v>
      </c>
      <c r="J2791" s="8" t="n">
        <v>1.74</v>
      </c>
      <c r="K2791" s="15" t="n">
        <v>1.74</v>
      </c>
      <c r="L2791" s="8" t="n"/>
      <c r="M2791" s="8" t="n"/>
      <c r="N2791" s="8" t="n"/>
      <c r="O2791" s="8" t="n"/>
      <c r="P2791" s="8" t="n"/>
      <c r="Q2791" s="8" t="n"/>
      <c r="R2791" s="8" t="n"/>
      <c r="S2791" s="8" t="n"/>
      <c r="T2791" s="7" t="inlineStr">
        <is>
          <t>DIMEC</t>
        </is>
      </c>
      <c r="U2791" s="8" t="n">
        <v>1.74</v>
      </c>
      <c r="V2791" s="14">
        <f>U2791/J2791-1</f>
        <v/>
      </c>
      <c r="W2791" s="14">
        <f>U2791/H2791-1</f>
        <v/>
      </c>
      <c r="X2791" s="17" t="inlineStr">
        <is>
          <t>OK (≤ menor hist.)</t>
        </is>
      </c>
      <c r="Y2791" s="7" t="inlineStr"/>
    </row>
    <row r="2792">
      <c r="A2792" s="7" t="n">
        <v>651161</v>
      </c>
      <c r="B2792" s="12" t="inlineStr">
        <is>
          <t>7898945443142</t>
        </is>
      </c>
      <c r="C2792" s="7" t="inlineStr">
        <is>
          <t>LUVA CIRURGICA 8,0 ESTERIL.</t>
        </is>
      </c>
      <c r="D2792" s="7" t="inlineStr">
        <is>
          <t>UTENSILIOS</t>
        </is>
      </c>
      <c r="E2792" s="7" t="inlineStr">
        <is>
          <t>C</t>
        </is>
      </c>
      <c r="F2792" s="13" t="n">
        <v>1</v>
      </c>
      <c r="G2792" s="13" t="n">
        <v>1</v>
      </c>
      <c r="H2792" s="8" t="n">
        <v>1.99</v>
      </c>
      <c r="I2792" s="8" t="n">
        <v>1.99</v>
      </c>
      <c r="J2792" s="8" t="n">
        <v>1.99</v>
      </c>
      <c r="K2792" s="8" t="n"/>
      <c r="L2792" s="8" t="n"/>
      <c r="M2792" s="8" t="n"/>
      <c r="N2792" s="8" t="n"/>
      <c r="O2792" s="8" t="n"/>
      <c r="P2792" s="8" t="n"/>
      <c r="Q2792" s="8" t="n"/>
      <c r="R2792" s="8" t="n"/>
      <c r="S2792" s="8" t="n"/>
      <c r="T2792" s="7" t="inlineStr">
        <is>
          <t>SEM COTAÇÃO</t>
        </is>
      </c>
      <c r="U2792" s="8" t="n"/>
      <c r="V2792" s="14" t="n"/>
      <c r="W2792" s="14" t="n"/>
      <c r="X2792" s="7" t="inlineStr"/>
      <c r="Y2792" s="7" t="inlineStr"/>
    </row>
    <row r="2793">
      <c r="A2793" s="7" t="n">
        <v>637401</v>
      </c>
      <c r="B2793" s="12" t="inlineStr">
        <is>
          <t>7895098881661</t>
        </is>
      </c>
      <c r="C2793" s="7" t="inlineStr">
        <is>
          <t>LUVA CIRURGICA 8,0 LATEX C/PO PAR - BECARE</t>
        </is>
      </c>
      <c r="D2793" s="7" t="inlineStr">
        <is>
          <t>UTENSILIOS</t>
        </is>
      </c>
      <c r="E2793" s="7" t="inlineStr">
        <is>
          <t>C</t>
        </is>
      </c>
      <c r="F2793" s="13" t="n">
        <v>1</v>
      </c>
      <c r="G2793" s="13" t="n">
        <v>1</v>
      </c>
      <c r="H2793" s="8" t="n">
        <v>1.71</v>
      </c>
      <c r="I2793" s="8" t="n">
        <v>1.71</v>
      </c>
      <c r="J2793" s="8" t="n">
        <v>1.71</v>
      </c>
      <c r="K2793" s="8" t="n"/>
      <c r="L2793" s="8" t="n"/>
      <c r="M2793" s="8" t="n"/>
      <c r="N2793" s="8" t="n"/>
      <c r="O2793" s="8" t="n"/>
      <c r="P2793" s="8" t="n"/>
      <c r="Q2793" s="8" t="n"/>
      <c r="R2793" s="8" t="n"/>
      <c r="S2793" s="8" t="n"/>
      <c r="T2793" s="7" t="inlineStr">
        <is>
          <t>SEM COTAÇÃO</t>
        </is>
      </c>
      <c r="U2793" s="8" t="n"/>
      <c r="V2793" s="14" t="n"/>
      <c r="W2793" s="14" t="n"/>
      <c r="X2793" s="7" t="inlineStr"/>
      <c r="Y2793" s="7" t="inlineStr"/>
    </row>
    <row r="2794">
      <c r="A2794" s="7" t="n">
        <v>643831</v>
      </c>
      <c r="B2794" s="12" t="inlineStr">
        <is>
          <t>7898538970239</t>
        </is>
      </c>
      <c r="C2794" s="7" t="inlineStr">
        <is>
          <t>LUVA CIRURGICA 8,5 ESTERIL COM PO</t>
        </is>
      </c>
      <c r="D2794" s="7" t="inlineStr">
        <is>
          <t>UTENSILIOS</t>
        </is>
      </c>
      <c r="E2794" s="7" t="inlineStr">
        <is>
          <t>C</t>
        </is>
      </c>
      <c r="F2794" s="13" t="n">
        <v>1</v>
      </c>
      <c r="G2794" s="13" t="n">
        <v>1</v>
      </c>
      <c r="H2794" s="8" t="n">
        <v>1.7</v>
      </c>
      <c r="I2794" s="8" t="n">
        <v>1.7</v>
      </c>
      <c r="J2794" s="8" t="n">
        <v>1.7</v>
      </c>
      <c r="K2794" s="8" t="n"/>
      <c r="L2794" s="8" t="n"/>
      <c r="M2794" s="8" t="n"/>
      <c r="N2794" s="8" t="n"/>
      <c r="O2794" s="8" t="n"/>
      <c r="P2794" s="8" t="n"/>
      <c r="Q2794" s="8" t="n"/>
      <c r="R2794" s="8" t="n"/>
      <c r="S2794" s="8" t="n"/>
      <c r="T2794" s="7" t="inlineStr">
        <is>
          <t>SEM COTAÇÃO</t>
        </is>
      </c>
      <c r="U2794" s="8" t="n"/>
      <c r="V2794" s="14" t="n"/>
      <c r="W2794" s="14" t="n"/>
      <c r="X2794" s="7" t="inlineStr"/>
      <c r="Y2794" s="7" t="inlineStr"/>
    </row>
    <row r="2795">
      <c r="A2795" s="7" t="n">
        <v>637411</v>
      </c>
      <c r="B2795" s="12" t="inlineStr">
        <is>
          <t>7899767469082</t>
        </is>
      </c>
      <c r="C2795" s="7" t="inlineStr">
        <is>
          <t>LUVA CIRURGICA ESTERIL 7,5 LATEX C/PO PAR - BECARE</t>
        </is>
      </c>
      <c r="D2795" s="7" t="inlineStr">
        <is>
          <t>UTENSILIOS</t>
        </is>
      </c>
      <c r="E2795" s="7" t="inlineStr">
        <is>
          <t>C</t>
        </is>
      </c>
      <c r="F2795" s="13" t="n">
        <v>1</v>
      </c>
      <c r="G2795" s="13" t="n">
        <v>1</v>
      </c>
      <c r="H2795" s="8" t="n">
        <v>1.71</v>
      </c>
      <c r="I2795" s="8" t="n">
        <v>1.71</v>
      </c>
      <c r="J2795" s="8" t="n">
        <v>1.71</v>
      </c>
      <c r="K2795" s="8" t="n"/>
      <c r="L2795" s="8" t="n"/>
      <c r="M2795" s="8" t="n"/>
      <c r="N2795" s="8" t="n"/>
      <c r="O2795" s="8" t="n"/>
      <c r="P2795" s="8" t="n"/>
      <c r="Q2795" s="8" t="n"/>
      <c r="R2795" s="8" t="n"/>
      <c r="S2795" s="8" t="n"/>
      <c r="T2795" s="7" t="inlineStr">
        <is>
          <t>SEM COTAÇÃO</t>
        </is>
      </c>
      <c r="U2795" s="8" t="n"/>
      <c r="V2795" s="14" t="n"/>
      <c r="W2795" s="14" t="n"/>
      <c r="X2795" s="7" t="inlineStr"/>
      <c r="Y2795" s="7" t="inlineStr"/>
    </row>
    <row r="2796">
      <c r="A2796" s="7" t="n">
        <v>668421</v>
      </c>
      <c r="B2796" s="12" t="inlineStr">
        <is>
          <t>7898921466103</t>
        </is>
      </c>
      <c r="C2796" s="7" t="inlineStr">
        <is>
          <t>LUVA LATEX BOMPACK G C/PO C/100</t>
        </is>
      </c>
      <c r="D2796" s="7" t="inlineStr">
        <is>
          <t>USO INTERNO</t>
        </is>
      </c>
      <c r="E2796" s="7" t="inlineStr">
        <is>
          <t>C</t>
        </is>
      </c>
      <c r="F2796" s="13" t="n">
        <v>1</v>
      </c>
      <c r="G2796" s="13" t="n">
        <v>1</v>
      </c>
      <c r="H2796" s="8" t="n">
        <v>19.99</v>
      </c>
      <c r="I2796" s="8" t="n">
        <v>19.99</v>
      </c>
      <c r="J2796" s="8" t="n">
        <v>19.99</v>
      </c>
      <c r="K2796" s="8" t="n"/>
      <c r="L2796" s="8" t="n"/>
      <c r="M2796" s="8" t="n"/>
      <c r="N2796" s="8" t="n"/>
      <c r="O2796" s="8" t="n"/>
      <c r="P2796" s="8" t="n"/>
      <c r="Q2796" s="8" t="n"/>
      <c r="R2796" s="8" t="n"/>
      <c r="S2796" s="8" t="n"/>
      <c r="T2796" s="7" t="inlineStr">
        <is>
          <t>SEM COTAÇÃO</t>
        </is>
      </c>
      <c r="U2796" s="8" t="n"/>
      <c r="V2796" s="14" t="n"/>
      <c r="W2796" s="14" t="n"/>
      <c r="X2796" s="7" t="inlineStr"/>
      <c r="Y2796" s="7" t="inlineStr"/>
    </row>
    <row r="2797">
      <c r="A2797" s="7" t="n">
        <v>9503</v>
      </c>
      <c r="B2797" s="12" t="inlineStr">
        <is>
          <t>7908026000987</t>
        </is>
      </c>
      <c r="C2797" s="7" t="inlineStr">
        <is>
          <t>LUVA LATEX BOMPACK L PP C/PO C/100</t>
        </is>
      </c>
      <c r="D2797" s="7" t="inlineStr">
        <is>
          <t>UTENSILIOS</t>
        </is>
      </c>
      <c r="E2797" s="7" t="inlineStr">
        <is>
          <t>C</t>
        </is>
      </c>
      <c r="F2797" s="13" t="n">
        <v>1</v>
      </c>
      <c r="G2797" s="13" t="n">
        <v>1</v>
      </c>
      <c r="H2797" s="8" t="n">
        <v>19.99</v>
      </c>
      <c r="I2797" s="8" t="n">
        <v>19.99</v>
      </c>
      <c r="J2797" s="8" t="n">
        <v>19.99</v>
      </c>
      <c r="K2797" s="8" t="n"/>
      <c r="L2797" s="8" t="n"/>
      <c r="M2797" s="8" t="n"/>
      <c r="N2797" s="8" t="n"/>
      <c r="O2797" s="8" t="n"/>
      <c r="P2797" s="8" t="n"/>
      <c r="Q2797" s="8" t="n"/>
      <c r="R2797" s="8" t="n"/>
      <c r="S2797" s="8" t="n"/>
      <c r="T2797" s="7" t="inlineStr">
        <is>
          <t>SEM COTAÇÃO</t>
        </is>
      </c>
      <c r="U2797" s="8" t="n"/>
      <c r="V2797" s="14" t="n"/>
      <c r="W2797" s="14" t="n"/>
      <c r="X2797" s="7" t="inlineStr"/>
      <c r="Y2797" s="7" t="inlineStr"/>
    </row>
    <row r="2798">
      <c r="A2798" s="7" t="n">
        <v>668431</v>
      </c>
      <c r="B2798" s="12" t="inlineStr">
        <is>
          <t>7898921466097</t>
        </is>
      </c>
      <c r="C2798" s="7" t="inlineStr">
        <is>
          <t>LUVA LATEX BOMPACK M C/PO C/100</t>
        </is>
      </c>
      <c r="D2798" s="7" t="inlineStr">
        <is>
          <t>USO INTERNO</t>
        </is>
      </c>
      <c r="E2798" s="7" t="inlineStr">
        <is>
          <t>C</t>
        </is>
      </c>
      <c r="F2798" s="13" t="n">
        <v>1</v>
      </c>
      <c r="G2798" s="13" t="n">
        <v>1</v>
      </c>
      <c r="H2798" s="8" t="n">
        <v>24.99</v>
      </c>
      <c r="I2798" s="8" t="n">
        <v>24.99</v>
      </c>
      <c r="J2798" s="8" t="n">
        <v>24.99</v>
      </c>
      <c r="K2798" s="8" t="n"/>
      <c r="L2798" s="8" t="n"/>
      <c r="M2798" s="8" t="n"/>
      <c r="N2798" s="8" t="n"/>
      <c r="O2798" s="8" t="n"/>
      <c r="P2798" s="8" t="n"/>
      <c r="Q2798" s="8" t="n"/>
      <c r="R2798" s="8" t="n"/>
      <c r="S2798" s="8" t="n"/>
      <c r="T2798" s="7" t="inlineStr">
        <is>
          <t>SEM COTAÇÃO</t>
        </is>
      </c>
      <c r="U2798" s="8" t="n"/>
      <c r="V2798" s="14" t="n"/>
      <c r="W2798" s="14" t="n"/>
      <c r="X2798" s="7" t="inlineStr"/>
      <c r="Y2798" s="7" t="inlineStr"/>
    </row>
    <row r="2799">
      <c r="A2799" s="7" t="n">
        <v>9603</v>
      </c>
      <c r="B2799" s="12" t="inlineStr">
        <is>
          <t>7898921466080</t>
        </is>
      </c>
      <c r="C2799" s="7" t="inlineStr">
        <is>
          <t>LUVA LATEX BOMPACK P C/PO C/100</t>
        </is>
      </c>
      <c r="D2799" s="7" t="inlineStr">
        <is>
          <t>UTENSILIOS</t>
        </is>
      </c>
      <c r="E2799" s="7" t="inlineStr">
        <is>
          <t>C</t>
        </is>
      </c>
      <c r="F2799" s="13" t="n">
        <v>1</v>
      </c>
      <c r="G2799" s="13" t="n">
        <v>1</v>
      </c>
      <c r="H2799" s="8" t="n">
        <v>19.9</v>
      </c>
      <c r="I2799" s="8" t="n">
        <v>19.9</v>
      </c>
      <c r="J2799" s="8" t="n">
        <v>19.9</v>
      </c>
      <c r="K2799" s="8" t="n"/>
      <c r="L2799" s="8" t="n"/>
      <c r="M2799" s="8" t="n"/>
      <c r="N2799" s="8" t="n"/>
      <c r="O2799" s="8" t="n"/>
      <c r="P2799" s="8" t="n"/>
      <c r="Q2799" s="8" t="n"/>
      <c r="R2799" s="8" t="n"/>
      <c r="S2799" s="8" t="n"/>
      <c r="T2799" s="7" t="inlineStr">
        <is>
          <t>SEM COTAÇÃO</t>
        </is>
      </c>
      <c r="U2799" s="8" t="n"/>
      <c r="V2799" s="14" t="n"/>
      <c r="W2799" s="14" t="n"/>
      <c r="X2799" s="7" t="inlineStr"/>
      <c r="Y2799" s="7" t="inlineStr"/>
    </row>
    <row r="2800">
      <c r="A2800" s="7" t="n">
        <v>675981</v>
      </c>
      <c r="B2800" s="12" t="inlineStr">
        <is>
          <t>7898947170619</t>
        </is>
      </c>
      <c r="C2800" s="7" t="inlineStr">
        <is>
          <t>LUVA LATEX MEDIX PROFI C/PO TAM PP C/100 UN</t>
        </is>
      </c>
      <c r="D2800" s="7" t="inlineStr">
        <is>
          <t>UTENSILIOS</t>
        </is>
      </c>
      <c r="E2800" s="7" t="inlineStr">
        <is>
          <t>B</t>
        </is>
      </c>
      <c r="F2800" s="13" t="n">
        <v>2</v>
      </c>
      <c r="G2800" s="13" t="n">
        <v>2</v>
      </c>
      <c r="H2800" s="8" t="n">
        <v>19.9</v>
      </c>
      <c r="I2800" s="8" t="n">
        <v>19.9</v>
      </c>
      <c r="J2800" s="8" t="n">
        <v>19.9</v>
      </c>
      <c r="K2800" s="15" t="n">
        <v>26.33</v>
      </c>
      <c r="L2800" s="8" t="n"/>
      <c r="M2800" s="8" t="n"/>
      <c r="N2800" s="8" t="n"/>
      <c r="O2800" s="8" t="n"/>
      <c r="P2800" s="8" t="n"/>
      <c r="Q2800" s="8" t="n"/>
      <c r="R2800" s="8" t="n"/>
      <c r="S2800" s="8" t="n"/>
      <c r="T2800" s="7" t="inlineStr">
        <is>
          <t>DIMEC</t>
        </is>
      </c>
      <c r="U2800" s="8" t="n">
        <v>26.33</v>
      </c>
      <c r="V2800" s="14">
        <f>U2800/J2800-1</f>
        <v/>
      </c>
      <c r="W2800" s="14">
        <f>U2800/H2800-1</f>
        <v/>
      </c>
      <c r="X2800" s="16" t="inlineStr">
        <is>
          <t>ACIMA +32.3%</t>
        </is>
      </c>
      <c r="Y2800" s="7" t="inlineStr"/>
    </row>
    <row r="2801">
      <c r="A2801" s="7" t="n">
        <v>658991</v>
      </c>
      <c r="B2801" s="12" t="inlineStr">
        <is>
          <t>7898403344509</t>
        </is>
      </c>
      <c r="C2801" s="7" t="inlineStr">
        <is>
          <t>LUVA LATEX TAM G SOFT+AID C/ PO C/20</t>
        </is>
      </c>
      <c r="D2801" s="7" t="inlineStr">
        <is>
          <t>CURATIVO</t>
        </is>
      </c>
      <c r="E2801" s="7" t="inlineStr">
        <is>
          <t>A</t>
        </is>
      </c>
      <c r="F2801" s="13" t="n">
        <v>10</v>
      </c>
      <c r="G2801" s="13" t="n">
        <v>10</v>
      </c>
      <c r="H2801" s="8" t="n">
        <v>9.029999999999999</v>
      </c>
      <c r="I2801" s="8" t="n">
        <v>9.029999999999999</v>
      </c>
      <c r="J2801" s="8" t="n">
        <v>9.029999999999999</v>
      </c>
      <c r="K2801" s="8" t="n"/>
      <c r="L2801" s="8" t="n"/>
      <c r="M2801" s="8" t="n"/>
      <c r="N2801" s="8" t="n"/>
      <c r="O2801" s="8" t="n"/>
      <c r="P2801" s="8" t="n">
        <v>10.36</v>
      </c>
      <c r="Q2801" s="8" t="n"/>
      <c r="R2801" s="8" t="n"/>
      <c r="S2801" s="8" t="n"/>
      <c r="T2801" s="7" t="inlineStr">
        <is>
          <t>SEM COTAÇÃO</t>
        </is>
      </c>
      <c r="U2801" s="8" t="n"/>
      <c r="V2801" s="14" t="n"/>
      <c r="W2801" s="14" t="n"/>
      <c r="X2801" s="7" t="inlineStr"/>
      <c r="Y2801" s="7" t="inlineStr">
        <is>
          <t>NAZARIA: sem estoque</t>
        </is>
      </c>
    </row>
    <row r="2802">
      <c r="A2802" s="7" t="n">
        <v>659001</v>
      </c>
      <c r="B2802" s="12" t="inlineStr">
        <is>
          <t>7898403344493</t>
        </is>
      </c>
      <c r="C2802" s="7" t="inlineStr">
        <is>
          <t>LUVA LATEX TAM M SOFT+AID C/ PO C/20</t>
        </is>
      </c>
      <c r="D2802" s="7" t="inlineStr">
        <is>
          <t>CURATIVO</t>
        </is>
      </c>
      <c r="E2802" s="7" t="inlineStr">
        <is>
          <t>C</t>
        </is>
      </c>
      <c r="F2802" s="13" t="n">
        <v>12</v>
      </c>
      <c r="G2802" s="13" t="n">
        <v>12</v>
      </c>
      <c r="H2802" s="8" t="n">
        <v>9.890000000000001</v>
      </c>
      <c r="I2802" s="8" t="n">
        <v>9.789999999999999</v>
      </c>
      <c r="J2802" s="8" t="n">
        <v>9.789999999999999</v>
      </c>
      <c r="K2802" s="8" t="n"/>
      <c r="L2802" s="8" t="n"/>
      <c r="M2802" s="8" t="n"/>
      <c r="N2802" s="8" t="n"/>
      <c r="O2802" s="8" t="n"/>
      <c r="P2802" s="8" t="n">
        <v>10.36</v>
      </c>
      <c r="Q2802" s="8" t="n"/>
      <c r="R2802" s="8" t="n"/>
      <c r="S2802" s="8" t="n"/>
      <c r="T2802" s="7" t="inlineStr">
        <is>
          <t>SEM COTAÇÃO</t>
        </is>
      </c>
      <c r="U2802" s="8" t="n"/>
      <c r="V2802" s="14" t="n"/>
      <c r="W2802" s="14" t="n"/>
      <c r="X2802" s="7" t="inlineStr"/>
      <c r="Y2802" s="7" t="inlineStr">
        <is>
          <t>NAZARIA: sem estoque</t>
        </is>
      </c>
    </row>
    <row r="2803">
      <c r="A2803" s="7" t="n">
        <v>659011</v>
      </c>
      <c r="B2803" s="12" t="inlineStr">
        <is>
          <t>7898403344486</t>
        </is>
      </c>
      <c r="C2803" s="7" t="inlineStr">
        <is>
          <t>LUVA LATEX TAM P SOFT+AID C/ PO C/20</t>
        </is>
      </c>
      <c r="D2803" s="7" t="inlineStr">
        <is>
          <t>CURATIVO</t>
        </is>
      </c>
      <c r="E2803" s="7" t="inlineStr">
        <is>
          <t>C</t>
        </is>
      </c>
      <c r="F2803" s="13" t="n">
        <v>1</v>
      </c>
      <c r="G2803" s="13" t="n">
        <v>1</v>
      </c>
      <c r="H2803" s="8" t="n">
        <v>9.68</v>
      </c>
      <c r="I2803" s="8" t="n">
        <v>9.68</v>
      </c>
      <c r="J2803" s="8" t="n">
        <v>9.68</v>
      </c>
      <c r="K2803" s="8" t="n"/>
      <c r="L2803" s="8" t="n"/>
      <c r="M2803" s="8" t="n"/>
      <c r="N2803" s="8" t="n"/>
      <c r="O2803" s="8" t="n"/>
      <c r="P2803" s="8" t="n">
        <v>10.36</v>
      </c>
      <c r="Q2803" s="8" t="n"/>
      <c r="R2803" s="8" t="n"/>
      <c r="S2803" s="8" t="n"/>
      <c r="T2803" s="7" t="inlineStr">
        <is>
          <t>SEM COTAÇÃO</t>
        </is>
      </c>
      <c r="U2803" s="8" t="n"/>
      <c r="V2803" s="14" t="n"/>
      <c r="W2803" s="14" t="n"/>
      <c r="X2803" s="7" t="inlineStr"/>
      <c r="Y2803" s="7" t="inlineStr">
        <is>
          <t>NAZARIA: sem estoque</t>
        </is>
      </c>
    </row>
    <row r="2804">
      <c r="A2804" s="7" t="n">
        <v>647581</v>
      </c>
      <c r="B2804" s="12" t="inlineStr">
        <is>
          <t>7896699022460</t>
        </is>
      </c>
      <c r="C2804" s="7" t="inlineStr">
        <is>
          <t>M CH TIP BORBOLETA SIL O T2</t>
        </is>
      </c>
      <c r="D2804" s="7" t="inlineStr">
        <is>
          <t>BABY/KIDS</t>
        </is>
      </c>
      <c r="E2804" s="7" t="inlineStr">
        <is>
          <t>B</t>
        </is>
      </c>
      <c r="F2804" s="13" t="n">
        <v>8</v>
      </c>
      <c r="G2804" s="13" t="n">
        <v>8</v>
      </c>
      <c r="H2804" s="8" t="n">
        <v>7.25</v>
      </c>
      <c r="I2804" s="8" t="n">
        <v>7.25</v>
      </c>
      <c r="J2804" s="8" t="n">
        <v>7.25</v>
      </c>
      <c r="K2804" s="8" t="n"/>
      <c r="L2804" s="8" t="n"/>
      <c r="M2804" s="8" t="n"/>
      <c r="N2804" s="8" t="n"/>
      <c r="O2804" s="8" t="n"/>
      <c r="P2804" s="8" t="n"/>
      <c r="Q2804" s="8" t="n"/>
      <c r="R2804" s="8" t="n"/>
      <c r="S2804" s="8" t="n"/>
      <c r="T2804" s="7" t="inlineStr">
        <is>
          <t>SEM COTAÇÃO</t>
        </is>
      </c>
      <c r="U2804" s="8" t="n"/>
      <c r="V2804" s="14" t="n"/>
      <c r="W2804" s="14" t="n"/>
      <c r="X2804" s="7" t="inlineStr"/>
      <c r="Y2804" s="7" t="inlineStr"/>
    </row>
    <row r="2805">
      <c r="A2805" s="7" t="n">
        <v>635431</v>
      </c>
      <c r="B2805" s="12" t="inlineStr">
        <is>
          <t>7896423406054</t>
        </is>
      </c>
      <c r="C2805" s="7" t="inlineStr">
        <is>
          <t>M&amp;M'S AMENDOIM 148G POUCH UN QTD</t>
        </is>
      </c>
      <c r="D2805" s="7" t="inlineStr">
        <is>
          <t>CONVENIENCIA</t>
        </is>
      </c>
      <c r="E2805" s="7" t="inlineStr">
        <is>
          <t>C</t>
        </is>
      </c>
      <c r="F2805" s="13" t="n">
        <v>1</v>
      </c>
      <c r="G2805" s="13" t="n">
        <v>1</v>
      </c>
      <c r="H2805" s="8" t="n">
        <v>11.2</v>
      </c>
      <c r="I2805" s="8" t="n">
        <v>11.2</v>
      </c>
      <c r="J2805" s="8" t="n">
        <v>11.2</v>
      </c>
      <c r="K2805" s="8" t="n"/>
      <c r="L2805" s="8" t="n"/>
      <c r="M2805" s="8" t="n"/>
      <c r="N2805" s="8" t="n"/>
      <c r="O2805" s="8" t="n"/>
      <c r="P2805" s="8" t="n"/>
      <c r="Q2805" s="8" t="n"/>
      <c r="R2805" s="8" t="n"/>
      <c r="S2805" s="8" t="n"/>
      <c r="T2805" s="7" t="inlineStr">
        <is>
          <t>SEM COTAÇÃO</t>
        </is>
      </c>
      <c r="U2805" s="8" t="n"/>
      <c r="V2805" s="14" t="n"/>
      <c r="W2805" s="14" t="n"/>
      <c r="X2805" s="7" t="inlineStr"/>
      <c r="Y2805" s="7" t="inlineStr"/>
    </row>
    <row r="2806">
      <c r="A2806" s="7" t="n">
        <v>600431</v>
      </c>
      <c r="B2806" s="12" t="inlineStr">
        <is>
          <t>7896423405743</t>
        </is>
      </c>
      <c r="C2806" s="7" t="inlineStr">
        <is>
          <t>M&amp;M'S CHOC AO LEITE 148G</t>
        </is>
      </c>
      <c r="D2806" s="7" t="inlineStr">
        <is>
          <t>CONVENIENCIA</t>
        </is>
      </c>
      <c r="E2806" s="7" t="inlineStr">
        <is>
          <t>C</t>
        </is>
      </c>
      <c r="F2806" s="13" t="n">
        <v>2</v>
      </c>
      <c r="G2806" s="13" t="n">
        <v>2</v>
      </c>
      <c r="H2806" s="8" t="n">
        <v>11.2</v>
      </c>
      <c r="I2806" s="8" t="n">
        <v>11.2</v>
      </c>
      <c r="J2806" s="8" t="n">
        <v>11.2</v>
      </c>
      <c r="K2806" s="8" t="n"/>
      <c r="L2806" s="8" t="n"/>
      <c r="M2806" s="8" t="n"/>
      <c r="N2806" s="8" t="n"/>
      <c r="O2806" s="8" t="n"/>
      <c r="P2806" s="8" t="n"/>
      <c r="Q2806" s="8" t="n"/>
      <c r="R2806" s="8" t="n"/>
      <c r="S2806" s="8" t="n"/>
      <c r="T2806" s="7" t="inlineStr">
        <is>
          <t>SEM COTAÇÃO</t>
        </is>
      </c>
      <c r="U2806" s="8" t="n"/>
      <c r="V2806" s="14" t="n"/>
      <c r="W2806" s="14" t="n"/>
      <c r="X2806" s="7" t="inlineStr"/>
      <c r="Y2806" s="7" t="inlineStr"/>
    </row>
    <row r="2807">
      <c r="A2807" s="7" t="n">
        <v>600421</v>
      </c>
      <c r="B2807" s="12" t="inlineStr">
        <is>
          <t>7896423470697</t>
        </is>
      </c>
      <c r="C2807" s="7" t="inlineStr">
        <is>
          <t>M&amp;M'S CHOCOLATE AO LEITE 45G</t>
        </is>
      </c>
      <c r="D2807" s="7" t="inlineStr">
        <is>
          <t>CONVENIENCIA</t>
        </is>
      </c>
      <c r="E2807" s="7" t="inlineStr">
        <is>
          <t>C</t>
        </is>
      </c>
      <c r="F2807" s="13" t="n">
        <v>3</v>
      </c>
      <c r="G2807" s="13" t="n">
        <v>3</v>
      </c>
      <c r="H2807" s="8" t="n">
        <v>3.9</v>
      </c>
      <c r="I2807" s="8" t="n">
        <v>3.9</v>
      </c>
      <c r="J2807" s="8" t="n">
        <v>3.9</v>
      </c>
      <c r="K2807" s="8" t="n"/>
      <c r="L2807" s="8" t="n"/>
      <c r="M2807" s="8" t="n"/>
      <c r="N2807" s="8" t="n"/>
      <c r="O2807" s="8" t="n"/>
      <c r="P2807" s="8" t="n"/>
      <c r="Q2807" s="8" t="n"/>
      <c r="R2807" s="8" t="n"/>
      <c r="S2807" s="8" t="n"/>
      <c r="T2807" s="7" t="inlineStr">
        <is>
          <t>SEM COTAÇÃO</t>
        </is>
      </c>
      <c r="U2807" s="8" t="n"/>
      <c r="V2807" s="14" t="n"/>
      <c r="W2807" s="14" t="n"/>
      <c r="X2807" s="7" t="inlineStr"/>
      <c r="Y2807" s="7" t="inlineStr"/>
    </row>
    <row r="2808">
      <c r="A2808" s="7" t="n">
        <v>600441</v>
      </c>
      <c r="B2808" s="12" t="inlineStr">
        <is>
          <t>7896423406078</t>
        </is>
      </c>
      <c r="C2808" s="7" t="inlineStr">
        <is>
          <t>M&amp;M'S CHOCOLATE AO LEITE 80G</t>
        </is>
      </c>
      <c r="D2808" s="7" t="inlineStr">
        <is>
          <t>CONVENIENCIA</t>
        </is>
      </c>
      <c r="E2808" s="7" t="inlineStr">
        <is>
          <t>C</t>
        </is>
      </c>
      <c r="F2808" s="13" t="n">
        <v>1</v>
      </c>
      <c r="G2808" s="13" t="n">
        <v>1</v>
      </c>
      <c r="H2808" s="8" t="n">
        <v>6.27</v>
      </c>
      <c r="I2808" s="8" t="n">
        <v>6.27</v>
      </c>
      <c r="J2808" s="8" t="n">
        <v>6.27</v>
      </c>
      <c r="K2808" s="8" t="n"/>
      <c r="L2808" s="8" t="n"/>
      <c r="M2808" s="8" t="n"/>
      <c r="N2808" s="8" t="n"/>
      <c r="O2808" s="8" t="n"/>
      <c r="P2808" s="8" t="n"/>
      <c r="Q2808" s="8" t="n"/>
      <c r="R2808" s="8" t="n"/>
      <c r="S2808" s="8" t="n"/>
      <c r="T2808" s="7" t="inlineStr">
        <is>
          <t>SEM COTAÇÃO</t>
        </is>
      </c>
      <c r="U2808" s="8" t="n"/>
      <c r="V2808" s="14" t="n"/>
      <c r="W2808" s="14" t="n"/>
      <c r="X2808" s="7" t="inlineStr"/>
      <c r="Y2808" s="7" t="inlineStr"/>
    </row>
    <row r="2809">
      <c r="A2809" s="7" t="n">
        <v>600451</v>
      </c>
      <c r="B2809" s="12" t="inlineStr">
        <is>
          <t>7896423401066</t>
        </is>
      </c>
      <c r="C2809" s="7" t="inlineStr">
        <is>
          <t>M&amp;M'S CRISPY 35G</t>
        </is>
      </c>
      <c r="D2809" s="7" t="inlineStr">
        <is>
          <t>CONVENIENCIA</t>
        </is>
      </c>
      <c r="E2809" s="7" t="inlineStr">
        <is>
          <t>B</t>
        </is>
      </c>
      <c r="F2809" s="13" t="n">
        <v>5</v>
      </c>
      <c r="G2809" s="13" t="n">
        <v>5</v>
      </c>
      <c r="H2809" s="8" t="n">
        <v>3.58</v>
      </c>
      <c r="I2809" s="8" t="n">
        <v>3.58</v>
      </c>
      <c r="J2809" s="8" t="n">
        <v>3.58</v>
      </c>
      <c r="K2809" s="8" t="n"/>
      <c r="L2809" s="8" t="n"/>
      <c r="M2809" s="8" t="n"/>
      <c r="N2809" s="8" t="n"/>
      <c r="O2809" s="8" t="n"/>
      <c r="P2809" s="8" t="n"/>
      <c r="Q2809" s="8" t="n"/>
      <c r="R2809" s="8" t="n"/>
      <c r="S2809" s="8" t="n"/>
      <c r="T2809" s="7" t="inlineStr">
        <is>
          <t>SEM COTAÇÃO</t>
        </is>
      </c>
      <c r="U2809" s="8" t="n"/>
      <c r="V2809" s="14" t="n"/>
      <c r="W2809" s="14" t="n"/>
      <c r="X2809" s="7" t="inlineStr"/>
      <c r="Y2809" s="7" t="inlineStr"/>
    </row>
    <row r="2810">
      <c r="A2810" s="7" t="n">
        <v>681101</v>
      </c>
      <c r="B2810" s="12" t="inlineStr">
        <is>
          <t>7896423438703</t>
        </is>
      </c>
      <c r="C2810" s="7" t="inlineStr">
        <is>
          <t>M&amp;MS AMENDOIM 40GR CR 18X40GR QTD. 1.00 CR</t>
        </is>
      </c>
      <c r="D2810" s="7" t="inlineStr">
        <is>
          <t>CONVENIENCIA</t>
        </is>
      </c>
      <c r="E2810" s="7" t="inlineStr">
        <is>
          <t>B</t>
        </is>
      </c>
      <c r="F2810" s="13" t="n">
        <v>1</v>
      </c>
      <c r="G2810" s="13" t="n">
        <v>1</v>
      </c>
      <c r="H2810" s="8" t="n">
        <v>3.58</v>
      </c>
      <c r="I2810" s="8" t="n">
        <v>3.58</v>
      </c>
      <c r="J2810" s="8" t="n">
        <v>3.58</v>
      </c>
      <c r="K2810" s="8" t="n"/>
      <c r="L2810" s="8" t="n"/>
      <c r="M2810" s="8" t="n"/>
      <c r="N2810" s="8" t="n"/>
      <c r="O2810" s="8" t="n"/>
      <c r="P2810" s="8" t="n"/>
      <c r="Q2810" s="8" t="n"/>
      <c r="R2810" s="8" t="n"/>
      <c r="S2810" s="8" t="n"/>
      <c r="T2810" s="7" t="inlineStr">
        <is>
          <t>SEM COTAÇÃO</t>
        </is>
      </c>
      <c r="U2810" s="8" t="n"/>
      <c r="V2810" s="14" t="n"/>
      <c r="W2810" s="14" t="n"/>
      <c r="X2810" s="7" t="inlineStr"/>
      <c r="Y2810" s="7" t="inlineStr"/>
    </row>
    <row r="2811">
      <c r="A2811" s="7" t="n">
        <v>643761</v>
      </c>
      <c r="B2811" s="12" t="inlineStr">
        <is>
          <t>7896423469820</t>
        </is>
      </c>
      <c r="C2811" s="7" t="inlineStr">
        <is>
          <t>M&amp;MS AMENDOIM 45GR CR 18X45GR QTD. 1.00 CR</t>
        </is>
      </c>
      <c r="D2811" s="7" t="inlineStr">
        <is>
          <t>CONVENIENCIA</t>
        </is>
      </c>
      <c r="E2811" s="7" t="inlineStr">
        <is>
          <t>C</t>
        </is>
      </c>
      <c r="F2811" s="13" t="n">
        <v>2</v>
      </c>
      <c r="G2811" s="13" t="n">
        <v>2</v>
      </c>
      <c r="H2811" s="8" t="n">
        <v>3.9</v>
      </c>
      <c r="I2811" s="8" t="n">
        <v>3.9</v>
      </c>
      <c r="J2811" s="8" t="n">
        <v>3.9</v>
      </c>
      <c r="K2811" s="8" t="n"/>
      <c r="L2811" s="8" t="n"/>
      <c r="M2811" s="8" t="n"/>
      <c r="N2811" s="8" t="n"/>
      <c r="O2811" s="8" t="n"/>
      <c r="P2811" s="8" t="n"/>
      <c r="Q2811" s="8" t="n"/>
      <c r="R2811" s="8" t="n"/>
      <c r="S2811" s="8" t="n"/>
      <c r="T2811" s="7" t="inlineStr">
        <is>
          <t>SEM COTAÇÃO</t>
        </is>
      </c>
      <c r="U2811" s="8" t="n"/>
      <c r="V2811" s="14" t="n"/>
      <c r="W2811" s="14" t="n"/>
      <c r="X2811" s="7" t="inlineStr"/>
      <c r="Y2811" s="7" t="inlineStr"/>
    </row>
    <row r="2812">
      <c r="A2812" s="7" t="n">
        <v>38703</v>
      </c>
      <c r="B2812" s="12" t="inlineStr">
        <is>
          <t>7896423438765</t>
        </is>
      </c>
      <c r="C2812" s="7" t="inlineStr">
        <is>
          <t>M&amp;MS AMENDOIM POUCH 132GR</t>
        </is>
      </c>
      <c r="D2812" s="7" t="inlineStr">
        <is>
          <t>CONVENIENCIA</t>
        </is>
      </c>
      <c r="E2812" s="7" t="inlineStr">
        <is>
          <t>C</t>
        </is>
      </c>
      <c r="F2812" s="13" t="n">
        <v>2</v>
      </c>
      <c r="G2812" s="13" t="n">
        <v>2</v>
      </c>
      <c r="H2812" s="8" t="n">
        <v>9.99</v>
      </c>
      <c r="I2812" s="8" t="n">
        <v>9.99</v>
      </c>
      <c r="J2812" s="8" t="n">
        <v>9.99</v>
      </c>
      <c r="K2812" s="8" t="n"/>
      <c r="L2812" s="8" t="n"/>
      <c r="M2812" s="8" t="n"/>
      <c r="N2812" s="8" t="n"/>
      <c r="O2812" s="8" t="n"/>
      <c r="P2812" s="8" t="n"/>
      <c r="Q2812" s="8" t="n"/>
      <c r="R2812" s="8" t="n"/>
      <c r="S2812" s="8" t="n"/>
      <c r="T2812" s="7" t="inlineStr">
        <is>
          <t>SEM COTAÇÃO</t>
        </is>
      </c>
      <c r="U2812" s="8" t="n"/>
      <c r="V2812" s="14" t="n"/>
      <c r="W2812" s="14" t="n"/>
      <c r="X2812" s="7" t="inlineStr"/>
      <c r="Y2812" s="7" t="inlineStr"/>
    </row>
    <row r="2813">
      <c r="A2813" s="7" t="n">
        <v>681201</v>
      </c>
      <c r="B2813" s="12" t="inlineStr">
        <is>
          <t>7896423438901</t>
        </is>
      </c>
      <c r="C2813" s="7" t="inlineStr">
        <is>
          <t>M&amp;MS BROWNIE 35GR CR 18X35GR QTD. 1.00 CR</t>
        </is>
      </c>
      <c r="D2813" s="7" t="inlineStr">
        <is>
          <t>CONVENIENCIA</t>
        </is>
      </c>
      <c r="E2813" s="7" t="inlineStr">
        <is>
          <t>B</t>
        </is>
      </c>
      <c r="F2813" s="13" t="n">
        <v>1</v>
      </c>
      <c r="G2813" s="13" t="n">
        <v>1</v>
      </c>
      <c r="H2813" s="8" t="n">
        <v>3.58</v>
      </c>
      <c r="I2813" s="8" t="n">
        <v>3.58</v>
      </c>
      <c r="J2813" s="8" t="n">
        <v>3.58</v>
      </c>
      <c r="K2813" s="8" t="n"/>
      <c r="L2813" s="8" t="n"/>
      <c r="M2813" s="8" t="n"/>
      <c r="N2813" s="8" t="n"/>
      <c r="O2813" s="8" t="n"/>
      <c r="P2813" s="8" t="n"/>
      <c r="Q2813" s="8" t="n"/>
      <c r="R2813" s="8" t="n"/>
      <c r="S2813" s="8" t="n"/>
      <c r="T2813" s="7" t="inlineStr">
        <is>
          <t>SEM COTAÇÃO</t>
        </is>
      </c>
      <c r="U2813" s="8" t="n"/>
      <c r="V2813" s="14" t="n"/>
      <c r="W2813" s="14" t="n"/>
      <c r="X2813" s="7" t="inlineStr"/>
      <c r="Y2813" s="7" t="inlineStr"/>
    </row>
    <row r="2814">
      <c r="A2814" s="7" t="n">
        <v>699101</v>
      </c>
      <c r="B2814" s="12" t="inlineStr"/>
      <c r="C2814" s="7" t="inlineStr">
        <is>
          <t>M&amp;MS CHOCO AO LEITE 40GR CR 18X40GR QTD. 2.00 CR</t>
        </is>
      </c>
      <c r="D2814" s="7" t="inlineStr">
        <is>
          <t>CHOCOLATES</t>
        </is>
      </c>
      <c r="E2814" s="7" t="inlineStr">
        <is>
          <t>A</t>
        </is>
      </c>
      <c r="F2814" s="13" t="n">
        <v>10</v>
      </c>
      <c r="G2814" s="13" t="n">
        <v>10</v>
      </c>
      <c r="H2814" s="8" t="n">
        <v>3.58</v>
      </c>
      <c r="I2814" s="8" t="n">
        <v>3.58</v>
      </c>
      <c r="J2814" s="8" t="n">
        <v>3.58</v>
      </c>
      <c r="K2814" s="8" t="n"/>
      <c r="L2814" s="8" t="n"/>
      <c r="M2814" s="8" t="n"/>
      <c r="N2814" s="8" t="n"/>
      <c r="O2814" s="8" t="n"/>
      <c r="P2814" s="8" t="n"/>
      <c r="Q2814" s="8" t="n"/>
      <c r="R2814" s="8" t="n"/>
      <c r="S2814" s="8" t="n"/>
      <c r="T2814" s="7" t="inlineStr">
        <is>
          <t>SEM COTAÇÃO</t>
        </is>
      </c>
      <c r="U2814" s="8" t="n"/>
      <c r="V2814" s="14" t="n"/>
      <c r="W2814" s="14" t="n"/>
      <c r="X2814" s="7" t="inlineStr"/>
      <c r="Y2814" s="7" t="inlineStr"/>
    </row>
    <row r="2815">
      <c r="A2815" s="7" t="n">
        <v>658501</v>
      </c>
      <c r="B2815" s="12" t="inlineStr">
        <is>
          <t>7896423442564</t>
        </is>
      </c>
      <c r="C2815" s="7" t="inlineStr">
        <is>
          <t>M&amp;MS PIPOCA 35G CR 18X35GR QTD. 1.00 CR</t>
        </is>
      </c>
      <c r="D2815" s="7" t="inlineStr">
        <is>
          <t>CONVENIENCIA</t>
        </is>
      </c>
      <c r="E2815" s="7" t="inlineStr">
        <is>
          <t>C</t>
        </is>
      </c>
      <c r="F2815" s="13" t="n">
        <v>1</v>
      </c>
      <c r="G2815" s="13" t="n">
        <v>1</v>
      </c>
      <c r="H2815" s="8" t="n">
        <v>3.9</v>
      </c>
      <c r="I2815" s="8" t="n">
        <v>3.9</v>
      </c>
      <c r="J2815" s="8" t="n">
        <v>3.9</v>
      </c>
      <c r="K2815" s="8" t="n"/>
      <c r="L2815" s="8" t="n"/>
      <c r="M2815" s="8" t="n"/>
      <c r="N2815" s="8" t="n"/>
      <c r="O2815" s="8" t="n"/>
      <c r="P2815" s="8" t="n"/>
      <c r="Q2815" s="8" t="n"/>
      <c r="R2815" s="8" t="n"/>
      <c r="S2815" s="8" t="n"/>
      <c r="T2815" s="7" t="inlineStr">
        <is>
          <t>SEM COTAÇÃO</t>
        </is>
      </c>
      <c r="U2815" s="8" t="n"/>
      <c r="V2815" s="14" t="n"/>
      <c r="W2815" s="14" t="n"/>
      <c r="X2815" s="7" t="inlineStr"/>
      <c r="Y2815" s="7" t="inlineStr"/>
    </row>
    <row r="2816">
      <c r="A2816" s="7" t="n">
        <v>656041</v>
      </c>
      <c r="B2816" s="12" t="inlineStr">
        <is>
          <t>7898631703956</t>
        </is>
      </c>
      <c r="C2816" s="7" t="inlineStr">
        <is>
          <t>MACA PERUANA NEGRA 60 CAPS CX/12 - REATIVA</t>
        </is>
      </c>
      <c r="D2816" s="7" t="inlineStr">
        <is>
          <t>VITAMINA E SIMILARES</t>
        </is>
      </c>
      <c r="E2816" s="7" t="inlineStr">
        <is>
          <t>A</t>
        </is>
      </c>
      <c r="F2816" s="13" t="n">
        <v>3</v>
      </c>
      <c r="G2816" s="13" t="n">
        <v>3</v>
      </c>
      <c r="H2816" s="8" t="n">
        <v>26.83</v>
      </c>
      <c r="I2816" s="8" t="n">
        <v>26.83</v>
      </c>
      <c r="J2816" s="8" t="n">
        <v>26.83</v>
      </c>
      <c r="K2816" s="8" t="n"/>
      <c r="L2816" s="8" t="n"/>
      <c r="M2816" s="8" t="n"/>
      <c r="N2816" s="8" t="n"/>
      <c r="O2816" s="8" t="n"/>
      <c r="P2816" s="8" t="n"/>
      <c r="Q2816" s="8" t="n"/>
      <c r="R2816" s="8" t="n"/>
      <c r="S2816" s="8" t="n"/>
      <c r="T2816" s="7" t="inlineStr">
        <is>
          <t>SEM COTAÇÃO</t>
        </is>
      </c>
      <c r="U2816" s="8" t="n"/>
      <c r="V2816" s="14" t="n"/>
      <c r="W2816" s="14" t="n"/>
      <c r="X2816" s="7" t="inlineStr"/>
      <c r="Y2816" s="7" t="inlineStr"/>
    </row>
    <row r="2817">
      <c r="A2817" s="7" t="n">
        <v>661031</v>
      </c>
      <c r="B2817" s="12" t="inlineStr">
        <is>
          <t>7898744350511</t>
        </is>
      </c>
      <c r="C2817" s="7" t="inlineStr">
        <is>
          <t>MAG 6 PURAFOR QUALITY 60 CAPS CX/12 - REATIVA</t>
        </is>
      </c>
      <c r="D2817" s="7" t="inlineStr">
        <is>
          <t>VITAMINA E SIMILARES</t>
        </is>
      </c>
      <c r="E2817" s="7" t="inlineStr">
        <is>
          <t>B</t>
        </is>
      </c>
      <c r="F2817" s="13" t="n">
        <v>3</v>
      </c>
      <c r="G2817" s="13" t="n">
        <v>3</v>
      </c>
      <c r="H2817" s="8" t="n">
        <v>22.98</v>
      </c>
      <c r="I2817" s="8" t="n">
        <v>22.98</v>
      </c>
      <c r="J2817" s="8" t="n">
        <v>22.98</v>
      </c>
      <c r="K2817" s="8" t="n"/>
      <c r="L2817" s="8" t="n"/>
      <c r="M2817" s="8" t="n"/>
      <c r="N2817" s="8" t="n"/>
      <c r="O2817" s="8" t="n"/>
      <c r="P2817" s="8" t="n"/>
      <c r="Q2817" s="8" t="n"/>
      <c r="R2817" s="8" t="n"/>
      <c r="S2817" s="8" t="n"/>
      <c r="T2817" s="7" t="inlineStr">
        <is>
          <t>SEM COTAÇÃO</t>
        </is>
      </c>
      <c r="U2817" s="8" t="n"/>
      <c r="V2817" s="14" t="n"/>
      <c r="W2817" s="14" t="n"/>
      <c r="X2817" s="7" t="inlineStr"/>
      <c r="Y2817" s="7" t="inlineStr"/>
    </row>
    <row r="2818">
      <c r="A2818" s="7" t="n">
        <v>4533</v>
      </c>
      <c r="B2818" s="12" t="inlineStr">
        <is>
          <t>7898656163773</t>
        </is>
      </c>
      <c r="C2818" s="7" t="inlineStr">
        <is>
          <t>MAGFLAN MOUSSE DE MASSAGEM 100G/150ML</t>
        </is>
      </c>
      <c r="D2818" s="7" t="inlineStr">
        <is>
          <t>VITAMINA E SIMILARES</t>
        </is>
      </c>
      <c r="E2818" s="7" t="inlineStr">
        <is>
          <t>C</t>
        </is>
      </c>
      <c r="F2818" s="13" t="n">
        <v>1</v>
      </c>
      <c r="G2818" s="13" t="n">
        <v>1</v>
      </c>
      <c r="H2818" s="8" t="n"/>
      <c r="I2818" s="8" t="n"/>
      <c r="J2818" s="8" t="n"/>
      <c r="K2818" s="8" t="n"/>
      <c r="L2818" s="8" t="n"/>
      <c r="M2818" s="8" t="n"/>
      <c r="N2818" s="8" t="n"/>
      <c r="O2818" s="8" t="n"/>
      <c r="P2818" s="8" t="n"/>
      <c r="Q2818" s="8" t="n"/>
      <c r="R2818" s="8" t="n"/>
      <c r="S2818" s="8" t="n"/>
      <c r="T2818" s="7" t="inlineStr">
        <is>
          <t>SEM COTAÇÃO</t>
        </is>
      </c>
      <c r="U2818" s="8" t="n"/>
      <c r="V2818" s="14" t="n"/>
      <c r="W2818" s="14" t="n"/>
      <c r="X2818" s="7" t="inlineStr"/>
      <c r="Y2818" s="7" t="inlineStr"/>
    </row>
    <row r="2819">
      <c r="A2819" s="7" t="n">
        <v>612321</v>
      </c>
      <c r="B2819" s="12" t="inlineStr">
        <is>
          <t>7894164005734</t>
        </is>
      </c>
      <c r="C2819" s="7" t="inlineStr">
        <is>
          <t>MAGMILK HORTELA 80MG/ML 100ML (HIDROXIDO</t>
        </is>
      </c>
      <c r="D2819" s="7" t="inlineStr">
        <is>
          <t>SIMILAR</t>
        </is>
      </c>
      <c r="E2819" s="7" t="inlineStr">
        <is>
          <t>C</t>
        </is>
      </c>
      <c r="F2819" s="13" t="n">
        <v>3</v>
      </c>
      <c r="G2819" s="13" t="n">
        <v>3</v>
      </c>
      <c r="H2819" s="8" t="n">
        <v>4.14</v>
      </c>
      <c r="I2819" s="8" t="n">
        <v>4.14</v>
      </c>
      <c r="J2819" s="8" t="n">
        <v>4.14</v>
      </c>
      <c r="K2819" s="8" t="n">
        <v>4.85</v>
      </c>
      <c r="L2819" s="8" t="n"/>
      <c r="M2819" s="8" t="n"/>
      <c r="N2819" s="8" t="n">
        <v>5.02</v>
      </c>
      <c r="O2819" s="8" t="n">
        <v>4.81</v>
      </c>
      <c r="P2819" s="8" t="n"/>
      <c r="Q2819" s="8" t="n">
        <v>5.28</v>
      </c>
      <c r="R2819" s="15" t="n">
        <v>3.99</v>
      </c>
      <c r="S2819" s="8" t="n"/>
      <c r="T2819" s="7" t="inlineStr">
        <is>
          <t>BRASFARMA</t>
        </is>
      </c>
      <c r="U2819" s="8" t="n">
        <v>3.99</v>
      </c>
      <c r="V2819" s="14">
        <f>U2819/J2819-1</f>
        <v/>
      </c>
      <c r="W2819" s="14">
        <f>U2819/H2819-1</f>
        <v/>
      </c>
      <c r="X2819" s="17" t="inlineStr">
        <is>
          <t>OK (≤ menor hist.)</t>
        </is>
      </c>
      <c r="Y2819" s="7" t="inlineStr"/>
    </row>
    <row r="2820">
      <c r="A2820" s="7" t="n">
        <v>542681</v>
      </c>
      <c r="B2820" s="12" t="inlineStr">
        <is>
          <t>7894164005727</t>
        </is>
      </c>
      <c r="C2820" s="7" t="inlineStr">
        <is>
          <t>MAGMILK TRADICIONAL 80MG/ML 100ML(ARL)</t>
        </is>
      </c>
      <c r="D2820" s="7" t="inlineStr">
        <is>
          <t>SIMILAR</t>
        </is>
      </c>
      <c r="E2820" s="7" t="inlineStr">
        <is>
          <t>B</t>
        </is>
      </c>
      <c r="F2820" s="13" t="n">
        <v>11</v>
      </c>
      <c r="G2820" s="13" t="n">
        <v>11</v>
      </c>
      <c r="H2820" s="8" t="n">
        <v>4.71</v>
      </c>
      <c r="I2820" s="8" t="n">
        <v>4.71</v>
      </c>
      <c r="J2820" s="8" t="n">
        <v>4.71</v>
      </c>
      <c r="K2820" s="8" t="n">
        <v>4.71</v>
      </c>
      <c r="L2820" s="8" t="n"/>
      <c r="M2820" s="8" t="n"/>
      <c r="N2820" s="8" t="n">
        <v>4.78</v>
      </c>
      <c r="O2820" s="8" t="n">
        <v>4.69</v>
      </c>
      <c r="P2820" s="8" t="n"/>
      <c r="Q2820" s="8" t="n">
        <v>4.99</v>
      </c>
      <c r="R2820" s="15" t="n">
        <v>3.99</v>
      </c>
      <c r="S2820" s="8" t="n"/>
      <c r="T2820" s="7" t="inlineStr">
        <is>
          <t>BRASFARMA</t>
        </is>
      </c>
      <c r="U2820" s="8" t="n">
        <v>3.99</v>
      </c>
      <c r="V2820" s="14">
        <f>U2820/J2820-1</f>
        <v/>
      </c>
      <c r="W2820" s="14">
        <f>U2820/H2820-1</f>
        <v/>
      </c>
      <c r="X2820" s="17" t="inlineStr">
        <is>
          <t>OK (≤ menor hist.)</t>
        </is>
      </c>
      <c r="Y2820" s="7" t="inlineStr"/>
    </row>
    <row r="2821">
      <c r="A2821" s="7" t="n">
        <v>657231</v>
      </c>
      <c r="B2821" s="12" t="inlineStr">
        <is>
          <t>7896523228822</t>
        </is>
      </c>
      <c r="C2821" s="7" t="inlineStr">
        <is>
          <t>MAGNAZIA LEITE MAGN 8% SUSP FR120ML HORT</t>
        </is>
      </c>
      <c r="D2821" s="7" t="inlineStr">
        <is>
          <t>SIMILAR</t>
        </is>
      </c>
      <c r="E2821" s="7" t="inlineStr">
        <is>
          <t>B</t>
        </is>
      </c>
      <c r="F2821" s="13" t="n">
        <v>9</v>
      </c>
      <c r="G2821" s="13" t="n">
        <v>9</v>
      </c>
      <c r="H2821" s="8" t="n">
        <v>5.99</v>
      </c>
      <c r="I2821" s="8" t="n">
        <v>5.69</v>
      </c>
      <c r="J2821" s="8" t="n">
        <v>5.79</v>
      </c>
      <c r="K2821" s="8" t="n"/>
      <c r="L2821" s="8" t="n"/>
      <c r="M2821" s="8" t="n"/>
      <c r="N2821" s="8" t="n"/>
      <c r="O2821" s="8" t="n"/>
      <c r="P2821" s="8" t="n">
        <v>6.89</v>
      </c>
      <c r="Q2821" s="8" t="n"/>
      <c r="R2821" s="8" t="n"/>
      <c r="S2821" s="8" t="n"/>
      <c r="T2821" s="7" t="inlineStr">
        <is>
          <t>SEM COTAÇÃO</t>
        </is>
      </c>
      <c r="U2821" s="8" t="n"/>
      <c r="V2821" s="14" t="n"/>
      <c r="W2821" s="14" t="n"/>
      <c r="X2821" s="7" t="inlineStr"/>
      <c r="Y2821" s="7" t="inlineStr">
        <is>
          <t>NAZARIA: sem estoque</t>
        </is>
      </c>
    </row>
    <row r="2822">
      <c r="A2822" s="7" t="n">
        <v>553481</v>
      </c>
      <c r="B2822" s="12" t="inlineStr">
        <is>
          <t>7895858017422</t>
        </is>
      </c>
      <c r="C2822" s="7" t="inlineStr">
        <is>
          <t>MAGNESIA BISURADA 63,7+521+67+3,3MG(CARTELA)</t>
        </is>
      </c>
      <c r="D2822" s="7" t="inlineStr">
        <is>
          <t>RX</t>
        </is>
      </c>
      <c r="E2822" s="7" t="inlineStr">
        <is>
          <t>A</t>
        </is>
      </c>
      <c r="F2822" s="13" t="n">
        <v>6</v>
      </c>
      <c r="G2822" s="13" t="n">
        <v>23</v>
      </c>
      <c r="H2822" s="8" t="n">
        <v>10.2681</v>
      </c>
      <c r="I2822" s="8" t="n">
        <v>8.754799999999999</v>
      </c>
      <c r="J2822" s="8" t="n">
        <v>9.193199999999999</v>
      </c>
      <c r="K2822" s="8" t="n"/>
      <c r="L2822" s="8" t="n"/>
      <c r="M2822" s="8" t="n"/>
      <c r="N2822" s="8" t="n"/>
      <c r="O2822" s="8" t="n"/>
      <c r="P2822" s="15" t="n">
        <v>10.2925</v>
      </c>
      <c r="Q2822" s="8" t="n"/>
      <c r="R2822" s="8" t="n"/>
      <c r="S2822" s="8" t="n"/>
      <c r="T2822" s="7" t="inlineStr">
        <is>
          <t>NAZARIA</t>
        </is>
      </c>
      <c r="U2822" s="8" t="n">
        <v>10.2925</v>
      </c>
      <c r="V2822" s="14">
        <f>U2822/J2822-1</f>
        <v/>
      </c>
      <c r="W2822" s="14">
        <f>U2822/H2822-1</f>
        <v/>
      </c>
      <c r="X2822" s="16" t="inlineStr">
        <is>
          <t>ACIMA +0.2%</t>
        </is>
      </c>
      <c r="Y2822" s="7" t="inlineStr">
        <is>
          <t>NAZARIA: 1 emb = 4 un</t>
        </is>
      </c>
    </row>
    <row r="2823">
      <c r="A2823" s="7" t="n">
        <v>79381</v>
      </c>
      <c r="B2823" s="12" t="inlineStr">
        <is>
          <t>7895858017309</t>
        </is>
      </c>
      <c r="C2823" s="7" t="inlineStr">
        <is>
          <t>MAGNESIA BISURADA 63,70+521,0+67,0+3,30MG CX 200 PAST</t>
        </is>
      </c>
      <c r="D2823" s="7" t="inlineStr">
        <is>
          <t>RX</t>
        </is>
      </c>
      <c r="E2823" s="7" t="inlineStr">
        <is>
          <t>C</t>
        </is>
      </c>
      <c r="F2823" s="13" t="n">
        <v>1</v>
      </c>
      <c r="G2823" s="13" t="n">
        <v>2</v>
      </c>
      <c r="H2823" s="8" t="n">
        <v>9.779299999999999</v>
      </c>
      <c r="I2823" s="8" t="n">
        <v>8.995799999999999</v>
      </c>
      <c r="J2823" s="8" t="n">
        <v>9.518133333333333</v>
      </c>
      <c r="K2823" s="8" t="n"/>
      <c r="L2823" s="8" t="n"/>
      <c r="M2823" s="8" t="n"/>
      <c r="N2823" s="8" t="n"/>
      <c r="O2823" s="8" t="n"/>
      <c r="P2823" s="15" t="n">
        <v>10.294</v>
      </c>
      <c r="Q2823" s="8" t="n"/>
      <c r="R2823" s="8" t="n"/>
      <c r="S2823" s="8" t="n"/>
      <c r="T2823" s="7" t="inlineStr">
        <is>
          <t>NAZARIA</t>
        </is>
      </c>
      <c r="U2823" s="8" t="n">
        <v>10.294</v>
      </c>
      <c r="V2823" s="14">
        <f>U2823/J2823-1</f>
        <v/>
      </c>
      <c r="W2823" s="14">
        <f>U2823/H2823-1</f>
        <v/>
      </c>
      <c r="X2823" s="16" t="inlineStr">
        <is>
          <t>ACIMA +5.3%</t>
        </is>
      </c>
      <c r="Y2823" s="7" t="inlineStr">
        <is>
          <t>NAZARIA: 1 emb = 20 un</t>
        </is>
      </c>
    </row>
    <row r="2824">
      <c r="A2824" s="7" t="n">
        <v>5403</v>
      </c>
      <c r="B2824" s="12" t="inlineStr">
        <is>
          <t>7895143227017</t>
        </is>
      </c>
      <c r="C2824" s="7" t="inlineStr">
        <is>
          <t>MAGNESIO BISGLICINATO C/60 CPS..........</t>
        </is>
      </c>
      <c r="D2824" s="7" t="inlineStr">
        <is>
          <t>VITAMINA E SIMILARES</t>
        </is>
      </c>
      <c r="E2824" s="7" t="inlineStr">
        <is>
          <t>B</t>
        </is>
      </c>
      <c r="F2824" s="13" t="n">
        <v>1</v>
      </c>
      <c r="G2824" s="13" t="n">
        <v>1</v>
      </c>
      <c r="H2824" s="8" t="n">
        <v>19.99</v>
      </c>
      <c r="I2824" s="8" t="n">
        <v>19.99</v>
      </c>
      <c r="J2824" s="8" t="n">
        <v>19.99</v>
      </c>
      <c r="K2824" s="8" t="n"/>
      <c r="L2824" s="8" t="n"/>
      <c r="M2824" s="8" t="n"/>
      <c r="N2824" s="8" t="n"/>
      <c r="O2824" s="8" t="n"/>
      <c r="P2824" s="8" t="n"/>
      <c r="Q2824" s="8" t="n"/>
      <c r="R2824" s="8" t="n"/>
      <c r="S2824" s="8" t="n"/>
      <c r="T2824" s="7" t="inlineStr">
        <is>
          <t>SEM COTAÇÃO</t>
        </is>
      </c>
      <c r="U2824" s="8" t="n"/>
      <c r="V2824" s="14" t="n"/>
      <c r="W2824" s="14" t="n"/>
      <c r="X2824" s="7" t="inlineStr"/>
      <c r="Y2824" s="7" t="inlineStr"/>
    </row>
    <row r="2825">
      <c r="A2825" s="7" t="n">
        <v>650351</v>
      </c>
      <c r="B2825" s="12" t="inlineStr">
        <is>
          <t>7898303262699</t>
        </is>
      </c>
      <c r="C2825" s="7" t="inlineStr">
        <is>
          <t>MAGNESIO DIMALATO 400MG FR 60 CAPS - HERBAMED</t>
        </is>
      </c>
      <c r="D2825" s="7" t="inlineStr">
        <is>
          <t>VITAMINA E SIMILARES</t>
        </is>
      </c>
      <c r="E2825" s="7" t="inlineStr">
        <is>
          <t>C</t>
        </is>
      </c>
      <c r="F2825" s="13" t="n">
        <v>1</v>
      </c>
      <c r="G2825" s="13" t="n">
        <v>1</v>
      </c>
      <c r="H2825" s="8" t="n">
        <v>22.26</v>
      </c>
      <c r="I2825" s="8" t="n">
        <v>22.26</v>
      </c>
      <c r="J2825" s="8" t="n">
        <v>22.26</v>
      </c>
      <c r="K2825" s="8" t="n"/>
      <c r="L2825" s="8" t="n"/>
      <c r="M2825" s="8" t="n"/>
      <c r="N2825" s="8" t="n"/>
      <c r="O2825" s="8" t="n"/>
      <c r="P2825" s="8" t="n"/>
      <c r="Q2825" s="8" t="n"/>
      <c r="R2825" s="8" t="n"/>
      <c r="S2825" s="8" t="n"/>
      <c r="T2825" s="7" t="inlineStr">
        <is>
          <t>SEM COTAÇÃO</t>
        </is>
      </c>
      <c r="U2825" s="8" t="n"/>
      <c r="V2825" s="14" t="n"/>
      <c r="W2825" s="14" t="n"/>
      <c r="X2825" s="7" t="inlineStr"/>
      <c r="Y2825" s="7" t="inlineStr"/>
    </row>
    <row r="2826">
      <c r="A2826" s="7" t="n">
        <v>634531</v>
      </c>
      <c r="B2826" s="12" t="inlineStr">
        <is>
          <t>7908041914641</t>
        </is>
      </c>
      <c r="C2826" s="7" t="inlineStr">
        <is>
          <t>MAGNESIO DIMALATO 500MG 60CAP</t>
        </is>
      </c>
      <c r="D2826" s="7" t="inlineStr">
        <is>
          <t>SIMILAR</t>
        </is>
      </c>
      <c r="E2826" s="7" t="inlineStr">
        <is>
          <t>B</t>
        </is>
      </c>
      <c r="F2826" s="13" t="n">
        <v>2</v>
      </c>
      <c r="G2826" s="13" t="n">
        <v>2</v>
      </c>
      <c r="H2826" s="8" t="n">
        <v>23.98</v>
      </c>
      <c r="I2826" s="8" t="n">
        <v>23.98</v>
      </c>
      <c r="J2826" s="8" t="n">
        <v>23.98</v>
      </c>
      <c r="K2826" s="8" t="n"/>
      <c r="L2826" s="8" t="n"/>
      <c r="M2826" s="8" t="n"/>
      <c r="N2826" s="8" t="n"/>
      <c r="O2826" s="8" t="n"/>
      <c r="P2826" s="8" t="n"/>
      <c r="Q2826" s="8" t="n"/>
      <c r="R2826" s="8" t="n"/>
      <c r="S2826" s="8" t="n"/>
      <c r="T2826" s="7" t="inlineStr">
        <is>
          <t>SEM COTAÇÃO</t>
        </is>
      </c>
      <c r="U2826" s="8" t="n"/>
      <c r="V2826" s="14" t="n"/>
      <c r="W2826" s="14" t="n"/>
      <c r="X2826" s="7" t="inlineStr"/>
      <c r="Y2826" s="7" t="inlineStr"/>
    </row>
    <row r="2827">
      <c r="A2827" s="7" t="n">
        <v>606901</v>
      </c>
      <c r="B2827" s="12" t="inlineStr">
        <is>
          <t>609963917495</t>
        </is>
      </c>
      <c r="C2827" s="7" t="inlineStr">
        <is>
          <t>MAGNESIO DIMALATO 500MG C/60 CPS</t>
        </is>
      </c>
      <c r="D2827" s="7" t="inlineStr">
        <is>
          <t>VITAMINA E SIMILARES</t>
        </is>
      </c>
      <c r="E2827" s="7" t="inlineStr">
        <is>
          <t>C</t>
        </is>
      </c>
      <c r="F2827" s="13" t="n">
        <v>6</v>
      </c>
      <c r="G2827" s="13" t="n">
        <v>6</v>
      </c>
      <c r="H2827" s="8" t="n">
        <v>15.98</v>
      </c>
      <c r="I2827" s="8" t="n">
        <v>15.49</v>
      </c>
      <c r="J2827" s="8" t="n">
        <v>15.49</v>
      </c>
      <c r="K2827" s="8" t="n"/>
      <c r="L2827" s="8" t="n"/>
      <c r="M2827" s="8" t="n"/>
      <c r="N2827" s="8" t="n"/>
      <c r="O2827" s="8" t="n"/>
      <c r="P2827" s="8" t="n"/>
      <c r="Q2827" s="8" t="n"/>
      <c r="R2827" s="8" t="n"/>
      <c r="S2827" s="8" t="n"/>
      <c r="T2827" s="7" t="inlineStr">
        <is>
          <t>SEM COTAÇÃO</t>
        </is>
      </c>
      <c r="U2827" s="8" t="n"/>
      <c r="V2827" s="14" t="n"/>
      <c r="W2827" s="14" t="n"/>
      <c r="X2827" s="7" t="inlineStr"/>
      <c r="Y2827" s="7" t="inlineStr"/>
    </row>
    <row r="2828">
      <c r="A2828" s="7" t="n">
        <v>5303</v>
      </c>
      <c r="B2828" s="12" t="inlineStr">
        <is>
          <t>0609963917495</t>
        </is>
      </c>
      <c r="C2828" s="7" t="inlineStr">
        <is>
          <t>MAGNESIO DIMALATO 500MG C/60 CPS</t>
        </is>
      </c>
      <c r="D2828" s="7" t="inlineStr">
        <is>
          <t>VITAMINA E SIMILARES</t>
        </is>
      </c>
      <c r="E2828" s="7" t="inlineStr">
        <is>
          <t>C</t>
        </is>
      </c>
      <c r="F2828" s="13" t="n">
        <v>1</v>
      </c>
      <c r="G2828" s="13" t="n">
        <v>1</v>
      </c>
      <c r="H2828" s="8" t="n">
        <v>21.04</v>
      </c>
      <c r="I2828" s="8" t="n">
        <v>21.04</v>
      </c>
      <c r="J2828" s="8" t="n">
        <v>21.04</v>
      </c>
      <c r="K2828" s="8" t="n"/>
      <c r="L2828" s="8" t="n"/>
      <c r="M2828" s="8" t="n"/>
      <c r="N2828" s="8" t="n"/>
      <c r="O2828" s="8" t="n"/>
      <c r="P2828" s="8" t="n"/>
      <c r="Q2828" s="8" t="n"/>
      <c r="R2828" s="8" t="n"/>
      <c r="S2828" s="8" t="n"/>
      <c r="T2828" s="7" t="inlineStr">
        <is>
          <t>SEM COTAÇÃO</t>
        </is>
      </c>
      <c r="U2828" s="8" t="n"/>
      <c r="V2828" s="14" t="n"/>
      <c r="W2828" s="14" t="n"/>
      <c r="X2828" s="7" t="inlineStr"/>
      <c r="Y2828" s="7" t="inlineStr"/>
    </row>
    <row r="2829">
      <c r="A2829" s="7" t="n">
        <v>591291</v>
      </c>
      <c r="B2829" s="12" t="inlineStr">
        <is>
          <t>7898048699651</t>
        </is>
      </c>
      <c r="C2829" s="7" t="inlineStr">
        <is>
          <t>MAGNESIO DIMALATO 60CP</t>
        </is>
      </c>
      <c r="D2829" s="7" t="inlineStr">
        <is>
          <t>SIMILAR</t>
        </is>
      </c>
      <c r="E2829" s="7" t="inlineStr">
        <is>
          <t>A</t>
        </is>
      </c>
      <c r="F2829" s="13" t="n">
        <v>8</v>
      </c>
      <c r="G2829" s="13" t="n">
        <v>8</v>
      </c>
      <c r="H2829" s="8" t="n">
        <v>15.98</v>
      </c>
      <c r="I2829" s="8" t="n">
        <v>13.84</v>
      </c>
      <c r="J2829" s="8" t="n">
        <v>14.53666666666667</v>
      </c>
      <c r="K2829" s="15" t="n">
        <v>15.98</v>
      </c>
      <c r="L2829" s="8" t="n"/>
      <c r="M2829" s="8" t="n"/>
      <c r="N2829" s="8" t="n"/>
      <c r="O2829" s="8" t="n"/>
      <c r="P2829" s="8" t="n"/>
      <c r="Q2829" s="8" t="n"/>
      <c r="R2829" s="8" t="n"/>
      <c r="S2829" s="8" t="n"/>
      <c r="T2829" s="7" t="inlineStr">
        <is>
          <t>DIMEC</t>
        </is>
      </c>
      <c r="U2829" s="8" t="n">
        <v>15.98</v>
      </c>
      <c r="V2829" s="14">
        <f>U2829/J2829-1</f>
        <v/>
      </c>
      <c r="W2829" s="14">
        <f>U2829/H2829-1</f>
        <v/>
      </c>
      <c r="X2829" s="17" t="inlineStr">
        <is>
          <t>OK (≤ últ. compra)</t>
        </is>
      </c>
      <c r="Y2829" s="7" t="inlineStr"/>
    </row>
    <row r="2830">
      <c r="A2830" s="7" t="n">
        <v>659161</v>
      </c>
      <c r="B2830" s="12" t="inlineStr">
        <is>
          <t>7908041911459</t>
        </is>
      </c>
      <c r="C2830" s="7" t="inlineStr">
        <is>
          <t>MAGNESIO QUELATO 500MG 60 CAPS CX/15 - FLORA NATIVA</t>
        </is>
      </c>
      <c r="D2830" s="7" t="inlineStr">
        <is>
          <t>VITAMINA E SIMILARES</t>
        </is>
      </c>
      <c r="E2830" s="7" t="inlineStr">
        <is>
          <t>C</t>
        </is>
      </c>
      <c r="F2830" s="13" t="n">
        <v>3</v>
      </c>
      <c r="G2830" s="13" t="n">
        <v>3</v>
      </c>
      <c r="H2830" s="8" t="n">
        <v>16.89</v>
      </c>
      <c r="I2830" s="8" t="n">
        <v>16.89</v>
      </c>
      <c r="J2830" s="8" t="n">
        <v>16.89</v>
      </c>
      <c r="K2830" s="8" t="n"/>
      <c r="L2830" s="8" t="n"/>
      <c r="M2830" s="8" t="n"/>
      <c r="N2830" s="8" t="n"/>
      <c r="O2830" s="8" t="n"/>
      <c r="P2830" s="8" t="n"/>
      <c r="Q2830" s="8" t="n"/>
      <c r="R2830" s="8" t="n"/>
      <c r="S2830" s="8" t="n"/>
      <c r="T2830" s="7" t="inlineStr">
        <is>
          <t>SEM COTAÇÃO</t>
        </is>
      </c>
      <c r="U2830" s="8" t="n"/>
      <c r="V2830" s="14" t="n"/>
      <c r="W2830" s="14" t="n"/>
      <c r="X2830" s="7" t="inlineStr"/>
      <c r="Y2830" s="7" t="inlineStr"/>
    </row>
    <row r="2831">
      <c r="A2831" s="7" t="n">
        <v>654951</v>
      </c>
      <c r="B2831" s="12" t="inlineStr">
        <is>
          <t>7908475808196</t>
        </is>
      </c>
      <c r="C2831" s="7" t="inlineStr">
        <is>
          <t>MAGNÉSIO 200MG (DIMALATO, CITRATO E BISGLICINATO) 30 CAPS</t>
        </is>
      </c>
      <c r="D2831" s="7" t="inlineStr">
        <is>
          <t>VITAMINA E SIMILARES</t>
        </is>
      </c>
      <c r="E2831" s="7" t="inlineStr">
        <is>
          <t>C</t>
        </is>
      </c>
      <c r="F2831" s="13" t="n">
        <v>4</v>
      </c>
      <c r="G2831" s="13" t="n">
        <v>4</v>
      </c>
      <c r="H2831" s="8" t="n">
        <v>13.83</v>
      </c>
      <c r="I2831" s="8" t="n">
        <v>13.83</v>
      </c>
      <c r="J2831" s="8" t="n">
        <v>13.83</v>
      </c>
      <c r="K2831" s="8" t="n"/>
      <c r="L2831" s="8" t="n"/>
      <c r="M2831" s="8" t="n"/>
      <c r="N2831" s="8" t="n"/>
      <c r="O2831" s="8" t="n"/>
      <c r="P2831" s="8" t="n"/>
      <c r="Q2831" s="8" t="n"/>
      <c r="R2831" s="8" t="n"/>
      <c r="S2831" s="8" t="n"/>
      <c r="T2831" s="7" t="inlineStr">
        <is>
          <t>SEM COTAÇÃO</t>
        </is>
      </c>
      <c r="U2831" s="8" t="n"/>
      <c r="V2831" s="14" t="n"/>
      <c r="W2831" s="14" t="n"/>
      <c r="X2831" s="7" t="inlineStr"/>
      <c r="Y2831" s="7" t="inlineStr"/>
    </row>
    <row r="2832">
      <c r="A2832" s="7" t="n">
        <v>664751</v>
      </c>
      <c r="B2832" s="12" t="inlineStr">
        <is>
          <t>7896523201863</t>
        </is>
      </c>
      <c r="C2832" s="7" t="inlineStr">
        <is>
          <t>MAL DEXCLORF 2MG COMP REV 20CP</t>
        </is>
      </c>
      <c r="D2832" s="7" t="inlineStr">
        <is>
          <t>GENERICO</t>
        </is>
      </c>
      <c r="E2832" s="7" t="inlineStr">
        <is>
          <t>C</t>
        </is>
      </c>
      <c r="F2832" s="13" t="n">
        <v>6</v>
      </c>
      <c r="G2832" s="13" t="n">
        <v>6</v>
      </c>
      <c r="H2832" s="8" t="n"/>
      <c r="I2832" s="8" t="n"/>
      <c r="J2832" s="8" t="n"/>
      <c r="K2832" s="8" t="n"/>
      <c r="L2832" s="8" t="n"/>
      <c r="M2832" s="8" t="n"/>
      <c r="N2832" s="8" t="n"/>
      <c r="O2832" s="8" t="n"/>
      <c r="P2832" s="8" t="n"/>
      <c r="Q2832" s="8" t="n"/>
      <c r="R2832" s="8" t="n"/>
      <c r="S2832" s="8" t="n"/>
      <c r="T2832" s="7" t="inlineStr">
        <is>
          <t>SEM COTAÇÃO</t>
        </is>
      </c>
      <c r="U2832" s="8" t="n"/>
      <c r="V2832" s="14" t="n"/>
      <c r="W2832" s="14" t="n"/>
      <c r="X2832" s="7" t="inlineStr"/>
      <c r="Y2832" s="7" t="inlineStr"/>
    </row>
    <row r="2833">
      <c r="A2833" s="7" t="n">
        <v>56761</v>
      </c>
      <c r="B2833" s="12" t="inlineStr">
        <is>
          <t>7898060132075</t>
        </is>
      </c>
      <c r="C2833" s="7" t="inlineStr">
        <is>
          <t>MAL DEXCLORFENIRAMINA+BETAMETASONA 0,4+0,05MG XPE FR 120ML+CM</t>
        </is>
      </c>
      <c r="D2833" s="7" t="inlineStr">
        <is>
          <t>GENERICO</t>
        </is>
      </c>
      <c r="E2833" s="7" t="inlineStr">
        <is>
          <t>A</t>
        </is>
      </c>
      <c r="F2833" s="13" t="n">
        <v>20</v>
      </c>
      <c r="G2833" s="13" t="n">
        <v>20</v>
      </c>
      <c r="H2833" s="8" t="n">
        <v>5.1</v>
      </c>
      <c r="I2833" s="8" t="n">
        <v>5.1</v>
      </c>
      <c r="J2833" s="8" t="n">
        <v>5.1</v>
      </c>
      <c r="K2833" s="8" t="n">
        <v>4.68</v>
      </c>
      <c r="L2833" s="8" t="n"/>
      <c r="M2833" s="8" t="n"/>
      <c r="N2833" s="15" t="n">
        <v>4.65</v>
      </c>
      <c r="O2833" s="8" t="n"/>
      <c r="P2833" s="8" t="n"/>
      <c r="Q2833" s="8" t="n"/>
      <c r="R2833" s="8" t="n"/>
      <c r="S2833" s="8" t="n"/>
      <c r="T2833" s="7" t="inlineStr">
        <is>
          <t>CENTROFARMA</t>
        </is>
      </c>
      <c r="U2833" s="8" t="n">
        <v>4.65</v>
      </c>
      <c r="V2833" s="14">
        <f>U2833/J2833-1</f>
        <v/>
      </c>
      <c r="W2833" s="14">
        <f>U2833/H2833-1</f>
        <v/>
      </c>
      <c r="X2833" s="17" t="inlineStr">
        <is>
          <t>OK (≤ menor hist.)</t>
        </is>
      </c>
      <c r="Y2833" s="7" t="inlineStr"/>
    </row>
    <row r="2834">
      <c r="A2834" s="7" t="n">
        <v>512521</v>
      </c>
      <c r="B2834" s="12" t="inlineStr"/>
      <c r="C2834" s="7" t="inlineStr">
        <is>
          <t>MALEATO DE ENALAPRIL 10MG CX 30 COMP</t>
        </is>
      </c>
      <c r="D2834" s="7" t="inlineStr">
        <is>
          <t>GENERICO</t>
        </is>
      </c>
      <c r="E2834" s="7" t="inlineStr">
        <is>
          <t>A</t>
        </is>
      </c>
      <c r="F2834" s="13" t="n">
        <v>19</v>
      </c>
      <c r="G2834" s="13" t="n">
        <v>19</v>
      </c>
      <c r="H2834" s="8" t="n">
        <v>1.89</v>
      </c>
      <c r="I2834" s="8" t="n">
        <v>1.69</v>
      </c>
      <c r="J2834" s="8" t="n">
        <v>1.756666666666667</v>
      </c>
      <c r="K2834" s="8" t="n"/>
      <c r="L2834" s="8" t="n"/>
      <c r="M2834" s="8" t="n"/>
      <c r="N2834" s="8" t="n"/>
      <c r="O2834" s="8" t="n"/>
      <c r="P2834" s="8" t="n"/>
      <c r="Q2834" s="8" t="n"/>
      <c r="R2834" s="8" t="n"/>
      <c r="S2834" s="8" t="n"/>
      <c r="T2834" s="7" t="inlineStr">
        <is>
          <t>SEM COTAÇÃO</t>
        </is>
      </c>
      <c r="U2834" s="8" t="n"/>
      <c r="V2834" s="14" t="n"/>
      <c r="W2834" s="14" t="n"/>
      <c r="X2834" s="7" t="inlineStr"/>
      <c r="Y2834" s="7" t="inlineStr"/>
    </row>
    <row r="2835">
      <c r="A2835" s="7" t="n">
        <v>334461</v>
      </c>
      <c r="B2835" s="12" t="inlineStr">
        <is>
          <t>7894916143028</t>
        </is>
      </c>
      <c r="C2835" s="7" t="inlineStr">
        <is>
          <t>MALEATO DE ENALAPRIL 10MG CX 30 COMP</t>
        </is>
      </c>
      <c r="D2835" s="7" t="inlineStr">
        <is>
          <t>GENERICO</t>
        </is>
      </c>
      <c r="E2835" s="7" t="inlineStr">
        <is>
          <t>C</t>
        </is>
      </c>
      <c r="F2835" s="13" t="n">
        <v>1</v>
      </c>
      <c r="G2835" s="13" t="n">
        <v>1</v>
      </c>
      <c r="H2835" s="8" t="n">
        <v>2.08</v>
      </c>
      <c r="I2835" s="8" t="n">
        <v>2.08</v>
      </c>
      <c r="J2835" s="8" t="n">
        <v>2.08</v>
      </c>
      <c r="K2835" s="8" t="n"/>
      <c r="L2835" s="8" t="n"/>
      <c r="M2835" s="8" t="n"/>
      <c r="N2835" s="8" t="n"/>
      <c r="O2835" s="8" t="n"/>
      <c r="P2835" s="8" t="n"/>
      <c r="Q2835" s="8" t="n"/>
      <c r="R2835" s="8" t="n"/>
      <c r="S2835" s="8" t="n"/>
      <c r="T2835" s="7" t="inlineStr">
        <is>
          <t>SEM COTAÇÃO</t>
        </is>
      </c>
      <c r="U2835" s="8" t="n"/>
      <c r="V2835" s="14" t="n"/>
      <c r="W2835" s="14" t="n"/>
      <c r="X2835" s="7" t="inlineStr"/>
      <c r="Y2835" s="7" t="inlineStr"/>
    </row>
    <row r="2836">
      <c r="A2836" s="7" t="n">
        <v>334821</v>
      </c>
      <c r="B2836" s="12" t="inlineStr">
        <is>
          <t>7897917005203</t>
        </is>
      </c>
      <c r="C2836" s="7" t="inlineStr">
        <is>
          <t>MALEATO DE ENALAPRIL 10MG CX 30 COMP</t>
        </is>
      </c>
      <c r="D2836" s="7" t="inlineStr">
        <is>
          <t>SIMILAR</t>
        </is>
      </c>
      <c r="E2836" s="7" t="inlineStr">
        <is>
          <t>C</t>
        </is>
      </c>
      <c r="F2836" s="13" t="n">
        <v>6</v>
      </c>
      <c r="G2836" s="13" t="n">
        <v>6</v>
      </c>
      <c r="H2836" s="8" t="n">
        <v>2.39</v>
      </c>
      <c r="I2836" s="8" t="n">
        <v>2.39</v>
      </c>
      <c r="J2836" s="8" t="n">
        <v>2.39</v>
      </c>
      <c r="K2836" s="8" t="n"/>
      <c r="L2836" s="8" t="n"/>
      <c r="M2836" s="8" t="n"/>
      <c r="N2836" s="8" t="n"/>
      <c r="O2836" s="8" t="n"/>
      <c r="P2836" s="8" t="n"/>
      <c r="Q2836" s="8" t="n"/>
      <c r="R2836" s="8" t="n"/>
      <c r="S2836" s="8" t="n"/>
      <c r="T2836" s="7" t="inlineStr">
        <is>
          <t>SEM COTAÇÃO</t>
        </is>
      </c>
      <c r="U2836" s="8" t="n"/>
      <c r="V2836" s="14" t="n"/>
      <c r="W2836" s="14" t="n"/>
      <c r="X2836" s="7" t="inlineStr"/>
      <c r="Y2836" s="7" t="inlineStr"/>
    </row>
    <row r="2837">
      <c r="A2837" s="7" t="n">
        <v>334841</v>
      </c>
      <c r="B2837" s="12" t="inlineStr">
        <is>
          <t>7897917005227</t>
        </is>
      </c>
      <c r="C2837" s="7" t="inlineStr">
        <is>
          <t>MALEATO DE ENALAPRIL 20MG CX 30 COMP</t>
        </is>
      </c>
      <c r="D2837" s="7" t="inlineStr">
        <is>
          <t>GENERICO</t>
        </is>
      </c>
      <c r="E2837" s="7" t="inlineStr">
        <is>
          <t>C</t>
        </is>
      </c>
      <c r="F2837" s="13" t="n">
        <v>4</v>
      </c>
      <c r="G2837" s="13" t="n">
        <v>4</v>
      </c>
      <c r="H2837" s="8" t="n">
        <v>3.09</v>
      </c>
      <c r="I2837" s="8" t="n">
        <v>3.09</v>
      </c>
      <c r="J2837" s="8" t="n">
        <v>3.09</v>
      </c>
      <c r="K2837" s="8" t="n"/>
      <c r="L2837" s="8" t="n"/>
      <c r="M2837" s="8" t="n"/>
      <c r="N2837" s="8" t="n"/>
      <c r="O2837" s="8" t="n"/>
      <c r="P2837" s="8" t="n"/>
      <c r="Q2837" s="8" t="n"/>
      <c r="R2837" s="8" t="n"/>
      <c r="S2837" s="8" t="n"/>
      <c r="T2837" s="7" t="inlineStr">
        <is>
          <t>SEM COTAÇÃO</t>
        </is>
      </c>
      <c r="U2837" s="8" t="n"/>
      <c r="V2837" s="14" t="n"/>
      <c r="W2837" s="14" t="n"/>
      <c r="X2837" s="7" t="inlineStr"/>
      <c r="Y2837" s="7" t="inlineStr"/>
    </row>
    <row r="2838">
      <c r="A2838" s="7" t="n">
        <v>512501</v>
      </c>
      <c r="B2838" s="12" t="inlineStr">
        <is>
          <t>7896523210773</t>
        </is>
      </c>
      <c r="C2838" s="7" t="inlineStr">
        <is>
          <t>MALEATO DE ENALAPRIL 20MG CX 30 COMP</t>
        </is>
      </c>
      <c r="D2838" s="7" t="inlineStr">
        <is>
          <t>GENERICO</t>
        </is>
      </c>
      <c r="E2838" s="7" t="inlineStr">
        <is>
          <t>A</t>
        </is>
      </c>
      <c r="F2838" s="13" t="n">
        <v>26</v>
      </c>
      <c r="G2838" s="13" t="n">
        <v>26</v>
      </c>
      <c r="H2838" s="8" t="n">
        <v>2.35</v>
      </c>
      <c r="I2838" s="8" t="n">
        <v>2.23</v>
      </c>
      <c r="J2838" s="8" t="n">
        <v>2.26</v>
      </c>
      <c r="K2838" s="15" t="n">
        <v>2.86</v>
      </c>
      <c r="L2838" s="8" t="n"/>
      <c r="M2838" s="8" t="n"/>
      <c r="N2838" s="8" t="n"/>
      <c r="O2838" s="8" t="n"/>
      <c r="P2838" s="8" t="n">
        <v>13.8</v>
      </c>
      <c r="Q2838" s="8" t="n"/>
      <c r="R2838" s="8" t="n"/>
      <c r="S2838" s="8" t="n"/>
      <c r="T2838" s="7" t="inlineStr">
        <is>
          <t>DIMEC</t>
        </is>
      </c>
      <c r="U2838" s="8" t="n">
        <v>2.86</v>
      </c>
      <c r="V2838" s="14">
        <f>U2838/J2838-1</f>
        <v/>
      </c>
      <c r="W2838" s="14">
        <f>U2838/H2838-1</f>
        <v/>
      </c>
      <c r="X2838" s="16" t="inlineStr">
        <is>
          <t>ACIMA +21.7%</t>
        </is>
      </c>
      <c r="Y2838" s="7" t="inlineStr">
        <is>
          <t>NAZARIA: conferir emb.</t>
        </is>
      </c>
    </row>
    <row r="2839">
      <c r="A2839" s="7" t="n">
        <v>334801</v>
      </c>
      <c r="B2839" s="12" t="inlineStr">
        <is>
          <t>7897917005180</t>
        </is>
      </c>
      <c r="C2839" s="7" t="inlineStr">
        <is>
          <t>MALEATO DE ENALAPRIL 5MG CX 30 COMP</t>
        </is>
      </c>
      <c r="D2839" s="7" t="inlineStr">
        <is>
          <t>GENERICO</t>
        </is>
      </c>
      <c r="E2839" s="7" t="inlineStr">
        <is>
          <t>C</t>
        </is>
      </c>
      <c r="F2839" s="13" t="n">
        <v>3</v>
      </c>
      <c r="G2839" s="13" t="n">
        <v>3</v>
      </c>
      <c r="H2839" s="8" t="n">
        <v>2.18</v>
      </c>
      <c r="I2839" s="8" t="n">
        <v>2.18</v>
      </c>
      <c r="J2839" s="8" t="n">
        <v>2.18</v>
      </c>
      <c r="K2839" s="8" t="n"/>
      <c r="L2839" s="8" t="n"/>
      <c r="M2839" s="8" t="n"/>
      <c r="N2839" s="15" t="n">
        <v>2</v>
      </c>
      <c r="O2839" s="8" t="n"/>
      <c r="P2839" s="8" t="n"/>
      <c r="Q2839" s="8" t="n"/>
      <c r="R2839" s="8" t="n"/>
      <c r="S2839" s="8" t="n"/>
      <c r="T2839" s="7" t="inlineStr">
        <is>
          <t>CENTROFARMA</t>
        </is>
      </c>
      <c r="U2839" s="8" t="n">
        <v>2</v>
      </c>
      <c r="V2839" s="14">
        <f>U2839/J2839-1</f>
        <v/>
      </c>
      <c r="W2839" s="14">
        <f>U2839/H2839-1</f>
        <v/>
      </c>
      <c r="X2839" s="17" t="inlineStr">
        <is>
          <t>OK (≤ menor hist.)</t>
        </is>
      </c>
      <c r="Y2839" s="7" t="inlineStr"/>
    </row>
    <row r="2840">
      <c r="A2840" s="7" t="n">
        <v>336001</v>
      </c>
      <c r="B2840" s="12" t="inlineStr">
        <is>
          <t>7898945030212</t>
        </is>
      </c>
      <c r="C2840" s="7" t="inlineStr">
        <is>
          <t>MALEATO DE TRIMEBUTINA 200MG CX 30 COMP</t>
        </is>
      </c>
      <c r="D2840" s="7" t="inlineStr">
        <is>
          <t>GENERICO</t>
        </is>
      </c>
      <c r="E2840" s="7" t="inlineStr">
        <is>
          <t>C</t>
        </is>
      </c>
      <c r="F2840" s="13" t="n">
        <v>1</v>
      </c>
      <c r="G2840" s="13" t="n">
        <v>1</v>
      </c>
      <c r="H2840" s="8" t="n">
        <v>33.8</v>
      </c>
      <c r="I2840" s="8" t="n">
        <v>31.95</v>
      </c>
      <c r="J2840" s="8" t="n">
        <v>33.18333333333333</v>
      </c>
      <c r="K2840" s="8" t="n">
        <v>35.44</v>
      </c>
      <c r="L2840" s="15" t="n">
        <v>34.66</v>
      </c>
      <c r="M2840" s="8" t="n"/>
      <c r="N2840" s="8" t="n">
        <v>35.84</v>
      </c>
      <c r="O2840" s="8" t="n"/>
      <c r="P2840" s="8" t="n"/>
      <c r="Q2840" s="8" t="n">
        <v>37.92</v>
      </c>
      <c r="R2840" s="8" t="n"/>
      <c r="S2840" s="8" t="n"/>
      <c r="T2840" s="7" t="inlineStr">
        <is>
          <t>PLUSFARMA</t>
        </is>
      </c>
      <c r="U2840" s="8" t="n">
        <v>34.66</v>
      </c>
      <c r="V2840" s="14">
        <f>U2840/J2840-1</f>
        <v/>
      </c>
      <c r="W2840" s="14">
        <f>U2840/H2840-1</f>
        <v/>
      </c>
      <c r="X2840" s="16" t="inlineStr">
        <is>
          <t>ACIMA +2.5%</t>
        </is>
      </c>
      <c r="Y2840" s="7" t="inlineStr"/>
    </row>
    <row r="2841">
      <c r="A2841" s="7" t="n">
        <v>449941</v>
      </c>
      <c r="B2841" s="12" t="inlineStr">
        <is>
          <t>7896026170475</t>
        </is>
      </c>
      <c r="C2841" s="7" t="inlineStr">
        <is>
          <t>MALVATRICIN 0,1+1MG/ML SOL TOP FR 250ML</t>
        </is>
      </c>
      <c r="D2841" s="7" t="inlineStr">
        <is>
          <t>RX - OTC</t>
        </is>
      </c>
      <c r="E2841" s="7" t="inlineStr">
        <is>
          <t>C</t>
        </is>
      </c>
      <c r="F2841" s="13" t="n">
        <v>1</v>
      </c>
      <c r="G2841" s="13" t="n">
        <v>1</v>
      </c>
      <c r="H2841" s="8" t="n">
        <v>27.715</v>
      </c>
      <c r="I2841" s="8" t="n">
        <v>27.715</v>
      </c>
      <c r="J2841" s="8" t="n">
        <v>27.715</v>
      </c>
      <c r="K2841" s="8" t="n"/>
      <c r="L2841" s="8" t="n"/>
      <c r="M2841" s="8" t="n"/>
      <c r="N2841" s="8" t="n"/>
      <c r="O2841" s="8" t="n"/>
      <c r="P2841" s="8" t="n">
        <v>30.192</v>
      </c>
      <c r="Q2841" s="8" t="n"/>
      <c r="R2841" s="8" t="n"/>
      <c r="S2841" s="8" t="n"/>
      <c r="T2841" s="7" t="inlineStr">
        <is>
          <t>SEM COTAÇÃO</t>
        </is>
      </c>
      <c r="U2841" s="8" t="n"/>
      <c r="V2841" s="14" t="n"/>
      <c r="W2841" s="14" t="n"/>
      <c r="X2841" s="7" t="inlineStr"/>
      <c r="Y2841" s="7" t="inlineStr">
        <is>
          <t>NAZARIA: sem estoque</t>
        </is>
      </c>
    </row>
    <row r="2842">
      <c r="A2842" s="7" t="n">
        <v>464261</v>
      </c>
      <c r="B2842" s="12" t="inlineStr"/>
      <c r="C2842" s="7" t="inlineStr">
        <is>
          <t>MALVATRICIN 1+2+4MG/ML SOL OR SPRAY FR 50ML</t>
        </is>
      </c>
      <c r="D2842" s="7" t="inlineStr">
        <is>
          <t>RX - OTC</t>
        </is>
      </c>
      <c r="E2842" s="7" t="inlineStr">
        <is>
          <t>A</t>
        </is>
      </c>
      <c r="F2842" s="13" t="n">
        <v>2</v>
      </c>
      <c r="G2842" s="13" t="n">
        <v>2</v>
      </c>
      <c r="H2842" s="8" t="n">
        <v>33.4333</v>
      </c>
      <c r="I2842" s="8" t="n">
        <v>32.015</v>
      </c>
      <c r="J2842" s="8" t="n">
        <v>32.96053333333334</v>
      </c>
      <c r="K2842" s="8" t="n"/>
      <c r="L2842" s="8" t="n"/>
      <c r="M2842" s="8" t="n"/>
      <c r="N2842" s="8" t="n"/>
      <c r="O2842" s="8" t="n"/>
      <c r="P2842" s="8" t="n"/>
      <c r="Q2842" s="8" t="n"/>
      <c r="R2842" s="8" t="n"/>
      <c r="S2842" s="8" t="n"/>
      <c r="T2842" s="7" t="inlineStr">
        <is>
          <t>SEM COTAÇÃO</t>
        </is>
      </c>
      <c r="U2842" s="8" t="n"/>
      <c r="V2842" s="14" t="n"/>
      <c r="W2842" s="14" t="n"/>
      <c r="X2842" s="7" t="inlineStr"/>
      <c r="Y2842" s="7" t="inlineStr"/>
    </row>
    <row r="2843">
      <c r="A2843" s="7" t="n">
        <v>654211</v>
      </c>
      <c r="B2843" s="12" t="inlineStr">
        <is>
          <t>7896026170406</t>
        </is>
      </c>
      <c r="C2843" s="7" t="inlineStr">
        <is>
          <t>MALVATRIKIDS BABY CR DEN S/FLUOR 70G</t>
        </is>
      </c>
      <c r="D2843" s="7" t="inlineStr">
        <is>
          <t>RX</t>
        </is>
      </c>
      <c r="E2843" s="7" t="inlineStr">
        <is>
          <t>B</t>
        </is>
      </c>
      <c r="F2843" s="13" t="n">
        <v>3</v>
      </c>
      <c r="G2843" s="13" t="n">
        <v>3</v>
      </c>
      <c r="H2843" s="8" t="n">
        <v>13.26</v>
      </c>
      <c r="I2843" s="8" t="n">
        <v>13.26</v>
      </c>
      <c r="J2843" s="8" t="n">
        <v>13.26</v>
      </c>
      <c r="K2843" s="8" t="n"/>
      <c r="L2843" s="8" t="n"/>
      <c r="M2843" s="8" t="n"/>
      <c r="N2843" s="8" t="n"/>
      <c r="O2843" s="8" t="n"/>
      <c r="P2843" s="15" t="n">
        <v>18.4106</v>
      </c>
      <c r="Q2843" s="8" t="n"/>
      <c r="R2843" s="8" t="n"/>
      <c r="S2843" s="8" t="n"/>
      <c r="T2843" s="7" t="inlineStr">
        <is>
          <t>NAZARIA</t>
        </is>
      </c>
      <c r="U2843" s="8" t="n">
        <v>18.4106</v>
      </c>
      <c r="V2843" s="14">
        <f>U2843/J2843-1</f>
        <v/>
      </c>
      <c r="W2843" s="14">
        <f>U2843/H2843-1</f>
        <v/>
      </c>
      <c r="X2843" s="16" t="inlineStr">
        <is>
          <t>ACIMA +38.8%</t>
        </is>
      </c>
      <c r="Y2843" s="7" t="inlineStr"/>
    </row>
    <row r="2844">
      <c r="A2844" s="7" t="n">
        <v>654241</v>
      </c>
      <c r="B2844" s="12" t="inlineStr">
        <is>
          <t>7896026172158</t>
        </is>
      </c>
      <c r="C2844" s="7" t="inlineStr">
        <is>
          <t>MALVATRIKIDS JUNIOR GEL DENT 85G</t>
        </is>
      </c>
      <c r="D2844" s="7" t="inlineStr">
        <is>
          <t>RX</t>
        </is>
      </c>
      <c r="E2844" s="7" t="inlineStr">
        <is>
          <t>C</t>
        </is>
      </c>
      <c r="F2844" s="13" t="n">
        <v>1</v>
      </c>
      <c r="G2844" s="13" t="n">
        <v>1</v>
      </c>
      <c r="H2844" s="8" t="n">
        <v>16.725</v>
      </c>
      <c r="I2844" s="8" t="n">
        <v>16.725</v>
      </c>
      <c r="J2844" s="8" t="n">
        <v>16.725</v>
      </c>
      <c r="K2844" s="8" t="n"/>
      <c r="L2844" s="8" t="n"/>
      <c r="M2844" s="8" t="n"/>
      <c r="N2844" s="8" t="n"/>
      <c r="O2844" s="8" t="n"/>
      <c r="P2844" s="8" t="n">
        <v>18.4106</v>
      </c>
      <c r="Q2844" s="8" t="n"/>
      <c r="R2844" s="8" t="n"/>
      <c r="S2844" s="8" t="n"/>
      <c r="T2844" s="7" t="inlineStr">
        <is>
          <t>SEM COTAÇÃO</t>
        </is>
      </c>
      <c r="U2844" s="8" t="n"/>
      <c r="V2844" s="14" t="n"/>
      <c r="W2844" s="14" t="n"/>
      <c r="X2844" s="7" t="inlineStr"/>
      <c r="Y2844" s="7" t="inlineStr">
        <is>
          <t>NAZARIA: sem estoque</t>
        </is>
      </c>
    </row>
    <row r="2845">
      <c r="A2845" s="7" t="n">
        <v>653561</v>
      </c>
      <c r="B2845" s="12" t="inlineStr">
        <is>
          <t>7896699026574</t>
        </is>
      </c>
      <c r="C2845" s="7" t="inlineStr">
        <is>
          <t>MAM BIG TIPCOLOR 300ML R M - LOLLY</t>
        </is>
      </c>
      <c r="D2845" s="7" t="inlineStr">
        <is>
          <t>BABY/KIDS</t>
        </is>
      </c>
      <c r="E2845" s="7" t="inlineStr">
        <is>
          <t>B</t>
        </is>
      </c>
      <c r="F2845" s="13" t="n">
        <v>3</v>
      </c>
      <c r="G2845" s="13" t="n">
        <v>3</v>
      </c>
      <c r="H2845" s="8" t="n">
        <v>17.17</v>
      </c>
      <c r="I2845" s="8" t="n">
        <v>17.17</v>
      </c>
      <c r="J2845" s="8" t="n">
        <v>17.17</v>
      </c>
      <c r="K2845" s="8" t="n"/>
      <c r="L2845" s="8" t="n"/>
      <c r="M2845" s="8" t="n"/>
      <c r="N2845" s="8" t="n"/>
      <c r="O2845" s="8" t="n"/>
      <c r="P2845" s="8" t="n"/>
      <c r="Q2845" s="8" t="n"/>
      <c r="R2845" s="8" t="n"/>
      <c r="S2845" s="8" t="n"/>
      <c r="T2845" s="7" t="inlineStr">
        <is>
          <t>SEM COTAÇÃO</t>
        </is>
      </c>
      <c r="U2845" s="8" t="n"/>
      <c r="V2845" s="14" t="n"/>
      <c r="W2845" s="14" t="n"/>
      <c r="X2845" s="7" t="inlineStr"/>
      <c r="Y2845" s="7" t="inlineStr"/>
    </row>
    <row r="2846">
      <c r="A2846" s="7" t="n">
        <v>653541</v>
      </c>
      <c r="B2846" s="12" t="inlineStr">
        <is>
          <t>7896699032445</t>
        </is>
      </c>
      <c r="C2846" s="7" t="inlineStr">
        <is>
          <t>MAM TIP 240ML SIL R F - LOLLY</t>
        </is>
      </c>
      <c r="D2846" s="7" t="inlineStr">
        <is>
          <t>BABY/KIDS</t>
        </is>
      </c>
      <c r="E2846" s="7" t="inlineStr">
        <is>
          <t>C</t>
        </is>
      </c>
      <c r="F2846" s="13" t="n">
        <v>2</v>
      </c>
      <c r="G2846" s="13" t="n">
        <v>2</v>
      </c>
      <c r="H2846" s="8" t="n">
        <v>12.71</v>
      </c>
      <c r="I2846" s="8" t="n">
        <v>12.71</v>
      </c>
      <c r="J2846" s="8" t="n">
        <v>12.71</v>
      </c>
      <c r="K2846" s="8" t="n"/>
      <c r="L2846" s="8" t="n"/>
      <c r="M2846" s="8" t="n"/>
      <c r="N2846" s="8" t="n"/>
      <c r="O2846" s="8" t="n"/>
      <c r="P2846" s="8" t="n"/>
      <c r="Q2846" s="8" t="n"/>
      <c r="R2846" s="8" t="n"/>
      <c r="S2846" s="8" t="n"/>
      <c r="T2846" s="7" t="inlineStr">
        <is>
          <t>SEM COTAÇÃO</t>
        </is>
      </c>
      <c r="U2846" s="8" t="n"/>
      <c r="V2846" s="14" t="n"/>
      <c r="W2846" s="14" t="n"/>
      <c r="X2846" s="7" t="inlineStr"/>
      <c r="Y2846" s="7" t="inlineStr"/>
    </row>
    <row r="2847">
      <c r="A2847" s="7" t="n">
        <v>38003</v>
      </c>
      <c r="B2847" s="12" t="inlineStr">
        <is>
          <t>7896033221030</t>
        </is>
      </c>
      <c r="C2847" s="7" t="inlineStr">
        <is>
          <t>MAMAD FIONA MINI SIL 50ML AZUL 641820</t>
        </is>
      </c>
      <c r="D2847" s="7" t="inlineStr">
        <is>
          <t>BABY/KIDS</t>
        </is>
      </c>
      <c r="E2847" s="7" t="inlineStr">
        <is>
          <t>B</t>
        </is>
      </c>
      <c r="F2847" s="13" t="n">
        <v>8</v>
      </c>
      <c r="G2847" s="13" t="n">
        <v>8</v>
      </c>
      <c r="H2847" s="8" t="n">
        <v>7.69</v>
      </c>
      <c r="I2847" s="8" t="n">
        <v>7.69</v>
      </c>
      <c r="J2847" s="8" t="n">
        <v>7.69</v>
      </c>
      <c r="K2847" s="8" t="n"/>
      <c r="L2847" s="8" t="n"/>
      <c r="M2847" s="8" t="n"/>
      <c r="N2847" s="8" t="n"/>
      <c r="O2847" s="8" t="n"/>
      <c r="P2847" s="8" t="n"/>
      <c r="Q2847" s="8" t="n"/>
      <c r="R2847" s="8" t="n"/>
      <c r="S2847" s="8" t="n"/>
      <c r="T2847" s="7" t="inlineStr">
        <is>
          <t>SEM COTAÇÃO</t>
        </is>
      </c>
      <c r="U2847" s="8" t="n"/>
      <c r="V2847" s="14" t="n"/>
      <c r="W2847" s="14" t="n"/>
      <c r="X2847" s="7" t="inlineStr"/>
      <c r="Y2847" s="7" t="inlineStr"/>
    </row>
    <row r="2848">
      <c r="A2848" s="7" t="n">
        <v>37903</v>
      </c>
      <c r="B2848" s="12" t="inlineStr">
        <is>
          <t>7896033221047</t>
        </is>
      </c>
      <c r="C2848" s="7" t="inlineStr">
        <is>
          <t>MAMAD MINI SIL 50ML ROSA 821630/641830</t>
        </is>
      </c>
      <c r="D2848" s="7" t="inlineStr">
        <is>
          <t>BABY/KIDS</t>
        </is>
      </c>
      <c r="E2848" s="7" t="inlineStr">
        <is>
          <t>C</t>
        </is>
      </c>
      <c r="F2848" s="13" t="n">
        <v>3</v>
      </c>
      <c r="G2848" s="13" t="n">
        <v>3</v>
      </c>
      <c r="H2848" s="8" t="n">
        <v>7.69</v>
      </c>
      <c r="I2848" s="8" t="n">
        <v>7.69</v>
      </c>
      <c r="J2848" s="8" t="n">
        <v>7.69</v>
      </c>
      <c r="K2848" s="8" t="n"/>
      <c r="L2848" s="8" t="n"/>
      <c r="M2848" s="8" t="n"/>
      <c r="N2848" s="8" t="n"/>
      <c r="O2848" s="8" t="n"/>
      <c r="P2848" s="8" t="n"/>
      <c r="Q2848" s="8" t="n"/>
      <c r="R2848" s="8" t="n"/>
      <c r="S2848" s="8" t="n"/>
      <c r="T2848" s="7" t="inlineStr">
        <is>
          <t>SEM COTAÇÃO</t>
        </is>
      </c>
      <c r="U2848" s="8" t="n"/>
      <c r="V2848" s="14" t="n"/>
      <c r="W2848" s="14" t="n"/>
      <c r="X2848" s="7" t="inlineStr"/>
      <c r="Y2848" s="7" t="inlineStr"/>
    </row>
    <row r="2849">
      <c r="A2849" s="7" t="n">
        <v>671231</v>
      </c>
      <c r="B2849" s="12" t="inlineStr">
        <is>
          <t>7896033212342</t>
        </is>
      </c>
      <c r="C2849" s="7" t="inlineStr">
        <is>
          <t>MAMAD SUP EVOLUTION 300ML MICKEY 305421</t>
        </is>
      </c>
      <c r="D2849" s="7" t="inlineStr">
        <is>
          <t>BABY/KIDS</t>
        </is>
      </c>
      <c r="E2849" s="7" t="inlineStr">
        <is>
          <t>C</t>
        </is>
      </c>
      <c r="F2849" s="13" t="n">
        <v>1</v>
      </c>
      <c r="G2849" s="13" t="n">
        <v>1</v>
      </c>
      <c r="H2849" s="8" t="n">
        <v>27.73</v>
      </c>
      <c r="I2849" s="8" t="n">
        <v>27.73</v>
      </c>
      <c r="J2849" s="8" t="n">
        <v>27.73</v>
      </c>
      <c r="K2849" s="8" t="n"/>
      <c r="L2849" s="8" t="n"/>
      <c r="M2849" s="8" t="n"/>
      <c r="N2849" s="8" t="n"/>
      <c r="O2849" s="8" t="n"/>
      <c r="P2849" s="8" t="n"/>
      <c r="Q2849" s="8" t="n"/>
      <c r="R2849" s="8" t="n"/>
      <c r="S2849" s="8" t="n"/>
      <c r="T2849" s="7" t="inlineStr">
        <is>
          <t>SEM COTAÇÃO</t>
        </is>
      </c>
      <c r="U2849" s="8" t="n"/>
      <c r="V2849" s="14" t="n"/>
      <c r="W2849" s="14" t="n"/>
      <c r="X2849" s="7" t="inlineStr"/>
      <c r="Y2849" s="7" t="inlineStr"/>
    </row>
    <row r="2850">
      <c r="A2850" s="7" t="n">
        <v>671041</v>
      </c>
      <c r="B2850" s="12" t="inlineStr">
        <is>
          <t>7896033212359</t>
        </is>
      </c>
      <c r="C2850" s="7" t="inlineStr">
        <is>
          <t>MAMAD SUP EVOLUTION 300ML MINNIE 305431</t>
        </is>
      </c>
      <c r="D2850" s="7" t="inlineStr">
        <is>
          <t>BABY/KIDS</t>
        </is>
      </c>
      <c r="E2850" s="7" t="inlineStr">
        <is>
          <t>C</t>
        </is>
      </c>
      <c r="F2850" s="13" t="n">
        <v>1</v>
      </c>
      <c r="G2850" s="13" t="n">
        <v>1</v>
      </c>
      <c r="H2850" s="8" t="n">
        <v>27.73</v>
      </c>
      <c r="I2850" s="8" t="n">
        <v>27.73</v>
      </c>
      <c r="J2850" s="8" t="n">
        <v>27.73</v>
      </c>
      <c r="K2850" s="8" t="n"/>
      <c r="L2850" s="8" t="n"/>
      <c r="M2850" s="8" t="n"/>
      <c r="N2850" s="8" t="n"/>
      <c r="O2850" s="8" t="n"/>
      <c r="P2850" s="8" t="n"/>
      <c r="Q2850" s="8" t="n"/>
      <c r="R2850" s="8" t="n"/>
      <c r="S2850" s="8" t="n"/>
      <c r="T2850" s="7" t="inlineStr">
        <is>
          <t>SEM COTAÇÃO</t>
        </is>
      </c>
      <c r="U2850" s="8" t="n"/>
      <c r="V2850" s="14" t="n"/>
      <c r="W2850" s="14" t="n"/>
      <c r="X2850" s="7" t="inlineStr"/>
      <c r="Y2850" s="7" t="inlineStr"/>
    </row>
    <row r="2851">
      <c r="A2851" s="7" t="n">
        <v>660001</v>
      </c>
      <c r="B2851" s="12" t="inlineStr">
        <is>
          <t>7896699025508</t>
        </is>
      </c>
      <c r="C2851" s="7" t="inlineStr">
        <is>
          <t>MAMADEIRA CLEAN 120 ML SIL R M - LOLLY</t>
        </is>
      </c>
      <c r="D2851" s="7" t="inlineStr">
        <is>
          <t>BABY/KIDS</t>
        </is>
      </c>
      <c r="E2851" s="7" t="inlineStr">
        <is>
          <t>C</t>
        </is>
      </c>
      <c r="F2851" s="13" t="n">
        <v>1</v>
      </c>
      <c r="G2851" s="13" t="n">
        <v>1</v>
      </c>
      <c r="H2851" s="8" t="n">
        <v>8.609999999999999</v>
      </c>
      <c r="I2851" s="8" t="n">
        <v>8.609999999999999</v>
      </c>
      <c r="J2851" s="8" t="n">
        <v>8.609999999999999</v>
      </c>
      <c r="K2851" s="8" t="n"/>
      <c r="L2851" s="8" t="n"/>
      <c r="M2851" s="8" t="n"/>
      <c r="N2851" s="8" t="n"/>
      <c r="O2851" s="8" t="n"/>
      <c r="P2851" s="8" t="n"/>
      <c r="Q2851" s="8" t="n"/>
      <c r="R2851" s="8" t="n"/>
      <c r="S2851" s="8" t="n"/>
      <c r="T2851" s="7" t="inlineStr">
        <is>
          <t>SEM COTAÇÃO</t>
        </is>
      </c>
      <c r="U2851" s="8" t="n"/>
      <c r="V2851" s="14" t="n"/>
      <c r="W2851" s="14" t="n"/>
      <c r="X2851" s="7" t="inlineStr"/>
      <c r="Y2851" s="7" t="inlineStr"/>
    </row>
    <row r="2852">
      <c r="A2852" s="7" t="n">
        <v>651861</v>
      </c>
      <c r="B2852" s="12" t="inlineStr">
        <is>
          <t>7896186000452</t>
        </is>
      </c>
      <c r="C2852" s="7" t="inlineStr">
        <is>
          <t>MANTEIGA DE CACAU BATOM</t>
        </is>
      </c>
      <c r="D2852" s="7" t="inlineStr">
        <is>
          <t>SIMILAR</t>
        </is>
      </c>
      <c r="E2852" s="7" t="inlineStr">
        <is>
          <t>A</t>
        </is>
      </c>
      <c r="F2852" s="13" t="n">
        <v>46</v>
      </c>
      <c r="G2852" s="13" t="n">
        <v>46</v>
      </c>
      <c r="H2852" s="8" t="n">
        <v>1.62</v>
      </c>
      <c r="I2852" s="8" t="n">
        <v>1.55</v>
      </c>
      <c r="J2852" s="8" t="n">
        <v>1.55</v>
      </c>
      <c r="K2852" s="8" t="n"/>
      <c r="L2852" s="8" t="n"/>
      <c r="M2852" s="8" t="n"/>
      <c r="N2852" s="8" t="n"/>
      <c r="O2852" s="8" t="n"/>
      <c r="P2852" s="8" t="n"/>
      <c r="Q2852" s="8" t="n"/>
      <c r="R2852" s="8" t="n"/>
      <c r="S2852" s="8" t="n"/>
      <c r="T2852" s="7" t="inlineStr">
        <is>
          <t>SEM COTAÇÃO</t>
        </is>
      </c>
      <c r="U2852" s="8" t="n"/>
      <c r="V2852" s="14" t="n"/>
      <c r="W2852" s="14" t="n"/>
      <c r="X2852" s="7" t="inlineStr"/>
      <c r="Y2852" s="7" t="inlineStr"/>
    </row>
    <row r="2853">
      <c r="A2853" s="7" t="n">
        <v>671241</v>
      </c>
      <c r="B2853" s="12" t="inlineStr">
        <is>
          <t>7898056231591</t>
        </is>
      </c>
      <c r="C2853" s="7" t="inlineStr">
        <is>
          <t>MANTEIGA DE CACAU LIQUI DISPLAY C/20 UND</t>
        </is>
      </c>
      <c r="D2853" s="7" t="inlineStr">
        <is>
          <t>FITOTERAPICO</t>
        </is>
      </c>
      <c r="E2853" s="7" t="inlineStr">
        <is>
          <t>C</t>
        </is>
      </c>
      <c r="F2853" s="13" t="n">
        <v>1</v>
      </c>
      <c r="G2853" s="13" t="n">
        <v>8</v>
      </c>
      <c r="H2853" s="8" t="n">
        <v>3.5315</v>
      </c>
      <c r="I2853" s="8" t="n">
        <v>3.5315</v>
      </c>
      <c r="J2853" s="8" t="n">
        <v>3.5315</v>
      </c>
      <c r="K2853" s="8" t="n"/>
      <c r="L2853" s="8" t="n"/>
      <c r="M2853" s="8" t="n"/>
      <c r="N2853" s="8" t="n"/>
      <c r="O2853" s="8" t="n"/>
      <c r="P2853" s="8" t="n"/>
      <c r="Q2853" s="8" t="n"/>
      <c r="R2853" s="8" t="n"/>
      <c r="S2853" s="8" t="n"/>
      <c r="T2853" s="7" t="inlineStr">
        <is>
          <t>SEM COTAÇÃO</t>
        </is>
      </c>
      <c r="U2853" s="8" t="n"/>
      <c r="V2853" s="14" t="n"/>
      <c r="W2853" s="14" t="n"/>
      <c r="X2853" s="7" t="inlineStr"/>
      <c r="Y2853" s="7" t="inlineStr"/>
    </row>
    <row r="2854">
      <c r="A2854" s="7" t="n">
        <v>652061</v>
      </c>
      <c r="B2854" s="12" t="inlineStr">
        <is>
          <t>7891317029951</t>
        </is>
      </c>
      <c r="C2854" s="7" t="inlineStr">
        <is>
          <t>MAQ SENIOR PREMIUM 30CPR-DEMAIS PROD</t>
        </is>
      </c>
      <c r="D2854" s="7" t="inlineStr">
        <is>
          <t>RX - OTC</t>
        </is>
      </c>
      <c r="E2854" s="7" t="inlineStr">
        <is>
          <t>B</t>
        </is>
      </c>
      <c r="F2854" s="13" t="n">
        <v>1</v>
      </c>
      <c r="G2854" s="13" t="n">
        <v>1</v>
      </c>
      <c r="H2854" s="8" t="n">
        <v>40.97</v>
      </c>
      <c r="I2854" s="8" t="n">
        <v>40.97</v>
      </c>
      <c r="J2854" s="8" t="n">
        <v>40.97</v>
      </c>
      <c r="K2854" s="8" t="n"/>
      <c r="L2854" s="15" t="n">
        <v>39.15</v>
      </c>
      <c r="M2854" s="8" t="n"/>
      <c r="N2854" s="8" t="n"/>
      <c r="O2854" s="8" t="n"/>
      <c r="P2854" s="8" t="n"/>
      <c r="Q2854" s="8" t="n"/>
      <c r="R2854" s="8" t="n"/>
      <c r="S2854" s="8" t="n"/>
      <c r="T2854" s="7" t="inlineStr">
        <is>
          <t>PLUSFARMA</t>
        </is>
      </c>
      <c r="U2854" s="8" t="n">
        <v>39.15</v>
      </c>
      <c r="V2854" s="14">
        <f>U2854/J2854-1</f>
        <v/>
      </c>
      <c r="W2854" s="14">
        <f>U2854/H2854-1</f>
        <v/>
      </c>
      <c r="X2854" s="17" t="inlineStr">
        <is>
          <t>OK (≤ menor hist.)</t>
        </is>
      </c>
      <c r="Y2854" s="7" t="inlineStr"/>
    </row>
    <row r="2855">
      <c r="A2855" s="7" t="n">
        <v>687801</v>
      </c>
      <c r="B2855" s="12" t="inlineStr">
        <is>
          <t>7898049550203</t>
        </is>
      </c>
      <c r="C2855" s="7" t="inlineStr">
        <is>
          <t>MAR DOCE AGUA MINERAL SEM GAS GFA PET 510ML FD C/12</t>
        </is>
      </c>
      <c r="D2855" s="7" t="inlineStr">
        <is>
          <t>BEBIDAS GERAL</t>
        </is>
      </c>
      <c r="E2855" s="7" t="inlineStr">
        <is>
          <t>C</t>
        </is>
      </c>
      <c r="F2855" s="13" t="n">
        <v>1</v>
      </c>
      <c r="G2855" s="13" t="n">
        <v>1</v>
      </c>
      <c r="H2855" s="8" t="n">
        <v>1.1917</v>
      </c>
      <c r="I2855" s="8" t="n">
        <v>1.1917</v>
      </c>
      <c r="J2855" s="8" t="n">
        <v>1.1917</v>
      </c>
      <c r="K2855" s="8" t="n"/>
      <c r="L2855" s="8" t="n"/>
      <c r="M2855" s="8" t="n"/>
      <c r="N2855" s="8" t="n"/>
      <c r="O2855" s="8" t="n"/>
      <c r="P2855" s="8" t="n"/>
      <c r="Q2855" s="8" t="n"/>
      <c r="R2855" s="8" t="n"/>
      <c r="S2855" s="8" t="n"/>
      <c r="T2855" s="7" t="inlineStr">
        <is>
          <t>SEM COTAÇÃO</t>
        </is>
      </c>
      <c r="U2855" s="8" t="n"/>
      <c r="V2855" s="14" t="n"/>
      <c r="W2855" s="14" t="n"/>
      <c r="X2855" s="7" t="inlineStr"/>
      <c r="Y2855" s="7" t="inlineStr"/>
    </row>
    <row r="2856">
      <c r="A2856" s="7" t="n">
        <v>605911</v>
      </c>
      <c r="B2856" s="12" t="inlineStr">
        <is>
          <t>7896004779201</t>
        </is>
      </c>
      <c r="C2856" s="7" t="inlineStr">
        <is>
          <t>MARACUJA CONCENTRIX SOL ORAL 100ML (PASS</t>
        </is>
      </c>
      <c r="D2856" s="7" t="inlineStr">
        <is>
          <t>SIMILAR</t>
        </is>
      </c>
      <c r="E2856" s="7" t="inlineStr">
        <is>
          <t>C</t>
        </is>
      </c>
      <c r="F2856" s="13" t="n">
        <v>1</v>
      </c>
      <c r="G2856" s="13" t="n">
        <v>1</v>
      </c>
      <c r="H2856" s="8" t="n">
        <v>11.9433</v>
      </c>
      <c r="I2856" s="8" t="n">
        <v>10.92</v>
      </c>
      <c r="J2856" s="8" t="n">
        <v>11.6022</v>
      </c>
      <c r="K2856" s="8" t="n"/>
      <c r="L2856" s="8" t="n"/>
      <c r="M2856" s="8" t="n"/>
      <c r="N2856" s="15" t="n">
        <v>12.09</v>
      </c>
      <c r="O2856" s="8" t="n"/>
      <c r="P2856" s="8" t="n">
        <v>38.46</v>
      </c>
      <c r="Q2856" s="8" t="n">
        <v>12.58</v>
      </c>
      <c r="R2856" s="8" t="n"/>
      <c r="S2856" s="8" t="n"/>
      <c r="T2856" s="7" t="inlineStr">
        <is>
          <t>CENTROFARMA</t>
        </is>
      </c>
      <c r="U2856" s="8" t="n">
        <v>12.09</v>
      </c>
      <c r="V2856" s="14">
        <f>U2856/J2856-1</f>
        <v/>
      </c>
      <c r="W2856" s="14">
        <f>U2856/H2856-1</f>
        <v/>
      </c>
      <c r="X2856" s="16" t="inlineStr">
        <is>
          <t>ACIMA +1.2%</t>
        </is>
      </c>
      <c r="Y2856" s="7" t="inlineStr">
        <is>
          <t>NAZARIA: conferir emb.</t>
        </is>
      </c>
    </row>
    <row r="2857">
      <c r="A2857" s="7" t="n">
        <v>534681</v>
      </c>
      <c r="B2857" s="12" t="inlineStr">
        <is>
          <t>7896221800108</t>
        </is>
      </c>
      <c r="C2857" s="7" t="inlineStr">
        <is>
          <t>MARCIA AGUA OXIGENADA - 30 VOL 70ML</t>
        </is>
      </c>
      <c r="D2857" s="7" t="inlineStr">
        <is>
          <t>PERF/COSME</t>
        </is>
      </c>
      <c r="E2857" s="7" t="inlineStr">
        <is>
          <t>C</t>
        </is>
      </c>
      <c r="F2857" s="13" t="n">
        <v>5</v>
      </c>
      <c r="G2857" s="13" t="n">
        <v>5</v>
      </c>
      <c r="H2857" s="8" t="n">
        <v>2.12</v>
      </c>
      <c r="I2857" s="8" t="n">
        <v>2.12</v>
      </c>
      <c r="J2857" s="8" t="n">
        <v>2.12</v>
      </c>
      <c r="K2857" s="8" t="n"/>
      <c r="L2857" s="8" t="n"/>
      <c r="M2857" s="8" t="n"/>
      <c r="N2857" s="8" t="n"/>
      <c r="O2857" s="8" t="n"/>
      <c r="P2857" s="8" t="n"/>
      <c r="Q2857" s="8" t="n"/>
      <c r="R2857" s="8" t="n"/>
      <c r="S2857" s="8" t="n"/>
      <c r="T2857" s="7" t="inlineStr">
        <is>
          <t>SEM COTAÇÃO</t>
        </is>
      </c>
      <c r="U2857" s="8" t="n"/>
      <c r="V2857" s="14" t="n"/>
      <c r="W2857" s="14" t="n"/>
      <c r="X2857" s="7" t="inlineStr"/>
      <c r="Y2857" s="7" t="inlineStr"/>
    </row>
    <row r="2858">
      <c r="A2858" s="7" t="n">
        <v>534661</v>
      </c>
      <c r="B2858" s="12" t="inlineStr">
        <is>
          <t>7896221800115</t>
        </is>
      </c>
      <c r="C2858" s="7" t="inlineStr">
        <is>
          <t>MARCIA AGUA OXIGENADA - 40 VOL 70ML</t>
        </is>
      </c>
      <c r="D2858" s="7" t="inlineStr">
        <is>
          <t>PERF/COSME</t>
        </is>
      </c>
      <c r="E2858" s="7" t="inlineStr">
        <is>
          <t>C</t>
        </is>
      </c>
      <c r="F2858" s="13" t="n">
        <v>11</v>
      </c>
      <c r="G2858" s="13" t="n">
        <v>11</v>
      </c>
      <c r="H2858" s="8" t="n">
        <v>1.8</v>
      </c>
      <c r="I2858" s="8" t="n">
        <v>1.8</v>
      </c>
      <c r="J2858" s="8" t="n">
        <v>1.8</v>
      </c>
      <c r="K2858" s="8" t="n"/>
      <c r="L2858" s="8" t="n"/>
      <c r="M2858" s="8" t="n"/>
      <c r="N2858" s="8" t="n"/>
      <c r="O2858" s="8" t="n"/>
      <c r="P2858" s="8" t="n"/>
      <c r="Q2858" s="8" t="n"/>
      <c r="R2858" s="8" t="n"/>
      <c r="S2858" s="8" t="n"/>
      <c r="T2858" s="7" t="inlineStr">
        <is>
          <t>SEM COTAÇÃO</t>
        </is>
      </c>
      <c r="U2858" s="8" t="n"/>
      <c r="V2858" s="14" t="n"/>
      <c r="W2858" s="14" t="n"/>
      <c r="X2858" s="7" t="inlineStr"/>
      <c r="Y2858" s="7" t="inlineStr"/>
    </row>
    <row r="2859">
      <c r="A2859" s="7" t="n">
        <v>640581</v>
      </c>
      <c r="B2859" s="12" t="inlineStr"/>
      <c r="C2859" s="7" t="inlineStr">
        <is>
          <t>MARESIS (N.S.) AR SOL SPRAY 100 ML</t>
        </is>
      </c>
      <c r="D2859" s="7" t="inlineStr">
        <is>
          <t>RX - OTC</t>
        </is>
      </c>
      <c r="E2859" s="7" t="inlineStr">
        <is>
          <t>B</t>
        </is>
      </c>
      <c r="F2859" s="13" t="n">
        <v>2</v>
      </c>
      <c r="G2859" s="13" t="n">
        <v>2</v>
      </c>
      <c r="H2859" s="8" t="n">
        <v>42.61</v>
      </c>
      <c r="I2859" s="8" t="n">
        <v>42.605</v>
      </c>
      <c r="J2859" s="8" t="n">
        <v>42.605</v>
      </c>
      <c r="K2859" s="8" t="n"/>
      <c r="L2859" s="8" t="n"/>
      <c r="M2859" s="8" t="n"/>
      <c r="N2859" s="8" t="n"/>
      <c r="O2859" s="8" t="n"/>
      <c r="P2859" s="8" t="n"/>
      <c r="Q2859" s="8" t="n"/>
      <c r="R2859" s="8" t="n"/>
      <c r="S2859" s="8" t="n"/>
      <c r="T2859" s="7" t="inlineStr">
        <is>
          <t>SEM COTAÇÃO</t>
        </is>
      </c>
      <c r="U2859" s="8" t="n"/>
      <c r="V2859" s="14" t="n"/>
      <c r="W2859" s="14" t="n"/>
      <c r="X2859" s="7" t="inlineStr"/>
      <c r="Y2859" s="7" t="inlineStr"/>
    </row>
    <row r="2860">
      <c r="A2860" s="7" t="n">
        <v>550821</v>
      </c>
      <c r="B2860" s="12" t="inlineStr"/>
      <c r="C2860" s="7" t="inlineStr">
        <is>
          <t>MARESIS (N.S.) BABY SOL SPRAY FR 100ML</t>
        </is>
      </c>
      <c r="D2860" s="7" t="inlineStr">
        <is>
          <t>RX - OTC</t>
        </is>
      </c>
      <c r="E2860" s="7" t="inlineStr">
        <is>
          <t>A</t>
        </is>
      </c>
      <c r="F2860" s="13" t="n">
        <v>3</v>
      </c>
      <c r="G2860" s="13" t="n">
        <v>3</v>
      </c>
      <c r="H2860" s="8" t="n">
        <v>38.41</v>
      </c>
      <c r="I2860" s="8" t="n">
        <v>34.369</v>
      </c>
      <c r="J2860" s="8" t="n">
        <v>37.063</v>
      </c>
      <c r="K2860" s="8" t="n"/>
      <c r="L2860" s="8" t="n"/>
      <c r="M2860" s="8" t="n"/>
      <c r="N2860" s="8" t="n"/>
      <c r="O2860" s="8" t="n"/>
      <c r="P2860" s="8" t="n"/>
      <c r="Q2860" s="8" t="n"/>
      <c r="R2860" s="8" t="n"/>
      <c r="S2860" s="8" t="n"/>
      <c r="T2860" s="7" t="inlineStr">
        <is>
          <t>SEM COTAÇÃO</t>
        </is>
      </c>
      <c r="U2860" s="8" t="n"/>
      <c r="V2860" s="14" t="n"/>
      <c r="W2860" s="14" t="n"/>
      <c r="X2860" s="7" t="inlineStr"/>
      <c r="Y2860" s="7" t="inlineStr"/>
    </row>
    <row r="2861">
      <c r="A2861" s="7" t="n">
        <v>640591</v>
      </c>
      <c r="B2861" s="12" t="inlineStr">
        <is>
          <t>7898040322540</t>
        </is>
      </c>
      <c r="C2861" s="7" t="inlineStr">
        <is>
          <t>MARESIS (N.S.) SOL SPRAY FR 100ML</t>
        </is>
      </c>
      <c r="D2861" s="7" t="inlineStr">
        <is>
          <t>RX - OTC</t>
        </is>
      </c>
      <c r="E2861" s="7" t="inlineStr">
        <is>
          <t>B</t>
        </is>
      </c>
      <c r="F2861" s="13" t="n">
        <v>1</v>
      </c>
      <c r="G2861" s="13" t="n">
        <v>1</v>
      </c>
      <c r="H2861" s="8" t="n">
        <v>41.6</v>
      </c>
      <c r="I2861" s="8" t="n">
        <v>37.585</v>
      </c>
      <c r="J2861" s="8" t="n">
        <v>40.26166666666666</v>
      </c>
      <c r="K2861" s="8" t="n"/>
      <c r="L2861" s="8" t="n"/>
      <c r="M2861" s="8" t="n"/>
      <c r="N2861" s="8" t="n"/>
      <c r="O2861" s="8" t="n">
        <v>40.73</v>
      </c>
      <c r="P2861" s="15" t="n">
        <v>37.7427</v>
      </c>
      <c r="Q2861" s="8" t="n"/>
      <c r="R2861" s="8" t="n"/>
      <c r="S2861" s="8" t="n"/>
      <c r="T2861" s="7" t="inlineStr">
        <is>
          <t>NAZARIA</t>
        </is>
      </c>
      <c r="U2861" s="8" t="n">
        <v>37.7427</v>
      </c>
      <c r="V2861" s="14">
        <f>U2861/J2861-1</f>
        <v/>
      </c>
      <c r="W2861" s="14">
        <f>U2861/H2861-1</f>
        <v/>
      </c>
      <c r="X2861" s="17" t="inlineStr">
        <is>
          <t>OK (≤ últ. compra)</t>
        </is>
      </c>
      <c r="Y2861" s="7" t="inlineStr"/>
    </row>
    <row r="2862">
      <c r="A2862" s="7" t="n">
        <v>653761</v>
      </c>
      <c r="B2862" s="12" t="inlineStr">
        <is>
          <t>7898244720609</t>
        </is>
      </c>
      <c r="C2862" s="7" t="inlineStr">
        <is>
          <t>MARESIS FLEX 1,08G KIT FR+15SACH   FQM %DN:15.00</t>
        </is>
      </c>
      <c r="D2862" s="7" t="inlineStr">
        <is>
          <t>RX - OTC</t>
        </is>
      </c>
      <c r="E2862" s="7" t="inlineStr">
        <is>
          <t>C</t>
        </is>
      </c>
      <c r="F2862" s="13" t="n">
        <v>1</v>
      </c>
      <c r="G2862" s="13" t="n">
        <v>1</v>
      </c>
      <c r="H2862" s="8" t="n">
        <v>33.8425</v>
      </c>
      <c r="I2862" s="8" t="n">
        <v>33.8425</v>
      </c>
      <c r="J2862" s="8" t="n">
        <v>33.8425</v>
      </c>
      <c r="K2862" s="8" t="n"/>
      <c r="L2862" s="8" t="n"/>
      <c r="M2862" s="8" t="n"/>
      <c r="N2862" s="8" t="n"/>
      <c r="O2862" s="8" t="n"/>
      <c r="P2862" s="15" t="n">
        <v>37.18980000000001</v>
      </c>
      <c r="Q2862" s="8" t="n"/>
      <c r="R2862" s="8" t="n"/>
      <c r="S2862" s="8" t="n"/>
      <c r="T2862" s="7" t="inlineStr">
        <is>
          <t>NAZARIA</t>
        </is>
      </c>
      <c r="U2862" s="8" t="n">
        <v>37.18980000000001</v>
      </c>
      <c r="V2862" s="14">
        <f>U2862/J2862-1</f>
        <v/>
      </c>
      <c r="W2862" s="14">
        <f>U2862/H2862-1</f>
        <v/>
      </c>
      <c r="X2862" s="16" t="inlineStr">
        <is>
          <t>ACIMA +9.9%</t>
        </is>
      </c>
      <c r="Y2862" s="7" t="inlineStr"/>
    </row>
    <row r="2863">
      <c r="A2863" s="7" t="n">
        <v>653771</v>
      </c>
      <c r="B2863" s="12" t="inlineStr">
        <is>
          <t>7898244720630</t>
        </is>
      </c>
      <c r="C2863" s="7" t="inlineStr">
        <is>
          <t>MARESIS FLEX 2,16G KIT FR+30SACH   FQM %DN:15.00</t>
        </is>
      </c>
      <c r="D2863" s="7" t="inlineStr">
        <is>
          <t>RX - OTC</t>
        </is>
      </c>
      <c r="E2863" s="7" t="inlineStr">
        <is>
          <t>C</t>
        </is>
      </c>
      <c r="F2863" s="13" t="n">
        <v>1</v>
      </c>
      <c r="G2863" s="13" t="n">
        <v>1</v>
      </c>
      <c r="H2863" s="8" t="n">
        <v>52.78</v>
      </c>
      <c r="I2863" s="8" t="n">
        <v>52.78</v>
      </c>
      <c r="J2863" s="8" t="n">
        <v>52.78</v>
      </c>
      <c r="K2863" s="8" t="n"/>
      <c r="L2863" s="8" t="n"/>
      <c r="M2863" s="15" t="n">
        <v>62.16</v>
      </c>
      <c r="N2863" s="8" t="n"/>
      <c r="O2863" s="8" t="n"/>
      <c r="P2863" s="8" t="n">
        <v>63.2052</v>
      </c>
      <c r="Q2863" s="8" t="n"/>
      <c r="R2863" s="8" t="n"/>
      <c r="S2863" s="8" t="n"/>
      <c r="T2863" s="7" t="inlineStr">
        <is>
          <t>EPAN</t>
        </is>
      </c>
      <c r="U2863" s="8" t="n">
        <v>62.16</v>
      </c>
      <c r="V2863" s="14">
        <f>U2863/J2863-1</f>
        <v/>
      </c>
      <c r="W2863" s="14">
        <f>U2863/H2863-1</f>
        <v/>
      </c>
      <c r="X2863" s="16" t="inlineStr">
        <is>
          <t>ACIMA +17.8%</t>
        </is>
      </c>
      <c r="Y2863" s="7" t="inlineStr"/>
    </row>
    <row r="2864">
      <c r="A2864" s="7" t="n">
        <v>120461</v>
      </c>
      <c r="B2864" s="12" t="inlineStr">
        <is>
          <t>7898040326425</t>
        </is>
      </c>
      <c r="C2864" s="7" t="inlineStr">
        <is>
          <t>MARESIS HT 2% 20MG/ML SOL SPR NAS FR 100ML</t>
        </is>
      </c>
      <c r="D2864" s="7" t="inlineStr">
        <is>
          <t>RX - OTC</t>
        </is>
      </c>
      <c r="E2864" s="7" t="inlineStr">
        <is>
          <t>C</t>
        </is>
      </c>
      <c r="F2864" s="13" t="n">
        <v>1</v>
      </c>
      <c r="G2864" s="13" t="n">
        <v>1</v>
      </c>
      <c r="H2864" s="8" t="n">
        <v>40.65</v>
      </c>
      <c r="I2864" s="8" t="n">
        <v>40.65</v>
      </c>
      <c r="J2864" s="8" t="n">
        <v>40.65</v>
      </c>
      <c r="K2864" s="8" t="n"/>
      <c r="L2864" s="8" t="n"/>
      <c r="M2864" s="8" t="n"/>
      <c r="N2864" s="8" t="n"/>
      <c r="O2864" s="8" t="n"/>
      <c r="P2864" s="15" t="n">
        <v>46.3854</v>
      </c>
      <c r="Q2864" s="8" t="n"/>
      <c r="R2864" s="8" t="n"/>
      <c r="S2864" s="8" t="n"/>
      <c r="T2864" s="7" t="inlineStr">
        <is>
          <t>NAZARIA</t>
        </is>
      </c>
      <c r="U2864" s="8" t="n">
        <v>46.3854</v>
      </c>
      <c r="V2864" s="14">
        <f>U2864/J2864-1</f>
        <v/>
      </c>
      <c r="W2864" s="14">
        <f>U2864/H2864-1</f>
        <v/>
      </c>
      <c r="X2864" s="16" t="inlineStr">
        <is>
          <t>ACIMA +14.1%</t>
        </is>
      </c>
      <c r="Y2864" s="7" t="inlineStr"/>
    </row>
    <row r="2865">
      <c r="A2865" s="7" t="n">
        <v>478621</v>
      </c>
      <c r="B2865" s="12" t="inlineStr"/>
      <c r="C2865" s="7" t="inlineStr">
        <is>
          <t>MAREVAN 5MG CX 10 COMP</t>
        </is>
      </c>
      <c r="D2865" s="7" t="inlineStr">
        <is>
          <t>RX</t>
        </is>
      </c>
      <c r="E2865" s="7" t="inlineStr">
        <is>
          <t>C</t>
        </is>
      </c>
      <c r="F2865" s="13" t="n">
        <v>1</v>
      </c>
      <c r="G2865" s="13" t="n">
        <v>1</v>
      </c>
      <c r="H2865" s="8" t="n">
        <v>8.550000000000001</v>
      </c>
      <c r="I2865" s="8" t="n">
        <v>7.5633</v>
      </c>
      <c r="J2865" s="8" t="n">
        <v>8.187766666666667</v>
      </c>
      <c r="K2865" s="8" t="n"/>
      <c r="L2865" s="8" t="n"/>
      <c r="M2865" s="8" t="n"/>
      <c r="N2865" s="8" t="n"/>
      <c r="O2865" s="8" t="n"/>
      <c r="P2865" s="8" t="n"/>
      <c r="Q2865" s="8" t="n"/>
      <c r="R2865" s="8" t="n"/>
      <c r="S2865" s="8" t="n"/>
      <c r="T2865" s="7" t="inlineStr">
        <is>
          <t>SEM COTAÇÃO</t>
        </is>
      </c>
      <c r="U2865" s="8" t="n"/>
      <c r="V2865" s="14" t="n"/>
      <c r="W2865" s="14" t="n"/>
      <c r="X2865" s="7" t="inlineStr"/>
      <c r="Y2865" s="7" t="inlineStr"/>
    </row>
    <row r="2866">
      <c r="A2866" s="7" t="n">
        <v>620741</v>
      </c>
      <c r="B2866" s="12" t="inlineStr">
        <is>
          <t>7908458317073</t>
        </is>
      </c>
      <c r="C2866" s="7" t="inlineStr">
        <is>
          <t>MASC #TODECACHO MATIZADORA PRETO AZUL 06X300G</t>
        </is>
      </c>
      <c r="D2866" s="7" t="inlineStr">
        <is>
          <t>PERF/COSME</t>
        </is>
      </c>
      <c r="E2866" s="7" t="inlineStr">
        <is>
          <t>C</t>
        </is>
      </c>
      <c r="F2866" s="13" t="n">
        <v>1</v>
      </c>
      <c r="G2866" s="13" t="n">
        <v>1</v>
      </c>
      <c r="H2866" s="8" t="n">
        <v>38.85</v>
      </c>
      <c r="I2866" s="8" t="n">
        <v>38.85</v>
      </c>
      <c r="J2866" s="8" t="n">
        <v>38.85</v>
      </c>
      <c r="K2866" s="8" t="n"/>
      <c r="L2866" s="8" t="n"/>
      <c r="M2866" s="8" t="n"/>
      <c r="N2866" s="8" t="n"/>
      <c r="O2866" s="8" t="n"/>
      <c r="P2866" s="8" t="n"/>
      <c r="Q2866" s="8" t="n"/>
      <c r="R2866" s="8" t="n"/>
      <c r="S2866" s="8" t="n"/>
      <c r="T2866" s="7" t="inlineStr">
        <is>
          <t>SEM COTAÇÃO</t>
        </is>
      </c>
      <c r="U2866" s="8" t="n"/>
      <c r="V2866" s="14" t="n"/>
      <c r="W2866" s="14" t="n"/>
      <c r="X2866" s="7" t="inlineStr"/>
      <c r="Y2866" s="7" t="inlineStr"/>
    </row>
    <row r="2867">
      <c r="A2867" s="7" t="n">
        <v>622701</v>
      </c>
      <c r="B2867" s="12" t="inlineStr">
        <is>
          <t>7898132983413</t>
        </is>
      </c>
      <c r="C2867" s="7" t="inlineStr">
        <is>
          <t>MASC COLOR FUN COLORS AZUL ESCURO 100M</t>
        </is>
      </c>
      <c r="D2867" s="7" t="inlineStr">
        <is>
          <t>PERF/COSME</t>
        </is>
      </c>
      <c r="E2867" s="7" t="inlineStr">
        <is>
          <t>C</t>
        </is>
      </c>
      <c r="F2867" s="13" t="n">
        <v>1</v>
      </c>
      <c r="G2867" s="13" t="n">
        <v>1</v>
      </c>
      <c r="H2867" s="8" t="n">
        <v>24.34</v>
      </c>
      <c r="I2867" s="8" t="n">
        <v>24.34</v>
      </c>
      <c r="J2867" s="8" t="n">
        <v>24.34</v>
      </c>
      <c r="K2867" s="8" t="n"/>
      <c r="L2867" s="8" t="n"/>
      <c r="M2867" s="8" t="n"/>
      <c r="N2867" s="8" t="n"/>
      <c r="O2867" s="8" t="n"/>
      <c r="P2867" s="8" t="n"/>
      <c r="Q2867" s="8" t="n"/>
      <c r="R2867" s="8" t="n"/>
      <c r="S2867" s="8" t="n"/>
      <c r="T2867" s="7" t="inlineStr">
        <is>
          <t>SEM COTAÇÃO</t>
        </is>
      </c>
      <c r="U2867" s="8" t="n"/>
      <c r="V2867" s="14" t="n"/>
      <c r="W2867" s="14" t="n"/>
      <c r="X2867" s="7" t="inlineStr"/>
      <c r="Y2867" s="7" t="inlineStr"/>
    </row>
    <row r="2868">
      <c r="A2868" s="7" t="n">
        <v>622721</v>
      </c>
      <c r="B2868" s="12" t="inlineStr">
        <is>
          <t>7898132983437</t>
        </is>
      </c>
      <c r="C2868" s="7" t="inlineStr">
        <is>
          <t>MASC COLOR FUN COLORS ROXO 100ML</t>
        </is>
      </c>
      <c r="D2868" s="7" t="inlineStr">
        <is>
          <t>PERF/COSME</t>
        </is>
      </c>
      <c r="E2868" s="7" t="inlineStr">
        <is>
          <t>C</t>
        </is>
      </c>
      <c r="F2868" s="13" t="n">
        <v>1</v>
      </c>
      <c r="G2868" s="13" t="n">
        <v>1</v>
      </c>
      <c r="H2868" s="8" t="n">
        <v>24.34</v>
      </c>
      <c r="I2868" s="8" t="n">
        <v>24.34</v>
      </c>
      <c r="J2868" s="8" t="n">
        <v>24.34</v>
      </c>
      <c r="K2868" s="8" t="n"/>
      <c r="L2868" s="8" t="n"/>
      <c r="M2868" s="8" t="n"/>
      <c r="N2868" s="8" t="n"/>
      <c r="O2868" s="8" t="n"/>
      <c r="P2868" s="8" t="n"/>
      <c r="Q2868" s="8" t="n"/>
      <c r="R2868" s="8" t="n"/>
      <c r="S2868" s="8" t="n"/>
      <c r="T2868" s="7" t="inlineStr">
        <is>
          <t>SEM COTAÇÃO</t>
        </is>
      </c>
      <c r="U2868" s="8" t="n"/>
      <c r="V2868" s="14" t="n"/>
      <c r="W2868" s="14" t="n"/>
      <c r="X2868" s="7" t="inlineStr"/>
      <c r="Y2868" s="7" t="inlineStr"/>
    </row>
    <row r="2869">
      <c r="A2869" s="7" t="n">
        <v>667221</v>
      </c>
      <c r="B2869" s="12" t="inlineStr">
        <is>
          <t>7898965666682</t>
        </is>
      </c>
      <c r="C2869" s="7" t="inlineStr">
        <is>
          <t>MASC DABELLE 400G HIDRA CRONO PERFEI</t>
        </is>
      </c>
      <c r="D2869" s="7" t="inlineStr">
        <is>
          <t>PERF/COSME</t>
        </is>
      </c>
      <c r="E2869" s="7" t="inlineStr">
        <is>
          <t>C</t>
        </is>
      </c>
      <c r="F2869" s="13" t="n">
        <v>1</v>
      </c>
      <c r="G2869" s="13" t="n">
        <v>1</v>
      </c>
      <c r="H2869" s="8" t="n"/>
      <c r="I2869" s="8" t="n"/>
      <c r="J2869" s="8" t="n"/>
      <c r="K2869" s="8" t="n"/>
      <c r="L2869" s="8" t="n"/>
      <c r="M2869" s="8" t="n"/>
      <c r="N2869" s="8" t="n"/>
      <c r="O2869" s="8" t="n"/>
      <c r="P2869" s="8" t="n"/>
      <c r="Q2869" s="8" t="n"/>
      <c r="R2869" s="8" t="n"/>
      <c r="S2869" s="8" t="n"/>
      <c r="T2869" s="7" t="inlineStr">
        <is>
          <t>SEM COTAÇÃO</t>
        </is>
      </c>
      <c r="U2869" s="8" t="n"/>
      <c r="V2869" s="14" t="n"/>
      <c r="W2869" s="14" t="n"/>
      <c r="X2869" s="7" t="inlineStr"/>
      <c r="Y2869" s="7" t="inlineStr"/>
    </row>
    <row r="2870">
      <c r="A2870" s="7" t="n">
        <v>615911</v>
      </c>
      <c r="B2870" s="12" t="inlineStr">
        <is>
          <t>7896000722737</t>
        </is>
      </c>
      <c r="C2870" s="7" t="inlineStr">
        <is>
          <t>MASC HID CAP N GOLD O AR 430ML</t>
        </is>
      </c>
      <c r="D2870" s="7" t="inlineStr">
        <is>
          <t>PERF/COSME</t>
        </is>
      </c>
      <c r="E2870" s="7" t="inlineStr">
        <is>
          <t>C</t>
        </is>
      </c>
      <c r="F2870" s="13" t="n">
        <v>1</v>
      </c>
      <c r="G2870" s="13" t="n">
        <v>1</v>
      </c>
      <c r="H2870" s="8" t="n">
        <v>9.779999999999999</v>
      </c>
      <c r="I2870" s="8" t="n">
        <v>9.779999999999999</v>
      </c>
      <c r="J2870" s="8" t="n">
        <v>9.779999999999999</v>
      </c>
      <c r="K2870" s="8" t="n"/>
      <c r="L2870" s="8" t="n"/>
      <c r="M2870" s="8" t="n"/>
      <c r="N2870" s="8" t="n"/>
      <c r="O2870" s="8" t="n"/>
      <c r="P2870" s="15" t="n">
        <v>13.65</v>
      </c>
      <c r="Q2870" s="8" t="n"/>
      <c r="R2870" s="8" t="n"/>
      <c r="S2870" s="8" t="n"/>
      <c r="T2870" s="7" t="inlineStr">
        <is>
          <t>NAZARIA</t>
        </is>
      </c>
      <c r="U2870" s="8" t="n">
        <v>13.65</v>
      </c>
      <c r="V2870" s="14">
        <f>U2870/J2870-1</f>
        <v/>
      </c>
      <c r="W2870" s="14">
        <f>U2870/H2870-1</f>
        <v/>
      </c>
      <c r="X2870" s="16" t="inlineStr">
        <is>
          <t>ACIMA +39.6%</t>
        </is>
      </c>
      <c r="Y2870" s="7" t="inlineStr"/>
    </row>
    <row r="2871">
      <c r="A2871" s="7" t="n">
        <v>615921</v>
      </c>
      <c r="B2871" s="12" t="inlineStr">
        <is>
          <t>7908458305148</t>
        </is>
      </c>
      <c r="C2871" s="7" t="inlineStr">
        <is>
          <t>MASC HID CAP S L M L.MA.PT.300ML</t>
        </is>
      </c>
      <c r="D2871" s="7" t="inlineStr">
        <is>
          <t>PERF/COSME</t>
        </is>
      </c>
      <c r="E2871" s="7" t="inlineStr">
        <is>
          <t>B</t>
        </is>
      </c>
      <c r="F2871" s="13" t="n">
        <v>1</v>
      </c>
      <c r="G2871" s="13" t="n">
        <v>1</v>
      </c>
      <c r="H2871" s="8" t="n">
        <v>28.62</v>
      </c>
      <c r="I2871" s="8" t="n">
        <v>28.62</v>
      </c>
      <c r="J2871" s="8" t="n">
        <v>28.62</v>
      </c>
      <c r="K2871" s="8" t="n"/>
      <c r="L2871" s="8" t="n"/>
      <c r="M2871" s="8" t="n"/>
      <c r="N2871" s="8" t="n"/>
      <c r="O2871" s="8" t="n"/>
      <c r="P2871" s="8" t="n"/>
      <c r="Q2871" s="8" t="n"/>
      <c r="R2871" s="8" t="n"/>
      <c r="S2871" s="8" t="n"/>
      <c r="T2871" s="7" t="inlineStr">
        <is>
          <t>SEM COTAÇÃO</t>
        </is>
      </c>
      <c r="U2871" s="8" t="n"/>
      <c r="V2871" s="14" t="n"/>
      <c r="W2871" s="14" t="n"/>
      <c r="X2871" s="7" t="inlineStr"/>
      <c r="Y2871" s="7" t="inlineStr"/>
    </row>
    <row r="2872">
      <c r="A2872" s="7" t="n">
        <v>615951</v>
      </c>
      <c r="B2872" s="12" t="inlineStr">
        <is>
          <t>7908458308514</t>
        </is>
      </c>
      <c r="C2872" s="7" t="inlineStr">
        <is>
          <t>MASC HID CAP S LINE MAT RX 500G</t>
        </is>
      </c>
      <c r="D2872" s="7" t="inlineStr">
        <is>
          <t>PERF/COSME</t>
        </is>
      </c>
      <c r="E2872" s="7" t="inlineStr">
        <is>
          <t>B</t>
        </is>
      </c>
      <c r="F2872" s="13" t="n">
        <v>2</v>
      </c>
      <c r="G2872" s="13" t="n">
        <v>2</v>
      </c>
      <c r="H2872" s="8" t="n">
        <v>24.8</v>
      </c>
      <c r="I2872" s="8" t="n">
        <v>24.8</v>
      </c>
      <c r="J2872" s="8" t="n">
        <v>24.8</v>
      </c>
      <c r="K2872" s="8" t="n"/>
      <c r="L2872" s="8" t="n"/>
      <c r="M2872" s="8" t="n"/>
      <c r="N2872" s="8" t="n"/>
      <c r="O2872" s="8" t="n"/>
      <c r="P2872" s="8" t="n"/>
      <c r="Q2872" s="8" t="n"/>
      <c r="R2872" s="8" t="n"/>
      <c r="S2872" s="8" t="n"/>
      <c r="T2872" s="7" t="inlineStr">
        <is>
          <t>SEM COTAÇÃO</t>
        </is>
      </c>
      <c r="U2872" s="8" t="n"/>
      <c r="V2872" s="14" t="n"/>
      <c r="W2872" s="14" t="n"/>
      <c r="X2872" s="7" t="inlineStr"/>
      <c r="Y2872" s="7" t="inlineStr"/>
    </row>
    <row r="2873">
      <c r="A2873" s="7" t="n">
        <v>615961</v>
      </c>
      <c r="B2873" s="12" t="inlineStr">
        <is>
          <t>7898623953550</t>
        </is>
      </c>
      <c r="C2873" s="7" t="inlineStr">
        <is>
          <t>MASC HID CAP S LINE MAT VM 500</t>
        </is>
      </c>
      <c r="D2873" s="7" t="inlineStr">
        <is>
          <t>COND/SHAM/CREM/SIMILARES</t>
        </is>
      </c>
      <c r="E2873" s="7" t="inlineStr">
        <is>
          <t>C</t>
        </is>
      </c>
      <c r="F2873" s="13" t="n">
        <v>2</v>
      </c>
      <c r="G2873" s="13" t="n">
        <v>2</v>
      </c>
      <c r="H2873" s="8" t="n">
        <v>24.8</v>
      </c>
      <c r="I2873" s="8" t="n">
        <v>24.8</v>
      </c>
      <c r="J2873" s="8" t="n">
        <v>24.8</v>
      </c>
      <c r="K2873" s="8" t="n"/>
      <c r="L2873" s="8" t="n"/>
      <c r="M2873" s="8" t="n"/>
      <c r="N2873" s="8" t="n"/>
      <c r="O2873" s="8" t="n"/>
      <c r="P2873" s="8" t="n"/>
      <c r="Q2873" s="8" t="n"/>
      <c r="R2873" s="8" t="n"/>
      <c r="S2873" s="8" t="n"/>
      <c r="T2873" s="7" t="inlineStr">
        <is>
          <t>SEM COTAÇÃO</t>
        </is>
      </c>
      <c r="U2873" s="8" t="n"/>
      <c r="V2873" s="14" t="n"/>
      <c r="W2873" s="14" t="n"/>
      <c r="X2873" s="7" t="inlineStr"/>
      <c r="Y2873" s="7" t="inlineStr"/>
    </row>
    <row r="2874">
      <c r="A2874" s="7" t="n">
        <v>659581</v>
      </c>
      <c r="B2874" s="12" t="inlineStr">
        <is>
          <t>7898132987732</t>
        </is>
      </c>
      <c r="C2874" s="7" t="inlineStr">
        <is>
          <t>MASC SPEC COLOR CASTANHO 120G</t>
        </is>
      </c>
      <c r="D2874" s="7" t="inlineStr">
        <is>
          <t>COND/SHAM/CREM/SIMILARES</t>
        </is>
      </c>
      <c r="E2874" s="7" t="inlineStr">
        <is>
          <t>B</t>
        </is>
      </c>
      <c r="F2874" s="13" t="n">
        <v>1</v>
      </c>
      <c r="G2874" s="13" t="n">
        <v>1</v>
      </c>
      <c r="H2874" s="8" t="n">
        <v>26.58</v>
      </c>
      <c r="I2874" s="8" t="n">
        <v>26.58</v>
      </c>
      <c r="J2874" s="8" t="n">
        <v>26.58</v>
      </c>
      <c r="K2874" s="8" t="n"/>
      <c r="L2874" s="8" t="n"/>
      <c r="M2874" s="8" t="n"/>
      <c r="N2874" s="8" t="n"/>
      <c r="O2874" s="8" t="n"/>
      <c r="P2874" s="8" t="n"/>
      <c r="Q2874" s="8" t="n"/>
      <c r="R2874" s="8" t="n"/>
      <c r="S2874" s="8" t="n"/>
      <c r="T2874" s="7" t="inlineStr">
        <is>
          <t>SEM COTAÇÃO</t>
        </is>
      </c>
      <c r="U2874" s="8" t="n"/>
      <c r="V2874" s="14" t="n"/>
      <c r="W2874" s="14" t="n"/>
      <c r="X2874" s="7" t="inlineStr"/>
      <c r="Y2874" s="7" t="inlineStr"/>
    </row>
    <row r="2875">
      <c r="A2875" s="7" t="n">
        <v>659601</v>
      </c>
      <c r="B2875" s="12" t="inlineStr">
        <is>
          <t>7898132987725</t>
        </is>
      </c>
      <c r="C2875" s="7" t="inlineStr">
        <is>
          <t>MASC SPEC COLOR MARSALA 120G</t>
        </is>
      </c>
      <c r="D2875" s="7" t="inlineStr">
        <is>
          <t>COND/SHAM/CREM/SIMILARES</t>
        </is>
      </c>
      <c r="E2875" s="7" t="inlineStr">
        <is>
          <t>B</t>
        </is>
      </c>
      <c r="F2875" s="13" t="n">
        <v>2</v>
      </c>
      <c r="G2875" s="13" t="n">
        <v>2</v>
      </c>
      <c r="H2875" s="8" t="n">
        <v>26.58</v>
      </c>
      <c r="I2875" s="8" t="n">
        <v>26.58</v>
      </c>
      <c r="J2875" s="8" t="n">
        <v>26.58</v>
      </c>
      <c r="K2875" s="8" t="n"/>
      <c r="L2875" s="8" t="n"/>
      <c r="M2875" s="8" t="n"/>
      <c r="N2875" s="8" t="n"/>
      <c r="O2875" s="8" t="n"/>
      <c r="P2875" s="8" t="n"/>
      <c r="Q2875" s="8" t="n"/>
      <c r="R2875" s="8" t="n"/>
      <c r="S2875" s="8" t="n"/>
      <c r="T2875" s="7" t="inlineStr">
        <is>
          <t>SEM COTAÇÃO</t>
        </is>
      </c>
      <c r="U2875" s="8" t="n"/>
      <c r="V2875" s="14" t="n"/>
      <c r="W2875" s="14" t="n"/>
      <c r="X2875" s="7" t="inlineStr"/>
      <c r="Y2875" s="7" t="inlineStr"/>
    </row>
    <row r="2876">
      <c r="A2876" s="7" t="n">
        <v>659611</v>
      </c>
      <c r="B2876" s="12" t="inlineStr">
        <is>
          <t>7898132987701</t>
        </is>
      </c>
      <c r="C2876" s="7" t="inlineStr">
        <is>
          <t>MASC SPEC COLOR PRETO 120G</t>
        </is>
      </c>
      <c r="D2876" s="7" t="inlineStr">
        <is>
          <t>COND/SHAM/CREM/SIMILARES</t>
        </is>
      </c>
      <c r="E2876" s="7" t="inlineStr">
        <is>
          <t>C</t>
        </is>
      </c>
      <c r="F2876" s="13" t="n">
        <v>1</v>
      </c>
      <c r="G2876" s="13" t="n">
        <v>1</v>
      </c>
      <c r="H2876" s="8" t="n">
        <v>29.94</v>
      </c>
      <c r="I2876" s="8" t="n">
        <v>29.94</v>
      </c>
      <c r="J2876" s="8" t="n">
        <v>29.94</v>
      </c>
      <c r="K2876" s="8" t="n"/>
      <c r="L2876" s="8" t="n"/>
      <c r="M2876" s="8" t="n"/>
      <c r="N2876" s="8" t="n"/>
      <c r="O2876" s="8" t="n"/>
      <c r="P2876" s="8" t="n"/>
      <c r="Q2876" s="8" t="n"/>
      <c r="R2876" s="8" t="n"/>
      <c r="S2876" s="8" t="n"/>
      <c r="T2876" s="7" t="inlineStr">
        <is>
          <t>SEM COTAÇÃO</t>
        </is>
      </c>
      <c r="U2876" s="8" t="n"/>
      <c r="V2876" s="14" t="n"/>
      <c r="W2876" s="14" t="n"/>
      <c r="X2876" s="7" t="inlineStr"/>
      <c r="Y2876" s="7" t="inlineStr"/>
    </row>
    <row r="2877">
      <c r="A2877" s="7" t="n">
        <v>659571</v>
      </c>
      <c r="B2877" s="12" t="inlineStr">
        <is>
          <t>7898132987718</t>
        </is>
      </c>
      <c r="C2877" s="7" t="inlineStr">
        <is>
          <t>MASC SPEC COLOR VERMELHA 120G</t>
        </is>
      </c>
      <c r="D2877" s="7" t="inlineStr">
        <is>
          <t>COND/SHAM/CREM/SIMILARES</t>
        </is>
      </c>
      <c r="E2877" s="7" t="inlineStr">
        <is>
          <t>B</t>
        </is>
      </c>
      <c r="F2877" s="13" t="n">
        <v>2</v>
      </c>
      <c r="G2877" s="13" t="n">
        <v>2</v>
      </c>
      <c r="H2877" s="8" t="n">
        <v>26.58</v>
      </c>
      <c r="I2877" s="8" t="n">
        <v>26.58</v>
      </c>
      <c r="J2877" s="8" t="n">
        <v>26.58</v>
      </c>
      <c r="K2877" s="8" t="n"/>
      <c r="L2877" s="8" t="n"/>
      <c r="M2877" s="8" t="n"/>
      <c r="N2877" s="8" t="n"/>
      <c r="O2877" s="8" t="n"/>
      <c r="P2877" s="8" t="n"/>
      <c r="Q2877" s="8" t="n"/>
      <c r="R2877" s="8" t="n"/>
      <c r="S2877" s="8" t="n"/>
      <c r="T2877" s="7" t="inlineStr">
        <is>
          <t>SEM COTAÇÃO</t>
        </is>
      </c>
      <c r="U2877" s="8" t="n"/>
      <c r="V2877" s="14" t="n"/>
      <c r="W2877" s="14" t="n"/>
      <c r="X2877" s="7" t="inlineStr"/>
      <c r="Y2877" s="7" t="inlineStr"/>
    </row>
    <row r="2878">
      <c r="A2878" s="7" t="n">
        <v>663151</v>
      </c>
      <c r="B2878" s="12" t="inlineStr">
        <is>
          <t>7891150101661</t>
        </is>
      </c>
      <c r="C2878" s="7" t="inlineStr">
        <is>
          <t>MASC TRAT SEDA CERAMIDAS 300G</t>
        </is>
      </c>
      <c r="D2878" s="7" t="inlineStr">
        <is>
          <t>COND/SHAM/CREM/SIMILARES</t>
        </is>
      </c>
      <c r="E2878" s="7" t="inlineStr">
        <is>
          <t>C</t>
        </is>
      </c>
      <c r="F2878" s="13" t="n">
        <v>1</v>
      </c>
      <c r="G2878" s="13" t="n">
        <v>1</v>
      </c>
      <c r="H2878" s="8" t="n">
        <v>12.03</v>
      </c>
      <c r="I2878" s="8" t="n">
        <v>12.03</v>
      </c>
      <c r="J2878" s="8" t="n">
        <v>12.03</v>
      </c>
      <c r="K2878" s="8" t="n"/>
      <c r="L2878" s="8" t="n"/>
      <c r="M2878" s="8" t="n"/>
      <c r="N2878" s="8" t="n"/>
      <c r="O2878" s="8" t="n"/>
      <c r="P2878" s="15" t="n">
        <v>14.31</v>
      </c>
      <c r="Q2878" s="8" t="n"/>
      <c r="R2878" s="8" t="n"/>
      <c r="S2878" s="8" t="n"/>
      <c r="T2878" s="7" t="inlineStr">
        <is>
          <t>NAZARIA</t>
        </is>
      </c>
      <c r="U2878" s="8" t="n">
        <v>14.31</v>
      </c>
      <c r="V2878" s="14">
        <f>U2878/J2878-1</f>
        <v/>
      </c>
      <c r="W2878" s="14">
        <f>U2878/H2878-1</f>
        <v/>
      </c>
      <c r="X2878" s="16" t="inlineStr">
        <is>
          <t>ACIMA +19.0%</t>
        </is>
      </c>
      <c r="Y2878" s="7" t="inlineStr"/>
    </row>
    <row r="2879">
      <c r="A2879" s="7" t="n">
        <v>663171</v>
      </c>
      <c r="B2879" s="12" t="inlineStr">
        <is>
          <t>7891150101579</t>
        </is>
      </c>
      <c r="C2879" s="7" t="inlineStr">
        <is>
          <t>MASC TRAT SEDA TOQUE DE SEDA 300G</t>
        </is>
      </c>
      <c r="D2879" s="7" t="inlineStr">
        <is>
          <t>COND/SHAM/CREM/SIMILARES</t>
        </is>
      </c>
      <c r="E2879" s="7" t="inlineStr">
        <is>
          <t>C</t>
        </is>
      </c>
      <c r="F2879" s="13" t="n">
        <v>1</v>
      </c>
      <c r="G2879" s="13" t="n">
        <v>1</v>
      </c>
      <c r="H2879" s="8" t="n">
        <v>10.92</v>
      </c>
      <c r="I2879" s="8" t="n">
        <v>10.92</v>
      </c>
      <c r="J2879" s="8" t="n">
        <v>10.92</v>
      </c>
      <c r="K2879" s="8" t="n"/>
      <c r="L2879" s="8" t="n"/>
      <c r="M2879" s="8" t="n"/>
      <c r="N2879" s="8" t="n"/>
      <c r="O2879" s="8" t="n"/>
      <c r="P2879" s="15" t="n">
        <v>14.31</v>
      </c>
      <c r="Q2879" s="8" t="n"/>
      <c r="R2879" s="8" t="n"/>
      <c r="S2879" s="8" t="n"/>
      <c r="T2879" s="7" t="inlineStr">
        <is>
          <t>NAZARIA</t>
        </is>
      </c>
      <c r="U2879" s="8" t="n">
        <v>14.31</v>
      </c>
      <c r="V2879" s="14">
        <f>U2879/J2879-1</f>
        <v/>
      </c>
      <c r="W2879" s="14">
        <f>U2879/H2879-1</f>
        <v/>
      </c>
      <c r="X2879" s="16" t="inlineStr">
        <is>
          <t>ACIMA +31.0%</t>
        </is>
      </c>
      <c r="Y2879" s="7" t="inlineStr"/>
    </row>
    <row r="2880">
      <c r="A2880" s="7" t="n">
        <v>660541</v>
      </c>
      <c r="B2880" s="12" t="inlineStr">
        <is>
          <t>7891150100350</t>
        </is>
      </c>
      <c r="C2880" s="7" t="inlineStr">
        <is>
          <t>MASC TRAT TRESEMME BLIND ANTIUMIDADE 400GR</t>
        </is>
      </c>
      <c r="D2880" s="7" t="inlineStr">
        <is>
          <t>PERF/COSME</t>
        </is>
      </c>
      <c r="E2880" s="7" t="inlineStr">
        <is>
          <t>C</t>
        </is>
      </c>
      <c r="F2880" s="13" t="n">
        <v>1</v>
      </c>
      <c r="G2880" s="13" t="n">
        <v>1</v>
      </c>
      <c r="H2880" s="8" t="n">
        <v>17.97</v>
      </c>
      <c r="I2880" s="8" t="n">
        <v>17.97</v>
      </c>
      <c r="J2880" s="8" t="n">
        <v>17.97</v>
      </c>
      <c r="K2880" s="8" t="n"/>
      <c r="L2880" s="8" t="n"/>
      <c r="M2880" s="8" t="n"/>
      <c r="N2880" s="8" t="n"/>
      <c r="O2880" s="8" t="n"/>
      <c r="P2880" s="15" t="n">
        <v>21.28</v>
      </c>
      <c r="Q2880" s="8" t="n"/>
      <c r="R2880" s="8" t="n"/>
      <c r="S2880" s="8" t="n"/>
      <c r="T2880" s="7" t="inlineStr">
        <is>
          <t>NAZARIA</t>
        </is>
      </c>
      <c r="U2880" s="8" t="n">
        <v>21.28</v>
      </c>
      <c r="V2880" s="14">
        <f>U2880/J2880-1</f>
        <v/>
      </c>
      <c r="W2880" s="14">
        <f>U2880/H2880-1</f>
        <v/>
      </c>
      <c r="X2880" s="16" t="inlineStr">
        <is>
          <t>ACIMA +18.4%</t>
        </is>
      </c>
      <c r="Y2880" s="7" t="inlineStr"/>
    </row>
    <row r="2881">
      <c r="A2881" s="7" t="n">
        <v>650111</v>
      </c>
      <c r="B2881" s="12" t="inlineStr">
        <is>
          <t>7891150096738</t>
        </is>
      </c>
      <c r="C2881" s="7" t="inlineStr">
        <is>
          <t>MASC. TRAT. CAP. DOVE HIDRAT. 500</t>
        </is>
      </c>
      <c r="D2881" s="7" t="inlineStr">
        <is>
          <t>COND/SHAM/CREM/SIMILARES</t>
        </is>
      </c>
      <c r="E2881" s="7" t="inlineStr">
        <is>
          <t>C</t>
        </is>
      </c>
      <c r="F2881" s="13" t="n">
        <v>2</v>
      </c>
      <c r="G2881" s="13" t="n">
        <v>2</v>
      </c>
      <c r="H2881" s="8" t="n">
        <v>17.54</v>
      </c>
      <c r="I2881" s="8" t="n">
        <v>16.5133</v>
      </c>
      <c r="J2881" s="8" t="n">
        <v>16.5133</v>
      </c>
      <c r="K2881" s="8" t="n"/>
      <c r="L2881" s="8" t="n"/>
      <c r="M2881" s="8" t="n"/>
      <c r="N2881" s="8" t="n"/>
      <c r="O2881" s="8" t="n"/>
      <c r="P2881" s="15" t="n">
        <v>21.15</v>
      </c>
      <c r="Q2881" s="8" t="n"/>
      <c r="R2881" s="8" t="n"/>
      <c r="S2881" s="8" t="n"/>
      <c r="T2881" s="7" t="inlineStr">
        <is>
          <t>NAZARIA</t>
        </is>
      </c>
      <c r="U2881" s="8" t="n">
        <v>21.15</v>
      </c>
      <c r="V2881" s="14">
        <f>U2881/J2881-1</f>
        <v/>
      </c>
      <c r="W2881" s="14">
        <f>U2881/H2881-1</f>
        <v/>
      </c>
      <c r="X2881" s="16" t="inlineStr">
        <is>
          <t>ACIMA +20.6%</t>
        </is>
      </c>
      <c r="Y2881" s="7" t="inlineStr"/>
    </row>
    <row r="2882">
      <c r="A2882" s="7" t="n">
        <v>658201</v>
      </c>
      <c r="B2882" s="12" t="inlineStr">
        <is>
          <t>7898132989644</t>
        </is>
      </c>
      <c r="C2882" s="7" t="inlineStr">
        <is>
          <t>MASCARA +NUTRICAO 250G</t>
        </is>
      </c>
      <c r="D2882" s="7" t="inlineStr">
        <is>
          <t>COND/SHAM/CREM/SIMILARES</t>
        </is>
      </c>
      <c r="E2882" s="7" t="inlineStr">
        <is>
          <t>C</t>
        </is>
      </c>
      <c r="F2882" s="13" t="n">
        <v>1</v>
      </c>
      <c r="G2882" s="13" t="n">
        <v>1</v>
      </c>
      <c r="H2882" s="8" t="n">
        <v>26.4</v>
      </c>
      <c r="I2882" s="8" t="n">
        <v>26.4</v>
      </c>
      <c r="J2882" s="8" t="n">
        <v>26.4</v>
      </c>
      <c r="K2882" s="8" t="n"/>
      <c r="L2882" s="8" t="n"/>
      <c r="M2882" s="8" t="n"/>
      <c r="N2882" s="8" t="n"/>
      <c r="O2882" s="8" t="n"/>
      <c r="P2882" s="8" t="n"/>
      <c r="Q2882" s="8" t="n"/>
      <c r="R2882" s="8" t="n"/>
      <c r="S2882" s="8" t="n"/>
      <c r="T2882" s="7" t="inlineStr">
        <is>
          <t>SEM COTAÇÃO</t>
        </is>
      </c>
      <c r="U2882" s="8" t="n"/>
      <c r="V2882" s="14" t="n"/>
      <c r="W2882" s="14" t="n"/>
      <c r="X2882" s="7" t="inlineStr"/>
      <c r="Y2882" s="7" t="inlineStr"/>
    </row>
    <row r="2883">
      <c r="A2883" s="7" t="n">
        <v>664491</v>
      </c>
      <c r="B2883" s="12" t="inlineStr">
        <is>
          <t>7908909600266</t>
        </is>
      </c>
      <c r="C2883" s="7" t="inlineStr">
        <is>
          <t>MASCARA ACIDIFICANTE COMBINACION 300ML X 12</t>
        </is>
      </c>
      <c r="D2883" s="7" t="inlineStr">
        <is>
          <t>COND/SHAM/CREM/SIMILARES</t>
        </is>
      </c>
      <c r="E2883" s="7" t="inlineStr">
        <is>
          <t>C</t>
        </is>
      </c>
      <c r="F2883" s="13" t="n">
        <v>2</v>
      </c>
      <c r="G2883" s="13" t="n">
        <v>2</v>
      </c>
      <c r="H2883" s="8" t="n">
        <v>18.16</v>
      </c>
      <c r="I2883" s="8" t="n">
        <v>18.16</v>
      </c>
      <c r="J2883" s="8" t="n">
        <v>18.16</v>
      </c>
      <c r="K2883" s="8" t="n"/>
      <c r="L2883" s="8" t="n"/>
      <c r="M2883" s="8" t="n"/>
      <c r="N2883" s="8" t="n"/>
      <c r="O2883" s="8" t="n"/>
      <c r="P2883" s="8" t="n"/>
      <c r="Q2883" s="8" t="n"/>
      <c r="R2883" s="8" t="n"/>
      <c r="S2883" s="8" t="n"/>
      <c r="T2883" s="7" t="inlineStr">
        <is>
          <t>SEM COTAÇÃO</t>
        </is>
      </c>
      <c r="U2883" s="8" t="n"/>
      <c r="V2883" s="14" t="n"/>
      <c r="W2883" s="14" t="n"/>
      <c r="X2883" s="7" t="inlineStr"/>
      <c r="Y2883" s="7" t="inlineStr"/>
    </row>
    <row r="2884">
      <c r="A2884" s="7" t="n">
        <v>603981</v>
      </c>
      <c r="B2884" s="12" t="inlineStr">
        <is>
          <t>7899973707855</t>
        </is>
      </c>
      <c r="C2884" s="7" t="inlineStr">
        <is>
          <t>MASCARA AZUL PROTECTME CIRURGICA TRIPLA DESCARTAVEL 50UN (PROTECTIME)</t>
        </is>
      </c>
      <c r="D2884" s="7" t="inlineStr">
        <is>
          <t>UTENSILIOS</t>
        </is>
      </c>
      <c r="E2884" s="7" t="inlineStr">
        <is>
          <t>C</t>
        </is>
      </c>
      <c r="F2884" s="13" t="n">
        <v>1</v>
      </c>
      <c r="G2884" s="13" t="n">
        <v>1</v>
      </c>
      <c r="H2884" s="8" t="n">
        <v>5.62</v>
      </c>
      <c r="I2884" s="8" t="n">
        <v>5.62</v>
      </c>
      <c r="J2884" s="8" t="n">
        <v>5.62</v>
      </c>
      <c r="K2884" s="8" t="n"/>
      <c r="L2884" s="8" t="n"/>
      <c r="M2884" s="8" t="n"/>
      <c r="N2884" s="8" t="n"/>
      <c r="O2884" s="8" t="n"/>
      <c r="P2884" s="8" t="n"/>
      <c r="Q2884" s="8" t="n"/>
      <c r="R2884" s="8" t="n"/>
      <c r="S2884" s="8" t="n"/>
      <c r="T2884" s="7" t="inlineStr">
        <is>
          <t>SEM COTAÇÃO</t>
        </is>
      </c>
      <c r="U2884" s="8" t="n"/>
      <c r="V2884" s="14" t="n"/>
      <c r="W2884" s="14" t="n"/>
      <c r="X2884" s="7" t="inlineStr"/>
      <c r="Y2884" s="7" t="inlineStr"/>
    </row>
    <row r="2885">
      <c r="A2885" s="7" t="n">
        <v>545761</v>
      </c>
      <c r="B2885" s="12" t="inlineStr">
        <is>
          <t>1230000059565</t>
        </is>
      </c>
      <c r="C2885" s="7" t="inlineStr">
        <is>
          <t>MASCARA CIRURGICA DESCARTAVEL AZUL 50UN</t>
        </is>
      </c>
      <c r="D2885" s="7" t="inlineStr">
        <is>
          <t>UTENSILIOS</t>
        </is>
      </c>
      <c r="E2885" s="7" t="inlineStr">
        <is>
          <t>C</t>
        </is>
      </c>
      <c r="F2885" s="13" t="n">
        <v>1</v>
      </c>
      <c r="G2885" s="13" t="n">
        <v>1</v>
      </c>
      <c r="H2885" s="8" t="n"/>
      <c r="I2885" s="8" t="n"/>
      <c r="J2885" s="8" t="n"/>
      <c r="K2885" s="8" t="n"/>
      <c r="L2885" s="8" t="n"/>
      <c r="M2885" s="8" t="n"/>
      <c r="N2885" s="8" t="n"/>
      <c r="O2885" s="8" t="n"/>
      <c r="P2885" s="8" t="n"/>
      <c r="Q2885" s="8" t="n"/>
      <c r="R2885" s="8" t="n"/>
      <c r="S2885" s="8" t="n"/>
      <c r="T2885" s="7" t="inlineStr">
        <is>
          <t>SEM COTAÇÃO</t>
        </is>
      </c>
      <c r="U2885" s="8" t="n"/>
      <c r="V2885" s="14" t="n"/>
      <c r="W2885" s="14" t="n"/>
      <c r="X2885" s="7" t="inlineStr"/>
      <c r="Y2885" s="7" t="inlineStr"/>
    </row>
    <row r="2886">
      <c r="A2886" s="7" t="n">
        <v>659441</v>
      </c>
      <c r="B2886" s="12" t="inlineStr">
        <is>
          <t>7898132987343</t>
        </is>
      </c>
      <c r="C2886" s="7" t="inlineStr">
        <is>
          <t>MASCARA CRESPO PODEROSO 1KG</t>
        </is>
      </c>
      <c r="D2886" s="7" t="inlineStr">
        <is>
          <t>COND/SHAM/CREM/SIMILARES</t>
        </is>
      </c>
      <c r="E2886" s="7" t="inlineStr">
        <is>
          <t>C</t>
        </is>
      </c>
      <c r="F2886" s="13" t="n">
        <v>1</v>
      </c>
      <c r="G2886" s="13" t="n">
        <v>1</v>
      </c>
      <c r="H2886" s="8" t="n">
        <v>27.82</v>
      </c>
      <c r="I2886" s="8" t="n">
        <v>27.82</v>
      </c>
      <c r="J2886" s="8" t="n">
        <v>27.82</v>
      </c>
      <c r="K2886" s="8" t="n"/>
      <c r="L2886" s="8" t="n"/>
      <c r="M2886" s="8" t="n"/>
      <c r="N2886" s="8" t="n"/>
      <c r="O2886" s="8" t="n"/>
      <c r="P2886" s="8" t="n"/>
      <c r="Q2886" s="8" t="n"/>
      <c r="R2886" s="8" t="n"/>
      <c r="S2886" s="8" t="n"/>
      <c r="T2886" s="7" t="inlineStr">
        <is>
          <t>SEM COTAÇÃO</t>
        </is>
      </c>
      <c r="U2886" s="8" t="n"/>
      <c r="V2886" s="14" t="n"/>
      <c r="W2886" s="14" t="n"/>
      <c r="X2886" s="7" t="inlineStr"/>
      <c r="Y2886" s="7" t="inlineStr"/>
    </row>
    <row r="2887">
      <c r="A2887" s="7" t="n">
        <v>173</v>
      </c>
      <c r="B2887" s="12" t="inlineStr">
        <is>
          <t>7898132987299</t>
        </is>
      </c>
      <c r="C2887" s="7" t="inlineStr">
        <is>
          <t>MASCARA CRESPO PODEROSO 450G</t>
        </is>
      </c>
      <c r="D2887" s="7" t="inlineStr">
        <is>
          <t>COND/SHAM/CREM/SIMILARES</t>
        </is>
      </c>
      <c r="E2887" s="7" t="inlineStr">
        <is>
          <t>C</t>
        </is>
      </c>
      <c r="F2887" s="13" t="n">
        <v>1</v>
      </c>
      <c r="G2887" s="13" t="n">
        <v>1</v>
      </c>
      <c r="H2887" s="8" t="n">
        <v>20.21</v>
      </c>
      <c r="I2887" s="8" t="n">
        <v>20.21</v>
      </c>
      <c r="J2887" s="8" t="n">
        <v>20.21</v>
      </c>
      <c r="K2887" s="8" t="n"/>
      <c r="L2887" s="8" t="n"/>
      <c r="M2887" s="8" t="n"/>
      <c r="N2887" s="8" t="n"/>
      <c r="O2887" s="8" t="n"/>
      <c r="P2887" s="8" t="n"/>
      <c r="Q2887" s="8" t="n"/>
      <c r="R2887" s="8" t="n"/>
      <c r="S2887" s="8" t="n"/>
      <c r="T2887" s="7" t="inlineStr">
        <is>
          <t>SEM COTAÇÃO</t>
        </is>
      </c>
      <c r="U2887" s="8" t="n"/>
      <c r="V2887" s="14" t="n"/>
      <c r="W2887" s="14" t="n"/>
      <c r="X2887" s="7" t="inlineStr"/>
      <c r="Y2887" s="7" t="inlineStr"/>
    </row>
    <row r="2888">
      <c r="A2888" s="7" t="n">
        <v>593051</v>
      </c>
      <c r="B2888" s="12" t="inlineStr">
        <is>
          <t>7898132982034</t>
        </is>
      </c>
      <c r="C2888" s="7" t="inlineStr">
        <is>
          <t>MASCARA DELETA DANOS 450G</t>
        </is>
      </c>
      <c r="D2888" s="7" t="inlineStr">
        <is>
          <t>COND/SHAM/CREM/SIMILARES</t>
        </is>
      </c>
      <c r="E2888" s="7" t="inlineStr">
        <is>
          <t>C</t>
        </is>
      </c>
      <c r="F2888" s="13" t="n">
        <v>1</v>
      </c>
      <c r="G2888" s="13" t="n">
        <v>1</v>
      </c>
      <c r="H2888" s="8" t="n">
        <v>20.21</v>
      </c>
      <c r="I2888" s="8" t="n">
        <v>20.21</v>
      </c>
      <c r="J2888" s="8" t="n">
        <v>20.21</v>
      </c>
      <c r="K2888" s="8" t="n"/>
      <c r="L2888" s="8" t="n"/>
      <c r="M2888" s="8" t="n"/>
      <c r="N2888" s="8" t="n"/>
      <c r="O2888" s="8" t="n"/>
      <c r="P2888" s="8" t="n"/>
      <c r="Q2888" s="8" t="n"/>
      <c r="R2888" s="8" t="n"/>
      <c r="S2888" s="8" t="n"/>
      <c r="T2888" s="7" t="inlineStr">
        <is>
          <t>SEM COTAÇÃO</t>
        </is>
      </c>
      <c r="U2888" s="8" t="n"/>
      <c r="V2888" s="14" t="n"/>
      <c r="W2888" s="14" t="n"/>
      <c r="X2888" s="7" t="inlineStr"/>
      <c r="Y2888" s="7" t="inlineStr"/>
    </row>
    <row r="2889">
      <c r="A2889" s="7" t="n">
        <v>662401</v>
      </c>
      <c r="B2889" s="12" t="inlineStr">
        <is>
          <t>7898610375259</t>
        </is>
      </c>
      <c r="C2889" s="7" t="inlineStr">
        <is>
          <t>MASCARA ENCORPA CABELO 300GR HASKELL</t>
        </is>
      </c>
      <c r="D2889" s="7" t="inlineStr">
        <is>
          <t>COND/SHAM/CREM/SIMILARES</t>
        </is>
      </c>
      <c r="E2889" s="7" t="inlineStr">
        <is>
          <t>A</t>
        </is>
      </c>
      <c r="F2889" s="13" t="n">
        <v>1</v>
      </c>
      <c r="G2889" s="13" t="n">
        <v>1</v>
      </c>
      <c r="H2889" s="8" t="n">
        <v>32.85</v>
      </c>
      <c r="I2889" s="8" t="n">
        <v>32.85</v>
      </c>
      <c r="J2889" s="8" t="n">
        <v>32.85</v>
      </c>
      <c r="K2889" s="8" t="n"/>
      <c r="L2889" s="8" t="n"/>
      <c r="M2889" s="8" t="n"/>
      <c r="N2889" s="8" t="n"/>
      <c r="O2889" s="8" t="n"/>
      <c r="P2889" s="8" t="n"/>
      <c r="Q2889" s="8" t="n"/>
      <c r="R2889" s="8" t="n"/>
      <c r="S2889" s="8" t="n"/>
      <c r="T2889" s="7" t="inlineStr">
        <is>
          <t>SEM COTAÇÃO</t>
        </is>
      </c>
      <c r="U2889" s="8" t="n"/>
      <c r="V2889" s="14" t="n"/>
      <c r="W2889" s="14" t="n"/>
      <c r="X2889" s="7" t="inlineStr"/>
      <c r="Y2889" s="7" t="inlineStr"/>
    </row>
    <row r="2890">
      <c r="A2890" s="7" t="n">
        <v>600031</v>
      </c>
      <c r="B2890" s="12" t="inlineStr">
        <is>
          <t>7898132985790</t>
        </is>
      </c>
      <c r="C2890" s="7" t="inlineStr">
        <is>
          <t>MASCARA GRISALHOS 250G</t>
        </is>
      </c>
      <c r="D2890" s="7" t="inlineStr">
        <is>
          <t>COND/SHAM/CREM/SIMILARES</t>
        </is>
      </c>
      <c r="E2890" s="7" t="inlineStr">
        <is>
          <t>C</t>
        </is>
      </c>
      <c r="F2890" s="13" t="n">
        <v>1</v>
      </c>
      <c r="G2890" s="13" t="n">
        <v>1</v>
      </c>
      <c r="H2890" s="8" t="n">
        <v>27.07</v>
      </c>
      <c r="I2890" s="8" t="n">
        <v>27.07</v>
      </c>
      <c r="J2890" s="8" t="n">
        <v>27.07</v>
      </c>
      <c r="K2890" s="8" t="n"/>
      <c r="L2890" s="8" t="n"/>
      <c r="M2890" s="8" t="n"/>
      <c r="N2890" s="8" t="n"/>
      <c r="O2890" s="8" t="n"/>
      <c r="P2890" s="8" t="n"/>
      <c r="Q2890" s="8" t="n"/>
      <c r="R2890" s="8" t="n"/>
      <c r="S2890" s="8" t="n"/>
      <c r="T2890" s="7" t="inlineStr">
        <is>
          <t>SEM COTAÇÃO</t>
        </is>
      </c>
      <c r="U2890" s="8" t="n"/>
      <c r="V2890" s="14" t="n"/>
      <c r="W2890" s="14" t="n"/>
      <c r="X2890" s="7" t="inlineStr"/>
      <c r="Y2890" s="7" t="inlineStr"/>
    </row>
    <row r="2891">
      <c r="A2891" s="7" t="n">
        <v>582081</v>
      </c>
      <c r="B2891" s="12" t="inlineStr">
        <is>
          <t>7898132982331</t>
        </is>
      </c>
      <c r="C2891" s="7" t="inlineStr">
        <is>
          <t>MASCARA MAIS BRILHO 250G</t>
        </is>
      </c>
      <c r="D2891" s="7" t="inlineStr">
        <is>
          <t>PERF/COSME</t>
        </is>
      </c>
      <c r="E2891" s="7" t="inlineStr">
        <is>
          <t>C</t>
        </is>
      </c>
      <c r="F2891" s="13" t="n">
        <v>1</v>
      </c>
      <c r="G2891" s="13" t="n">
        <v>1</v>
      </c>
      <c r="H2891" s="8" t="n">
        <v>26.4</v>
      </c>
      <c r="I2891" s="8" t="n">
        <v>26.4</v>
      </c>
      <c r="J2891" s="8" t="n">
        <v>26.4</v>
      </c>
      <c r="K2891" s="8" t="n"/>
      <c r="L2891" s="8" t="n"/>
      <c r="M2891" s="8" t="n"/>
      <c r="N2891" s="8" t="n"/>
      <c r="O2891" s="8" t="n"/>
      <c r="P2891" s="8" t="n"/>
      <c r="Q2891" s="8" t="n"/>
      <c r="R2891" s="8" t="n"/>
      <c r="S2891" s="8" t="n"/>
      <c r="T2891" s="7" t="inlineStr">
        <is>
          <t>SEM COTAÇÃO</t>
        </is>
      </c>
      <c r="U2891" s="8" t="n"/>
      <c r="V2891" s="14" t="n"/>
      <c r="W2891" s="14" t="n"/>
      <c r="X2891" s="7" t="inlineStr"/>
      <c r="Y2891" s="7" t="inlineStr"/>
    </row>
    <row r="2892">
      <c r="A2892" s="7" t="n">
        <v>581881</v>
      </c>
      <c r="B2892" s="12" t="inlineStr">
        <is>
          <t>7898132980641</t>
        </is>
      </c>
      <c r="C2892" s="7" t="inlineStr">
        <is>
          <t>MASCARA MAIS LISO 250G</t>
        </is>
      </c>
      <c r="D2892" s="7" t="inlineStr">
        <is>
          <t>PERF/COSME</t>
        </is>
      </c>
      <c r="E2892" s="7" t="inlineStr">
        <is>
          <t>B</t>
        </is>
      </c>
      <c r="F2892" s="13" t="n">
        <v>1</v>
      </c>
      <c r="G2892" s="13" t="n">
        <v>1</v>
      </c>
      <c r="H2892" s="8" t="n">
        <v>26.4</v>
      </c>
      <c r="I2892" s="8" t="n">
        <v>26.4</v>
      </c>
      <c r="J2892" s="8" t="n">
        <v>26.4</v>
      </c>
      <c r="K2892" s="8" t="n"/>
      <c r="L2892" s="8" t="n"/>
      <c r="M2892" s="8" t="n"/>
      <c r="N2892" s="8" t="n"/>
      <c r="O2892" s="8" t="n"/>
      <c r="P2892" s="8" t="n"/>
      <c r="Q2892" s="8" t="n"/>
      <c r="R2892" s="8" t="n"/>
      <c r="S2892" s="8" t="n"/>
      <c r="T2892" s="7" t="inlineStr">
        <is>
          <t>SEM COTAÇÃO</t>
        </is>
      </c>
      <c r="U2892" s="8" t="n"/>
      <c r="V2892" s="14" t="n"/>
      <c r="W2892" s="14" t="n"/>
      <c r="X2892" s="7" t="inlineStr"/>
      <c r="Y2892" s="7" t="inlineStr"/>
    </row>
    <row r="2893">
      <c r="A2893" s="7" t="n">
        <v>592931</v>
      </c>
      <c r="B2893" s="12" t="inlineStr">
        <is>
          <t>7898132985196</t>
        </is>
      </c>
      <c r="C2893" s="7" t="inlineStr">
        <is>
          <t>MASCARA MATIZA LOIRO 450G</t>
        </is>
      </c>
      <c r="D2893" s="7" t="inlineStr">
        <is>
          <t>COND/SHAM/CREM/SIMILARES</t>
        </is>
      </c>
      <c r="E2893" s="7" t="inlineStr">
        <is>
          <t>C</t>
        </is>
      </c>
      <c r="F2893" s="13" t="n">
        <v>2</v>
      </c>
      <c r="G2893" s="13" t="n">
        <v>2</v>
      </c>
      <c r="H2893" s="8" t="n">
        <v>6</v>
      </c>
      <c r="I2893" s="8" t="n">
        <v>6</v>
      </c>
      <c r="J2893" s="8" t="n">
        <v>6</v>
      </c>
      <c r="K2893" s="8" t="n"/>
      <c r="L2893" s="8" t="n"/>
      <c r="M2893" s="8" t="n"/>
      <c r="N2893" s="8" t="n"/>
      <c r="O2893" s="8" t="n"/>
      <c r="P2893" s="8" t="n"/>
      <c r="Q2893" s="8" t="n"/>
      <c r="R2893" s="8" t="n"/>
      <c r="S2893" s="8" t="n"/>
      <c r="T2893" s="7" t="inlineStr">
        <is>
          <t>SEM COTAÇÃO</t>
        </is>
      </c>
      <c r="U2893" s="8" t="n"/>
      <c r="V2893" s="14" t="n"/>
      <c r="W2893" s="14" t="n"/>
      <c r="X2893" s="7" t="inlineStr"/>
      <c r="Y2893" s="7" t="inlineStr"/>
    </row>
    <row r="2894">
      <c r="A2894" s="7" t="n">
        <v>581701</v>
      </c>
      <c r="B2894" s="12" t="inlineStr">
        <is>
          <t>7898126401190</t>
        </is>
      </c>
      <c r="C2894" s="7" t="inlineStr">
        <is>
          <t>MASCARA QUERAVIT 250GR</t>
        </is>
      </c>
      <c r="D2894" s="7" t="inlineStr">
        <is>
          <t>PERF/COSME</t>
        </is>
      </c>
      <c r="E2894" s="7" t="inlineStr">
        <is>
          <t>C</t>
        </is>
      </c>
      <c r="F2894" s="13" t="n">
        <v>2</v>
      </c>
      <c r="G2894" s="13" t="n">
        <v>2</v>
      </c>
      <c r="H2894" s="8" t="n">
        <v>26.4</v>
      </c>
      <c r="I2894" s="8" t="n">
        <v>26.4</v>
      </c>
      <c r="J2894" s="8" t="n">
        <v>26.4</v>
      </c>
      <c r="K2894" s="8" t="n"/>
      <c r="L2894" s="8" t="n"/>
      <c r="M2894" s="8" t="n"/>
      <c r="N2894" s="8" t="n"/>
      <c r="O2894" s="8" t="n"/>
      <c r="P2894" s="8" t="n"/>
      <c r="Q2894" s="8" t="n"/>
      <c r="R2894" s="8" t="n"/>
      <c r="S2894" s="8" t="n"/>
      <c r="T2894" s="7" t="inlineStr">
        <is>
          <t>SEM COTAÇÃO</t>
        </is>
      </c>
      <c r="U2894" s="8" t="n"/>
      <c r="V2894" s="14" t="n"/>
      <c r="W2894" s="14" t="n"/>
      <c r="X2894" s="7" t="inlineStr"/>
      <c r="Y2894" s="7" t="inlineStr"/>
    </row>
    <row r="2895">
      <c r="A2895" s="7" t="n">
        <v>603331</v>
      </c>
      <c r="B2895" s="12" t="inlineStr">
        <is>
          <t>7898524348523</t>
        </is>
      </c>
      <c r="C2895" s="7" t="inlineStr">
        <is>
          <t>MASCARA SOS CACHOS TRATAMENTO PROFUNDO 500G</t>
        </is>
      </c>
      <c r="D2895" s="7" t="inlineStr">
        <is>
          <t>PERF/COSME</t>
        </is>
      </c>
      <c r="E2895" s="7" t="inlineStr">
        <is>
          <t>C</t>
        </is>
      </c>
      <c r="F2895" s="13" t="n">
        <v>1</v>
      </c>
      <c r="G2895" s="13" t="n">
        <v>1</v>
      </c>
      <c r="H2895" s="8" t="n">
        <v>19.23</v>
      </c>
      <c r="I2895" s="8" t="n">
        <v>19.23</v>
      </c>
      <c r="J2895" s="8" t="n">
        <v>19.23</v>
      </c>
      <c r="K2895" s="8" t="n"/>
      <c r="L2895" s="8" t="n"/>
      <c r="M2895" s="8" t="n"/>
      <c r="N2895" s="8" t="n"/>
      <c r="O2895" s="8" t="n"/>
      <c r="P2895" s="8" t="n"/>
      <c r="Q2895" s="8" t="n"/>
      <c r="R2895" s="8" t="n"/>
      <c r="S2895" s="8" t="n"/>
      <c r="T2895" s="7" t="inlineStr">
        <is>
          <t>SEM COTAÇÃO</t>
        </is>
      </c>
      <c r="U2895" s="8" t="n"/>
      <c r="V2895" s="14" t="n"/>
      <c r="W2895" s="14" t="n"/>
      <c r="X2895" s="7" t="inlineStr"/>
      <c r="Y2895" s="7" t="inlineStr"/>
    </row>
    <row r="2896">
      <c r="A2896" s="7" t="n">
        <v>589651</v>
      </c>
      <c r="B2896" s="12" t="inlineStr">
        <is>
          <t>7898126406287</t>
        </is>
      </c>
      <c r="C2896" s="7" t="inlineStr">
        <is>
          <t>MASCARA SPEC VIOLETA 250GR</t>
        </is>
      </c>
      <c r="D2896" s="7" t="inlineStr">
        <is>
          <t>PERF/COSME</t>
        </is>
      </c>
      <c r="E2896" s="7" t="inlineStr">
        <is>
          <t>B</t>
        </is>
      </c>
      <c r="F2896" s="13" t="n">
        <v>1</v>
      </c>
      <c r="G2896" s="13" t="n">
        <v>1</v>
      </c>
      <c r="H2896" s="8" t="n">
        <v>41.28</v>
      </c>
      <c r="I2896" s="8" t="n">
        <v>41.28</v>
      </c>
      <c r="J2896" s="8" t="n">
        <v>41.28</v>
      </c>
      <c r="K2896" s="8" t="n"/>
      <c r="L2896" s="8" t="n"/>
      <c r="M2896" s="8" t="n"/>
      <c r="N2896" s="8" t="n"/>
      <c r="O2896" s="8" t="n"/>
      <c r="P2896" s="8" t="n"/>
      <c r="Q2896" s="8" t="n"/>
      <c r="R2896" s="8" t="n"/>
      <c r="S2896" s="8" t="n"/>
      <c r="T2896" s="7" t="inlineStr">
        <is>
          <t>SEM COTAÇÃO</t>
        </is>
      </c>
      <c r="U2896" s="8" t="n"/>
      <c r="V2896" s="14" t="n"/>
      <c r="W2896" s="14" t="n"/>
      <c r="X2896" s="7" t="inlineStr"/>
      <c r="Y2896" s="7" t="inlineStr"/>
    </row>
    <row r="2897">
      <c r="A2897" s="7" t="n">
        <v>609951</v>
      </c>
      <c r="B2897" s="12" t="inlineStr">
        <is>
          <t>7898126407512</t>
        </is>
      </c>
      <c r="C2897" s="7" t="inlineStr">
        <is>
          <t>MASCARA SPECIALISTE CINZA 90GR</t>
        </is>
      </c>
      <c r="D2897" s="7" t="inlineStr">
        <is>
          <t>COND/SHAM/CREM/SIMILARES</t>
        </is>
      </c>
      <c r="E2897" s="7" t="inlineStr">
        <is>
          <t>B</t>
        </is>
      </c>
      <c r="F2897" s="13" t="n">
        <v>2</v>
      </c>
      <c r="G2897" s="13" t="n">
        <v>2</v>
      </c>
      <c r="H2897" s="8" t="n">
        <v>17.72</v>
      </c>
      <c r="I2897" s="8" t="n">
        <v>17.72</v>
      </c>
      <c r="J2897" s="8" t="n">
        <v>17.72</v>
      </c>
      <c r="K2897" s="8" t="n"/>
      <c r="L2897" s="8" t="n"/>
      <c r="M2897" s="8" t="n"/>
      <c r="N2897" s="8" t="n"/>
      <c r="O2897" s="8" t="n"/>
      <c r="P2897" s="8" t="n"/>
      <c r="Q2897" s="8" t="n"/>
      <c r="R2897" s="8" t="n"/>
      <c r="S2897" s="8" t="n"/>
      <c r="T2897" s="7" t="inlineStr">
        <is>
          <t>SEM COTAÇÃO</t>
        </is>
      </c>
      <c r="U2897" s="8" t="n"/>
      <c r="V2897" s="14" t="n"/>
      <c r="W2897" s="14" t="n"/>
      <c r="X2897" s="7" t="inlineStr"/>
      <c r="Y2897" s="7" t="inlineStr"/>
    </row>
    <row r="2898">
      <c r="A2898" s="7" t="n">
        <v>609941</v>
      </c>
      <c r="B2898" s="12" t="inlineStr">
        <is>
          <t>7898126407505</t>
        </is>
      </c>
      <c r="C2898" s="7" t="inlineStr">
        <is>
          <t>MASCARA SPECIALISTE VIOLETA 90GR</t>
        </is>
      </c>
      <c r="D2898" s="7" t="inlineStr">
        <is>
          <t>COND/SHAM/CREM/SIMILARES</t>
        </is>
      </c>
      <c r="E2898" s="7" t="inlineStr">
        <is>
          <t>C</t>
        </is>
      </c>
      <c r="F2898" s="13" t="n">
        <v>2</v>
      </c>
      <c r="G2898" s="13" t="n">
        <v>2</v>
      </c>
      <c r="H2898" s="8" t="n">
        <v>16.61</v>
      </c>
      <c r="I2898" s="8" t="n">
        <v>16.61</v>
      </c>
      <c r="J2898" s="8" t="n">
        <v>16.61</v>
      </c>
      <c r="K2898" s="8" t="n"/>
      <c r="L2898" s="8" t="n"/>
      <c r="M2898" s="8" t="n"/>
      <c r="N2898" s="8" t="n"/>
      <c r="O2898" s="8" t="n"/>
      <c r="P2898" s="8" t="n"/>
      <c r="Q2898" s="8" t="n"/>
      <c r="R2898" s="8" t="n"/>
      <c r="S2898" s="8" t="n"/>
      <c r="T2898" s="7" t="inlineStr">
        <is>
          <t>SEM COTAÇÃO</t>
        </is>
      </c>
      <c r="U2898" s="8" t="n"/>
      <c r="V2898" s="14" t="n"/>
      <c r="W2898" s="14" t="n"/>
      <c r="X2898" s="7" t="inlineStr"/>
      <c r="Y2898" s="7" t="inlineStr"/>
    </row>
    <row r="2899">
      <c r="A2899" s="7" t="n">
        <v>555821</v>
      </c>
      <c r="B2899" s="12" t="inlineStr">
        <is>
          <t>7898283815182</t>
        </is>
      </c>
      <c r="C2899" s="7" t="inlineStr">
        <is>
          <t>MASCARA TRIPLA C/ELASTI BRANCA 50UN CART</t>
        </is>
      </c>
      <c r="D2899" s="7" t="inlineStr">
        <is>
          <t>USO INTERNO</t>
        </is>
      </c>
      <c r="E2899" s="7" t="inlineStr">
        <is>
          <t>C</t>
        </is>
      </c>
      <c r="F2899" s="13" t="n">
        <v>1</v>
      </c>
      <c r="G2899" s="13" t="n">
        <v>1</v>
      </c>
      <c r="H2899" s="8" t="n">
        <v>9.83</v>
      </c>
      <c r="I2899" s="8" t="n">
        <v>9.83</v>
      </c>
      <c r="J2899" s="8" t="n">
        <v>9.83</v>
      </c>
      <c r="K2899" s="8" t="n"/>
      <c r="L2899" s="8" t="n"/>
      <c r="M2899" s="8" t="n"/>
      <c r="N2899" s="15" t="n">
        <v>8.109999999999999</v>
      </c>
      <c r="O2899" s="8" t="n"/>
      <c r="P2899" s="8" t="n"/>
      <c r="Q2899" s="8" t="n"/>
      <c r="R2899" s="8" t="n"/>
      <c r="S2899" s="8" t="n"/>
      <c r="T2899" s="7" t="inlineStr">
        <is>
          <t>CENTROFARMA</t>
        </is>
      </c>
      <c r="U2899" s="8" t="n">
        <v>8.109999999999999</v>
      </c>
      <c r="V2899" s="14">
        <f>U2899/J2899-1</f>
        <v/>
      </c>
      <c r="W2899" s="14">
        <f>U2899/H2899-1</f>
        <v/>
      </c>
      <c r="X2899" s="17" t="inlineStr">
        <is>
          <t>OK (≤ menor hist.)</t>
        </is>
      </c>
      <c r="Y2899" s="7" t="inlineStr"/>
    </row>
    <row r="2900">
      <c r="A2900" s="7" t="n">
        <v>536821</v>
      </c>
      <c r="B2900" s="12" t="inlineStr">
        <is>
          <t>27898259492470</t>
        </is>
      </c>
      <c r="C2900" s="7" t="inlineStr">
        <is>
          <t>MASCARA UNIDADE</t>
        </is>
      </c>
      <c r="D2900" s="7" t="inlineStr">
        <is>
          <t>USO INTERNO</t>
        </is>
      </c>
      <c r="E2900" s="7" t="inlineStr">
        <is>
          <t>A</t>
        </is>
      </c>
      <c r="F2900" s="13" t="n">
        <v>38</v>
      </c>
      <c r="G2900" s="13" t="n">
        <v>38</v>
      </c>
      <c r="H2900" s="8" t="n"/>
      <c r="I2900" s="8" t="n"/>
      <c r="J2900" s="8" t="n"/>
      <c r="K2900" s="8" t="n"/>
      <c r="L2900" s="8" t="n"/>
      <c r="M2900" s="8" t="n"/>
      <c r="N2900" s="8" t="n"/>
      <c r="O2900" s="8" t="n"/>
      <c r="P2900" s="8" t="n"/>
      <c r="Q2900" s="8" t="n"/>
      <c r="R2900" s="8" t="n"/>
      <c r="S2900" s="8" t="n"/>
      <c r="T2900" s="7" t="inlineStr">
        <is>
          <t>SEM COTAÇÃO</t>
        </is>
      </c>
      <c r="U2900" s="8" t="n"/>
      <c r="V2900" s="14" t="n"/>
      <c r="W2900" s="14" t="n"/>
      <c r="X2900" s="7" t="inlineStr"/>
      <c r="Y2900" s="7" t="inlineStr"/>
    </row>
    <row r="2901">
      <c r="A2901" s="7" t="n">
        <v>673371</v>
      </c>
      <c r="B2901" s="12" t="inlineStr">
        <is>
          <t>7898920041318</t>
        </is>
      </c>
      <c r="C2901" s="7" t="inlineStr">
        <is>
          <t>MASS TITANIUM 17500 BAUNILHA 3KG</t>
        </is>
      </c>
      <c r="D2901" s="7" t="inlineStr">
        <is>
          <t>SUPLEMENTO</t>
        </is>
      </c>
      <c r="E2901" s="7" t="inlineStr">
        <is>
          <t>A</t>
        </is>
      </c>
      <c r="F2901" s="13" t="n">
        <v>1</v>
      </c>
      <c r="G2901" s="13" t="n">
        <v>1</v>
      </c>
      <c r="H2901" s="8" t="n">
        <v>93.20999999999999</v>
      </c>
      <c r="I2901" s="8" t="n">
        <v>86.75</v>
      </c>
      <c r="J2901" s="8" t="n">
        <v>88.90333333333332</v>
      </c>
      <c r="K2901" s="8" t="n"/>
      <c r="L2901" s="8" t="n"/>
      <c r="M2901" s="8" t="n"/>
      <c r="N2901" s="8" t="n">
        <v>98.44</v>
      </c>
      <c r="O2901" s="8" t="n"/>
      <c r="P2901" s="8" t="n"/>
      <c r="Q2901" s="8" t="n"/>
      <c r="R2901" s="8" t="n"/>
      <c r="S2901" s="15" t="n">
        <v>93</v>
      </c>
      <c r="T2901" s="7" t="inlineStr">
        <is>
          <t>AT_SUPLEMENTOS</t>
        </is>
      </c>
      <c r="U2901" s="8" t="n">
        <v>93</v>
      </c>
      <c r="V2901" s="14">
        <f>U2901/J2901-1</f>
        <v/>
      </c>
      <c r="W2901" s="14">
        <f>U2901/H2901-1</f>
        <v/>
      </c>
      <c r="X2901" s="17" t="inlineStr">
        <is>
          <t>OK (≤ últ. compra)</t>
        </is>
      </c>
      <c r="Y2901" s="7" t="inlineStr"/>
    </row>
    <row r="2902">
      <c r="A2902" s="7" t="n">
        <v>664741</v>
      </c>
      <c r="B2902" s="12" t="inlineStr">
        <is>
          <t>7891000359426</t>
        </is>
      </c>
      <c r="C2902" s="7" t="inlineStr">
        <is>
          <t>MATERNA DHA 30CAP</t>
        </is>
      </c>
      <c r="D2902" s="7" t="inlineStr">
        <is>
          <t>RX</t>
        </is>
      </c>
      <c r="E2902" s="7" t="inlineStr">
        <is>
          <t>C</t>
        </is>
      </c>
      <c r="F2902" s="13" t="n">
        <v>1</v>
      </c>
      <c r="G2902" s="13" t="n">
        <v>1</v>
      </c>
      <c r="H2902" s="8" t="n">
        <v>62.74</v>
      </c>
      <c r="I2902" s="8" t="n">
        <v>62.74</v>
      </c>
      <c r="J2902" s="8" t="n">
        <v>62.74</v>
      </c>
      <c r="K2902" s="8" t="n"/>
      <c r="L2902" s="8" t="n"/>
      <c r="M2902" s="8" t="n">
        <v>55.82</v>
      </c>
      <c r="N2902" s="8" t="n"/>
      <c r="O2902" s="8" t="n"/>
      <c r="P2902" s="8" t="n">
        <v>75.98999999999999</v>
      </c>
      <c r="Q2902" s="8" t="n"/>
      <c r="R2902" s="8" t="n"/>
      <c r="S2902" s="8" t="n"/>
      <c r="T2902" s="7" t="inlineStr">
        <is>
          <t>SEM COTAÇÃO</t>
        </is>
      </c>
      <c r="U2902" s="8" t="n"/>
      <c r="V2902" s="14" t="n"/>
      <c r="W2902" s="14" t="n"/>
      <c r="X2902" s="7" t="inlineStr"/>
      <c r="Y2902" s="7" t="inlineStr">
        <is>
          <t>EPAN: sem estoque; NAZARIA: sem estoque</t>
        </is>
      </c>
    </row>
    <row r="2903">
      <c r="A2903" s="7" t="n">
        <v>667521</v>
      </c>
      <c r="B2903" s="12" t="inlineStr">
        <is>
          <t>7891000361887</t>
        </is>
      </c>
      <c r="C2903" s="7" t="inlineStr">
        <is>
          <t>MATERNA SUPL MV DHA 30 CAPS-DEMAIS PROD</t>
        </is>
      </c>
      <c r="D2903" s="7" t="inlineStr">
        <is>
          <t>RX</t>
        </is>
      </c>
      <c r="E2903" s="7" t="inlineStr">
        <is>
          <t>C</t>
        </is>
      </c>
      <c r="F2903" s="13" t="n">
        <v>1</v>
      </c>
      <c r="G2903" s="13" t="n">
        <v>1</v>
      </c>
      <c r="H2903" s="8" t="n">
        <v>104.56</v>
      </c>
      <c r="I2903" s="8" t="n">
        <v>104.56</v>
      </c>
      <c r="J2903" s="8" t="n">
        <v>104.56</v>
      </c>
      <c r="K2903" s="8" t="n"/>
      <c r="L2903" s="8" t="n"/>
      <c r="M2903" s="8" t="n">
        <v>93.06</v>
      </c>
      <c r="N2903" s="8" t="n"/>
      <c r="O2903" s="8" t="n"/>
      <c r="P2903" s="8" t="n"/>
      <c r="Q2903" s="8" t="n"/>
      <c r="R2903" s="8" t="n"/>
      <c r="S2903" s="8" t="n"/>
      <c r="T2903" s="7" t="inlineStr">
        <is>
          <t>SEM COTAÇÃO</t>
        </is>
      </c>
      <c r="U2903" s="8" t="n"/>
      <c r="V2903" s="14" t="n"/>
      <c r="W2903" s="14" t="n"/>
      <c r="X2903" s="7" t="inlineStr"/>
      <c r="Y2903" s="7" t="inlineStr">
        <is>
          <t>EPAN: sem estoque</t>
        </is>
      </c>
    </row>
    <row r="2904">
      <c r="A2904" s="7" t="n">
        <v>632031</v>
      </c>
      <c r="B2904" s="12" t="inlineStr">
        <is>
          <t>7891962007359</t>
        </is>
      </c>
      <c r="C2904" s="7" t="inlineStr">
        <is>
          <t>MAXI BARRIN BAUD CHOCO 25G</t>
        </is>
      </c>
      <c r="D2904" s="7" t="inlineStr">
        <is>
          <t>CONVENIENCIA</t>
        </is>
      </c>
      <c r="E2904" s="7" t="inlineStr">
        <is>
          <t>C</t>
        </is>
      </c>
      <c r="F2904" s="13" t="n">
        <v>1</v>
      </c>
      <c r="G2904" s="13" t="n">
        <v>1</v>
      </c>
      <c r="H2904" s="8" t="n">
        <v>1.41</v>
      </c>
      <c r="I2904" s="8" t="n">
        <v>1.41</v>
      </c>
      <c r="J2904" s="8" t="n">
        <v>1.41</v>
      </c>
      <c r="K2904" s="8" t="n"/>
      <c r="L2904" s="8" t="n"/>
      <c r="M2904" s="8" t="n"/>
      <c r="N2904" s="8" t="n"/>
      <c r="O2904" s="8" t="n"/>
      <c r="P2904" s="8" t="n"/>
      <c r="Q2904" s="8" t="n"/>
      <c r="R2904" s="8" t="n"/>
      <c r="S2904" s="8" t="n"/>
      <c r="T2904" s="7" t="inlineStr">
        <is>
          <t>SEM COTAÇÃO</t>
        </is>
      </c>
      <c r="U2904" s="8" t="n"/>
      <c r="V2904" s="14" t="n"/>
      <c r="W2904" s="14" t="n"/>
      <c r="X2904" s="7" t="inlineStr"/>
      <c r="Y2904" s="7" t="inlineStr"/>
    </row>
    <row r="2905">
      <c r="A2905" s="7" t="n">
        <v>632041</v>
      </c>
      <c r="B2905" s="12" t="inlineStr">
        <is>
          <t>7891962003962</t>
        </is>
      </c>
      <c r="C2905" s="7" t="inlineStr">
        <is>
          <t>MAXI BARRIN BAUD GOIABIN 30G</t>
        </is>
      </c>
      <c r="D2905" s="7" t="inlineStr">
        <is>
          <t>CONVENIENCIA</t>
        </is>
      </c>
      <c r="E2905" s="7" t="inlineStr">
        <is>
          <t>C</t>
        </is>
      </c>
      <c r="F2905" s="13" t="n">
        <v>11</v>
      </c>
      <c r="G2905" s="13" t="n">
        <v>11</v>
      </c>
      <c r="H2905" s="8" t="n">
        <v>1.6</v>
      </c>
      <c r="I2905" s="8" t="n">
        <v>1.41</v>
      </c>
      <c r="J2905" s="8" t="n">
        <v>1.536666666666667</v>
      </c>
      <c r="K2905" s="8" t="n"/>
      <c r="L2905" s="8" t="n"/>
      <c r="M2905" s="8" t="n"/>
      <c r="N2905" s="8" t="n"/>
      <c r="O2905" s="8" t="n"/>
      <c r="P2905" s="8" t="n"/>
      <c r="Q2905" s="8" t="n"/>
      <c r="R2905" s="8" t="n"/>
      <c r="S2905" s="8" t="n"/>
      <c r="T2905" s="7" t="inlineStr">
        <is>
          <t>SEM COTAÇÃO</t>
        </is>
      </c>
      <c r="U2905" s="8" t="n"/>
      <c r="V2905" s="14" t="n"/>
      <c r="W2905" s="14" t="n"/>
      <c r="X2905" s="7" t="inlineStr"/>
      <c r="Y2905" s="7" t="inlineStr"/>
    </row>
    <row r="2906">
      <c r="A2906" s="7" t="n">
        <v>206681</v>
      </c>
      <c r="B2906" s="12" t="inlineStr">
        <is>
          <t>7896548111727</t>
        </is>
      </c>
      <c r="C2906" s="7" t="inlineStr">
        <is>
          <t>MAXIDEX 1MG/ML SUS OFT FR GTS 5ML</t>
        </is>
      </c>
      <c r="D2906" s="7" t="inlineStr">
        <is>
          <t>RX</t>
        </is>
      </c>
      <c r="E2906" s="7" t="inlineStr">
        <is>
          <t>A</t>
        </is>
      </c>
      <c r="F2906" s="13" t="n">
        <v>18</v>
      </c>
      <c r="G2906" s="13" t="n">
        <v>18</v>
      </c>
      <c r="H2906" s="8" t="n">
        <v>8.23</v>
      </c>
      <c r="I2906" s="8" t="n">
        <v>7.8167</v>
      </c>
      <c r="J2906" s="8" t="n">
        <v>7.9889</v>
      </c>
      <c r="K2906" s="8" t="n"/>
      <c r="L2906" s="8" t="n"/>
      <c r="M2906" s="15" t="n">
        <v>8.23</v>
      </c>
      <c r="N2906" s="8" t="n"/>
      <c r="O2906" s="8" t="n">
        <v>8.27</v>
      </c>
      <c r="P2906" s="8" t="n">
        <v>8.448</v>
      </c>
      <c r="Q2906" s="8" t="n"/>
      <c r="R2906" s="8" t="n"/>
      <c r="S2906" s="8" t="n"/>
      <c r="T2906" s="7" t="inlineStr">
        <is>
          <t>EPAN</t>
        </is>
      </c>
      <c r="U2906" s="8" t="n">
        <v>8.23</v>
      </c>
      <c r="V2906" s="14">
        <f>U2906/J2906-1</f>
        <v/>
      </c>
      <c r="W2906" s="14">
        <f>U2906/H2906-1</f>
        <v/>
      </c>
      <c r="X2906" s="17" t="inlineStr">
        <is>
          <t>OK (≤ últ. compra)</t>
        </is>
      </c>
      <c r="Y2906" s="7" t="inlineStr"/>
    </row>
    <row r="2907">
      <c r="A2907" s="7" t="n">
        <v>588701</v>
      </c>
      <c r="B2907" s="12" t="inlineStr">
        <is>
          <t>7898495605533</t>
        </is>
      </c>
      <c r="C2907" s="7" t="inlineStr">
        <is>
          <t>MAXIMUS A-Z C/30CP (CFE)</t>
        </is>
      </c>
      <c r="D2907" s="7" t="inlineStr">
        <is>
          <t>RX</t>
        </is>
      </c>
      <c r="E2907" s="7" t="inlineStr">
        <is>
          <t>C</t>
        </is>
      </c>
      <c r="F2907" s="13" t="n">
        <v>1</v>
      </c>
      <c r="G2907" s="13" t="n">
        <v>1</v>
      </c>
      <c r="H2907" s="8" t="n">
        <v>85.77</v>
      </c>
      <c r="I2907" s="8" t="n">
        <v>85.77</v>
      </c>
      <c r="J2907" s="8" t="n">
        <v>85.77</v>
      </c>
      <c r="K2907" s="8" t="n"/>
      <c r="L2907" s="8" t="n"/>
      <c r="M2907" s="8" t="n"/>
      <c r="N2907" s="8" t="n"/>
      <c r="O2907" s="8" t="n"/>
      <c r="P2907" s="8" t="n"/>
      <c r="Q2907" s="8" t="n"/>
      <c r="R2907" s="8" t="n"/>
      <c r="S2907" s="8" t="n"/>
      <c r="T2907" s="7" t="inlineStr">
        <is>
          <t>SEM COTAÇÃO</t>
        </is>
      </c>
      <c r="U2907" s="8" t="n"/>
      <c r="V2907" s="14" t="n"/>
      <c r="W2907" s="14" t="n"/>
      <c r="X2907" s="7" t="inlineStr"/>
      <c r="Y2907" s="7" t="inlineStr"/>
    </row>
    <row r="2908">
      <c r="A2908" s="7" t="n">
        <v>337441</v>
      </c>
      <c r="B2908" s="12" t="inlineStr">
        <is>
          <t>7897917002806</t>
        </is>
      </c>
      <c r="C2908" s="7" t="inlineStr">
        <is>
          <t>MEBENDAZOL 20MG/ML SUS OR FR 30ML</t>
        </is>
      </c>
      <c r="D2908" s="7" t="inlineStr">
        <is>
          <t>GENERICO</t>
        </is>
      </c>
      <c r="E2908" s="7" t="inlineStr">
        <is>
          <t>C</t>
        </is>
      </c>
      <c r="F2908" s="13" t="n">
        <v>2</v>
      </c>
      <c r="G2908" s="13" t="n">
        <v>2</v>
      </c>
      <c r="H2908" s="8" t="n">
        <v>2.65</v>
      </c>
      <c r="I2908" s="8" t="n">
        <v>2.54</v>
      </c>
      <c r="J2908" s="8" t="n">
        <v>2.613333333333333</v>
      </c>
      <c r="K2908" s="8" t="n"/>
      <c r="L2908" s="8" t="n"/>
      <c r="M2908" s="8" t="n"/>
      <c r="N2908" s="8" t="n"/>
      <c r="O2908" s="8" t="n"/>
      <c r="P2908" s="8" t="n"/>
      <c r="Q2908" s="8" t="n"/>
      <c r="R2908" s="8" t="n"/>
      <c r="S2908" s="8" t="n"/>
      <c r="T2908" s="7" t="inlineStr">
        <is>
          <t>SEM COTAÇÃO</t>
        </is>
      </c>
      <c r="U2908" s="8" t="n"/>
      <c r="V2908" s="14" t="n"/>
      <c r="W2908" s="14" t="n"/>
      <c r="X2908" s="7" t="inlineStr"/>
      <c r="Y2908" s="7" t="inlineStr"/>
    </row>
    <row r="2909">
      <c r="A2909" s="7" t="n">
        <v>337721</v>
      </c>
      <c r="B2909" s="12" t="inlineStr">
        <is>
          <t>7896637023115</t>
        </is>
      </c>
      <c r="C2909" s="7" t="inlineStr">
        <is>
          <t>MECLIN 25MG CX 15 COMP</t>
        </is>
      </c>
      <c r="D2909" s="7" t="inlineStr">
        <is>
          <t>RX</t>
        </is>
      </c>
      <c r="E2909" s="7" t="inlineStr">
        <is>
          <t>A</t>
        </is>
      </c>
      <c r="F2909" s="13" t="n">
        <v>11</v>
      </c>
      <c r="G2909" s="13" t="n">
        <v>11</v>
      </c>
      <c r="H2909" s="8" t="n">
        <v>21.26</v>
      </c>
      <c r="I2909" s="8" t="n">
        <v>21.037</v>
      </c>
      <c r="J2909" s="8" t="n">
        <v>21.11133333333333</v>
      </c>
      <c r="K2909" s="8" t="n"/>
      <c r="L2909" s="8" t="n"/>
      <c r="M2909" s="8" t="n"/>
      <c r="N2909" s="8" t="n"/>
      <c r="O2909" s="15" t="n">
        <v>21.27</v>
      </c>
      <c r="P2909" s="8" t="n">
        <v>22.2807</v>
      </c>
      <c r="Q2909" s="8" t="n"/>
      <c r="R2909" s="8" t="n"/>
      <c r="S2909" s="8" t="n"/>
      <c r="T2909" s="7" t="inlineStr">
        <is>
          <t>TAPAJOS</t>
        </is>
      </c>
      <c r="U2909" s="8" t="n">
        <v>21.27</v>
      </c>
      <c r="V2909" s="14">
        <f>U2909/J2909-1</f>
        <v/>
      </c>
      <c r="W2909" s="14">
        <f>U2909/H2909-1</f>
        <v/>
      </c>
      <c r="X2909" s="16" t="inlineStr">
        <is>
          <t>ACIMA +0.0%</t>
        </is>
      </c>
      <c r="Y2909" s="7" t="inlineStr"/>
    </row>
    <row r="2910">
      <c r="A2910" s="7" t="n">
        <v>346381</v>
      </c>
      <c r="B2910" s="12" t="inlineStr">
        <is>
          <t>7895296445085</t>
        </is>
      </c>
      <c r="C2910" s="7" t="inlineStr">
        <is>
          <t>MEFLAGIN 400MG 2BL X 10 COMP REV</t>
        </is>
      </c>
      <c r="D2910" s="7" t="inlineStr">
        <is>
          <t>SIMILAR - ATB</t>
        </is>
      </c>
      <c r="E2910" s="7" t="inlineStr">
        <is>
          <t>C</t>
        </is>
      </c>
      <c r="F2910" s="13" t="n">
        <v>1</v>
      </c>
      <c r="G2910" s="13" t="n">
        <v>1</v>
      </c>
      <c r="H2910" s="8" t="n">
        <v>7.08</v>
      </c>
      <c r="I2910" s="8" t="n">
        <v>7.08</v>
      </c>
      <c r="J2910" s="8" t="n">
        <v>7.080000000000001</v>
      </c>
      <c r="K2910" s="15" t="n">
        <v>7.35</v>
      </c>
      <c r="L2910" s="8" t="n"/>
      <c r="M2910" s="8" t="n"/>
      <c r="N2910" s="8" t="n">
        <v>7.45</v>
      </c>
      <c r="O2910" s="8" t="n"/>
      <c r="P2910" s="8" t="n"/>
      <c r="Q2910" s="8" t="n">
        <v>8.130000000000001</v>
      </c>
      <c r="R2910" s="8" t="n"/>
      <c r="S2910" s="8" t="n"/>
      <c r="T2910" s="7" t="inlineStr">
        <is>
          <t>DIMEC</t>
        </is>
      </c>
      <c r="U2910" s="8" t="n">
        <v>7.35</v>
      </c>
      <c r="V2910" s="14">
        <f>U2910/J2910-1</f>
        <v/>
      </c>
      <c r="W2910" s="14">
        <f>U2910/H2910-1</f>
        <v/>
      </c>
      <c r="X2910" s="16" t="inlineStr">
        <is>
          <t>ACIMA +3.8%</t>
        </is>
      </c>
      <c r="Y2910" s="7" t="inlineStr"/>
    </row>
    <row r="2911">
      <c r="A2911" s="7" t="n">
        <v>640331</v>
      </c>
      <c r="B2911" s="12" t="inlineStr">
        <is>
          <t>7897947610491</t>
        </is>
      </c>
      <c r="C2911" s="7" t="inlineStr">
        <is>
          <t>MEGA DAY JUNIOR XPE FR 240ML</t>
        </is>
      </c>
      <c r="D2911" s="7" t="inlineStr">
        <is>
          <t>RX</t>
        </is>
      </c>
      <c r="E2911" s="7" t="inlineStr">
        <is>
          <t>C</t>
        </is>
      </c>
      <c r="F2911" s="13" t="n">
        <v>1</v>
      </c>
      <c r="G2911" s="13" t="n">
        <v>1</v>
      </c>
      <c r="H2911" s="8" t="n">
        <v>8.4</v>
      </c>
      <c r="I2911" s="8" t="n">
        <v>8.4</v>
      </c>
      <c r="J2911" s="8" t="n">
        <v>8.4</v>
      </c>
      <c r="K2911" s="8" t="n"/>
      <c r="L2911" s="8" t="n"/>
      <c r="M2911" s="8" t="n"/>
      <c r="N2911" s="8" t="n"/>
      <c r="O2911" s="8" t="n"/>
      <c r="P2911" s="8" t="n"/>
      <c r="Q2911" s="8" t="n"/>
      <c r="R2911" s="8" t="n"/>
      <c r="S2911" s="8" t="n"/>
      <c r="T2911" s="7" t="inlineStr">
        <is>
          <t>SEM COTAÇÃO</t>
        </is>
      </c>
      <c r="U2911" s="8" t="n"/>
      <c r="V2911" s="14" t="n"/>
      <c r="W2911" s="14" t="n"/>
      <c r="X2911" s="7" t="inlineStr"/>
      <c r="Y2911" s="7" t="inlineStr"/>
    </row>
    <row r="2912">
      <c r="A2912" s="7" t="n">
        <v>615701</v>
      </c>
      <c r="B2912" s="12" t="inlineStr">
        <is>
          <t>7896311771547</t>
        </is>
      </c>
      <c r="C2912" s="7" t="inlineStr">
        <is>
          <t>MEGA PACK HARDCORE DARKNESS 30 SACHES</t>
        </is>
      </c>
      <c r="D2912" s="7" t="inlineStr">
        <is>
          <t>SUPLEMENTO</t>
        </is>
      </c>
      <c r="E2912" s="7" t="inlineStr">
        <is>
          <t>C</t>
        </is>
      </c>
      <c r="F2912" s="13" t="n">
        <v>1</v>
      </c>
      <c r="G2912" s="13" t="n">
        <v>1</v>
      </c>
      <c r="H2912" s="8" t="n">
        <v>120</v>
      </c>
      <c r="I2912" s="8" t="n">
        <v>120</v>
      </c>
      <c r="J2912" s="8" t="n">
        <v>120</v>
      </c>
      <c r="K2912" s="8" t="n"/>
      <c r="L2912" s="8" t="n"/>
      <c r="M2912" s="8" t="n"/>
      <c r="N2912" s="8" t="n"/>
      <c r="O2912" s="8" t="n"/>
      <c r="P2912" s="8" t="n"/>
      <c r="Q2912" s="8" t="n"/>
      <c r="R2912" s="8" t="n"/>
      <c r="S2912" s="8" t="n"/>
      <c r="T2912" s="7" t="inlineStr">
        <is>
          <t>SEM COTAÇÃO</t>
        </is>
      </c>
      <c r="U2912" s="8" t="n"/>
      <c r="V2912" s="14" t="n"/>
      <c r="W2912" s="14" t="n"/>
      <c r="X2912" s="7" t="inlineStr"/>
      <c r="Y2912" s="7" t="inlineStr"/>
    </row>
    <row r="2913">
      <c r="A2913" s="7" t="n">
        <v>602121</v>
      </c>
      <c r="B2913" s="12" t="inlineStr">
        <is>
          <t>7899732114849</t>
        </is>
      </c>
      <c r="C2913" s="7" t="inlineStr">
        <is>
          <t>MEGA WHEY PROTEIN IRIDIUM BAUNILHA 900G</t>
        </is>
      </c>
      <c r="D2913" s="7" t="inlineStr">
        <is>
          <t>SUPLEMENTO</t>
        </is>
      </c>
      <c r="E2913" s="7" t="inlineStr">
        <is>
          <t>B</t>
        </is>
      </c>
      <c r="F2913" s="13" t="n">
        <v>1</v>
      </c>
      <c r="G2913" s="13" t="n">
        <v>1</v>
      </c>
      <c r="H2913" s="8" t="n">
        <v>53.97</v>
      </c>
      <c r="I2913" s="8" t="n">
        <v>53.97</v>
      </c>
      <c r="J2913" s="8" t="n">
        <v>53.97</v>
      </c>
      <c r="K2913" s="8" t="n"/>
      <c r="L2913" s="8" t="n"/>
      <c r="M2913" s="8" t="n"/>
      <c r="N2913" s="8" t="n"/>
      <c r="O2913" s="8" t="n"/>
      <c r="P2913" s="8" t="n"/>
      <c r="Q2913" s="8" t="n"/>
      <c r="R2913" s="8" t="n"/>
      <c r="S2913" s="8" t="n"/>
      <c r="T2913" s="7" t="inlineStr">
        <is>
          <t>SEM COTAÇÃO</t>
        </is>
      </c>
      <c r="U2913" s="8" t="n"/>
      <c r="V2913" s="14" t="n"/>
      <c r="W2913" s="14" t="n"/>
      <c r="X2913" s="7" t="inlineStr"/>
      <c r="Y2913" s="7" t="inlineStr"/>
    </row>
    <row r="2914">
      <c r="A2914" s="7" t="n">
        <v>602111</v>
      </c>
      <c r="B2914" s="12" t="inlineStr">
        <is>
          <t>7899732114856</t>
        </is>
      </c>
      <c r="C2914" s="7" t="inlineStr">
        <is>
          <t>MEGA WHEY PROTEIN IRIDIUM CHOCOLATE 900G</t>
        </is>
      </c>
      <c r="D2914" s="7" t="inlineStr">
        <is>
          <t>SUPLEMENTO</t>
        </is>
      </c>
      <c r="E2914" s="7" t="inlineStr">
        <is>
          <t>B</t>
        </is>
      </c>
      <c r="F2914" s="13" t="n">
        <v>1</v>
      </c>
      <c r="G2914" s="13" t="n">
        <v>1</v>
      </c>
      <c r="H2914" s="8" t="n">
        <v>59.56</v>
      </c>
      <c r="I2914" s="8" t="n">
        <v>59.56</v>
      </c>
      <c r="J2914" s="8" t="n">
        <v>59.56</v>
      </c>
      <c r="K2914" s="8" t="n"/>
      <c r="L2914" s="8" t="n"/>
      <c r="M2914" s="8" t="n"/>
      <c r="N2914" s="8" t="n"/>
      <c r="O2914" s="8" t="n"/>
      <c r="P2914" s="8" t="n"/>
      <c r="Q2914" s="8" t="n"/>
      <c r="R2914" s="8" t="n"/>
      <c r="S2914" s="8" t="n"/>
      <c r="T2914" s="7" t="inlineStr">
        <is>
          <t>SEM COTAÇÃO</t>
        </is>
      </c>
      <c r="U2914" s="8" t="n"/>
      <c r="V2914" s="14" t="n"/>
      <c r="W2914" s="14" t="n"/>
      <c r="X2914" s="7" t="inlineStr"/>
      <c r="Y2914" s="7" t="inlineStr"/>
    </row>
    <row r="2915">
      <c r="A2915" s="7" t="n">
        <v>659561</v>
      </c>
      <c r="B2915" s="12" t="inlineStr">
        <is>
          <t>7898126401497</t>
        </is>
      </c>
      <c r="C2915" s="7" t="inlineStr">
        <is>
          <t>MEGADOSE QUERAVIT 15ML</t>
        </is>
      </c>
      <c r="D2915" s="7" t="inlineStr">
        <is>
          <t>COND/SHAM/CREM/SIMILARES</t>
        </is>
      </c>
      <c r="E2915" s="7" t="inlineStr">
        <is>
          <t>C</t>
        </is>
      </c>
      <c r="F2915" s="13" t="n">
        <v>1</v>
      </c>
      <c r="G2915" s="13" t="n">
        <v>1</v>
      </c>
      <c r="H2915" s="8" t="n">
        <v>9.539999999999999</v>
      </c>
      <c r="I2915" s="8" t="n">
        <v>9.539999999999999</v>
      </c>
      <c r="J2915" s="8" t="n">
        <v>9.539999999999999</v>
      </c>
      <c r="K2915" s="8" t="n"/>
      <c r="L2915" s="8" t="n"/>
      <c r="M2915" s="8" t="n"/>
      <c r="N2915" s="8" t="n"/>
      <c r="O2915" s="8" t="n"/>
      <c r="P2915" s="8" t="n"/>
      <c r="Q2915" s="8" t="n"/>
      <c r="R2915" s="8" t="n"/>
      <c r="S2915" s="8" t="n"/>
      <c r="T2915" s="7" t="inlineStr">
        <is>
          <t>SEM COTAÇÃO</t>
        </is>
      </c>
      <c r="U2915" s="8" t="n"/>
      <c r="V2915" s="14" t="n"/>
      <c r="W2915" s="14" t="n"/>
      <c r="X2915" s="7" t="inlineStr"/>
      <c r="Y2915" s="7" t="inlineStr"/>
    </row>
    <row r="2916">
      <c r="A2916" s="7" t="n">
        <v>639251</v>
      </c>
      <c r="B2916" s="12" t="inlineStr">
        <is>
          <t>7896191204562</t>
        </is>
      </c>
      <c r="C2916" s="7" t="inlineStr">
        <is>
          <t>MEIA KENDALL ALTA COMPRESSAO 3/4 S/PONTEIRA MEL (1882) M*</t>
        </is>
      </c>
      <c r="D2916" s="7" t="inlineStr">
        <is>
          <t>ORTOPEDICO</t>
        </is>
      </c>
      <c r="E2916" s="7" t="inlineStr">
        <is>
          <t>C</t>
        </is>
      </c>
      <c r="F2916" s="13" t="n">
        <v>1</v>
      </c>
      <c r="G2916" s="13" t="n">
        <v>1</v>
      </c>
      <c r="H2916" s="8" t="n">
        <v>55.31</v>
      </c>
      <c r="I2916" s="8" t="n">
        <v>55.31</v>
      </c>
      <c r="J2916" s="8" t="n">
        <v>55.31</v>
      </c>
      <c r="K2916" s="8" t="n"/>
      <c r="L2916" s="8" t="n"/>
      <c r="M2916" s="8" t="n"/>
      <c r="N2916" s="8" t="n"/>
      <c r="O2916" s="8" t="n"/>
      <c r="P2916" s="8" t="n"/>
      <c r="Q2916" s="8" t="n"/>
      <c r="R2916" s="8" t="n"/>
      <c r="S2916" s="8" t="n"/>
      <c r="T2916" s="7" t="inlineStr">
        <is>
          <t>SEM COTAÇÃO</t>
        </is>
      </c>
      <c r="U2916" s="8" t="n"/>
      <c r="V2916" s="14" t="n"/>
      <c r="W2916" s="14" t="n"/>
      <c r="X2916" s="7" t="inlineStr"/>
      <c r="Y2916" s="7" t="inlineStr"/>
    </row>
    <row r="2917">
      <c r="A2917" s="7" t="n">
        <v>639261</v>
      </c>
      <c r="B2917" s="12" t="inlineStr">
        <is>
          <t>7896191204579</t>
        </is>
      </c>
      <c r="C2917" s="7" t="inlineStr">
        <is>
          <t>MEIA KENDALL ALTA COMPRESSAO 3/4 S/PONTEIRA MEL (1883) G*</t>
        </is>
      </c>
      <c r="D2917" s="7" t="inlineStr">
        <is>
          <t>ORTOPEDICO</t>
        </is>
      </c>
      <c r="E2917" s="7" t="inlineStr">
        <is>
          <t>C</t>
        </is>
      </c>
      <c r="F2917" s="13" t="n">
        <v>1</v>
      </c>
      <c r="G2917" s="13" t="n">
        <v>1</v>
      </c>
      <c r="H2917" s="8" t="n">
        <v>55.31</v>
      </c>
      <c r="I2917" s="8" t="n">
        <v>55.31</v>
      </c>
      <c r="J2917" s="8" t="n">
        <v>55.31</v>
      </c>
      <c r="K2917" s="8" t="n"/>
      <c r="L2917" s="8" t="n"/>
      <c r="M2917" s="8" t="n"/>
      <c r="N2917" s="8" t="n"/>
      <c r="O2917" s="8" t="n"/>
      <c r="P2917" s="8" t="n"/>
      <c r="Q2917" s="15" t="n">
        <v>71.33</v>
      </c>
      <c r="R2917" s="8" t="n"/>
      <c r="S2917" s="8" t="n"/>
      <c r="T2917" s="7" t="inlineStr">
        <is>
          <t>MEDCENTRO</t>
        </is>
      </c>
      <c r="U2917" s="8" t="n">
        <v>71.33</v>
      </c>
      <c r="V2917" s="14">
        <f>U2917/J2917-1</f>
        <v/>
      </c>
      <c r="W2917" s="14">
        <f>U2917/H2917-1</f>
        <v/>
      </c>
      <c r="X2917" s="16" t="inlineStr">
        <is>
          <t>ACIMA +29.0%</t>
        </is>
      </c>
      <c r="Y2917" s="7" t="inlineStr"/>
    </row>
    <row r="2918">
      <c r="A2918" s="7" t="n">
        <v>639291</v>
      </c>
      <c r="B2918" s="12" t="inlineStr">
        <is>
          <t>7896191246159</t>
        </is>
      </c>
      <c r="C2918" s="7" t="inlineStr">
        <is>
          <t>MEIA KENDALL MEDIA COMPRESSAO 3/4 S/PONTEIRA MEL (1872) M*</t>
        </is>
      </c>
      <c r="D2918" s="7" t="inlineStr">
        <is>
          <t>ORTOPEDICO</t>
        </is>
      </c>
      <c r="E2918" s="7" t="inlineStr">
        <is>
          <t>C</t>
        </is>
      </c>
      <c r="F2918" s="13" t="n">
        <v>1</v>
      </c>
      <c r="G2918" s="13" t="n">
        <v>1</v>
      </c>
      <c r="H2918" s="8" t="n">
        <v>41.97</v>
      </c>
      <c r="I2918" s="8" t="n">
        <v>41.97</v>
      </c>
      <c r="J2918" s="8" t="n">
        <v>41.97</v>
      </c>
      <c r="K2918" s="8" t="n"/>
      <c r="L2918" s="8" t="n"/>
      <c r="M2918" s="8" t="n"/>
      <c r="N2918" s="8" t="n"/>
      <c r="O2918" s="8" t="n"/>
      <c r="P2918" s="8" t="n"/>
      <c r="Q2918" s="15" t="n">
        <v>54.02</v>
      </c>
      <c r="R2918" s="8" t="n"/>
      <c r="S2918" s="8" t="n"/>
      <c r="T2918" s="7" t="inlineStr">
        <is>
          <t>MEDCENTRO</t>
        </is>
      </c>
      <c r="U2918" s="8" t="n">
        <v>54.02</v>
      </c>
      <c r="V2918" s="14">
        <f>U2918/J2918-1</f>
        <v/>
      </c>
      <c r="W2918" s="14">
        <f>U2918/H2918-1</f>
        <v/>
      </c>
      <c r="X2918" s="16" t="inlineStr">
        <is>
          <t>ACIMA +28.7%</t>
        </is>
      </c>
      <c r="Y2918" s="7" t="inlineStr"/>
    </row>
    <row r="2919">
      <c r="A2919" s="7" t="n">
        <v>639301</v>
      </c>
      <c r="B2919" s="12" t="inlineStr">
        <is>
          <t>7896191246166</t>
        </is>
      </c>
      <c r="C2919" s="7" t="inlineStr">
        <is>
          <t>MEIA KENDALL MEDIA COMPRESSAO 3/4 S/PONTEIRA MEL (1873) G*</t>
        </is>
      </c>
      <c r="D2919" s="7" t="inlineStr">
        <is>
          <t>ORTOPEDICO</t>
        </is>
      </c>
      <c r="E2919" s="7" t="inlineStr">
        <is>
          <t>C</t>
        </is>
      </c>
      <c r="F2919" s="13" t="n">
        <v>1</v>
      </c>
      <c r="G2919" s="13" t="n">
        <v>1</v>
      </c>
      <c r="H2919" s="8" t="n">
        <v>41.97</v>
      </c>
      <c r="I2919" s="8" t="n">
        <v>41.97</v>
      </c>
      <c r="J2919" s="8" t="n">
        <v>41.97</v>
      </c>
      <c r="K2919" s="8" t="n"/>
      <c r="L2919" s="8" t="n"/>
      <c r="M2919" s="8" t="n"/>
      <c r="N2919" s="8" t="n"/>
      <c r="O2919" s="8" t="n"/>
      <c r="P2919" s="8" t="n"/>
      <c r="Q2919" s="8" t="n"/>
      <c r="R2919" s="8" t="n"/>
      <c r="S2919" s="8" t="n"/>
      <c r="T2919" s="7" t="inlineStr">
        <is>
          <t>SEM COTAÇÃO</t>
        </is>
      </c>
      <c r="U2919" s="8" t="n"/>
      <c r="V2919" s="14" t="n"/>
      <c r="W2919" s="14" t="n"/>
      <c r="X2919" s="7" t="inlineStr"/>
      <c r="Y2919" s="7" t="inlineStr"/>
    </row>
    <row r="2920">
      <c r="A2920" s="7" t="n">
        <v>675141</v>
      </c>
      <c r="B2920" s="12" t="inlineStr"/>
      <c r="C2920" s="7" t="inlineStr">
        <is>
          <t>MEIA LUXO NUDES</t>
        </is>
      </c>
      <c r="D2920" s="7" t="inlineStr">
        <is>
          <t>UTENSILIOS</t>
        </is>
      </c>
      <c r="E2920" s="7" t="inlineStr">
        <is>
          <t>B</t>
        </is>
      </c>
      <c r="F2920" s="13" t="n">
        <v>4</v>
      </c>
      <c r="G2920" s="13" t="n">
        <v>4</v>
      </c>
      <c r="H2920" s="8" t="n"/>
      <c r="I2920" s="8" t="n"/>
      <c r="J2920" s="8" t="n"/>
      <c r="K2920" s="8" t="n"/>
      <c r="L2920" s="8" t="n"/>
      <c r="M2920" s="8" t="n"/>
      <c r="N2920" s="8" t="n"/>
      <c r="O2920" s="8" t="n"/>
      <c r="P2920" s="8" t="n"/>
      <c r="Q2920" s="8" t="n"/>
      <c r="R2920" s="8" t="n"/>
      <c r="S2920" s="8" t="n"/>
      <c r="T2920" s="7" t="inlineStr">
        <is>
          <t>SEM COTAÇÃO</t>
        </is>
      </c>
      <c r="U2920" s="8" t="n"/>
      <c r="V2920" s="14" t="n"/>
      <c r="W2920" s="14" t="n"/>
      <c r="X2920" s="7" t="inlineStr"/>
      <c r="Y2920" s="7" t="inlineStr"/>
    </row>
    <row r="2921">
      <c r="A2921" s="7" t="n">
        <v>602931</v>
      </c>
      <c r="B2921" s="12" t="inlineStr">
        <is>
          <t>7896148500136</t>
        </is>
      </c>
      <c r="C2921" s="7" t="inlineStr">
        <is>
          <t>MEL CP EXTRATO PROPOLIS 35ML (FIT)</t>
        </is>
      </c>
      <c r="D2921" s="7" t="inlineStr">
        <is>
          <t>OTC</t>
        </is>
      </c>
      <c r="E2921" s="7" t="inlineStr">
        <is>
          <t>C</t>
        </is>
      </c>
      <c r="F2921" s="13" t="n">
        <v>3</v>
      </c>
      <c r="G2921" s="13" t="n">
        <v>3</v>
      </c>
      <c r="H2921" s="8" t="n">
        <v>11.47</v>
      </c>
      <c r="I2921" s="8" t="n">
        <v>11.47</v>
      </c>
      <c r="J2921" s="8" t="n">
        <v>11.47</v>
      </c>
      <c r="K2921" s="8" t="n">
        <v>12.76</v>
      </c>
      <c r="L2921" s="8" t="n"/>
      <c r="M2921" s="8" t="n"/>
      <c r="N2921" s="8" t="n"/>
      <c r="O2921" s="15" t="n">
        <v>11.48</v>
      </c>
      <c r="P2921" s="8" t="n">
        <v>12.67</v>
      </c>
      <c r="Q2921" s="8" t="n"/>
      <c r="R2921" s="8" t="n"/>
      <c r="S2921" s="8" t="n"/>
      <c r="T2921" s="7" t="inlineStr">
        <is>
          <t>TAPAJOS</t>
        </is>
      </c>
      <c r="U2921" s="8" t="n">
        <v>11.48</v>
      </c>
      <c r="V2921" s="14">
        <f>U2921/J2921-1</f>
        <v/>
      </c>
      <c r="W2921" s="14">
        <f>U2921/H2921-1</f>
        <v/>
      </c>
      <c r="X2921" s="16" t="inlineStr">
        <is>
          <t>ACIMA +0.1%</t>
        </is>
      </c>
      <c r="Y2921" s="7" t="inlineStr"/>
    </row>
    <row r="2922">
      <c r="A2922" s="7" t="n">
        <v>665751</v>
      </c>
      <c r="B2922" s="12" t="inlineStr">
        <is>
          <t>7896148500600</t>
        </is>
      </c>
      <c r="C2922" s="7" t="inlineStr">
        <is>
          <t>MEL DE ABELHA 200G BISNAGA FITOBEL</t>
        </is>
      </c>
      <c r="D2922" s="7" t="inlineStr">
        <is>
          <t>SIMILAR</t>
        </is>
      </c>
      <c r="E2922" s="7" t="inlineStr">
        <is>
          <t>B</t>
        </is>
      </c>
      <c r="F2922" s="13" t="n">
        <v>2</v>
      </c>
      <c r="G2922" s="13" t="n">
        <v>2</v>
      </c>
      <c r="H2922" s="8" t="n">
        <v>10.54</v>
      </c>
      <c r="I2922" s="8" t="n">
        <v>9.43</v>
      </c>
      <c r="J2922" s="8" t="n">
        <v>10.17</v>
      </c>
      <c r="K2922" s="8" t="n">
        <v>10.61</v>
      </c>
      <c r="L2922" s="8" t="n"/>
      <c r="M2922" s="8" t="n"/>
      <c r="N2922" s="8" t="n"/>
      <c r="O2922" s="8" t="n"/>
      <c r="P2922" s="15" t="n">
        <v>10.54</v>
      </c>
      <c r="Q2922" s="8" t="n"/>
      <c r="R2922" s="8" t="n"/>
      <c r="S2922" s="8" t="n"/>
      <c r="T2922" s="7" t="inlineStr">
        <is>
          <t>NAZARIA</t>
        </is>
      </c>
      <c r="U2922" s="8" t="n">
        <v>10.54</v>
      </c>
      <c r="V2922" s="14">
        <f>U2922/J2922-1</f>
        <v/>
      </c>
      <c r="W2922" s="14">
        <f>U2922/H2922-1</f>
        <v/>
      </c>
      <c r="X2922" s="17" t="inlineStr">
        <is>
          <t>OK (≤ últ. compra)</t>
        </is>
      </c>
      <c r="Y2922" s="7" t="inlineStr"/>
    </row>
    <row r="2923">
      <c r="A2923" s="7" t="n">
        <v>569961</v>
      </c>
      <c r="B2923" s="12" t="inlineStr">
        <is>
          <t>7896148500709</t>
        </is>
      </c>
      <c r="C2923" s="7" t="inlineStr">
        <is>
          <t>MEL DE ABELHA 70G</t>
        </is>
      </c>
      <c r="D2923" s="7" t="inlineStr">
        <is>
          <t>SIMILAR</t>
        </is>
      </c>
      <c r="E2923" s="7" t="inlineStr">
        <is>
          <t>C</t>
        </is>
      </c>
      <c r="F2923" s="13" t="n">
        <v>1</v>
      </c>
      <c r="G2923" s="13" t="n">
        <v>1</v>
      </c>
      <c r="H2923" s="8" t="n">
        <v>6.75</v>
      </c>
      <c r="I2923" s="8" t="n">
        <v>6.75</v>
      </c>
      <c r="J2923" s="8" t="n">
        <v>6.75</v>
      </c>
      <c r="K2923" s="8" t="n">
        <v>7.52</v>
      </c>
      <c r="L2923" s="8" t="n"/>
      <c r="M2923" s="8" t="n"/>
      <c r="N2923" s="8" t="n"/>
      <c r="O2923" s="15" t="n">
        <v>6.76</v>
      </c>
      <c r="P2923" s="8" t="n">
        <v>7.47</v>
      </c>
      <c r="Q2923" s="8" t="n"/>
      <c r="R2923" s="8" t="n"/>
      <c r="S2923" s="8" t="n"/>
      <c r="T2923" s="7" t="inlineStr">
        <is>
          <t>TAPAJOS</t>
        </is>
      </c>
      <c r="U2923" s="8" t="n">
        <v>6.76</v>
      </c>
      <c r="V2923" s="14">
        <f>U2923/J2923-1</f>
        <v/>
      </c>
      <c r="W2923" s="14">
        <f>U2923/H2923-1</f>
        <v/>
      </c>
      <c r="X2923" s="16" t="inlineStr">
        <is>
          <t>ACIMA +0.1%</t>
        </is>
      </c>
      <c r="Y2923" s="7" t="inlineStr"/>
    </row>
    <row r="2924">
      <c r="A2924" s="7" t="n">
        <v>643651</v>
      </c>
      <c r="B2924" s="12" t="inlineStr">
        <is>
          <t>7897918201123</t>
        </is>
      </c>
      <c r="C2924" s="7" t="inlineStr">
        <is>
          <t>MEL ORGANICO APIS VIDA CARTELA C/ 10 SACHES DE 4G - APIS VIDA</t>
        </is>
      </c>
      <c r="D2924" s="7" t="inlineStr">
        <is>
          <t>ALIMENTOS LACTEOS, DERIVADOS E SIMILARES</t>
        </is>
      </c>
      <c r="E2924" s="7" t="inlineStr">
        <is>
          <t>C</t>
        </is>
      </c>
      <c r="F2924" s="13" t="n">
        <v>2</v>
      </c>
      <c r="G2924" s="13" t="n">
        <v>2</v>
      </c>
      <c r="H2924" s="8" t="n">
        <v>6.72</v>
      </c>
      <c r="I2924" s="8" t="n">
        <v>5.38</v>
      </c>
      <c r="J2924" s="8" t="n">
        <v>6.273333333333333</v>
      </c>
      <c r="K2924" s="8" t="n"/>
      <c r="L2924" s="8" t="n"/>
      <c r="M2924" s="8" t="n"/>
      <c r="N2924" s="8" t="n"/>
      <c r="O2924" s="8" t="n"/>
      <c r="P2924" s="8" t="n"/>
      <c r="Q2924" s="8" t="n"/>
      <c r="R2924" s="8" t="n"/>
      <c r="S2924" s="8" t="n"/>
      <c r="T2924" s="7" t="inlineStr">
        <is>
          <t>SEM COTAÇÃO</t>
        </is>
      </c>
      <c r="U2924" s="8" t="n"/>
      <c r="V2924" s="14" t="n"/>
      <c r="W2924" s="14" t="n"/>
      <c r="X2924" s="7" t="inlineStr"/>
      <c r="Y2924" s="7" t="inlineStr"/>
    </row>
    <row r="2925">
      <c r="A2925" s="7" t="n">
        <v>540981</v>
      </c>
      <c r="B2925" s="12" t="inlineStr">
        <is>
          <t>7896902210813</t>
        </is>
      </c>
      <c r="C2925" s="7" t="inlineStr">
        <is>
          <t>MEL ROSADO 30ML</t>
        </is>
      </c>
      <c r="D2925" s="7" t="inlineStr">
        <is>
          <t>SIMILAR</t>
        </is>
      </c>
      <c r="E2925" s="7" t="inlineStr">
        <is>
          <t>C</t>
        </is>
      </c>
      <c r="F2925" s="13" t="n">
        <v>5</v>
      </c>
      <c r="G2925" s="13" t="n">
        <v>5</v>
      </c>
      <c r="H2925" s="8" t="n">
        <v>4.98</v>
      </c>
      <c r="I2925" s="8" t="n">
        <v>4.98</v>
      </c>
      <c r="J2925" s="8" t="n">
        <v>4.98</v>
      </c>
      <c r="K2925" s="8" t="n"/>
      <c r="L2925" s="8" t="n"/>
      <c r="M2925" s="8" t="n"/>
      <c r="N2925" s="8" t="n"/>
      <c r="O2925" s="8" t="n"/>
      <c r="P2925" s="8" t="n">
        <v>4.86</v>
      </c>
      <c r="Q2925" s="8" t="n"/>
      <c r="R2925" s="8" t="n"/>
      <c r="S2925" s="8" t="n"/>
      <c r="T2925" s="7" t="inlineStr">
        <is>
          <t>SEM COTAÇÃO</t>
        </is>
      </c>
      <c r="U2925" s="8" t="n"/>
      <c r="V2925" s="14" t="n"/>
      <c r="W2925" s="14" t="n"/>
      <c r="X2925" s="7" t="inlineStr"/>
      <c r="Y2925" s="7" t="inlineStr">
        <is>
          <t>NAZARIA: sem estoque</t>
        </is>
      </c>
    </row>
    <row r="2926">
      <c r="A2926" s="7" t="n">
        <v>673191</v>
      </c>
      <c r="B2926" s="12" t="inlineStr">
        <is>
          <t>7896023752513</t>
        </is>
      </c>
      <c r="C2926" s="7" t="inlineStr">
        <is>
          <t>MELAGRIAO SPRAY - MENTA - 30ML-DEMAIS PROD</t>
        </is>
      </c>
      <c r="D2926" s="7" t="inlineStr">
        <is>
          <t>RX</t>
        </is>
      </c>
      <c r="E2926" s="7" t="inlineStr">
        <is>
          <t>A</t>
        </is>
      </c>
      <c r="F2926" s="13" t="n">
        <v>3</v>
      </c>
      <c r="G2926" s="13" t="n">
        <v>3</v>
      </c>
      <c r="H2926" s="8" t="n">
        <v>16.5517</v>
      </c>
      <c r="I2926" s="8" t="n">
        <v>13.14</v>
      </c>
      <c r="J2926" s="8" t="n">
        <v>13.97666666666667</v>
      </c>
      <c r="K2926" s="8" t="n">
        <v>14.78</v>
      </c>
      <c r="L2926" s="8" t="n"/>
      <c r="M2926" s="15" t="n">
        <v>11.42</v>
      </c>
      <c r="N2926" s="8" t="n">
        <v>15.64</v>
      </c>
      <c r="O2926" s="8" t="n"/>
      <c r="P2926" s="8" t="n">
        <v>14.49</v>
      </c>
      <c r="Q2926" s="8" t="n"/>
      <c r="R2926" s="8" t="n"/>
      <c r="S2926" s="8" t="n"/>
      <c r="T2926" s="7" t="inlineStr">
        <is>
          <t>EPAN</t>
        </is>
      </c>
      <c r="U2926" s="8" t="n">
        <v>11.42</v>
      </c>
      <c r="V2926" s="14">
        <f>U2926/J2926-1</f>
        <v/>
      </c>
      <c r="W2926" s="14">
        <f>U2926/H2926-1</f>
        <v/>
      </c>
      <c r="X2926" s="17" t="inlineStr">
        <is>
          <t>OK (≤ menor hist.)</t>
        </is>
      </c>
      <c r="Y2926" s="7" t="inlineStr"/>
    </row>
    <row r="2927">
      <c r="A2927" s="7" t="n">
        <v>3223</v>
      </c>
      <c r="B2927" s="12" t="inlineStr">
        <is>
          <t>7896023708626</t>
        </is>
      </c>
      <c r="C2927" s="7" t="inlineStr">
        <is>
          <t>MELAGRIAO SPRAY 30ML EXTRA FORTE</t>
        </is>
      </c>
      <c r="D2927" s="7" t="inlineStr">
        <is>
          <t>RX - OTC</t>
        </is>
      </c>
      <c r="E2927" s="7" t="inlineStr">
        <is>
          <t>C</t>
        </is>
      </c>
      <c r="F2927" s="13" t="n">
        <v>2</v>
      </c>
      <c r="G2927" s="13" t="n">
        <v>2</v>
      </c>
      <c r="H2927" s="8" t="n">
        <v>21.72</v>
      </c>
      <c r="I2927" s="8" t="n">
        <v>18.02</v>
      </c>
      <c r="J2927" s="8" t="n">
        <v>20.07333333333333</v>
      </c>
      <c r="K2927" s="15" t="n">
        <v>13.22</v>
      </c>
      <c r="L2927" s="8" t="n"/>
      <c r="M2927" s="8" t="n">
        <v>16.94</v>
      </c>
      <c r="N2927" s="8" t="n">
        <v>21.74</v>
      </c>
      <c r="O2927" s="8" t="n"/>
      <c r="P2927" s="8" t="n">
        <v>19.38</v>
      </c>
      <c r="Q2927" s="8" t="n"/>
      <c r="R2927" s="8" t="n"/>
      <c r="S2927" s="8" t="n"/>
      <c r="T2927" s="7" t="inlineStr">
        <is>
          <t>DIMEC</t>
        </is>
      </c>
      <c r="U2927" s="8" t="n">
        <v>13.22</v>
      </c>
      <c r="V2927" s="14">
        <f>U2927/J2927-1</f>
        <v/>
      </c>
      <c r="W2927" s="14">
        <f>U2927/H2927-1</f>
        <v/>
      </c>
      <c r="X2927" s="17" t="inlineStr">
        <is>
          <t>OK (≤ menor hist.)</t>
        </is>
      </c>
      <c r="Y2927" s="7" t="inlineStr"/>
    </row>
    <row r="2928">
      <c r="A2928" s="7" t="n">
        <v>627701</v>
      </c>
      <c r="B2928" s="12" t="inlineStr"/>
      <c r="C2928" s="7" t="inlineStr">
        <is>
          <t>MELAGRIAO SPRAY LIMÃO 30ML</t>
        </is>
      </c>
      <c r="D2928" s="7" t="inlineStr">
        <is>
          <t>RX - OTC</t>
        </is>
      </c>
      <c r="E2928" s="7" t="inlineStr">
        <is>
          <t>A</t>
        </is>
      </c>
      <c r="F2928" s="13" t="n">
        <v>2</v>
      </c>
      <c r="G2928" s="13" t="n">
        <v>2</v>
      </c>
      <c r="H2928" s="8" t="n">
        <v>14.76</v>
      </c>
      <c r="I2928" s="8" t="n">
        <v>14.34</v>
      </c>
      <c r="J2928" s="8" t="n">
        <v>14.44</v>
      </c>
      <c r="K2928" s="8" t="n"/>
      <c r="L2928" s="8" t="n"/>
      <c r="M2928" s="8" t="n"/>
      <c r="N2928" s="8" t="n"/>
      <c r="O2928" s="8" t="n"/>
      <c r="P2928" s="8" t="n"/>
      <c r="Q2928" s="8" t="n"/>
      <c r="R2928" s="8" t="n"/>
      <c r="S2928" s="8" t="n"/>
      <c r="T2928" s="7" t="inlineStr">
        <is>
          <t>SEM COTAÇÃO</t>
        </is>
      </c>
      <c r="U2928" s="8" t="n"/>
      <c r="V2928" s="14" t="n"/>
      <c r="W2928" s="14" t="n"/>
      <c r="X2928" s="7" t="inlineStr"/>
      <c r="Y2928" s="7" t="inlineStr"/>
    </row>
    <row r="2929">
      <c r="A2929" s="7" t="n">
        <v>548221</v>
      </c>
      <c r="B2929" s="12" t="inlineStr">
        <is>
          <t>7896023719899</t>
        </is>
      </c>
      <c r="C2929" s="7" t="inlineStr">
        <is>
          <t>MELAGRIÃO EXPECTORANTE CATARINENSE 150ML</t>
        </is>
      </c>
      <c r="D2929" s="7" t="inlineStr">
        <is>
          <t>RX - OTC</t>
        </is>
      </c>
      <c r="E2929" s="7" t="inlineStr">
        <is>
          <t>A</t>
        </is>
      </c>
      <c r="F2929" s="13" t="n">
        <v>3</v>
      </c>
      <c r="G2929" s="13" t="n">
        <v>3</v>
      </c>
      <c r="H2929" s="8" t="n">
        <v>35.31</v>
      </c>
      <c r="I2929" s="8" t="n">
        <v>14.77</v>
      </c>
      <c r="J2929" s="8" t="n">
        <v>15.39</v>
      </c>
      <c r="K2929" s="15" t="n">
        <v>15.82</v>
      </c>
      <c r="L2929" s="8" t="n"/>
      <c r="M2929" s="8" t="n">
        <v>34.46</v>
      </c>
      <c r="N2929" s="8" t="n">
        <v>17.09</v>
      </c>
      <c r="O2929" s="8" t="n"/>
      <c r="P2929" s="8" t="n">
        <v>17.46</v>
      </c>
      <c r="Q2929" s="8" t="n"/>
      <c r="R2929" s="8" t="n"/>
      <c r="S2929" s="8" t="n"/>
      <c r="T2929" s="7" t="inlineStr">
        <is>
          <t>DIMEC</t>
        </is>
      </c>
      <c r="U2929" s="8" t="n">
        <v>15.82</v>
      </c>
      <c r="V2929" s="14">
        <f>U2929/J2929-1</f>
        <v/>
      </c>
      <c r="W2929" s="14">
        <f>U2929/H2929-1</f>
        <v/>
      </c>
      <c r="X2929" s="17" t="inlineStr">
        <is>
          <t>OK (≤ últ. compra)</t>
        </is>
      </c>
      <c r="Y2929" s="7" t="inlineStr">
        <is>
          <t>DIMEC: conferir emb.; CENTROFARMA: conferir emb.; NAZARIA: conferir emb.</t>
        </is>
      </c>
    </row>
    <row r="2930">
      <c r="A2930" s="7" t="n">
        <v>3573</v>
      </c>
      <c r="B2930" s="12" t="inlineStr">
        <is>
          <t>7894164008551</t>
        </is>
      </c>
      <c r="C2930" s="7" t="inlineStr">
        <is>
          <t>MELATONINA 210MCG 20ML GTS</t>
        </is>
      </c>
      <c r="D2930" s="7" t="inlineStr">
        <is>
          <t>SIMILAR</t>
        </is>
      </c>
      <c r="E2930" s="7" t="inlineStr">
        <is>
          <t>A</t>
        </is>
      </c>
      <c r="F2930" s="13" t="n">
        <v>6</v>
      </c>
      <c r="G2930" s="13" t="n">
        <v>6</v>
      </c>
      <c r="H2930" s="8" t="n">
        <v>10.65</v>
      </c>
      <c r="I2930" s="8" t="n">
        <v>8.57</v>
      </c>
      <c r="J2930" s="8" t="n">
        <v>9.263333333333334</v>
      </c>
      <c r="K2930" s="15" t="n">
        <v>10.65</v>
      </c>
      <c r="L2930" s="8" t="n"/>
      <c r="M2930" s="8" t="n"/>
      <c r="N2930" s="8" t="n">
        <v>11.35</v>
      </c>
      <c r="O2930" s="8" t="n"/>
      <c r="P2930" s="8" t="n"/>
      <c r="Q2930" s="8" t="n">
        <v>12.95</v>
      </c>
      <c r="R2930" s="8" t="n"/>
      <c r="S2930" s="8" t="n"/>
      <c r="T2930" s="7" t="inlineStr">
        <is>
          <t>DIMEC</t>
        </is>
      </c>
      <c r="U2930" s="8" t="n">
        <v>10.65</v>
      </c>
      <c r="V2930" s="14">
        <f>U2930/J2930-1</f>
        <v/>
      </c>
      <c r="W2930" s="14">
        <f>U2930/H2930-1</f>
        <v/>
      </c>
      <c r="X2930" s="17" t="inlineStr">
        <is>
          <t>OK (≤ últ. compra)</t>
        </is>
      </c>
      <c r="Y2930" s="7" t="inlineStr"/>
    </row>
    <row r="2931">
      <c r="A2931" s="7" t="n">
        <v>655031</v>
      </c>
      <c r="B2931" s="12" t="inlineStr">
        <is>
          <t>7908475807663</t>
        </is>
      </c>
      <c r="C2931" s="7" t="inlineStr">
        <is>
          <t>MELATONINA 30 GOMAS</t>
        </is>
      </c>
      <c r="D2931" s="7" t="inlineStr">
        <is>
          <t>VITAMINA E SIMILARES</t>
        </is>
      </c>
      <c r="E2931" s="7" t="inlineStr">
        <is>
          <t>C</t>
        </is>
      </c>
      <c r="F2931" s="13" t="n">
        <v>1</v>
      </c>
      <c r="G2931" s="13" t="n">
        <v>1</v>
      </c>
      <c r="H2931" s="8" t="n">
        <v>31.61</v>
      </c>
      <c r="I2931" s="8" t="n">
        <v>31.61</v>
      </c>
      <c r="J2931" s="8" t="n">
        <v>31.61</v>
      </c>
      <c r="K2931" s="8" t="n"/>
      <c r="L2931" s="8" t="n"/>
      <c r="M2931" s="8" t="n"/>
      <c r="N2931" s="8" t="n"/>
      <c r="O2931" s="8" t="n"/>
      <c r="P2931" s="8" t="n"/>
      <c r="Q2931" s="8" t="n"/>
      <c r="R2931" s="8" t="n"/>
      <c r="S2931" s="8" t="n"/>
      <c r="T2931" s="7" t="inlineStr">
        <is>
          <t>SEM COTAÇÃO</t>
        </is>
      </c>
      <c r="U2931" s="8" t="n"/>
      <c r="V2931" s="14" t="n"/>
      <c r="W2931" s="14" t="n"/>
      <c r="X2931" s="7" t="inlineStr"/>
      <c r="Y2931" s="7" t="inlineStr"/>
    </row>
    <row r="2932">
      <c r="A2932" s="7" t="n">
        <v>655001</v>
      </c>
      <c r="B2932" s="12" t="inlineStr">
        <is>
          <t>7908475810571</t>
        </is>
      </c>
      <c r="C2932" s="7" t="inlineStr">
        <is>
          <t>MELATONINA 30CAPS</t>
        </is>
      </c>
      <c r="D2932" s="7" t="inlineStr">
        <is>
          <t>VITAMINA E SIMILARES</t>
        </is>
      </c>
      <c r="E2932" s="7" t="inlineStr">
        <is>
          <t>C</t>
        </is>
      </c>
      <c r="F2932" s="13" t="n">
        <v>2</v>
      </c>
      <c r="G2932" s="13" t="n">
        <v>2</v>
      </c>
      <c r="H2932" s="8" t="n">
        <v>13.83</v>
      </c>
      <c r="I2932" s="8" t="n">
        <v>13.83</v>
      </c>
      <c r="J2932" s="8" t="n">
        <v>13.83</v>
      </c>
      <c r="K2932" s="8" t="n"/>
      <c r="L2932" s="8" t="n"/>
      <c r="M2932" s="8" t="n"/>
      <c r="N2932" s="8" t="n"/>
      <c r="O2932" s="8" t="n"/>
      <c r="P2932" s="8" t="n"/>
      <c r="Q2932" s="8" t="n"/>
      <c r="R2932" s="8" t="n"/>
      <c r="S2932" s="8" t="n"/>
      <c r="T2932" s="7" t="inlineStr">
        <is>
          <t>SEM COTAÇÃO</t>
        </is>
      </c>
      <c r="U2932" s="8" t="n"/>
      <c r="V2932" s="14" t="n"/>
      <c r="W2932" s="14" t="n"/>
      <c r="X2932" s="7" t="inlineStr"/>
      <c r="Y2932" s="7" t="inlineStr"/>
    </row>
    <row r="2933">
      <c r="A2933" s="7" t="n">
        <v>626141</v>
      </c>
      <c r="B2933" s="12" t="inlineStr">
        <is>
          <t>7891317011598</t>
        </is>
      </c>
      <c r="C2933" s="7" t="inlineStr">
        <is>
          <t>MELOCOX ODT 15MG CX 10 COMP ORODISP</t>
        </is>
      </c>
      <c r="D2933" s="7" t="inlineStr">
        <is>
          <t>RX</t>
        </is>
      </c>
      <c r="E2933" s="7" t="inlineStr">
        <is>
          <t>B</t>
        </is>
      </c>
      <c r="F2933" s="13" t="n">
        <v>2</v>
      </c>
      <c r="G2933" s="13" t="n">
        <v>2</v>
      </c>
      <c r="H2933" s="8" t="n">
        <v>34.7333</v>
      </c>
      <c r="I2933" s="8" t="n">
        <v>34.7333</v>
      </c>
      <c r="J2933" s="8" t="n">
        <v>34.7333</v>
      </c>
      <c r="K2933" s="8" t="n"/>
      <c r="L2933" s="8" t="n"/>
      <c r="M2933" s="8" t="n">
        <v>37.53</v>
      </c>
      <c r="N2933" s="8" t="n"/>
      <c r="O2933" s="8" t="n"/>
      <c r="P2933" s="8" t="n">
        <v>38.0436</v>
      </c>
      <c r="Q2933" s="8" t="n"/>
      <c r="R2933" s="8" t="n"/>
      <c r="S2933" s="8" t="n"/>
      <c r="T2933" s="7" t="inlineStr">
        <is>
          <t>SEM COTAÇÃO</t>
        </is>
      </c>
      <c r="U2933" s="8" t="n"/>
      <c r="V2933" s="14" t="n"/>
      <c r="W2933" s="14" t="n"/>
      <c r="X2933" s="7" t="inlineStr"/>
      <c r="Y2933" s="7" t="inlineStr">
        <is>
          <t>EPAN: sem estoque; NAZARIA: sem estoque</t>
        </is>
      </c>
    </row>
    <row r="2934">
      <c r="A2934" s="7" t="n">
        <v>338541</v>
      </c>
      <c r="B2934" s="12" t="inlineStr">
        <is>
          <t>7896523226798</t>
        </is>
      </c>
      <c r="C2934" s="7" t="inlineStr">
        <is>
          <t>MELOXICAM 15MG COMP 1 BL X 10</t>
        </is>
      </c>
      <c r="D2934" s="7" t="inlineStr">
        <is>
          <t>GENERICO</t>
        </is>
      </c>
      <c r="E2934" s="7" t="inlineStr">
        <is>
          <t>C</t>
        </is>
      </c>
      <c r="F2934" s="13" t="n">
        <v>6</v>
      </c>
      <c r="G2934" s="13" t="n">
        <v>6</v>
      </c>
      <c r="H2934" s="8" t="n"/>
      <c r="I2934" s="8" t="n"/>
      <c r="J2934" s="8" t="n"/>
      <c r="K2934" s="8" t="n"/>
      <c r="L2934" s="8" t="n"/>
      <c r="M2934" s="8" t="n"/>
      <c r="N2934" s="8" t="n"/>
      <c r="O2934" s="8" t="n"/>
      <c r="P2934" s="8" t="n"/>
      <c r="Q2934" s="8" t="n"/>
      <c r="R2934" s="8" t="n"/>
      <c r="S2934" s="8" t="n"/>
      <c r="T2934" s="7" t="inlineStr">
        <is>
          <t>SEM COTAÇÃO</t>
        </is>
      </c>
      <c r="U2934" s="8" t="n"/>
      <c r="V2934" s="14" t="n"/>
      <c r="W2934" s="14" t="n"/>
      <c r="X2934" s="7" t="inlineStr"/>
      <c r="Y2934" s="7" t="inlineStr"/>
    </row>
    <row r="2935">
      <c r="A2935" s="7" t="n">
        <v>339301</v>
      </c>
      <c r="B2935" s="12" t="inlineStr"/>
      <c r="C2935" s="7" t="inlineStr">
        <is>
          <t>MELOXICAM 15MG CX 10 COMP</t>
        </is>
      </c>
      <c r="D2935" s="7" t="inlineStr">
        <is>
          <t>GENERICO</t>
        </is>
      </c>
      <c r="E2935" s="7" t="inlineStr">
        <is>
          <t>B</t>
        </is>
      </c>
      <c r="F2935" s="13" t="n">
        <v>1</v>
      </c>
      <c r="G2935" s="13" t="n">
        <v>1</v>
      </c>
      <c r="H2935" s="8" t="n">
        <v>2.18</v>
      </c>
      <c r="I2935" s="8" t="n">
        <v>1.99</v>
      </c>
      <c r="J2935" s="8" t="n">
        <v>2.053333333333333</v>
      </c>
      <c r="K2935" s="8" t="n"/>
      <c r="L2935" s="8" t="n"/>
      <c r="M2935" s="8" t="n"/>
      <c r="N2935" s="8" t="n"/>
      <c r="O2935" s="8" t="n"/>
      <c r="P2935" s="8" t="n"/>
      <c r="Q2935" s="8" t="n"/>
      <c r="R2935" s="15" t="n">
        <v>2.05</v>
      </c>
      <c r="S2935" s="8" t="n"/>
      <c r="T2935" s="7" t="inlineStr">
        <is>
          <t>BRASFARMA</t>
        </is>
      </c>
      <c r="U2935" s="8" t="n">
        <v>2.05</v>
      </c>
      <c r="V2935" s="14">
        <f>U2935/J2935-1</f>
        <v/>
      </c>
      <c r="W2935" s="14">
        <f>U2935/H2935-1</f>
        <v/>
      </c>
      <c r="X2935" s="17" t="inlineStr">
        <is>
          <t>OK (≤ últ. compra)</t>
        </is>
      </c>
      <c r="Y2935" s="7" t="inlineStr"/>
    </row>
    <row r="2936">
      <c r="A2936" s="7" t="n">
        <v>339161</v>
      </c>
      <c r="B2936" s="12" t="inlineStr">
        <is>
          <t>7896004702360</t>
        </is>
      </c>
      <c r="C2936" s="7" t="inlineStr">
        <is>
          <t>MELOXIGRAN 15MG 1BLT X 10 COMP</t>
        </is>
      </c>
      <c r="D2936" s="7" t="inlineStr">
        <is>
          <t>SIMILAR</t>
        </is>
      </c>
      <c r="E2936" s="7" t="inlineStr">
        <is>
          <t>C</t>
        </is>
      </c>
      <c r="F2936" s="13" t="n">
        <v>1</v>
      </c>
      <c r="G2936" s="13" t="n">
        <v>1</v>
      </c>
      <c r="H2936" s="8" t="n">
        <v>3.5</v>
      </c>
      <c r="I2936" s="8" t="n">
        <v>3.5</v>
      </c>
      <c r="J2936" s="8" t="n">
        <v>3.5</v>
      </c>
      <c r="K2936" s="8" t="n"/>
      <c r="L2936" s="8" t="n"/>
      <c r="M2936" s="8" t="n"/>
      <c r="N2936" s="8" t="n"/>
      <c r="O2936" s="8" t="n"/>
      <c r="P2936" s="8" t="n">
        <v>30.35</v>
      </c>
      <c r="Q2936" s="8" t="n"/>
      <c r="R2936" s="8" t="n"/>
      <c r="S2936" s="8" t="n"/>
      <c r="T2936" s="7" t="inlineStr">
        <is>
          <t>SEM COTAÇÃO</t>
        </is>
      </c>
      <c r="U2936" s="8" t="n"/>
      <c r="V2936" s="14" t="n"/>
      <c r="W2936" s="14" t="n"/>
      <c r="X2936" s="7" t="inlineStr"/>
      <c r="Y2936" s="7" t="inlineStr">
        <is>
          <t>NAZARIA: sem estoque; conferir emb.</t>
        </is>
      </c>
    </row>
    <row r="2937">
      <c r="A2937" s="7" t="n">
        <v>654551</v>
      </c>
      <c r="B2937" s="12" t="inlineStr">
        <is>
          <t>7908041910803</t>
        </is>
      </c>
      <c r="C2937" s="7" t="inlineStr">
        <is>
          <t>MELPROVIT C 120ML SUPLEMENTO DE XAROPE</t>
        </is>
      </c>
      <c r="D2937" s="7" t="inlineStr">
        <is>
          <t>VITAMINA E SIMILARES</t>
        </is>
      </c>
      <c r="E2937" s="7" t="inlineStr">
        <is>
          <t>C</t>
        </is>
      </c>
      <c r="F2937" s="13" t="n">
        <v>1</v>
      </c>
      <c r="G2937" s="13" t="n">
        <v>1</v>
      </c>
      <c r="H2937" s="8" t="n">
        <v>14.79</v>
      </c>
      <c r="I2937" s="8" t="n">
        <v>14.79</v>
      </c>
      <c r="J2937" s="8" t="n">
        <v>14.79</v>
      </c>
      <c r="K2937" s="8" t="n"/>
      <c r="L2937" s="8" t="n"/>
      <c r="M2937" s="8" t="n"/>
      <c r="N2937" s="8" t="n"/>
      <c r="O2937" s="8" t="n"/>
      <c r="P2937" s="8" t="n"/>
      <c r="Q2937" s="8" t="n"/>
      <c r="R2937" s="8" t="n"/>
      <c r="S2937" s="8" t="n"/>
      <c r="T2937" s="7" t="inlineStr">
        <is>
          <t>SEM COTAÇÃO</t>
        </is>
      </c>
      <c r="U2937" s="8" t="n"/>
      <c r="V2937" s="14" t="n"/>
      <c r="W2937" s="14" t="n"/>
      <c r="X2937" s="7" t="inlineStr"/>
      <c r="Y2937" s="7" t="inlineStr"/>
    </row>
    <row r="2938">
      <c r="A2938" s="7" t="n">
        <v>656151</v>
      </c>
      <c r="B2938" s="12" t="inlineStr">
        <is>
          <t>8935001728283</t>
        </is>
      </c>
      <c r="C2938" s="7" t="inlineStr">
        <is>
          <t>MENTOS 3 CAMADAS AZUL 12DPX8,5G</t>
        </is>
      </c>
      <c r="D2938" s="7" t="inlineStr">
        <is>
          <t>CONVENIENCIA</t>
        </is>
      </c>
      <c r="E2938" s="7" t="inlineStr">
        <is>
          <t>C</t>
        </is>
      </c>
      <c r="F2938" s="13" t="n">
        <v>1</v>
      </c>
      <c r="G2938" s="13" t="n">
        <v>11</v>
      </c>
      <c r="H2938" s="8" t="n">
        <v>2.1875</v>
      </c>
      <c r="I2938" s="8" t="n">
        <v>2.1875</v>
      </c>
      <c r="J2938" s="8" t="n">
        <v>2.1875</v>
      </c>
      <c r="K2938" s="8" t="n"/>
      <c r="L2938" s="8" t="n"/>
      <c r="M2938" s="8" t="n"/>
      <c r="N2938" s="8" t="n"/>
      <c r="O2938" s="8" t="n"/>
      <c r="P2938" s="8" t="n"/>
      <c r="Q2938" s="8" t="n"/>
      <c r="R2938" s="8" t="n"/>
      <c r="S2938" s="8" t="n"/>
      <c r="T2938" s="7" t="inlineStr">
        <is>
          <t>SEM COTAÇÃO</t>
        </is>
      </c>
      <c r="U2938" s="8" t="n"/>
      <c r="V2938" s="14" t="n"/>
      <c r="W2938" s="14" t="n"/>
      <c r="X2938" s="7" t="inlineStr"/>
      <c r="Y2938" s="7" t="inlineStr"/>
    </row>
    <row r="2939">
      <c r="A2939" s="7" t="n">
        <v>591571</v>
      </c>
      <c r="B2939" s="12" t="inlineStr"/>
      <c r="C2939" s="7" t="inlineStr">
        <is>
          <t>MENTOS 3 CAMADAS AZUL MINT 5UN</t>
        </is>
      </c>
      <c r="D2939" s="7" t="inlineStr">
        <is>
          <t>CONVENIENCIA</t>
        </is>
      </c>
      <c r="E2939" s="7" t="inlineStr">
        <is>
          <t>A</t>
        </is>
      </c>
      <c r="F2939" s="13" t="n">
        <v>1</v>
      </c>
      <c r="G2939" s="13" t="n">
        <v>12</v>
      </c>
      <c r="H2939" s="8" t="n">
        <v>1.7707</v>
      </c>
      <c r="I2939" s="8" t="n">
        <v>1.75</v>
      </c>
      <c r="J2939" s="8" t="n">
        <v>1.7638</v>
      </c>
      <c r="K2939" s="8" t="n"/>
      <c r="L2939" s="8" t="n"/>
      <c r="M2939" s="8" t="n"/>
      <c r="N2939" s="8" t="n"/>
      <c r="O2939" s="8" t="n"/>
      <c r="P2939" s="8" t="n"/>
      <c r="Q2939" s="8" t="n"/>
      <c r="R2939" s="8" t="n"/>
      <c r="S2939" s="8" t="n"/>
      <c r="T2939" s="7" t="inlineStr">
        <is>
          <t>SEM COTAÇÃO</t>
        </is>
      </c>
      <c r="U2939" s="8" t="n"/>
      <c r="V2939" s="14" t="n"/>
      <c r="W2939" s="14" t="n"/>
      <c r="X2939" s="7" t="inlineStr"/>
      <c r="Y2939" s="7" t="inlineStr"/>
    </row>
    <row r="2940">
      <c r="A2940" s="7" t="n">
        <v>654131</v>
      </c>
      <c r="B2940" s="12" t="inlineStr">
        <is>
          <t>8935001728306</t>
        </is>
      </c>
      <c r="C2940" s="7" t="inlineStr">
        <is>
          <t>MENTOS 3 CAMADAS COOL ROSA 12X15X8,5G</t>
        </is>
      </c>
      <c r="D2940" s="7" t="inlineStr">
        <is>
          <t>CONVENIENCIA</t>
        </is>
      </c>
      <c r="E2940" s="7" t="inlineStr">
        <is>
          <t>B</t>
        </is>
      </c>
      <c r="F2940" s="13" t="n">
        <v>1</v>
      </c>
      <c r="G2940" s="13" t="n">
        <v>7</v>
      </c>
      <c r="H2940" s="8" t="n">
        <v>2.2133</v>
      </c>
      <c r="I2940" s="8" t="n">
        <v>2.1875</v>
      </c>
      <c r="J2940" s="8" t="n">
        <v>2.2047</v>
      </c>
      <c r="K2940" s="8" t="n"/>
      <c r="L2940" s="8" t="n"/>
      <c r="M2940" s="8" t="n"/>
      <c r="N2940" s="8" t="n"/>
      <c r="O2940" s="8" t="n"/>
      <c r="P2940" s="8" t="n"/>
      <c r="Q2940" s="8" t="n"/>
      <c r="R2940" s="8" t="n"/>
      <c r="S2940" s="8" t="n"/>
      <c r="T2940" s="7" t="inlineStr">
        <is>
          <t>SEM COTAÇÃO</t>
        </is>
      </c>
      <c r="U2940" s="8" t="n"/>
      <c r="V2940" s="14" t="n"/>
      <c r="W2940" s="14" t="n"/>
      <c r="X2940" s="7" t="inlineStr"/>
      <c r="Y2940" s="7" t="inlineStr"/>
    </row>
    <row r="2941">
      <c r="A2941" s="7" t="n">
        <v>584221</v>
      </c>
      <c r="B2941" s="12" t="inlineStr">
        <is>
          <t>78922334</t>
        </is>
      </c>
      <c r="C2941" s="7" t="inlineStr">
        <is>
          <t>MENTOS GARRAFA BRANCO WHITE 28UN</t>
        </is>
      </c>
      <c r="D2941" s="7" t="inlineStr">
        <is>
          <t>CONVENIENCIA</t>
        </is>
      </c>
      <c r="E2941" s="7" t="inlineStr">
        <is>
          <t>C</t>
        </is>
      </c>
      <c r="F2941" s="13" t="n">
        <v>1</v>
      </c>
      <c r="G2941" s="13" t="n">
        <v>3</v>
      </c>
      <c r="H2941" s="8" t="n">
        <v>10.39</v>
      </c>
      <c r="I2941" s="8" t="n">
        <v>10.39</v>
      </c>
      <c r="J2941" s="8" t="n">
        <v>10.39</v>
      </c>
      <c r="K2941" s="8" t="n"/>
      <c r="L2941" s="8" t="n"/>
      <c r="M2941" s="8" t="n"/>
      <c r="N2941" s="8" t="n"/>
      <c r="O2941" s="8" t="n"/>
      <c r="P2941" s="8" t="n"/>
      <c r="Q2941" s="8" t="n"/>
      <c r="R2941" s="8" t="n"/>
      <c r="S2941" s="8" t="n"/>
      <c r="T2941" s="7" t="inlineStr">
        <is>
          <t>SEM COTAÇÃO</t>
        </is>
      </c>
      <c r="U2941" s="8" t="n"/>
      <c r="V2941" s="14" t="n"/>
      <c r="W2941" s="14" t="n"/>
      <c r="X2941" s="7" t="inlineStr"/>
      <c r="Y2941" s="7" t="inlineStr"/>
    </row>
    <row r="2942">
      <c r="A2942" s="7" t="n">
        <v>599341</v>
      </c>
      <c r="B2942" s="12" t="inlineStr">
        <is>
          <t>7895144297590</t>
        </is>
      </c>
      <c r="C2942" s="7" t="inlineStr">
        <is>
          <t>MENTOS GARRAFA VITAMINS UN</t>
        </is>
      </c>
      <c r="D2942" s="7" t="inlineStr">
        <is>
          <t>CONVENIENCIA</t>
        </is>
      </c>
      <c r="E2942" s="7" t="inlineStr">
        <is>
          <t>C</t>
        </is>
      </c>
      <c r="F2942" s="13" t="n">
        <v>1</v>
      </c>
      <c r="G2942" s="13" t="n">
        <v>2</v>
      </c>
      <c r="H2942" s="8" t="n"/>
      <c r="I2942" s="8" t="n"/>
      <c r="J2942" s="8" t="n"/>
      <c r="K2942" s="8" t="n"/>
      <c r="L2942" s="8" t="n"/>
      <c r="M2942" s="8" t="n"/>
      <c r="N2942" s="8" t="n"/>
      <c r="O2942" s="8" t="n"/>
      <c r="P2942" s="8" t="n"/>
      <c r="Q2942" s="8" t="n"/>
      <c r="R2942" s="8" t="n"/>
      <c r="S2942" s="8" t="n"/>
      <c r="T2942" s="7" t="inlineStr">
        <is>
          <t>SEM COTAÇÃO</t>
        </is>
      </c>
      <c r="U2942" s="8" t="n"/>
      <c r="V2942" s="14" t="n"/>
      <c r="W2942" s="14" t="n"/>
      <c r="X2942" s="7" t="inlineStr"/>
      <c r="Y2942" s="7" t="inlineStr"/>
    </row>
    <row r="2943">
      <c r="A2943" s="7" t="n">
        <v>644061</v>
      </c>
      <c r="B2943" s="12" t="inlineStr">
        <is>
          <t>7895144299754</t>
        </is>
      </c>
      <c r="C2943" s="7" t="inlineStr">
        <is>
          <t>MENTOS MONOPECA DP SORT MINT/WIN UN</t>
        </is>
      </c>
      <c r="D2943" s="7" t="inlineStr">
        <is>
          <t>CONVENIENCIA</t>
        </is>
      </c>
      <c r="E2943" s="7" t="inlineStr">
        <is>
          <t>C</t>
        </is>
      </c>
      <c r="F2943" s="13" t="n">
        <v>2</v>
      </c>
      <c r="G2943" s="13" t="n">
        <v>18</v>
      </c>
      <c r="H2943" s="8" t="n">
        <v>1.815</v>
      </c>
      <c r="I2943" s="8" t="n">
        <v>1.7042</v>
      </c>
      <c r="J2943" s="8" t="n">
        <v>1.778066666666667</v>
      </c>
      <c r="K2943" s="8" t="n"/>
      <c r="L2943" s="8" t="n"/>
      <c r="M2943" s="8" t="n"/>
      <c r="N2943" s="8" t="n"/>
      <c r="O2943" s="8" t="n"/>
      <c r="P2943" s="8" t="n"/>
      <c r="Q2943" s="8" t="n"/>
      <c r="R2943" s="8" t="n"/>
      <c r="S2943" s="8" t="n"/>
      <c r="T2943" s="7" t="inlineStr">
        <is>
          <t>SEM COTAÇÃO</t>
        </is>
      </c>
      <c r="U2943" s="8" t="n"/>
      <c r="V2943" s="14" t="n"/>
      <c r="W2943" s="14" t="n"/>
      <c r="X2943" s="7" t="inlineStr"/>
      <c r="Y2943" s="7" t="inlineStr"/>
    </row>
    <row r="2944">
      <c r="A2944" s="7" t="n">
        <v>640811</v>
      </c>
      <c r="B2944" s="12" t="inlineStr">
        <is>
          <t>7895144299747</t>
        </is>
      </c>
      <c r="C2944" s="7" t="inlineStr">
        <is>
          <t>MENTOS MONOPECA DP TUTTI FRUIT</t>
        </is>
      </c>
      <c r="D2944" s="7" t="inlineStr">
        <is>
          <t>CONVENIENCIA</t>
        </is>
      </c>
      <c r="E2944" s="7" t="inlineStr">
        <is>
          <t>C</t>
        </is>
      </c>
      <c r="F2944" s="13" t="n">
        <v>1</v>
      </c>
      <c r="G2944" s="13" t="n">
        <v>13</v>
      </c>
      <c r="H2944" s="8" t="n">
        <v>0.363</v>
      </c>
      <c r="I2944" s="8" t="n">
        <v>0.363</v>
      </c>
      <c r="J2944" s="8" t="n">
        <v>0.363</v>
      </c>
      <c r="K2944" s="8" t="n"/>
      <c r="L2944" s="8" t="n"/>
      <c r="M2944" s="8" t="n"/>
      <c r="N2944" s="8" t="n"/>
      <c r="O2944" s="8" t="n"/>
      <c r="P2944" s="8" t="n"/>
      <c r="Q2944" s="8" t="n"/>
      <c r="R2944" s="8" t="n"/>
      <c r="S2944" s="8" t="n"/>
      <c r="T2944" s="7" t="inlineStr">
        <is>
          <t>SEM COTAÇÃO</t>
        </is>
      </c>
      <c r="U2944" s="8" t="n"/>
      <c r="V2944" s="14" t="n"/>
      <c r="W2944" s="14" t="n"/>
      <c r="X2944" s="7" t="inlineStr"/>
      <c r="Y2944" s="7" t="inlineStr"/>
    </row>
    <row r="2945">
      <c r="A2945" s="7" t="n">
        <v>612581</v>
      </c>
      <c r="B2945" s="12" t="inlineStr">
        <is>
          <t>7895144080338</t>
        </is>
      </c>
      <c r="C2945" s="7" t="inlineStr">
        <is>
          <t>MENTOS MONOPECA POTE 160UN</t>
        </is>
      </c>
      <c r="D2945" s="7" t="inlineStr">
        <is>
          <t>DESATIVADO</t>
        </is>
      </c>
      <c r="E2945" s="7" t="inlineStr">
        <is>
          <t>C</t>
        </is>
      </c>
      <c r="F2945" s="13" t="n">
        <v>2</v>
      </c>
      <c r="G2945" s="13" t="n">
        <v>2</v>
      </c>
      <c r="H2945" s="8" t="n">
        <v>40.64</v>
      </c>
      <c r="I2945" s="8" t="n">
        <v>40.64</v>
      </c>
      <c r="J2945" s="8" t="n">
        <v>40.64</v>
      </c>
      <c r="K2945" s="8" t="n"/>
      <c r="L2945" s="8" t="n"/>
      <c r="M2945" s="8" t="n"/>
      <c r="N2945" s="8" t="n"/>
      <c r="O2945" s="8" t="n"/>
      <c r="P2945" s="8" t="n"/>
      <c r="Q2945" s="8" t="n"/>
      <c r="R2945" s="8" t="n"/>
      <c r="S2945" s="8" t="n"/>
      <c r="T2945" s="7" t="inlineStr">
        <is>
          <t>SEM COTAÇÃO</t>
        </is>
      </c>
      <c r="U2945" s="8" t="n"/>
      <c r="V2945" s="14" t="n"/>
      <c r="W2945" s="14" t="n"/>
      <c r="X2945" s="7" t="inlineStr"/>
      <c r="Y2945" s="7" t="inlineStr"/>
    </row>
    <row r="2946">
      <c r="A2946" s="7" t="n">
        <v>616501</v>
      </c>
      <c r="B2946" s="12" t="inlineStr">
        <is>
          <t>7895144208459</t>
        </is>
      </c>
      <c r="C2946" s="7" t="inlineStr">
        <is>
          <t>MENTOS MONOPECA TUTTI FRUIT 12DPX60UN</t>
        </is>
      </c>
      <c r="D2946" s="7" t="inlineStr">
        <is>
          <t>CONVENIENCIA</t>
        </is>
      </c>
      <c r="E2946" s="7" t="inlineStr">
        <is>
          <t>C</t>
        </is>
      </c>
      <c r="F2946" s="13" t="n">
        <v>1</v>
      </c>
      <c r="G2946" s="13" t="n">
        <v>1</v>
      </c>
      <c r="H2946" s="8" t="n">
        <v>1.2917</v>
      </c>
      <c r="I2946" s="8" t="n">
        <v>1.2917</v>
      </c>
      <c r="J2946" s="8" t="n">
        <v>1.2917</v>
      </c>
      <c r="K2946" s="8" t="n"/>
      <c r="L2946" s="8" t="n"/>
      <c r="M2946" s="8" t="n"/>
      <c r="N2946" s="8" t="n"/>
      <c r="O2946" s="8" t="n"/>
      <c r="P2946" s="8" t="n"/>
      <c r="Q2946" s="8" t="n"/>
      <c r="R2946" s="8" t="n"/>
      <c r="S2946" s="8" t="n"/>
      <c r="T2946" s="7" t="inlineStr">
        <is>
          <t>SEM COTAÇÃO</t>
        </is>
      </c>
      <c r="U2946" s="8" t="n"/>
      <c r="V2946" s="14" t="n"/>
      <c r="W2946" s="14" t="n"/>
      <c r="X2946" s="7" t="inlineStr"/>
      <c r="Y2946" s="7" t="inlineStr"/>
    </row>
    <row r="2947">
      <c r="A2947" s="7" t="n">
        <v>578961</v>
      </c>
      <c r="B2947" s="12" t="inlineStr">
        <is>
          <t>78939349</t>
        </is>
      </c>
      <c r="C2947" s="7" t="inlineStr">
        <is>
          <t>MENTOS PURE FRESH S/ AÇUCAR 1,5G VERDE</t>
        </is>
      </c>
      <c r="D2947" s="7" t="inlineStr">
        <is>
          <t>CONVENIENCIA</t>
        </is>
      </c>
      <c r="E2947" s="7" t="inlineStr">
        <is>
          <t>C</t>
        </is>
      </c>
      <c r="F2947" s="13" t="n">
        <v>1</v>
      </c>
      <c r="G2947" s="13" t="n">
        <v>2</v>
      </c>
      <c r="H2947" s="8" t="n">
        <v>0.3009</v>
      </c>
      <c r="I2947" s="8" t="n">
        <v>0.3009</v>
      </c>
      <c r="J2947" s="8" t="n">
        <v>0.3009</v>
      </c>
      <c r="K2947" s="8" t="n"/>
      <c r="L2947" s="8" t="n"/>
      <c r="M2947" s="8" t="n"/>
      <c r="N2947" s="8" t="n"/>
      <c r="O2947" s="8" t="n"/>
      <c r="P2947" s="8" t="n"/>
      <c r="Q2947" s="8" t="n"/>
      <c r="R2947" s="8" t="n"/>
      <c r="S2947" s="8" t="n"/>
      <c r="T2947" s="7" t="inlineStr">
        <is>
          <t>SEM COTAÇÃO</t>
        </is>
      </c>
      <c r="U2947" s="8" t="n"/>
      <c r="V2947" s="14" t="n"/>
      <c r="W2947" s="14" t="n"/>
      <c r="X2947" s="7" t="inlineStr"/>
      <c r="Y2947" s="7" t="inlineStr"/>
    </row>
    <row r="2948">
      <c r="A2948" s="7" t="n">
        <v>606991</v>
      </c>
      <c r="B2948" s="12" t="inlineStr">
        <is>
          <t>7895724208442</t>
        </is>
      </c>
      <c r="C2948" s="7" t="inlineStr">
        <is>
          <t>MENTOS STICK 14 FANTA LARANJA 16UN</t>
        </is>
      </c>
      <c r="D2948" s="7" t="inlineStr">
        <is>
          <t>CONVENIENCIA</t>
        </is>
      </c>
      <c r="E2948" s="7" t="inlineStr">
        <is>
          <t>C</t>
        </is>
      </c>
      <c r="F2948" s="13" t="n">
        <v>1</v>
      </c>
      <c r="G2948" s="13" t="n">
        <v>10</v>
      </c>
      <c r="H2948" s="8" t="n">
        <v>2.2219</v>
      </c>
      <c r="I2948" s="8" t="n">
        <v>2.2219</v>
      </c>
      <c r="J2948" s="8" t="n">
        <v>2.2219</v>
      </c>
      <c r="K2948" s="8" t="n"/>
      <c r="L2948" s="8" t="n"/>
      <c r="M2948" s="8" t="n"/>
      <c r="N2948" s="8" t="n"/>
      <c r="O2948" s="8" t="n"/>
      <c r="P2948" s="8" t="n"/>
      <c r="Q2948" s="8" t="n"/>
      <c r="R2948" s="8" t="n"/>
      <c r="S2948" s="8" t="n"/>
      <c r="T2948" s="7" t="inlineStr">
        <is>
          <t>SEM COTAÇÃO</t>
        </is>
      </c>
      <c r="U2948" s="8" t="n"/>
      <c r="V2948" s="14" t="n"/>
      <c r="W2948" s="14" t="n"/>
      <c r="X2948" s="7" t="inlineStr"/>
      <c r="Y2948" s="7" t="inlineStr"/>
    </row>
    <row r="2949">
      <c r="A2949" s="7" t="n">
        <v>672451</v>
      </c>
      <c r="B2949" s="12" t="inlineStr">
        <is>
          <t>7895144900032</t>
        </is>
      </c>
      <c r="C2949" s="7" t="inlineStr">
        <is>
          <t>MENTOS STICK WILD SPEARMINT 16UN</t>
        </is>
      </c>
      <c r="D2949" s="7" t="inlineStr">
        <is>
          <t>CONVENIENCIA</t>
        </is>
      </c>
      <c r="E2949" s="7" t="inlineStr">
        <is>
          <t>B</t>
        </is>
      </c>
      <c r="F2949" s="13" t="n">
        <v>1</v>
      </c>
      <c r="G2949" s="13" t="n">
        <v>10</v>
      </c>
      <c r="H2949" s="8" t="n">
        <v>2.248</v>
      </c>
      <c r="I2949" s="8" t="n">
        <v>2.248</v>
      </c>
      <c r="J2949" s="8" t="n">
        <v>2.248</v>
      </c>
      <c r="K2949" s="8" t="n"/>
      <c r="L2949" s="8" t="n"/>
      <c r="M2949" s="8" t="n"/>
      <c r="N2949" s="8" t="n"/>
      <c r="O2949" s="8" t="n"/>
      <c r="P2949" s="8" t="n"/>
      <c r="Q2949" s="8" t="n"/>
      <c r="R2949" s="8" t="n"/>
      <c r="S2949" s="8" t="n"/>
      <c r="T2949" s="7" t="inlineStr">
        <is>
          <t>SEM COTAÇÃO</t>
        </is>
      </c>
      <c r="U2949" s="8" t="n"/>
      <c r="V2949" s="14" t="n"/>
      <c r="W2949" s="14" t="n"/>
      <c r="X2949" s="7" t="inlineStr"/>
      <c r="Y2949" s="7" t="inlineStr"/>
    </row>
    <row r="2950">
      <c r="A2950" s="7" t="n">
        <v>643101</v>
      </c>
      <c r="B2950" s="12" t="inlineStr">
        <is>
          <t>7894913000904</t>
        </is>
      </c>
      <c r="C2950" s="7" t="inlineStr">
        <is>
          <t>MERTHIOCORT ANTISSEP TOP 30ML C/ APLICAD</t>
        </is>
      </c>
      <c r="D2950" s="7" t="inlineStr">
        <is>
          <t>VITAMINA E SIMILARES</t>
        </is>
      </c>
      <c r="E2950" s="7" t="inlineStr">
        <is>
          <t>C</t>
        </is>
      </c>
      <c r="F2950" s="13" t="n">
        <v>1</v>
      </c>
      <c r="G2950" s="13" t="n">
        <v>1</v>
      </c>
      <c r="H2950" s="8" t="n">
        <v>7.48</v>
      </c>
      <c r="I2950" s="8" t="n">
        <v>7.48</v>
      </c>
      <c r="J2950" s="8" t="n">
        <v>7.48</v>
      </c>
      <c r="K2950" s="8" t="n"/>
      <c r="L2950" s="8" t="n"/>
      <c r="M2950" s="8" t="n"/>
      <c r="N2950" s="8" t="n"/>
      <c r="O2950" s="8" t="n"/>
      <c r="P2950" s="8" t="n"/>
      <c r="Q2950" s="8" t="n"/>
      <c r="R2950" s="8" t="n"/>
      <c r="S2950" s="8" t="n"/>
      <c r="T2950" s="7" t="inlineStr">
        <is>
          <t>SEM COTAÇÃO</t>
        </is>
      </c>
      <c r="U2950" s="8" t="n"/>
      <c r="V2950" s="14" t="n"/>
      <c r="W2950" s="14" t="n"/>
      <c r="X2950" s="7" t="inlineStr"/>
      <c r="Y2950" s="7" t="inlineStr"/>
    </row>
    <row r="2951">
      <c r="A2951" s="7" t="n">
        <v>663861</v>
      </c>
      <c r="B2951" s="12" t="inlineStr">
        <is>
          <t>7891106916233</t>
        </is>
      </c>
      <c r="C2951" s="7" t="inlineStr">
        <is>
          <t>MESIGYNA 50+5MG/ML C/1 SER PR+AG-REFERENCIA</t>
        </is>
      </c>
      <c r="D2951" s="7" t="inlineStr">
        <is>
          <t>RX</t>
        </is>
      </c>
      <c r="E2951" s="7" t="inlineStr">
        <is>
          <t>A</t>
        </is>
      </c>
      <c r="F2951" s="13" t="n">
        <v>6</v>
      </c>
      <c r="G2951" s="13" t="n">
        <v>6</v>
      </c>
      <c r="H2951" s="8" t="n">
        <v>35.54</v>
      </c>
      <c r="I2951" s="8" t="n">
        <v>29.545</v>
      </c>
      <c r="J2951" s="8" t="n">
        <v>32.65833333333334</v>
      </c>
      <c r="K2951" s="8" t="n"/>
      <c r="L2951" s="8" t="n"/>
      <c r="M2951" s="15" t="n">
        <v>35.54</v>
      </c>
      <c r="N2951" s="8" t="n"/>
      <c r="O2951" s="8" t="n"/>
      <c r="P2951" s="8" t="n">
        <v>34.56</v>
      </c>
      <c r="Q2951" s="8" t="n"/>
      <c r="R2951" s="8" t="n"/>
      <c r="S2951" s="8" t="n"/>
      <c r="T2951" s="7" t="inlineStr">
        <is>
          <t>EPAN</t>
        </is>
      </c>
      <c r="U2951" s="8" t="n">
        <v>35.54</v>
      </c>
      <c r="V2951" s="14">
        <f>U2951/J2951-1</f>
        <v/>
      </c>
      <c r="W2951" s="14">
        <f>U2951/H2951-1</f>
        <v/>
      </c>
      <c r="X2951" s="17" t="inlineStr">
        <is>
          <t>OK (≤ últ. compra)</t>
        </is>
      </c>
      <c r="Y2951" s="7" t="inlineStr">
        <is>
          <t>NAZARIA: sem estoque</t>
        </is>
      </c>
    </row>
    <row r="2952">
      <c r="A2952" s="7" t="n">
        <v>665551</v>
      </c>
      <c r="B2952" s="12" t="inlineStr">
        <is>
          <t>00020800750158</t>
        </is>
      </c>
      <c r="C2952" s="7" t="inlineStr">
        <is>
          <t>METAMUCIL SOLUVEL LARANJA 174G-OUTROS</t>
        </is>
      </c>
      <c r="D2952" s="7" t="inlineStr">
        <is>
          <t>RX</t>
        </is>
      </c>
      <c r="E2952" s="7" t="inlineStr">
        <is>
          <t>C</t>
        </is>
      </c>
      <c r="F2952" s="13" t="n">
        <v>1</v>
      </c>
      <c r="G2952" s="13" t="n">
        <v>1</v>
      </c>
      <c r="H2952" s="8" t="n">
        <v>101.27</v>
      </c>
      <c r="I2952" s="8" t="n">
        <v>82.09</v>
      </c>
      <c r="J2952" s="8" t="n">
        <v>82.09</v>
      </c>
      <c r="K2952" s="8" t="n"/>
      <c r="L2952" s="8" t="n"/>
      <c r="M2952" s="8" t="n"/>
      <c r="N2952" s="8" t="n"/>
      <c r="O2952" s="15" t="n">
        <v>102</v>
      </c>
      <c r="P2952" s="8" t="n">
        <v>105.317</v>
      </c>
      <c r="Q2952" s="8" t="n"/>
      <c r="R2952" s="8" t="n"/>
      <c r="S2952" s="8" t="n"/>
      <c r="T2952" s="7" t="inlineStr">
        <is>
          <t>TAPAJOS</t>
        </is>
      </c>
      <c r="U2952" s="8" t="n">
        <v>102</v>
      </c>
      <c r="V2952" s="14">
        <f>U2952/J2952-1</f>
        <v/>
      </c>
      <c r="W2952" s="14">
        <f>U2952/H2952-1</f>
        <v/>
      </c>
      <c r="X2952" s="16" t="inlineStr">
        <is>
          <t>ACIMA +0.7%</t>
        </is>
      </c>
      <c r="Y2952" s="7" t="inlineStr"/>
    </row>
    <row r="2953">
      <c r="A2953" s="7" t="n">
        <v>637361</v>
      </c>
      <c r="B2953" s="12" t="inlineStr">
        <is>
          <t>7908041910988</t>
        </is>
      </c>
      <c r="C2953" s="7" t="inlineStr">
        <is>
          <t>METHYL B12 SUBLINGUAL 20ML FLORA NATIVA</t>
        </is>
      </c>
      <c r="D2953" s="7" t="inlineStr">
        <is>
          <t>SIMILAR</t>
        </is>
      </c>
      <c r="E2953" s="7" t="inlineStr">
        <is>
          <t>B</t>
        </is>
      </c>
      <c r="F2953" s="13" t="n">
        <v>3</v>
      </c>
      <c r="G2953" s="13" t="n">
        <v>3</v>
      </c>
      <c r="H2953" s="8" t="n">
        <v>21.52</v>
      </c>
      <c r="I2953" s="8" t="n">
        <v>21.52</v>
      </c>
      <c r="J2953" s="8" t="n">
        <v>21.52</v>
      </c>
      <c r="K2953" s="8" t="n"/>
      <c r="L2953" s="8" t="n"/>
      <c r="M2953" s="8" t="n"/>
      <c r="N2953" s="8" t="n"/>
      <c r="O2953" s="8" t="n"/>
      <c r="P2953" s="8" t="n"/>
      <c r="Q2953" s="8" t="n"/>
      <c r="R2953" s="8" t="n"/>
      <c r="S2953" s="8" t="n"/>
      <c r="T2953" s="7" t="inlineStr">
        <is>
          <t>SEM COTAÇÃO</t>
        </is>
      </c>
      <c r="U2953" s="8" t="n"/>
      <c r="V2953" s="14" t="n"/>
      <c r="W2953" s="14" t="n"/>
      <c r="X2953" s="7" t="inlineStr"/>
      <c r="Y2953" s="7" t="inlineStr"/>
    </row>
    <row r="2954">
      <c r="A2954" s="7" t="n">
        <v>639011</v>
      </c>
      <c r="B2954" s="12" t="inlineStr">
        <is>
          <t>7894164011483</t>
        </is>
      </c>
      <c r="C2954" s="7" t="inlineStr">
        <is>
          <t>METIOCURE 10MG 45ML SPRAY</t>
        </is>
      </c>
      <c r="D2954" s="7" t="inlineStr">
        <is>
          <t>SIMILAR</t>
        </is>
      </c>
      <c r="E2954" s="7" t="inlineStr">
        <is>
          <t>C</t>
        </is>
      </c>
      <c r="F2954" s="13" t="n">
        <v>1</v>
      </c>
      <c r="G2954" s="13" t="n">
        <v>1</v>
      </c>
      <c r="H2954" s="8" t="n">
        <v>8.26</v>
      </c>
      <c r="I2954" s="8" t="n">
        <v>7.88</v>
      </c>
      <c r="J2954" s="8" t="n">
        <v>7.899999999999999</v>
      </c>
      <c r="K2954" s="15" t="n">
        <v>8.26</v>
      </c>
      <c r="L2954" s="8" t="n"/>
      <c r="M2954" s="8" t="n"/>
      <c r="N2954" s="8" t="n"/>
      <c r="O2954" s="8" t="n"/>
      <c r="P2954" s="8" t="n"/>
      <c r="Q2954" s="8" t="n">
        <v>8.82</v>
      </c>
      <c r="R2954" s="8" t="n"/>
      <c r="S2954" s="8" t="n"/>
      <c r="T2954" s="7" t="inlineStr">
        <is>
          <t>DIMEC</t>
        </is>
      </c>
      <c r="U2954" s="8" t="n">
        <v>8.26</v>
      </c>
      <c r="V2954" s="14">
        <f>U2954/J2954-1</f>
        <v/>
      </c>
      <c r="W2954" s="14">
        <f>U2954/H2954-1</f>
        <v/>
      </c>
      <c r="X2954" s="17" t="inlineStr">
        <is>
          <t>OK (≤ últ. compra)</t>
        </is>
      </c>
      <c r="Y2954" s="7" t="inlineStr"/>
    </row>
    <row r="2955">
      <c r="A2955" s="7" t="n">
        <v>345701</v>
      </c>
      <c r="B2955" s="12" t="inlineStr">
        <is>
          <t>7896014669028</t>
        </is>
      </c>
      <c r="C2955" s="7" t="inlineStr">
        <is>
          <t>METREXATO 2,5MG CX 24 COMP</t>
        </is>
      </c>
      <c r="D2955" s="7" t="inlineStr">
        <is>
          <t>RX</t>
        </is>
      </c>
      <c r="E2955" s="7" t="inlineStr">
        <is>
          <t>A</t>
        </is>
      </c>
      <c r="F2955" s="13" t="n">
        <v>7</v>
      </c>
      <c r="G2955" s="13" t="n">
        <v>7</v>
      </c>
      <c r="H2955" s="8" t="n">
        <v>24.8467</v>
      </c>
      <c r="I2955" s="8" t="n">
        <v>20.995</v>
      </c>
      <c r="J2955" s="8" t="n">
        <v>23.38833333333334</v>
      </c>
      <c r="K2955" s="8" t="n"/>
      <c r="L2955" s="8" t="n"/>
      <c r="M2955" s="8" t="n"/>
      <c r="N2955" s="8" t="n"/>
      <c r="O2955" s="8" t="n"/>
      <c r="P2955" s="15" t="n">
        <v>25.110068</v>
      </c>
      <c r="Q2955" s="8" t="n">
        <v>29.44</v>
      </c>
      <c r="R2955" s="8" t="n"/>
      <c r="S2955" s="8" t="n"/>
      <c r="T2955" s="7" t="inlineStr">
        <is>
          <t>NAZARIA</t>
        </is>
      </c>
      <c r="U2955" s="8" t="n">
        <v>25.110068</v>
      </c>
      <c r="V2955" s="14">
        <f>U2955/J2955-1</f>
        <v/>
      </c>
      <c r="W2955" s="14">
        <f>U2955/H2955-1</f>
        <v/>
      </c>
      <c r="X2955" s="16" t="inlineStr">
        <is>
          <t>ACIMA +1.1%</t>
        </is>
      </c>
      <c r="Y2955" s="7" t="inlineStr"/>
    </row>
    <row r="2956">
      <c r="A2956" s="7" t="n">
        <v>605891</v>
      </c>
      <c r="B2956" s="12" t="inlineStr">
        <is>
          <t>7897917004589</t>
        </is>
      </c>
      <c r="C2956" s="7" t="inlineStr">
        <is>
          <t>MICOSBEL 50MG 30G POMADA</t>
        </is>
      </c>
      <c r="D2956" s="7" t="inlineStr">
        <is>
          <t>SIMILAR</t>
        </is>
      </c>
      <c r="E2956" s="7" t="inlineStr">
        <is>
          <t>B</t>
        </is>
      </c>
      <c r="F2956" s="13" t="n">
        <v>3</v>
      </c>
      <c r="G2956" s="13" t="n">
        <v>3</v>
      </c>
      <c r="H2956" s="8" t="n">
        <v>10.3</v>
      </c>
      <c r="I2956" s="8" t="n">
        <v>10.3</v>
      </c>
      <c r="J2956" s="8" t="n">
        <v>10.3</v>
      </c>
      <c r="K2956" s="15" t="n">
        <v>10.3</v>
      </c>
      <c r="L2956" s="8" t="n"/>
      <c r="M2956" s="8" t="n"/>
      <c r="N2956" s="8" t="n"/>
      <c r="O2956" s="8" t="n"/>
      <c r="P2956" s="8" t="n"/>
      <c r="Q2956" s="8" t="n"/>
      <c r="R2956" s="8" t="n"/>
      <c r="S2956" s="8" t="n"/>
      <c r="T2956" s="7" t="inlineStr">
        <is>
          <t>DIMEC</t>
        </is>
      </c>
      <c r="U2956" s="8" t="n">
        <v>10.3</v>
      </c>
      <c r="V2956" s="14">
        <f>U2956/J2956-1</f>
        <v/>
      </c>
      <c r="W2956" s="14">
        <f>U2956/H2956-1</f>
        <v/>
      </c>
      <c r="X2956" s="17" t="inlineStr">
        <is>
          <t>OK (≤ menor hist.)</t>
        </is>
      </c>
      <c r="Y2956" s="7" t="inlineStr"/>
    </row>
    <row r="2957">
      <c r="A2957" s="7" t="n">
        <v>461901</v>
      </c>
      <c r="B2957" s="12" t="inlineStr">
        <is>
          <t>7897917000741</t>
        </is>
      </c>
      <c r="C2957" s="7" t="inlineStr">
        <is>
          <t>MICOSBEL 50MG/ML LOCAO FR 30ML</t>
        </is>
      </c>
      <c r="D2957" s="7" t="inlineStr">
        <is>
          <t>SIMILAR</t>
        </is>
      </c>
      <c r="E2957" s="7" t="inlineStr">
        <is>
          <t>C</t>
        </is>
      </c>
      <c r="F2957" s="13" t="n">
        <v>1</v>
      </c>
      <c r="G2957" s="13" t="n">
        <v>1</v>
      </c>
      <c r="H2957" s="8" t="n">
        <v>8.960000000000001</v>
      </c>
      <c r="I2957" s="8" t="n">
        <v>8.960000000000001</v>
      </c>
      <c r="J2957" s="8" t="n">
        <v>8.960000000000001</v>
      </c>
      <c r="K2957" s="8" t="n"/>
      <c r="L2957" s="8" t="n"/>
      <c r="M2957" s="8" t="n"/>
      <c r="N2957" s="8" t="n"/>
      <c r="O2957" s="8" t="n"/>
      <c r="P2957" s="8" t="n"/>
      <c r="Q2957" s="8" t="n"/>
      <c r="R2957" s="15" t="n">
        <v>8.85</v>
      </c>
      <c r="S2957" s="8" t="n"/>
      <c r="T2957" s="7" t="inlineStr">
        <is>
          <t>BRASFARMA</t>
        </is>
      </c>
      <c r="U2957" s="8" t="n">
        <v>8.85</v>
      </c>
      <c r="V2957" s="14">
        <f>U2957/J2957-1</f>
        <v/>
      </c>
      <c r="W2957" s="14">
        <f>U2957/H2957-1</f>
        <v/>
      </c>
      <c r="X2957" s="17" t="inlineStr">
        <is>
          <t>OK (≤ menor hist.)</t>
        </is>
      </c>
      <c r="Y2957" s="7" t="inlineStr"/>
    </row>
    <row r="2958">
      <c r="A2958" s="7" t="n">
        <v>650411</v>
      </c>
      <c r="B2958" s="12" t="inlineStr">
        <is>
          <t>7891800665017</t>
        </is>
      </c>
      <c r="C2958" s="7" t="inlineStr">
        <is>
          <t>MICROPOROSA CREMER BEGE 1,2CM X 4,5M</t>
        </is>
      </c>
      <c r="D2958" s="7" t="inlineStr">
        <is>
          <t>UTENSILIOS</t>
        </is>
      </c>
      <c r="E2958" s="7" t="inlineStr">
        <is>
          <t>C</t>
        </is>
      </c>
      <c r="F2958" s="13" t="n">
        <v>3</v>
      </c>
      <c r="G2958" s="13" t="n">
        <v>3</v>
      </c>
      <c r="H2958" s="8" t="n">
        <v>5.32</v>
      </c>
      <c r="I2958" s="8" t="n">
        <v>5.27</v>
      </c>
      <c r="J2958" s="8" t="n">
        <v>5.303333333333334</v>
      </c>
      <c r="K2958" s="8" t="n"/>
      <c r="L2958" s="8" t="n"/>
      <c r="M2958" s="15" t="n">
        <v>5.07</v>
      </c>
      <c r="N2958" s="8" t="n"/>
      <c r="O2958" s="8" t="n"/>
      <c r="P2958" s="8" t="n">
        <v>5.4126</v>
      </c>
      <c r="Q2958" s="8" t="n"/>
      <c r="R2958" s="8" t="n"/>
      <c r="S2958" s="8" t="n"/>
      <c r="T2958" s="7" t="inlineStr">
        <is>
          <t>EPAN</t>
        </is>
      </c>
      <c r="U2958" s="8" t="n">
        <v>5.07</v>
      </c>
      <c r="V2958" s="14">
        <f>U2958/J2958-1</f>
        <v/>
      </c>
      <c r="W2958" s="14">
        <f>U2958/H2958-1</f>
        <v/>
      </c>
      <c r="X2958" s="17" t="inlineStr">
        <is>
          <t>OK (≤ menor hist.)</t>
        </is>
      </c>
      <c r="Y2958" s="7" t="inlineStr"/>
    </row>
    <row r="2959">
      <c r="A2959" s="7" t="n">
        <v>650421</v>
      </c>
      <c r="B2959" s="12" t="inlineStr">
        <is>
          <t>7891800666090</t>
        </is>
      </c>
      <c r="C2959" s="7" t="inlineStr">
        <is>
          <t>MICROPOROSA CREMER BRANCA 2,5CMX90CM</t>
        </is>
      </c>
      <c r="D2959" s="7" t="inlineStr">
        <is>
          <t>UTENSILIOS</t>
        </is>
      </c>
      <c r="E2959" s="7" t="inlineStr">
        <is>
          <t>C</t>
        </is>
      </c>
      <c r="F2959" s="13" t="n">
        <v>7</v>
      </c>
      <c r="G2959" s="13" t="n">
        <v>7</v>
      </c>
      <c r="H2959" s="8" t="n">
        <v>4.0517</v>
      </c>
      <c r="I2959" s="8" t="n">
        <v>3.83</v>
      </c>
      <c r="J2959" s="8" t="n">
        <v>3.9778</v>
      </c>
      <c r="K2959" s="8" t="n"/>
      <c r="L2959" s="8" t="n"/>
      <c r="M2959" s="8" t="n"/>
      <c r="N2959" s="8" t="n"/>
      <c r="O2959" s="8" t="n"/>
      <c r="P2959" s="15" t="n">
        <v>3.9382</v>
      </c>
      <c r="Q2959" s="8" t="n"/>
      <c r="R2959" s="8" t="n"/>
      <c r="S2959" s="8" t="n"/>
      <c r="T2959" s="7" t="inlineStr">
        <is>
          <t>NAZARIA</t>
        </is>
      </c>
      <c r="U2959" s="8" t="n">
        <v>3.9382</v>
      </c>
      <c r="V2959" s="14">
        <f>U2959/J2959-1</f>
        <v/>
      </c>
      <c r="W2959" s="14">
        <f>U2959/H2959-1</f>
        <v/>
      </c>
      <c r="X2959" s="17" t="inlineStr">
        <is>
          <t>OK (≤ últ. compra)</t>
        </is>
      </c>
      <c r="Y2959" s="7" t="inlineStr"/>
    </row>
    <row r="2960">
      <c r="A2960" s="7" t="n">
        <v>225321</v>
      </c>
      <c r="B2960" s="12" t="inlineStr">
        <is>
          <t>7896004760995</t>
        </is>
      </c>
      <c r="C2960" s="7" t="inlineStr">
        <is>
          <t>MIGRALIV CX 12 COMP</t>
        </is>
      </c>
      <c r="D2960" s="7" t="inlineStr">
        <is>
          <t>RX</t>
        </is>
      </c>
      <c r="E2960" s="7" t="inlineStr">
        <is>
          <t>C</t>
        </is>
      </c>
      <c r="F2960" s="13" t="n">
        <v>1</v>
      </c>
      <c r="G2960" s="13" t="n">
        <v>1</v>
      </c>
      <c r="H2960" s="8" t="n">
        <v>12.36</v>
      </c>
      <c r="I2960" s="8" t="n">
        <v>12.36</v>
      </c>
      <c r="J2960" s="8" t="n">
        <v>12.36</v>
      </c>
      <c r="K2960" s="8" t="n"/>
      <c r="L2960" s="8" t="n"/>
      <c r="M2960" s="8" t="n"/>
      <c r="N2960" s="8" t="n"/>
      <c r="O2960" s="8" t="n"/>
      <c r="P2960" s="15" t="n">
        <v>16.56525</v>
      </c>
      <c r="Q2960" s="8" t="n"/>
      <c r="R2960" s="8" t="n"/>
      <c r="S2960" s="8" t="n"/>
      <c r="T2960" s="7" t="inlineStr">
        <is>
          <t>NAZARIA</t>
        </is>
      </c>
      <c r="U2960" s="8" t="n">
        <v>16.56525</v>
      </c>
      <c r="V2960" s="14">
        <f>U2960/J2960-1</f>
        <v/>
      </c>
      <c r="W2960" s="14">
        <f>U2960/H2960-1</f>
        <v/>
      </c>
      <c r="X2960" s="16" t="inlineStr">
        <is>
          <t>ACIMA +34.0%</t>
        </is>
      </c>
      <c r="Y2960" s="7" t="inlineStr"/>
    </row>
    <row r="2961">
      <c r="A2961" s="7" t="n">
        <v>621241</v>
      </c>
      <c r="B2961" s="12" t="inlineStr">
        <is>
          <t>7896920304334</t>
        </is>
      </c>
      <c r="C2961" s="7" t="inlineStr">
        <is>
          <t>MILMUNE CONCENTRADO 120ML</t>
        </is>
      </c>
      <c r="D2961" s="7" t="inlineStr">
        <is>
          <t>RX - OTC</t>
        </is>
      </c>
      <c r="E2961" s="7" t="inlineStr">
        <is>
          <t>A</t>
        </is>
      </c>
      <c r="F2961" s="13" t="n">
        <v>4</v>
      </c>
      <c r="G2961" s="13" t="n">
        <v>4</v>
      </c>
      <c r="H2961" s="8" t="n">
        <v>21.33</v>
      </c>
      <c r="I2961" s="8" t="n">
        <v>21.33</v>
      </c>
      <c r="J2961" s="8" t="n">
        <v>21.33</v>
      </c>
      <c r="K2961" s="15" t="n">
        <v>26.484262</v>
      </c>
      <c r="L2961" s="8" t="n"/>
      <c r="M2961" s="8" t="n"/>
      <c r="N2961" s="8" t="n"/>
      <c r="O2961" s="8" t="n"/>
      <c r="P2961" s="8" t="n"/>
      <c r="Q2961" s="8" t="n"/>
      <c r="R2961" s="8" t="n"/>
      <c r="S2961" s="8" t="n"/>
      <c r="T2961" s="7" t="inlineStr">
        <is>
          <t>DIMEC</t>
        </is>
      </c>
      <c r="U2961" s="8" t="n">
        <v>26.484262</v>
      </c>
      <c r="V2961" s="14">
        <f>U2961/J2961-1</f>
        <v/>
      </c>
      <c r="W2961" s="14">
        <f>U2961/H2961-1</f>
        <v/>
      </c>
      <c r="X2961" s="16" t="inlineStr">
        <is>
          <t>ACIMA +24.2%</t>
        </is>
      </c>
      <c r="Y2961" s="7" t="inlineStr"/>
    </row>
    <row r="2962">
      <c r="A2962" s="7" t="n">
        <v>557961</v>
      </c>
      <c r="B2962" s="12" t="inlineStr">
        <is>
          <t>7896920304037</t>
        </is>
      </c>
      <c r="C2962" s="7" t="inlineStr">
        <is>
          <t>MILMUNE CONCENTRADO 30CP</t>
        </is>
      </c>
      <c r="D2962" s="7" t="inlineStr">
        <is>
          <t>RX</t>
        </is>
      </c>
      <c r="E2962" s="7" t="inlineStr">
        <is>
          <t>A</t>
        </is>
      </c>
      <c r="F2962" s="13" t="n">
        <v>6</v>
      </c>
      <c r="G2962" s="13" t="n">
        <v>6</v>
      </c>
      <c r="H2962" s="8" t="n">
        <v>37.65</v>
      </c>
      <c r="I2962" s="8" t="n">
        <v>34.22</v>
      </c>
      <c r="J2962" s="8" t="n">
        <v>36.50666666666667</v>
      </c>
      <c r="K2962" s="15" t="n">
        <v>42.609678</v>
      </c>
      <c r="L2962" s="8" t="n"/>
      <c r="M2962" s="8" t="n"/>
      <c r="N2962" s="8" t="n"/>
      <c r="O2962" s="8" t="n"/>
      <c r="P2962" s="8" t="n"/>
      <c r="Q2962" s="8" t="n"/>
      <c r="R2962" s="8" t="n"/>
      <c r="S2962" s="8" t="n"/>
      <c r="T2962" s="7" t="inlineStr">
        <is>
          <t>DIMEC</t>
        </is>
      </c>
      <c r="U2962" s="8" t="n">
        <v>42.609678</v>
      </c>
      <c r="V2962" s="14">
        <f>U2962/J2962-1</f>
        <v/>
      </c>
      <c r="W2962" s="14">
        <f>U2962/H2962-1</f>
        <v/>
      </c>
      <c r="X2962" s="16" t="inlineStr">
        <is>
          <t>ACIMA +13.2%</t>
        </is>
      </c>
      <c r="Y2962" s="7" t="inlineStr"/>
    </row>
    <row r="2963">
      <c r="A2963" s="7" t="n">
        <v>670841</v>
      </c>
      <c r="B2963" s="12" t="inlineStr">
        <is>
          <t>7891000357170</t>
        </is>
      </c>
      <c r="C2963" s="7" t="inlineStr">
        <is>
          <t>MING MUCILON ARROZ SH 360G</t>
        </is>
      </c>
      <c r="D2963" s="7" t="inlineStr">
        <is>
          <t>ALIMENTOS LACTEOS, DERIVADOS E SIMILARES</t>
        </is>
      </c>
      <c r="E2963" s="7" t="inlineStr">
        <is>
          <t>C</t>
        </is>
      </c>
      <c r="F2963" s="13" t="n">
        <v>1</v>
      </c>
      <c r="G2963" s="13" t="n">
        <v>1</v>
      </c>
      <c r="H2963" s="8" t="n">
        <v>8.59</v>
      </c>
      <c r="I2963" s="8" t="n">
        <v>8.59</v>
      </c>
      <c r="J2963" s="8" t="n">
        <v>8.59</v>
      </c>
      <c r="K2963" s="8" t="n"/>
      <c r="L2963" s="8" t="n"/>
      <c r="M2963" s="8" t="n"/>
      <c r="N2963" s="8" t="n"/>
      <c r="O2963" s="8" t="n"/>
      <c r="P2963" s="8" t="n">
        <v>13.36</v>
      </c>
      <c r="Q2963" s="8" t="n"/>
      <c r="R2963" s="8" t="n"/>
      <c r="S2963" s="8" t="n"/>
      <c r="T2963" s="7" t="inlineStr">
        <is>
          <t>SEM COTAÇÃO</t>
        </is>
      </c>
      <c r="U2963" s="8" t="n"/>
      <c r="V2963" s="14" t="n"/>
      <c r="W2963" s="14" t="n"/>
      <c r="X2963" s="7" t="inlineStr"/>
      <c r="Y2963" s="7" t="inlineStr">
        <is>
          <t>NAZARIA: sem estoque</t>
        </is>
      </c>
    </row>
    <row r="2964">
      <c r="A2964" s="7" t="n">
        <v>670851</v>
      </c>
      <c r="B2964" s="12" t="inlineStr">
        <is>
          <t>7891000357019</t>
        </is>
      </c>
      <c r="C2964" s="7" t="inlineStr">
        <is>
          <t>MING MUCILON ARROZ/AVEIA SH 360G</t>
        </is>
      </c>
      <c r="D2964" s="7" t="inlineStr">
        <is>
          <t>ALIMENTOS LACTEOS, DERIVADOS E SIMILARES</t>
        </is>
      </c>
      <c r="E2964" s="7" t="inlineStr">
        <is>
          <t>C</t>
        </is>
      </c>
      <c r="F2964" s="13" t="n">
        <v>1</v>
      </c>
      <c r="G2964" s="13" t="n">
        <v>1</v>
      </c>
      <c r="H2964" s="8" t="n">
        <v>8.59</v>
      </c>
      <c r="I2964" s="8" t="n">
        <v>8.59</v>
      </c>
      <c r="J2964" s="8" t="n">
        <v>8.59</v>
      </c>
      <c r="K2964" s="8" t="n"/>
      <c r="L2964" s="8" t="n"/>
      <c r="M2964" s="8" t="n"/>
      <c r="N2964" s="8" t="n"/>
      <c r="O2964" s="8" t="n"/>
      <c r="P2964" s="15" t="n">
        <v>13.36</v>
      </c>
      <c r="Q2964" s="8" t="n"/>
      <c r="R2964" s="8" t="n"/>
      <c r="S2964" s="8" t="n"/>
      <c r="T2964" s="7" t="inlineStr">
        <is>
          <t>NAZARIA</t>
        </is>
      </c>
      <c r="U2964" s="8" t="n">
        <v>13.36</v>
      </c>
      <c r="V2964" s="14">
        <f>U2964/J2964-1</f>
        <v/>
      </c>
      <c r="W2964" s="14">
        <f>U2964/H2964-1</f>
        <v/>
      </c>
      <c r="X2964" s="16" t="inlineStr">
        <is>
          <t>ACIMA +55.5%</t>
        </is>
      </c>
      <c r="Y2964" s="7" t="inlineStr"/>
    </row>
    <row r="2965">
      <c r="A2965" s="7" t="n">
        <v>670861</v>
      </c>
      <c r="B2965" s="12" t="inlineStr">
        <is>
          <t>7891000356975</t>
        </is>
      </c>
      <c r="C2965" s="7" t="inlineStr">
        <is>
          <t>MING MUCILON MILHO SH 360G</t>
        </is>
      </c>
      <c r="D2965" s="7" t="inlineStr">
        <is>
          <t>ALIMENTOS LACTEOS, DERIVADOS E SIMILARES</t>
        </is>
      </c>
      <c r="E2965" s="7" t="inlineStr">
        <is>
          <t>C</t>
        </is>
      </c>
      <c r="F2965" s="13" t="n">
        <v>1</v>
      </c>
      <c r="G2965" s="13" t="n">
        <v>1</v>
      </c>
      <c r="H2965" s="8" t="n">
        <v>8.59</v>
      </c>
      <c r="I2965" s="8" t="n">
        <v>8.59</v>
      </c>
      <c r="J2965" s="8" t="n">
        <v>8.59</v>
      </c>
      <c r="K2965" s="8" t="n"/>
      <c r="L2965" s="8" t="n"/>
      <c r="M2965" s="8" t="n"/>
      <c r="N2965" s="8" t="n"/>
      <c r="O2965" s="8" t="n"/>
      <c r="P2965" s="15" t="n">
        <v>13.36</v>
      </c>
      <c r="Q2965" s="8" t="n"/>
      <c r="R2965" s="8" t="n"/>
      <c r="S2965" s="8" t="n"/>
      <c r="T2965" s="7" t="inlineStr">
        <is>
          <t>NAZARIA</t>
        </is>
      </c>
      <c r="U2965" s="8" t="n">
        <v>13.36</v>
      </c>
      <c r="V2965" s="14">
        <f>U2965/J2965-1</f>
        <v/>
      </c>
      <c r="W2965" s="14">
        <f>U2965/H2965-1</f>
        <v/>
      </c>
      <c r="X2965" s="16" t="inlineStr">
        <is>
          <t>ACIMA +55.5%</t>
        </is>
      </c>
      <c r="Y2965" s="7" t="inlineStr"/>
    </row>
    <row r="2966">
      <c r="A2966" s="7" t="n">
        <v>657541</v>
      </c>
      <c r="B2966" s="12" t="inlineStr">
        <is>
          <t>7891000329139</t>
        </is>
      </c>
      <c r="C2966" s="7" t="inlineStr">
        <is>
          <t>MING MUCILON MULT SH 1KG</t>
        </is>
      </c>
      <c r="D2966" s="7" t="inlineStr">
        <is>
          <t>ALIMENTOS LACTEOS, DERIVADOS E SIMILARES</t>
        </is>
      </c>
      <c r="E2966" s="7" t="inlineStr">
        <is>
          <t>C</t>
        </is>
      </c>
      <c r="F2966" s="13" t="n">
        <v>1</v>
      </c>
      <c r="G2966" s="13" t="n">
        <v>1</v>
      </c>
      <c r="H2966" s="8" t="n">
        <v>26.99</v>
      </c>
      <c r="I2966" s="8" t="n">
        <v>26.99</v>
      </c>
      <c r="J2966" s="8" t="n">
        <v>26.99</v>
      </c>
      <c r="K2966" s="8" t="n"/>
      <c r="L2966" s="8" t="n"/>
      <c r="M2966" s="8" t="n"/>
      <c r="N2966" s="8" t="n"/>
      <c r="O2966" s="8" t="n"/>
      <c r="P2966" s="8" t="n"/>
      <c r="Q2966" s="8" t="n"/>
      <c r="R2966" s="8" t="n"/>
      <c r="S2966" s="8" t="n"/>
      <c r="T2966" s="7" t="inlineStr">
        <is>
          <t>SEM COTAÇÃO</t>
        </is>
      </c>
      <c r="U2966" s="8" t="n"/>
      <c r="V2966" s="14" t="n"/>
      <c r="W2966" s="14" t="n"/>
      <c r="X2966" s="7" t="inlineStr"/>
      <c r="Y2966" s="7" t="inlineStr"/>
    </row>
    <row r="2967">
      <c r="A2967" s="7" t="n">
        <v>613121</v>
      </c>
      <c r="B2967" s="12" t="inlineStr"/>
      <c r="C2967" s="7" t="inlineStr">
        <is>
          <t>MINI DISQUETI 11GRS CR 36X11GR</t>
        </is>
      </c>
      <c r="D2967" s="7" t="inlineStr">
        <is>
          <t>CONVENIENCIA</t>
        </is>
      </c>
      <c r="E2967" s="7" t="inlineStr">
        <is>
          <t>A</t>
        </is>
      </c>
      <c r="F2967" s="13" t="n">
        <v>3</v>
      </c>
      <c r="G2967" s="13" t="n">
        <v>3</v>
      </c>
      <c r="H2967" s="8" t="n">
        <v>1.04</v>
      </c>
      <c r="I2967" s="8" t="n">
        <v>1.04</v>
      </c>
      <c r="J2967" s="8" t="n">
        <v>1.04</v>
      </c>
      <c r="K2967" s="8" t="n"/>
      <c r="L2967" s="8" t="n"/>
      <c r="M2967" s="8" t="n"/>
      <c r="N2967" s="8" t="n"/>
      <c r="O2967" s="8" t="n"/>
      <c r="P2967" s="8" t="n"/>
      <c r="Q2967" s="8" t="n"/>
      <c r="R2967" s="8" t="n"/>
      <c r="S2967" s="8" t="n"/>
      <c r="T2967" s="7" t="inlineStr">
        <is>
          <t>SEM COTAÇÃO</t>
        </is>
      </c>
      <c r="U2967" s="8" t="n"/>
      <c r="V2967" s="14" t="n"/>
      <c r="W2967" s="14" t="n"/>
      <c r="X2967" s="7" t="inlineStr"/>
      <c r="Y2967" s="7" t="inlineStr"/>
    </row>
    <row r="2968">
      <c r="A2968" s="7" t="n">
        <v>625821</v>
      </c>
      <c r="B2968" s="12" t="inlineStr">
        <is>
          <t>7896058599459</t>
        </is>
      </c>
      <c r="C2968" s="7" t="inlineStr">
        <is>
          <t>MINI DISQUETI CHOCOLATE CONF 60G</t>
        </is>
      </c>
      <c r="D2968" s="7" t="inlineStr">
        <is>
          <t>CONVENIENCIA</t>
        </is>
      </c>
      <c r="E2968" s="7" t="inlineStr">
        <is>
          <t>B</t>
        </is>
      </c>
      <c r="F2968" s="13" t="n">
        <v>3</v>
      </c>
      <c r="G2968" s="13" t="n">
        <v>3</v>
      </c>
      <c r="H2968" s="8" t="n">
        <v>4.75</v>
      </c>
      <c r="I2968" s="8" t="n">
        <v>4.75</v>
      </c>
      <c r="J2968" s="8" t="n">
        <v>4.75</v>
      </c>
      <c r="K2968" s="8" t="n"/>
      <c r="L2968" s="8" t="n"/>
      <c r="M2968" s="8" t="n"/>
      <c r="N2968" s="8" t="n"/>
      <c r="O2968" s="8" t="n"/>
      <c r="P2968" s="8" t="n"/>
      <c r="Q2968" s="8" t="n"/>
      <c r="R2968" s="8" t="n"/>
      <c r="S2968" s="8" t="n"/>
      <c r="T2968" s="7" t="inlineStr">
        <is>
          <t>SEM COTAÇÃO</t>
        </is>
      </c>
      <c r="U2968" s="8" t="n"/>
      <c r="V2968" s="14" t="n"/>
      <c r="W2968" s="14" t="n"/>
      <c r="X2968" s="7" t="inlineStr"/>
      <c r="Y2968" s="7" t="inlineStr"/>
    </row>
    <row r="2969">
      <c r="A2969" s="7" t="n">
        <v>619251</v>
      </c>
      <c r="B2969" s="12" t="inlineStr">
        <is>
          <t>7897517920074</t>
        </is>
      </c>
      <c r="C2969" s="7" t="inlineStr">
        <is>
          <t>MINI ESC INTERDENT CILIND GROSA C/6 2007</t>
        </is>
      </c>
      <c r="D2969" s="7" t="inlineStr">
        <is>
          <t>PERF/COSME</t>
        </is>
      </c>
      <c r="E2969" s="7" t="inlineStr">
        <is>
          <t>C</t>
        </is>
      </c>
      <c r="F2969" s="13" t="n">
        <v>1</v>
      </c>
      <c r="G2969" s="13" t="n">
        <v>1</v>
      </c>
      <c r="H2969" s="8" t="n">
        <v>14.25</v>
      </c>
      <c r="I2969" s="8" t="n">
        <v>14.25</v>
      </c>
      <c r="J2969" s="8" t="n">
        <v>14.25</v>
      </c>
      <c r="K2969" s="8" t="n"/>
      <c r="L2969" s="8" t="n"/>
      <c r="M2969" s="8" t="n"/>
      <c r="N2969" s="8" t="n"/>
      <c r="O2969" s="8" t="n"/>
      <c r="P2969" s="8" t="n"/>
      <c r="Q2969" s="8" t="n"/>
      <c r="R2969" s="8" t="n"/>
      <c r="S2969" s="8" t="n"/>
      <c r="T2969" s="7" t="inlineStr">
        <is>
          <t>SEM COTAÇÃO</t>
        </is>
      </c>
      <c r="U2969" s="8" t="n"/>
      <c r="V2969" s="14" t="n"/>
      <c r="W2969" s="14" t="n"/>
      <c r="X2969" s="7" t="inlineStr"/>
      <c r="Y2969" s="7" t="inlineStr"/>
    </row>
    <row r="2970">
      <c r="A2970" s="7" t="n">
        <v>582261</v>
      </c>
      <c r="B2970" s="12" t="inlineStr">
        <is>
          <t>7891317015176</t>
        </is>
      </c>
      <c r="C2970" s="7" t="inlineStr">
        <is>
          <t>MINILAX 714,0+7,70MG/G SOL RET CAIXA C/ 7</t>
        </is>
      </c>
      <c r="D2970" s="7" t="inlineStr">
        <is>
          <t>RX - OTC</t>
        </is>
      </c>
      <c r="E2970" s="7" t="inlineStr">
        <is>
          <t>A</t>
        </is>
      </c>
      <c r="F2970" s="13" t="n">
        <v>6</v>
      </c>
      <c r="G2970" s="13" t="n">
        <v>6</v>
      </c>
      <c r="H2970" s="8" t="n">
        <v>6.3571</v>
      </c>
      <c r="I2970" s="8" t="n">
        <v>5.5567</v>
      </c>
      <c r="J2970" s="8" t="n">
        <v>6.053999999999999</v>
      </c>
      <c r="K2970" s="8" t="n"/>
      <c r="L2970" s="8" t="n"/>
      <c r="M2970" s="8" t="n"/>
      <c r="N2970" s="8" t="n"/>
      <c r="O2970" s="15" t="n">
        <v>43.28</v>
      </c>
      <c r="P2970" s="8" t="n">
        <v>45.1192</v>
      </c>
      <c r="Q2970" s="8" t="n"/>
      <c r="R2970" s="8" t="n"/>
      <c r="S2970" s="8" t="n"/>
      <c r="T2970" s="7" t="inlineStr">
        <is>
          <t>TAPAJOS</t>
        </is>
      </c>
      <c r="U2970" s="8" t="n">
        <v>43.28</v>
      </c>
      <c r="V2970" s="14">
        <f>U2970/J2970-1</f>
        <v/>
      </c>
      <c r="W2970" s="14">
        <f>U2970/H2970-1</f>
        <v/>
      </c>
      <c r="X2970" s="16" t="inlineStr">
        <is>
          <t>ACIMA +580.8%</t>
        </is>
      </c>
      <c r="Y2970" s="7" t="inlineStr">
        <is>
          <t>TAPAJOS: conferir emb.; NAZARIA: conferir emb.</t>
        </is>
      </c>
    </row>
    <row r="2971">
      <c r="A2971" s="7" t="n">
        <v>622791</v>
      </c>
      <c r="B2971" s="12" t="inlineStr">
        <is>
          <t>7891317022174</t>
        </is>
      </c>
      <c r="C2971" s="7" t="inlineStr">
        <is>
          <t>MINILAX PEDIATRICO 714,0+7,70MG/G SOL RET 7 BG X 6,5G</t>
        </is>
      </c>
      <c r="D2971" s="7" t="inlineStr">
        <is>
          <t>RX - OTC</t>
        </is>
      </c>
      <c r="E2971" s="7" t="inlineStr">
        <is>
          <t>A</t>
        </is>
      </c>
      <c r="F2971" s="13" t="n">
        <v>1</v>
      </c>
      <c r="G2971" s="13" t="n">
        <v>1</v>
      </c>
      <c r="H2971" s="8" t="n">
        <v>44.4967</v>
      </c>
      <c r="I2971" s="8" t="n">
        <v>38.8975</v>
      </c>
      <c r="J2971" s="8" t="n">
        <v>41.33973333333333</v>
      </c>
      <c r="K2971" s="8" t="n"/>
      <c r="L2971" s="8" t="n"/>
      <c r="M2971" s="15" t="n">
        <v>44.5</v>
      </c>
      <c r="N2971" s="8" t="n"/>
      <c r="O2971" s="8" t="n"/>
      <c r="P2971" s="8" t="n">
        <v>45.1192</v>
      </c>
      <c r="Q2971" s="8" t="n"/>
      <c r="R2971" s="8" t="n"/>
      <c r="S2971" s="8" t="n"/>
      <c r="T2971" s="7" t="inlineStr">
        <is>
          <t>EPAN</t>
        </is>
      </c>
      <c r="U2971" s="8" t="n">
        <v>44.5</v>
      </c>
      <c r="V2971" s="14">
        <f>U2971/J2971-1</f>
        <v/>
      </c>
      <c r="W2971" s="14">
        <f>U2971/H2971-1</f>
        <v/>
      </c>
      <c r="X2971" s="16" t="inlineStr">
        <is>
          <t>ACIMA +0.0%</t>
        </is>
      </c>
      <c r="Y2971" s="7" t="inlineStr"/>
    </row>
    <row r="2972">
      <c r="A2972" s="7" t="n">
        <v>103201</v>
      </c>
      <c r="B2972" s="12" t="inlineStr">
        <is>
          <t>7896714273525</t>
        </is>
      </c>
      <c r="C2972" s="7" t="inlineStr">
        <is>
          <t>MIORRELAX 300+50+35MG CX 30 COMP</t>
        </is>
      </c>
      <c r="D2972" s="7" t="inlineStr">
        <is>
          <t>SIMILAR</t>
        </is>
      </c>
      <c r="E2972" s="7" t="inlineStr">
        <is>
          <t>C</t>
        </is>
      </c>
      <c r="F2972" s="13" t="n">
        <v>1</v>
      </c>
      <c r="G2972" s="13" t="n">
        <v>1</v>
      </c>
      <c r="H2972" s="8" t="n">
        <v>5.87</v>
      </c>
      <c r="I2972" s="8" t="n">
        <v>5.87</v>
      </c>
      <c r="J2972" s="8" t="n">
        <v>5.87</v>
      </c>
      <c r="K2972" s="8" t="n"/>
      <c r="L2972" s="8" t="n"/>
      <c r="M2972" s="8" t="n"/>
      <c r="N2972" s="8" t="n"/>
      <c r="O2972" s="8" t="n"/>
      <c r="P2972" s="8" t="n"/>
      <c r="Q2972" s="8" t="n"/>
      <c r="R2972" s="8" t="n"/>
      <c r="S2972" s="8" t="n"/>
      <c r="T2972" s="7" t="inlineStr">
        <is>
          <t>SEM COTAÇÃO</t>
        </is>
      </c>
      <c r="U2972" s="8" t="n"/>
      <c r="V2972" s="14" t="n"/>
      <c r="W2972" s="14" t="n"/>
      <c r="X2972" s="7" t="inlineStr"/>
      <c r="Y2972" s="7" t="inlineStr"/>
    </row>
    <row r="2973">
      <c r="A2973" s="7" t="n">
        <v>133581</v>
      </c>
      <c r="B2973" s="12" t="inlineStr">
        <is>
          <t>7896637023665</t>
        </is>
      </c>
      <c r="C2973" s="7" t="inlineStr">
        <is>
          <t>MIOSAN 10MG CX 10 COMP REV</t>
        </is>
      </c>
      <c r="D2973" s="7" t="inlineStr">
        <is>
          <t>RX</t>
        </is>
      </c>
      <c r="E2973" s="7" t="inlineStr">
        <is>
          <t>A</t>
        </is>
      </c>
      <c r="F2973" s="13" t="n">
        <v>3</v>
      </c>
      <c r="G2973" s="13" t="n">
        <v>3</v>
      </c>
      <c r="H2973" s="8" t="n">
        <v>12.4417</v>
      </c>
      <c r="I2973" s="8" t="n">
        <v>9.375</v>
      </c>
      <c r="J2973" s="8" t="n">
        <v>10.39666666666667</v>
      </c>
      <c r="K2973" s="8" t="n"/>
      <c r="L2973" s="8" t="n"/>
      <c r="M2973" s="15" t="n">
        <v>12.44</v>
      </c>
      <c r="N2973" s="8" t="n"/>
      <c r="O2973" s="8" t="n">
        <v>16.14</v>
      </c>
      <c r="P2973" s="8" t="n">
        <v>17.08975</v>
      </c>
      <c r="Q2973" s="8" t="n"/>
      <c r="R2973" s="8" t="n"/>
      <c r="S2973" s="8" t="n"/>
      <c r="T2973" s="7" t="inlineStr">
        <is>
          <t>EPAN</t>
        </is>
      </c>
      <c r="U2973" s="8" t="n">
        <v>12.44</v>
      </c>
      <c r="V2973" s="14">
        <f>U2973/J2973-1</f>
        <v/>
      </c>
      <c r="W2973" s="14">
        <f>U2973/H2973-1</f>
        <v/>
      </c>
      <c r="X2973" s="17" t="inlineStr">
        <is>
          <t>OK (≤ últ. compra)</t>
        </is>
      </c>
      <c r="Y2973" s="7" t="inlineStr"/>
    </row>
    <row r="2974">
      <c r="A2974" s="7" t="n">
        <v>134741</v>
      </c>
      <c r="B2974" s="12" t="inlineStr"/>
      <c r="C2974" s="7" t="inlineStr">
        <is>
          <t>MIOSAN CAF 10+60MG CX 15 COMP REV</t>
        </is>
      </c>
      <c r="D2974" s="7" t="inlineStr">
        <is>
          <t>RX</t>
        </is>
      </c>
      <c r="E2974" s="7" t="inlineStr">
        <is>
          <t>B</t>
        </is>
      </c>
      <c r="F2974" s="13" t="n">
        <v>1</v>
      </c>
      <c r="G2974" s="13" t="n">
        <v>1</v>
      </c>
      <c r="H2974" s="8" t="n">
        <v>25.27</v>
      </c>
      <c r="I2974" s="8" t="n">
        <v>21.505</v>
      </c>
      <c r="J2974" s="8" t="n">
        <v>22.76</v>
      </c>
      <c r="K2974" s="8" t="n"/>
      <c r="L2974" s="8" t="n"/>
      <c r="M2974" s="8" t="n"/>
      <c r="N2974" s="8" t="n"/>
      <c r="O2974" s="8" t="n"/>
      <c r="P2974" s="8" t="n"/>
      <c r="Q2974" s="8" t="n"/>
      <c r="R2974" s="8" t="n"/>
      <c r="S2974" s="8" t="n"/>
      <c r="T2974" s="7" t="inlineStr">
        <is>
          <t>SEM COTAÇÃO</t>
        </is>
      </c>
      <c r="U2974" s="8" t="n"/>
      <c r="V2974" s="14" t="n"/>
      <c r="W2974" s="14" t="n"/>
      <c r="X2974" s="7" t="inlineStr"/>
      <c r="Y2974" s="7" t="inlineStr"/>
    </row>
    <row r="2975">
      <c r="A2975" s="7" t="n">
        <v>134701</v>
      </c>
      <c r="B2975" s="12" t="inlineStr">
        <is>
          <t>7896637025096</t>
        </is>
      </c>
      <c r="C2975" s="7" t="inlineStr">
        <is>
          <t>MIOSAN CAF 5+30MG CX 15 COMP REV</t>
        </is>
      </c>
      <c r="D2975" s="7" t="inlineStr">
        <is>
          <t>RX</t>
        </is>
      </c>
      <c r="E2975" s="7" t="inlineStr">
        <is>
          <t>B</t>
        </is>
      </c>
      <c r="F2975" s="13" t="n">
        <v>4</v>
      </c>
      <c r="G2975" s="13" t="n">
        <v>4</v>
      </c>
      <c r="H2975" s="8" t="n">
        <v>22.71</v>
      </c>
      <c r="I2975" s="8" t="n">
        <v>19.3267</v>
      </c>
      <c r="J2975" s="8" t="n">
        <v>20.45446666666667</v>
      </c>
      <c r="K2975" s="8" t="n"/>
      <c r="L2975" s="8" t="n"/>
      <c r="M2975" s="8" t="n"/>
      <c r="N2975" s="8" t="n"/>
      <c r="O2975" s="15" t="n">
        <v>22.47</v>
      </c>
      <c r="P2975" s="8" t="n">
        <v>23.7976</v>
      </c>
      <c r="Q2975" s="8" t="n"/>
      <c r="R2975" s="8" t="n"/>
      <c r="S2975" s="8" t="n"/>
      <c r="T2975" s="7" t="inlineStr">
        <is>
          <t>TAPAJOS</t>
        </is>
      </c>
      <c r="U2975" s="8" t="n">
        <v>22.47</v>
      </c>
      <c r="V2975" s="14">
        <f>U2975/J2975-1</f>
        <v/>
      </c>
      <c r="W2975" s="14">
        <f>U2975/H2975-1</f>
        <v/>
      </c>
      <c r="X2975" s="17" t="inlineStr">
        <is>
          <t>OK (≤ últ. compra)</t>
        </is>
      </c>
      <c r="Y2975" s="7" t="inlineStr"/>
    </row>
    <row r="2976">
      <c r="A2976" s="7" t="n">
        <v>293561</v>
      </c>
      <c r="B2976" s="12" t="inlineStr">
        <is>
          <t>7896676435214</t>
        </is>
      </c>
      <c r="C2976" s="7" t="inlineStr">
        <is>
          <t>MIRUGELL 0,4+0,3+0,1% SOL OFT FR 5ML</t>
        </is>
      </c>
      <c r="D2976" s="7" t="inlineStr">
        <is>
          <t>RX - OTC</t>
        </is>
      </c>
      <c r="E2976" s="7" t="inlineStr">
        <is>
          <t>B</t>
        </is>
      </c>
      <c r="F2976" s="13" t="n">
        <v>1</v>
      </c>
      <c r="G2976" s="13" t="n">
        <v>1</v>
      </c>
      <c r="H2976" s="8" t="n">
        <v>19.8</v>
      </c>
      <c r="I2976" s="8" t="n">
        <v>18.33</v>
      </c>
      <c r="J2976" s="8" t="n">
        <v>18.95833333333333</v>
      </c>
      <c r="K2976" s="8" t="n"/>
      <c r="L2976" s="8" t="n"/>
      <c r="M2976" s="8" t="n">
        <v>20.79</v>
      </c>
      <c r="N2976" s="8" t="n"/>
      <c r="O2976" s="15" t="n">
        <v>19.8</v>
      </c>
      <c r="P2976" s="8" t="n">
        <v>21.05</v>
      </c>
      <c r="Q2976" s="8" t="n"/>
      <c r="R2976" s="8" t="n"/>
      <c r="S2976" s="8" t="n"/>
      <c r="T2976" s="7" t="inlineStr">
        <is>
          <t>TAPAJOS</t>
        </is>
      </c>
      <c r="U2976" s="8" t="n">
        <v>19.8</v>
      </c>
      <c r="V2976" s="14">
        <f>U2976/J2976-1</f>
        <v/>
      </c>
      <c r="W2976" s="14">
        <f>U2976/H2976-1</f>
        <v/>
      </c>
      <c r="X2976" s="17" t="inlineStr">
        <is>
          <t>OK (≤ últ. compra)</t>
        </is>
      </c>
      <c r="Y2976" s="7" t="inlineStr"/>
    </row>
    <row r="2977">
      <c r="A2977" s="7" t="n">
        <v>642341</v>
      </c>
      <c r="B2977" s="12" t="inlineStr">
        <is>
          <t>7891000089255</t>
        </is>
      </c>
      <c r="C2977" s="7" t="inlineStr">
        <is>
          <t>MOCA BISCOITO RECHEADO 60X140G BR</t>
        </is>
      </c>
      <c r="D2977" s="7" t="inlineStr">
        <is>
          <t>BISCOITOS/SALGADOS</t>
        </is>
      </c>
      <c r="E2977" s="7" t="inlineStr">
        <is>
          <t>C</t>
        </is>
      </c>
      <c r="F2977" s="13" t="n">
        <v>1</v>
      </c>
      <c r="G2977" s="13" t="n">
        <v>6</v>
      </c>
      <c r="H2977" s="8" t="n">
        <v>4.2383</v>
      </c>
      <c r="I2977" s="8" t="n">
        <v>4.2383</v>
      </c>
      <c r="J2977" s="8" t="n">
        <v>4.2383</v>
      </c>
      <c r="K2977" s="8" t="n"/>
      <c r="L2977" s="8" t="n"/>
      <c r="M2977" s="8" t="n"/>
      <c r="N2977" s="8" t="n"/>
      <c r="O2977" s="8" t="n"/>
      <c r="P2977" s="8" t="n"/>
      <c r="Q2977" s="8" t="n"/>
      <c r="R2977" s="8" t="n"/>
      <c r="S2977" s="8" t="n"/>
      <c r="T2977" s="7" t="inlineStr">
        <is>
          <t>SEM COTAÇÃO</t>
        </is>
      </c>
      <c r="U2977" s="8" t="n"/>
      <c r="V2977" s="14" t="n"/>
      <c r="W2977" s="14" t="n"/>
      <c r="X2977" s="7" t="inlineStr"/>
      <c r="Y2977" s="7" t="inlineStr"/>
    </row>
    <row r="2978">
      <c r="A2978" s="7" t="n">
        <v>533921</v>
      </c>
      <c r="B2978" s="12" t="inlineStr">
        <is>
          <t>7896235353393</t>
        </is>
      </c>
      <c r="C2978" s="7" t="inlineStr">
        <is>
          <t>MONANGE CONDICIONADOR HIDRATA 325ML</t>
        </is>
      </c>
      <c r="D2978" s="7" t="inlineStr">
        <is>
          <t>DESATIVADO</t>
        </is>
      </c>
      <c r="E2978" s="7" t="inlineStr">
        <is>
          <t>C</t>
        </is>
      </c>
      <c r="F2978" s="13" t="n">
        <v>1</v>
      </c>
      <c r="G2978" s="13" t="n">
        <v>1</v>
      </c>
      <c r="H2978" s="8" t="n">
        <v>7.38</v>
      </c>
      <c r="I2978" s="8" t="n">
        <v>7.38</v>
      </c>
      <c r="J2978" s="8" t="n">
        <v>7.38</v>
      </c>
      <c r="K2978" s="8" t="n"/>
      <c r="L2978" s="8" t="n"/>
      <c r="M2978" s="8" t="n"/>
      <c r="N2978" s="8" t="n"/>
      <c r="O2978" s="8" t="n"/>
      <c r="P2978" s="8" t="n"/>
      <c r="Q2978" s="8" t="n"/>
      <c r="R2978" s="8" t="n"/>
      <c r="S2978" s="8" t="n"/>
      <c r="T2978" s="7" t="inlineStr">
        <is>
          <t>SEM COTAÇÃO</t>
        </is>
      </c>
      <c r="U2978" s="8" t="n"/>
      <c r="V2978" s="14" t="n"/>
      <c r="W2978" s="14" t="n"/>
      <c r="X2978" s="7" t="inlineStr"/>
      <c r="Y2978" s="7" t="inlineStr"/>
    </row>
    <row r="2979">
      <c r="A2979" s="7" t="n">
        <v>534001</v>
      </c>
      <c r="B2979" s="12" t="inlineStr">
        <is>
          <t>7896235353409</t>
        </is>
      </c>
      <c r="C2979" s="7" t="inlineStr">
        <is>
          <t>MONANGE CONDICIONADOR LISOS TE QUERO 325ML</t>
        </is>
      </c>
      <c r="D2979" s="7" t="inlineStr">
        <is>
          <t>PERF/COSME</t>
        </is>
      </c>
      <c r="E2979" s="7" t="inlineStr">
        <is>
          <t>C</t>
        </is>
      </c>
      <c r="F2979" s="13" t="n">
        <v>1</v>
      </c>
      <c r="G2979" s="13" t="n">
        <v>1</v>
      </c>
      <c r="H2979" s="8" t="n">
        <v>9.93</v>
      </c>
      <c r="I2979" s="8" t="n">
        <v>9.93</v>
      </c>
      <c r="J2979" s="8" t="n">
        <v>9.93</v>
      </c>
      <c r="K2979" s="8" t="n"/>
      <c r="L2979" s="8" t="n"/>
      <c r="M2979" s="8" t="n"/>
      <c r="N2979" s="8" t="n"/>
      <c r="O2979" s="8" t="n"/>
      <c r="P2979" s="8" t="n"/>
      <c r="Q2979" s="8" t="n"/>
      <c r="R2979" s="8" t="n"/>
      <c r="S2979" s="8" t="n"/>
      <c r="T2979" s="7" t="inlineStr">
        <is>
          <t>SEM COTAÇÃO</t>
        </is>
      </c>
      <c r="U2979" s="8" t="n"/>
      <c r="V2979" s="14" t="n"/>
      <c r="W2979" s="14" t="n"/>
      <c r="X2979" s="7" t="inlineStr"/>
      <c r="Y2979" s="7" t="inlineStr"/>
    </row>
    <row r="2980">
      <c r="A2980" s="7" t="n">
        <v>533901</v>
      </c>
      <c r="B2980" s="12" t="inlineStr">
        <is>
          <t>7896235353430</t>
        </is>
      </c>
      <c r="C2980" s="7" t="inlineStr">
        <is>
          <t>MONANGE CONDICIONADOR RESTAURA QUE EU GOSTO 325ML</t>
        </is>
      </c>
      <c r="D2980" s="7" t="inlineStr">
        <is>
          <t>PERF/COSME</t>
        </is>
      </c>
      <c r="E2980" s="7" t="inlineStr">
        <is>
          <t>C</t>
        </is>
      </c>
      <c r="F2980" s="13" t="n">
        <v>1</v>
      </c>
      <c r="G2980" s="13" t="n">
        <v>1</v>
      </c>
      <c r="H2980" s="8" t="n">
        <v>7.38</v>
      </c>
      <c r="I2980" s="8" t="n">
        <v>7.38</v>
      </c>
      <c r="J2980" s="8" t="n">
        <v>7.38</v>
      </c>
      <c r="K2980" s="8" t="n"/>
      <c r="L2980" s="8" t="n"/>
      <c r="M2980" s="8" t="n"/>
      <c r="N2980" s="8" t="n"/>
      <c r="O2980" s="8" t="n"/>
      <c r="P2980" s="8" t="n"/>
      <c r="Q2980" s="8" t="n"/>
      <c r="R2980" s="8" t="n"/>
      <c r="S2980" s="8" t="n"/>
      <c r="T2980" s="7" t="inlineStr">
        <is>
          <t>SEM COTAÇÃO</t>
        </is>
      </c>
      <c r="U2980" s="8" t="n"/>
      <c r="V2980" s="14" t="n"/>
      <c r="W2980" s="14" t="n"/>
      <c r="X2980" s="7" t="inlineStr"/>
      <c r="Y2980" s="7" t="inlineStr"/>
    </row>
    <row r="2981">
      <c r="A2981" s="7" t="n">
        <v>533801</v>
      </c>
      <c r="B2981" s="12" t="inlineStr">
        <is>
          <t>7896235353386</t>
        </is>
      </c>
      <c r="C2981" s="7" t="inlineStr">
        <is>
          <t>MONANGE SHAMPOO DETOX TERAPIA 325ML</t>
        </is>
      </c>
      <c r="D2981" s="7" t="inlineStr">
        <is>
          <t>PERF/COSME</t>
        </is>
      </c>
      <c r="E2981" s="7" t="inlineStr">
        <is>
          <t>C</t>
        </is>
      </c>
      <c r="F2981" s="13" t="n">
        <v>1</v>
      </c>
      <c r="G2981" s="13" t="n">
        <v>1</v>
      </c>
      <c r="H2981" s="8" t="n">
        <v>9.77</v>
      </c>
      <c r="I2981" s="8" t="n">
        <v>9.77</v>
      </c>
      <c r="J2981" s="8" t="n">
        <v>9.77</v>
      </c>
      <c r="K2981" s="8" t="n"/>
      <c r="L2981" s="8" t="n"/>
      <c r="M2981" s="8" t="n"/>
      <c r="N2981" s="8" t="n"/>
      <c r="O2981" s="8" t="n"/>
      <c r="P2981" s="8" t="n"/>
      <c r="Q2981" s="8" t="n"/>
      <c r="R2981" s="8" t="n"/>
      <c r="S2981" s="8" t="n"/>
      <c r="T2981" s="7" t="inlineStr">
        <is>
          <t>SEM COTAÇÃO</t>
        </is>
      </c>
      <c r="U2981" s="8" t="n"/>
      <c r="V2981" s="14" t="n"/>
      <c r="W2981" s="14" t="n"/>
      <c r="X2981" s="7" t="inlineStr"/>
      <c r="Y2981" s="7" t="inlineStr"/>
    </row>
    <row r="2982">
      <c r="A2982" s="7" t="n">
        <v>533841</v>
      </c>
      <c r="B2982" s="12" t="inlineStr">
        <is>
          <t>7896235353331</t>
        </is>
      </c>
      <c r="C2982" s="7" t="inlineStr">
        <is>
          <t>MONANGE SHAMPOO LISOS LE QUERO 325ML</t>
        </is>
      </c>
      <c r="D2982" s="7" t="inlineStr">
        <is>
          <t>PERF/COSME</t>
        </is>
      </c>
      <c r="E2982" s="7" t="inlineStr">
        <is>
          <t>C</t>
        </is>
      </c>
      <c r="F2982" s="13" t="n">
        <v>1</v>
      </c>
      <c r="G2982" s="13" t="n">
        <v>1</v>
      </c>
      <c r="H2982" s="8" t="n">
        <v>8.06</v>
      </c>
      <c r="I2982" s="8" t="n">
        <v>8.050000000000001</v>
      </c>
      <c r="J2982" s="8" t="n">
        <v>8.053333333333333</v>
      </c>
      <c r="K2982" s="8" t="n"/>
      <c r="L2982" s="8" t="n"/>
      <c r="M2982" s="8" t="n"/>
      <c r="N2982" s="8" t="n"/>
      <c r="O2982" s="8" t="n"/>
      <c r="P2982" s="8" t="n"/>
      <c r="Q2982" s="8" t="n"/>
      <c r="R2982" s="8" t="n"/>
      <c r="S2982" s="8" t="n"/>
      <c r="T2982" s="7" t="inlineStr">
        <is>
          <t>SEM COTAÇÃO</t>
        </is>
      </c>
      <c r="U2982" s="8" t="n"/>
      <c r="V2982" s="14" t="n"/>
      <c r="W2982" s="14" t="n"/>
      <c r="X2982" s="7" t="inlineStr"/>
      <c r="Y2982" s="7" t="inlineStr"/>
    </row>
    <row r="2983">
      <c r="A2983" s="7" t="n">
        <v>351361</v>
      </c>
      <c r="B2983" s="12" t="inlineStr">
        <is>
          <t>7897851250585</t>
        </is>
      </c>
      <c r="C2983" s="7" t="inlineStr">
        <is>
          <t>MONOCORDIL 40MG CX 30 COMP</t>
        </is>
      </c>
      <c r="D2983" s="7" t="inlineStr">
        <is>
          <t>RX</t>
        </is>
      </c>
      <c r="E2983" s="7" t="inlineStr">
        <is>
          <t>C</t>
        </is>
      </c>
      <c r="F2983" s="13" t="n">
        <v>1</v>
      </c>
      <c r="G2983" s="13" t="n">
        <v>1</v>
      </c>
      <c r="H2983" s="8" t="n">
        <v>25.57</v>
      </c>
      <c r="I2983" s="8" t="n">
        <v>25.57</v>
      </c>
      <c r="J2983" s="8" t="n">
        <v>25.57</v>
      </c>
      <c r="K2983" s="8" t="n"/>
      <c r="L2983" s="8" t="n"/>
      <c r="M2983" s="8" t="n"/>
      <c r="N2983" s="8" t="n"/>
      <c r="O2983" s="8" t="n"/>
      <c r="P2983" s="15" t="n">
        <v>29.6723</v>
      </c>
      <c r="Q2983" s="8" t="n"/>
      <c r="R2983" s="8" t="n"/>
      <c r="S2983" s="8" t="n"/>
      <c r="T2983" s="7" t="inlineStr">
        <is>
          <t>NAZARIA</t>
        </is>
      </c>
      <c r="U2983" s="8" t="n">
        <v>29.6723</v>
      </c>
      <c r="V2983" s="14">
        <f>U2983/J2983-1</f>
        <v/>
      </c>
      <c r="W2983" s="14">
        <f>U2983/H2983-1</f>
        <v/>
      </c>
      <c r="X2983" s="16" t="inlineStr">
        <is>
          <t>ACIMA +16.0%</t>
        </is>
      </c>
      <c r="Y2983" s="7" t="inlineStr"/>
    </row>
    <row r="2984">
      <c r="A2984" s="7" t="n">
        <v>3733</v>
      </c>
      <c r="B2984" s="12" t="inlineStr">
        <is>
          <t>10070847000607</t>
        </is>
      </c>
      <c r="C2984" s="7" t="inlineStr">
        <is>
          <t>MONST KHAOTIC LT 473ML</t>
        </is>
      </c>
      <c r="D2984" s="7" t="inlineStr">
        <is>
          <t>BEBIDAS GERAL</t>
        </is>
      </c>
      <c r="E2984" s="7" t="inlineStr">
        <is>
          <t>C</t>
        </is>
      </c>
      <c r="F2984" s="13" t="n">
        <v>1</v>
      </c>
      <c r="G2984" s="13" t="n">
        <v>1</v>
      </c>
      <c r="H2984" s="8" t="n">
        <v>9.58</v>
      </c>
      <c r="I2984" s="8" t="n">
        <v>9.58</v>
      </c>
      <c r="J2984" s="8" t="n">
        <v>9.58</v>
      </c>
      <c r="K2984" s="8" t="n"/>
      <c r="L2984" s="8" t="n"/>
      <c r="M2984" s="8" t="n"/>
      <c r="N2984" s="8" t="n"/>
      <c r="O2984" s="8" t="n"/>
      <c r="P2984" s="8" t="n"/>
      <c r="Q2984" s="8" t="n"/>
      <c r="R2984" s="8" t="n"/>
      <c r="S2984" s="8" t="n"/>
      <c r="T2984" s="7" t="inlineStr">
        <is>
          <t>SEM COTAÇÃO</t>
        </is>
      </c>
      <c r="U2984" s="8" t="n"/>
      <c r="V2984" s="14" t="n"/>
      <c r="W2984" s="14" t="n"/>
      <c r="X2984" s="7" t="inlineStr"/>
      <c r="Y2984" s="7" t="inlineStr"/>
    </row>
    <row r="2985">
      <c r="A2985" s="7" t="n">
        <v>3713</v>
      </c>
      <c r="B2985" s="12" t="inlineStr">
        <is>
          <t>17898938890097</t>
        </is>
      </c>
      <c r="C2985" s="7" t="inlineStr">
        <is>
          <t>MONST ULTRA PEACHY KEEN LT 473ML</t>
        </is>
      </c>
      <c r="D2985" s="7" t="inlineStr">
        <is>
          <t>BEBIDAS GERAL</t>
        </is>
      </c>
      <c r="E2985" s="7" t="inlineStr">
        <is>
          <t>C</t>
        </is>
      </c>
      <c r="F2985" s="13" t="n">
        <v>1</v>
      </c>
      <c r="G2985" s="13" t="n">
        <v>1</v>
      </c>
      <c r="H2985" s="8" t="n">
        <v>9.58</v>
      </c>
      <c r="I2985" s="8" t="n">
        <v>9.58</v>
      </c>
      <c r="J2985" s="8" t="n">
        <v>9.58</v>
      </c>
      <c r="K2985" s="8" t="n"/>
      <c r="L2985" s="8" t="n"/>
      <c r="M2985" s="8" t="n"/>
      <c r="N2985" s="8" t="n"/>
      <c r="O2985" s="8" t="n"/>
      <c r="P2985" s="8" t="n"/>
      <c r="Q2985" s="8" t="n"/>
      <c r="R2985" s="8" t="n"/>
      <c r="S2985" s="8" t="n"/>
      <c r="T2985" s="7" t="inlineStr">
        <is>
          <t>SEM COTAÇÃO</t>
        </is>
      </c>
      <c r="U2985" s="8" t="n"/>
      <c r="V2985" s="14" t="n"/>
      <c r="W2985" s="14" t="n"/>
      <c r="X2985" s="7" t="inlineStr"/>
      <c r="Y2985" s="7" t="inlineStr"/>
    </row>
    <row r="2986">
      <c r="A2986" s="7" t="n">
        <v>4203</v>
      </c>
      <c r="B2986" s="12" t="inlineStr">
        <is>
          <t>10070847001109</t>
        </is>
      </c>
      <c r="C2986" s="7" t="inlineStr">
        <is>
          <t>MONST ULTRA VIOLET LT 473ML</t>
        </is>
      </c>
      <c r="D2986" s="7" t="inlineStr">
        <is>
          <t>BEBIDAS GERAL</t>
        </is>
      </c>
      <c r="E2986" s="7" t="inlineStr">
        <is>
          <t>C</t>
        </is>
      </c>
      <c r="F2986" s="13" t="n">
        <v>1</v>
      </c>
      <c r="G2986" s="13" t="n">
        <v>1</v>
      </c>
      <c r="H2986" s="8" t="n">
        <v>9.5806</v>
      </c>
      <c r="I2986" s="8" t="n">
        <v>9.5806</v>
      </c>
      <c r="J2986" s="8" t="n">
        <v>9.5806</v>
      </c>
      <c r="K2986" s="8" t="n"/>
      <c r="L2986" s="8" t="n"/>
      <c r="M2986" s="8" t="n"/>
      <c r="N2986" s="8" t="n"/>
      <c r="O2986" s="8" t="n"/>
      <c r="P2986" s="8" t="n"/>
      <c r="Q2986" s="8" t="n"/>
      <c r="R2986" s="8" t="n"/>
      <c r="S2986" s="8" t="n"/>
      <c r="T2986" s="7" t="inlineStr">
        <is>
          <t>SEM COTAÇÃO</t>
        </is>
      </c>
      <c r="U2986" s="8" t="n"/>
      <c r="V2986" s="14" t="n"/>
      <c r="W2986" s="14" t="n"/>
      <c r="X2986" s="7" t="inlineStr"/>
      <c r="Y2986" s="7" t="inlineStr"/>
    </row>
    <row r="2987">
      <c r="A2987" s="7" t="n">
        <v>2703</v>
      </c>
      <c r="B2987" s="12" t="inlineStr">
        <is>
          <t>7898938890045</t>
        </is>
      </c>
      <c r="C2987" s="7" t="inlineStr">
        <is>
          <t>MONSTER ENERGY JUICE</t>
        </is>
      </c>
      <c r="D2987" s="7" t="inlineStr">
        <is>
          <t>BEBIDAS GERAL</t>
        </is>
      </c>
      <c r="E2987" s="7" t="inlineStr">
        <is>
          <t>C</t>
        </is>
      </c>
      <c r="F2987" s="13" t="n">
        <v>1</v>
      </c>
      <c r="G2987" s="13" t="n">
        <v>1</v>
      </c>
      <c r="H2987" s="8" t="n"/>
      <c r="I2987" s="8" t="n"/>
      <c r="J2987" s="8" t="n"/>
      <c r="K2987" s="8" t="n"/>
      <c r="L2987" s="8" t="n"/>
      <c r="M2987" s="8" t="n"/>
      <c r="N2987" s="8" t="n"/>
      <c r="O2987" s="8" t="n"/>
      <c r="P2987" s="8" t="n"/>
      <c r="Q2987" s="8" t="n"/>
      <c r="R2987" s="8" t="n"/>
      <c r="S2987" s="8" t="n"/>
      <c r="T2987" s="7" t="inlineStr">
        <is>
          <t>SEM COTAÇÃO</t>
        </is>
      </c>
      <c r="U2987" s="8" t="n"/>
      <c r="V2987" s="14" t="n"/>
      <c r="W2987" s="14" t="n"/>
      <c r="X2987" s="7" t="inlineStr"/>
      <c r="Y2987" s="7" t="inlineStr"/>
    </row>
    <row r="2988">
      <c r="A2988" s="7" t="n">
        <v>583681</v>
      </c>
      <c r="B2988" s="12" t="inlineStr">
        <is>
          <t>70847022015</t>
        </is>
      </c>
      <c r="C2988" s="7" t="inlineStr">
        <is>
          <t>MONSTER ENERGY TRADICIONAL 473ML</t>
        </is>
      </c>
      <c r="D2988" s="7" t="inlineStr">
        <is>
          <t>BEBIDAS GERAL</t>
        </is>
      </c>
      <c r="E2988" s="7" t="inlineStr">
        <is>
          <t>A</t>
        </is>
      </c>
      <c r="F2988" s="13" t="n">
        <v>15</v>
      </c>
      <c r="G2988" s="13" t="n">
        <v>15</v>
      </c>
      <c r="H2988" s="8" t="n">
        <v>8.2883</v>
      </c>
      <c r="I2988" s="8" t="n">
        <v>7.9722</v>
      </c>
      <c r="J2988" s="8" t="n">
        <v>7.973533333333333</v>
      </c>
      <c r="K2988" s="8" t="n"/>
      <c r="L2988" s="8" t="n"/>
      <c r="M2988" s="8" t="n"/>
      <c r="N2988" s="8" t="n"/>
      <c r="O2988" s="8" t="n"/>
      <c r="P2988" s="8" t="n"/>
      <c r="Q2988" s="8" t="n"/>
      <c r="R2988" s="8" t="n"/>
      <c r="S2988" s="8" t="n"/>
      <c r="T2988" s="7" t="inlineStr">
        <is>
          <t>SEM COTAÇÃO</t>
        </is>
      </c>
      <c r="U2988" s="8" t="n"/>
      <c r="V2988" s="14" t="n"/>
      <c r="W2988" s="14" t="n"/>
      <c r="X2988" s="7" t="inlineStr"/>
      <c r="Y2988" s="7" t="inlineStr"/>
    </row>
    <row r="2989">
      <c r="A2989" s="7" t="n">
        <v>637831</v>
      </c>
      <c r="B2989" s="12" t="inlineStr">
        <is>
          <t>7898938890076</t>
        </is>
      </c>
      <c r="C2989" s="7" t="inlineStr">
        <is>
          <t>MONSTER ENERGY TRADICIONAL ZERO AÇUCAR 473ML</t>
        </is>
      </c>
      <c r="D2989" s="7" t="inlineStr">
        <is>
          <t>BEBIDAS GERAL</t>
        </is>
      </c>
      <c r="E2989" s="7" t="inlineStr">
        <is>
          <t>A</t>
        </is>
      </c>
      <c r="F2989" s="13" t="n">
        <v>21</v>
      </c>
      <c r="G2989" s="13" t="n">
        <v>21</v>
      </c>
      <c r="H2989" s="8" t="n">
        <v>8.2883</v>
      </c>
      <c r="I2989" s="8" t="n">
        <v>7.9722</v>
      </c>
      <c r="J2989" s="8" t="n">
        <v>7.973533333333333</v>
      </c>
      <c r="K2989" s="8" t="n"/>
      <c r="L2989" s="8" t="n"/>
      <c r="M2989" s="8" t="n"/>
      <c r="N2989" s="8" t="n"/>
      <c r="O2989" s="8" t="n"/>
      <c r="P2989" s="8" t="n"/>
      <c r="Q2989" s="8" t="n"/>
      <c r="R2989" s="8" t="n"/>
      <c r="S2989" s="8" t="n"/>
      <c r="T2989" s="7" t="inlineStr">
        <is>
          <t>SEM COTAÇÃO</t>
        </is>
      </c>
      <c r="U2989" s="8" t="n"/>
      <c r="V2989" s="14" t="n"/>
      <c r="W2989" s="14" t="n"/>
      <c r="X2989" s="7" t="inlineStr"/>
      <c r="Y2989" s="7" t="inlineStr"/>
    </row>
    <row r="2990">
      <c r="A2990" s="7" t="n">
        <v>1433</v>
      </c>
      <c r="B2990" s="12" t="inlineStr">
        <is>
          <t>070847022206</t>
        </is>
      </c>
      <c r="C2990" s="7" t="inlineStr">
        <is>
          <t>MONSTER ENERGY ULTRA LATA</t>
        </is>
      </c>
      <c r="D2990" s="7" t="inlineStr">
        <is>
          <t>BEBIDAS GERAL</t>
        </is>
      </c>
      <c r="E2990" s="7" t="inlineStr">
        <is>
          <t>A</t>
        </is>
      </c>
      <c r="F2990" s="13" t="n">
        <v>31</v>
      </c>
      <c r="G2990" s="13" t="n">
        <v>31</v>
      </c>
      <c r="H2990" s="8" t="n">
        <v>8.2883</v>
      </c>
      <c r="I2990" s="8" t="n">
        <v>7.9742</v>
      </c>
      <c r="J2990" s="8" t="n">
        <v>7.9742</v>
      </c>
      <c r="K2990" s="8" t="n"/>
      <c r="L2990" s="8" t="n"/>
      <c r="M2990" s="8" t="n"/>
      <c r="N2990" s="8" t="n"/>
      <c r="O2990" s="8" t="n"/>
      <c r="P2990" s="8" t="n"/>
      <c r="Q2990" s="8" t="n"/>
      <c r="R2990" s="8" t="n"/>
      <c r="S2990" s="8" t="n"/>
      <c r="T2990" s="7" t="inlineStr">
        <is>
          <t>SEM COTAÇÃO</t>
        </is>
      </c>
      <c r="U2990" s="8" t="n"/>
      <c r="V2990" s="14" t="n"/>
      <c r="W2990" s="14" t="n"/>
      <c r="X2990" s="7" t="inlineStr"/>
      <c r="Y2990" s="7" t="inlineStr"/>
    </row>
    <row r="2991">
      <c r="A2991" s="7" t="n">
        <v>624431</v>
      </c>
      <c r="B2991" s="12" t="inlineStr">
        <is>
          <t>1220000250000</t>
        </is>
      </c>
      <c r="C2991" s="7" t="inlineStr">
        <is>
          <t>MONSTER ENERGY ULTRA PARADISE LATA 473ML</t>
        </is>
      </c>
      <c r="D2991" s="7" t="inlineStr">
        <is>
          <t>BEBIDAS GERAL</t>
        </is>
      </c>
      <c r="E2991" s="7" t="inlineStr">
        <is>
          <t>C</t>
        </is>
      </c>
      <c r="F2991" s="13" t="n">
        <v>1</v>
      </c>
      <c r="G2991" s="13" t="n">
        <v>1</v>
      </c>
      <c r="H2991" s="8" t="n">
        <v>7.59</v>
      </c>
      <c r="I2991" s="8" t="n">
        <v>7.59</v>
      </c>
      <c r="J2991" s="8" t="n">
        <v>7.59</v>
      </c>
      <c r="K2991" s="8" t="n"/>
      <c r="L2991" s="8" t="n"/>
      <c r="M2991" s="8" t="n"/>
      <c r="N2991" s="8" t="n"/>
      <c r="O2991" s="8" t="n"/>
      <c r="P2991" s="8" t="n"/>
      <c r="Q2991" s="8" t="n"/>
      <c r="R2991" s="8" t="n"/>
      <c r="S2991" s="8" t="n"/>
      <c r="T2991" s="7" t="inlineStr">
        <is>
          <t>SEM COTAÇÃO</t>
        </is>
      </c>
      <c r="U2991" s="8" t="n"/>
      <c r="V2991" s="14" t="n"/>
      <c r="W2991" s="14" t="n"/>
      <c r="X2991" s="7" t="inlineStr"/>
      <c r="Y2991" s="7" t="inlineStr"/>
    </row>
    <row r="2992">
      <c r="A2992" s="7" t="n">
        <v>2693</v>
      </c>
      <c r="B2992" s="12" t="inlineStr">
        <is>
          <t>070847033929</t>
        </is>
      </c>
      <c r="C2992" s="7" t="inlineStr">
        <is>
          <t>MONSTER ENERGY VIOLET 473ML</t>
        </is>
      </c>
      <c r="D2992" s="7" t="inlineStr">
        <is>
          <t>BEBIDAS GERAL</t>
        </is>
      </c>
      <c r="E2992" s="7" t="inlineStr">
        <is>
          <t>C</t>
        </is>
      </c>
      <c r="F2992" s="13" t="n">
        <v>1</v>
      </c>
      <c r="G2992" s="13" t="n">
        <v>1</v>
      </c>
      <c r="H2992" s="8" t="n"/>
      <c r="I2992" s="8" t="n"/>
      <c r="J2992" s="8" t="n"/>
      <c r="K2992" s="8" t="n"/>
      <c r="L2992" s="8" t="n"/>
      <c r="M2992" s="8" t="n"/>
      <c r="N2992" s="8" t="n"/>
      <c r="O2992" s="8" t="n"/>
      <c r="P2992" s="8" t="n"/>
      <c r="Q2992" s="8" t="n"/>
      <c r="R2992" s="8" t="n"/>
      <c r="S2992" s="8" t="n"/>
      <c r="T2992" s="7" t="inlineStr">
        <is>
          <t>SEM COTAÇÃO</t>
        </is>
      </c>
      <c r="U2992" s="8" t="n"/>
      <c r="V2992" s="14" t="n"/>
      <c r="W2992" s="14" t="n"/>
      <c r="X2992" s="7" t="inlineStr"/>
      <c r="Y2992" s="7" t="inlineStr"/>
    </row>
    <row r="2993">
      <c r="A2993" s="7" t="n">
        <v>615761</v>
      </c>
      <c r="B2993" s="12" t="inlineStr">
        <is>
          <t>070847033301</t>
        </is>
      </c>
      <c r="C2993" s="7" t="inlineStr">
        <is>
          <t>MONSTER MANGO LOCO LATA 473ML</t>
        </is>
      </c>
      <c r="D2993" s="7" t="inlineStr">
        <is>
          <t>BEBIDAS GERAL</t>
        </is>
      </c>
      <c r="E2993" s="7" t="inlineStr">
        <is>
          <t>A</t>
        </is>
      </c>
      <c r="F2993" s="13" t="n">
        <v>18</v>
      </c>
      <c r="G2993" s="13" t="n">
        <v>18</v>
      </c>
      <c r="H2993" s="8" t="n">
        <v>7.975</v>
      </c>
      <c r="I2993" s="8" t="n">
        <v>7.9722</v>
      </c>
      <c r="J2993" s="8" t="n">
        <v>7.9736</v>
      </c>
      <c r="K2993" s="8" t="n"/>
      <c r="L2993" s="8" t="n"/>
      <c r="M2993" s="8" t="n"/>
      <c r="N2993" s="8" t="n"/>
      <c r="O2993" s="8" t="n"/>
      <c r="P2993" s="8" t="n"/>
      <c r="Q2993" s="8" t="n"/>
      <c r="R2993" s="8" t="n"/>
      <c r="S2993" s="8" t="n"/>
      <c r="T2993" s="7" t="inlineStr">
        <is>
          <t>SEM COTAÇÃO</t>
        </is>
      </c>
      <c r="U2993" s="8" t="n"/>
      <c r="V2993" s="14" t="n"/>
      <c r="W2993" s="14" t="n"/>
      <c r="X2993" s="7" t="inlineStr"/>
      <c r="Y2993" s="7" t="inlineStr"/>
    </row>
    <row r="2994">
      <c r="A2994" s="7" t="n">
        <v>615771</v>
      </c>
      <c r="B2994" s="12" t="inlineStr">
        <is>
          <t>1220000250147</t>
        </is>
      </c>
      <c r="C2994" s="7" t="inlineStr">
        <is>
          <t>MONSTER ORANGE KHAOTIC 473ML</t>
        </is>
      </c>
      <c r="D2994" s="7" t="inlineStr">
        <is>
          <t>BEBIDAS GERAL</t>
        </is>
      </c>
      <c r="E2994" s="7" t="inlineStr">
        <is>
          <t>C</t>
        </is>
      </c>
      <c r="F2994" s="13" t="n">
        <v>1</v>
      </c>
      <c r="G2994" s="13" t="n">
        <v>1</v>
      </c>
      <c r="H2994" s="8" t="n">
        <v>7.59</v>
      </c>
      <c r="I2994" s="8" t="n">
        <v>7.59</v>
      </c>
      <c r="J2994" s="8" t="n">
        <v>7.59</v>
      </c>
      <c r="K2994" s="8" t="n"/>
      <c r="L2994" s="8" t="n"/>
      <c r="M2994" s="8" t="n"/>
      <c r="N2994" s="8" t="n"/>
      <c r="O2994" s="8" t="n"/>
      <c r="P2994" s="8" t="n"/>
      <c r="Q2994" s="8" t="n"/>
      <c r="R2994" s="8" t="n"/>
      <c r="S2994" s="8" t="n"/>
      <c r="T2994" s="7" t="inlineStr">
        <is>
          <t>SEM COTAÇÃO</t>
        </is>
      </c>
      <c r="U2994" s="8" t="n"/>
      <c r="V2994" s="14" t="n"/>
      <c r="W2994" s="14" t="n"/>
      <c r="X2994" s="7" t="inlineStr"/>
      <c r="Y2994" s="7" t="inlineStr"/>
    </row>
    <row r="2995">
      <c r="A2995" s="7" t="n">
        <v>256161</v>
      </c>
      <c r="B2995" s="12" t="inlineStr"/>
      <c r="C2995" s="7" t="inlineStr">
        <is>
          <t>MONURIL 5,631G GRAN ENV 8G</t>
        </is>
      </c>
      <c r="D2995" s="7" t="inlineStr">
        <is>
          <t>RX - REFERENCIA - ATB</t>
        </is>
      </c>
      <c r="E2995" s="7" t="inlineStr">
        <is>
          <t>A</t>
        </is>
      </c>
      <c r="F2995" s="13" t="n">
        <v>1</v>
      </c>
      <c r="G2995" s="13" t="n">
        <v>1</v>
      </c>
      <c r="H2995" s="8" t="n">
        <v>69.98999999999999</v>
      </c>
      <c r="I2995" s="8" t="n">
        <v>48.905</v>
      </c>
      <c r="J2995" s="8" t="n">
        <v>51.36333333333334</v>
      </c>
      <c r="K2995" s="8" t="n"/>
      <c r="L2995" s="8" t="n"/>
      <c r="M2995" s="8" t="n"/>
      <c r="N2995" s="8" t="n"/>
      <c r="O2995" s="8" t="n"/>
      <c r="P2995" s="8" t="n"/>
      <c r="Q2995" s="8" t="n"/>
      <c r="R2995" s="8" t="n"/>
      <c r="S2995" s="8" t="n"/>
      <c r="T2995" s="7" t="inlineStr">
        <is>
          <t>SEM COTAÇÃO</t>
        </is>
      </c>
      <c r="U2995" s="8" t="n"/>
      <c r="V2995" s="14" t="n"/>
      <c r="W2995" s="14" t="n"/>
      <c r="X2995" s="7" t="inlineStr"/>
      <c r="Y2995" s="7" t="inlineStr"/>
    </row>
    <row r="2996">
      <c r="A2996" s="7" t="n">
        <v>256181</v>
      </c>
      <c r="B2996" s="12" t="inlineStr"/>
      <c r="C2996" s="7" t="inlineStr">
        <is>
          <t>MONURIL 5,631GR GRAN 2 ENV X 8GR</t>
        </is>
      </c>
      <c r="D2996" s="7" t="inlineStr">
        <is>
          <t>RX - REFERENCIA - ATB</t>
        </is>
      </c>
      <c r="E2996" s="7" t="inlineStr">
        <is>
          <t>B</t>
        </is>
      </c>
      <c r="F2996" s="13" t="n">
        <v>1</v>
      </c>
      <c r="G2996" s="13" t="n">
        <v>1</v>
      </c>
      <c r="H2996" s="8" t="n">
        <v>55.0288</v>
      </c>
      <c r="I2996" s="8" t="n">
        <v>47.835</v>
      </c>
      <c r="J2996" s="8" t="n">
        <v>52.63086666666666</v>
      </c>
      <c r="K2996" s="8" t="n"/>
      <c r="L2996" s="8" t="n"/>
      <c r="M2996" s="8" t="n"/>
      <c r="N2996" s="8" t="n"/>
      <c r="O2996" s="8" t="n"/>
      <c r="P2996" s="8" t="n"/>
      <c r="Q2996" s="8" t="n"/>
      <c r="R2996" s="8" t="n"/>
      <c r="S2996" s="8" t="n"/>
      <c r="T2996" s="7" t="inlineStr">
        <is>
          <t>SEM COTAÇÃO</t>
        </is>
      </c>
      <c r="U2996" s="8" t="n"/>
      <c r="V2996" s="14" t="n"/>
      <c r="W2996" s="14" t="n"/>
      <c r="X2996" s="7" t="inlineStr"/>
      <c r="Y2996" s="7" t="inlineStr"/>
    </row>
    <row r="2997">
      <c r="A2997" s="7" t="n">
        <v>674691</v>
      </c>
      <c r="B2997" s="12" t="inlineStr">
        <is>
          <t>7908103749839</t>
        </is>
      </c>
      <c r="C2997" s="7" t="inlineStr">
        <is>
          <t>MORDEDOR C/ AGUA CORUJA ROSA</t>
        </is>
      </c>
      <c r="D2997" s="7" t="inlineStr">
        <is>
          <t>UTENSILIOS</t>
        </is>
      </c>
      <c r="E2997" s="7" t="inlineStr">
        <is>
          <t>C</t>
        </is>
      </c>
      <c r="F2997" s="13" t="n">
        <v>1</v>
      </c>
      <c r="G2997" s="13" t="n">
        <v>1</v>
      </c>
      <c r="H2997" s="8" t="n">
        <v>10.18</v>
      </c>
      <c r="I2997" s="8" t="n">
        <v>10.18</v>
      </c>
      <c r="J2997" s="8" t="n">
        <v>10.18</v>
      </c>
      <c r="K2997" s="8" t="n"/>
      <c r="L2997" s="8" t="n"/>
      <c r="M2997" s="8" t="n"/>
      <c r="N2997" s="8" t="n"/>
      <c r="O2997" s="8" t="n"/>
      <c r="P2997" s="8" t="n"/>
      <c r="Q2997" s="8" t="n"/>
      <c r="R2997" s="8" t="n"/>
      <c r="S2997" s="8" t="n"/>
      <c r="T2997" s="7" t="inlineStr">
        <is>
          <t>SEM COTAÇÃO</t>
        </is>
      </c>
      <c r="U2997" s="8" t="n"/>
      <c r="V2997" s="14" t="n"/>
      <c r="W2997" s="14" t="n"/>
      <c r="X2997" s="7" t="inlineStr"/>
      <c r="Y2997" s="7" t="inlineStr"/>
    </row>
    <row r="2998">
      <c r="A2998" s="7" t="n">
        <v>632221</v>
      </c>
      <c r="B2998" s="12" t="inlineStr">
        <is>
          <t>7896054080678</t>
        </is>
      </c>
      <c r="C2998" s="7" t="inlineStr">
        <is>
          <t>MORDEDOR C/AGUA PRINCESAS/8067</t>
        </is>
      </c>
      <c r="D2998" s="7" t="inlineStr">
        <is>
          <t>BABY/KIDS</t>
        </is>
      </c>
      <c r="E2998" s="7" t="inlineStr">
        <is>
          <t>C</t>
        </is>
      </c>
      <c r="F2998" s="13" t="n">
        <v>1</v>
      </c>
      <c r="G2998" s="13" t="n">
        <v>1</v>
      </c>
      <c r="H2998" s="8" t="n">
        <v>14.42</v>
      </c>
      <c r="I2998" s="8" t="n">
        <v>14.42</v>
      </c>
      <c r="J2998" s="8" t="n">
        <v>14.42</v>
      </c>
      <c r="K2998" s="8" t="n"/>
      <c r="L2998" s="8" t="n"/>
      <c r="M2998" s="8" t="n"/>
      <c r="N2998" s="8" t="n"/>
      <c r="O2998" s="8" t="n"/>
      <c r="P2998" s="8" t="n"/>
      <c r="Q2998" s="8" t="n"/>
      <c r="R2998" s="8" t="n"/>
      <c r="S2998" s="8" t="n"/>
      <c r="T2998" s="7" t="inlineStr">
        <is>
          <t>SEM COTAÇÃO</t>
        </is>
      </c>
      <c r="U2998" s="8" t="n"/>
      <c r="V2998" s="14" t="n"/>
      <c r="W2998" s="14" t="n"/>
      <c r="X2998" s="7" t="inlineStr"/>
      <c r="Y2998" s="7" t="inlineStr"/>
    </row>
    <row r="2999">
      <c r="A2999" s="7" t="n">
        <v>659981</v>
      </c>
      <c r="B2999" s="12" t="inlineStr">
        <is>
          <t>7896699025263</t>
        </is>
      </c>
      <c r="C2999" s="7" t="inlineStr">
        <is>
          <t>MORDEDOR PEIXE M - LOLLY</t>
        </is>
      </c>
      <c r="D2999" s="7" t="inlineStr">
        <is>
          <t>BABY/KIDS</t>
        </is>
      </c>
      <c r="E2999" s="7" t="inlineStr">
        <is>
          <t>B</t>
        </is>
      </c>
      <c r="F2999" s="13" t="n">
        <v>1</v>
      </c>
      <c r="G2999" s="13" t="n">
        <v>1</v>
      </c>
      <c r="H2999" s="8" t="n">
        <v>6.49</v>
      </c>
      <c r="I2999" s="8" t="n">
        <v>5.04</v>
      </c>
      <c r="J2999" s="8" t="n">
        <v>5.97</v>
      </c>
      <c r="K2999" s="8" t="n"/>
      <c r="L2999" s="8" t="n"/>
      <c r="M2999" s="8" t="n"/>
      <c r="N2999" s="8" t="n"/>
      <c r="O2999" s="8" t="n"/>
      <c r="P2999" s="8" t="n"/>
      <c r="Q2999" s="8" t="n"/>
      <c r="R2999" s="8" t="n"/>
      <c r="S2999" s="8" t="n"/>
      <c r="T2999" s="7" t="inlineStr">
        <is>
          <t>SEM COTAÇÃO</t>
        </is>
      </c>
      <c r="U2999" s="8" t="n"/>
      <c r="V2999" s="14" t="n"/>
      <c r="W2999" s="14" t="n"/>
      <c r="X2999" s="7" t="inlineStr"/>
      <c r="Y2999" s="7" t="inlineStr"/>
    </row>
    <row r="3000">
      <c r="A3000" s="7" t="n">
        <v>229001</v>
      </c>
      <c r="B3000" s="12" t="inlineStr">
        <is>
          <t>7896212429738</t>
        </is>
      </c>
      <c r="C3000" s="7" t="inlineStr">
        <is>
          <t>MOTILIUM 10MG CX 30 COMP</t>
        </is>
      </c>
      <c r="D3000" s="7" t="inlineStr">
        <is>
          <t>RX</t>
        </is>
      </c>
      <c r="E3000" s="7" t="inlineStr">
        <is>
          <t>B</t>
        </is>
      </c>
      <c r="F3000" s="13" t="n">
        <v>5</v>
      </c>
      <c r="G3000" s="13" t="n">
        <v>5</v>
      </c>
      <c r="H3000" s="8" t="n">
        <v>28.63</v>
      </c>
      <c r="I3000" s="8" t="n">
        <v>27.02</v>
      </c>
      <c r="J3000" s="8" t="n">
        <v>27.89666666666666</v>
      </c>
      <c r="K3000" s="8" t="n"/>
      <c r="L3000" s="8" t="n"/>
      <c r="M3000" s="8" t="n"/>
      <c r="N3000" s="8" t="n"/>
      <c r="O3000" s="8" t="n"/>
      <c r="P3000" s="15" t="n">
        <v>27.88</v>
      </c>
      <c r="Q3000" s="8" t="n"/>
      <c r="R3000" s="8" t="n"/>
      <c r="S3000" s="8" t="n"/>
      <c r="T3000" s="7" t="inlineStr">
        <is>
          <t>NAZARIA</t>
        </is>
      </c>
      <c r="U3000" s="8" t="n">
        <v>27.88</v>
      </c>
      <c r="V3000" s="14">
        <f>U3000/J3000-1</f>
        <v/>
      </c>
      <c r="W3000" s="14">
        <f>U3000/H3000-1</f>
        <v/>
      </c>
      <c r="X3000" s="17" t="inlineStr">
        <is>
          <t>OK (≤ últ. compra)</t>
        </is>
      </c>
      <c r="Y3000" s="7" t="inlineStr">
        <is>
          <t>NAZARIA: estoque parcial (1 un); preços divergentes entre EANs (usado menor)</t>
        </is>
      </c>
    </row>
    <row r="3001">
      <c r="A3001" s="7" t="n">
        <v>663471</v>
      </c>
      <c r="B3001" s="12" t="inlineStr">
        <is>
          <t>7898767820244</t>
        </is>
      </c>
      <c r="C3001" s="7" t="inlineStr">
        <is>
          <t>MOUSSE FACIAL VITAMINA C 150ML LOVELY</t>
        </is>
      </c>
      <c r="D3001" s="7" t="inlineStr">
        <is>
          <t>DERMATOLOGICO</t>
        </is>
      </c>
      <c r="E3001" s="7" t="inlineStr">
        <is>
          <t>C</t>
        </is>
      </c>
      <c r="F3001" s="13" t="n">
        <v>1</v>
      </c>
      <c r="G3001" s="13" t="n">
        <v>1</v>
      </c>
      <c r="H3001" s="8" t="n">
        <v>16.57</v>
      </c>
      <c r="I3001" s="8" t="n">
        <v>16.57</v>
      </c>
      <c r="J3001" s="8" t="n">
        <v>16.57</v>
      </c>
      <c r="K3001" s="8" t="n"/>
      <c r="L3001" s="8" t="n"/>
      <c r="M3001" s="8" t="n"/>
      <c r="N3001" s="8" t="n"/>
      <c r="O3001" s="8" t="n"/>
      <c r="P3001" s="8" t="n"/>
      <c r="Q3001" s="8" t="n"/>
      <c r="R3001" s="8" t="n"/>
      <c r="S3001" s="8" t="n"/>
      <c r="T3001" s="7" t="inlineStr">
        <is>
          <t>SEM COTAÇÃO</t>
        </is>
      </c>
      <c r="U3001" s="8" t="n"/>
      <c r="V3001" s="14" t="n"/>
      <c r="W3001" s="14" t="n"/>
      <c r="X3001" s="7" t="inlineStr"/>
      <c r="Y3001" s="7" t="inlineStr"/>
    </row>
    <row r="3002">
      <c r="A3002" s="7" t="n">
        <v>654541</v>
      </c>
      <c r="B3002" s="12" t="inlineStr">
        <is>
          <t>7898449400641</t>
        </is>
      </c>
      <c r="C3002" s="7" t="inlineStr">
        <is>
          <t>MOUSSE MICELAR ANTI OLEOSIDADE 150ML CX/12 - PHALLEBEAUTY</t>
        </is>
      </c>
      <c r="D3002" s="7" t="inlineStr">
        <is>
          <t>FITOTERAPICO</t>
        </is>
      </c>
      <c r="E3002" s="7" t="inlineStr">
        <is>
          <t>C</t>
        </is>
      </c>
      <c r="F3002" s="13" t="n">
        <v>1</v>
      </c>
      <c r="G3002" s="13" t="n">
        <v>1</v>
      </c>
      <c r="H3002" s="8" t="n">
        <v>13.98</v>
      </c>
      <c r="I3002" s="8" t="n">
        <v>13.98</v>
      </c>
      <c r="J3002" s="8" t="n">
        <v>13.98</v>
      </c>
      <c r="K3002" s="8" t="n"/>
      <c r="L3002" s="8" t="n"/>
      <c r="M3002" s="8" t="n"/>
      <c r="N3002" s="8" t="n"/>
      <c r="O3002" s="8" t="n"/>
      <c r="P3002" s="8" t="n"/>
      <c r="Q3002" s="8" t="n"/>
      <c r="R3002" s="8" t="n"/>
      <c r="S3002" s="8" t="n"/>
      <c r="T3002" s="7" t="inlineStr">
        <is>
          <t>SEM COTAÇÃO</t>
        </is>
      </c>
      <c r="U3002" s="8" t="n"/>
      <c r="V3002" s="14" t="n"/>
      <c r="W3002" s="14" t="n"/>
      <c r="X3002" s="7" t="inlineStr"/>
      <c r="Y3002" s="7" t="inlineStr"/>
    </row>
    <row r="3003">
      <c r="A3003" s="7" t="n">
        <v>654531</v>
      </c>
      <c r="B3003" s="12" t="inlineStr">
        <is>
          <t>7898449400634</t>
        </is>
      </c>
      <c r="C3003" s="7" t="inlineStr">
        <is>
          <t>MOUSSE MICELAR ROSA MOSQUETA 150ML</t>
        </is>
      </c>
      <c r="D3003" s="7" t="inlineStr">
        <is>
          <t>PERF/COSME</t>
        </is>
      </c>
      <c r="E3003" s="7" t="inlineStr">
        <is>
          <t>C</t>
        </is>
      </c>
      <c r="F3003" s="13" t="n">
        <v>1</v>
      </c>
      <c r="G3003" s="13" t="n">
        <v>1</v>
      </c>
      <c r="H3003" s="8" t="n">
        <v>13.98</v>
      </c>
      <c r="I3003" s="8" t="n">
        <v>13.98</v>
      </c>
      <c r="J3003" s="8" t="n">
        <v>13.98</v>
      </c>
      <c r="K3003" s="8" t="n"/>
      <c r="L3003" s="8" t="n"/>
      <c r="M3003" s="8" t="n"/>
      <c r="N3003" s="8" t="n"/>
      <c r="O3003" s="8" t="n"/>
      <c r="P3003" s="8" t="n"/>
      <c r="Q3003" s="8" t="n"/>
      <c r="R3003" s="8" t="n"/>
      <c r="S3003" s="8" t="n"/>
      <c r="T3003" s="7" t="inlineStr">
        <is>
          <t>SEM COTAÇÃO</t>
        </is>
      </c>
      <c r="U3003" s="8" t="n"/>
      <c r="V3003" s="14" t="n"/>
      <c r="W3003" s="14" t="n"/>
      <c r="X3003" s="7" t="inlineStr"/>
      <c r="Y3003" s="7" t="inlineStr"/>
    </row>
    <row r="3004">
      <c r="A3004" s="7" t="n">
        <v>663931</v>
      </c>
      <c r="B3004" s="12" t="inlineStr"/>
      <c r="C3004" s="7" t="inlineStr">
        <is>
          <t>MUCILON  MULTICEREAIS LATA 400G BR</t>
        </is>
      </c>
      <c r="D3004" s="7" t="inlineStr">
        <is>
          <t>ALIMENTOS LACTEOS, DERIVADOS E SIMILARES</t>
        </is>
      </c>
      <c r="E3004" s="7" t="inlineStr">
        <is>
          <t>C</t>
        </is>
      </c>
      <c r="F3004" s="13" t="n">
        <v>1</v>
      </c>
      <c r="G3004" s="13" t="n">
        <v>1</v>
      </c>
      <c r="H3004" s="8" t="n">
        <v>14.0028</v>
      </c>
      <c r="I3004" s="8" t="n">
        <v>14.0028</v>
      </c>
      <c r="J3004" s="8" t="n">
        <v>14.0028</v>
      </c>
      <c r="K3004" s="8" t="n"/>
      <c r="L3004" s="8" t="n"/>
      <c r="M3004" s="8" t="n"/>
      <c r="N3004" s="8" t="n"/>
      <c r="O3004" s="8" t="n"/>
      <c r="P3004" s="8" t="n"/>
      <c r="Q3004" s="8" t="n"/>
      <c r="R3004" s="8" t="n"/>
      <c r="S3004" s="8" t="n"/>
      <c r="T3004" s="7" t="inlineStr">
        <is>
          <t>SEM COTAÇÃO</t>
        </is>
      </c>
      <c r="U3004" s="8" t="n"/>
      <c r="V3004" s="14" t="n"/>
      <c r="W3004" s="14" t="n"/>
      <c r="X3004" s="7" t="inlineStr"/>
      <c r="Y3004" s="7" t="inlineStr"/>
    </row>
    <row r="3005">
      <c r="A3005" s="7" t="n">
        <v>597231</v>
      </c>
      <c r="B3005" s="12" t="inlineStr">
        <is>
          <t>7891000113295</t>
        </is>
      </c>
      <c r="C3005" s="7" t="inlineStr">
        <is>
          <t>MUCILON AMEIXA E AVEIA 180G</t>
        </is>
      </c>
      <c r="D3005" s="7" t="inlineStr">
        <is>
          <t>ALIMENTOS LACTEOS, DERIVADOS E SIMILARES</t>
        </is>
      </c>
      <c r="E3005" s="7" t="inlineStr">
        <is>
          <t>C</t>
        </is>
      </c>
      <c r="F3005" s="13" t="n">
        <v>1</v>
      </c>
      <c r="G3005" s="13" t="n">
        <v>5</v>
      </c>
      <c r="H3005" s="8" t="n">
        <v>5.6725</v>
      </c>
      <c r="I3005" s="8" t="n">
        <v>5.6725</v>
      </c>
      <c r="J3005" s="8" t="n">
        <v>5.6725</v>
      </c>
      <c r="K3005" s="8" t="n"/>
      <c r="L3005" s="8" t="n"/>
      <c r="M3005" s="8" t="n"/>
      <c r="N3005" s="8" t="n"/>
      <c r="O3005" s="8" t="n"/>
      <c r="P3005" s="8" t="n"/>
      <c r="Q3005" s="8" t="n"/>
      <c r="R3005" s="8" t="n"/>
      <c r="S3005" s="8" t="n"/>
      <c r="T3005" s="7" t="inlineStr">
        <is>
          <t>SEM COTAÇÃO</t>
        </is>
      </c>
      <c r="U3005" s="8" t="n"/>
      <c r="V3005" s="14" t="n"/>
      <c r="W3005" s="14" t="n"/>
      <c r="X3005" s="7" t="inlineStr"/>
      <c r="Y3005" s="7" t="inlineStr"/>
    </row>
    <row r="3006">
      <c r="A3006" s="7" t="n">
        <v>590331</v>
      </c>
      <c r="B3006" s="12" t="inlineStr"/>
      <c r="C3006" s="7" t="inlineStr">
        <is>
          <t>MUCILON ARROZ AVEIA SACHE 180G</t>
        </is>
      </c>
      <c r="D3006" s="7" t="inlineStr">
        <is>
          <t>ALIMENTOS LACTEOS, DERIVADOS E SIMILARES</t>
        </is>
      </c>
      <c r="E3006" s="7" t="inlineStr">
        <is>
          <t>B</t>
        </is>
      </c>
      <c r="F3006" s="13" t="n">
        <v>1</v>
      </c>
      <c r="G3006" s="13" t="n">
        <v>1</v>
      </c>
      <c r="H3006" s="8" t="n">
        <v>6.74</v>
      </c>
      <c r="I3006" s="8" t="n">
        <v>6.0358</v>
      </c>
      <c r="J3006" s="8" t="n">
        <v>6.1736</v>
      </c>
      <c r="K3006" s="8" t="n"/>
      <c r="L3006" s="8" t="n"/>
      <c r="M3006" s="8" t="n"/>
      <c r="N3006" s="8" t="n"/>
      <c r="O3006" s="8" t="n"/>
      <c r="P3006" s="8" t="n"/>
      <c r="Q3006" s="8" t="n"/>
      <c r="R3006" s="8" t="n"/>
      <c r="S3006" s="8" t="n"/>
      <c r="T3006" s="7" t="inlineStr">
        <is>
          <t>SEM COTAÇÃO</t>
        </is>
      </c>
      <c r="U3006" s="8" t="n"/>
      <c r="V3006" s="14" t="n"/>
      <c r="W3006" s="14" t="n"/>
      <c r="X3006" s="7" t="inlineStr"/>
      <c r="Y3006" s="7" t="inlineStr"/>
    </row>
    <row r="3007">
      <c r="A3007" s="7" t="n">
        <v>672781</v>
      </c>
      <c r="B3007" s="12" t="inlineStr">
        <is>
          <t>7891000319598</t>
        </is>
      </c>
      <c r="C3007" s="7" t="inlineStr">
        <is>
          <t>MUCILON MILHO SACHET 12X180G BR</t>
        </is>
      </c>
      <c r="D3007" s="7" t="inlineStr">
        <is>
          <t>ALIMENTOS LACTEOS, DERIVADOS E SIMILARES</t>
        </is>
      </c>
      <c r="E3007" s="7" t="inlineStr">
        <is>
          <t>B</t>
        </is>
      </c>
      <c r="F3007" s="13" t="n">
        <v>1</v>
      </c>
      <c r="G3007" s="13" t="n">
        <v>1</v>
      </c>
      <c r="H3007" s="8" t="n">
        <v>6.1883</v>
      </c>
      <c r="I3007" s="8" t="n">
        <v>6.0358</v>
      </c>
      <c r="J3007" s="8" t="n">
        <v>6.137466666666666</v>
      </c>
      <c r="K3007" s="8" t="n"/>
      <c r="L3007" s="8" t="n"/>
      <c r="M3007" s="8" t="n"/>
      <c r="N3007" s="8" t="n"/>
      <c r="O3007" s="8" t="n"/>
      <c r="P3007" s="15" t="n">
        <v>7.46</v>
      </c>
      <c r="Q3007" s="8" t="n"/>
      <c r="R3007" s="8" t="n"/>
      <c r="S3007" s="8" t="n"/>
      <c r="T3007" s="7" t="inlineStr">
        <is>
          <t>NAZARIA</t>
        </is>
      </c>
      <c r="U3007" s="8" t="n">
        <v>7.46</v>
      </c>
      <c r="V3007" s="14">
        <f>U3007/J3007-1</f>
        <v/>
      </c>
      <c r="W3007" s="14">
        <f>U3007/H3007-1</f>
        <v/>
      </c>
      <c r="X3007" s="16" t="inlineStr">
        <is>
          <t>ACIMA +20.6%</t>
        </is>
      </c>
      <c r="Y3007" s="7" t="inlineStr"/>
    </row>
    <row r="3008">
      <c r="A3008" s="7" t="n">
        <v>590091</v>
      </c>
      <c r="B3008" s="12" t="inlineStr">
        <is>
          <t>7891000035832</t>
        </is>
      </c>
      <c r="C3008" s="7" t="inlineStr">
        <is>
          <t>MUCILON MULTICEREAIS LATA 18X400G BR</t>
        </is>
      </c>
      <c r="D3008" s="7" t="inlineStr">
        <is>
          <t>ALIMENTOS LACTEOS, DERIVADOS E SIMILARES</t>
        </is>
      </c>
      <c r="E3008" s="7" t="inlineStr">
        <is>
          <t>C</t>
        </is>
      </c>
      <c r="F3008" s="13" t="n">
        <v>2</v>
      </c>
      <c r="G3008" s="13" t="n">
        <v>2</v>
      </c>
      <c r="H3008" s="8" t="n">
        <v>14.0717</v>
      </c>
      <c r="I3008" s="8" t="n">
        <v>14.0717</v>
      </c>
      <c r="J3008" s="8" t="n">
        <v>14.0717</v>
      </c>
      <c r="K3008" s="8" t="n"/>
      <c r="L3008" s="8" t="n"/>
      <c r="M3008" s="8" t="n"/>
      <c r="N3008" s="8" t="n"/>
      <c r="O3008" s="8" t="n"/>
      <c r="P3008" s="8" t="n"/>
      <c r="Q3008" s="8" t="n"/>
      <c r="R3008" s="8" t="n"/>
      <c r="S3008" s="8" t="n"/>
      <c r="T3008" s="7" t="inlineStr">
        <is>
          <t>SEM COTAÇÃO</t>
        </is>
      </c>
      <c r="U3008" s="8" t="n"/>
      <c r="V3008" s="14" t="n"/>
      <c r="W3008" s="14" t="n"/>
      <c r="X3008" s="7" t="inlineStr"/>
      <c r="Y3008" s="7" t="inlineStr"/>
    </row>
    <row r="3009">
      <c r="A3009" s="7" t="n">
        <v>653801</v>
      </c>
      <c r="B3009" s="12" t="inlineStr">
        <is>
          <t>17891000356903</t>
        </is>
      </c>
      <c r="C3009" s="7" t="inlineStr">
        <is>
          <t>MUCILON MULTICEREAIS SACHET 9X360G BR</t>
        </is>
      </c>
      <c r="D3009" s="7" t="inlineStr">
        <is>
          <t>ALIMENTOS LACTEOS, DERIVADOS E SIMILARES</t>
        </is>
      </c>
      <c r="E3009" s="7" t="inlineStr">
        <is>
          <t>C</t>
        </is>
      </c>
      <c r="F3009" s="13" t="n">
        <v>1</v>
      </c>
      <c r="G3009" s="13" t="n">
        <v>1</v>
      </c>
      <c r="H3009" s="8" t="n">
        <v>10.7444</v>
      </c>
      <c r="I3009" s="8" t="n">
        <v>10.7444</v>
      </c>
      <c r="J3009" s="8" t="n">
        <v>10.7444</v>
      </c>
      <c r="K3009" s="8" t="n"/>
      <c r="L3009" s="8" t="n"/>
      <c r="M3009" s="8" t="n"/>
      <c r="N3009" s="8" t="n"/>
      <c r="O3009" s="8" t="n"/>
      <c r="P3009" s="8" t="n"/>
      <c r="Q3009" s="8" t="n"/>
      <c r="R3009" s="8" t="n"/>
      <c r="S3009" s="8" t="n"/>
      <c r="T3009" s="7" t="inlineStr">
        <is>
          <t>SEM COTAÇÃO</t>
        </is>
      </c>
      <c r="U3009" s="8" t="n"/>
      <c r="V3009" s="14" t="n"/>
      <c r="W3009" s="14" t="n"/>
      <c r="X3009" s="7" t="inlineStr"/>
      <c r="Y3009" s="7" t="inlineStr"/>
    </row>
    <row r="3010">
      <c r="A3010" s="7" t="n">
        <v>590141</v>
      </c>
      <c r="B3010" s="12" t="inlineStr">
        <is>
          <t>7891000086131</t>
        </is>
      </c>
      <c r="C3010" s="7" t="inlineStr">
        <is>
          <t>MUCILON MULTICEREAIS SACHET 9X600G BR</t>
        </is>
      </c>
      <c r="D3010" s="7" t="inlineStr">
        <is>
          <t>ALIMENTOS LACTEOS, DERIVADOS E SIMILARES</t>
        </is>
      </c>
      <c r="E3010" s="7" t="inlineStr">
        <is>
          <t>A</t>
        </is>
      </c>
      <c r="F3010" s="13" t="n">
        <v>1</v>
      </c>
      <c r="G3010" s="13" t="n">
        <v>5</v>
      </c>
      <c r="H3010" s="8" t="n">
        <v>19.5189</v>
      </c>
      <c r="I3010" s="8" t="n">
        <v>18.7089</v>
      </c>
      <c r="J3010" s="8" t="n">
        <v>19.1363</v>
      </c>
      <c r="K3010" s="8" t="n"/>
      <c r="L3010" s="8" t="n"/>
      <c r="M3010" s="8" t="n"/>
      <c r="N3010" s="8" t="n"/>
      <c r="O3010" s="8" t="n"/>
      <c r="P3010" s="15" t="n">
        <v>23.14</v>
      </c>
      <c r="Q3010" s="8" t="n"/>
      <c r="R3010" s="8" t="n"/>
      <c r="S3010" s="8" t="n"/>
      <c r="T3010" s="7" t="inlineStr">
        <is>
          <t>NAZARIA</t>
        </is>
      </c>
      <c r="U3010" s="8" t="n">
        <v>23.14</v>
      </c>
      <c r="V3010" s="14">
        <f>U3010/J3010-1</f>
        <v/>
      </c>
      <c r="W3010" s="14">
        <f>U3010/H3010-1</f>
        <v/>
      </c>
      <c r="X3010" s="16" t="inlineStr">
        <is>
          <t>ACIMA +18.6%</t>
        </is>
      </c>
      <c r="Y3010" s="7" t="inlineStr"/>
    </row>
    <row r="3011">
      <c r="A3011" s="7" t="n">
        <v>609671</v>
      </c>
      <c r="B3011" s="12" t="inlineStr">
        <is>
          <t>7891000383063</t>
        </is>
      </c>
      <c r="C3011" s="7" t="inlineStr">
        <is>
          <t>MUCILON PIPOQUINHA MILHO 35G</t>
        </is>
      </c>
      <c r="D3011" s="7" t="inlineStr">
        <is>
          <t>ALIMENTOS LACTEOS, DERIVADOS E SIMILARES</t>
        </is>
      </c>
      <c r="E3011" s="7" t="inlineStr">
        <is>
          <t>C</t>
        </is>
      </c>
      <c r="F3011" s="13" t="n">
        <v>1</v>
      </c>
      <c r="G3011" s="13" t="n">
        <v>1</v>
      </c>
      <c r="H3011" s="8" t="n">
        <v>4.28</v>
      </c>
      <c r="I3011" s="8" t="n">
        <v>4.28</v>
      </c>
      <c r="J3011" s="8" t="n">
        <v>4.28</v>
      </c>
      <c r="K3011" s="8" t="n"/>
      <c r="L3011" s="8" t="n"/>
      <c r="M3011" s="8" t="n"/>
      <c r="N3011" s="8" t="n"/>
      <c r="O3011" s="8" t="n"/>
      <c r="P3011" s="15" t="n">
        <v>5.01</v>
      </c>
      <c r="Q3011" s="8" t="n"/>
      <c r="R3011" s="8" t="n"/>
      <c r="S3011" s="8" t="n"/>
      <c r="T3011" s="7" t="inlineStr">
        <is>
          <t>NAZARIA</t>
        </is>
      </c>
      <c r="U3011" s="8" t="n">
        <v>5.01</v>
      </c>
      <c r="V3011" s="14">
        <f>U3011/J3011-1</f>
        <v/>
      </c>
      <c r="W3011" s="14">
        <f>U3011/H3011-1</f>
        <v/>
      </c>
      <c r="X3011" s="16" t="inlineStr">
        <is>
          <t>ACIMA +17.1%</t>
        </is>
      </c>
      <c r="Y3011" s="7" t="inlineStr"/>
    </row>
    <row r="3012">
      <c r="A3012" s="7" t="n">
        <v>597311</v>
      </c>
      <c r="B3012" s="12" t="inlineStr">
        <is>
          <t>7891000369159</t>
        </is>
      </c>
      <c r="C3012" s="7" t="inlineStr">
        <is>
          <t>MUCILON SNACKS MORANGO &amp; BNA 35G</t>
        </is>
      </c>
      <c r="D3012" s="7" t="inlineStr">
        <is>
          <t>ALIMENTOS LACTEOS, DERIVADOS E SIMILARES</t>
        </is>
      </c>
      <c r="E3012" s="7" t="inlineStr">
        <is>
          <t>C</t>
        </is>
      </c>
      <c r="F3012" s="13" t="n">
        <v>1</v>
      </c>
      <c r="G3012" s="13" t="n">
        <v>3</v>
      </c>
      <c r="H3012" s="8" t="n">
        <v>3.9213</v>
      </c>
      <c r="I3012" s="8" t="n">
        <v>3.9213</v>
      </c>
      <c r="J3012" s="8" t="n">
        <v>3.9213</v>
      </c>
      <c r="K3012" s="8" t="n"/>
      <c r="L3012" s="8" t="n"/>
      <c r="M3012" s="8" t="n"/>
      <c r="N3012" s="8" t="n"/>
      <c r="O3012" s="8" t="n"/>
      <c r="P3012" s="8" t="n">
        <v>5.01</v>
      </c>
      <c r="Q3012" s="8" t="n"/>
      <c r="R3012" s="8" t="n"/>
      <c r="S3012" s="8" t="n"/>
      <c r="T3012" s="7" t="inlineStr">
        <is>
          <t>SEM COTAÇÃO</t>
        </is>
      </c>
      <c r="U3012" s="8" t="n"/>
      <c r="V3012" s="14" t="n"/>
      <c r="W3012" s="14" t="n"/>
      <c r="X3012" s="7" t="inlineStr"/>
      <c r="Y3012" s="7" t="inlineStr">
        <is>
          <t>NAZARIA: sem estoque</t>
        </is>
      </c>
    </row>
    <row r="3013">
      <c r="A3013" s="7" t="n">
        <v>671881</v>
      </c>
      <c r="B3013" s="12" t="inlineStr">
        <is>
          <t>7898322242108</t>
        </is>
      </c>
      <c r="C3013" s="7" t="inlineStr">
        <is>
          <t>MULTIMIX ADT C/ 7 X 10 PAST-DEMAIS PROD</t>
        </is>
      </c>
      <c r="D3013" s="7" t="inlineStr">
        <is>
          <t>RX</t>
        </is>
      </c>
      <c r="E3013" s="7" t="inlineStr">
        <is>
          <t>C</t>
        </is>
      </c>
      <c r="F3013" s="13" t="n">
        <v>1</v>
      </c>
      <c r="G3013" s="13" t="n">
        <v>1</v>
      </c>
      <c r="H3013" s="8" t="n">
        <v>6.0886</v>
      </c>
      <c r="I3013" s="8" t="n">
        <v>6.0886</v>
      </c>
      <c r="J3013" s="8" t="n">
        <v>6.0886</v>
      </c>
      <c r="K3013" s="8" t="n"/>
      <c r="L3013" s="8" t="n"/>
      <c r="M3013" s="8" t="n"/>
      <c r="N3013" s="8" t="n"/>
      <c r="O3013" s="8" t="n"/>
      <c r="P3013" s="8" t="n"/>
      <c r="Q3013" s="8" t="n"/>
      <c r="R3013" s="8" t="n"/>
      <c r="S3013" s="8" t="n"/>
      <c r="T3013" s="7" t="inlineStr">
        <is>
          <t>SEM COTAÇÃO</t>
        </is>
      </c>
      <c r="U3013" s="8" t="n"/>
      <c r="V3013" s="14" t="n"/>
      <c r="W3013" s="14" t="n"/>
      <c r="X3013" s="7" t="inlineStr"/>
      <c r="Y3013" s="7" t="inlineStr"/>
    </row>
    <row r="3014">
      <c r="A3014" s="7" t="n">
        <v>531621</v>
      </c>
      <c r="B3014" s="12" t="inlineStr">
        <is>
          <t>7896472501694</t>
        </is>
      </c>
      <c r="C3014" s="7" t="inlineStr">
        <is>
          <t>MULTISORO INFANTIL 30ML</t>
        </is>
      </c>
      <c r="D3014" s="7" t="inlineStr">
        <is>
          <t>SIMILAR</t>
        </is>
      </c>
      <c r="E3014" s="7" t="inlineStr">
        <is>
          <t>C</t>
        </is>
      </c>
      <c r="F3014" s="13" t="n">
        <v>3</v>
      </c>
      <c r="G3014" s="13" t="n">
        <v>3</v>
      </c>
      <c r="H3014" s="8" t="n">
        <v>2.53</v>
      </c>
      <c r="I3014" s="8" t="n">
        <v>2.53</v>
      </c>
      <c r="J3014" s="8" t="n">
        <v>2.53</v>
      </c>
      <c r="K3014" s="15" t="n">
        <v>2.9</v>
      </c>
      <c r="L3014" s="8" t="n"/>
      <c r="M3014" s="8" t="n"/>
      <c r="N3014" s="8" t="n"/>
      <c r="O3014" s="8" t="n"/>
      <c r="P3014" s="8" t="n"/>
      <c r="Q3014" s="8" t="n">
        <v>3.09</v>
      </c>
      <c r="R3014" s="8" t="n"/>
      <c r="S3014" s="8" t="n"/>
      <c r="T3014" s="7" t="inlineStr">
        <is>
          <t>DIMEC</t>
        </is>
      </c>
      <c r="U3014" s="8" t="n">
        <v>2.9</v>
      </c>
      <c r="V3014" s="14">
        <f>U3014/J3014-1</f>
        <v/>
      </c>
      <c r="W3014" s="14">
        <f>U3014/H3014-1</f>
        <v/>
      </c>
      <c r="X3014" s="16" t="inlineStr">
        <is>
          <t>ACIMA +14.6%</t>
        </is>
      </c>
      <c r="Y3014" s="7" t="inlineStr"/>
    </row>
    <row r="3015">
      <c r="A3015" s="7" t="n">
        <v>661281</v>
      </c>
      <c r="B3015" s="12" t="inlineStr">
        <is>
          <t>0618231028016</t>
        </is>
      </c>
      <c r="C3015" s="7" t="inlineStr">
        <is>
          <t>MULTIVITALE AZ SENIOR FR 60CPS</t>
        </is>
      </c>
      <c r="D3015" s="7" t="inlineStr">
        <is>
          <t>SIMILAR</t>
        </is>
      </c>
      <c r="E3015" s="7" t="inlineStr">
        <is>
          <t>C</t>
        </is>
      </c>
      <c r="F3015" s="13" t="n">
        <v>1</v>
      </c>
      <c r="G3015" s="13" t="n">
        <v>1</v>
      </c>
      <c r="H3015" s="8" t="n">
        <v>18.75</v>
      </c>
      <c r="I3015" s="8" t="n">
        <v>18.75</v>
      </c>
      <c r="J3015" s="8" t="n">
        <v>18.75</v>
      </c>
      <c r="K3015" s="8" t="n"/>
      <c r="L3015" s="8" t="n"/>
      <c r="M3015" s="8" t="n"/>
      <c r="N3015" s="8" t="n"/>
      <c r="O3015" s="8" t="n"/>
      <c r="P3015" s="8" t="n"/>
      <c r="Q3015" s="8" t="n"/>
      <c r="R3015" s="8" t="n"/>
      <c r="S3015" s="8" t="n"/>
      <c r="T3015" s="7" t="inlineStr">
        <is>
          <t>SEM COTAÇÃO</t>
        </is>
      </c>
      <c r="U3015" s="8" t="n"/>
      <c r="V3015" s="14" t="n"/>
      <c r="W3015" s="14" t="n"/>
      <c r="X3015" s="7" t="inlineStr"/>
      <c r="Y3015" s="7" t="inlineStr"/>
    </row>
    <row r="3016">
      <c r="A3016" s="7" t="n">
        <v>661311</v>
      </c>
      <c r="B3016" s="12" t="inlineStr">
        <is>
          <t>0618231034291</t>
        </is>
      </c>
      <c r="C3016" s="7" t="inlineStr">
        <is>
          <t>MULTIVITALE VIT D 2.000UI 60CPS</t>
        </is>
      </c>
      <c r="D3016" s="7" t="inlineStr">
        <is>
          <t>SIMILAR</t>
        </is>
      </c>
      <c r="E3016" s="7" t="inlineStr">
        <is>
          <t>C</t>
        </is>
      </c>
      <c r="F3016" s="13" t="n">
        <v>1</v>
      </c>
      <c r="G3016" s="13" t="n">
        <v>1</v>
      </c>
      <c r="H3016" s="8" t="n">
        <v>18.31</v>
      </c>
      <c r="I3016" s="8" t="n">
        <v>18.31</v>
      </c>
      <c r="J3016" s="8" t="n">
        <v>18.31</v>
      </c>
      <c r="K3016" s="8" t="n"/>
      <c r="L3016" s="8" t="n"/>
      <c r="M3016" s="8" t="n"/>
      <c r="N3016" s="8" t="n"/>
      <c r="O3016" s="8" t="n"/>
      <c r="P3016" s="15" t="n">
        <v>18.31</v>
      </c>
      <c r="Q3016" s="8" t="n"/>
      <c r="R3016" s="8" t="n"/>
      <c r="S3016" s="8" t="n"/>
      <c r="T3016" s="7" t="inlineStr">
        <is>
          <t>NAZARIA</t>
        </is>
      </c>
      <c r="U3016" s="8" t="n">
        <v>18.31</v>
      </c>
      <c r="V3016" s="14">
        <f>U3016/J3016-1</f>
        <v/>
      </c>
      <c r="W3016" s="14">
        <f>U3016/H3016-1</f>
        <v/>
      </c>
      <c r="X3016" s="17" t="inlineStr">
        <is>
          <t>OK (≤ menor hist.)</t>
        </is>
      </c>
      <c r="Y3016" s="7" t="inlineStr"/>
    </row>
    <row r="3017">
      <c r="A3017" s="7" t="n">
        <v>42103</v>
      </c>
      <c r="B3017" s="12" t="inlineStr">
        <is>
          <t>7899811100848</t>
        </is>
      </c>
      <c r="C3017" s="7" t="inlineStr">
        <is>
          <t>MULTYRUB UNGUENTO POTE 40G (MENTOL+CANFO</t>
        </is>
      </c>
      <c r="D3017" s="7" t="inlineStr">
        <is>
          <t>SIMILAR</t>
        </is>
      </c>
      <c r="E3017" s="7" t="inlineStr">
        <is>
          <t>C</t>
        </is>
      </c>
      <c r="F3017" s="13" t="n">
        <v>7</v>
      </c>
      <c r="G3017" s="13" t="n">
        <v>7</v>
      </c>
      <c r="H3017" s="8" t="n">
        <v>6.39</v>
      </c>
      <c r="I3017" s="8" t="n">
        <v>6.39</v>
      </c>
      <c r="J3017" s="8" t="n">
        <v>6.39</v>
      </c>
      <c r="K3017" s="8" t="n"/>
      <c r="L3017" s="8" t="n"/>
      <c r="M3017" s="8" t="n"/>
      <c r="N3017" s="8" t="n"/>
      <c r="O3017" s="8" t="n"/>
      <c r="P3017" s="8" t="n"/>
      <c r="Q3017" s="8" t="n"/>
      <c r="R3017" s="8" t="n"/>
      <c r="S3017" s="8" t="n"/>
      <c r="T3017" s="7" t="inlineStr">
        <is>
          <t>SEM COTAÇÃO</t>
        </is>
      </c>
      <c r="U3017" s="8" t="n"/>
      <c r="V3017" s="14" t="n"/>
      <c r="W3017" s="14" t="n"/>
      <c r="X3017" s="7" t="inlineStr"/>
      <c r="Y3017" s="7" t="inlineStr"/>
    </row>
    <row r="3018">
      <c r="A3018" s="7" t="n">
        <v>4493</v>
      </c>
      <c r="B3018" s="12" t="inlineStr">
        <is>
          <t>7898958556648</t>
        </is>
      </c>
      <c r="C3018" s="7" t="inlineStr">
        <is>
          <t>MUNEVITAN 90CAPS</t>
        </is>
      </c>
      <c r="D3018" s="7" t="inlineStr">
        <is>
          <t>VITAMINA E SIMILARES</t>
        </is>
      </c>
      <c r="E3018" s="7" t="inlineStr">
        <is>
          <t>C</t>
        </is>
      </c>
      <c r="F3018" s="13" t="n">
        <v>1</v>
      </c>
      <c r="G3018" s="13" t="n">
        <v>1</v>
      </c>
      <c r="H3018" s="8" t="n"/>
      <c r="I3018" s="8" t="n"/>
      <c r="J3018" s="8" t="n"/>
      <c r="K3018" s="8" t="n"/>
      <c r="L3018" s="8" t="n"/>
      <c r="M3018" s="8" t="n"/>
      <c r="N3018" s="8" t="n"/>
      <c r="O3018" s="8" t="n"/>
      <c r="P3018" s="8" t="n"/>
      <c r="Q3018" s="8" t="n"/>
      <c r="R3018" s="8" t="n"/>
      <c r="S3018" s="8" t="n"/>
      <c r="T3018" s="7" t="inlineStr">
        <is>
          <t>SEM COTAÇÃO</t>
        </is>
      </c>
      <c r="U3018" s="8" t="n"/>
      <c r="V3018" s="14" t="n"/>
      <c r="W3018" s="14" t="n"/>
      <c r="X3018" s="7" t="inlineStr"/>
      <c r="Y3018" s="7" t="inlineStr"/>
    </row>
    <row r="3019">
      <c r="A3019" s="7" t="n">
        <v>4483</v>
      </c>
      <c r="B3019" s="12" t="inlineStr">
        <is>
          <t>7898656161687</t>
        </is>
      </c>
      <c r="C3019" s="7" t="inlineStr">
        <is>
          <t>MUNEVITAN KIDS 240ML</t>
        </is>
      </c>
      <c r="D3019" s="7" t="inlineStr">
        <is>
          <t>VITAMINA E SIMILARES</t>
        </is>
      </c>
      <c r="E3019" s="7" t="inlineStr">
        <is>
          <t>B</t>
        </is>
      </c>
      <c r="F3019" s="13" t="n">
        <v>1</v>
      </c>
      <c r="G3019" s="13" t="n">
        <v>1</v>
      </c>
      <c r="H3019" s="8" t="n"/>
      <c r="I3019" s="8" t="n"/>
      <c r="J3019" s="8" t="n"/>
      <c r="K3019" s="8" t="n"/>
      <c r="L3019" s="8" t="n"/>
      <c r="M3019" s="8" t="n"/>
      <c r="N3019" s="8" t="n"/>
      <c r="O3019" s="8" t="n"/>
      <c r="P3019" s="8" t="n"/>
      <c r="Q3019" s="8" t="n"/>
      <c r="R3019" s="8" t="n"/>
      <c r="S3019" s="8" t="n"/>
      <c r="T3019" s="7" t="inlineStr">
        <is>
          <t>SEM COTAÇÃO</t>
        </is>
      </c>
      <c r="U3019" s="8" t="n"/>
      <c r="V3019" s="14" t="n"/>
      <c r="W3019" s="14" t="n"/>
      <c r="X3019" s="7" t="inlineStr"/>
      <c r="Y3019" s="7" t="inlineStr"/>
    </row>
    <row r="3020">
      <c r="A3020" s="7" t="n">
        <v>586421</v>
      </c>
      <c r="B3020" s="12" t="inlineStr">
        <is>
          <t>7896279102476</t>
        </is>
      </c>
      <c r="C3020" s="7" t="inlineStr">
        <is>
          <t>MURIEL BABY CL 100ML MENINA</t>
        </is>
      </c>
      <c r="D3020" s="7" t="inlineStr">
        <is>
          <t>BABY/KIDS</t>
        </is>
      </c>
      <c r="E3020" s="7" t="inlineStr">
        <is>
          <t>C</t>
        </is>
      </c>
      <c r="F3020" s="13" t="n">
        <v>1</v>
      </c>
      <c r="G3020" s="13" t="n">
        <v>1</v>
      </c>
      <c r="H3020" s="8" t="n">
        <v>13.69</v>
      </c>
      <c r="I3020" s="8" t="n">
        <v>13.69</v>
      </c>
      <c r="J3020" s="8" t="n">
        <v>13.69</v>
      </c>
      <c r="K3020" s="8" t="n"/>
      <c r="L3020" s="8" t="n"/>
      <c r="M3020" s="8" t="n"/>
      <c r="N3020" s="8" t="n"/>
      <c r="O3020" s="8" t="n"/>
      <c r="P3020" s="8" t="n"/>
      <c r="Q3020" s="8" t="n"/>
      <c r="R3020" s="8" t="n"/>
      <c r="S3020" s="8" t="n"/>
      <c r="T3020" s="7" t="inlineStr">
        <is>
          <t>SEM COTAÇÃO</t>
        </is>
      </c>
      <c r="U3020" s="8" t="n"/>
      <c r="V3020" s="14" t="n"/>
      <c r="W3020" s="14" t="n"/>
      <c r="X3020" s="7" t="inlineStr"/>
      <c r="Y3020" s="7" t="inlineStr"/>
    </row>
    <row r="3021">
      <c r="A3021" s="7" t="n">
        <v>575161</v>
      </c>
      <c r="B3021" s="12" t="inlineStr">
        <is>
          <t>7896279102490</t>
        </is>
      </c>
      <c r="C3021" s="7" t="inlineStr">
        <is>
          <t>MURIEL BABY CL 100ML MENINO</t>
        </is>
      </c>
      <c r="D3021" s="7" t="inlineStr">
        <is>
          <t>BABY/KIDS</t>
        </is>
      </c>
      <c r="E3021" s="7" t="inlineStr">
        <is>
          <t>C</t>
        </is>
      </c>
      <c r="F3021" s="13" t="n">
        <v>1</v>
      </c>
      <c r="G3021" s="13" t="n">
        <v>1</v>
      </c>
      <c r="H3021" s="8" t="n">
        <v>13.69</v>
      </c>
      <c r="I3021" s="8" t="n">
        <v>13.69</v>
      </c>
      <c r="J3021" s="8" t="n">
        <v>13.69</v>
      </c>
      <c r="K3021" s="8" t="n"/>
      <c r="L3021" s="8" t="n"/>
      <c r="M3021" s="8" t="n"/>
      <c r="N3021" s="8" t="n"/>
      <c r="O3021" s="8" t="n"/>
      <c r="P3021" s="8" t="n"/>
      <c r="Q3021" s="8" t="n"/>
      <c r="R3021" s="8" t="n"/>
      <c r="S3021" s="8" t="n"/>
      <c r="T3021" s="7" t="inlineStr">
        <is>
          <t>SEM COTAÇÃO</t>
        </is>
      </c>
      <c r="U3021" s="8" t="n"/>
      <c r="V3021" s="14" t="n"/>
      <c r="W3021" s="14" t="n"/>
      <c r="X3021" s="7" t="inlineStr"/>
      <c r="Y3021" s="7" t="inlineStr"/>
    </row>
    <row r="3022">
      <c r="A3022" s="7" t="n">
        <v>596291</v>
      </c>
      <c r="B3022" s="12" t="inlineStr">
        <is>
          <t>7896279102391</t>
        </is>
      </c>
      <c r="C3022" s="7" t="inlineStr">
        <is>
          <t>MURIEL BABY CO 100ML MENINO</t>
        </is>
      </c>
      <c r="D3022" s="7" t="inlineStr">
        <is>
          <t>PERF/COSME</t>
        </is>
      </c>
      <c r="E3022" s="7" t="inlineStr">
        <is>
          <t>C</t>
        </is>
      </c>
      <c r="F3022" s="13" t="n">
        <v>1</v>
      </c>
      <c r="G3022" s="13" t="n">
        <v>1</v>
      </c>
      <c r="H3022" s="8" t="n">
        <v>8.029999999999999</v>
      </c>
      <c r="I3022" s="8" t="n">
        <v>8.029999999999999</v>
      </c>
      <c r="J3022" s="8" t="n">
        <v>8.029999999999999</v>
      </c>
      <c r="K3022" s="8" t="n"/>
      <c r="L3022" s="8" t="n"/>
      <c r="M3022" s="8" t="n"/>
      <c r="N3022" s="8" t="n"/>
      <c r="O3022" s="8" t="n"/>
      <c r="P3022" s="8" t="n"/>
      <c r="Q3022" s="8" t="n"/>
      <c r="R3022" s="8" t="n"/>
      <c r="S3022" s="8" t="n"/>
      <c r="T3022" s="7" t="inlineStr">
        <is>
          <t>SEM COTAÇÃO</t>
        </is>
      </c>
      <c r="U3022" s="8" t="n"/>
      <c r="V3022" s="14" t="n"/>
      <c r="W3022" s="14" t="n"/>
      <c r="X3022" s="7" t="inlineStr"/>
      <c r="Y3022" s="7" t="inlineStr"/>
    </row>
    <row r="3023">
      <c r="A3023" s="7" t="n">
        <v>575101</v>
      </c>
      <c r="B3023" s="12" t="inlineStr">
        <is>
          <t>7896279102438</t>
        </is>
      </c>
      <c r="C3023" s="7" t="inlineStr">
        <is>
          <t>MURIEL BABY LO HID 100ML MENINA</t>
        </is>
      </c>
      <c r="D3023" s="7" t="inlineStr">
        <is>
          <t>PERF/COSME</t>
        </is>
      </c>
      <c r="E3023" s="7" t="inlineStr">
        <is>
          <t>C</t>
        </is>
      </c>
      <c r="F3023" s="13" t="n">
        <v>1</v>
      </c>
      <c r="G3023" s="13" t="n">
        <v>1</v>
      </c>
      <c r="H3023" s="8" t="n">
        <v>10.01</v>
      </c>
      <c r="I3023" s="8" t="n">
        <v>10.01</v>
      </c>
      <c r="J3023" s="8" t="n">
        <v>10.01</v>
      </c>
      <c r="K3023" s="8" t="n"/>
      <c r="L3023" s="8" t="n"/>
      <c r="M3023" s="8" t="n"/>
      <c r="N3023" s="8" t="n"/>
      <c r="O3023" s="8" t="n"/>
      <c r="P3023" s="8" t="n"/>
      <c r="Q3023" s="8" t="n"/>
      <c r="R3023" s="8" t="n"/>
      <c r="S3023" s="8" t="n"/>
      <c r="T3023" s="7" t="inlineStr">
        <is>
          <t>SEM COTAÇÃO</t>
        </is>
      </c>
      <c r="U3023" s="8" t="n"/>
      <c r="V3023" s="14" t="n"/>
      <c r="W3023" s="14" t="n"/>
      <c r="X3023" s="7" t="inlineStr"/>
      <c r="Y3023" s="7" t="inlineStr"/>
    </row>
    <row r="3024">
      <c r="A3024" s="7" t="n">
        <v>575121</v>
      </c>
      <c r="B3024" s="12" t="inlineStr">
        <is>
          <t>7896279102445</t>
        </is>
      </c>
      <c r="C3024" s="7" t="inlineStr">
        <is>
          <t>MURIEL BABY LO HID 100ML MENINO</t>
        </is>
      </c>
      <c r="D3024" s="7" t="inlineStr">
        <is>
          <t>BABY/KIDS</t>
        </is>
      </c>
      <c r="E3024" s="7" t="inlineStr">
        <is>
          <t>C</t>
        </is>
      </c>
      <c r="F3024" s="13" t="n">
        <v>1</v>
      </c>
      <c r="G3024" s="13" t="n">
        <v>1</v>
      </c>
      <c r="H3024" s="8" t="n">
        <v>10.25</v>
      </c>
      <c r="I3024" s="8" t="n">
        <v>10.25</v>
      </c>
      <c r="J3024" s="8" t="n">
        <v>10.25</v>
      </c>
      <c r="K3024" s="8" t="n"/>
      <c r="L3024" s="8" t="n"/>
      <c r="M3024" s="8" t="n"/>
      <c r="N3024" s="8" t="n"/>
      <c r="O3024" s="8" t="n"/>
      <c r="P3024" s="8" t="n"/>
      <c r="Q3024" s="8" t="n"/>
      <c r="R3024" s="8" t="n"/>
      <c r="S3024" s="8" t="n"/>
      <c r="T3024" s="7" t="inlineStr">
        <is>
          <t>SEM COTAÇÃO</t>
        </is>
      </c>
      <c r="U3024" s="8" t="n"/>
      <c r="V3024" s="14" t="n"/>
      <c r="W3024" s="14" t="n"/>
      <c r="X3024" s="7" t="inlineStr"/>
      <c r="Y3024" s="7" t="inlineStr"/>
    </row>
    <row r="3025">
      <c r="A3025" s="7" t="n">
        <v>586401</v>
      </c>
      <c r="B3025" s="12" t="inlineStr">
        <is>
          <t>7896279102414</t>
        </is>
      </c>
      <c r="C3025" s="7" t="inlineStr">
        <is>
          <t>MURIEL BABY OLEO 100ML MENINA</t>
        </is>
      </c>
      <c r="D3025" s="7" t="inlineStr">
        <is>
          <t>BABY/KIDS</t>
        </is>
      </c>
      <c r="E3025" s="7" t="inlineStr">
        <is>
          <t>C</t>
        </is>
      </c>
      <c r="F3025" s="13" t="n">
        <v>1</v>
      </c>
      <c r="G3025" s="13" t="n">
        <v>1</v>
      </c>
      <c r="H3025" s="8" t="n">
        <v>9.49</v>
      </c>
      <c r="I3025" s="8" t="n">
        <v>9.49</v>
      </c>
      <c r="J3025" s="8" t="n">
        <v>9.49</v>
      </c>
      <c r="K3025" s="8" t="n"/>
      <c r="L3025" s="8" t="n"/>
      <c r="M3025" s="8" t="n"/>
      <c r="N3025" s="8" t="n"/>
      <c r="O3025" s="8" t="n"/>
      <c r="P3025" s="8" t="n"/>
      <c r="Q3025" s="8" t="n"/>
      <c r="R3025" s="8" t="n"/>
      <c r="S3025" s="8" t="n"/>
      <c r="T3025" s="7" t="inlineStr">
        <is>
          <t>SEM COTAÇÃO</t>
        </is>
      </c>
      <c r="U3025" s="8" t="n"/>
      <c r="V3025" s="14" t="n"/>
      <c r="W3025" s="14" t="n"/>
      <c r="X3025" s="7" t="inlineStr"/>
      <c r="Y3025" s="7" t="inlineStr"/>
    </row>
    <row r="3026">
      <c r="A3026" s="7" t="n">
        <v>608171</v>
      </c>
      <c r="B3026" s="12" t="inlineStr">
        <is>
          <t>7896279102421</t>
        </is>
      </c>
      <c r="C3026" s="7" t="inlineStr">
        <is>
          <t>MURIEL BABY OLEO 100ML MENINO</t>
        </is>
      </c>
      <c r="D3026" s="7" t="inlineStr">
        <is>
          <t>BABY/KIDS</t>
        </is>
      </c>
      <c r="E3026" s="7" t="inlineStr">
        <is>
          <t>C</t>
        </is>
      </c>
      <c r="F3026" s="13" t="n">
        <v>1</v>
      </c>
      <c r="G3026" s="13" t="n">
        <v>1</v>
      </c>
      <c r="H3026" s="8" t="n">
        <v>9.699999999999999</v>
      </c>
      <c r="I3026" s="8" t="n">
        <v>9.699999999999999</v>
      </c>
      <c r="J3026" s="8" t="n">
        <v>9.699999999999999</v>
      </c>
      <c r="K3026" s="8" t="n"/>
      <c r="L3026" s="8" t="n"/>
      <c r="M3026" s="8" t="n"/>
      <c r="N3026" s="8" t="n"/>
      <c r="O3026" s="8" t="n"/>
      <c r="P3026" s="8" t="n"/>
      <c r="Q3026" s="8" t="n"/>
      <c r="R3026" s="8" t="n"/>
      <c r="S3026" s="8" t="n"/>
      <c r="T3026" s="7" t="inlineStr">
        <is>
          <t>SEM COTAÇÃO</t>
        </is>
      </c>
      <c r="U3026" s="8" t="n"/>
      <c r="V3026" s="14" t="n"/>
      <c r="W3026" s="14" t="n"/>
      <c r="X3026" s="7" t="inlineStr"/>
      <c r="Y3026" s="7" t="inlineStr"/>
    </row>
    <row r="3027">
      <c r="A3027" s="7" t="n">
        <v>621821</v>
      </c>
      <c r="B3027" s="12" t="inlineStr">
        <is>
          <t>7896279117111</t>
        </is>
      </c>
      <c r="C3027" s="7" t="inlineStr">
        <is>
          <t>MURIEL DEO AGUA BANHO ACQUA E FLOR AMEND</t>
        </is>
      </c>
      <c r="D3027" s="7" t="inlineStr">
        <is>
          <t>PERF/COSME</t>
        </is>
      </c>
      <c r="E3027" s="7" t="inlineStr">
        <is>
          <t>C</t>
        </is>
      </c>
      <c r="F3027" s="13" t="n">
        <v>1</v>
      </c>
      <c r="G3027" s="13" t="n">
        <v>1</v>
      </c>
      <c r="H3027" s="8" t="n">
        <v>15.92</v>
      </c>
      <c r="I3027" s="8" t="n">
        <v>15.92</v>
      </c>
      <c r="J3027" s="8" t="n">
        <v>15.92</v>
      </c>
      <c r="K3027" s="8" t="n"/>
      <c r="L3027" s="8" t="n"/>
      <c r="M3027" s="8" t="n"/>
      <c r="N3027" s="8" t="n"/>
      <c r="O3027" s="8" t="n"/>
      <c r="P3027" s="8" t="n"/>
      <c r="Q3027" s="8" t="n"/>
      <c r="R3027" s="8" t="n"/>
      <c r="S3027" s="8" t="n"/>
      <c r="T3027" s="7" t="inlineStr">
        <is>
          <t>SEM COTAÇÃO</t>
        </is>
      </c>
      <c r="U3027" s="8" t="n"/>
      <c r="V3027" s="14" t="n"/>
      <c r="W3027" s="14" t="n"/>
      <c r="X3027" s="7" t="inlineStr"/>
      <c r="Y3027" s="7" t="inlineStr"/>
    </row>
    <row r="3028">
      <c r="A3028" s="7" t="n">
        <v>589161</v>
      </c>
      <c r="B3028" s="12" t="inlineStr">
        <is>
          <t>7896279113106</t>
        </is>
      </c>
      <c r="C3028" s="7" t="inlineStr">
        <is>
          <t>MURIEL DEO AGUA BANHO ACQUA ESSE ALFAZEM</t>
        </is>
      </c>
      <c r="D3028" s="7" t="inlineStr">
        <is>
          <t>PERF/COSME</t>
        </is>
      </c>
      <c r="E3028" s="7" t="inlineStr">
        <is>
          <t>C</t>
        </is>
      </c>
      <c r="F3028" s="13" t="n">
        <v>1</v>
      </c>
      <c r="G3028" s="13" t="n">
        <v>1</v>
      </c>
      <c r="H3028" s="8" t="n">
        <v>15.92</v>
      </c>
      <c r="I3028" s="8" t="n">
        <v>15.92</v>
      </c>
      <c r="J3028" s="8" t="n">
        <v>15.92</v>
      </c>
      <c r="K3028" s="8" t="n"/>
      <c r="L3028" s="8" t="n"/>
      <c r="M3028" s="8" t="n"/>
      <c r="N3028" s="8" t="n"/>
      <c r="O3028" s="8" t="n"/>
      <c r="P3028" s="8" t="n"/>
      <c r="Q3028" s="8" t="n"/>
      <c r="R3028" s="8" t="n"/>
      <c r="S3028" s="8" t="n"/>
      <c r="T3028" s="7" t="inlineStr">
        <is>
          <t>SEM COTAÇÃO</t>
        </is>
      </c>
      <c r="U3028" s="8" t="n"/>
      <c r="V3028" s="14" t="n"/>
      <c r="W3028" s="14" t="n"/>
      <c r="X3028" s="7" t="inlineStr"/>
      <c r="Y3028" s="7" t="inlineStr"/>
    </row>
    <row r="3029">
      <c r="A3029" s="7" t="n">
        <v>589181</v>
      </c>
      <c r="B3029" s="12" t="inlineStr">
        <is>
          <t>7896279113090</t>
        </is>
      </c>
      <c r="C3029" s="7" t="inlineStr">
        <is>
          <t>MURIEL DEO AGUA BANHO ACQUA ESSE LAVANDA</t>
        </is>
      </c>
      <c r="D3029" s="7" t="inlineStr">
        <is>
          <t>PERF/COSME</t>
        </is>
      </c>
      <c r="E3029" s="7" t="inlineStr">
        <is>
          <t>C</t>
        </is>
      </c>
      <c r="F3029" s="13" t="n">
        <v>1</v>
      </c>
      <c r="G3029" s="13" t="n">
        <v>1</v>
      </c>
      <c r="H3029" s="8" t="n">
        <v>17.3</v>
      </c>
      <c r="I3029" s="8" t="n">
        <v>17.3</v>
      </c>
      <c r="J3029" s="8" t="n">
        <v>17.3</v>
      </c>
      <c r="K3029" s="8" t="n"/>
      <c r="L3029" s="8" t="n"/>
      <c r="M3029" s="8" t="n"/>
      <c r="N3029" s="8" t="n"/>
      <c r="O3029" s="8" t="n"/>
      <c r="P3029" s="8" t="n"/>
      <c r="Q3029" s="8" t="n"/>
      <c r="R3029" s="8" t="n"/>
      <c r="S3029" s="8" t="n"/>
      <c r="T3029" s="7" t="inlineStr">
        <is>
          <t>SEM COTAÇÃO</t>
        </is>
      </c>
      <c r="U3029" s="8" t="n"/>
      <c r="V3029" s="14" t="n"/>
      <c r="W3029" s="14" t="n"/>
      <c r="X3029" s="7" t="inlineStr"/>
      <c r="Y3029" s="7" t="inlineStr"/>
    </row>
    <row r="3030">
      <c r="A3030" s="7" t="n">
        <v>133441</v>
      </c>
      <c r="B3030" s="12" t="inlineStr"/>
      <c r="C3030" s="7" t="inlineStr">
        <is>
          <t>MUSCULARE 10MG CX 15 COMP REV</t>
        </is>
      </c>
      <c r="D3030" s="7" t="inlineStr">
        <is>
          <t>RX</t>
        </is>
      </c>
      <c r="E3030" s="7" t="inlineStr">
        <is>
          <t>A</t>
        </is>
      </c>
      <c r="F3030" s="13" t="n">
        <v>4</v>
      </c>
      <c r="G3030" s="13" t="n">
        <v>4</v>
      </c>
      <c r="H3030" s="8" t="n">
        <v>16.48</v>
      </c>
      <c r="I3030" s="8" t="n">
        <v>15.595</v>
      </c>
      <c r="J3030" s="8" t="n">
        <v>16.185</v>
      </c>
      <c r="K3030" s="8" t="n"/>
      <c r="L3030" s="8" t="n"/>
      <c r="M3030" s="8" t="n"/>
      <c r="N3030" s="8" t="n"/>
      <c r="O3030" s="8" t="n"/>
      <c r="P3030" s="8" t="n"/>
      <c r="Q3030" s="8" t="n"/>
      <c r="R3030" s="8" t="n"/>
      <c r="S3030" s="8" t="n"/>
      <c r="T3030" s="7" t="inlineStr">
        <is>
          <t>SEM COTAÇÃO</t>
        </is>
      </c>
      <c r="U3030" s="8" t="n"/>
      <c r="V3030" s="14" t="n"/>
      <c r="W3030" s="14" t="n"/>
      <c r="X3030" s="7" t="inlineStr"/>
      <c r="Y3030" s="7" t="inlineStr"/>
    </row>
    <row r="3031">
      <c r="A3031" s="7" t="n">
        <v>328301</v>
      </c>
      <c r="B3031" s="12" t="inlineStr">
        <is>
          <t>7896094201637</t>
        </is>
      </c>
      <c r="C3031" s="7" t="inlineStr">
        <is>
          <t>MUVINLAX CX 20 SACH X 14G</t>
        </is>
      </c>
      <c r="D3031" s="7" t="inlineStr">
        <is>
          <t>RX - OTC</t>
        </is>
      </c>
      <c r="E3031" s="7" t="inlineStr">
        <is>
          <t>A</t>
        </is>
      </c>
      <c r="F3031" s="13" t="n">
        <v>5</v>
      </c>
      <c r="G3031" s="13" t="n">
        <v>5</v>
      </c>
      <c r="H3031" s="8" t="n">
        <v>55.41</v>
      </c>
      <c r="I3031" s="8" t="n">
        <v>43.93</v>
      </c>
      <c r="J3031" s="8" t="n">
        <v>50.21666666666667</v>
      </c>
      <c r="K3031" s="8" t="n"/>
      <c r="L3031" s="8" t="n"/>
      <c r="M3031" s="8" t="n"/>
      <c r="N3031" s="8" t="n"/>
      <c r="O3031" s="8" t="n"/>
      <c r="P3031" s="8" t="n">
        <v>54.4203</v>
      </c>
      <c r="Q3031" s="8" t="n"/>
      <c r="R3031" s="8" t="n"/>
      <c r="S3031" s="8" t="n"/>
      <c r="T3031" s="7" t="inlineStr">
        <is>
          <t>SEM COTAÇÃO</t>
        </is>
      </c>
      <c r="U3031" s="8" t="n"/>
      <c r="V3031" s="14" t="n"/>
      <c r="W3031" s="14" t="n"/>
      <c r="X3031" s="7" t="inlineStr"/>
      <c r="Y3031" s="7" t="inlineStr">
        <is>
          <t>NAZARIA: sem estoque</t>
        </is>
      </c>
    </row>
    <row r="3032">
      <c r="A3032" s="7" t="n">
        <v>661351</v>
      </c>
      <c r="B3032" s="12" t="inlineStr">
        <is>
          <t>7896311773657</t>
        </is>
      </c>
      <c r="C3032" s="7" t="inlineStr">
        <is>
          <t>MY WHEY INTEGRALMEDICA MORANGO PT 900G</t>
        </is>
      </c>
      <c r="D3032" s="7" t="inlineStr">
        <is>
          <t>SUPLEMENTO</t>
        </is>
      </c>
      <c r="E3032" s="7" t="inlineStr">
        <is>
          <t>A</t>
        </is>
      </c>
      <c r="F3032" s="13" t="n">
        <v>2</v>
      </c>
      <c r="G3032" s="13" t="n">
        <v>2</v>
      </c>
      <c r="H3032" s="8" t="n">
        <v>110.68</v>
      </c>
      <c r="I3032" s="8" t="n">
        <v>87.3</v>
      </c>
      <c r="J3032" s="8" t="n">
        <v>99.73</v>
      </c>
      <c r="K3032" s="8" t="n"/>
      <c r="L3032" s="8" t="n"/>
      <c r="M3032" s="8" t="n"/>
      <c r="N3032" s="8" t="n"/>
      <c r="O3032" s="8" t="n"/>
      <c r="P3032" s="8" t="n"/>
      <c r="Q3032" s="8" t="n"/>
      <c r="R3032" s="8" t="n"/>
      <c r="S3032" s="15" t="n">
        <v>117</v>
      </c>
      <c r="T3032" s="7" t="inlineStr">
        <is>
          <t>AT_SUPLEMENTOS</t>
        </is>
      </c>
      <c r="U3032" s="8" t="n">
        <v>117</v>
      </c>
      <c r="V3032" s="14">
        <f>U3032/J3032-1</f>
        <v/>
      </c>
      <c r="W3032" s="14">
        <f>U3032/H3032-1</f>
        <v/>
      </c>
      <c r="X3032" s="16" t="inlineStr">
        <is>
          <t>ACIMA +5.7%</t>
        </is>
      </c>
      <c r="Y3032" s="7" t="inlineStr"/>
    </row>
    <row r="3033">
      <c r="A3033" s="7" t="n">
        <v>606001</v>
      </c>
      <c r="B3033" s="12" t="inlineStr">
        <is>
          <t>7896311773626</t>
        </is>
      </c>
      <c r="C3033" s="7" t="inlineStr">
        <is>
          <t>MY WHEY INTERALMEDICA BAUNILHA 900G PT</t>
        </is>
      </c>
      <c r="D3033" s="7" t="inlineStr">
        <is>
          <t>SUPLEMENTO</t>
        </is>
      </c>
      <c r="E3033" s="7" t="inlineStr">
        <is>
          <t>C</t>
        </is>
      </c>
      <c r="F3033" s="13" t="n">
        <v>1</v>
      </c>
      <c r="G3033" s="13" t="n">
        <v>1</v>
      </c>
      <c r="H3033" s="8" t="n">
        <v>87.3</v>
      </c>
      <c r="I3033" s="8" t="n">
        <v>87.3</v>
      </c>
      <c r="J3033" s="8" t="n">
        <v>87.3</v>
      </c>
      <c r="K3033" s="8" t="n"/>
      <c r="L3033" s="8" t="n"/>
      <c r="M3033" s="8" t="n"/>
      <c r="N3033" s="8" t="n"/>
      <c r="O3033" s="8" t="n"/>
      <c r="P3033" s="8" t="n"/>
      <c r="Q3033" s="8" t="n"/>
      <c r="R3033" s="8" t="n"/>
      <c r="S3033" s="15" t="n">
        <v>117</v>
      </c>
      <c r="T3033" s="7" t="inlineStr">
        <is>
          <t>AT_SUPLEMENTOS</t>
        </is>
      </c>
      <c r="U3033" s="8" t="n">
        <v>117</v>
      </c>
      <c r="V3033" s="14">
        <f>U3033/J3033-1</f>
        <v/>
      </c>
      <c r="W3033" s="14">
        <f>U3033/H3033-1</f>
        <v/>
      </c>
      <c r="X3033" s="16" t="inlineStr">
        <is>
          <t>ACIMA +34.0%</t>
        </is>
      </c>
      <c r="Y3033" s="7" t="inlineStr"/>
    </row>
    <row r="3034">
      <c r="A3034" s="7" t="n">
        <v>602101</v>
      </c>
      <c r="B3034" s="12" t="inlineStr">
        <is>
          <t>7896311773640</t>
        </is>
      </c>
      <c r="C3034" s="7" t="inlineStr">
        <is>
          <t>MY WHEY INTERALMEDICA CHOCOLATE 900G PT</t>
        </is>
      </c>
      <c r="D3034" s="7" t="inlineStr">
        <is>
          <t>SUPLEMENTO</t>
        </is>
      </c>
      <c r="E3034" s="7" t="inlineStr">
        <is>
          <t>C</t>
        </is>
      </c>
      <c r="F3034" s="13" t="n">
        <v>1</v>
      </c>
      <c r="G3034" s="13" t="n">
        <v>1</v>
      </c>
      <c r="H3034" s="8" t="n">
        <v>88.23</v>
      </c>
      <c r="I3034" s="8" t="n">
        <v>88.23</v>
      </c>
      <c r="J3034" s="8" t="n">
        <v>88.23</v>
      </c>
      <c r="K3034" s="8" t="n"/>
      <c r="L3034" s="8" t="n"/>
      <c r="M3034" s="8" t="n"/>
      <c r="N3034" s="8" t="n"/>
      <c r="O3034" s="8" t="n"/>
      <c r="P3034" s="8" t="n"/>
      <c r="Q3034" s="8" t="n"/>
      <c r="R3034" s="8" t="n"/>
      <c r="S3034" s="15" t="n">
        <v>117</v>
      </c>
      <c r="T3034" s="7" t="inlineStr">
        <is>
          <t>AT_SUPLEMENTOS</t>
        </is>
      </c>
      <c r="U3034" s="8" t="n">
        <v>117</v>
      </c>
      <c r="V3034" s="14">
        <f>U3034/J3034-1</f>
        <v/>
      </c>
      <c r="W3034" s="14">
        <f>U3034/H3034-1</f>
        <v/>
      </c>
      <c r="X3034" s="16" t="inlineStr">
        <is>
          <t>ACIMA +32.6%</t>
        </is>
      </c>
      <c r="Y3034" s="7" t="inlineStr"/>
    </row>
    <row r="3035">
      <c r="A3035" s="7" t="n">
        <v>672951</v>
      </c>
      <c r="B3035" s="12" t="inlineStr">
        <is>
          <t>7896311773114</t>
        </is>
      </c>
      <c r="C3035" s="7" t="inlineStr">
        <is>
          <t>MY WHEY PROTEIN INTEGRAL COCO 250ML</t>
        </is>
      </c>
      <c r="D3035" s="7" t="inlineStr">
        <is>
          <t>SUPLEMENTO</t>
        </is>
      </c>
      <c r="E3035" s="7" t="inlineStr">
        <is>
          <t>B</t>
        </is>
      </c>
      <c r="F3035" s="13" t="n">
        <v>2</v>
      </c>
      <c r="G3035" s="13" t="n">
        <v>2</v>
      </c>
      <c r="H3035" s="8" t="n">
        <v>7.91</v>
      </c>
      <c r="I3035" s="8" t="n">
        <v>7.91</v>
      </c>
      <c r="J3035" s="8" t="n">
        <v>7.91</v>
      </c>
      <c r="K3035" s="8" t="n"/>
      <c r="L3035" s="8" t="n"/>
      <c r="M3035" s="8" t="n"/>
      <c r="N3035" s="8" t="n"/>
      <c r="O3035" s="8" t="n"/>
      <c r="P3035" s="8" t="n"/>
      <c r="Q3035" s="8" t="n"/>
      <c r="R3035" s="8" t="n"/>
      <c r="S3035" s="8" t="n"/>
      <c r="T3035" s="7" t="inlineStr">
        <is>
          <t>SEM COTAÇÃO</t>
        </is>
      </c>
      <c r="U3035" s="8" t="n"/>
      <c r="V3035" s="14" t="n"/>
      <c r="W3035" s="14" t="n"/>
      <c r="X3035" s="7" t="inlineStr"/>
      <c r="Y3035" s="7" t="inlineStr"/>
    </row>
    <row r="3036">
      <c r="A3036" s="7" t="n">
        <v>655881</v>
      </c>
      <c r="B3036" s="12" t="inlineStr">
        <is>
          <t>7896311774029</t>
        </is>
      </c>
      <c r="C3036" s="7" t="inlineStr">
        <is>
          <t>MY WHEY PROTEIN INTEGRALMEDICA COCO D24/250ML</t>
        </is>
      </c>
      <c r="D3036" s="7" t="inlineStr">
        <is>
          <t>SUPLEMENTO</t>
        </is>
      </c>
      <c r="E3036" s="7" t="inlineStr">
        <is>
          <t>C</t>
        </is>
      </c>
      <c r="F3036" s="13" t="n">
        <v>1</v>
      </c>
      <c r="G3036" s="13" t="n">
        <v>1</v>
      </c>
      <c r="H3036" s="8" t="n">
        <v>8.99</v>
      </c>
      <c r="I3036" s="8" t="n">
        <v>8.99</v>
      </c>
      <c r="J3036" s="8" t="n">
        <v>8.99</v>
      </c>
      <c r="K3036" s="8" t="n"/>
      <c r="L3036" s="8" t="n"/>
      <c r="M3036" s="8" t="n"/>
      <c r="N3036" s="8" t="n"/>
      <c r="O3036" s="8" t="n"/>
      <c r="P3036" s="8" t="n"/>
      <c r="Q3036" s="8" t="n"/>
      <c r="R3036" s="8" t="n"/>
      <c r="S3036" s="8" t="n"/>
      <c r="T3036" s="7" t="inlineStr">
        <is>
          <t>SEM COTAÇÃO</t>
        </is>
      </c>
      <c r="U3036" s="8" t="n"/>
      <c r="V3036" s="14" t="n"/>
      <c r="W3036" s="14" t="n"/>
      <c r="X3036" s="7" t="inlineStr"/>
      <c r="Y3036" s="7" t="inlineStr"/>
    </row>
    <row r="3037">
      <c r="A3037" s="7" t="n">
        <v>618881</v>
      </c>
      <c r="B3037" s="12" t="inlineStr">
        <is>
          <t>7896311773121</t>
        </is>
      </c>
      <c r="C3037" s="7" t="inlineStr">
        <is>
          <t>MY WHEY PROTEIN INTERALMEDICA BANANA D24/250ML</t>
        </is>
      </c>
      <c r="D3037" s="7" t="inlineStr">
        <is>
          <t>SUPLEMENTO</t>
        </is>
      </c>
      <c r="E3037" s="7" t="inlineStr">
        <is>
          <t>C</t>
        </is>
      </c>
      <c r="F3037" s="13" t="n">
        <v>1</v>
      </c>
      <c r="G3037" s="13" t="n">
        <v>1</v>
      </c>
      <c r="H3037" s="8" t="n">
        <v>8.99</v>
      </c>
      <c r="I3037" s="8" t="n">
        <v>8.99</v>
      </c>
      <c r="J3037" s="8" t="n">
        <v>8.99</v>
      </c>
      <c r="K3037" s="8" t="n"/>
      <c r="L3037" s="8" t="n"/>
      <c r="M3037" s="8" t="n"/>
      <c r="N3037" s="8" t="n"/>
      <c r="O3037" s="8" t="n"/>
      <c r="P3037" s="8" t="n"/>
      <c r="Q3037" s="8" t="n"/>
      <c r="R3037" s="8" t="n"/>
      <c r="S3037" s="8" t="n"/>
      <c r="T3037" s="7" t="inlineStr">
        <is>
          <t>SEM COTAÇÃO</t>
        </is>
      </c>
      <c r="U3037" s="8" t="n"/>
      <c r="V3037" s="14" t="n"/>
      <c r="W3037" s="14" t="n"/>
      <c r="X3037" s="7" t="inlineStr"/>
      <c r="Y3037" s="7" t="inlineStr"/>
    </row>
    <row r="3038">
      <c r="A3038" s="7" t="n">
        <v>602081</v>
      </c>
      <c r="B3038" s="12" t="inlineStr">
        <is>
          <t>7896311773145</t>
        </is>
      </c>
      <c r="C3038" s="7" t="inlineStr">
        <is>
          <t>MY WHEY PROTEIN INTERALMEDICA CHOCOLATE D24/250ML</t>
        </is>
      </c>
      <c r="D3038" s="7" t="inlineStr">
        <is>
          <t>SUPLEMENTO</t>
        </is>
      </c>
      <c r="E3038" s="7" t="inlineStr">
        <is>
          <t>C</t>
        </is>
      </c>
      <c r="F3038" s="13" t="n">
        <v>1</v>
      </c>
      <c r="G3038" s="13" t="n">
        <v>1</v>
      </c>
      <c r="H3038" s="8" t="n">
        <v>7.91</v>
      </c>
      <c r="I3038" s="8" t="n">
        <v>7.91</v>
      </c>
      <c r="J3038" s="8" t="n">
        <v>7.91</v>
      </c>
      <c r="K3038" s="8" t="n"/>
      <c r="L3038" s="8" t="n"/>
      <c r="M3038" s="8" t="n"/>
      <c r="N3038" s="8" t="n"/>
      <c r="O3038" s="8" t="n"/>
      <c r="P3038" s="8" t="n"/>
      <c r="Q3038" s="8" t="n"/>
      <c r="R3038" s="8" t="n"/>
      <c r="S3038" s="8" t="n"/>
      <c r="T3038" s="7" t="inlineStr">
        <is>
          <t>SEM COTAÇÃO</t>
        </is>
      </c>
      <c r="U3038" s="8" t="n"/>
      <c r="V3038" s="14" t="n"/>
      <c r="W3038" s="14" t="n"/>
      <c r="X3038" s="7" t="inlineStr"/>
      <c r="Y3038" s="7" t="inlineStr"/>
    </row>
    <row r="3039">
      <c r="A3039" s="7" t="n">
        <v>602071</v>
      </c>
      <c r="B3039" s="12" t="inlineStr">
        <is>
          <t>7896311773138</t>
        </is>
      </c>
      <c r="C3039" s="7" t="inlineStr">
        <is>
          <t>MY WHEY PROTEIN INTERALMEDICA MORANGO D24/250ML</t>
        </is>
      </c>
      <c r="D3039" s="7" t="inlineStr">
        <is>
          <t>SUPLEMENTO</t>
        </is>
      </c>
      <c r="E3039" s="7" t="inlineStr">
        <is>
          <t>C</t>
        </is>
      </c>
      <c r="F3039" s="13" t="n">
        <v>1</v>
      </c>
      <c r="G3039" s="13" t="n">
        <v>1</v>
      </c>
      <c r="H3039" s="8" t="n">
        <v>8.539999999999999</v>
      </c>
      <c r="I3039" s="8" t="n">
        <v>8.539999999999999</v>
      </c>
      <c r="J3039" s="8" t="n">
        <v>8.539999999999999</v>
      </c>
      <c r="K3039" s="8" t="n"/>
      <c r="L3039" s="8" t="n"/>
      <c r="M3039" s="8" t="n"/>
      <c r="N3039" s="8" t="n"/>
      <c r="O3039" s="8" t="n"/>
      <c r="P3039" s="8" t="n"/>
      <c r="Q3039" s="8" t="n"/>
      <c r="R3039" s="8" t="n"/>
      <c r="S3039" s="8" t="n"/>
      <c r="T3039" s="7" t="inlineStr">
        <is>
          <t>SEM COTAÇÃO</t>
        </is>
      </c>
      <c r="U3039" s="8" t="n"/>
      <c r="V3039" s="14" t="n"/>
      <c r="W3039" s="14" t="n"/>
      <c r="X3039" s="7" t="inlineStr"/>
      <c r="Y3039" s="7" t="inlineStr"/>
    </row>
    <row r="3040">
      <c r="A3040" s="7" t="n">
        <v>434881</v>
      </c>
      <c r="B3040" s="12" t="inlineStr">
        <is>
          <t>7891010256432</t>
        </is>
      </c>
      <c r="C3040" s="7" t="inlineStr">
        <is>
          <t>MYLANTA PLUS 80+80+6MG SUS OR FR 240ML SB MORANGO</t>
        </is>
      </c>
      <c r="D3040" s="7" t="inlineStr">
        <is>
          <t>RX - OTC</t>
        </is>
      </c>
      <c r="E3040" s="7" t="inlineStr">
        <is>
          <t>A</t>
        </is>
      </c>
      <c r="F3040" s="13" t="n">
        <v>8</v>
      </c>
      <c r="G3040" s="13" t="n">
        <v>8</v>
      </c>
      <c r="H3040" s="8" t="n">
        <v>44.04</v>
      </c>
      <c r="I3040" s="8" t="n">
        <v>39.865</v>
      </c>
      <c r="J3040" s="8" t="n">
        <v>42.40776666666667</v>
      </c>
      <c r="K3040" s="8" t="n"/>
      <c r="L3040" s="8" t="n"/>
      <c r="M3040" s="8" t="n"/>
      <c r="N3040" s="8" t="n"/>
      <c r="O3040" s="8" t="n"/>
      <c r="P3040" s="15" t="n">
        <v>48.93</v>
      </c>
      <c r="Q3040" s="8" t="n"/>
      <c r="R3040" s="8" t="n"/>
      <c r="S3040" s="8" t="n"/>
      <c r="T3040" s="7" t="inlineStr">
        <is>
          <t>NAZARIA</t>
        </is>
      </c>
      <c r="U3040" s="8" t="n">
        <v>48.93</v>
      </c>
      <c r="V3040" s="14">
        <f>U3040/J3040-1</f>
        <v/>
      </c>
      <c r="W3040" s="14">
        <f>U3040/H3040-1</f>
        <v/>
      </c>
      <c r="X3040" s="16" t="inlineStr">
        <is>
          <t>ACIMA +11.1%</t>
        </is>
      </c>
      <c r="Y3040" s="7" t="inlineStr"/>
    </row>
    <row r="3041">
      <c r="A3041" s="7" t="n">
        <v>344</v>
      </c>
      <c r="B3041" s="12" t="inlineStr">
        <is>
          <t>7890100915556</t>
        </is>
      </c>
      <c r="C3041" s="7" t="inlineStr">
        <is>
          <t>MÁSCARA DESCARTÁVEL UNIDADE</t>
        </is>
      </c>
      <c r="D3041" s="7" t="inlineStr">
        <is>
          <t>UTENSILIOS</t>
        </is>
      </c>
      <c r="E3041" s="7" t="inlineStr">
        <is>
          <t>C</t>
        </is>
      </c>
      <c r="F3041" s="13" t="n">
        <v>5</v>
      </c>
      <c r="G3041" s="13" t="n">
        <v>5</v>
      </c>
      <c r="H3041" s="8" t="n"/>
      <c r="I3041" s="8" t="n"/>
      <c r="J3041" s="8" t="n"/>
      <c r="K3041" s="8" t="n"/>
      <c r="L3041" s="8" t="n"/>
      <c r="M3041" s="8" t="n"/>
      <c r="N3041" s="8" t="n"/>
      <c r="O3041" s="8" t="n"/>
      <c r="P3041" s="8" t="n"/>
      <c r="Q3041" s="8" t="n"/>
      <c r="R3041" s="8" t="n"/>
      <c r="S3041" s="8" t="n"/>
      <c r="T3041" s="7" t="inlineStr">
        <is>
          <t>SEM COTAÇÃO</t>
        </is>
      </c>
      <c r="U3041" s="8" t="n"/>
      <c r="V3041" s="14" t="n"/>
      <c r="W3041" s="14" t="n"/>
      <c r="X3041" s="7" t="inlineStr"/>
      <c r="Y3041" s="7" t="inlineStr"/>
    </row>
    <row r="3042">
      <c r="A3042" s="7" t="n">
        <v>652141</v>
      </c>
      <c r="B3042" s="12" t="inlineStr">
        <is>
          <t>7896007553662</t>
        </is>
      </c>
      <c r="C3042" s="7" t="inlineStr">
        <is>
          <t>N ABS INTIMUS NOTURNO SECA C/A 45UN</t>
        </is>
      </c>
      <c r="D3042" s="7" t="inlineStr">
        <is>
          <t>ABSORVENTES</t>
        </is>
      </c>
      <c r="E3042" s="7" t="inlineStr">
        <is>
          <t>C</t>
        </is>
      </c>
      <c r="F3042" s="13" t="n">
        <v>1</v>
      </c>
      <c r="G3042" s="13" t="n">
        <v>1</v>
      </c>
      <c r="H3042" s="8" t="n">
        <v>25.4125</v>
      </c>
      <c r="I3042" s="8" t="n">
        <v>25.4125</v>
      </c>
      <c r="J3042" s="8" t="n">
        <v>25.4125</v>
      </c>
      <c r="K3042" s="8" t="n"/>
      <c r="L3042" s="8" t="n"/>
      <c r="M3042" s="8" t="n"/>
      <c r="N3042" s="8" t="n"/>
      <c r="O3042" s="8" t="n"/>
      <c r="P3042" s="8" t="n">
        <v>32.68</v>
      </c>
      <c r="Q3042" s="8" t="n"/>
      <c r="R3042" s="8" t="n"/>
      <c r="S3042" s="8" t="n"/>
      <c r="T3042" s="7" t="inlineStr">
        <is>
          <t>SEM COTAÇÃO</t>
        </is>
      </c>
      <c r="U3042" s="8" t="n"/>
      <c r="V3042" s="14" t="n"/>
      <c r="W3042" s="14" t="n"/>
      <c r="X3042" s="7" t="inlineStr"/>
      <c r="Y3042" s="7" t="inlineStr">
        <is>
          <t>NAZARIA: sem estoque</t>
        </is>
      </c>
    </row>
    <row r="3043">
      <c r="A3043" s="7" t="n">
        <v>652151</v>
      </c>
      <c r="B3043" s="12" t="inlineStr">
        <is>
          <t>7896007553563</t>
        </is>
      </c>
      <c r="C3043" s="7" t="inlineStr">
        <is>
          <t>N ABS INTIMUS NOTURNO SUAVE C/A 45UN   KIMB %DN:3.00</t>
        </is>
      </c>
      <c r="D3043" s="7" t="inlineStr">
        <is>
          <t>ABSORVENTES</t>
        </is>
      </c>
      <c r="E3043" s="7" t="inlineStr">
        <is>
          <t>C</t>
        </is>
      </c>
      <c r="F3043" s="13" t="n">
        <v>2</v>
      </c>
      <c r="G3043" s="13" t="n">
        <v>2</v>
      </c>
      <c r="H3043" s="8" t="n">
        <v>27.3308</v>
      </c>
      <c r="I3043" s="8" t="n">
        <v>27.3308</v>
      </c>
      <c r="J3043" s="8" t="n">
        <v>27.3308</v>
      </c>
      <c r="K3043" s="8" t="n"/>
      <c r="L3043" s="8" t="n"/>
      <c r="M3043" s="8" t="n"/>
      <c r="N3043" s="8" t="n"/>
      <c r="O3043" s="8" t="n"/>
      <c r="P3043" s="15" t="n">
        <v>32.68</v>
      </c>
      <c r="Q3043" s="8" t="n"/>
      <c r="R3043" s="8" t="n"/>
      <c r="S3043" s="8" t="n"/>
      <c r="T3043" s="7" t="inlineStr">
        <is>
          <t>NAZARIA</t>
        </is>
      </c>
      <c r="U3043" s="8" t="n">
        <v>32.68</v>
      </c>
      <c r="V3043" s="14">
        <f>U3043/J3043-1</f>
        <v/>
      </c>
      <c r="W3043" s="14">
        <f>U3043/H3043-1</f>
        <v/>
      </c>
      <c r="X3043" s="16" t="inlineStr">
        <is>
          <t>ACIMA +19.6%</t>
        </is>
      </c>
      <c r="Y3043" s="7" t="inlineStr"/>
    </row>
    <row r="3044">
      <c r="A3044" s="7" t="n">
        <v>611031</v>
      </c>
      <c r="B3044" s="12" t="inlineStr">
        <is>
          <t>4015630064205</t>
        </is>
      </c>
      <c r="C3044" s="7" t="inlineStr">
        <is>
          <t>N ACCU-CHEK ACTIVE 10TIRAS   ROCH %DN:0.00</t>
        </is>
      </c>
      <c r="D3044" s="7" t="inlineStr">
        <is>
          <t>RX - DIABETES</t>
        </is>
      </c>
      <c r="E3044" s="7" t="inlineStr">
        <is>
          <t>C</t>
        </is>
      </c>
      <c r="F3044" s="13" t="n">
        <v>1</v>
      </c>
      <c r="G3044" s="13" t="n">
        <v>1</v>
      </c>
      <c r="H3044" s="8" t="n">
        <v>29.16</v>
      </c>
      <c r="I3044" s="8" t="n">
        <v>29.16</v>
      </c>
      <c r="J3044" s="8" t="n">
        <v>29.16</v>
      </c>
      <c r="K3044" s="8" t="n"/>
      <c r="L3044" s="8" t="n"/>
      <c r="M3044" s="8" t="n"/>
      <c r="N3044" s="8" t="n"/>
      <c r="O3044" s="8" t="n"/>
      <c r="P3044" s="8" t="n">
        <v>29.89</v>
      </c>
      <c r="Q3044" s="8" t="n"/>
      <c r="R3044" s="8" t="n"/>
      <c r="S3044" s="8" t="n"/>
      <c r="T3044" s="7" t="inlineStr">
        <is>
          <t>SEM COTAÇÃO</t>
        </is>
      </c>
      <c r="U3044" s="8" t="n"/>
      <c r="V3044" s="14" t="n"/>
      <c r="W3044" s="14" t="n"/>
      <c r="X3044" s="7" t="inlineStr"/>
      <c r="Y3044" s="7" t="inlineStr">
        <is>
          <t>NAZARIA: sem estoque</t>
        </is>
      </c>
    </row>
    <row r="3045">
      <c r="A3045" s="7" t="n">
        <v>656271</v>
      </c>
      <c r="B3045" s="12" t="inlineStr">
        <is>
          <t>7896436906749</t>
        </is>
      </c>
      <c r="C3045" s="7" t="inlineStr">
        <is>
          <t>N AP INAL OMRON INALAR COMPACT NE-C810   OMRO %DN:10.61</t>
        </is>
      </c>
      <c r="D3045" s="7" t="inlineStr">
        <is>
          <t>UTENSILIOS</t>
        </is>
      </c>
      <c r="E3045" s="7" t="inlineStr">
        <is>
          <t>C</t>
        </is>
      </c>
      <c r="F3045" s="13" t="n">
        <v>1</v>
      </c>
      <c r="G3045" s="13" t="n">
        <v>1</v>
      </c>
      <c r="H3045" s="8" t="n">
        <v>99.98999999999999</v>
      </c>
      <c r="I3045" s="8" t="n">
        <v>99.98999999999999</v>
      </c>
      <c r="J3045" s="8" t="n">
        <v>99.98999999999999</v>
      </c>
      <c r="K3045" s="8" t="n"/>
      <c r="L3045" s="8" t="n"/>
      <c r="M3045" s="8" t="n"/>
      <c r="N3045" s="8" t="n"/>
      <c r="O3045" s="8" t="n"/>
      <c r="P3045" s="8" t="n">
        <v>148.2</v>
      </c>
      <c r="Q3045" s="15" t="n">
        <v>117.91</v>
      </c>
      <c r="R3045" s="8" t="n"/>
      <c r="S3045" s="8" t="n"/>
      <c r="T3045" s="7" t="inlineStr">
        <is>
          <t>MEDCENTRO</t>
        </is>
      </c>
      <c r="U3045" s="8" t="n">
        <v>117.91</v>
      </c>
      <c r="V3045" s="14">
        <f>U3045/J3045-1</f>
        <v/>
      </c>
      <c r="W3045" s="14">
        <f>U3045/H3045-1</f>
        <v/>
      </c>
      <c r="X3045" s="16" t="inlineStr">
        <is>
          <t>ACIMA +17.9%</t>
        </is>
      </c>
      <c r="Y3045" s="7" t="inlineStr"/>
    </row>
    <row r="3046">
      <c r="A3046" s="7" t="n">
        <v>651901</v>
      </c>
      <c r="B3046" s="12" t="inlineStr">
        <is>
          <t>7898108640050</t>
        </is>
      </c>
      <c r="C3046" s="7" t="inlineStr">
        <is>
          <t>N COMPRESSA GAZES 11FIOS ESTER 5UND   SANF %DN:0.00</t>
        </is>
      </c>
      <c r="D3046" s="7" t="inlineStr">
        <is>
          <t>CURATIVO</t>
        </is>
      </c>
      <c r="E3046" s="7" t="inlineStr">
        <is>
          <t>C</t>
        </is>
      </c>
      <c r="F3046" s="13" t="n">
        <v>1</v>
      </c>
      <c r="G3046" s="13" t="n">
        <v>1</v>
      </c>
      <c r="H3046" s="8" t="n">
        <v>0.92</v>
      </c>
      <c r="I3046" s="8" t="n">
        <v>0.92</v>
      </c>
      <c r="J3046" s="8" t="n">
        <v>0.92</v>
      </c>
      <c r="K3046" s="8" t="n">
        <v>1.03</v>
      </c>
      <c r="L3046" s="8" t="n">
        <v>1.05</v>
      </c>
      <c r="M3046" s="8" t="n"/>
      <c r="N3046" s="8" t="n"/>
      <c r="O3046" s="8" t="n"/>
      <c r="P3046" s="15" t="n">
        <v>0.8929999999999999</v>
      </c>
      <c r="Q3046" s="8" t="n">
        <v>1.29</v>
      </c>
      <c r="R3046" s="8" t="n"/>
      <c r="S3046" s="8" t="n"/>
      <c r="T3046" s="7" t="inlineStr">
        <is>
          <t>NAZARIA</t>
        </is>
      </c>
      <c r="U3046" s="8" t="n">
        <v>0.8929999999999999</v>
      </c>
      <c r="V3046" s="14">
        <f>U3046/J3046-1</f>
        <v/>
      </c>
      <c r="W3046" s="14">
        <f>U3046/H3046-1</f>
        <v/>
      </c>
      <c r="X3046" s="17" t="inlineStr">
        <is>
          <t>OK (≤ menor hist.)</t>
        </is>
      </c>
      <c r="Y3046" s="7" t="inlineStr"/>
    </row>
    <row r="3047">
      <c r="A3047" s="7" t="n">
        <v>661291</v>
      </c>
      <c r="B3047" s="12" t="inlineStr">
        <is>
          <t>0618231034345</t>
        </is>
      </c>
      <c r="C3047" s="7" t="inlineStr">
        <is>
          <t>N MULTIVITALE CALCIO MDK 60CPS</t>
        </is>
      </c>
      <c r="D3047" s="7" t="inlineStr">
        <is>
          <t>SIMILAR</t>
        </is>
      </c>
      <c r="E3047" s="7" t="inlineStr">
        <is>
          <t>C</t>
        </is>
      </c>
      <c r="F3047" s="13" t="n">
        <v>1</v>
      </c>
      <c r="G3047" s="13" t="n">
        <v>1</v>
      </c>
      <c r="H3047" s="8" t="n">
        <v>23.18</v>
      </c>
      <c r="I3047" s="8" t="n">
        <v>23.18</v>
      </c>
      <c r="J3047" s="8" t="n">
        <v>23.18</v>
      </c>
      <c r="K3047" s="8" t="n"/>
      <c r="L3047" s="8" t="n"/>
      <c r="M3047" s="8" t="n"/>
      <c r="N3047" s="8" t="n"/>
      <c r="O3047" s="8" t="n"/>
      <c r="P3047" s="8" t="n">
        <v>27.39</v>
      </c>
      <c r="Q3047" s="8" t="n"/>
      <c r="R3047" s="8" t="n"/>
      <c r="S3047" s="8" t="n"/>
      <c r="T3047" s="7" t="inlineStr">
        <is>
          <t>SEM COTAÇÃO</t>
        </is>
      </c>
      <c r="U3047" s="8" t="n"/>
      <c r="V3047" s="14" t="n"/>
      <c r="W3047" s="14" t="n"/>
      <c r="X3047" s="7" t="inlineStr"/>
      <c r="Y3047" s="7" t="inlineStr">
        <is>
          <t>NAZARIA: sem estoque</t>
        </is>
      </c>
    </row>
    <row r="3048">
      <c r="A3048" s="7" t="n">
        <v>652181</v>
      </c>
      <c r="B3048" s="12" t="inlineStr">
        <is>
          <t>7896007550456</t>
        </is>
      </c>
      <c r="C3048" s="7" t="inlineStr">
        <is>
          <t>N PROT DIARIO INTIMUS ANTBAC 80UN   KIMB %DN:6.00</t>
        </is>
      </c>
      <c r="D3048" s="7" t="inlineStr">
        <is>
          <t>ABSORVENTES</t>
        </is>
      </c>
      <c r="E3048" s="7" t="inlineStr">
        <is>
          <t>C</t>
        </is>
      </c>
      <c r="F3048" s="13" t="n">
        <v>1</v>
      </c>
      <c r="G3048" s="13" t="n">
        <v>1</v>
      </c>
      <c r="H3048" s="8" t="n">
        <v>16.255</v>
      </c>
      <c r="I3048" s="8" t="n">
        <v>16.255</v>
      </c>
      <c r="J3048" s="8" t="n">
        <v>16.255</v>
      </c>
      <c r="K3048" s="8" t="n"/>
      <c r="L3048" s="8" t="n"/>
      <c r="M3048" s="8" t="n"/>
      <c r="N3048" s="8" t="n"/>
      <c r="O3048" s="8" t="n"/>
      <c r="P3048" s="8" t="n">
        <v>20.47</v>
      </c>
      <c r="Q3048" s="8" t="n"/>
      <c r="R3048" s="8" t="n"/>
      <c r="S3048" s="8" t="n"/>
      <c r="T3048" s="7" t="inlineStr">
        <is>
          <t>SEM COTAÇÃO</t>
        </is>
      </c>
      <c r="U3048" s="8" t="n"/>
      <c r="V3048" s="14" t="n"/>
      <c r="W3048" s="14" t="n"/>
      <c r="X3048" s="7" t="inlineStr"/>
      <c r="Y3048" s="7" t="inlineStr">
        <is>
          <t>NAZARIA: sem estoque</t>
        </is>
      </c>
    </row>
    <row r="3049">
      <c r="A3049" s="7" t="n">
        <v>652171</v>
      </c>
      <c r="B3049" s="12" t="inlineStr">
        <is>
          <t>7896007553280</t>
        </is>
      </c>
      <c r="C3049" s="7" t="inlineStr">
        <is>
          <t>N ROUPA INT PLEN CLASSIC UNISSEX XG 24UN</t>
        </is>
      </c>
      <c r="D3049" s="7" t="inlineStr">
        <is>
          <t>FRALDAS GERIATRICAS</t>
        </is>
      </c>
      <c r="E3049" s="7" t="inlineStr">
        <is>
          <t>C</t>
        </is>
      </c>
      <c r="F3049" s="13" t="n">
        <v>1</v>
      </c>
      <c r="G3049" s="13" t="n">
        <v>1</v>
      </c>
      <c r="H3049" s="8" t="n">
        <v>60.755</v>
      </c>
      <c r="I3049" s="8" t="n">
        <v>60.755</v>
      </c>
      <c r="J3049" s="8" t="n">
        <v>60.755</v>
      </c>
      <c r="K3049" s="8" t="n"/>
      <c r="L3049" s="8" t="n"/>
      <c r="M3049" s="8" t="n"/>
      <c r="N3049" s="8" t="n"/>
      <c r="O3049" s="8" t="n"/>
      <c r="P3049" s="8" t="n">
        <v>85.47</v>
      </c>
      <c r="Q3049" s="8" t="n"/>
      <c r="R3049" s="8" t="n"/>
      <c r="S3049" s="8" t="n"/>
      <c r="T3049" s="7" t="inlineStr">
        <is>
          <t>SEM COTAÇÃO</t>
        </is>
      </c>
      <c r="U3049" s="8" t="n"/>
      <c r="V3049" s="14" t="n"/>
      <c r="W3049" s="14" t="n"/>
      <c r="X3049" s="7" t="inlineStr"/>
      <c r="Y3049" s="7" t="inlineStr">
        <is>
          <t>NAZARIA: sem estoque</t>
        </is>
      </c>
    </row>
    <row r="3050">
      <c r="A3050" s="7" t="n">
        <v>669941</v>
      </c>
      <c r="B3050" s="12" t="inlineStr">
        <is>
          <t>7506306255678</t>
        </is>
      </c>
      <c r="C3050" s="7" t="inlineStr">
        <is>
          <t>N SAB DOVE ESFOLIANTE BEAUTY SCRUB COCO 280G   UNIL %DN:0.00</t>
        </is>
      </c>
      <c r="D3050" s="7" t="inlineStr">
        <is>
          <t>COND/SHAM/CREM/SIMILARES</t>
        </is>
      </c>
      <c r="E3050" s="7" t="inlineStr">
        <is>
          <t>C</t>
        </is>
      </c>
      <c r="F3050" s="13" t="n">
        <v>1</v>
      </c>
      <c r="G3050" s="13" t="n">
        <v>1</v>
      </c>
      <c r="H3050" s="8" t="n">
        <v>37.43</v>
      </c>
      <c r="I3050" s="8" t="n">
        <v>37.43</v>
      </c>
      <c r="J3050" s="8" t="n">
        <v>37.43</v>
      </c>
      <c r="K3050" s="8" t="n"/>
      <c r="L3050" s="8" t="n"/>
      <c r="M3050" s="8" t="n"/>
      <c r="N3050" s="8" t="n"/>
      <c r="O3050" s="8" t="n"/>
      <c r="P3050" s="15" t="n">
        <v>38.79</v>
      </c>
      <c r="Q3050" s="8" t="n"/>
      <c r="R3050" s="8" t="n"/>
      <c r="S3050" s="8" t="n"/>
      <c r="T3050" s="7" t="inlineStr">
        <is>
          <t>NAZARIA</t>
        </is>
      </c>
      <c r="U3050" s="8" t="n">
        <v>38.79</v>
      </c>
      <c r="V3050" s="14">
        <f>U3050/J3050-1</f>
        <v/>
      </c>
      <c r="W3050" s="14">
        <f>U3050/H3050-1</f>
        <v/>
      </c>
      <c r="X3050" s="16" t="inlineStr">
        <is>
          <t>ACIMA +3.6%</t>
        </is>
      </c>
      <c r="Y3050" s="7" t="inlineStr"/>
    </row>
    <row r="3051">
      <c r="A3051" s="7" t="n">
        <v>663251</v>
      </c>
      <c r="B3051" s="12" t="inlineStr">
        <is>
          <t>7891150083486</t>
        </is>
      </c>
      <c r="C3051" s="7" t="inlineStr">
        <is>
          <t>N SAB LIQ GLIC ESSENC BR BROMELIA REF 240ML   UNIL %DN:17.00</t>
        </is>
      </c>
      <c r="D3051" s="7" t="inlineStr">
        <is>
          <t>SABONETES BARRAS/LIQUIDOS</t>
        </is>
      </c>
      <c r="E3051" s="7" t="inlineStr">
        <is>
          <t>C</t>
        </is>
      </c>
      <c r="F3051" s="13" t="n">
        <v>2</v>
      </c>
      <c r="G3051" s="13" t="n">
        <v>2</v>
      </c>
      <c r="H3051" s="8" t="n">
        <v>7.63</v>
      </c>
      <c r="I3051" s="8" t="n">
        <v>7.63</v>
      </c>
      <c r="J3051" s="8" t="n">
        <v>7.63</v>
      </c>
      <c r="K3051" s="8" t="n"/>
      <c r="L3051" s="8" t="n"/>
      <c r="M3051" s="8" t="n"/>
      <c r="N3051" s="8" t="n"/>
      <c r="O3051" s="8" t="n"/>
      <c r="P3051" s="8" t="n">
        <v>8.119999999999999</v>
      </c>
      <c r="Q3051" s="8" t="n"/>
      <c r="R3051" s="8" t="n"/>
      <c r="S3051" s="8" t="n"/>
      <c r="T3051" s="7" t="inlineStr">
        <is>
          <t>SEM COTAÇÃO</t>
        </is>
      </c>
      <c r="U3051" s="8" t="n"/>
      <c r="V3051" s="14" t="n"/>
      <c r="W3051" s="14" t="n"/>
      <c r="X3051" s="7" t="inlineStr"/>
      <c r="Y3051" s="7" t="inlineStr">
        <is>
          <t>NAZARIA: sem estoque</t>
        </is>
      </c>
    </row>
    <row r="3052">
      <c r="A3052" s="7" t="n">
        <v>598381</v>
      </c>
      <c r="B3052" s="12" t="inlineStr">
        <is>
          <t>7509546673189</t>
        </is>
      </c>
      <c r="C3052" s="7" t="inlineStr">
        <is>
          <t>N SAB LIQ PROTEX BABY GLIC 200ML</t>
        </is>
      </c>
      <c r="D3052" s="7" t="inlineStr">
        <is>
          <t>PERF/COSME</t>
        </is>
      </c>
      <c r="E3052" s="7" t="inlineStr">
        <is>
          <t>B</t>
        </is>
      </c>
      <c r="F3052" s="13" t="n">
        <v>5</v>
      </c>
      <c r="G3052" s="13" t="n">
        <v>5</v>
      </c>
      <c r="H3052" s="8" t="n">
        <v>9.215</v>
      </c>
      <c r="I3052" s="8" t="n">
        <v>9.215</v>
      </c>
      <c r="J3052" s="8" t="n">
        <v>9.215</v>
      </c>
      <c r="K3052" s="8" t="n"/>
      <c r="L3052" s="8" t="n"/>
      <c r="M3052" s="8" t="n"/>
      <c r="N3052" s="8" t="n"/>
      <c r="O3052" s="8" t="n"/>
      <c r="P3052" s="15" t="n">
        <v>18.04</v>
      </c>
      <c r="Q3052" s="8" t="n"/>
      <c r="R3052" s="8" t="n"/>
      <c r="S3052" s="8" t="n"/>
      <c r="T3052" s="7" t="inlineStr">
        <is>
          <t>NAZARIA</t>
        </is>
      </c>
      <c r="U3052" s="8" t="n">
        <v>18.04</v>
      </c>
      <c r="V3052" s="14">
        <f>U3052/J3052-1</f>
        <v/>
      </c>
      <c r="W3052" s="14">
        <f>U3052/H3052-1</f>
        <v/>
      </c>
      <c r="X3052" s="16" t="inlineStr">
        <is>
          <t>ACIMA +95.8%</t>
        </is>
      </c>
      <c r="Y3052" s="7" t="inlineStr"/>
    </row>
    <row r="3053">
      <c r="A3053" s="7" t="n">
        <v>579461</v>
      </c>
      <c r="B3053" s="12" t="inlineStr"/>
      <c r="C3053" s="7" t="inlineStr">
        <is>
          <t>NALDECON MULTI 800+20MG CARTELA C/ 4 CP</t>
        </is>
      </c>
      <c r="D3053" s="7" t="inlineStr">
        <is>
          <t>RX</t>
        </is>
      </c>
      <c r="E3053" s="7" t="inlineStr">
        <is>
          <t>C</t>
        </is>
      </c>
      <c r="F3053" s="13" t="n">
        <v>1</v>
      </c>
      <c r="G3053" s="13" t="n">
        <v>2</v>
      </c>
      <c r="H3053" s="8" t="n">
        <v>6.967</v>
      </c>
      <c r="I3053" s="8" t="n">
        <v>6.8011</v>
      </c>
      <c r="J3053" s="8" t="n">
        <v>6.801100000000001</v>
      </c>
      <c r="K3053" s="8" t="n"/>
      <c r="L3053" s="8" t="n"/>
      <c r="M3053" s="8" t="n"/>
      <c r="N3053" s="8" t="n"/>
      <c r="O3053" s="8" t="n"/>
      <c r="P3053" s="8" t="n"/>
      <c r="Q3053" s="8" t="n"/>
      <c r="R3053" s="8" t="n"/>
      <c r="S3053" s="8" t="n"/>
      <c r="T3053" s="7" t="inlineStr">
        <is>
          <t>SEM COTAÇÃO</t>
        </is>
      </c>
      <c r="U3053" s="8" t="n"/>
      <c r="V3053" s="14" t="n"/>
      <c r="W3053" s="14" t="n"/>
      <c r="X3053" s="7" t="inlineStr"/>
      <c r="Y3053" s="7" t="inlineStr"/>
    </row>
    <row r="3054">
      <c r="A3054" s="7" t="n">
        <v>666171</v>
      </c>
      <c r="B3054" s="12" t="inlineStr">
        <is>
          <t>7891000071625</t>
        </is>
      </c>
      <c r="C3054" s="7" t="inlineStr">
        <is>
          <t>NAN COMFOR 0-6MESES HMO 6X800G BR</t>
        </is>
      </c>
      <c r="D3054" s="7" t="inlineStr">
        <is>
          <t>ALIMENTOS LACTEOS, DERIVADOS E SIMILARES</t>
        </is>
      </c>
      <c r="E3054" s="7" t="inlineStr">
        <is>
          <t>A</t>
        </is>
      </c>
      <c r="F3054" s="13" t="n">
        <v>3</v>
      </c>
      <c r="G3054" s="13" t="n">
        <v>3</v>
      </c>
      <c r="H3054" s="8" t="n">
        <v>67.94499999999999</v>
      </c>
      <c r="I3054" s="8" t="n">
        <v>66.08499999999999</v>
      </c>
      <c r="J3054" s="8" t="n">
        <v>67.32499999999999</v>
      </c>
      <c r="K3054" s="8" t="n"/>
      <c r="L3054" s="8" t="n"/>
      <c r="M3054" s="8" t="n"/>
      <c r="N3054" s="8" t="n"/>
      <c r="O3054" s="8" t="n"/>
      <c r="P3054" s="15" t="n">
        <v>96.62</v>
      </c>
      <c r="Q3054" s="8" t="n"/>
      <c r="R3054" s="8" t="n"/>
      <c r="S3054" s="8" t="n"/>
      <c r="T3054" s="7" t="inlineStr">
        <is>
          <t>NAZARIA</t>
        </is>
      </c>
      <c r="U3054" s="8" t="n">
        <v>96.62</v>
      </c>
      <c r="V3054" s="14">
        <f>U3054/J3054-1</f>
        <v/>
      </c>
      <c r="W3054" s="14">
        <f>U3054/H3054-1</f>
        <v/>
      </c>
      <c r="X3054" s="16" t="inlineStr">
        <is>
          <t>ACIMA +42.2%</t>
        </is>
      </c>
      <c r="Y3054" s="7" t="inlineStr"/>
    </row>
    <row r="3055">
      <c r="A3055" s="7" t="n">
        <v>567341</v>
      </c>
      <c r="B3055" s="12" t="inlineStr">
        <is>
          <t>7891000065389</t>
        </is>
      </c>
      <c r="C3055" s="7" t="inlineStr">
        <is>
          <t>NAN COMFOR 1 400G</t>
        </is>
      </c>
      <c r="D3055" s="7" t="inlineStr">
        <is>
          <t>ALIMENTOS LACTEOS, DERIVADOS E SIMILARES</t>
        </is>
      </c>
      <c r="E3055" s="7" t="inlineStr">
        <is>
          <t>A</t>
        </is>
      </c>
      <c r="F3055" s="13" t="n">
        <v>1</v>
      </c>
      <c r="G3055" s="13" t="n">
        <v>4</v>
      </c>
      <c r="H3055" s="8" t="n">
        <v>42.0842</v>
      </c>
      <c r="I3055" s="8" t="n">
        <v>39.1167</v>
      </c>
      <c r="J3055" s="8" t="n">
        <v>41.09503333333333</v>
      </c>
      <c r="K3055" s="8" t="n"/>
      <c r="L3055" s="8" t="n"/>
      <c r="M3055" s="8" t="n"/>
      <c r="N3055" s="8" t="n"/>
      <c r="O3055" s="8" t="n"/>
      <c r="P3055" s="8" t="n">
        <v>57.86</v>
      </c>
      <c r="Q3055" s="8" t="n"/>
      <c r="R3055" s="8" t="n"/>
      <c r="S3055" s="8" t="n"/>
      <c r="T3055" s="7" t="inlineStr">
        <is>
          <t>SEM COTAÇÃO</t>
        </is>
      </c>
      <c r="U3055" s="8" t="n"/>
      <c r="V3055" s="14" t="n"/>
      <c r="W3055" s="14" t="n"/>
      <c r="X3055" s="7" t="inlineStr"/>
      <c r="Y3055" s="7" t="inlineStr">
        <is>
          <t>NAZARIA: sem estoque</t>
        </is>
      </c>
    </row>
    <row r="3056">
      <c r="A3056" s="7" t="n">
        <v>590161</v>
      </c>
      <c r="B3056" s="12" t="inlineStr"/>
      <c r="C3056" s="7" t="inlineStr">
        <is>
          <t>NAN COMFOR 1 FORMULA INFANTIL 800G</t>
        </is>
      </c>
      <c r="D3056" s="7" t="inlineStr">
        <is>
          <t>ALIMENTOS LACTEOS, DERIVADOS E SIMILARES</t>
        </is>
      </c>
      <c r="E3056" s="7" t="inlineStr">
        <is>
          <t>C</t>
        </is>
      </c>
      <c r="F3056" s="13" t="n">
        <v>2</v>
      </c>
      <c r="G3056" s="13" t="n">
        <v>2</v>
      </c>
      <c r="H3056" s="8" t="n">
        <v>68.3433</v>
      </c>
      <c r="I3056" s="8" t="n">
        <v>68.3433</v>
      </c>
      <c r="J3056" s="8" t="n">
        <v>68.3433</v>
      </c>
      <c r="K3056" s="8" t="n"/>
      <c r="L3056" s="8" t="n"/>
      <c r="M3056" s="8" t="n"/>
      <c r="N3056" s="8" t="n"/>
      <c r="O3056" s="8" t="n"/>
      <c r="P3056" s="8" t="n"/>
      <c r="Q3056" s="8" t="n"/>
      <c r="R3056" s="8" t="n"/>
      <c r="S3056" s="8" t="n"/>
      <c r="T3056" s="7" t="inlineStr">
        <is>
          <t>SEM COTAÇÃO</t>
        </is>
      </c>
      <c r="U3056" s="8" t="n"/>
      <c r="V3056" s="14" t="n"/>
      <c r="W3056" s="14" t="n"/>
      <c r="X3056" s="7" t="inlineStr"/>
      <c r="Y3056" s="7" t="inlineStr"/>
    </row>
    <row r="3057">
      <c r="A3057" s="7" t="n">
        <v>666161</v>
      </c>
      <c r="B3057" s="12" t="inlineStr"/>
      <c r="C3057" s="7" t="inlineStr">
        <is>
          <t>NAN COMFOR 6-12MESES HMO 6X800G BR</t>
        </is>
      </c>
      <c r="D3057" s="7" t="inlineStr">
        <is>
          <t>ALIMENTOS LACTEOS, DERIVADOS E SIMILARES</t>
        </is>
      </c>
      <c r="E3057" s="7" t="inlineStr">
        <is>
          <t>A</t>
        </is>
      </c>
      <c r="F3057" s="13" t="n">
        <v>2</v>
      </c>
      <c r="G3057" s="13" t="n">
        <v>8</v>
      </c>
      <c r="H3057" s="8" t="n">
        <v>73.84</v>
      </c>
      <c r="I3057" s="8" t="n">
        <v>66.08499999999999</v>
      </c>
      <c r="J3057" s="8" t="n">
        <v>68.67056666666666</v>
      </c>
      <c r="K3057" s="8" t="n"/>
      <c r="L3057" s="8" t="n"/>
      <c r="M3057" s="8" t="n"/>
      <c r="N3057" s="8" t="n"/>
      <c r="O3057" s="8" t="n"/>
      <c r="P3057" s="8" t="n"/>
      <c r="Q3057" s="8" t="n"/>
      <c r="R3057" s="8" t="n"/>
      <c r="S3057" s="8" t="n"/>
      <c r="T3057" s="7" t="inlineStr">
        <is>
          <t>SEM COTAÇÃO</t>
        </is>
      </c>
      <c r="U3057" s="8" t="n"/>
      <c r="V3057" s="14" t="n"/>
      <c r="W3057" s="14" t="n"/>
      <c r="X3057" s="7" t="inlineStr"/>
      <c r="Y3057" s="7" t="inlineStr"/>
    </row>
    <row r="3058">
      <c r="A3058" s="7" t="n">
        <v>590371</v>
      </c>
      <c r="B3058" s="12" t="inlineStr">
        <is>
          <t>7891000097649</t>
        </is>
      </c>
      <c r="C3058" s="7" t="inlineStr">
        <is>
          <t>NANLAC COMFOR FI 800G LT</t>
        </is>
      </c>
      <c r="D3058" s="7" t="inlineStr">
        <is>
          <t>ALIMENTOS LACTEOS, DERIVADOS E SIMILARES</t>
        </is>
      </c>
      <c r="E3058" s="7" t="inlineStr">
        <is>
          <t>C</t>
        </is>
      </c>
      <c r="F3058" s="13" t="n">
        <v>1</v>
      </c>
      <c r="G3058" s="13" t="n">
        <v>1</v>
      </c>
      <c r="H3058" s="8" t="n">
        <v>57.655</v>
      </c>
      <c r="I3058" s="8" t="n">
        <v>57.655</v>
      </c>
      <c r="J3058" s="8" t="n">
        <v>57.655</v>
      </c>
      <c r="K3058" s="8" t="n"/>
      <c r="L3058" s="8" t="n"/>
      <c r="M3058" s="8" t="n"/>
      <c r="N3058" s="8" t="n"/>
      <c r="O3058" s="8" t="n"/>
      <c r="P3058" s="15" t="n">
        <v>89.26000000000001</v>
      </c>
      <c r="Q3058" s="8" t="n"/>
      <c r="R3058" s="8" t="n"/>
      <c r="S3058" s="8" t="n"/>
      <c r="T3058" s="7" t="inlineStr">
        <is>
          <t>NAZARIA</t>
        </is>
      </c>
      <c r="U3058" s="8" t="n">
        <v>89.26000000000001</v>
      </c>
      <c r="V3058" s="14">
        <f>U3058/J3058-1</f>
        <v/>
      </c>
      <c r="W3058" s="14">
        <f>U3058/H3058-1</f>
        <v/>
      </c>
      <c r="X3058" s="16" t="inlineStr">
        <is>
          <t>ACIMA +54.8%</t>
        </is>
      </c>
      <c r="Y3058" s="7" t="inlineStr"/>
    </row>
    <row r="3059">
      <c r="A3059" s="7" t="n">
        <v>416901</v>
      </c>
      <c r="B3059" s="12" t="inlineStr">
        <is>
          <t>7896094206342</t>
        </is>
      </c>
      <c r="C3059" s="7" t="inlineStr">
        <is>
          <t>NAPRIX 2,5MG BL AL AL CX 30 COMP</t>
        </is>
      </c>
      <c r="D3059" s="7" t="inlineStr">
        <is>
          <t>RX</t>
        </is>
      </c>
      <c r="E3059" s="7" t="inlineStr">
        <is>
          <t>C</t>
        </is>
      </c>
      <c r="F3059" s="13" t="n">
        <v>1</v>
      </c>
      <c r="G3059" s="13" t="n">
        <v>1</v>
      </c>
      <c r="H3059" s="8" t="n">
        <v>58.95</v>
      </c>
      <c r="I3059" s="8" t="n">
        <v>58.95</v>
      </c>
      <c r="J3059" s="8" t="n">
        <v>58.95000000000001</v>
      </c>
      <c r="K3059" s="8" t="n"/>
      <c r="L3059" s="8" t="n"/>
      <c r="M3059" s="8" t="n"/>
      <c r="N3059" s="8" t="n"/>
      <c r="O3059" s="8" t="n"/>
      <c r="P3059" s="15" t="n">
        <v>65.21130000000001</v>
      </c>
      <c r="Q3059" s="8" t="n"/>
      <c r="R3059" s="8" t="n"/>
      <c r="S3059" s="8" t="n"/>
      <c r="T3059" s="7" t="inlineStr">
        <is>
          <t>NAZARIA</t>
        </is>
      </c>
      <c r="U3059" s="8" t="n">
        <v>65.21130000000001</v>
      </c>
      <c r="V3059" s="14">
        <f>U3059/J3059-1</f>
        <v/>
      </c>
      <c r="W3059" s="14">
        <f>U3059/H3059-1</f>
        <v/>
      </c>
      <c r="X3059" s="16" t="inlineStr">
        <is>
          <t>ACIMA +10.6%</t>
        </is>
      </c>
      <c r="Y3059" s="7" t="inlineStr"/>
    </row>
    <row r="3060">
      <c r="A3060" s="7" t="n">
        <v>290881</v>
      </c>
      <c r="B3060" s="12" t="inlineStr">
        <is>
          <t>7896094203266</t>
        </is>
      </c>
      <c r="C3060" s="7" t="inlineStr">
        <is>
          <t>NAPRIX D 12,5MG CX 30 CAP</t>
        </is>
      </c>
      <c r="D3060" s="7" t="inlineStr">
        <is>
          <t>CONVENIENCIA</t>
        </is>
      </c>
      <c r="E3060" s="7" t="inlineStr">
        <is>
          <t>C</t>
        </is>
      </c>
      <c r="F3060" s="13" t="n">
        <v>1</v>
      </c>
      <c r="G3060" s="13" t="n">
        <v>1</v>
      </c>
      <c r="H3060" s="8" t="n">
        <v>55.03</v>
      </c>
      <c r="I3060" s="8" t="n">
        <v>55.03</v>
      </c>
      <c r="J3060" s="8" t="n">
        <v>55.03</v>
      </c>
      <c r="K3060" s="8" t="n"/>
      <c r="L3060" s="8" t="n"/>
      <c r="M3060" s="8" t="n"/>
      <c r="N3060" s="8" t="n"/>
      <c r="O3060" s="8" t="n"/>
      <c r="P3060" s="15" t="n">
        <v>57.47940000000001</v>
      </c>
      <c r="Q3060" s="8" t="n"/>
      <c r="R3060" s="8" t="n"/>
      <c r="S3060" s="8" t="n"/>
      <c r="T3060" s="7" t="inlineStr">
        <is>
          <t>NAZARIA</t>
        </is>
      </c>
      <c r="U3060" s="8" t="n">
        <v>57.47940000000001</v>
      </c>
      <c r="V3060" s="14">
        <f>U3060/J3060-1</f>
        <v/>
      </c>
      <c r="W3060" s="14">
        <f>U3060/H3060-1</f>
        <v/>
      </c>
      <c r="X3060" s="16" t="inlineStr">
        <is>
          <t>ACIMA +4.5%</t>
        </is>
      </c>
      <c r="Y3060" s="7" t="inlineStr"/>
    </row>
    <row r="3061">
      <c r="A3061" s="7" t="n">
        <v>161061</v>
      </c>
      <c r="B3061" s="12" t="inlineStr"/>
      <c r="C3061" s="7" t="inlineStr">
        <is>
          <t>NARIX 0,5MG/ML SOL NAS FR GTS 30ML ADU</t>
        </is>
      </c>
      <c r="D3061" s="7" t="inlineStr">
        <is>
          <t>SIMILAR</t>
        </is>
      </c>
      <c r="E3061" s="7" t="inlineStr">
        <is>
          <t>A</t>
        </is>
      </c>
      <c r="F3061" s="13" t="n">
        <v>42</v>
      </c>
      <c r="G3061" s="13" t="n">
        <v>42</v>
      </c>
      <c r="H3061" s="8" t="n">
        <v>2.09</v>
      </c>
      <c r="I3061" s="8" t="n">
        <v>2.09</v>
      </c>
      <c r="J3061" s="8" t="n">
        <v>2.09</v>
      </c>
      <c r="K3061" s="8" t="n"/>
      <c r="L3061" s="8" t="n"/>
      <c r="M3061" s="8" t="n"/>
      <c r="N3061" s="8" t="n"/>
      <c r="O3061" s="8" t="n"/>
      <c r="P3061" s="8" t="n"/>
      <c r="Q3061" s="8" t="n"/>
      <c r="R3061" s="8" t="n"/>
      <c r="S3061" s="8" t="n"/>
      <c r="T3061" s="7" t="inlineStr">
        <is>
          <t>SEM COTAÇÃO</t>
        </is>
      </c>
      <c r="U3061" s="8" t="n"/>
      <c r="V3061" s="14" t="n"/>
      <c r="W3061" s="14" t="n"/>
      <c r="X3061" s="7" t="inlineStr"/>
      <c r="Y3061" s="7" t="inlineStr"/>
    </row>
    <row r="3062">
      <c r="A3062" s="7" t="n">
        <v>582301</v>
      </c>
      <c r="B3062" s="12" t="inlineStr">
        <is>
          <t>7897337716550</t>
        </is>
      </c>
      <c r="C3062" s="7" t="inlineStr">
        <is>
          <t>NASONEX 0,5MG/G SUS NAS FR SPR 60 ATOMIZ</t>
        </is>
      </c>
      <c r="D3062" s="7" t="inlineStr">
        <is>
          <t>RX</t>
        </is>
      </c>
      <c r="E3062" s="7" t="inlineStr">
        <is>
          <t>A</t>
        </is>
      </c>
      <c r="F3062" s="13" t="n">
        <v>3</v>
      </c>
      <c r="G3062" s="13" t="n">
        <v>3</v>
      </c>
      <c r="H3062" s="8" t="n">
        <v>37.12</v>
      </c>
      <c r="I3062" s="8" t="n">
        <v>33.325</v>
      </c>
      <c r="J3062" s="8" t="n">
        <v>35.51666666666667</v>
      </c>
      <c r="K3062" s="8" t="n"/>
      <c r="L3062" s="8" t="n"/>
      <c r="M3062" s="15" t="n">
        <v>37.12</v>
      </c>
      <c r="N3062" s="8" t="n"/>
      <c r="O3062" s="8" t="n"/>
      <c r="P3062" s="8" t="n">
        <v>37.2577</v>
      </c>
      <c r="Q3062" s="8" t="n"/>
      <c r="R3062" s="8" t="n"/>
      <c r="S3062" s="8" t="n"/>
      <c r="T3062" s="7" t="inlineStr">
        <is>
          <t>EPAN</t>
        </is>
      </c>
      <c r="U3062" s="8" t="n">
        <v>37.12</v>
      </c>
      <c r="V3062" s="14">
        <f>U3062/J3062-1</f>
        <v/>
      </c>
      <c r="W3062" s="14">
        <f>U3062/H3062-1</f>
        <v/>
      </c>
      <c r="X3062" s="17" t="inlineStr">
        <is>
          <t>OK (≤ últ. compra)</t>
        </is>
      </c>
      <c r="Y3062" s="7" t="inlineStr"/>
    </row>
    <row r="3063">
      <c r="A3063" s="7" t="n">
        <v>237461</v>
      </c>
      <c r="B3063" s="12" t="inlineStr">
        <is>
          <t>7896094201460</t>
        </is>
      </c>
      <c r="C3063" s="7" t="inlineStr">
        <is>
          <t>NATIFA 1MG CX 28 COMP REV</t>
        </is>
      </c>
      <c r="D3063" s="7" t="inlineStr">
        <is>
          <t>RX</t>
        </is>
      </c>
      <c r="E3063" s="7" t="inlineStr">
        <is>
          <t>A</t>
        </is>
      </c>
      <c r="F3063" s="13" t="n">
        <v>3</v>
      </c>
      <c r="G3063" s="13" t="n">
        <v>3</v>
      </c>
      <c r="H3063" s="8" t="n">
        <v>58.3</v>
      </c>
      <c r="I3063" s="8" t="n">
        <v>54.075</v>
      </c>
      <c r="J3063" s="8" t="n">
        <v>56.15666666666667</v>
      </c>
      <c r="K3063" s="8" t="n"/>
      <c r="L3063" s="8" t="n"/>
      <c r="M3063" s="8" t="n"/>
      <c r="N3063" s="8" t="n"/>
      <c r="O3063" s="8" t="n"/>
      <c r="P3063" s="15" t="n">
        <v>57.2418</v>
      </c>
      <c r="Q3063" s="8" t="n"/>
      <c r="R3063" s="8" t="n"/>
      <c r="S3063" s="8" t="n"/>
      <c r="T3063" s="7" t="inlineStr">
        <is>
          <t>NAZARIA</t>
        </is>
      </c>
      <c r="U3063" s="8" t="n">
        <v>57.2418</v>
      </c>
      <c r="V3063" s="14">
        <f>U3063/J3063-1</f>
        <v/>
      </c>
      <c r="W3063" s="14">
        <f>U3063/H3063-1</f>
        <v/>
      </c>
      <c r="X3063" s="17" t="inlineStr">
        <is>
          <t>OK (≤ últ. compra)</t>
        </is>
      </c>
      <c r="Y3063" s="7" t="inlineStr"/>
    </row>
    <row r="3064">
      <c r="A3064" s="7" t="n">
        <v>589301</v>
      </c>
      <c r="B3064" s="12" t="inlineStr">
        <is>
          <t>7896229909292</t>
        </is>
      </c>
      <c r="C3064" s="7" t="inlineStr">
        <is>
          <t>NATU HAIR SOS MANUT INT 300ML COCO</t>
        </is>
      </c>
      <c r="D3064" s="7" t="inlineStr">
        <is>
          <t>PERF/COSME</t>
        </is>
      </c>
      <c r="E3064" s="7" t="inlineStr">
        <is>
          <t>C</t>
        </is>
      </c>
      <c r="F3064" s="13" t="n">
        <v>1</v>
      </c>
      <c r="G3064" s="13" t="n">
        <v>1</v>
      </c>
      <c r="H3064" s="8" t="n">
        <v>10.23</v>
      </c>
      <c r="I3064" s="8" t="n">
        <v>10.23</v>
      </c>
      <c r="J3064" s="8" t="n">
        <v>10.23</v>
      </c>
      <c r="K3064" s="8" t="n"/>
      <c r="L3064" s="8" t="n"/>
      <c r="M3064" s="8" t="n"/>
      <c r="N3064" s="8" t="n"/>
      <c r="O3064" s="8" t="n"/>
      <c r="P3064" s="8" t="n"/>
      <c r="Q3064" s="8" t="n"/>
      <c r="R3064" s="8" t="n"/>
      <c r="S3064" s="8" t="n"/>
      <c r="T3064" s="7" t="inlineStr">
        <is>
          <t>SEM COTAÇÃO</t>
        </is>
      </c>
      <c r="U3064" s="8" t="n"/>
      <c r="V3064" s="14" t="n"/>
      <c r="W3064" s="14" t="n"/>
      <c r="X3064" s="7" t="inlineStr"/>
      <c r="Y3064" s="7" t="inlineStr"/>
    </row>
    <row r="3065">
      <c r="A3065" s="7" t="n">
        <v>628551</v>
      </c>
      <c r="B3065" s="12" t="inlineStr">
        <is>
          <t>7896229945108</t>
        </is>
      </c>
      <c r="C3065" s="7" t="inlineStr">
        <is>
          <t>NATU HAIR SOS REP PTA 30ML OLEO ROSA MOS</t>
        </is>
      </c>
      <c r="D3065" s="7" t="inlineStr">
        <is>
          <t>TINTAS/DESCOLORANTES</t>
        </is>
      </c>
      <c r="E3065" s="7" t="inlineStr">
        <is>
          <t>C</t>
        </is>
      </c>
      <c r="F3065" s="13" t="n">
        <v>2</v>
      </c>
      <c r="G3065" s="13" t="n">
        <v>2</v>
      </c>
      <c r="H3065" s="8" t="n">
        <v>7.61</v>
      </c>
      <c r="I3065" s="8" t="n">
        <v>7.61</v>
      </c>
      <c r="J3065" s="8" t="n">
        <v>7.61</v>
      </c>
      <c r="K3065" s="8" t="n"/>
      <c r="L3065" s="8" t="n"/>
      <c r="M3065" s="8" t="n"/>
      <c r="N3065" s="8" t="n"/>
      <c r="O3065" s="8" t="n"/>
      <c r="P3065" s="8" t="n"/>
      <c r="Q3065" s="8" t="n"/>
      <c r="R3065" s="8" t="n"/>
      <c r="S3065" s="8" t="n"/>
      <c r="T3065" s="7" t="inlineStr">
        <is>
          <t>SEM COTAÇÃO</t>
        </is>
      </c>
      <c r="U3065" s="8" t="n"/>
      <c r="V3065" s="14" t="n"/>
      <c r="W3065" s="14" t="n"/>
      <c r="X3065" s="7" t="inlineStr"/>
      <c r="Y3065" s="7" t="inlineStr"/>
    </row>
    <row r="3066">
      <c r="A3066" s="7" t="n">
        <v>604781</v>
      </c>
      <c r="B3066" s="12" t="inlineStr"/>
      <c r="C3066" s="7" t="inlineStr">
        <is>
          <t>NATUHAIR AMPOLA 10ML CONCEN AT-QUEDA</t>
        </is>
      </c>
      <c r="D3066" s="7" t="inlineStr">
        <is>
          <t>PERF/COSME</t>
        </is>
      </c>
      <c r="E3066" s="7" t="inlineStr">
        <is>
          <t>C</t>
        </is>
      </c>
      <c r="F3066" s="13" t="n">
        <v>3</v>
      </c>
      <c r="G3066" s="13" t="n">
        <v>3</v>
      </c>
      <c r="H3066" s="8" t="n">
        <v>1.71</v>
      </c>
      <c r="I3066" s="8" t="n">
        <v>1.71</v>
      </c>
      <c r="J3066" s="8" t="n">
        <v>1.71</v>
      </c>
      <c r="K3066" s="8" t="n"/>
      <c r="L3066" s="8" t="n"/>
      <c r="M3066" s="8" t="n"/>
      <c r="N3066" s="8" t="n"/>
      <c r="O3066" s="8" t="n"/>
      <c r="P3066" s="8" t="n"/>
      <c r="Q3066" s="8" t="n"/>
      <c r="R3066" s="8" t="n"/>
      <c r="S3066" s="8" t="n"/>
      <c r="T3066" s="7" t="inlineStr">
        <is>
          <t>SEM COTAÇÃO</t>
        </is>
      </c>
      <c r="U3066" s="8" t="n"/>
      <c r="V3066" s="14" t="n"/>
      <c r="W3066" s="14" t="n"/>
      <c r="X3066" s="7" t="inlineStr"/>
      <c r="Y3066" s="7" t="inlineStr"/>
    </row>
    <row r="3067">
      <c r="A3067" s="7" t="n">
        <v>359461</v>
      </c>
      <c r="B3067" s="12" t="inlineStr"/>
      <c r="C3067" s="7" t="inlineStr">
        <is>
          <t>NATUS GERIN CAP GEL MOLE CT BL AL PLAS TRANS X 50</t>
        </is>
      </c>
      <c r="D3067" s="7" t="inlineStr">
        <is>
          <t>SIMILAR</t>
        </is>
      </c>
      <c r="E3067" s="7" t="inlineStr">
        <is>
          <t>A</t>
        </is>
      </c>
      <c r="F3067" s="13" t="n">
        <v>2</v>
      </c>
      <c r="G3067" s="13" t="n">
        <v>2</v>
      </c>
      <c r="H3067" s="8" t="n">
        <v>42.51</v>
      </c>
      <c r="I3067" s="8" t="n">
        <v>40.91</v>
      </c>
      <c r="J3067" s="8" t="n">
        <v>40.91</v>
      </c>
      <c r="K3067" s="8" t="n"/>
      <c r="L3067" s="8" t="n"/>
      <c r="M3067" s="8" t="n"/>
      <c r="N3067" s="8" t="n"/>
      <c r="O3067" s="8" t="n"/>
      <c r="P3067" s="8" t="n"/>
      <c r="Q3067" s="8" t="n"/>
      <c r="R3067" s="8" t="n"/>
      <c r="S3067" s="8" t="n"/>
      <c r="T3067" s="7" t="inlineStr">
        <is>
          <t>SEM COTAÇÃO</t>
        </is>
      </c>
      <c r="U3067" s="8" t="n"/>
      <c r="V3067" s="14" t="n"/>
      <c r="W3067" s="14" t="n"/>
      <c r="X3067" s="7" t="inlineStr"/>
      <c r="Y3067" s="7" t="inlineStr"/>
    </row>
    <row r="3068">
      <c r="A3068" s="7" t="n">
        <v>660211</v>
      </c>
      <c r="B3068" s="12" t="inlineStr"/>
      <c r="C3068" s="7" t="inlineStr">
        <is>
          <t>NEBULIZADOR INALADOR PORTATIL MESH</t>
        </is>
      </c>
      <c r="D3068" s="7" t="inlineStr">
        <is>
          <t>UTENSILIOS</t>
        </is>
      </c>
      <c r="E3068" s="7" t="inlineStr">
        <is>
          <t>C</t>
        </is>
      </c>
      <c r="F3068" s="13" t="n">
        <v>1</v>
      </c>
      <c r="G3068" s="13" t="n">
        <v>1</v>
      </c>
      <c r="H3068" s="8" t="n">
        <v>79.98999999999999</v>
      </c>
      <c r="I3068" s="8" t="n">
        <v>79.98999999999999</v>
      </c>
      <c r="J3068" s="8" t="n">
        <v>79.98999999999999</v>
      </c>
      <c r="K3068" s="8" t="n"/>
      <c r="L3068" s="8" t="n"/>
      <c r="M3068" s="8" t="n"/>
      <c r="N3068" s="8" t="n"/>
      <c r="O3068" s="8" t="n"/>
      <c r="P3068" s="8" t="n"/>
      <c r="Q3068" s="8" t="n"/>
      <c r="R3068" s="8" t="n"/>
      <c r="S3068" s="8" t="n"/>
      <c r="T3068" s="7" t="inlineStr">
        <is>
          <t>SEM COTAÇÃO</t>
        </is>
      </c>
      <c r="U3068" s="8" t="n"/>
      <c r="V3068" s="14" t="n"/>
      <c r="W3068" s="14" t="n"/>
      <c r="X3068" s="7" t="inlineStr"/>
      <c r="Y3068" s="7" t="inlineStr"/>
    </row>
    <row r="3069">
      <c r="A3069" s="7" t="n">
        <v>629611</v>
      </c>
      <c r="B3069" s="12" t="inlineStr">
        <is>
          <t>7891000377130</t>
        </is>
      </c>
      <c r="C3069" s="7" t="inlineStr">
        <is>
          <t>NEGRESCO BISCOITO RECHEADO CHOC 90G</t>
        </is>
      </c>
      <c r="D3069" s="7" t="inlineStr">
        <is>
          <t>CONVENIENCIA</t>
        </is>
      </c>
      <c r="E3069" s="7" t="inlineStr">
        <is>
          <t>C</t>
        </is>
      </c>
      <c r="F3069" s="13" t="n">
        <v>1</v>
      </c>
      <c r="G3069" s="13" t="n">
        <v>19</v>
      </c>
      <c r="H3069" s="8" t="n">
        <v>2.2736</v>
      </c>
      <c r="I3069" s="8" t="n">
        <v>2.2736</v>
      </c>
      <c r="J3069" s="8" t="n">
        <v>2.2736</v>
      </c>
      <c r="K3069" s="8" t="n"/>
      <c r="L3069" s="8" t="n"/>
      <c r="M3069" s="8" t="n"/>
      <c r="N3069" s="8" t="n"/>
      <c r="O3069" s="8" t="n"/>
      <c r="P3069" s="8" t="n"/>
      <c r="Q3069" s="8" t="n"/>
      <c r="R3069" s="8" t="n"/>
      <c r="S3069" s="8" t="n"/>
      <c r="T3069" s="7" t="inlineStr">
        <is>
          <t>SEM COTAÇÃO</t>
        </is>
      </c>
      <c r="U3069" s="8" t="n"/>
      <c r="V3069" s="14" t="n"/>
      <c r="W3069" s="14" t="n"/>
      <c r="X3069" s="7" t="inlineStr"/>
      <c r="Y3069" s="7" t="inlineStr"/>
    </row>
    <row r="3070">
      <c r="A3070" s="7" t="n">
        <v>631631</v>
      </c>
      <c r="B3070" s="12" t="inlineStr">
        <is>
          <t>7891000376805</t>
        </is>
      </c>
      <c r="C3070" s="7" t="inlineStr">
        <is>
          <t>NEGRESCO BISCOITO RECHEADO MRG 90G</t>
        </is>
      </c>
      <c r="D3070" s="7" t="inlineStr">
        <is>
          <t>CONVENIENCIA</t>
        </is>
      </c>
      <c r="E3070" s="7" t="inlineStr">
        <is>
          <t>C</t>
        </is>
      </c>
      <c r="F3070" s="13" t="n">
        <v>11</v>
      </c>
      <c r="G3070" s="13" t="n">
        <v>11</v>
      </c>
      <c r="H3070" s="8" t="n">
        <v>1.7793</v>
      </c>
      <c r="I3070" s="8" t="n">
        <v>1.7793</v>
      </c>
      <c r="J3070" s="8" t="n">
        <v>1.7793</v>
      </c>
      <c r="K3070" s="8" t="n"/>
      <c r="L3070" s="8" t="n"/>
      <c r="M3070" s="8" t="n"/>
      <c r="N3070" s="8" t="n"/>
      <c r="O3070" s="8" t="n"/>
      <c r="P3070" s="8" t="n"/>
      <c r="Q3070" s="8" t="n"/>
      <c r="R3070" s="8" t="n"/>
      <c r="S3070" s="8" t="n"/>
      <c r="T3070" s="7" t="inlineStr">
        <is>
          <t>SEM COTAÇÃO</t>
        </is>
      </c>
      <c r="U3070" s="8" t="n"/>
      <c r="V3070" s="14" t="n"/>
      <c r="W3070" s="14" t="n"/>
      <c r="X3070" s="7" t="inlineStr"/>
      <c r="Y3070" s="7" t="inlineStr"/>
    </row>
    <row r="3071">
      <c r="A3071" s="7" t="n">
        <v>626541</v>
      </c>
      <c r="B3071" s="12" t="inlineStr">
        <is>
          <t>7891000077962</t>
        </is>
      </c>
      <c r="C3071" s="7" t="inlineStr">
        <is>
          <t>NEGRESCO WAFER 110G</t>
        </is>
      </c>
      <c r="D3071" s="7" t="inlineStr">
        <is>
          <t>CONVENIENCIA</t>
        </is>
      </c>
      <c r="E3071" s="7" t="inlineStr">
        <is>
          <t>C</t>
        </is>
      </c>
      <c r="F3071" s="13" t="n">
        <v>1</v>
      </c>
      <c r="G3071" s="13" t="n">
        <v>7</v>
      </c>
      <c r="H3071" s="8" t="n">
        <v>3.9333</v>
      </c>
      <c r="I3071" s="8" t="n">
        <v>3.9333</v>
      </c>
      <c r="J3071" s="8" t="n">
        <v>3.9333</v>
      </c>
      <c r="K3071" s="8" t="n"/>
      <c r="L3071" s="8" t="n"/>
      <c r="M3071" s="8" t="n"/>
      <c r="N3071" s="8" t="n"/>
      <c r="O3071" s="8" t="n"/>
      <c r="P3071" s="8" t="n"/>
      <c r="Q3071" s="8" t="n"/>
      <c r="R3071" s="8" t="n"/>
      <c r="S3071" s="8" t="n"/>
      <c r="T3071" s="7" t="inlineStr">
        <is>
          <t>SEM COTAÇÃO</t>
        </is>
      </c>
      <c r="U3071" s="8" t="n"/>
      <c r="V3071" s="14" t="n"/>
      <c r="W3071" s="14" t="n"/>
      <c r="X3071" s="7" t="inlineStr"/>
      <c r="Y3071" s="7" t="inlineStr"/>
    </row>
    <row r="3072">
      <c r="A3072" s="7" t="n">
        <v>35503</v>
      </c>
      <c r="B3072" s="12" t="inlineStr">
        <is>
          <t>7896714296227</t>
        </is>
      </c>
      <c r="C3072" s="7" t="inlineStr">
        <is>
          <t>NEOLYTE 4 SCH 29,44G UVA (CLOR SODIO+POTASSIO+SODIO+GLICOSE)</t>
        </is>
      </c>
      <c r="D3072" s="7" t="inlineStr">
        <is>
          <t>SIMILAR</t>
        </is>
      </c>
      <c r="E3072" s="7" t="inlineStr">
        <is>
          <t>B</t>
        </is>
      </c>
      <c r="F3072" s="13" t="n">
        <v>1</v>
      </c>
      <c r="G3072" s="13" t="n">
        <v>1</v>
      </c>
      <c r="H3072" s="8" t="n">
        <v>11.43</v>
      </c>
      <c r="I3072" s="8" t="n">
        <v>11.43</v>
      </c>
      <c r="J3072" s="8" t="n">
        <v>11.43</v>
      </c>
      <c r="K3072" s="8" t="n"/>
      <c r="L3072" s="8" t="n"/>
      <c r="M3072" s="8" t="n"/>
      <c r="N3072" s="8" t="n"/>
      <c r="O3072" s="8" t="n"/>
      <c r="P3072" s="8" t="n"/>
      <c r="Q3072" s="15" t="n">
        <v>10.97</v>
      </c>
      <c r="R3072" s="8" t="n"/>
      <c r="S3072" s="8" t="n"/>
      <c r="T3072" s="7" t="inlineStr">
        <is>
          <t>MEDCENTRO</t>
        </is>
      </c>
      <c r="U3072" s="8" t="n">
        <v>10.97</v>
      </c>
      <c r="V3072" s="14">
        <f>U3072/J3072-1</f>
        <v/>
      </c>
      <c r="W3072" s="14">
        <f>U3072/H3072-1</f>
        <v/>
      </c>
      <c r="X3072" s="17" t="inlineStr">
        <is>
          <t>OK (≤ menor hist.)</t>
        </is>
      </c>
      <c r="Y3072" s="7" t="inlineStr"/>
    </row>
    <row r="3073">
      <c r="A3073" s="7" t="n">
        <v>35403</v>
      </c>
      <c r="B3073" s="12" t="inlineStr">
        <is>
          <t>7896714296203</t>
        </is>
      </c>
      <c r="C3073" s="7" t="inlineStr">
        <is>
          <t>NEOLYTE CX 4 SACHES NATURAL</t>
        </is>
      </c>
      <c r="D3073" s="7" t="inlineStr">
        <is>
          <t>SIMILAR</t>
        </is>
      </c>
      <c r="E3073" s="7" t="inlineStr">
        <is>
          <t>C</t>
        </is>
      </c>
      <c r="F3073" s="13" t="n">
        <v>1</v>
      </c>
      <c r="G3073" s="13" t="n">
        <v>1</v>
      </c>
      <c r="H3073" s="8" t="n">
        <v>11.05</v>
      </c>
      <c r="I3073" s="8" t="n">
        <v>11.05</v>
      </c>
      <c r="J3073" s="8" t="n">
        <v>11.05</v>
      </c>
      <c r="K3073" s="8" t="n"/>
      <c r="L3073" s="8" t="n"/>
      <c r="M3073" s="8" t="n"/>
      <c r="N3073" s="8" t="n"/>
      <c r="O3073" s="8" t="n"/>
      <c r="P3073" s="8" t="n"/>
      <c r="Q3073" s="15" t="n">
        <v>10.6</v>
      </c>
      <c r="R3073" s="8" t="n"/>
      <c r="S3073" s="8" t="n"/>
      <c r="T3073" s="7" t="inlineStr">
        <is>
          <t>MEDCENTRO</t>
        </is>
      </c>
      <c r="U3073" s="8" t="n">
        <v>10.6</v>
      </c>
      <c r="V3073" s="14">
        <f>U3073/J3073-1</f>
        <v/>
      </c>
      <c r="W3073" s="14">
        <f>U3073/H3073-1</f>
        <v/>
      </c>
      <c r="X3073" s="17" t="inlineStr">
        <is>
          <t>OK (≤ menor hist.)</t>
        </is>
      </c>
      <c r="Y3073" s="7" t="inlineStr"/>
    </row>
    <row r="3074">
      <c r="A3074" s="7" t="n">
        <v>451361</v>
      </c>
      <c r="B3074" s="12" t="inlineStr"/>
      <c r="C3074" s="7" t="inlineStr">
        <is>
          <t>NEOMICINA+BACITRACINA 5MG+250UI/G POM DERM BG 15G</t>
        </is>
      </c>
      <c r="D3074" s="7" t="inlineStr">
        <is>
          <t>GENERICO - ATB</t>
        </is>
      </c>
      <c r="E3074" s="7" t="inlineStr">
        <is>
          <t>A</t>
        </is>
      </c>
      <c r="F3074" s="13" t="n">
        <v>4</v>
      </c>
      <c r="G3074" s="13" t="n">
        <v>4</v>
      </c>
      <c r="H3074" s="8" t="n">
        <v>3.85</v>
      </c>
      <c r="I3074" s="8" t="n">
        <v>3.45</v>
      </c>
      <c r="J3074" s="8" t="n">
        <v>3.583333333333333</v>
      </c>
      <c r="K3074" s="8" t="n"/>
      <c r="L3074" s="8" t="n"/>
      <c r="M3074" s="8" t="n"/>
      <c r="N3074" s="8" t="n"/>
      <c r="O3074" s="8" t="n"/>
      <c r="P3074" s="8" t="n"/>
      <c r="Q3074" s="8" t="n"/>
      <c r="R3074" s="8" t="n"/>
      <c r="S3074" s="8" t="n"/>
      <c r="T3074" s="7" t="inlineStr">
        <is>
          <t>SEM COTAÇÃO</t>
        </is>
      </c>
      <c r="U3074" s="8" t="n"/>
      <c r="V3074" s="14" t="n"/>
      <c r="W3074" s="14" t="n"/>
      <c r="X3074" s="7" t="inlineStr"/>
      <c r="Y3074" s="7" t="inlineStr"/>
    </row>
    <row r="3075">
      <c r="A3075" s="7" t="n">
        <v>644711</v>
      </c>
      <c r="B3075" s="12" t="inlineStr">
        <is>
          <t>7891010254025</t>
        </is>
      </c>
      <c r="C3075" s="7" t="inlineStr">
        <is>
          <t>NEOS MINESOL COR/ROS FPS70 120ML</t>
        </is>
      </c>
      <c r="D3075" s="7" t="inlineStr">
        <is>
          <t>RX - DERMO</t>
        </is>
      </c>
      <c r="E3075" s="7" t="inlineStr">
        <is>
          <t>C</t>
        </is>
      </c>
      <c r="F3075" s="13" t="n">
        <v>1</v>
      </c>
      <c r="G3075" s="13" t="n">
        <v>1</v>
      </c>
      <c r="H3075" s="8" t="n">
        <v>82.5275</v>
      </c>
      <c r="I3075" s="8" t="n">
        <v>82.5275</v>
      </c>
      <c r="J3075" s="8" t="n">
        <v>82.5275</v>
      </c>
      <c r="K3075" s="8" t="n"/>
      <c r="L3075" s="8" t="n"/>
      <c r="M3075" s="8" t="n">
        <v>104.68</v>
      </c>
      <c r="N3075" s="8" t="n"/>
      <c r="O3075" s="8" t="n"/>
      <c r="P3075" s="15" t="n">
        <v>127.48</v>
      </c>
      <c r="Q3075" s="8" t="n"/>
      <c r="R3075" s="8" t="n"/>
      <c r="S3075" s="8" t="n"/>
      <c r="T3075" s="7" t="inlineStr">
        <is>
          <t>NAZARIA</t>
        </is>
      </c>
      <c r="U3075" s="8" t="n">
        <v>127.48</v>
      </c>
      <c r="V3075" s="14">
        <f>U3075/J3075-1</f>
        <v/>
      </c>
      <c r="W3075" s="14">
        <f>U3075/H3075-1</f>
        <v/>
      </c>
      <c r="X3075" s="16" t="inlineStr">
        <is>
          <t>ACIMA +54.5%</t>
        </is>
      </c>
      <c r="Y3075" s="7" t="inlineStr">
        <is>
          <t>EPAN: sem estoque</t>
        </is>
      </c>
    </row>
    <row r="3076">
      <c r="A3076" s="7" t="n">
        <v>644791</v>
      </c>
      <c r="B3076" s="12" t="inlineStr">
        <is>
          <t>7891010248130</t>
        </is>
      </c>
      <c r="C3076" s="7" t="inlineStr">
        <is>
          <t>NEOS MINESOL COR/ROS FPS99 200ML</t>
        </is>
      </c>
      <c r="D3076" s="7" t="inlineStr">
        <is>
          <t>RX - DERMO</t>
        </is>
      </c>
      <c r="E3076" s="7" t="inlineStr">
        <is>
          <t>A</t>
        </is>
      </c>
      <c r="F3076" s="13" t="n">
        <v>2</v>
      </c>
      <c r="G3076" s="13" t="n">
        <v>2</v>
      </c>
      <c r="H3076" s="8" t="n">
        <v>126.85</v>
      </c>
      <c r="I3076" s="8" t="n">
        <v>126.85</v>
      </c>
      <c r="J3076" s="8" t="n">
        <v>126.85</v>
      </c>
      <c r="K3076" s="8" t="n"/>
      <c r="L3076" s="8" t="n"/>
      <c r="M3076" s="15" t="n">
        <v>128.52</v>
      </c>
      <c r="N3076" s="8" t="n"/>
      <c r="O3076" s="8" t="n"/>
      <c r="P3076" s="8" t="n">
        <v>156.49</v>
      </c>
      <c r="Q3076" s="8" t="n"/>
      <c r="R3076" s="8" t="n"/>
      <c r="S3076" s="8" t="n"/>
      <c r="T3076" s="7" t="inlineStr">
        <is>
          <t>EPAN</t>
        </is>
      </c>
      <c r="U3076" s="8" t="n">
        <v>128.52</v>
      </c>
      <c r="V3076" s="14">
        <f>U3076/J3076-1</f>
        <v/>
      </c>
      <c r="W3076" s="14">
        <f>U3076/H3076-1</f>
        <v/>
      </c>
      <c r="X3076" s="16" t="inlineStr">
        <is>
          <t>ACIMA +1.3%</t>
        </is>
      </c>
      <c r="Y3076" s="7" t="inlineStr"/>
    </row>
    <row r="3077">
      <c r="A3077" s="7" t="n">
        <v>669601</v>
      </c>
      <c r="B3077" s="12" t="inlineStr">
        <is>
          <t>7896046304126</t>
        </is>
      </c>
      <c r="C3077" s="7" t="inlineStr">
        <is>
          <t>NEOVITE MAX 30CAP BLPA</t>
        </is>
      </c>
      <c r="D3077" s="7" t="inlineStr">
        <is>
          <t>RX</t>
        </is>
      </c>
      <c r="E3077" s="7" t="inlineStr">
        <is>
          <t>B</t>
        </is>
      </c>
      <c r="F3077" s="13" t="n">
        <v>1</v>
      </c>
      <c r="G3077" s="13" t="n">
        <v>1</v>
      </c>
      <c r="H3077" s="8" t="n">
        <v>81.84</v>
      </c>
      <c r="I3077" s="8" t="n">
        <v>81.84</v>
      </c>
      <c r="J3077" s="8" t="n">
        <v>81.84</v>
      </c>
      <c r="K3077" s="8" t="n"/>
      <c r="L3077" s="8" t="n"/>
      <c r="M3077" s="8" t="n"/>
      <c r="N3077" s="8" t="n"/>
      <c r="O3077" s="8" t="n"/>
      <c r="P3077" s="15" t="n">
        <v>166.63</v>
      </c>
      <c r="Q3077" s="8" t="n"/>
      <c r="R3077" s="8" t="n"/>
      <c r="S3077" s="8" t="n"/>
      <c r="T3077" s="7" t="inlineStr">
        <is>
          <t>NAZARIA</t>
        </is>
      </c>
      <c r="U3077" s="8" t="n">
        <v>166.63</v>
      </c>
      <c r="V3077" s="14">
        <f>U3077/J3077-1</f>
        <v/>
      </c>
      <c r="W3077" s="14">
        <f>U3077/H3077-1</f>
        <v/>
      </c>
      <c r="X3077" s="16" t="inlineStr">
        <is>
          <t>ACIMA +103.6%</t>
        </is>
      </c>
      <c r="Y3077" s="7" t="inlineStr">
        <is>
          <t>NAZARIA: conferir emb.</t>
        </is>
      </c>
    </row>
    <row r="3078">
      <c r="A3078" s="7" t="n">
        <v>556401</v>
      </c>
      <c r="B3078" s="12" t="inlineStr">
        <is>
          <t>7896677704890</t>
        </is>
      </c>
      <c r="C3078" s="7" t="inlineStr">
        <is>
          <t>NERVOCALM 250MG CX 20 COMP</t>
        </is>
      </c>
      <c r="D3078" s="7" t="inlineStr">
        <is>
          <t>RX</t>
        </is>
      </c>
      <c r="E3078" s="7" t="inlineStr">
        <is>
          <t>B</t>
        </is>
      </c>
      <c r="F3078" s="13" t="n">
        <v>5</v>
      </c>
      <c r="G3078" s="13" t="n">
        <v>5</v>
      </c>
      <c r="H3078" s="8" t="n">
        <v>31.33</v>
      </c>
      <c r="I3078" s="8" t="n">
        <v>22.32</v>
      </c>
      <c r="J3078" s="8" t="n">
        <v>28.32666666666666</v>
      </c>
      <c r="K3078" s="8" t="n">
        <v>30.46</v>
      </c>
      <c r="L3078" s="8" t="n"/>
      <c r="M3078" s="8" t="n"/>
      <c r="N3078" s="8" t="n"/>
      <c r="O3078" s="8" t="n"/>
      <c r="P3078" s="15" t="n">
        <v>30.15</v>
      </c>
      <c r="Q3078" s="8" t="n"/>
      <c r="R3078" s="8" t="n"/>
      <c r="S3078" s="8" t="n"/>
      <c r="T3078" s="7" t="inlineStr">
        <is>
          <t>NAZARIA</t>
        </is>
      </c>
      <c r="U3078" s="8" t="n">
        <v>30.15</v>
      </c>
      <c r="V3078" s="14">
        <f>U3078/J3078-1</f>
        <v/>
      </c>
      <c r="W3078" s="14">
        <f>U3078/H3078-1</f>
        <v/>
      </c>
      <c r="X3078" s="17" t="inlineStr">
        <is>
          <t>OK (≤ últ. compra)</t>
        </is>
      </c>
      <c r="Y3078" s="7" t="inlineStr"/>
    </row>
    <row r="3079">
      <c r="A3079" s="7" t="n">
        <v>653821</v>
      </c>
      <c r="B3079" s="12" t="inlineStr">
        <is>
          <t>7891000389225</t>
        </is>
      </c>
      <c r="C3079" s="7" t="inlineStr">
        <is>
          <t>NESCAFE CAPPU CANELABEBGARR 4(6X270ML)BR</t>
        </is>
      </c>
      <c r="D3079" s="7" t="inlineStr">
        <is>
          <t>BEBIDAS GERAL</t>
        </is>
      </c>
      <c r="E3079" s="7" t="inlineStr">
        <is>
          <t>C</t>
        </is>
      </c>
      <c r="F3079" s="13" t="n">
        <v>1</v>
      </c>
      <c r="G3079" s="13" t="n">
        <v>1</v>
      </c>
      <c r="H3079" s="8" t="n">
        <v>5.8217</v>
      </c>
      <c r="I3079" s="8" t="n">
        <v>5.8217</v>
      </c>
      <c r="J3079" s="8" t="n">
        <v>5.8217</v>
      </c>
      <c r="K3079" s="8" t="n"/>
      <c r="L3079" s="8" t="n"/>
      <c r="M3079" s="8" t="n"/>
      <c r="N3079" s="8" t="n"/>
      <c r="O3079" s="8" t="n"/>
      <c r="P3079" s="8" t="n"/>
      <c r="Q3079" s="8" t="n"/>
      <c r="R3079" s="8" t="n"/>
      <c r="S3079" s="8" t="n"/>
      <c r="T3079" s="7" t="inlineStr">
        <is>
          <t>SEM COTAÇÃO</t>
        </is>
      </c>
      <c r="U3079" s="8" t="n"/>
      <c r="V3079" s="14" t="n"/>
      <c r="W3079" s="14" t="n"/>
      <c r="X3079" s="7" t="inlineStr"/>
      <c r="Y3079" s="7" t="inlineStr"/>
    </row>
    <row r="3080">
      <c r="A3080" s="7" t="n">
        <v>653841</v>
      </c>
      <c r="B3080" s="12" t="inlineStr">
        <is>
          <t>17891000389314</t>
        </is>
      </c>
      <c r="C3080" s="7" t="inlineStr">
        <is>
          <t>NESCAFE CHOC NO BEB GARRAFAPLAS</t>
        </is>
      </c>
      <c r="D3080" s="7" t="inlineStr">
        <is>
          <t>BEBIDAS GERAL</t>
        </is>
      </c>
      <c r="E3080" s="7" t="inlineStr">
        <is>
          <t>B</t>
        </is>
      </c>
      <c r="F3080" s="13" t="n">
        <v>1</v>
      </c>
      <c r="G3080" s="13" t="n">
        <v>3</v>
      </c>
      <c r="H3080" s="8" t="n">
        <v>5.6858</v>
      </c>
      <c r="I3080" s="8" t="n">
        <v>5.6858</v>
      </c>
      <c r="J3080" s="8" t="n">
        <v>5.6858</v>
      </c>
      <c r="K3080" s="8" t="n"/>
      <c r="L3080" s="8" t="n"/>
      <c r="M3080" s="8" t="n"/>
      <c r="N3080" s="8" t="n"/>
      <c r="O3080" s="8" t="n"/>
      <c r="P3080" s="8" t="n"/>
      <c r="Q3080" s="8" t="n"/>
      <c r="R3080" s="8" t="n"/>
      <c r="S3080" s="8" t="n"/>
      <c r="T3080" s="7" t="inlineStr">
        <is>
          <t>SEM COTAÇÃO</t>
        </is>
      </c>
      <c r="U3080" s="8" t="n"/>
      <c r="V3080" s="14" t="n"/>
      <c r="W3080" s="14" t="n"/>
      <c r="X3080" s="7" t="inlineStr"/>
      <c r="Y3080" s="7" t="inlineStr"/>
    </row>
    <row r="3081">
      <c r="A3081" s="7" t="n">
        <v>705601</v>
      </c>
      <c r="B3081" s="12" t="inlineStr">
        <is>
          <t>7891000417409</t>
        </is>
      </c>
      <c r="C3081" s="7" t="inlineStr">
        <is>
          <t>NESCAFE PROENERGY CHOCNO 270ML</t>
        </is>
      </c>
      <c r="D3081" s="7" t="inlineStr">
        <is>
          <t>BEBIDAS GERAL</t>
        </is>
      </c>
      <c r="E3081" s="7" t="inlineStr">
        <is>
          <t>B</t>
        </is>
      </c>
      <c r="F3081" s="13" t="n">
        <v>4</v>
      </c>
      <c r="G3081" s="13" t="n">
        <v>4</v>
      </c>
      <c r="H3081" s="8" t="n">
        <v>8.0442</v>
      </c>
      <c r="I3081" s="8" t="n">
        <v>8.0442</v>
      </c>
      <c r="J3081" s="8" t="n">
        <v>8.0442</v>
      </c>
      <c r="K3081" s="8" t="n"/>
      <c r="L3081" s="8" t="n"/>
      <c r="M3081" s="8" t="n"/>
      <c r="N3081" s="8" t="n"/>
      <c r="O3081" s="8" t="n"/>
      <c r="P3081" s="8" t="n">
        <v>8.5</v>
      </c>
      <c r="Q3081" s="8" t="n"/>
      <c r="R3081" s="8" t="n"/>
      <c r="S3081" s="8" t="n"/>
      <c r="T3081" s="7" t="inlineStr">
        <is>
          <t>SEM COTAÇÃO</t>
        </is>
      </c>
      <c r="U3081" s="8" t="n"/>
      <c r="V3081" s="14" t="n"/>
      <c r="W3081" s="14" t="n"/>
      <c r="X3081" s="7" t="inlineStr"/>
      <c r="Y3081" s="7" t="inlineStr">
        <is>
          <t>NAZARIA: sem estoque</t>
        </is>
      </c>
    </row>
    <row r="3082">
      <c r="A3082" s="7" t="n">
        <v>595131</v>
      </c>
      <c r="B3082" s="12" t="inlineStr">
        <is>
          <t>7891000381113</t>
        </is>
      </c>
      <c r="C3082" s="7" t="inlineStr">
        <is>
          <t>NESCAU ACTIV-GO B LACTEA ZERO LACT 180ML</t>
        </is>
      </c>
      <c r="D3082" s="7" t="inlineStr">
        <is>
          <t>BEBIDAS GERAL</t>
        </is>
      </c>
      <c r="E3082" s="7" t="inlineStr">
        <is>
          <t>C</t>
        </is>
      </c>
      <c r="F3082" s="13" t="n">
        <v>8</v>
      </c>
      <c r="G3082" s="13" t="n">
        <v>8</v>
      </c>
      <c r="H3082" s="8" t="n">
        <v>2.4633</v>
      </c>
      <c r="I3082" s="8" t="n">
        <v>2.4159</v>
      </c>
      <c r="J3082" s="8" t="n">
        <v>2.4475</v>
      </c>
      <c r="K3082" s="8" t="n"/>
      <c r="L3082" s="8" t="n"/>
      <c r="M3082" s="8" t="n"/>
      <c r="N3082" s="8" t="n"/>
      <c r="O3082" s="8" t="n"/>
      <c r="P3082" s="8" t="n"/>
      <c r="Q3082" s="8" t="n"/>
      <c r="R3082" s="8" t="n"/>
      <c r="S3082" s="8" t="n"/>
      <c r="T3082" s="7" t="inlineStr">
        <is>
          <t>SEM COTAÇÃO</t>
        </is>
      </c>
      <c r="U3082" s="8" t="n"/>
      <c r="V3082" s="14" t="n"/>
      <c r="W3082" s="14" t="n"/>
      <c r="X3082" s="7" t="inlineStr"/>
      <c r="Y3082" s="7" t="inlineStr"/>
    </row>
    <row r="3083">
      <c r="A3083" s="7" t="n">
        <v>595071</v>
      </c>
      <c r="B3083" s="12" t="inlineStr">
        <is>
          <t>7891000338285</t>
        </is>
      </c>
      <c r="C3083" s="7" t="inlineStr">
        <is>
          <t>NESCAU BALL CHOCOLATE 75G</t>
        </is>
      </c>
      <c r="D3083" s="7" t="inlineStr">
        <is>
          <t>CONVENIENCIA</t>
        </is>
      </c>
      <c r="E3083" s="7" t="inlineStr">
        <is>
          <t>B</t>
        </is>
      </c>
      <c r="F3083" s="13" t="n">
        <v>14</v>
      </c>
      <c r="G3083" s="13" t="n">
        <v>14</v>
      </c>
      <c r="H3083" s="8" t="n">
        <v>7.8908</v>
      </c>
      <c r="I3083" s="8" t="n">
        <v>7.8908</v>
      </c>
      <c r="J3083" s="8" t="n">
        <v>7.8908</v>
      </c>
      <c r="K3083" s="8" t="n"/>
      <c r="L3083" s="8" t="n"/>
      <c r="M3083" s="8" t="n"/>
      <c r="N3083" s="8" t="n"/>
      <c r="O3083" s="8" t="n"/>
      <c r="P3083" s="8" t="n"/>
      <c r="Q3083" s="8" t="n"/>
      <c r="R3083" s="8" t="n"/>
      <c r="S3083" s="8" t="n"/>
      <c r="T3083" s="7" t="inlineStr">
        <is>
          <t>SEM COTAÇÃO</t>
        </is>
      </c>
      <c r="U3083" s="8" t="n"/>
      <c r="V3083" s="14" t="n"/>
      <c r="W3083" s="14" t="n"/>
      <c r="X3083" s="7" t="inlineStr"/>
      <c r="Y3083" s="7" t="inlineStr"/>
    </row>
    <row r="3084">
      <c r="A3084" s="7" t="n">
        <v>592101</v>
      </c>
      <c r="B3084" s="12" t="inlineStr">
        <is>
          <t>7891000101926</t>
        </is>
      </c>
      <c r="C3084" s="7" t="inlineStr">
        <is>
          <t>NESCAU BEBIDA GARRAFA PLAS 270ML</t>
        </is>
      </c>
      <c r="D3084" s="7" t="inlineStr">
        <is>
          <t>BEBIDAS GERAL</t>
        </is>
      </c>
      <c r="E3084" s="7" t="inlineStr">
        <is>
          <t>C</t>
        </is>
      </c>
      <c r="F3084" s="13" t="n">
        <v>6</v>
      </c>
      <c r="G3084" s="13" t="n">
        <v>6</v>
      </c>
      <c r="H3084" s="8" t="n">
        <v>5.6858</v>
      </c>
      <c r="I3084" s="8" t="n">
        <v>5.24</v>
      </c>
      <c r="J3084" s="8" t="n">
        <v>5.537200000000001</v>
      </c>
      <c r="K3084" s="8" t="n"/>
      <c r="L3084" s="8" t="n"/>
      <c r="M3084" s="8" t="n"/>
      <c r="N3084" s="8" t="n"/>
      <c r="O3084" s="8" t="n"/>
      <c r="P3084" s="8" t="n"/>
      <c r="Q3084" s="8" t="n"/>
      <c r="R3084" s="8" t="n"/>
      <c r="S3084" s="8" t="n"/>
      <c r="T3084" s="7" t="inlineStr">
        <is>
          <t>SEM COTAÇÃO</t>
        </is>
      </c>
      <c r="U3084" s="8" t="n"/>
      <c r="V3084" s="14" t="n"/>
      <c r="W3084" s="14" t="n"/>
      <c r="X3084" s="7" t="inlineStr"/>
      <c r="Y3084" s="7" t="inlineStr"/>
    </row>
    <row r="3085">
      <c r="A3085" s="7" t="n">
        <v>611141</v>
      </c>
      <c r="B3085" s="12" t="inlineStr">
        <is>
          <t>7891000070673</t>
        </is>
      </c>
      <c r="C3085" s="7" t="inlineStr">
        <is>
          <t>NESCAU CEREAL MATINAL SACHET 120G</t>
        </is>
      </c>
      <c r="D3085" s="7" t="inlineStr">
        <is>
          <t>ALIMENTOS LACTEOS, DERIVADOS E SIMILARES</t>
        </is>
      </c>
      <c r="E3085" s="7" t="inlineStr">
        <is>
          <t>C</t>
        </is>
      </c>
      <c r="F3085" s="13" t="n">
        <v>1</v>
      </c>
      <c r="G3085" s="13" t="n">
        <v>1</v>
      </c>
      <c r="H3085" s="8" t="n">
        <v>6.8442</v>
      </c>
      <c r="I3085" s="8" t="n">
        <v>6.8442</v>
      </c>
      <c r="J3085" s="8" t="n">
        <v>6.8442</v>
      </c>
      <c r="K3085" s="8" t="n"/>
      <c r="L3085" s="8" t="n"/>
      <c r="M3085" s="8" t="n"/>
      <c r="N3085" s="8" t="n"/>
      <c r="O3085" s="8" t="n"/>
      <c r="P3085" s="8" t="n"/>
      <c r="Q3085" s="8" t="n"/>
      <c r="R3085" s="8" t="n"/>
      <c r="S3085" s="8" t="n"/>
      <c r="T3085" s="7" t="inlineStr">
        <is>
          <t>SEM COTAÇÃO</t>
        </is>
      </c>
      <c r="U3085" s="8" t="n"/>
      <c r="V3085" s="14" t="n"/>
      <c r="W3085" s="14" t="n"/>
      <c r="X3085" s="7" t="inlineStr"/>
      <c r="Y3085" s="7" t="inlineStr"/>
    </row>
    <row r="3086">
      <c r="A3086" s="7" t="n">
        <v>623371</v>
      </c>
      <c r="B3086" s="12" t="inlineStr">
        <is>
          <t>7891000339558</t>
        </is>
      </c>
      <c r="C3086" s="7" t="inlineStr">
        <is>
          <t>NESCAU COOKIE CHOC GOTAS DUO 60G BR</t>
        </is>
      </c>
      <c r="D3086" s="7" t="inlineStr">
        <is>
          <t>CONVENIENCIA</t>
        </is>
      </c>
      <c r="E3086" s="7" t="inlineStr">
        <is>
          <t>C</t>
        </is>
      </c>
      <c r="F3086" s="13" t="n">
        <v>1</v>
      </c>
      <c r="G3086" s="13" t="n">
        <v>1</v>
      </c>
      <c r="H3086" s="8" t="n">
        <v>2.7117</v>
      </c>
      <c r="I3086" s="8" t="n">
        <v>2.7117</v>
      </c>
      <c r="J3086" s="8" t="n">
        <v>2.7117</v>
      </c>
      <c r="K3086" s="8" t="n"/>
      <c r="L3086" s="8" t="n"/>
      <c r="M3086" s="8" t="n"/>
      <c r="N3086" s="8" t="n"/>
      <c r="O3086" s="8" t="n"/>
      <c r="P3086" s="8" t="n"/>
      <c r="Q3086" s="8" t="n"/>
      <c r="R3086" s="8" t="n"/>
      <c r="S3086" s="8" t="n"/>
      <c r="T3086" s="7" t="inlineStr">
        <is>
          <t>SEM COTAÇÃO</t>
        </is>
      </c>
      <c r="U3086" s="8" t="n"/>
      <c r="V3086" s="14" t="n"/>
      <c r="W3086" s="14" t="n"/>
      <c r="X3086" s="7" t="inlineStr"/>
      <c r="Y3086" s="7" t="inlineStr"/>
    </row>
    <row r="3087">
      <c r="A3087" s="7" t="n">
        <v>705701</v>
      </c>
      <c r="B3087" s="12" t="inlineStr">
        <is>
          <t>7891000446799</t>
        </is>
      </c>
      <c r="C3087" s="7" t="inlineStr">
        <is>
          <t>NESCAU PROTEIN 250ML</t>
        </is>
      </c>
      <c r="D3087" s="7" t="inlineStr">
        <is>
          <t>BEBIDAS GERAL</t>
        </is>
      </c>
      <c r="E3087" s="7" t="inlineStr">
        <is>
          <t>B</t>
        </is>
      </c>
      <c r="F3087" s="13" t="n">
        <v>8</v>
      </c>
      <c r="G3087" s="13" t="n">
        <v>8</v>
      </c>
      <c r="H3087" s="8" t="n">
        <v>6.6733</v>
      </c>
      <c r="I3087" s="8" t="n">
        <v>6.6733</v>
      </c>
      <c r="J3087" s="8" t="n">
        <v>6.6733</v>
      </c>
      <c r="K3087" s="8" t="n"/>
      <c r="L3087" s="8" t="n"/>
      <c r="M3087" s="8" t="n"/>
      <c r="N3087" s="8" t="n"/>
      <c r="O3087" s="8" t="n"/>
      <c r="P3087" s="8" t="n"/>
      <c r="Q3087" s="8" t="n"/>
      <c r="R3087" s="8" t="n"/>
      <c r="S3087" s="8" t="n"/>
      <c r="T3087" s="7" t="inlineStr">
        <is>
          <t>SEM COTAÇÃO</t>
        </is>
      </c>
      <c r="U3087" s="8" t="n"/>
      <c r="V3087" s="14" t="n"/>
      <c r="W3087" s="14" t="n"/>
      <c r="X3087" s="7" t="inlineStr"/>
      <c r="Y3087" s="7" t="inlineStr"/>
    </row>
    <row r="3088">
      <c r="A3088" s="7" t="n">
        <v>623361</v>
      </c>
      <c r="B3088" s="12" t="inlineStr">
        <is>
          <t>7891000304556</t>
        </is>
      </c>
      <c r="C3088" s="7" t="inlineStr">
        <is>
          <t>NESFIT BISCOITO CACAU E CEREAIS 160GBR</t>
        </is>
      </c>
      <c r="D3088" s="7" t="inlineStr">
        <is>
          <t>CONVENIENCIA</t>
        </is>
      </c>
      <c r="E3088" s="7" t="inlineStr">
        <is>
          <t>C</t>
        </is>
      </c>
      <c r="F3088" s="13" t="n">
        <v>2</v>
      </c>
      <c r="G3088" s="13" t="n">
        <v>2</v>
      </c>
      <c r="H3088" s="8" t="n">
        <v>3.1567</v>
      </c>
      <c r="I3088" s="8" t="n">
        <v>3.1567</v>
      </c>
      <c r="J3088" s="8" t="n">
        <v>3.156699999999999</v>
      </c>
      <c r="K3088" s="8" t="n"/>
      <c r="L3088" s="8" t="n"/>
      <c r="M3088" s="8" t="n"/>
      <c r="N3088" s="8" t="n"/>
      <c r="O3088" s="8" t="n"/>
      <c r="P3088" s="8" t="n"/>
      <c r="Q3088" s="8" t="n"/>
      <c r="R3088" s="8" t="n"/>
      <c r="S3088" s="8" t="n"/>
      <c r="T3088" s="7" t="inlineStr">
        <is>
          <t>SEM COTAÇÃO</t>
        </is>
      </c>
      <c r="U3088" s="8" t="n"/>
      <c r="V3088" s="14" t="n"/>
      <c r="W3088" s="14" t="n"/>
      <c r="X3088" s="7" t="inlineStr"/>
      <c r="Y3088" s="7" t="inlineStr"/>
    </row>
    <row r="3089">
      <c r="A3089" s="7" t="n">
        <v>629571</v>
      </c>
      <c r="B3089" s="12" t="inlineStr">
        <is>
          <t>7891000255773</t>
        </is>
      </c>
      <c r="C3089" s="7" t="inlineStr">
        <is>
          <t>NESFIT COOKIE CACAU E AVELA 60G</t>
        </is>
      </c>
      <c r="D3089" s="7" t="inlineStr">
        <is>
          <t>CONVENIENCIA</t>
        </is>
      </c>
      <c r="E3089" s="7" t="inlineStr">
        <is>
          <t>C</t>
        </is>
      </c>
      <c r="F3089" s="13" t="n">
        <v>2</v>
      </c>
      <c r="G3089" s="13" t="n">
        <v>2</v>
      </c>
      <c r="H3089" s="8" t="n">
        <v>2.7117</v>
      </c>
      <c r="I3089" s="8" t="n">
        <v>2.7117</v>
      </c>
      <c r="J3089" s="8" t="n">
        <v>2.7117</v>
      </c>
      <c r="K3089" s="8" t="n"/>
      <c r="L3089" s="8" t="n"/>
      <c r="M3089" s="8" t="n"/>
      <c r="N3089" s="8" t="n"/>
      <c r="O3089" s="8" t="n"/>
      <c r="P3089" s="8" t="n"/>
      <c r="Q3089" s="8" t="n"/>
      <c r="R3089" s="8" t="n"/>
      <c r="S3089" s="8" t="n"/>
      <c r="T3089" s="7" t="inlineStr">
        <is>
          <t>SEM COTAÇÃO</t>
        </is>
      </c>
      <c r="U3089" s="8" t="n"/>
      <c r="V3089" s="14" t="n"/>
      <c r="W3089" s="14" t="n"/>
      <c r="X3089" s="7" t="inlineStr"/>
      <c r="Y3089" s="7" t="inlineStr"/>
    </row>
    <row r="3090">
      <c r="A3090" s="7" t="n">
        <v>655661</v>
      </c>
      <c r="B3090" s="12" t="inlineStr">
        <is>
          <t>7891000289709</t>
        </is>
      </c>
      <c r="C3090" s="7" t="inlineStr">
        <is>
          <t>NESFIT DELICE BISC CACAUEAVELA 45X140GBR</t>
        </is>
      </c>
      <c r="D3090" s="7" t="inlineStr">
        <is>
          <t>BISCOITOS/SALGADOS</t>
        </is>
      </c>
      <c r="E3090" s="7" t="inlineStr">
        <is>
          <t>C</t>
        </is>
      </c>
      <c r="F3090" s="13" t="n">
        <v>1</v>
      </c>
      <c r="G3090" s="13" t="n">
        <v>1</v>
      </c>
      <c r="H3090" s="8" t="n">
        <v>3.2183</v>
      </c>
      <c r="I3090" s="8" t="n">
        <v>3.1525</v>
      </c>
      <c r="J3090" s="8" t="n">
        <v>3.174433333333333</v>
      </c>
      <c r="K3090" s="8" t="n"/>
      <c r="L3090" s="8" t="n"/>
      <c r="M3090" s="8" t="n"/>
      <c r="N3090" s="8" t="n"/>
      <c r="O3090" s="8" t="n"/>
      <c r="P3090" s="8" t="n"/>
      <c r="Q3090" s="8" t="n"/>
      <c r="R3090" s="8" t="n"/>
      <c r="S3090" s="8" t="n"/>
      <c r="T3090" s="7" t="inlineStr">
        <is>
          <t>SEM COTAÇÃO</t>
        </is>
      </c>
      <c r="U3090" s="8" t="n"/>
      <c r="V3090" s="14" t="n"/>
      <c r="W3090" s="14" t="n"/>
      <c r="X3090" s="7" t="inlineStr"/>
      <c r="Y3090" s="7" t="inlineStr"/>
    </row>
    <row r="3091">
      <c r="A3091" s="7" t="n">
        <v>592131</v>
      </c>
      <c r="B3091" s="12" t="inlineStr">
        <is>
          <t>7891000389201</t>
        </is>
      </c>
      <c r="C3091" s="7" t="inlineStr">
        <is>
          <t>NESQUIK BEBIDA LACTEA MRG 180ML</t>
        </is>
      </c>
      <c r="D3091" s="7" t="inlineStr">
        <is>
          <t>BEBIDAS GERAL</t>
        </is>
      </c>
      <c r="E3091" s="7" t="inlineStr">
        <is>
          <t>B</t>
        </is>
      </c>
      <c r="F3091" s="13" t="n">
        <v>5</v>
      </c>
      <c r="G3091" s="13" t="n">
        <v>5</v>
      </c>
      <c r="H3091" s="8" t="n">
        <v>2.515</v>
      </c>
      <c r="I3091" s="8" t="n">
        <v>2.463</v>
      </c>
      <c r="J3091" s="8" t="n">
        <v>2.480333333333333</v>
      </c>
      <c r="K3091" s="8" t="n"/>
      <c r="L3091" s="8" t="n"/>
      <c r="M3091" s="8" t="n"/>
      <c r="N3091" s="8" t="n"/>
      <c r="O3091" s="8" t="n"/>
      <c r="P3091" s="8" t="n"/>
      <c r="Q3091" s="8" t="n"/>
      <c r="R3091" s="8" t="n"/>
      <c r="S3091" s="8" t="n"/>
      <c r="T3091" s="7" t="inlineStr">
        <is>
          <t>SEM COTAÇÃO</t>
        </is>
      </c>
      <c r="U3091" s="8" t="n"/>
      <c r="V3091" s="14" t="n"/>
      <c r="W3091" s="14" t="n"/>
      <c r="X3091" s="7" t="inlineStr"/>
      <c r="Y3091" s="7" t="inlineStr"/>
    </row>
    <row r="3092">
      <c r="A3092" s="7" t="n">
        <v>705801</v>
      </c>
      <c r="B3092" s="12" t="inlineStr">
        <is>
          <t>7891000476444</t>
        </is>
      </c>
      <c r="C3092" s="7" t="inlineStr">
        <is>
          <t>NEST CHOCOSTICKCRMLSALGADO 24G</t>
        </is>
      </c>
      <c r="D3092" s="7" t="inlineStr">
        <is>
          <t>CHOCOLATES</t>
        </is>
      </c>
      <c r="E3092" s="7" t="inlineStr">
        <is>
          <t>C</t>
        </is>
      </c>
      <c r="F3092" s="13" t="n">
        <v>1</v>
      </c>
      <c r="G3092" s="13" t="n">
        <v>5</v>
      </c>
      <c r="H3092" s="8" t="n">
        <v>2.0075</v>
      </c>
      <c r="I3092" s="8" t="n">
        <v>2.0075</v>
      </c>
      <c r="J3092" s="8" t="n">
        <v>2.0075</v>
      </c>
      <c r="K3092" s="8" t="n"/>
      <c r="L3092" s="8" t="n"/>
      <c r="M3092" s="8" t="n"/>
      <c r="N3092" s="8" t="n"/>
      <c r="O3092" s="8" t="n"/>
      <c r="P3092" s="8" t="n"/>
      <c r="Q3092" s="8" t="n"/>
      <c r="R3092" s="8" t="n"/>
      <c r="S3092" s="8" t="n"/>
      <c r="T3092" s="7" t="inlineStr">
        <is>
          <t>SEM COTAÇÃO</t>
        </is>
      </c>
      <c r="U3092" s="8" t="n"/>
      <c r="V3092" s="14" t="n"/>
      <c r="W3092" s="14" t="n"/>
      <c r="X3092" s="7" t="inlineStr"/>
      <c r="Y3092" s="7" t="inlineStr"/>
    </row>
    <row r="3093">
      <c r="A3093" s="7" t="n">
        <v>669201</v>
      </c>
      <c r="B3093" s="12" t="inlineStr">
        <is>
          <t>17891000402976</t>
        </is>
      </c>
      <c r="C3093" s="7" t="inlineStr">
        <is>
          <t>NESTLE CHOCOBISCUIT CHOC AOLEI 78G BR</t>
        </is>
      </c>
      <c r="D3093" s="7" t="inlineStr">
        <is>
          <t>CHOCOLATES</t>
        </is>
      </c>
      <c r="E3093" s="7" t="inlineStr">
        <is>
          <t>B</t>
        </is>
      </c>
      <c r="F3093" s="13" t="n">
        <v>2</v>
      </c>
      <c r="G3093" s="13" t="n">
        <v>2</v>
      </c>
      <c r="H3093" s="8" t="n">
        <v>6.0795</v>
      </c>
      <c r="I3093" s="8" t="n">
        <v>6.0795</v>
      </c>
      <c r="J3093" s="8" t="n">
        <v>6.0795</v>
      </c>
      <c r="K3093" s="8" t="n"/>
      <c r="L3093" s="8" t="n"/>
      <c r="M3093" s="8" t="n"/>
      <c r="N3093" s="8" t="n"/>
      <c r="O3093" s="8" t="n"/>
      <c r="P3093" s="8" t="n"/>
      <c r="Q3093" s="8" t="n"/>
      <c r="R3093" s="8" t="n"/>
      <c r="S3093" s="8" t="n"/>
      <c r="T3093" s="7" t="inlineStr">
        <is>
          <t>SEM COTAÇÃO</t>
        </is>
      </c>
      <c r="U3093" s="8" t="n"/>
      <c r="V3093" s="14" t="n"/>
      <c r="W3093" s="14" t="n"/>
      <c r="X3093" s="7" t="inlineStr"/>
      <c r="Y3093" s="7" t="inlineStr"/>
    </row>
    <row r="3094">
      <c r="A3094" s="7" t="n">
        <v>609961</v>
      </c>
      <c r="B3094" s="12" t="inlineStr"/>
      <c r="C3094" s="7" t="inlineStr">
        <is>
          <t>NESTLE CHOCOBISCUIT LEITE 4 90G</t>
        </is>
      </c>
      <c r="D3094" s="7" t="inlineStr">
        <is>
          <t>CONVENIENCIA</t>
        </is>
      </c>
      <c r="E3094" s="7" t="inlineStr">
        <is>
          <t>A</t>
        </is>
      </c>
      <c r="F3094" s="13" t="n">
        <v>2</v>
      </c>
      <c r="G3094" s="13" t="n">
        <v>20</v>
      </c>
      <c r="H3094" s="8" t="n">
        <v>7.1533</v>
      </c>
      <c r="I3094" s="8" t="n">
        <v>7.1533</v>
      </c>
      <c r="J3094" s="8" t="n">
        <v>7.153299999999999</v>
      </c>
      <c r="K3094" s="8" t="n"/>
      <c r="L3094" s="8" t="n"/>
      <c r="M3094" s="8" t="n"/>
      <c r="N3094" s="8" t="n"/>
      <c r="O3094" s="8" t="n"/>
      <c r="P3094" s="8" t="n"/>
      <c r="Q3094" s="8" t="n"/>
      <c r="R3094" s="8" t="n"/>
      <c r="S3094" s="8" t="n"/>
      <c r="T3094" s="7" t="inlineStr">
        <is>
          <t>SEM COTAÇÃO</t>
        </is>
      </c>
      <c r="U3094" s="8" t="n"/>
      <c r="V3094" s="14" t="n"/>
      <c r="W3094" s="14" t="n"/>
      <c r="X3094" s="7" t="inlineStr"/>
      <c r="Y3094" s="7" t="inlineStr"/>
    </row>
    <row r="3095">
      <c r="A3095" s="7" t="n">
        <v>587441</v>
      </c>
      <c r="B3095" s="12" t="inlineStr">
        <is>
          <t>7891000369098</t>
        </is>
      </c>
      <c r="C3095" s="7" t="inlineStr">
        <is>
          <t>NESTLE CHOCOLATE CLASSIC 80G</t>
        </is>
      </c>
      <c r="D3095" s="7" t="inlineStr">
        <is>
          <t>CONVENIENCIA</t>
        </is>
      </c>
      <c r="E3095" s="7" t="inlineStr">
        <is>
          <t>A</t>
        </is>
      </c>
      <c r="F3095" s="13" t="n">
        <v>2</v>
      </c>
      <c r="G3095" s="13" t="n">
        <v>24</v>
      </c>
      <c r="H3095" s="8" t="n">
        <v>7.0694</v>
      </c>
      <c r="I3095" s="8" t="n">
        <v>7.0694</v>
      </c>
      <c r="J3095" s="8" t="n">
        <v>7.069399999999999</v>
      </c>
      <c r="K3095" s="8" t="n"/>
      <c r="L3095" s="8" t="n"/>
      <c r="M3095" s="8" t="n"/>
      <c r="N3095" s="8" t="n"/>
      <c r="O3095" s="8" t="n"/>
      <c r="P3095" s="8" t="n"/>
      <c r="Q3095" s="8" t="n"/>
      <c r="R3095" s="8" t="n"/>
      <c r="S3095" s="8" t="n"/>
      <c r="T3095" s="7" t="inlineStr">
        <is>
          <t>SEM COTAÇÃO</t>
        </is>
      </c>
      <c r="U3095" s="8" t="n"/>
      <c r="V3095" s="14" t="n"/>
      <c r="W3095" s="14" t="n"/>
      <c r="X3095" s="7" t="inlineStr"/>
      <c r="Y3095" s="7" t="inlineStr"/>
    </row>
    <row r="3096">
      <c r="A3096" s="7" t="n">
        <v>666211</v>
      </c>
      <c r="B3096" s="12" t="inlineStr">
        <is>
          <t>17891000361228</t>
        </is>
      </c>
      <c r="C3096" s="7" t="inlineStr">
        <is>
          <t>NESTLE CLASSIC CHOC AO LEITE 150G</t>
        </is>
      </c>
      <c r="D3096" s="7" t="inlineStr">
        <is>
          <t>CHOCOLATES</t>
        </is>
      </c>
      <c r="E3096" s="7" t="inlineStr">
        <is>
          <t>C</t>
        </is>
      </c>
      <c r="F3096" s="13" t="n">
        <v>1</v>
      </c>
      <c r="G3096" s="13" t="n">
        <v>12</v>
      </c>
      <c r="H3096" s="8" t="n">
        <v>11.7782</v>
      </c>
      <c r="I3096" s="8" t="n">
        <v>11.6605</v>
      </c>
      <c r="J3096" s="8" t="n">
        <v>11.73896666666667</v>
      </c>
      <c r="K3096" s="8" t="n"/>
      <c r="L3096" s="8" t="n"/>
      <c r="M3096" s="8" t="n"/>
      <c r="N3096" s="8" t="n"/>
      <c r="O3096" s="8" t="n"/>
      <c r="P3096" s="8" t="n"/>
      <c r="Q3096" s="8" t="n"/>
      <c r="R3096" s="8" t="n"/>
      <c r="S3096" s="8" t="n"/>
      <c r="T3096" s="7" t="inlineStr">
        <is>
          <t>SEM COTAÇÃO</t>
        </is>
      </c>
      <c r="U3096" s="8" t="n"/>
      <c r="V3096" s="14" t="n"/>
      <c r="W3096" s="14" t="n"/>
      <c r="X3096" s="7" t="inlineStr"/>
      <c r="Y3096" s="7" t="inlineStr"/>
    </row>
    <row r="3097">
      <c r="A3097" s="7" t="n">
        <v>595111</v>
      </c>
      <c r="B3097" s="12" t="inlineStr">
        <is>
          <t>7891000359006</t>
        </is>
      </c>
      <c r="C3097" s="7" t="inlineStr">
        <is>
          <t>NESTLE CLASSIC DUO COOKIE 22X150G BR</t>
        </is>
      </c>
      <c r="D3097" s="7" t="inlineStr">
        <is>
          <t>CONVENIENCIA</t>
        </is>
      </c>
      <c r="E3097" s="7" t="inlineStr">
        <is>
          <t>C</t>
        </is>
      </c>
      <c r="F3097" s="13" t="n">
        <v>1</v>
      </c>
      <c r="G3097" s="13" t="n">
        <v>9</v>
      </c>
      <c r="H3097" s="8" t="n">
        <v>11.7782</v>
      </c>
      <c r="I3097" s="8" t="n">
        <v>11.6605</v>
      </c>
      <c r="J3097" s="8" t="n">
        <v>11.73896666666667</v>
      </c>
      <c r="K3097" s="8" t="n"/>
      <c r="L3097" s="8" t="n"/>
      <c r="M3097" s="8" t="n"/>
      <c r="N3097" s="8" t="n"/>
      <c r="O3097" s="8" t="n"/>
      <c r="P3097" s="8" t="n"/>
      <c r="Q3097" s="8" t="n"/>
      <c r="R3097" s="8" t="n"/>
      <c r="S3097" s="8" t="n"/>
      <c r="T3097" s="7" t="inlineStr">
        <is>
          <t>SEM COTAÇÃO</t>
        </is>
      </c>
      <c r="U3097" s="8" t="n"/>
      <c r="V3097" s="14" t="n"/>
      <c r="W3097" s="14" t="n"/>
      <c r="X3097" s="7" t="inlineStr"/>
      <c r="Y3097" s="7" t="inlineStr"/>
    </row>
    <row r="3098">
      <c r="A3098" s="7" t="n">
        <v>595121</v>
      </c>
      <c r="B3098" s="12" t="inlineStr">
        <is>
          <t>7891000358764</t>
        </is>
      </c>
      <c r="C3098" s="7" t="inlineStr">
        <is>
          <t>NESTLE FARINHA LACTEA TRDL 360G</t>
        </is>
      </c>
      <c r="D3098" s="7" t="inlineStr">
        <is>
          <t>ALIMENTOS LACTEOS, DERIVADOS E SIMILARES</t>
        </is>
      </c>
      <c r="E3098" s="7" t="inlineStr">
        <is>
          <t>C</t>
        </is>
      </c>
      <c r="F3098" s="13" t="n">
        <v>2</v>
      </c>
      <c r="G3098" s="13" t="n">
        <v>2</v>
      </c>
      <c r="H3098" s="8" t="n">
        <v>11.4844</v>
      </c>
      <c r="I3098" s="8" t="n">
        <v>11.4844</v>
      </c>
      <c r="J3098" s="8" t="n">
        <v>11.4844</v>
      </c>
      <c r="K3098" s="8" t="n"/>
      <c r="L3098" s="8" t="n"/>
      <c r="M3098" s="8" t="n"/>
      <c r="N3098" s="8" t="n"/>
      <c r="O3098" s="8" t="n"/>
      <c r="P3098" s="8" t="n"/>
      <c r="Q3098" s="8" t="n"/>
      <c r="R3098" s="8" t="n"/>
      <c r="S3098" s="8" t="n"/>
      <c r="T3098" s="7" t="inlineStr">
        <is>
          <t>SEM COTAÇÃO</t>
        </is>
      </c>
      <c r="U3098" s="8" t="n"/>
      <c r="V3098" s="14" t="n"/>
      <c r="W3098" s="14" t="n"/>
      <c r="X3098" s="7" t="inlineStr"/>
      <c r="Y3098" s="7" t="inlineStr"/>
    </row>
    <row r="3099">
      <c r="A3099" s="7" t="n">
        <v>588721</v>
      </c>
      <c r="B3099" s="12" t="inlineStr"/>
      <c r="C3099" s="7" t="inlineStr">
        <is>
          <t>NESTLE MATERNA FR 30 COMP</t>
        </is>
      </c>
      <c r="D3099" s="7" t="inlineStr">
        <is>
          <t>RX - OTC</t>
        </is>
      </c>
      <c r="E3099" s="7" t="inlineStr">
        <is>
          <t>A</t>
        </is>
      </c>
      <c r="F3099" s="13" t="n">
        <v>5</v>
      </c>
      <c r="G3099" s="13" t="n">
        <v>5</v>
      </c>
      <c r="H3099" s="8" t="n">
        <v>58.1583</v>
      </c>
      <c r="I3099" s="8" t="n">
        <v>50.575</v>
      </c>
      <c r="J3099" s="8" t="n">
        <v>55.62946666666667</v>
      </c>
      <c r="K3099" s="8" t="n"/>
      <c r="L3099" s="8" t="n"/>
      <c r="M3099" s="8" t="n"/>
      <c r="N3099" s="8" t="n"/>
      <c r="O3099" s="8" t="n"/>
      <c r="P3099" s="8" t="n"/>
      <c r="Q3099" s="8" t="n"/>
      <c r="R3099" s="8" t="n"/>
      <c r="S3099" s="8" t="n"/>
      <c r="T3099" s="7" t="inlineStr">
        <is>
          <t>SEM COTAÇÃO</t>
        </is>
      </c>
      <c r="U3099" s="8" t="n"/>
      <c r="V3099" s="14" t="n"/>
      <c r="W3099" s="14" t="n"/>
      <c r="X3099" s="7" t="inlineStr"/>
      <c r="Y3099" s="7" t="inlineStr"/>
    </row>
    <row r="3100">
      <c r="A3100" s="7" t="n">
        <v>567381</v>
      </c>
      <c r="B3100" s="12" t="inlineStr">
        <is>
          <t>7891000056523</t>
        </is>
      </c>
      <c r="C3100" s="7" t="inlineStr">
        <is>
          <t>NESTOGENO 1 400G</t>
        </is>
      </c>
      <c r="D3100" s="7" t="inlineStr">
        <is>
          <t>ALIMENTOS LACTEOS, DERIVADOS E SIMILARES</t>
        </is>
      </c>
      <c r="E3100" s="7" t="inlineStr">
        <is>
          <t>A</t>
        </is>
      </c>
      <c r="F3100" s="13" t="n">
        <v>2</v>
      </c>
      <c r="G3100" s="13" t="n">
        <v>13</v>
      </c>
      <c r="H3100" s="8" t="n">
        <v>34.68</v>
      </c>
      <c r="I3100" s="8" t="n">
        <v>28.8158</v>
      </c>
      <c r="J3100" s="8" t="n">
        <v>30.77053333333333</v>
      </c>
      <c r="K3100" s="8" t="n"/>
      <c r="L3100" s="8" t="n"/>
      <c r="M3100" s="8" t="n"/>
      <c r="N3100" s="8" t="n"/>
      <c r="O3100" s="8" t="n"/>
      <c r="P3100" s="15" t="n">
        <v>41.78</v>
      </c>
      <c r="Q3100" s="8" t="n"/>
      <c r="R3100" s="8" t="n"/>
      <c r="S3100" s="8" t="n"/>
      <c r="T3100" s="7" t="inlineStr">
        <is>
          <t>NAZARIA</t>
        </is>
      </c>
      <c r="U3100" s="8" t="n">
        <v>41.78</v>
      </c>
      <c r="V3100" s="14">
        <f>U3100/J3100-1</f>
        <v/>
      </c>
      <c r="W3100" s="14">
        <f>U3100/H3100-1</f>
        <v/>
      </c>
      <c r="X3100" s="16" t="inlineStr">
        <is>
          <t>ACIMA +20.5%</t>
        </is>
      </c>
      <c r="Y3100" s="7" t="inlineStr">
        <is>
          <t>NAZARIA: estoque parcial (1 un)</t>
        </is>
      </c>
    </row>
    <row r="3101">
      <c r="A3101" s="7" t="n">
        <v>592121</v>
      </c>
      <c r="B3101" s="12" t="inlineStr">
        <is>
          <t>7891000062739</t>
        </is>
      </c>
      <c r="C3101" s="7" t="inlineStr">
        <is>
          <t>NESTOGENO 1 FORMULA INFANTIL 800G</t>
        </is>
      </c>
      <c r="D3101" s="7" t="inlineStr">
        <is>
          <t>ALIMENTOS LACTEOS, DERIVADOS E SIMILARES</t>
        </is>
      </c>
      <c r="E3101" s="7" t="inlineStr">
        <is>
          <t>A</t>
        </is>
      </c>
      <c r="F3101" s="13" t="n">
        <v>1</v>
      </c>
      <c r="G3101" s="13" t="n">
        <v>5</v>
      </c>
      <c r="H3101" s="8" t="n">
        <v>56.435</v>
      </c>
      <c r="I3101" s="8" t="n">
        <v>49.5933</v>
      </c>
      <c r="J3101" s="8" t="n">
        <v>52.6011</v>
      </c>
      <c r="K3101" s="8" t="n"/>
      <c r="L3101" s="8" t="n"/>
      <c r="M3101" s="8" t="n"/>
      <c r="N3101" s="8" t="n"/>
      <c r="O3101" s="8" t="n"/>
      <c r="P3101" s="15" t="n">
        <v>67.52</v>
      </c>
      <c r="Q3101" s="8" t="n"/>
      <c r="R3101" s="8" t="n"/>
      <c r="S3101" s="8" t="n"/>
      <c r="T3101" s="7" t="inlineStr">
        <is>
          <t>NAZARIA</t>
        </is>
      </c>
      <c r="U3101" s="8" t="n">
        <v>67.52</v>
      </c>
      <c r="V3101" s="14">
        <f>U3101/J3101-1</f>
        <v/>
      </c>
      <c r="W3101" s="14">
        <f>U3101/H3101-1</f>
        <v/>
      </c>
      <c r="X3101" s="16" t="inlineStr">
        <is>
          <t>ACIMA +19.6%</t>
        </is>
      </c>
      <c r="Y3101" s="7" t="inlineStr"/>
    </row>
    <row r="3102">
      <c r="A3102" s="7" t="n">
        <v>567401</v>
      </c>
      <c r="B3102" s="12" t="inlineStr">
        <is>
          <t>7891000056615</t>
        </is>
      </c>
      <c r="C3102" s="7" t="inlineStr">
        <is>
          <t>NESTOGENO 2 400G</t>
        </is>
      </c>
      <c r="D3102" s="7" t="inlineStr">
        <is>
          <t>ALIMENTOS LACTEOS, DERIVADOS E SIMILARES</t>
        </is>
      </c>
      <c r="E3102" s="7" t="inlineStr">
        <is>
          <t>A</t>
        </is>
      </c>
      <c r="F3102" s="13" t="n">
        <v>5</v>
      </c>
      <c r="G3102" s="13" t="n">
        <v>5</v>
      </c>
      <c r="H3102" s="8" t="n">
        <v>34.67</v>
      </c>
      <c r="I3102" s="8" t="n">
        <v>28.66</v>
      </c>
      <c r="J3102" s="8" t="n">
        <v>30.08916666666667</v>
      </c>
      <c r="K3102" s="8" t="n"/>
      <c r="L3102" s="8" t="n"/>
      <c r="M3102" s="8" t="n"/>
      <c r="N3102" s="8" t="n"/>
      <c r="O3102" s="8" t="n"/>
      <c r="P3102" s="15" t="n">
        <v>41.78</v>
      </c>
      <c r="Q3102" s="8" t="n"/>
      <c r="R3102" s="8" t="n"/>
      <c r="S3102" s="8" t="n"/>
      <c r="T3102" s="7" t="inlineStr">
        <is>
          <t>NAZARIA</t>
        </is>
      </c>
      <c r="U3102" s="8" t="n">
        <v>41.78</v>
      </c>
      <c r="V3102" s="14">
        <f>U3102/J3102-1</f>
        <v/>
      </c>
      <c r="W3102" s="14">
        <f>U3102/H3102-1</f>
        <v/>
      </c>
      <c r="X3102" s="16" t="inlineStr">
        <is>
          <t>ACIMA +20.5%</t>
        </is>
      </c>
      <c r="Y3102" s="7" t="inlineStr"/>
    </row>
    <row r="3103">
      <c r="A3103" s="7" t="n">
        <v>592061</v>
      </c>
      <c r="B3103" s="12" t="inlineStr">
        <is>
          <t>7891000090732</t>
        </is>
      </c>
      <c r="C3103" s="7" t="inlineStr">
        <is>
          <t>NESTON BEBIDA GARRAFA PLAS 280ML</t>
        </is>
      </c>
      <c r="D3103" s="7" t="inlineStr">
        <is>
          <t>BEBIDAS GERAL</t>
        </is>
      </c>
      <c r="E3103" s="7" t="inlineStr">
        <is>
          <t>C</t>
        </is>
      </c>
      <c r="F3103" s="13" t="n">
        <v>3</v>
      </c>
      <c r="G3103" s="13" t="n">
        <v>3</v>
      </c>
      <c r="H3103" s="8" t="n">
        <v>5.5167</v>
      </c>
      <c r="I3103" s="8" t="n">
        <v>5.4117</v>
      </c>
      <c r="J3103" s="8" t="n">
        <v>5.4817</v>
      </c>
      <c r="K3103" s="8" t="n"/>
      <c r="L3103" s="8" t="n"/>
      <c r="M3103" s="8" t="n"/>
      <c r="N3103" s="8" t="n"/>
      <c r="O3103" s="8" t="n"/>
      <c r="P3103" s="8" t="n"/>
      <c r="Q3103" s="8" t="n"/>
      <c r="R3103" s="8" t="n"/>
      <c r="S3103" s="8" t="n"/>
      <c r="T3103" s="7" t="inlineStr">
        <is>
          <t>SEM COTAÇÃO</t>
        </is>
      </c>
      <c r="U3103" s="8" t="n"/>
      <c r="V3103" s="14" t="n"/>
      <c r="W3103" s="14" t="n"/>
      <c r="X3103" s="7" t="inlineStr"/>
      <c r="Y3103" s="7" t="inlineStr"/>
    </row>
    <row r="3104">
      <c r="A3104" s="7" t="n">
        <v>540201</v>
      </c>
      <c r="B3104" s="12" t="inlineStr">
        <is>
          <t>7891000098950</t>
        </is>
      </c>
      <c r="C3104" s="7" t="inlineStr">
        <is>
          <t>NESTON COM AVEIA E FIBRAS 210G</t>
        </is>
      </c>
      <c r="D3104" s="7" t="inlineStr">
        <is>
          <t>ALIMENTOS LACTEOS, DERIVADOS E SIMILARES</t>
        </is>
      </c>
      <c r="E3104" s="7" t="inlineStr">
        <is>
          <t>C</t>
        </is>
      </c>
      <c r="F3104" s="13" t="n">
        <v>1</v>
      </c>
      <c r="G3104" s="13" t="n">
        <v>2</v>
      </c>
      <c r="H3104" s="8" t="n">
        <v>5.4675</v>
      </c>
      <c r="I3104" s="8" t="n">
        <v>5.4675</v>
      </c>
      <c r="J3104" s="8" t="n">
        <v>5.4675</v>
      </c>
      <c r="K3104" s="8" t="n"/>
      <c r="L3104" s="8" t="n"/>
      <c r="M3104" s="8" t="n"/>
      <c r="N3104" s="8" t="n"/>
      <c r="O3104" s="8" t="n"/>
      <c r="P3104" s="8" t="n"/>
      <c r="Q3104" s="8" t="n"/>
      <c r="R3104" s="8" t="n"/>
      <c r="S3104" s="8" t="n"/>
      <c r="T3104" s="7" t="inlineStr">
        <is>
          <t>SEM COTAÇÃO</t>
        </is>
      </c>
      <c r="U3104" s="8" t="n"/>
      <c r="V3104" s="14" t="n"/>
      <c r="W3104" s="14" t="n"/>
      <c r="X3104" s="7" t="inlineStr"/>
      <c r="Y3104" s="7" t="inlineStr"/>
    </row>
    <row r="3105">
      <c r="A3105" s="7" t="n">
        <v>613781</v>
      </c>
      <c r="B3105" s="12" t="inlineStr">
        <is>
          <t>7891010249106</t>
        </is>
      </c>
      <c r="C3105" s="7" t="inlineStr">
        <is>
          <t>NEUT SUN FRESH FPS90 200ML</t>
        </is>
      </c>
      <c r="D3105" s="7" t="inlineStr">
        <is>
          <t>RX - DERMO</t>
        </is>
      </c>
      <c r="E3105" s="7" t="inlineStr">
        <is>
          <t>A</t>
        </is>
      </c>
      <c r="F3105" s="13" t="n">
        <v>1</v>
      </c>
      <c r="G3105" s="13" t="n">
        <v>1</v>
      </c>
      <c r="H3105" s="8" t="n">
        <v>76.9183</v>
      </c>
      <c r="I3105" s="8" t="n">
        <v>76.9183</v>
      </c>
      <c r="J3105" s="8" t="n">
        <v>76.9183</v>
      </c>
      <c r="K3105" s="8" t="n"/>
      <c r="L3105" s="8" t="n"/>
      <c r="M3105" s="15" t="n">
        <v>82.93000000000001</v>
      </c>
      <c r="N3105" s="8" t="n"/>
      <c r="O3105" s="8" t="n"/>
      <c r="P3105" s="8" t="n">
        <v>120.19</v>
      </c>
      <c r="Q3105" s="8" t="n"/>
      <c r="R3105" s="8" t="n"/>
      <c r="S3105" s="8" t="n"/>
      <c r="T3105" s="7" t="inlineStr">
        <is>
          <t>EPAN</t>
        </is>
      </c>
      <c r="U3105" s="8" t="n">
        <v>82.93000000000001</v>
      </c>
      <c r="V3105" s="14">
        <f>U3105/J3105-1</f>
        <v/>
      </c>
      <c r="W3105" s="14">
        <f>U3105/H3105-1</f>
        <v/>
      </c>
      <c r="X3105" s="16" t="inlineStr">
        <is>
          <t>ACIMA +7.8%</t>
        </is>
      </c>
      <c r="Y3105" s="7" t="inlineStr"/>
    </row>
    <row r="3106">
      <c r="A3106" s="7" t="n">
        <v>358281</v>
      </c>
      <c r="B3106" s="12" t="inlineStr"/>
      <c r="C3106" s="7" t="inlineStr">
        <is>
          <t>NEUTROFER 150MG FR 30 COMP</t>
        </is>
      </c>
      <c r="D3106" s="7" t="inlineStr">
        <is>
          <t>RX</t>
        </is>
      </c>
      <c r="E3106" s="7" t="inlineStr">
        <is>
          <t>A</t>
        </is>
      </c>
      <c r="F3106" s="13" t="n">
        <v>3</v>
      </c>
      <c r="G3106" s="13" t="n">
        <v>3</v>
      </c>
      <c r="H3106" s="8" t="n">
        <v>26.435</v>
      </c>
      <c r="I3106" s="8" t="n">
        <v>24.29</v>
      </c>
      <c r="J3106" s="8" t="n">
        <v>24.48833333333333</v>
      </c>
      <c r="K3106" s="8" t="n"/>
      <c r="L3106" s="8" t="n"/>
      <c r="M3106" s="8" t="n"/>
      <c r="N3106" s="8" t="n"/>
      <c r="O3106" s="8" t="n"/>
      <c r="P3106" s="8" t="n"/>
      <c r="Q3106" s="8" t="n"/>
      <c r="R3106" s="8" t="n"/>
      <c r="S3106" s="8" t="n"/>
      <c r="T3106" s="7" t="inlineStr">
        <is>
          <t>SEM COTAÇÃO</t>
        </is>
      </c>
      <c r="U3106" s="8" t="n"/>
      <c r="V3106" s="14" t="n"/>
      <c r="W3106" s="14" t="n"/>
      <c r="X3106" s="7" t="inlineStr"/>
      <c r="Y3106" s="7" t="inlineStr"/>
    </row>
    <row r="3107">
      <c r="A3107" s="7" t="n">
        <v>358341</v>
      </c>
      <c r="B3107" s="12" t="inlineStr">
        <is>
          <t>7894916500296</t>
        </is>
      </c>
      <c r="C3107" s="7" t="inlineStr">
        <is>
          <t>NEUTROFER 250MG SOL FR GTS 30ML</t>
        </is>
      </c>
      <c r="D3107" s="7" t="inlineStr">
        <is>
          <t>RX</t>
        </is>
      </c>
      <c r="E3107" s="7" t="inlineStr">
        <is>
          <t>A</t>
        </is>
      </c>
      <c r="F3107" s="13" t="n">
        <v>2</v>
      </c>
      <c r="G3107" s="13" t="n">
        <v>2</v>
      </c>
      <c r="H3107" s="8" t="n">
        <v>46.96</v>
      </c>
      <c r="I3107" s="8" t="n">
        <v>44.3433</v>
      </c>
      <c r="J3107" s="8" t="n">
        <v>45.21553333333333</v>
      </c>
      <c r="K3107" s="8" t="n"/>
      <c r="L3107" s="8" t="n"/>
      <c r="M3107" s="8" t="n"/>
      <c r="N3107" s="8" t="n"/>
      <c r="O3107" s="15" t="n">
        <v>47.46</v>
      </c>
      <c r="P3107" s="8" t="n">
        <v>49.22775</v>
      </c>
      <c r="Q3107" s="8" t="n"/>
      <c r="R3107" s="8" t="n"/>
      <c r="S3107" s="8" t="n"/>
      <c r="T3107" s="7" t="inlineStr">
        <is>
          <t>TAPAJOS</t>
        </is>
      </c>
      <c r="U3107" s="8" t="n">
        <v>47.46</v>
      </c>
      <c r="V3107" s="14">
        <f>U3107/J3107-1</f>
        <v/>
      </c>
      <c r="W3107" s="14">
        <f>U3107/H3107-1</f>
        <v/>
      </c>
      <c r="X3107" s="16" t="inlineStr">
        <is>
          <t>ACIMA +1.1%</t>
        </is>
      </c>
      <c r="Y3107" s="7" t="inlineStr"/>
    </row>
    <row r="3108">
      <c r="A3108" s="7" t="n">
        <v>358321</v>
      </c>
      <c r="B3108" s="12" t="inlineStr">
        <is>
          <t>7894916500333</t>
        </is>
      </c>
      <c r="C3108" s="7" t="inlineStr">
        <is>
          <t>NEUTROFER 300MG FR 30 COMP</t>
        </is>
      </c>
      <c r="D3108" s="7" t="inlineStr">
        <is>
          <t>RX</t>
        </is>
      </c>
      <c r="E3108" s="7" t="inlineStr">
        <is>
          <t>A</t>
        </is>
      </c>
      <c r="F3108" s="13" t="n">
        <v>3</v>
      </c>
      <c r="G3108" s="13" t="n">
        <v>3</v>
      </c>
      <c r="H3108" s="8" t="n">
        <v>45.04</v>
      </c>
      <c r="I3108" s="8" t="n">
        <v>44.905</v>
      </c>
      <c r="J3108" s="8" t="n">
        <v>44.995</v>
      </c>
      <c r="K3108" s="8" t="n"/>
      <c r="L3108" s="8" t="n"/>
      <c r="M3108" s="8" t="n">
        <v>46.31</v>
      </c>
      <c r="N3108" s="8" t="n"/>
      <c r="O3108" s="8" t="n"/>
      <c r="P3108" s="15" t="n">
        <v>47.21925</v>
      </c>
      <c r="Q3108" s="8" t="n"/>
      <c r="R3108" s="8" t="n"/>
      <c r="S3108" s="8" t="n"/>
      <c r="T3108" s="7" t="inlineStr">
        <is>
          <t>NAZARIA</t>
        </is>
      </c>
      <c r="U3108" s="8" t="n">
        <v>47.21925</v>
      </c>
      <c r="V3108" s="14">
        <f>U3108/J3108-1</f>
        <v/>
      </c>
      <c r="W3108" s="14">
        <f>U3108/H3108-1</f>
        <v/>
      </c>
      <c r="X3108" s="16" t="inlineStr">
        <is>
          <t>ACIMA +4.8%</t>
        </is>
      </c>
      <c r="Y3108" s="7" t="inlineStr">
        <is>
          <t>EPAN: sem estoque</t>
        </is>
      </c>
    </row>
    <row r="3109">
      <c r="A3109" s="7" t="n">
        <v>358301</v>
      </c>
      <c r="B3109" s="12" t="inlineStr">
        <is>
          <t>7894916500272</t>
        </is>
      </c>
      <c r="C3109" s="7" t="inlineStr">
        <is>
          <t>NEUTROFER 500MG FR 30 COMP</t>
        </is>
      </c>
      <c r="D3109" s="7" t="inlineStr">
        <is>
          <t>RX</t>
        </is>
      </c>
      <c r="E3109" s="7" t="inlineStr">
        <is>
          <t>A</t>
        </is>
      </c>
      <c r="F3109" s="13" t="n">
        <v>4</v>
      </c>
      <c r="G3109" s="13" t="n">
        <v>4</v>
      </c>
      <c r="H3109" s="8" t="n">
        <v>67.05</v>
      </c>
      <c r="I3109" s="8" t="n">
        <v>66.84999999999999</v>
      </c>
      <c r="J3109" s="8" t="n">
        <v>66.98333333333333</v>
      </c>
      <c r="K3109" s="8" t="n"/>
      <c r="L3109" s="8" t="n"/>
      <c r="M3109" s="8" t="n"/>
      <c r="N3109" s="8" t="n"/>
      <c r="O3109" s="8" t="n"/>
      <c r="P3109" s="8" t="n">
        <v>70.2975</v>
      </c>
      <c r="Q3109" s="8" t="n"/>
      <c r="R3109" s="8" t="n"/>
      <c r="S3109" s="8" t="n"/>
      <c r="T3109" s="7" t="inlineStr">
        <is>
          <t>SEM COTAÇÃO</t>
        </is>
      </c>
      <c r="U3109" s="8" t="n"/>
      <c r="V3109" s="14" t="n"/>
      <c r="W3109" s="14" t="n"/>
      <c r="X3109" s="7" t="inlineStr"/>
      <c r="Y3109" s="7" t="inlineStr">
        <is>
          <t>NAZARIA: sem estoque</t>
        </is>
      </c>
    </row>
    <row r="3110">
      <c r="A3110" s="7" t="n">
        <v>606961</v>
      </c>
      <c r="B3110" s="12" t="inlineStr">
        <is>
          <t>7894916516679</t>
        </is>
      </c>
      <c r="C3110" s="7" t="inlineStr">
        <is>
          <t>NEUTROFER FOLATO D 30CPR REV</t>
        </is>
      </c>
      <c r="D3110" s="7" t="inlineStr">
        <is>
          <t>RX - OTC</t>
        </is>
      </c>
      <c r="E3110" s="7" t="inlineStr">
        <is>
          <t>A</t>
        </is>
      </c>
      <c r="F3110" s="13" t="n">
        <v>1</v>
      </c>
      <c r="G3110" s="13" t="n">
        <v>1</v>
      </c>
      <c r="H3110" s="8" t="n">
        <v>87.68000000000001</v>
      </c>
      <c r="I3110" s="8" t="n">
        <v>71.28</v>
      </c>
      <c r="J3110" s="8" t="n">
        <v>79.29000000000001</v>
      </c>
      <c r="K3110" s="8" t="n"/>
      <c r="L3110" s="8" t="n"/>
      <c r="M3110" s="8" t="n">
        <v>80.87</v>
      </c>
      <c r="N3110" s="8" t="n"/>
      <c r="O3110" s="8" t="n"/>
      <c r="P3110" s="8" t="n">
        <v>88.62750000000001</v>
      </c>
      <c r="Q3110" s="8" t="n"/>
      <c r="R3110" s="8" t="n"/>
      <c r="S3110" s="8" t="n"/>
      <c r="T3110" s="7" t="inlineStr">
        <is>
          <t>SEM COTAÇÃO</t>
        </is>
      </c>
      <c r="U3110" s="8" t="n"/>
      <c r="V3110" s="14" t="n"/>
      <c r="W3110" s="14" t="n"/>
      <c r="X3110" s="7" t="inlineStr"/>
      <c r="Y3110" s="7" t="inlineStr">
        <is>
          <t>EPAN: sem estoque; NAZARIA: sem estoque</t>
        </is>
      </c>
    </row>
    <row r="3111">
      <c r="A3111" s="7" t="n">
        <v>16441</v>
      </c>
      <c r="B3111" s="12" t="inlineStr">
        <is>
          <t>7894916500425</t>
        </is>
      </c>
      <c r="C3111" s="7" t="inlineStr">
        <is>
          <t>NEUTROFER FOLICO 150MG FR 30 COMP</t>
        </is>
      </c>
      <c r="D3111" s="7" t="inlineStr">
        <is>
          <t>RX</t>
        </is>
      </c>
      <c r="E3111" s="7" t="inlineStr">
        <is>
          <t>A</t>
        </is>
      </c>
      <c r="F3111" s="13" t="n">
        <v>1</v>
      </c>
      <c r="G3111" s="13" t="n">
        <v>1</v>
      </c>
      <c r="H3111" s="8" t="n">
        <v>34.74</v>
      </c>
      <c r="I3111" s="8" t="n">
        <v>34.355</v>
      </c>
      <c r="J3111" s="8" t="n">
        <v>34.61166666666667</v>
      </c>
      <c r="K3111" s="8" t="n"/>
      <c r="L3111" s="8" t="n"/>
      <c r="M3111" s="8" t="n">
        <v>36.1</v>
      </c>
      <c r="N3111" s="8" t="n"/>
      <c r="O3111" s="8" t="n"/>
      <c r="P3111" s="8" t="n">
        <v>34.91475000000001</v>
      </c>
      <c r="Q3111" s="8" t="n"/>
      <c r="R3111" s="8" t="n"/>
      <c r="S3111" s="8" t="n"/>
      <c r="T3111" s="7" t="inlineStr">
        <is>
          <t>SEM COTAÇÃO</t>
        </is>
      </c>
      <c r="U3111" s="8" t="n"/>
      <c r="V3111" s="14" t="n"/>
      <c r="W3111" s="14" t="n"/>
      <c r="X3111" s="7" t="inlineStr"/>
      <c r="Y3111" s="7" t="inlineStr">
        <is>
          <t>EPAN: sem estoque; NAZARIA: sem estoque</t>
        </is>
      </c>
    </row>
    <row r="3112">
      <c r="A3112" s="7" t="n">
        <v>443</v>
      </c>
      <c r="B3112" s="12" t="inlineStr">
        <is>
          <t>7891010704490</t>
        </is>
      </c>
      <c r="C3112" s="7" t="inlineStr">
        <is>
          <t>NEUTROG D CLEAN ESF ENER 100G</t>
        </is>
      </c>
      <c r="D3112" s="7" t="inlineStr">
        <is>
          <t>RX - DERMO</t>
        </is>
      </c>
      <c r="E3112" s="7" t="inlineStr">
        <is>
          <t>C</t>
        </is>
      </c>
      <c r="F3112" s="13" t="n">
        <v>1</v>
      </c>
      <c r="G3112" s="13" t="n">
        <v>1</v>
      </c>
      <c r="H3112" s="8" t="n">
        <v>33.105</v>
      </c>
      <c r="I3112" s="8" t="n">
        <v>33.105</v>
      </c>
      <c r="J3112" s="8" t="n">
        <v>33.105</v>
      </c>
      <c r="K3112" s="8" t="n"/>
      <c r="L3112" s="8" t="n"/>
      <c r="M3112" s="8" t="n">
        <v>36.19</v>
      </c>
      <c r="N3112" s="8" t="n"/>
      <c r="O3112" s="8" t="n"/>
      <c r="P3112" s="15" t="n">
        <v>33.46</v>
      </c>
      <c r="Q3112" s="8" t="n"/>
      <c r="R3112" s="8" t="n"/>
      <c r="S3112" s="8" t="n"/>
      <c r="T3112" s="7" t="inlineStr">
        <is>
          <t>NAZARIA</t>
        </is>
      </c>
      <c r="U3112" s="8" t="n">
        <v>33.46</v>
      </c>
      <c r="V3112" s="14">
        <f>U3112/J3112-1</f>
        <v/>
      </c>
      <c r="W3112" s="14">
        <f>U3112/H3112-1</f>
        <v/>
      </c>
      <c r="X3112" s="16" t="inlineStr">
        <is>
          <t>ACIMA +1.1%</t>
        </is>
      </c>
      <c r="Y3112" s="7" t="inlineStr">
        <is>
          <t>EPAN: sem estoque</t>
        </is>
      </c>
    </row>
    <row r="3113">
      <c r="A3113" s="7" t="n">
        <v>473</v>
      </c>
      <c r="B3113" s="12" t="inlineStr">
        <is>
          <t>7891010253899</t>
        </is>
      </c>
      <c r="C3113" s="7" t="inlineStr">
        <is>
          <t>NEUTROG HIDRATA &amp; REPARA 200ML</t>
        </is>
      </c>
      <c r="D3113" s="7" t="inlineStr">
        <is>
          <t>RX - DERMO</t>
        </is>
      </c>
      <c r="E3113" s="7" t="inlineStr">
        <is>
          <t>C</t>
        </is>
      </c>
      <c r="F3113" s="13" t="n">
        <v>1</v>
      </c>
      <c r="G3113" s="13" t="n">
        <v>1</v>
      </c>
      <c r="H3113" s="8" t="n">
        <v>17.1617</v>
      </c>
      <c r="I3113" s="8" t="n">
        <v>17.1617</v>
      </c>
      <c r="J3113" s="8" t="n">
        <v>17.1617</v>
      </c>
      <c r="K3113" s="8" t="n"/>
      <c r="L3113" s="8" t="n"/>
      <c r="M3113" s="15" t="n">
        <v>17.13</v>
      </c>
      <c r="N3113" s="8" t="n"/>
      <c r="O3113" s="8" t="n"/>
      <c r="P3113" s="8" t="n">
        <v>21.25</v>
      </c>
      <c r="Q3113" s="8" t="n"/>
      <c r="R3113" s="8" t="n"/>
      <c r="S3113" s="8" t="n"/>
      <c r="T3113" s="7" t="inlineStr">
        <is>
          <t>EPAN</t>
        </is>
      </c>
      <c r="U3113" s="8" t="n">
        <v>17.13</v>
      </c>
      <c r="V3113" s="14">
        <f>U3113/J3113-1</f>
        <v/>
      </c>
      <c r="W3113" s="14">
        <f>U3113/H3113-1</f>
        <v/>
      </c>
      <c r="X3113" s="17" t="inlineStr">
        <is>
          <t>OK (≤ menor hist.)</t>
        </is>
      </c>
      <c r="Y3113" s="7" t="inlineStr"/>
    </row>
    <row r="3114">
      <c r="A3114" s="7" t="n">
        <v>648801</v>
      </c>
      <c r="B3114" s="12" t="inlineStr">
        <is>
          <t>7908324401011</t>
        </is>
      </c>
      <c r="C3114" s="7" t="inlineStr">
        <is>
          <t>NEUTROX CO 300ML AQUA</t>
        </is>
      </c>
      <c r="D3114" s="7" t="inlineStr">
        <is>
          <t>DESATIVADO</t>
        </is>
      </c>
      <c r="E3114" s="7" t="inlineStr">
        <is>
          <t>C</t>
        </is>
      </c>
      <c r="F3114" s="13" t="n">
        <v>1</v>
      </c>
      <c r="G3114" s="13" t="n">
        <v>1</v>
      </c>
      <c r="H3114" s="8" t="n">
        <v>10.72</v>
      </c>
      <c r="I3114" s="8" t="n">
        <v>10.72</v>
      </c>
      <c r="J3114" s="8" t="n">
        <v>10.72</v>
      </c>
      <c r="K3114" s="8" t="n"/>
      <c r="L3114" s="8" t="n"/>
      <c r="M3114" s="8" t="n"/>
      <c r="N3114" s="8" t="n"/>
      <c r="O3114" s="8" t="n"/>
      <c r="P3114" s="8" t="n"/>
      <c r="Q3114" s="8" t="n"/>
      <c r="R3114" s="8" t="n"/>
      <c r="S3114" s="8" t="n"/>
      <c r="T3114" s="7" t="inlineStr">
        <is>
          <t>SEM COTAÇÃO</t>
        </is>
      </c>
      <c r="U3114" s="8" t="n"/>
      <c r="V3114" s="14" t="n"/>
      <c r="W3114" s="14" t="n"/>
      <c r="X3114" s="7" t="inlineStr"/>
      <c r="Y3114" s="7" t="inlineStr"/>
    </row>
    <row r="3115">
      <c r="A3115" s="7" t="n">
        <v>649641</v>
      </c>
      <c r="B3115" s="12" t="inlineStr">
        <is>
          <t>7908324408256</t>
        </is>
      </c>
      <c r="C3115" s="7" t="inlineStr">
        <is>
          <t>NEUTROX OLEO 45ML NUTRE OLEOS</t>
        </is>
      </c>
      <c r="D3115" s="7" t="inlineStr">
        <is>
          <t>COND/SHAM/CREM/SIMILARES</t>
        </is>
      </c>
      <c r="E3115" s="7" t="inlineStr">
        <is>
          <t>B</t>
        </is>
      </c>
      <c r="F3115" s="13" t="n">
        <v>2</v>
      </c>
      <c r="G3115" s="13" t="n">
        <v>2</v>
      </c>
      <c r="H3115" s="8" t="n">
        <v>15.67</v>
      </c>
      <c r="I3115" s="8" t="n">
        <v>15.67</v>
      </c>
      <c r="J3115" s="8" t="n">
        <v>15.67</v>
      </c>
      <c r="K3115" s="8" t="n"/>
      <c r="L3115" s="8" t="n"/>
      <c r="M3115" s="8" t="n"/>
      <c r="N3115" s="8" t="n"/>
      <c r="O3115" s="8" t="n"/>
      <c r="P3115" s="8" t="n"/>
      <c r="Q3115" s="8" t="n"/>
      <c r="R3115" s="8" t="n"/>
      <c r="S3115" s="8" t="n"/>
      <c r="T3115" s="7" t="inlineStr">
        <is>
          <t>SEM COTAÇÃO</t>
        </is>
      </c>
      <c r="U3115" s="8" t="n"/>
      <c r="V3115" s="14" t="n"/>
      <c r="W3115" s="14" t="n"/>
      <c r="X3115" s="7" t="inlineStr"/>
      <c r="Y3115" s="7" t="inlineStr"/>
    </row>
    <row r="3116">
      <c r="A3116" s="7" t="n">
        <v>666971</v>
      </c>
      <c r="B3116" s="12" t="inlineStr">
        <is>
          <t>7908785482697</t>
        </is>
      </c>
      <c r="C3116" s="7" t="inlineStr">
        <is>
          <t>NIELY GOLD - SILIC CONC 42ML RECONSTRUC</t>
        </is>
      </c>
      <c r="D3116" s="7" t="inlineStr">
        <is>
          <t>COND/SHAM/CREM/SIMILARES</t>
        </is>
      </c>
      <c r="E3116" s="7" t="inlineStr">
        <is>
          <t>C</t>
        </is>
      </c>
      <c r="F3116" s="13" t="n">
        <v>1</v>
      </c>
      <c r="G3116" s="13" t="n">
        <v>1</v>
      </c>
      <c r="H3116" s="8" t="n">
        <v>14.5</v>
      </c>
      <c r="I3116" s="8" t="n">
        <v>14.5</v>
      </c>
      <c r="J3116" s="8" t="n">
        <v>14.5</v>
      </c>
      <c r="K3116" s="8" t="n"/>
      <c r="L3116" s="8" t="n"/>
      <c r="M3116" s="8" t="n"/>
      <c r="N3116" s="8" t="n"/>
      <c r="O3116" s="8" t="n"/>
      <c r="P3116" s="15" t="n">
        <v>19.1</v>
      </c>
      <c r="Q3116" s="8" t="n"/>
      <c r="R3116" s="8" t="n"/>
      <c r="S3116" s="8" t="n"/>
      <c r="T3116" s="7" t="inlineStr">
        <is>
          <t>NAZARIA</t>
        </is>
      </c>
      <c r="U3116" s="8" t="n">
        <v>19.1</v>
      </c>
      <c r="V3116" s="14">
        <f>U3116/J3116-1</f>
        <v/>
      </c>
      <c r="W3116" s="14">
        <f>U3116/H3116-1</f>
        <v/>
      </c>
      <c r="X3116" s="16" t="inlineStr">
        <is>
          <t>ACIMA +31.7%</t>
        </is>
      </c>
      <c r="Y3116" s="7" t="inlineStr"/>
    </row>
    <row r="3117">
      <c r="A3117" s="7" t="n">
        <v>360361</v>
      </c>
      <c r="B3117" s="12" t="inlineStr"/>
      <c r="C3117" s="7" t="inlineStr">
        <is>
          <t>NIFEDIPRESS 20MG CX 30 COMP RETARD</t>
        </is>
      </c>
      <c r="D3117" s="7" t="inlineStr">
        <is>
          <t>SIMILAR</t>
        </is>
      </c>
      <c r="E3117" s="7" t="inlineStr">
        <is>
          <t>B</t>
        </is>
      </c>
      <c r="F3117" s="13" t="n">
        <v>9</v>
      </c>
      <c r="G3117" s="13" t="n">
        <v>9</v>
      </c>
      <c r="H3117" s="8" t="n">
        <v>6.22</v>
      </c>
      <c r="I3117" s="8" t="n">
        <v>6.22</v>
      </c>
      <c r="J3117" s="8" t="n">
        <v>6.22</v>
      </c>
      <c r="K3117" s="8" t="n"/>
      <c r="L3117" s="8" t="n"/>
      <c r="M3117" s="8" t="n"/>
      <c r="N3117" s="8" t="n"/>
      <c r="O3117" s="8" t="n"/>
      <c r="P3117" s="8" t="n"/>
      <c r="Q3117" s="8" t="n"/>
      <c r="R3117" s="15" t="n">
        <v>6.18</v>
      </c>
      <c r="S3117" s="8" t="n"/>
      <c r="T3117" s="7" t="inlineStr">
        <is>
          <t>BRASFARMA</t>
        </is>
      </c>
      <c r="U3117" s="8" t="n">
        <v>6.18</v>
      </c>
      <c r="V3117" s="14">
        <f>U3117/J3117-1</f>
        <v/>
      </c>
      <c r="W3117" s="14">
        <f>U3117/H3117-1</f>
        <v/>
      </c>
      <c r="X3117" s="17" t="inlineStr">
        <is>
          <t>OK (≤ menor hist.)</t>
        </is>
      </c>
      <c r="Y3117" s="7" t="inlineStr"/>
    </row>
    <row r="3118">
      <c r="A3118" s="7" t="n">
        <v>485261</v>
      </c>
      <c r="B3118" s="12" t="inlineStr">
        <is>
          <t>7899620915039</t>
        </is>
      </c>
      <c r="C3118" s="7" t="inlineStr">
        <is>
          <t>NIMESULIDA 100MG CX 12 COMP</t>
        </is>
      </c>
      <c r="D3118" s="7" t="inlineStr">
        <is>
          <t>GENERICO</t>
        </is>
      </c>
      <c r="E3118" s="7" t="inlineStr">
        <is>
          <t>B</t>
        </is>
      </c>
      <c r="F3118" s="13" t="n">
        <v>11</v>
      </c>
      <c r="G3118" s="13" t="n">
        <v>11</v>
      </c>
      <c r="H3118" s="8" t="n">
        <v>1.1</v>
      </c>
      <c r="I3118" s="8" t="n">
        <v>1.1</v>
      </c>
      <c r="J3118" s="8" t="n">
        <v>1.1</v>
      </c>
      <c r="K3118" s="8" t="n">
        <v>1.37</v>
      </c>
      <c r="L3118" s="8" t="n"/>
      <c r="M3118" s="8" t="n"/>
      <c r="N3118" s="8" t="n">
        <v>1.44</v>
      </c>
      <c r="O3118" s="8" t="n">
        <v>1.47</v>
      </c>
      <c r="P3118" s="8" t="n"/>
      <c r="Q3118" s="8" t="n"/>
      <c r="R3118" s="15" t="n">
        <v>1.32</v>
      </c>
      <c r="S3118" s="8" t="n"/>
      <c r="T3118" s="7" t="inlineStr">
        <is>
          <t>BRASFARMA</t>
        </is>
      </c>
      <c r="U3118" s="8" t="n">
        <v>1.32</v>
      </c>
      <c r="V3118" s="14">
        <f>U3118/J3118-1</f>
        <v/>
      </c>
      <c r="W3118" s="14">
        <f>U3118/H3118-1</f>
        <v/>
      </c>
      <c r="X3118" s="16" t="inlineStr">
        <is>
          <t>ACIMA +20.0%</t>
        </is>
      </c>
      <c r="Y3118" s="7" t="inlineStr"/>
    </row>
    <row r="3119">
      <c r="A3119" s="7" t="n">
        <v>361801</v>
      </c>
      <c r="B3119" s="12" t="inlineStr">
        <is>
          <t>7894916143080</t>
        </is>
      </c>
      <c r="C3119" s="7" t="inlineStr">
        <is>
          <t>NIMESULIDA 100MG CX 12 COMP</t>
        </is>
      </c>
      <c r="D3119" s="7" t="inlineStr">
        <is>
          <t>GENERICO</t>
        </is>
      </c>
      <c r="E3119" s="7" t="inlineStr">
        <is>
          <t>C</t>
        </is>
      </c>
      <c r="F3119" s="13" t="n">
        <v>1</v>
      </c>
      <c r="G3119" s="13" t="n">
        <v>1</v>
      </c>
      <c r="H3119" s="8" t="n">
        <v>1.29</v>
      </c>
      <c r="I3119" s="8" t="n">
        <v>1.29</v>
      </c>
      <c r="J3119" s="8" t="n">
        <v>1.29</v>
      </c>
      <c r="K3119" s="8" t="n"/>
      <c r="L3119" s="8" t="n"/>
      <c r="M3119" s="8" t="n"/>
      <c r="N3119" s="8" t="n"/>
      <c r="O3119" s="8" t="n"/>
      <c r="P3119" s="8" t="n"/>
      <c r="Q3119" s="15" t="n">
        <v>1.41</v>
      </c>
      <c r="R3119" s="8" t="n"/>
      <c r="S3119" s="8" t="n"/>
      <c r="T3119" s="7" t="inlineStr">
        <is>
          <t>MEDCENTRO</t>
        </is>
      </c>
      <c r="U3119" s="8" t="n">
        <v>1.41</v>
      </c>
      <c r="V3119" s="14">
        <f>U3119/J3119-1</f>
        <v/>
      </c>
      <c r="W3119" s="14">
        <f>U3119/H3119-1</f>
        <v/>
      </c>
      <c r="X3119" s="16" t="inlineStr">
        <is>
          <t>ACIMA +9.3%</t>
        </is>
      </c>
      <c r="Y3119" s="7" t="inlineStr"/>
    </row>
    <row r="3120">
      <c r="A3120" s="7" t="n">
        <v>361981</v>
      </c>
      <c r="B3120" s="12" t="inlineStr">
        <is>
          <t>7896523211268</t>
        </is>
      </c>
      <c r="C3120" s="7" t="inlineStr">
        <is>
          <t>NIMESULIDA 50MG/ML SUS OR FR GOTS 15ML</t>
        </is>
      </c>
      <c r="D3120" s="7" t="inlineStr">
        <is>
          <t>GENERICO</t>
        </is>
      </c>
      <c r="E3120" s="7" t="inlineStr">
        <is>
          <t>B</t>
        </is>
      </c>
      <c r="F3120" s="13" t="n">
        <v>7</v>
      </c>
      <c r="G3120" s="13" t="n">
        <v>7</v>
      </c>
      <c r="H3120" s="8" t="n">
        <v>2.19</v>
      </c>
      <c r="I3120" s="8" t="n">
        <v>2.09</v>
      </c>
      <c r="J3120" s="8" t="n">
        <v>2.116666666666667</v>
      </c>
      <c r="K3120" s="8" t="n"/>
      <c r="L3120" s="8" t="n"/>
      <c r="M3120" s="8" t="n"/>
      <c r="N3120" s="8" t="n"/>
      <c r="O3120" s="8" t="n"/>
      <c r="P3120" s="15" t="n">
        <v>23.79</v>
      </c>
      <c r="Q3120" s="8" t="n"/>
      <c r="R3120" s="8" t="n"/>
      <c r="S3120" s="8" t="n"/>
      <c r="T3120" s="7" t="inlineStr">
        <is>
          <t>NAZARIA</t>
        </is>
      </c>
      <c r="U3120" s="8" t="n">
        <v>23.79</v>
      </c>
      <c r="V3120" s="14">
        <f>U3120/J3120-1</f>
        <v/>
      </c>
      <c r="W3120" s="14">
        <f>U3120/H3120-1</f>
        <v/>
      </c>
      <c r="X3120" s="16" t="inlineStr">
        <is>
          <t>ACIMA +986.3%</t>
        </is>
      </c>
      <c r="Y3120" s="7" t="inlineStr">
        <is>
          <t>NAZARIA: conferir emb.</t>
        </is>
      </c>
    </row>
    <row r="3121">
      <c r="A3121" s="7" t="n">
        <v>577281</v>
      </c>
      <c r="B3121" s="12" t="inlineStr">
        <is>
          <t>7891000062661</t>
        </is>
      </c>
      <c r="C3121" s="7" t="inlineStr">
        <is>
          <t>NINHO 1 PREBIO FASES LATA 800G</t>
        </is>
      </c>
      <c r="D3121" s="7" t="inlineStr">
        <is>
          <t>ALIMENTOS LACTEOS, DERIVADOS E SIMILARES</t>
        </is>
      </c>
      <c r="E3121" s="7" t="inlineStr">
        <is>
          <t>A</t>
        </is>
      </c>
      <c r="F3121" s="13" t="n">
        <v>1</v>
      </c>
      <c r="G3121" s="13" t="n">
        <v>4</v>
      </c>
      <c r="H3121" s="8" t="n">
        <v>45.0808</v>
      </c>
      <c r="I3121" s="8" t="n">
        <v>40.55</v>
      </c>
      <c r="J3121" s="8" t="n">
        <v>43.57053333333334</v>
      </c>
      <c r="K3121" s="8" t="n"/>
      <c r="L3121" s="8" t="n"/>
      <c r="M3121" s="8" t="n"/>
      <c r="N3121" s="8" t="n"/>
      <c r="O3121" s="8" t="n"/>
      <c r="P3121" s="15" t="n">
        <v>56.48</v>
      </c>
      <c r="Q3121" s="8" t="n"/>
      <c r="R3121" s="8" t="n"/>
      <c r="S3121" s="8" t="n"/>
      <c r="T3121" s="7" t="inlineStr">
        <is>
          <t>NAZARIA</t>
        </is>
      </c>
      <c r="U3121" s="8" t="n">
        <v>56.48</v>
      </c>
      <c r="V3121" s="14">
        <f>U3121/J3121-1</f>
        <v/>
      </c>
      <c r="W3121" s="14">
        <f>U3121/H3121-1</f>
        <v/>
      </c>
      <c r="X3121" s="16" t="inlineStr">
        <is>
          <t>ACIMA +25.3%</t>
        </is>
      </c>
      <c r="Y3121" s="7" t="inlineStr"/>
    </row>
    <row r="3122">
      <c r="A3122" s="7" t="n">
        <v>637571</v>
      </c>
      <c r="B3122" s="12" t="inlineStr">
        <is>
          <t>7891000340981</t>
        </is>
      </c>
      <c r="C3122" s="7" t="inlineStr">
        <is>
          <t>NINHO 380G 10% GRATIS LEITE EM PÓ INTEGRAL NESTLE</t>
        </is>
      </c>
      <c r="D3122" s="7" t="inlineStr">
        <is>
          <t>DESATIVADO</t>
        </is>
      </c>
      <c r="E3122" s="7" t="inlineStr">
        <is>
          <t>A</t>
        </is>
      </c>
      <c r="F3122" s="13" t="n">
        <v>114</v>
      </c>
      <c r="G3122" s="13" t="n">
        <v>114</v>
      </c>
      <c r="H3122" s="8" t="n">
        <v>16.99</v>
      </c>
      <c r="I3122" s="8" t="n">
        <v>16.99</v>
      </c>
      <c r="J3122" s="8" t="n">
        <v>16.99</v>
      </c>
      <c r="K3122" s="8" t="n"/>
      <c r="L3122" s="8" t="n"/>
      <c r="M3122" s="8" t="n"/>
      <c r="N3122" s="8" t="n"/>
      <c r="O3122" s="8" t="n"/>
      <c r="P3122" s="15" t="n">
        <v>20.89</v>
      </c>
      <c r="Q3122" s="8" t="n"/>
      <c r="R3122" s="8" t="n"/>
      <c r="S3122" s="8" t="n"/>
      <c r="T3122" s="7" t="inlineStr">
        <is>
          <t>NAZARIA</t>
        </is>
      </c>
      <c r="U3122" s="8" t="n">
        <v>20.89</v>
      </c>
      <c r="V3122" s="14">
        <f>U3122/J3122-1</f>
        <v/>
      </c>
      <c r="W3122" s="14">
        <f>U3122/H3122-1</f>
        <v/>
      </c>
      <c r="X3122" s="16" t="inlineStr">
        <is>
          <t>ACIMA +23.0%</t>
        </is>
      </c>
      <c r="Y3122" s="7" t="inlineStr"/>
    </row>
    <row r="3123">
      <c r="A3123" s="7" t="n">
        <v>580781</v>
      </c>
      <c r="B3123" s="12" t="inlineStr">
        <is>
          <t>7891000325858</t>
        </is>
      </c>
      <c r="C3123" s="7" t="inlineStr">
        <is>
          <t>NINHO 380G LEITE EM PÓ INTEGRAL NESTLE</t>
        </is>
      </c>
      <c r="D3123" s="7" t="inlineStr">
        <is>
          <t>ALIMENTOS LACTEOS, DERIVADOS E SIMILARES</t>
        </is>
      </c>
      <c r="E3123" s="7" t="inlineStr">
        <is>
          <t>A</t>
        </is>
      </c>
      <c r="F3123" s="13" t="n">
        <v>58</v>
      </c>
      <c r="G3123" s="13" t="n">
        <v>58</v>
      </c>
      <c r="H3123" s="8" t="n">
        <v>16.79</v>
      </c>
      <c r="I3123" s="8" t="n">
        <v>16.79</v>
      </c>
      <c r="J3123" s="8" t="n">
        <v>16.79</v>
      </c>
      <c r="K3123" s="8" t="n"/>
      <c r="L3123" s="8" t="n"/>
      <c r="M3123" s="8" t="n"/>
      <c r="N3123" s="8" t="n"/>
      <c r="O3123" s="8" t="n"/>
      <c r="P3123" s="15" t="n">
        <v>26.65</v>
      </c>
      <c r="Q3123" s="8" t="n"/>
      <c r="R3123" s="8" t="n"/>
      <c r="S3123" s="8" t="n"/>
      <c r="T3123" s="7" t="inlineStr">
        <is>
          <t>NAZARIA</t>
        </is>
      </c>
      <c r="U3123" s="8" t="n">
        <v>26.65</v>
      </c>
      <c r="V3123" s="14">
        <f>U3123/J3123-1</f>
        <v/>
      </c>
      <c r="W3123" s="14">
        <f>U3123/H3123-1</f>
        <v/>
      </c>
      <c r="X3123" s="16" t="inlineStr">
        <is>
          <t>ACIMA +58.7%</t>
        </is>
      </c>
      <c r="Y3123" s="7" t="inlineStr"/>
    </row>
    <row r="3124">
      <c r="A3124" s="7" t="n">
        <v>642291</v>
      </c>
      <c r="B3124" s="12" t="inlineStr">
        <is>
          <t>7891000397077</t>
        </is>
      </c>
      <c r="C3124" s="7" t="inlineStr">
        <is>
          <t>NINHO ADULTO LEITE EM PO 350G BR</t>
        </is>
      </c>
      <c r="D3124" s="7" t="inlineStr">
        <is>
          <t>ALIMENTOS LACTEOS, DERIVADOS E SIMILARES</t>
        </is>
      </c>
      <c r="E3124" s="7" t="inlineStr">
        <is>
          <t>A</t>
        </is>
      </c>
      <c r="F3124" s="13" t="n">
        <v>23</v>
      </c>
      <c r="G3124" s="13" t="n">
        <v>23</v>
      </c>
      <c r="H3124" s="8" t="n">
        <v>21.84</v>
      </c>
      <c r="I3124" s="8" t="n">
        <v>21.84</v>
      </c>
      <c r="J3124" s="8" t="n">
        <v>21.84</v>
      </c>
      <c r="K3124" s="8" t="n"/>
      <c r="L3124" s="8" t="n"/>
      <c r="M3124" s="8" t="n"/>
      <c r="N3124" s="8" t="n"/>
      <c r="O3124" s="8" t="n"/>
      <c r="P3124" s="15" t="n">
        <v>23.13</v>
      </c>
      <c r="Q3124" s="8" t="n"/>
      <c r="R3124" s="8" t="n"/>
      <c r="S3124" s="8" t="n"/>
      <c r="T3124" s="7" t="inlineStr">
        <is>
          <t>NAZARIA</t>
        </is>
      </c>
      <c r="U3124" s="8" t="n">
        <v>23.13</v>
      </c>
      <c r="V3124" s="14">
        <f>U3124/J3124-1</f>
        <v/>
      </c>
      <c r="W3124" s="14">
        <f>U3124/H3124-1</f>
        <v/>
      </c>
      <c r="X3124" s="16" t="inlineStr">
        <is>
          <t>ACIMA +5.9%</t>
        </is>
      </c>
      <c r="Y3124" s="7" t="inlineStr"/>
    </row>
    <row r="3125">
      <c r="A3125" s="7" t="n">
        <v>642301</v>
      </c>
      <c r="B3125" s="12" t="inlineStr">
        <is>
          <t>7891000399132</t>
        </is>
      </c>
      <c r="C3125" s="7" t="inlineStr">
        <is>
          <t>NINHO CMPTOLACT FIBRAS SACHET 50X150G BR</t>
        </is>
      </c>
      <c r="D3125" s="7" t="inlineStr">
        <is>
          <t>DESATIVADO</t>
        </is>
      </c>
      <c r="E3125" s="7" t="inlineStr">
        <is>
          <t>C</t>
        </is>
      </c>
      <c r="F3125" s="13" t="n">
        <v>1</v>
      </c>
      <c r="G3125" s="13" t="n">
        <v>4</v>
      </c>
      <c r="H3125" s="8" t="n">
        <v>7.2216</v>
      </c>
      <c r="I3125" s="8" t="n">
        <v>7.2216</v>
      </c>
      <c r="J3125" s="8" t="n">
        <v>7.2216</v>
      </c>
      <c r="K3125" s="8" t="n"/>
      <c r="L3125" s="8" t="n"/>
      <c r="M3125" s="8" t="n"/>
      <c r="N3125" s="8" t="n"/>
      <c r="O3125" s="8" t="n"/>
      <c r="P3125" s="8" t="n"/>
      <c r="Q3125" s="8" t="n"/>
      <c r="R3125" s="8" t="n"/>
      <c r="S3125" s="8" t="n"/>
      <c r="T3125" s="7" t="inlineStr">
        <is>
          <t>SEM COTAÇÃO</t>
        </is>
      </c>
      <c r="U3125" s="8" t="n"/>
      <c r="V3125" s="14" t="n"/>
      <c r="W3125" s="14" t="n"/>
      <c r="X3125" s="7" t="inlineStr"/>
      <c r="Y3125" s="7" t="inlineStr"/>
    </row>
    <row r="3126">
      <c r="A3126" s="7" t="n">
        <v>611051</v>
      </c>
      <c r="B3126" s="12" t="inlineStr">
        <is>
          <t>7891000261965</t>
        </is>
      </c>
      <c r="C3126" s="7" t="inlineStr">
        <is>
          <t>NINHO FORTI+ ZERO LACTOSE LATA 6X700G BR</t>
        </is>
      </c>
      <c r="D3126" s="7" t="inlineStr">
        <is>
          <t>ALIMENTOS LACTEOS, DERIVADOS E SIMILARES</t>
        </is>
      </c>
      <c r="E3126" s="7" t="inlineStr">
        <is>
          <t>C</t>
        </is>
      </c>
      <c r="F3126" s="13" t="n">
        <v>1</v>
      </c>
      <c r="G3126" s="13" t="n">
        <v>2</v>
      </c>
      <c r="H3126" s="8" t="n">
        <v>40.7683</v>
      </c>
      <c r="I3126" s="8" t="n">
        <v>40.7683</v>
      </c>
      <c r="J3126" s="8" t="n">
        <v>40.7683</v>
      </c>
      <c r="K3126" s="8" t="n"/>
      <c r="L3126" s="8" t="n"/>
      <c r="M3126" s="8" t="n"/>
      <c r="N3126" s="8" t="n"/>
      <c r="O3126" s="8" t="n"/>
      <c r="P3126" s="8" t="n">
        <v>42.04</v>
      </c>
      <c r="Q3126" s="8" t="n"/>
      <c r="R3126" s="8" t="n"/>
      <c r="S3126" s="8" t="n"/>
      <c r="T3126" s="7" t="inlineStr">
        <is>
          <t>SEM COTAÇÃO</t>
        </is>
      </c>
      <c r="U3126" s="8" t="n"/>
      <c r="V3126" s="14" t="n"/>
      <c r="W3126" s="14" t="n"/>
      <c r="X3126" s="7" t="inlineStr"/>
      <c r="Y3126" s="7" t="inlineStr">
        <is>
          <t>NAZARIA: sem estoque</t>
        </is>
      </c>
    </row>
    <row r="3127">
      <c r="A3127" s="7" t="n">
        <v>660411</v>
      </c>
      <c r="B3127" s="12" t="inlineStr">
        <is>
          <t>7891000396599</t>
        </is>
      </c>
      <c r="C3127" s="7" t="inlineStr">
        <is>
          <t>NINHO LEITE PO INTEGRAL 350G BR</t>
        </is>
      </c>
      <c r="D3127" s="7" t="inlineStr">
        <is>
          <t>ALIMENTOS LACTEOS, DERIVADOS E SIMILARES</t>
        </is>
      </c>
      <c r="E3127" s="7" t="inlineStr">
        <is>
          <t>C</t>
        </is>
      </c>
      <c r="F3127" s="13" t="n">
        <v>1</v>
      </c>
      <c r="G3127" s="13" t="n">
        <v>1</v>
      </c>
      <c r="H3127" s="8" t="n">
        <v>19.5042</v>
      </c>
      <c r="I3127" s="8" t="n">
        <v>19.5042</v>
      </c>
      <c r="J3127" s="8" t="n">
        <v>19.5042</v>
      </c>
      <c r="K3127" s="8" t="n"/>
      <c r="L3127" s="8" t="n"/>
      <c r="M3127" s="8" t="n"/>
      <c r="N3127" s="8" t="n"/>
      <c r="O3127" s="8" t="n"/>
      <c r="P3127" s="8" t="n"/>
      <c r="Q3127" s="8" t="n"/>
      <c r="R3127" s="8" t="n"/>
      <c r="S3127" s="8" t="n"/>
      <c r="T3127" s="7" t="inlineStr">
        <is>
          <t>SEM COTAÇÃO</t>
        </is>
      </c>
      <c r="U3127" s="8" t="n"/>
      <c r="V3127" s="14" t="n"/>
      <c r="W3127" s="14" t="n"/>
      <c r="X3127" s="7" t="inlineStr"/>
      <c r="Y3127" s="7" t="inlineStr"/>
    </row>
    <row r="3128">
      <c r="A3128" s="7" t="n">
        <v>643061</v>
      </c>
      <c r="B3128" s="12" t="inlineStr">
        <is>
          <t>7894913003691</t>
        </is>
      </c>
      <c r="C3128" s="7" t="inlineStr">
        <is>
          <t>NINNAR MELATONINA 120CPR MARACUJA</t>
        </is>
      </c>
      <c r="D3128" s="7" t="inlineStr">
        <is>
          <t>VITAMINA E SIMILARES</t>
        </is>
      </c>
      <c r="E3128" s="7" t="inlineStr">
        <is>
          <t>B</t>
        </is>
      </c>
      <c r="F3128" s="13" t="n">
        <v>3</v>
      </c>
      <c r="G3128" s="13" t="n">
        <v>3</v>
      </c>
      <c r="H3128" s="8" t="n">
        <v>16.84</v>
      </c>
      <c r="I3128" s="8" t="n">
        <v>16.84</v>
      </c>
      <c r="J3128" s="8" t="n">
        <v>16.84</v>
      </c>
      <c r="K3128" s="8" t="n"/>
      <c r="L3128" s="8" t="n"/>
      <c r="M3128" s="8" t="n"/>
      <c r="N3128" s="15" t="n">
        <v>17.78</v>
      </c>
      <c r="O3128" s="8" t="n"/>
      <c r="P3128" s="8" t="n"/>
      <c r="Q3128" s="8" t="n"/>
      <c r="R3128" s="8" t="n"/>
      <c r="S3128" s="8" t="n"/>
      <c r="T3128" s="7" t="inlineStr">
        <is>
          <t>CENTROFARMA</t>
        </is>
      </c>
      <c r="U3128" s="8" t="n">
        <v>17.78</v>
      </c>
      <c r="V3128" s="14">
        <f>U3128/J3128-1</f>
        <v/>
      </c>
      <c r="W3128" s="14">
        <f>U3128/H3128-1</f>
        <v/>
      </c>
      <c r="X3128" s="16" t="inlineStr">
        <is>
          <t>ACIMA +5.6%</t>
        </is>
      </c>
      <c r="Y3128" s="7" t="inlineStr"/>
    </row>
    <row r="3129">
      <c r="A3129" s="7" t="n">
        <v>643071</v>
      </c>
      <c r="B3129" s="12" t="inlineStr">
        <is>
          <t>7894913003189</t>
        </is>
      </c>
      <c r="C3129" s="7" t="inlineStr">
        <is>
          <t>NINNAR MELATONINA MARACUJA 30ML</t>
        </is>
      </c>
      <c r="D3129" s="7" t="inlineStr">
        <is>
          <t>VITAMINA E SIMILARES</t>
        </is>
      </c>
      <c r="E3129" s="7" t="inlineStr">
        <is>
          <t>C</t>
        </is>
      </c>
      <c r="F3129" s="13" t="n">
        <v>1</v>
      </c>
      <c r="G3129" s="13" t="n">
        <v>1</v>
      </c>
      <c r="H3129" s="8" t="n">
        <v>13.1</v>
      </c>
      <c r="I3129" s="8" t="n">
        <v>13.1</v>
      </c>
      <c r="J3129" s="8" t="n">
        <v>13.1</v>
      </c>
      <c r="K3129" s="8" t="n"/>
      <c r="L3129" s="8" t="n"/>
      <c r="M3129" s="8" t="n"/>
      <c r="N3129" s="15" t="n">
        <v>13.79</v>
      </c>
      <c r="O3129" s="8" t="n"/>
      <c r="P3129" s="8" t="n"/>
      <c r="Q3129" s="8" t="n"/>
      <c r="R3129" s="8" t="n"/>
      <c r="S3129" s="8" t="n"/>
      <c r="T3129" s="7" t="inlineStr">
        <is>
          <t>CENTROFARMA</t>
        </is>
      </c>
      <c r="U3129" s="8" t="n">
        <v>13.79</v>
      </c>
      <c r="V3129" s="14">
        <f>U3129/J3129-1</f>
        <v/>
      </c>
      <c r="W3129" s="14">
        <f>U3129/H3129-1</f>
        <v/>
      </c>
      <c r="X3129" s="16" t="inlineStr">
        <is>
          <t>ACIMA +5.3%</t>
        </is>
      </c>
      <c r="Y3129" s="7" t="inlineStr"/>
    </row>
    <row r="3130">
      <c r="A3130" s="7" t="n">
        <v>362441</v>
      </c>
      <c r="B3130" s="12" t="inlineStr">
        <is>
          <t>7896422504577</t>
        </is>
      </c>
      <c r="C3130" s="7" t="inlineStr">
        <is>
          <t>NISTATINA 25.000UI/G CREM VAG BG+14 APLIC</t>
        </is>
      </c>
      <c r="D3130" s="7" t="inlineStr">
        <is>
          <t>GENERICO</t>
        </is>
      </c>
      <c r="E3130" s="7" t="inlineStr">
        <is>
          <t>A</t>
        </is>
      </c>
      <c r="F3130" s="13" t="n">
        <v>9</v>
      </c>
      <c r="G3130" s="13" t="n">
        <v>9</v>
      </c>
      <c r="H3130" s="8" t="n">
        <v>9.878</v>
      </c>
      <c r="I3130" s="8" t="n">
        <v>8.788</v>
      </c>
      <c r="J3130" s="8" t="n">
        <v>9.514666666666667</v>
      </c>
      <c r="K3130" s="8" t="n"/>
      <c r="L3130" s="8" t="n"/>
      <c r="M3130" s="8" t="n"/>
      <c r="N3130" s="8" t="n"/>
      <c r="O3130" s="8" t="n"/>
      <c r="P3130" s="15" t="n">
        <v>12.27216</v>
      </c>
      <c r="Q3130" s="8" t="n"/>
      <c r="R3130" s="8" t="n"/>
      <c r="S3130" s="8" t="n"/>
      <c r="T3130" s="7" t="inlineStr">
        <is>
          <t>NAZARIA</t>
        </is>
      </c>
      <c r="U3130" s="8" t="n">
        <v>12.27216</v>
      </c>
      <c r="V3130" s="14">
        <f>U3130/J3130-1</f>
        <v/>
      </c>
      <c r="W3130" s="14">
        <f>U3130/H3130-1</f>
        <v/>
      </c>
      <c r="X3130" s="16" t="inlineStr">
        <is>
          <t>ACIMA +24.2%</t>
        </is>
      </c>
      <c r="Y3130" s="7" t="inlineStr"/>
    </row>
    <row r="3131">
      <c r="A3131" s="7" t="n">
        <v>613381</v>
      </c>
      <c r="B3131" s="12" t="inlineStr">
        <is>
          <t>7898687730487</t>
        </is>
      </c>
      <c r="C3131" s="7" t="inlineStr">
        <is>
          <t>NITAZOXANIDA 20MG/ML PO SUS OR FR 100ML+SER DOS</t>
        </is>
      </c>
      <c r="D3131" s="7" t="inlineStr">
        <is>
          <t>GENERICO</t>
        </is>
      </c>
      <c r="E3131" s="7" t="inlineStr">
        <is>
          <t>C</t>
        </is>
      </c>
      <c r="F3131" s="13" t="n">
        <v>7</v>
      </c>
      <c r="G3131" s="13" t="n">
        <v>7</v>
      </c>
      <c r="H3131" s="8" t="n">
        <v>12.23</v>
      </c>
      <c r="I3131" s="8" t="n">
        <v>12.23</v>
      </c>
      <c r="J3131" s="8" t="n">
        <v>12.23</v>
      </c>
      <c r="K3131" s="8" t="n">
        <v>15.42</v>
      </c>
      <c r="L3131" s="15" t="n">
        <v>15.07</v>
      </c>
      <c r="M3131" s="8" t="n"/>
      <c r="N3131" s="8" t="n">
        <v>15.62</v>
      </c>
      <c r="O3131" s="8" t="n"/>
      <c r="P3131" s="8" t="n">
        <v>17.442222</v>
      </c>
      <c r="Q3131" s="8" t="n">
        <v>16.78</v>
      </c>
      <c r="R3131" s="8" t="n"/>
      <c r="S3131" s="8" t="n"/>
      <c r="T3131" s="7" t="inlineStr">
        <is>
          <t>PLUSFARMA</t>
        </is>
      </c>
      <c r="U3131" s="8" t="n">
        <v>15.07</v>
      </c>
      <c r="V3131" s="14">
        <f>U3131/J3131-1</f>
        <v/>
      </c>
      <c r="W3131" s="14">
        <f>U3131/H3131-1</f>
        <v/>
      </c>
      <c r="X3131" s="16" t="inlineStr">
        <is>
          <t>ACIMA +23.2%</t>
        </is>
      </c>
      <c r="Y3131" s="7" t="inlineStr"/>
    </row>
    <row r="3132">
      <c r="A3132" s="7" t="n">
        <v>610201</v>
      </c>
      <c r="B3132" s="12" t="inlineStr">
        <is>
          <t>7898687730470</t>
        </is>
      </c>
      <c r="C3132" s="7" t="inlineStr">
        <is>
          <t>NITAZOXANIDA 20MG/ML PO SUS OR FR 45ML+SER DOS</t>
        </is>
      </c>
      <c r="D3132" s="7" t="inlineStr">
        <is>
          <t>GENERICO</t>
        </is>
      </c>
      <c r="E3132" s="7" t="inlineStr">
        <is>
          <t>C</t>
        </is>
      </c>
      <c r="F3132" s="13" t="n">
        <v>11</v>
      </c>
      <c r="G3132" s="13" t="n">
        <v>11</v>
      </c>
      <c r="H3132" s="8" t="n">
        <v>6.62</v>
      </c>
      <c r="I3132" s="8" t="n">
        <v>6.62</v>
      </c>
      <c r="J3132" s="8" t="n">
        <v>6.62</v>
      </c>
      <c r="K3132" s="8" t="n">
        <v>7.82</v>
      </c>
      <c r="L3132" s="15" t="n">
        <v>7.68</v>
      </c>
      <c r="M3132" s="8" t="n"/>
      <c r="N3132" s="8" t="n">
        <v>7.93</v>
      </c>
      <c r="O3132" s="8" t="n"/>
      <c r="P3132" s="8" t="n"/>
      <c r="Q3132" s="8" t="n">
        <v>8.199999999999999</v>
      </c>
      <c r="R3132" s="8" t="n"/>
      <c r="S3132" s="8" t="n"/>
      <c r="T3132" s="7" t="inlineStr">
        <is>
          <t>PLUSFARMA</t>
        </is>
      </c>
      <c r="U3132" s="8" t="n">
        <v>7.68</v>
      </c>
      <c r="V3132" s="14">
        <f>U3132/J3132-1</f>
        <v/>
      </c>
      <c r="W3132" s="14">
        <f>U3132/H3132-1</f>
        <v/>
      </c>
      <c r="X3132" s="16" t="inlineStr">
        <is>
          <t>ACIMA +16.0%</t>
        </is>
      </c>
      <c r="Y3132" s="7" t="inlineStr"/>
    </row>
    <row r="3133">
      <c r="A3133" s="7" t="n">
        <v>363861</v>
      </c>
      <c r="B3133" s="12" t="inlineStr">
        <is>
          <t>7898569764517</t>
        </is>
      </c>
      <c r="C3133" s="7" t="inlineStr">
        <is>
          <t>NITAZOXANIDA 500MG CX 6 COMP REV</t>
        </is>
      </c>
      <c r="D3133" s="7" t="inlineStr">
        <is>
          <t>GENERICO</t>
        </is>
      </c>
      <c r="E3133" s="7" t="inlineStr">
        <is>
          <t>C</t>
        </is>
      </c>
      <c r="F3133" s="13" t="n">
        <v>5</v>
      </c>
      <c r="G3133" s="13" t="n">
        <v>5</v>
      </c>
      <c r="H3133" s="8" t="n">
        <v>12.98</v>
      </c>
      <c r="I3133" s="8" t="n">
        <v>12.98</v>
      </c>
      <c r="J3133" s="8" t="n">
        <v>12.98</v>
      </c>
      <c r="K3133" s="8" t="n">
        <v>14.89</v>
      </c>
      <c r="L3133" s="8" t="n">
        <v>14.8</v>
      </c>
      <c r="M3133" s="8" t="n"/>
      <c r="N3133" s="8" t="n">
        <v>13.79</v>
      </c>
      <c r="O3133" s="8" t="n">
        <v>15.02</v>
      </c>
      <c r="P3133" s="8" t="n">
        <v>18.698609</v>
      </c>
      <c r="Q3133" s="15" t="n">
        <v>12.16</v>
      </c>
      <c r="R3133" s="8" t="n"/>
      <c r="S3133" s="8" t="n"/>
      <c r="T3133" s="7" t="inlineStr">
        <is>
          <t>MEDCENTRO</t>
        </is>
      </c>
      <c r="U3133" s="8" t="n">
        <v>12.16</v>
      </c>
      <c r="V3133" s="14">
        <f>U3133/J3133-1</f>
        <v/>
      </c>
      <c r="W3133" s="14">
        <f>U3133/H3133-1</f>
        <v/>
      </c>
      <c r="X3133" s="17" t="inlineStr">
        <is>
          <t>OK (≤ menor hist.)</t>
        </is>
      </c>
      <c r="Y3133" s="7" t="inlineStr"/>
    </row>
    <row r="3134">
      <c r="A3134" s="7" t="n">
        <v>641681</v>
      </c>
      <c r="B3134" s="12" t="inlineStr"/>
      <c r="C3134" s="7" t="inlineStr">
        <is>
          <t>NITRATO DE MICONAZOL 20MG/G CREME BG 28G</t>
        </is>
      </c>
      <c r="D3134" s="7" t="inlineStr">
        <is>
          <t>GENERICO</t>
        </is>
      </c>
      <c r="E3134" s="7" t="inlineStr">
        <is>
          <t>A</t>
        </is>
      </c>
      <c r="F3134" s="13" t="n">
        <v>5</v>
      </c>
      <c r="G3134" s="13" t="n">
        <v>5</v>
      </c>
      <c r="H3134" s="8" t="n">
        <v>4.25</v>
      </c>
      <c r="I3134" s="8" t="n">
        <v>3.99</v>
      </c>
      <c r="J3134" s="8" t="n">
        <v>4.043333333333334</v>
      </c>
      <c r="K3134" s="8" t="n"/>
      <c r="L3134" s="8" t="n"/>
      <c r="M3134" s="8" t="n"/>
      <c r="N3134" s="8" t="n"/>
      <c r="O3134" s="8" t="n"/>
      <c r="P3134" s="8" t="n"/>
      <c r="Q3134" s="8" t="n"/>
      <c r="R3134" s="8" t="n"/>
      <c r="S3134" s="8" t="n"/>
      <c r="T3134" s="7" t="inlineStr">
        <is>
          <t>SEM COTAÇÃO</t>
        </is>
      </c>
      <c r="U3134" s="8" t="n"/>
      <c r="V3134" s="14" t="n"/>
      <c r="W3134" s="14" t="n"/>
      <c r="X3134" s="7" t="inlineStr"/>
      <c r="Y3134" s="7" t="inlineStr"/>
    </row>
    <row r="3135">
      <c r="A3135" s="7" t="n">
        <v>619451</v>
      </c>
      <c r="B3135" s="12" t="inlineStr">
        <is>
          <t>7896523227627</t>
        </is>
      </c>
      <c r="C3135" s="7" t="inlineStr">
        <is>
          <t>NITRATO DE MICONAZOL EMU FR 30ML</t>
        </is>
      </c>
      <c r="D3135" s="7" t="inlineStr">
        <is>
          <t>GENERICO</t>
        </is>
      </c>
      <c r="E3135" s="7" t="inlineStr">
        <is>
          <t>B</t>
        </is>
      </c>
      <c r="F3135" s="13" t="n">
        <v>6</v>
      </c>
      <c r="G3135" s="13" t="n">
        <v>6</v>
      </c>
      <c r="H3135" s="8" t="n">
        <v>4.69</v>
      </c>
      <c r="I3135" s="8" t="n">
        <v>3.89</v>
      </c>
      <c r="J3135" s="8" t="n">
        <v>4.03</v>
      </c>
      <c r="K3135" s="8" t="n"/>
      <c r="L3135" s="8" t="n"/>
      <c r="M3135" s="8" t="n"/>
      <c r="N3135" s="8" t="n"/>
      <c r="O3135" s="8" t="n"/>
      <c r="P3135" s="8" t="n"/>
      <c r="Q3135" s="8" t="n"/>
      <c r="R3135" s="8" t="n"/>
      <c r="S3135" s="8" t="n"/>
      <c r="T3135" s="7" t="inlineStr">
        <is>
          <t>SEM COTAÇÃO</t>
        </is>
      </c>
      <c r="U3135" s="8" t="n"/>
      <c r="V3135" s="14" t="n"/>
      <c r="W3135" s="14" t="n"/>
      <c r="X3135" s="7" t="inlineStr"/>
      <c r="Y3135" s="7" t="inlineStr"/>
    </row>
    <row r="3136">
      <c r="A3136" s="7" t="n">
        <v>652631</v>
      </c>
      <c r="B3136" s="12" t="inlineStr">
        <is>
          <t>4005808313167</t>
        </is>
      </c>
      <c r="C3136" s="7" t="inlineStr">
        <is>
          <t>NIVEA SABONETE LIQUIDO WATERLILY &amp;AMP; OIL 250ML REF  0789</t>
        </is>
      </c>
      <c r="D3136" s="7" t="inlineStr">
        <is>
          <t>COND/SHAM/CREM/SIMILARES</t>
        </is>
      </c>
      <c r="E3136" s="7" t="inlineStr">
        <is>
          <t>C</t>
        </is>
      </c>
      <c r="F3136" s="13" t="n">
        <v>4</v>
      </c>
      <c r="G3136" s="13" t="n">
        <v>4</v>
      </c>
      <c r="H3136" s="8" t="n">
        <v>17.055</v>
      </c>
      <c r="I3136" s="8" t="n">
        <v>17</v>
      </c>
      <c r="J3136" s="8" t="n">
        <v>17.01833333333333</v>
      </c>
      <c r="K3136" s="8" t="n"/>
      <c r="L3136" s="8" t="n"/>
      <c r="M3136" s="8" t="n"/>
      <c r="N3136" s="8" t="n"/>
      <c r="O3136" s="8" t="n"/>
      <c r="P3136" s="8" t="n">
        <v>17.12</v>
      </c>
      <c r="Q3136" s="8" t="n"/>
      <c r="R3136" s="8" t="n"/>
      <c r="S3136" s="8" t="n"/>
      <c r="T3136" s="7" t="inlineStr">
        <is>
          <t>SEM COTAÇÃO</t>
        </is>
      </c>
      <c r="U3136" s="8" t="n"/>
      <c r="V3136" s="14" t="n"/>
      <c r="W3136" s="14" t="n"/>
      <c r="X3136" s="7" t="inlineStr"/>
      <c r="Y3136" s="7" t="inlineStr">
        <is>
          <t>NAZARIA: sem estoque</t>
        </is>
      </c>
    </row>
    <row r="3137">
      <c r="A3137" s="7" t="n">
        <v>652651</v>
      </c>
      <c r="B3137" s="12" t="inlineStr">
        <is>
          <t>4005900929679</t>
        </is>
      </c>
      <c r="C3137" s="7" t="inlineStr">
        <is>
          <t>NIVEA VISAGE CELLULLAR LIFT EXPERT DIA SPF 30 50GRS</t>
        </is>
      </c>
      <c r="D3137" s="7" t="inlineStr">
        <is>
          <t>RX - DERMO</t>
        </is>
      </c>
      <c r="E3137" s="7" t="inlineStr">
        <is>
          <t>B</t>
        </is>
      </c>
      <c r="F3137" s="13" t="n">
        <v>1</v>
      </c>
      <c r="G3137" s="13" t="n">
        <v>1</v>
      </c>
      <c r="H3137" s="8" t="n">
        <v>50.02</v>
      </c>
      <c r="I3137" s="8" t="n">
        <v>50.02</v>
      </c>
      <c r="J3137" s="8" t="n">
        <v>50.02</v>
      </c>
      <c r="K3137" s="8" t="n"/>
      <c r="L3137" s="8" t="n"/>
      <c r="M3137" s="8" t="n"/>
      <c r="N3137" s="8" t="n"/>
      <c r="O3137" s="8" t="n"/>
      <c r="P3137" s="8" t="n"/>
      <c r="Q3137" s="8" t="n"/>
      <c r="R3137" s="8" t="n"/>
      <c r="S3137" s="8" t="n"/>
      <c r="T3137" s="7" t="inlineStr">
        <is>
          <t>SEM COTAÇÃO</t>
        </is>
      </c>
      <c r="U3137" s="8" t="n"/>
      <c r="V3137" s="14" t="n"/>
      <c r="W3137" s="14" t="n"/>
      <c r="X3137" s="7" t="inlineStr"/>
      <c r="Y3137" s="7" t="inlineStr"/>
    </row>
    <row r="3138">
      <c r="A3138" s="7" t="n">
        <v>69161</v>
      </c>
      <c r="B3138" s="12" t="inlineStr"/>
      <c r="C3138" s="7" t="inlineStr">
        <is>
          <t>NOEX 32MCG SUS NAS FR 120 DOS</t>
        </is>
      </c>
      <c r="D3138" s="7" t="inlineStr">
        <is>
          <t>RX</t>
        </is>
      </c>
      <c r="E3138" s="7" t="inlineStr">
        <is>
          <t>A</t>
        </is>
      </c>
      <c r="F3138" s="13" t="n">
        <v>1</v>
      </c>
      <c r="G3138" s="13" t="n">
        <v>1</v>
      </c>
      <c r="H3138" s="8" t="n">
        <v>22.75</v>
      </c>
      <c r="I3138" s="8" t="n">
        <v>22.75</v>
      </c>
      <c r="J3138" s="8" t="n">
        <v>22.75</v>
      </c>
      <c r="K3138" s="8" t="n"/>
      <c r="L3138" s="8" t="n"/>
      <c r="M3138" s="8" t="n"/>
      <c r="N3138" s="8" t="n"/>
      <c r="O3138" s="8" t="n"/>
      <c r="P3138" s="8" t="n"/>
      <c r="Q3138" s="8" t="n"/>
      <c r="R3138" s="8" t="n"/>
      <c r="S3138" s="8" t="n"/>
      <c r="T3138" s="7" t="inlineStr">
        <is>
          <t>SEM COTAÇÃO</t>
        </is>
      </c>
      <c r="U3138" s="8" t="n"/>
      <c r="V3138" s="14" t="n"/>
      <c r="W3138" s="14" t="n"/>
      <c r="X3138" s="7" t="inlineStr"/>
      <c r="Y3138" s="7" t="inlineStr"/>
    </row>
    <row r="3139">
      <c r="A3139" s="7" t="n">
        <v>69181</v>
      </c>
      <c r="B3139" s="12" t="inlineStr"/>
      <c r="C3139" s="7" t="inlineStr">
        <is>
          <t>NOEX 50MCG SUS NAS FR 200 DOS</t>
        </is>
      </c>
      <c r="D3139" s="7" t="inlineStr">
        <is>
          <t>RX</t>
        </is>
      </c>
      <c r="E3139" s="7" t="inlineStr">
        <is>
          <t>A</t>
        </is>
      </c>
      <c r="F3139" s="13" t="n">
        <v>2</v>
      </c>
      <c r="G3139" s="13" t="n">
        <v>2</v>
      </c>
      <c r="H3139" s="8" t="n">
        <v>57.73</v>
      </c>
      <c r="I3139" s="8" t="n">
        <v>53.3</v>
      </c>
      <c r="J3139" s="8" t="n">
        <v>56.04999999999999</v>
      </c>
      <c r="K3139" s="8" t="n"/>
      <c r="L3139" s="8" t="n"/>
      <c r="M3139" s="8" t="n"/>
      <c r="N3139" s="8" t="n"/>
      <c r="O3139" s="8" t="n"/>
      <c r="P3139" s="8" t="n"/>
      <c r="Q3139" s="8" t="n"/>
      <c r="R3139" s="8" t="n"/>
      <c r="S3139" s="8" t="n"/>
      <c r="T3139" s="7" t="inlineStr">
        <is>
          <t>SEM COTAÇÃO</t>
        </is>
      </c>
      <c r="U3139" s="8" t="n"/>
      <c r="V3139" s="14" t="n"/>
      <c r="W3139" s="14" t="n"/>
      <c r="X3139" s="7" t="inlineStr"/>
      <c r="Y3139" s="7" t="inlineStr"/>
    </row>
    <row r="3140">
      <c r="A3140" s="7" t="n">
        <v>652331</v>
      </c>
      <c r="B3140" s="12" t="inlineStr">
        <is>
          <t>7896026160018</t>
        </is>
      </c>
      <c r="C3140" s="7" t="inlineStr">
        <is>
          <t>NOPLAK SOL 250ML</t>
        </is>
      </c>
      <c r="D3140" s="7" t="inlineStr">
        <is>
          <t>RX</t>
        </is>
      </c>
      <c r="E3140" s="7" t="inlineStr">
        <is>
          <t>B</t>
        </is>
      </c>
      <c r="F3140" s="13" t="n">
        <v>1</v>
      </c>
      <c r="G3140" s="13" t="n">
        <v>1</v>
      </c>
      <c r="H3140" s="8" t="n">
        <v>16.94</v>
      </c>
      <c r="I3140" s="8" t="n">
        <v>10.385</v>
      </c>
      <c r="J3140" s="8" t="n">
        <v>12.04166666666667</v>
      </c>
      <c r="K3140" s="8" t="n"/>
      <c r="L3140" s="8" t="n"/>
      <c r="M3140" s="8" t="n">
        <v>22.84</v>
      </c>
      <c r="N3140" s="8" t="n"/>
      <c r="O3140" s="8" t="n"/>
      <c r="P3140" s="15" t="n">
        <v>21.6601</v>
      </c>
      <c r="Q3140" s="8" t="n"/>
      <c r="R3140" s="8" t="n"/>
      <c r="S3140" s="8" t="n"/>
      <c r="T3140" s="7" t="inlineStr">
        <is>
          <t>NAZARIA</t>
        </is>
      </c>
      <c r="U3140" s="8" t="n">
        <v>21.6601</v>
      </c>
      <c r="V3140" s="14">
        <f>U3140/J3140-1</f>
        <v/>
      </c>
      <c r="W3140" s="14">
        <f>U3140/H3140-1</f>
        <v/>
      </c>
      <c r="X3140" s="16" t="inlineStr">
        <is>
          <t>ACIMA +27.9%</t>
        </is>
      </c>
      <c r="Y3140" s="7" t="inlineStr"/>
    </row>
    <row r="3141">
      <c r="A3141" s="7" t="n">
        <v>231981</v>
      </c>
      <c r="B3141" s="12" t="inlineStr">
        <is>
          <t>7908020502555</t>
        </is>
      </c>
      <c r="C3141" s="7" t="inlineStr">
        <is>
          <t>NOREGYNA 50+5MG/ML SOL INJ AMP 1ML+SER</t>
        </is>
      </c>
      <c r="D3141" s="7" t="inlineStr">
        <is>
          <t>SIMILAR</t>
        </is>
      </c>
      <c r="E3141" s="7" t="inlineStr">
        <is>
          <t>C</t>
        </is>
      </c>
      <c r="F3141" s="13" t="n">
        <v>7</v>
      </c>
      <c r="G3141" s="13" t="n">
        <v>7</v>
      </c>
      <c r="H3141" s="8" t="n">
        <v>15.765</v>
      </c>
      <c r="I3141" s="8" t="n">
        <v>15.765</v>
      </c>
      <c r="J3141" s="8" t="n">
        <v>15.765</v>
      </c>
      <c r="K3141" s="8" t="n"/>
      <c r="L3141" s="8" t="n"/>
      <c r="M3141" s="8" t="n"/>
      <c r="N3141" s="8" t="n"/>
      <c r="O3141" s="8" t="n"/>
      <c r="P3141" s="8" t="n"/>
      <c r="Q3141" s="8" t="n"/>
      <c r="R3141" s="8" t="n"/>
      <c r="S3141" s="8" t="n"/>
      <c r="T3141" s="7" t="inlineStr">
        <is>
          <t>SEM COTAÇÃO</t>
        </is>
      </c>
      <c r="U3141" s="8" t="n"/>
      <c r="V3141" s="14" t="n"/>
      <c r="W3141" s="14" t="n"/>
      <c r="X3141" s="7" t="inlineStr"/>
      <c r="Y3141" s="7" t="inlineStr"/>
    </row>
    <row r="3142">
      <c r="A3142" s="7" t="n">
        <v>368161</v>
      </c>
      <c r="B3142" s="12" t="inlineStr">
        <is>
          <t>7896523213224</t>
        </is>
      </c>
      <c r="C3142" s="7" t="inlineStr">
        <is>
          <t>NORFLOXACINO 400MG CX 14 COMP REV</t>
        </is>
      </c>
      <c r="D3142" s="7" t="inlineStr">
        <is>
          <t>GENERICO - ATB</t>
        </is>
      </c>
      <c r="E3142" s="7" t="inlineStr">
        <is>
          <t>B</t>
        </is>
      </c>
      <c r="F3142" s="13" t="n">
        <v>4</v>
      </c>
      <c r="G3142" s="13" t="n">
        <v>4</v>
      </c>
      <c r="H3142" s="8" t="n"/>
      <c r="I3142" s="8" t="n"/>
      <c r="J3142" s="8" t="n"/>
      <c r="K3142" s="8" t="n"/>
      <c r="L3142" s="8" t="n"/>
      <c r="M3142" s="8" t="n"/>
      <c r="N3142" s="8" t="n"/>
      <c r="O3142" s="8" t="n"/>
      <c r="P3142" s="8" t="n"/>
      <c r="Q3142" s="8" t="n"/>
      <c r="R3142" s="8" t="n"/>
      <c r="S3142" s="8" t="n"/>
      <c r="T3142" s="7" t="inlineStr">
        <is>
          <t>SEM COTAÇÃO</t>
        </is>
      </c>
      <c r="U3142" s="8" t="n"/>
      <c r="V3142" s="14" t="n"/>
      <c r="W3142" s="14" t="n"/>
      <c r="X3142" s="7" t="inlineStr"/>
      <c r="Y3142" s="7" t="inlineStr"/>
    </row>
    <row r="3143">
      <c r="A3143" s="7" t="n">
        <v>368201</v>
      </c>
      <c r="B3143" s="12" t="inlineStr">
        <is>
          <t>7896862924232</t>
        </is>
      </c>
      <c r="C3143" s="7" t="inlineStr">
        <is>
          <t>NORFLOXACINO 400MG CX 14 COMP REV</t>
        </is>
      </c>
      <c r="D3143" s="7" t="inlineStr">
        <is>
          <t>GENERICO - ATB</t>
        </is>
      </c>
      <c r="E3143" s="7" t="inlineStr">
        <is>
          <t>C</t>
        </is>
      </c>
      <c r="F3143" s="13" t="n">
        <v>1</v>
      </c>
      <c r="G3143" s="13" t="n">
        <v>1</v>
      </c>
      <c r="H3143" s="8" t="n">
        <v>8.99</v>
      </c>
      <c r="I3143" s="8" t="n">
        <v>8.99</v>
      </c>
      <c r="J3143" s="8" t="n">
        <v>8.99</v>
      </c>
      <c r="K3143" s="8" t="n"/>
      <c r="L3143" s="8" t="n"/>
      <c r="M3143" s="8" t="n"/>
      <c r="N3143" s="8" t="n"/>
      <c r="O3143" s="8" t="n"/>
      <c r="P3143" s="8" t="n"/>
      <c r="Q3143" s="8" t="n"/>
      <c r="R3143" s="8" t="n"/>
      <c r="S3143" s="8" t="n"/>
      <c r="T3143" s="7" t="inlineStr">
        <is>
          <t>SEM COTAÇÃO</t>
        </is>
      </c>
      <c r="U3143" s="8" t="n"/>
      <c r="V3143" s="14" t="n"/>
      <c r="W3143" s="14" t="n"/>
      <c r="X3143" s="7" t="inlineStr"/>
      <c r="Y3143" s="7" t="inlineStr"/>
    </row>
    <row r="3144">
      <c r="A3144" s="7" t="n">
        <v>588811</v>
      </c>
      <c r="B3144" s="12" t="inlineStr">
        <is>
          <t>7898581710547</t>
        </is>
      </c>
      <c r="C3144" s="7" t="inlineStr">
        <is>
          <t>NORIPURUM 100MG CX 30 COMP MAST</t>
        </is>
      </c>
      <c r="D3144" s="7" t="inlineStr">
        <is>
          <t>RX</t>
        </is>
      </c>
      <c r="E3144" s="7" t="inlineStr">
        <is>
          <t>A</t>
        </is>
      </c>
      <c r="F3144" s="13" t="n">
        <v>6</v>
      </c>
      <c r="G3144" s="13" t="n">
        <v>6</v>
      </c>
      <c r="H3144" s="8" t="n">
        <v>54.97</v>
      </c>
      <c r="I3144" s="8" t="n">
        <v>54.97</v>
      </c>
      <c r="J3144" s="8" t="n">
        <v>54.97</v>
      </c>
      <c r="K3144" s="8" t="n"/>
      <c r="L3144" s="8" t="n"/>
      <c r="M3144" s="8" t="n">
        <v>54.58</v>
      </c>
      <c r="N3144" s="8" t="n"/>
      <c r="O3144" s="8" t="n"/>
      <c r="P3144" s="8" t="n">
        <v>58.48</v>
      </c>
      <c r="Q3144" s="8" t="n"/>
      <c r="R3144" s="8" t="n"/>
      <c r="S3144" s="8" t="n"/>
      <c r="T3144" s="7" t="inlineStr">
        <is>
          <t>SEM COTAÇÃO</t>
        </is>
      </c>
      <c r="U3144" s="8" t="n"/>
      <c r="V3144" s="14" t="n"/>
      <c r="W3144" s="14" t="n"/>
      <c r="X3144" s="7" t="inlineStr"/>
      <c r="Y3144" s="7" t="inlineStr">
        <is>
          <t>EPAN: sem estoque; NAZARIA: sem estoque</t>
        </is>
      </c>
    </row>
    <row r="3145">
      <c r="A3145" s="7" t="n">
        <v>588801</v>
      </c>
      <c r="B3145" s="12" t="inlineStr">
        <is>
          <t>7898581710578</t>
        </is>
      </c>
      <c r="C3145" s="7" t="inlineStr">
        <is>
          <t>NORIPURUM 10MG/ML XPE FR 120ML</t>
        </is>
      </c>
      <c r="D3145" s="7" t="inlineStr">
        <is>
          <t>RX</t>
        </is>
      </c>
      <c r="E3145" s="7" t="inlineStr">
        <is>
          <t>A</t>
        </is>
      </c>
      <c r="F3145" s="13" t="n">
        <v>2</v>
      </c>
      <c r="G3145" s="13" t="n">
        <v>2</v>
      </c>
      <c r="H3145" s="8" t="n">
        <v>26.06</v>
      </c>
      <c r="I3145" s="8" t="n">
        <v>26.06</v>
      </c>
      <c r="J3145" s="8" t="n">
        <v>26.06</v>
      </c>
      <c r="K3145" s="8" t="n"/>
      <c r="L3145" s="8" t="n"/>
      <c r="M3145" s="15" t="n">
        <v>26.06</v>
      </c>
      <c r="N3145" s="8" t="n"/>
      <c r="O3145" s="8" t="n">
        <v>26.25</v>
      </c>
      <c r="P3145" s="8" t="n">
        <v>27.93</v>
      </c>
      <c r="Q3145" s="8" t="n"/>
      <c r="R3145" s="8" t="n"/>
      <c r="S3145" s="8" t="n"/>
      <c r="T3145" s="7" t="inlineStr">
        <is>
          <t>EPAN</t>
        </is>
      </c>
      <c r="U3145" s="8" t="n">
        <v>26.06</v>
      </c>
      <c r="V3145" s="14">
        <f>U3145/J3145-1</f>
        <v/>
      </c>
      <c r="W3145" s="14">
        <f>U3145/H3145-1</f>
        <v/>
      </c>
      <c r="X3145" s="17" t="inlineStr">
        <is>
          <t>OK (≤ menor hist.)</t>
        </is>
      </c>
      <c r="Y3145" s="7" t="inlineStr"/>
    </row>
    <row r="3146">
      <c r="A3146" s="7" t="n">
        <v>247481</v>
      </c>
      <c r="B3146" s="12" t="inlineStr">
        <is>
          <t>7896641805479</t>
        </is>
      </c>
      <c r="C3146" s="7" t="inlineStr">
        <is>
          <t>NORIPURUM 50MG/ML SOL OR FR GOT 30ML</t>
        </is>
      </c>
      <c r="D3146" s="7" t="inlineStr">
        <is>
          <t>RX</t>
        </is>
      </c>
      <c r="E3146" s="7" t="inlineStr">
        <is>
          <t>A</t>
        </is>
      </c>
      <c r="F3146" s="13" t="n">
        <v>1</v>
      </c>
      <c r="G3146" s="13" t="n">
        <v>1</v>
      </c>
      <c r="H3146" s="8" t="n">
        <v>38.21</v>
      </c>
      <c r="I3146" s="8" t="n">
        <v>34.56</v>
      </c>
      <c r="J3146" s="8" t="n">
        <v>34.56</v>
      </c>
      <c r="K3146" s="8" t="n"/>
      <c r="L3146" s="8" t="n"/>
      <c r="M3146" s="8" t="n"/>
      <c r="N3146" s="8" t="n"/>
      <c r="O3146" s="15" t="n">
        <v>34.56</v>
      </c>
      <c r="P3146" s="8" t="n">
        <v>36.77</v>
      </c>
      <c r="Q3146" s="8" t="n"/>
      <c r="R3146" s="8" t="n"/>
      <c r="S3146" s="8" t="n"/>
      <c r="T3146" s="7" t="inlineStr">
        <is>
          <t>TAPAJOS</t>
        </is>
      </c>
      <c r="U3146" s="8" t="n">
        <v>34.56</v>
      </c>
      <c r="V3146" s="14">
        <f>U3146/J3146-1</f>
        <v/>
      </c>
      <c r="W3146" s="14">
        <f>U3146/H3146-1</f>
        <v/>
      </c>
      <c r="X3146" s="17" t="inlineStr">
        <is>
          <t>OK (≤ menor hist.)</t>
        </is>
      </c>
      <c r="Y3146" s="7" t="inlineStr"/>
    </row>
    <row r="3147">
      <c r="A3147" s="7" t="n">
        <v>601521</v>
      </c>
      <c r="B3147" s="12" t="inlineStr">
        <is>
          <t>7898581710615</t>
        </is>
      </c>
      <c r="C3147" s="7" t="inlineStr">
        <is>
          <t>NORIPURUM ENDOV INJ 5 AMP X 5ML</t>
        </is>
      </c>
      <c r="D3147" s="7" t="inlineStr">
        <is>
          <t>RX</t>
        </is>
      </c>
      <c r="E3147" s="7" t="inlineStr">
        <is>
          <t>A</t>
        </is>
      </c>
      <c r="F3147" s="13" t="n">
        <v>3</v>
      </c>
      <c r="G3147" s="13" t="n">
        <v>3</v>
      </c>
      <c r="H3147" s="8" t="n">
        <v>70.11</v>
      </c>
      <c r="I3147" s="8" t="n">
        <v>68.31</v>
      </c>
      <c r="J3147" s="8" t="n">
        <v>69.51000000000001</v>
      </c>
      <c r="K3147" s="8" t="n"/>
      <c r="L3147" s="8" t="n"/>
      <c r="M3147" s="8" t="n">
        <v>77.5</v>
      </c>
      <c r="N3147" s="8" t="n"/>
      <c r="O3147" s="8" t="n"/>
      <c r="P3147" s="15" t="n">
        <v>74.59</v>
      </c>
      <c r="Q3147" s="8" t="n"/>
      <c r="R3147" s="8" t="n"/>
      <c r="S3147" s="8" t="n"/>
      <c r="T3147" s="7" t="inlineStr">
        <is>
          <t>NAZARIA</t>
        </is>
      </c>
      <c r="U3147" s="8" t="n">
        <v>74.59</v>
      </c>
      <c r="V3147" s="14">
        <f>U3147/J3147-1</f>
        <v/>
      </c>
      <c r="W3147" s="14">
        <f>U3147/H3147-1</f>
        <v/>
      </c>
      <c r="X3147" s="16" t="inlineStr">
        <is>
          <t>ACIMA +6.4%</t>
        </is>
      </c>
      <c r="Y3147" s="7" t="inlineStr">
        <is>
          <t>EPAN: sem estoque</t>
        </is>
      </c>
    </row>
    <row r="3148">
      <c r="A3148" s="7" t="n">
        <v>368481</v>
      </c>
      <c r="B3148" s="12" t="inlineStr">
        <is>
          <t>7898060131535</t>
        </is>
      </c>
      <c r="C3148" s="7" t="inlineStr">
        <is>
          <t>NORXACIN 400MG CX 14 COMP REV</t>
        </is>
      </c>
      <c r="D3148" s="7" t="inlineStr">
        <is>
          <t>SIMILAR - ATB</t>
        </is>
      </c>
      <c r="E3148" s="7" t="inlineStr">
        <is>
          <t>C</t>
        </is>
      </c>
      <c r="F3148" s="13" t="n">
        <v>1</v>
      </c>
      <c r="G3148" s="13" t="n">
        <v>1</v>
      </c>
      <c r="H3148" s="8" t="n">
        <v>7.82</v>
      </c>
      <c r="I3148" s="8" t="n">
        <v>7.82</v>
      </c>
      <c r="J3148" s="8" t="n">
        <v>7.82</v>
      </c>
      <c r="K3148" s="8" t="n"/>
      <c r="L3148" s="8" t="n"/>
      <c r="M3148" s="8" t="n"/>
      <c r="N3148" s="8" t="n"/>
      <c r="O3148" s="8" t="n"/>
      <c r="P3148" s="8" t="n"/>
      <c r="Q3148" s="8" t="n"/>
      <c r="R3148" s="8" t="n"/>
      <c r="S3148" s="8" t="n"/>
      <c r="T3148" s="7" t="inlineStr">
        <is>
          <t>SEM COTAÇÃO</t>
        </is>
      </c>
      <c r="U3148" s="8" t="n"/>
      <c r="V3148" s="14" t="n"/>
      <c r="W3148" s="14" t="n"/>
      <c r="X3148" s="7" t="inlineStr"/>
      <c r="Y3148" s="7" t="inlineStr"/>
    </row>
    <row r="3149">
      <c r="A3149" s="7" t="n">
        <v>589051</v>
      </c>
      <c r="B3149" s="12" t="inlineStr">
        <is>
          <t>7896013545002</t>
        </is>
      </c>
      <c r="C3149" s="7" t="inlineStr">
        <is>
          <t>NOVEX CCT 400G BASIC REPOSITOR DE MASSA</t>
        </is>
      </c>
      <c r="D3149" s="7" t="inlineStr">
        <is>
          <t>PERF/COSME</t>
        </is>
      </c>
      <c r="E3149" s="7" t="inlineStr">
        <is>
          <t>C</t>
        </is>
      </c>
      <c r="F3149" s="13" t="n">
        <v>1</v>
      </c>
      <c r="G3149" s="13" t="n">
        <v>1</v>
      </c>
      <c r="H3149" s="8" t="n">
        <v>11.86</v>
      </c>
      <c r="I3149" s="8" t="n">
        <v>11.86</v>
      </c>
      <c r="J3149" s="8" t="n">
        <v>11.86</v>
      </c>
      <c r="K3149" s="8" t="n"/>
      <c r="L3149" s="8" t="n"/>
      <c r="M3149" s="8" t="n"/>
      <c r="N3149" s="8" t="n"/>
      <c r="O3149" s="8" t="n"/>
      <c r="P3149" s="8" t="n"/>
      <c r="Q3149" s="8" t="n"/>
      <c r="R3149" s="8" t="n"/>
      <c r="S3149" s="8" t="n"/>
      <c r="T3149" s="7" t="inlineStr">
        <is>
          <t>SEM COTAÇÃO</t>
        </is>
      </c>
      <c r="U3149" s="8" t="n"/>
      <c r="V3149" s="14" t="n"/>
      <c r="W3149" s="14" t="n"/>
      <c r="X3149" s="7" t="inlineStr"/>
      <c r="Y3149" s="7" t="inlineStr"/>
    </row>
    <row r="3150">
      <c r="A3150" s="7" t="n">
        <v>600101</v>
      </c>
      <c r="B3150" s="12" t="inlineStr">
        <is>
          <t>7896013551447</t>
        </is>
      </c>
      <c r="C3150" s="7" t="inlineStr">
        <is>
          <t>NOVEX CCT 80G RECARGA DE QUERATINA</t>
        </is>
      </c>
      <c r="D3150" s="7" t="inlineStr">
        <is>
          <t>COND/SHAM/CREM/SIMILARES</t>
        </is>
      </c>
      <c r="E3150" s="7" t="inlineStr">
        <is>
          <t>C</t>
        </is>
      </c>
      <c r="F3150" s="13" t="n">
        <v>2</v>
      </c>
      <c r="G3150" s="13" t="n">
        <v>2</v>
      </c>
      <c r="H3150" s="8" t="n">
        <v>9.300000000000001</v>
      </c>
      <c r="I3150" s="8" t="n">
        <v>7.26</v>
      </c>
      <c r="J3150" s="8" t="n">
        <v>7.260000000000001</v>
      </c>
      <c r="K3150" s="8" t="n"/>
      <c r="L3150" s="8" t="n"/>
      <c r="M3150" s="8" t="n"/>
      <c r="N3150" s="8" t="n"/>
      <c r="O3150" s="8" t="n"/>
      <c r="P3150" s="8" t="n"/>
      <c r="Q3150" s="8" t="n"/>
      <c r="R3150" s="8" t="n"/>
      <c r="S3150" s="8" t="n"/>
      <c r="T3150" s="7" t="inlineStr">
        <is>
          <t>SEM COTAÇÃO</t>
        </is>
      </c>
      <c r="U3150" s="8" t="n"/>
      <c r="V3150" s="14" t="n"/>
      <c r="W3150" s="14" t="n"/>
      <c r="X3150" s="7" t="inlineStr"/>
      <c r="Y3150" s="7" t="inlineStr"/>
    </row>
    <row r="3151">
      <c r="A3151" s="7" t="n">
        <v>589371</v>
      </c>
      <c r="B3151" s="12" t="inlineStr">
        <is>
          <t>7896013567080</t>
        </is>
      </c>
      <c r="C3151" s="7" t="inlineStr">
        <is>
          <t>NOVEX VITAY SH+CO 300ML SUPER BABOSAO</t>
        </is>
      </c>
      <c r="D3151" s="7" t="inlineStr">
        <is>
          <t>PERF/COSME</t>
        </is>
      </c>
      <c r="E3151" s="7" t="inlineStr">
        <is>
          <t>C</t>
        </is>
      </c>
      <c r="F3151" s="13" t="n">
        <v>1</v>
      </c>
      <c r="G3151" s="13" t="n">
        <v>1</v>
      </c>
      <c r="H3151" s="8" t="n">
        <v>13.19</v>
      </c>
      <c r="I3151" s="8" t="n">
        <v>13.19</v>
      </c>
      <c r="J3151" s="8" t="n">
        <v>13.19</v>
      </c>
      <c r="K3151" s="8" t="n"/>
      <c r="L3151" s="8" t="n"/>
      <c r="M3151" s="8" t="n"/>
      <c r="N3151" s="8" t="n"/>
      <c r="O3151" s="8" t="n"/>
      <c r="P3151" s="8" t="n"/>
      <c r="Q3151" s="8" t="n"/>
      <c r="R3151" s="8" t="n"/>
      <c r="S3151" s="8" t="n"/>
      <c r="T3151" s="7" t="inlineStr">
        <is>
          <t>SEM COTAÇÃO</t>
        </is>
      </c>
      <c r="U3151" s="8" t="n"/>
      <c r="V3151" s="14" t="n"/>
      <c r="W3151" s="14" t="n"/>
      <c r="X3151" s="7" t="inlineStr"/>
      <c r="Y3151" s="7" t="inlineStr"/>
    </row>
    <row r="3152">
      <c r="A3152" s="7" t="n">
        <v>638291</v>
      </c>
      <c r="B3152" s="12" t="inlineStr">
        <is>
          <t>7897104926243</t>
        </is>
      </c>
      <c r="C3152" s="7" t="inlineStr">
        <is>
          <t>NUCLEAR RUSH BODYACTION LARANJA 100G</t>
        </is>
      </c>
      <c r="D3152" s="7" t="inlineStr">
        <is>
          <t>SUPLEMENTO</t>
        </is>
      </c>
      <c r="E3152" s="7" t="inlineStr">
        <is>
          <t>B</t>
        </is>
      </c>
      <c r="F3152" s="13" t="n">
        <v>1</v>
      </c>
      <c r="G3152" s="13" t="n">
        <v>1</v>
      </c>
      <c r="H3152" s="8" t="n">
        <v>38.16</v>
      </c>
      <c r="I3152" s="8" t="n">
        <v>38.16</v>
      </c>
      <c r="J3152" s="8" t="n">
        <v>38.16</v>
      </c>
      <c r="K3152" s="8" t="n"/>
      <c r="L3152" s="8" t="n"/>
      <c r="M3152" s="8" t="n"/>
      <c r="N3152" s="8" t="n"/>
      <c r="O3152" s="8" t="n"/>
      <c r="P3152" s="8" t="n"/>
      <c r="Q3152" s="8" t="n"/>
      <c r="R3152" s="8" t="n"/>
      <c r="S3152" s="15" t="n">
        <v>40</v>
      </c>
      <c r="T3152" s="7" t="inlineStr">
        <is>
          <t>AT_SUPLEMENTOS</t>
        </is>
      </c>
      <c r="U3152" s="8" t="n">
        <v>40</v>
      </c>
      <c r="V3152" s="14">
        <f>U3152/J3152-1</f>
        <v/>
      </c>
      <c r="W3152" s="14">
        <f>U3152/H3152-1</f>
        <v/>
      </c>
      <c r="X3152" s="16" t="inlineStr">
        <is>
          <t>ACIMA +4.8%</t>
        </is>
      </c>
      <c r="Y3152" s="7" t="inlineStr"/>
    </row>
    <row r="3153">
      <c r="A3153" s="7" t="n">
        <v>673321</v>
      </c>
      <c r="B3153" s="12" t="inlineStr">
        <is>
          <t>7897104925444</t>
        </is>
      </c>
      <c r="C3153" s="7" t="inlineStr">
        <is>
          <t>NUCLEAR RUSH GEL BODYACTION FRUTAS V 25G</t>
        </is>
      </c>
      <c r="D3153" s="7" t="inlineStr">
        <is>
          <t>SUPLEMENTO</t>
        </is>
      </c>
      <c r="E3153" s="7" t="inlineStr">
        <is>
          <t>B</t>
        </is>
      </c>
      <c r="F3153" s="13" t="n">
        <v>22</v>
      </c>
      <c r="G3153" s="13" t="n">
        <v>22</v>
      </c>
      <c r="H3153" s="8" t="n">
        <v>2.99</v>
      </c>
      <c r="I3153" s="8" t="n">
        <v>2.75</v>
      </c>
      <c r="J3153" s="8" t="n">
        <v>2.91</v>
      </c>
      <c r="K3153" s="8" t="n"/>
      <c r="L3153" s="8" t="n"/>
      <c r="M3153" s="8" t="n"/>
      <c r="N3153" s="8" t="n"/>
      <c r="O3153" s="8" t="n"/>
      <c r="P3153" s="8" t="n"/>
      <c r="Q3153" s="8" t="n"/>
      <c r="R3153" s="8" t="n"/>
      <c r="S3153" s="15" t="n">
        <v>2.99</v>
      </c>
      <c r="T3153" s="7" t="inlineStr">
        <is>
          <t>AT_SUPLEMENTOS</t>
        </is>
      </c>
      <c r="U3153" s="8" t="n">
        <v>2.99</v>
      </c>
      <c r="V3153" s="14">
        <f>U3153/J3153-1</f>
        <v/>
      </c>
      <c r="W3153" s="14">
        <f>U3153/H3153-1</f>
        <v/>
      </c>
      <c r="X3153" s="17" t="inlineStr">
        <is>
          <t>OK (≤ últ. compra)</t>
        </is>
      </c>
      <c r="Y3153" s="7" t="inlineStr"/>
    </row>
    <row r="3154">
      <c r="A3154" s="7" t="n">
        <v>673331</v>
      </c>
      <c r="B3154" s="12" t="inlineStr">
        <is>
          <t>7897104925437</t>
        </is>
      </c>
      <c r="C3154" s="7" t="inlineStr">
        <is>
          <t>NUCLEAR RUSH GEL BODYACTION GUARANA 25G</t>
        </is>
      </c>
      <c r="D3154" s="7" t="inlineStr">
        <is>
          <t>SUPLEMENTO</t>
        </is>
      </c>
      <c r="E3154" s="7" t="inlineStr">
        <is>
          <t>C</t>
        </is>
      </c>
      <c r="F3154" s="13" t="n">
        <v>6</v>
      </c>
      <c r="G3154" s="13" t="n">
        <v>6</v>
      </c>
      <c r="H3154" s="8" t="n">
        <v>2.75</v>
      </c>
      <c r="I3154" s="8" t="n">
        <v>2.75</v>
      </c>
      <c r="J3154" s="8" t="n">
        <v>2.75</v>
      </c>
      <c r="K3154" s="8" t="n"/>
      <c r="L3154" s="8" t="n"/>
      <c r="M3154" s="8" t="n"/>
      <c r="N3154" s="8" t="n"/>
      <c r="O3154" s="8" t="n"/>
      <c r="P3154" s="8" t="n"/>
      <c r="Q3154" s="8" t="n"/>
      <c r="R3154" s="8" t="n"/>
      <c r="S3154" s="15" t="n">
        <v>2.99</v>
      </c>
      <c r="T3154" s="7" t="inlineStr">
        <is>
          <t>AT_SUPLEMENTOS</t>
        </is>
      </c>
      <c r="U3154" s="8" t="n">
        <v>2.99</v>
      </c>
      <c r="V3154" s="14">
        <f>U3154/J3154-1</f>
        <v/>
      </c>
      <c r="W3154" s="14">
        <f>U3154/H3154-1</f>
        <v/>
      </c>
      <c r="X3154" s="16" t="inlineStr">
        <is>
          <t>ACIMA +8.7%</t>
        </is>
      </c>
      <c r="Y3154" s="7" t="inlineStr"/>
    </row>
    <row r="3155">
      <c r="A3155" s="7" t="n">
        <v>605071</v>
      </c>
      <c r="B3155" s="12" t="inlineStr">
        <is>
          <t>17898024397912</t>
        </is>
      </c>
      <c r="C3155" s="7" t="inlineStr">
        <is>
          <t>NUTELLA B-READY 22GR CR 36X22GR QTD. 1.00 CR</t>
        </is>
      </c>
      <c r="D3155" s="7" t="inlineStr">
        <is>
          <t>CONVENIENCIA</t>
        </is>
      </c>
      <c r="E3155" s="7" t="inlineStr">
        <is>
          <t>C</t>
        </is>
      </c>
      <c r="F3155" s="13" t="n">
        <v>1</v>
      </c>
      <c r="G3155" s="13" t="n">
        <v>24</v>
      </c>
      <c r="H3155" s="8" t="n">
        <v>4.1486</v>
      </c>
      <c r="I3155" s="8" t="n">
        <v>4.1486</v>
      </c>
      <c r="J3155" s="8" t="n">
        <v>4.1486</v>
      </c>
      <c r="K3155" s="8" t="n"/>
      <c r="L3155" s="8" t="n"/>
      <c r="M3155" s="8" t="n"/>
      <c r="N3155" s="8" t="n"/>
      <c r="O3155" s="8" t="n"/>
      <c r="P3155" s="8" t="n"/>
      <c r="Q3155" s="8" t="n"/>
      <c r="R3155" s="8" t="n"/>
      <c r="S3155" s="8" t="n"/>
      <c r="T3155" s="7" t="inlineStr">
        <is>
          <t>SEM COTAÇÃO</t>
        </is>
      </c>
      <c r="U3155" s="8" t="n"/>
      <c r="V3155" s="14" t="n"/>
      <c r="W3155" s="14" t="n"/>
      <c r="X3155" s="7" t="inlineStr"/>
      <c r="Y3155" s="7" t="inlineStr"/>
    </row>
    <row r="3156">
      <c r="A3156" s="7" t="n">
        <v>669611</v>
      </c>
      <c r="B3156" s="12" t="inlineStr">
        <is>
          <t>7891000417584</t>
        </is>
      </c>
      <c r="C3156" s="7" t="inlineStr">
        <is>
          <t>NUTREN MULTI A-Z 30CAPS SOFTGEL</t>
        </is>
      </c>
      <c r="D3156" s="7" t="inlineStr">
        <is>
          <t>RX</t>
        </is>
      </c>
      <c r="E3156" s="7" t="inlineStr">
        <is>
          <t>C</t>
        </is>
      </c>
      <c r="F3156" s="13" t="n">
        <v>1</v>
      </c>
      <c r="G3156" s="13" t="n">
        <v>1</v>
      </c>
      <c r="H3156" s="8" t="n">
        <v>27.21</v>
      </c>
      <c r="I3156" s="8" t="n">
        <v>16.6</v>
      </c>
      <c r="J3156" s="8" t="n">
        <v>16.6</v>
      </c>
      <c r="K3156" s="8" t="n"/>
      <c r="L3156" s="8" t="n"/>
      <c r="M3156" s="8" t="n"/>
      <c r="N3156" s="8" t="n"/>
      <c r="O3156" s="8" t="n"/>
      <c r="P3156" s="15" t="n">
        <v>30.38</v>
      </c>
      <c r="Q3156" s="8" t="n"/>
      <c r="R3156" s="8" t="n"/>
      <c r="S3156" s="8" t="n"/>
      <c r="T3156" s="7" t="inlineStr">
        <is>
          <t>NAZARIA</t>
        </is>
      </c>
      <c r="U3156" s="8" t="n">
        <v>30.38</v>
      </c>
      <c r="V3156" s="14">
        <f>U3156/J3156-1</f>
        <v/>
      </c>
      <c r="W3156" s="14">
        <f>U3156/H3156-1</f>
        <v/>
      </c>
      <c r="X3156" s="16" t="inlineStr">
        <is>
          <t>ACIMA +11.7%</t>
        </is>
      </c>
      <c r="Y3156" s="7" t="inlineStr"/>
    </row>
    <row r="3157">
      <c r="A3157" s="7" t="n">
        <v>597291</v>
      </c>
      <c r="B3157" s="12" t="inlineStr">
        <is>
          <t>7891000096482</t>
        </is>
      </c>
      <c r="C3157" s="7" t="inlineStr">
        <is>
          <t>NUTREN SENIOR PO 370G BR</t>
        </is>
      </c>
      <c r="D3157" s="7" t="inlineStr">
        <is>
          <t>ALIMENTOS LACTEOS, DERIVADOS E SIMILARES</t>
        </is>
      </c>
      <c r="E3157" s="7" t="inlineStr">
        <is>
          <t>C</t>
        </is>
      </c>
      <c r="F3157" s="13" t="n">
        <v>1</v>
      </c>
      <c r="G3157" s="13" t="n">
        <v>1</v>
      </c>
      <c r="H3157" s="8" t="n">
        <v>77.842</v>
      </c>
      <c r="I3157" s="8" t="n">
        <v>77.842</v>
      </c>
      <c r="J3157" s="8" t="n">
        <v>77.842</v>
      </c>
      <c r="K3157" s="8" t="n"/>
      <c r="L3157" s="8" t="n"/>
      <c r="M3157" s="8" t="n"/>
      <c r="N3157" s="8" t="n"/>
      <c r="O3157" s="8" t="n"/>
      <c r="P3157" s="15" t="n">
        <v>102.41</v>
      </c>
      <c r="Q3157" s="8" t="n"/>
      <c r="R3157" s="8" t="n"/>
      <c r="S3157" s="8" t="n"/>
      <c r="T3157" s="7" t="inlineStr">
        <is>
          <t>NAZARIA</t>
        </is>
      </c>
      <c r="U3157" s="8" t="n">
        <v>102.41</v>
      </c>
      <c r="V3157" s="14">
        <f>U3157/J3157-1</f>
        <v/>
      </c>
      <c r="W3157" s="14">
        <f>U3157/H3157-1</f>
        <v/>
      </c>
      <c r="X3157" s="16" t="inlineStr">
        <is>
          <t>ACIMA +31.6%</t>
        </is>
      </c>
      <c r="Y3157" s="7" t="inlineStr"/>
    </row>
    <row r="3158">
      <c r="A3158" s="7" t="n">
        <v>606041</v>
      </c>
      <c r="B3158" s="12" t="inlineStr">
        <is>
          <t>7891000103487</t>
        </is>
      </c>
      <c r="C3158" s="7" t="inlineStr">
        <is>
          <t>NUTREN SENIOR PO 740 G</t>
        </is>
      </c>
      <c r="D3158" s="7" t="inlineStr">
        <is>
          <t>ALIMENTOS LACTEOS, DERIVADOS E SIMILARES</t>
        </is>
      </c>
      <c r="E3158" s="7" t="inlineStr">
        <is>
          <t>A</t>
        </is>
      </c>
      <c r="F3158" s="13" t="n">
        <v>1</v>
      </c>
      <c r="G3158" s="13" t="n">
        <v>3</v>
      </c>
      <c r="H3158" s="8" t="n">
        <v>74.3008</v>
      </c>
      <c r="I3158" s="8" t="n">
        <v>74.3008</v>
      </c>
      <c r="J3158" s="8" t="n">
        <v>74.3008</v>
      </c>
      <c r="K3158" s="8" t="n"/>
      <c r="L3158" s="8" t="n"/>
      <c r="M3158" s="8" t="n"/>
      <c r="N3158" s="8" t="n"/>
      <c r="O3158" s="8" t="n"/>
      <c r="P3158" s="15" t="n">
        <v>177.95</v>
      </c>
      <c r="Q3158" s="8" t="n"/>
      <c r="R3158" s="8" t="n"/>
      <c r="S3158" s="8" t="n"/>
      <c r="T3158" s="7" t="inlineStr">
        <is>
          <t>NAZARIA</t>
        </is>
      </c>
      <c r="U3158" s="8" t="n">
        <v>177.95</v>
      </c>
      <c r="V3158" s="14">
        <f>U3158/J3158-1</f>
        <v/>
      </c>
      <c r="W3158" s="14">
        <f>U3158/H3158-1</f>
        <v/>
      </c>
      <c r="X3158" s="16" t="inlineStr">
        <is>
          <t>ACIMA +139.5%</t>
        </is>
      </c>
      <c r="Y3158" s="7" t="inlineStr">
        <is>
          <t>NAZARIA: conferir emb.</t>
        </is>
      </c>
    </row>
    <row r="3159">
      <c r="A3159" s="7" t="n">
        <v>602061</v>
      </c>
      <c r="B3159" s="12" t="inlineStr">
        <is>
          <t>7896311709519</t>
        </is>
      </c>
      <c r="C3159" s="7" t="inlineStr">
        <is>
          <t>NUTRIWHEY INTEGRALMEDICA BAUNILHA PT 907G</t>
        </is>
      </c>
      <c r="D3159" s="7" t="inlineStr">
        <is>
          <t>SUPLEMENTO</t>
        </is>
      </c>
      <c r="E3159" s="7" t="inlineStr">
        <is>
          <t>C</t>
        </is>
      </c>
      <c r="F3159" s="13" t="n">
        <v>1</v>
      </c>
      <c r="G3159" s="13" t="n">
        <v>1</v>
      </c>
      <c r="H3159" s="8" t="n">
        <v>60.28</v>
      </c>
      <c r="I3159" s="8" t="n">
        <v>59.9</v>
      </c>
      <c r="J3159" s="8" t="n">
        <v>60.15333333333334</v>
      </c>
      <c r="K3159" s="8" t="n"/>
      <c r="L3159" s="8" t="n"/>
      <c r="M3159" s="8" t="n"/>
      <c r="N3159" s="8" t="n"/>
      <c r="O3159" s="8" t="n"/>
      <c r="P3159" s="8" t="n"/>
      <c r="Q3159" s="8" t="n"/>
      <c r="R3159" s="8" t="n"/>
      <c r="S3159" s="8" t="n"/>
      <c r="T3159" s="7" t="inlineStr">
        <is>
          <t>SEM COTAÇÃO</t>
        </is>
      </c>
      <c r="U3159" s="8" t="n"/>
      <c r="V3159" s="14" t="n"/>
      <c r="W3159" s="14" t="n"/>
      <c r="X3159" s="7" t="inlineStr"/>
      <c r="Y3159" s="7" t="inlineStr"/>
    </row>
    <row r="3160">
      <c r="A3160" s="7" t="n">
        <v>602051</v>
      </c>
      <c r="B3160" s="12" t="inlineStr">
        <is>
          <t>7896311709533</t>
        </is>
      </c>
      <c r="C3160" s="7" t="inlineStr">
        <is>
          <t>NUTRIWHEY INTEGRALMEDICA CHOCOLATE PT 907G</t>
        </is>
      </c>
      <c r="D3160" s="7" t="inlineStr">
        <is>
          <t>SUPLEMENTO</t>
        </is>
      </c>
      <c r="E3160" s="7" t="inlineStr">
        <is>
          <t>B</t>
        </is>
      </c>
      <c r="F3160" s="13" t="n">
        <v>2</v>
      </c>
      <c r="G3160" s="13" t="n">
        <v>2</v>
      </c>
      <c r="H3160" s="8" t="n">
        <v>66.11</v>
      </c>
      <c r="I3160" s="8" t="n">
        <v>59.9</v>
      </c>
      <c r="J3160" s="8" t="n">
        <v>64.04000000000001</v>
      </c>
      <c r="K3160" s="8" t="n"/>
      <c r="L3160" s="8" t="n"/>
      <c r="M3160" s="8" t="n"/>
      <c r="N3160" s="8" t="n"/>
      <c r="O3160" s="8" t="n"/>
      <c r="P3160" s="8" t="n"/>
      <c r="Q3160" s="8" t="n"/>
      <c r="R3160" s="8" t="n"/>
      <c r="S3160" s="8" t="n"/>
      <c r="T3160" s="7" t="inlineStr">
        <is>
          <t>SEM COTAÇÃO</t>
        </is>
      </c>
      <c r="U3160" s="8" t="n"/>
      <c r="V3160" s="14" t="n"/>
      <c r="W3160" s="14" t="n"/>
      <c r="X3160" s="7" t="inlineStr"/>
      <c r="Y3160" s="7" t="inlineStr"/>
    </row>
    <row r="3161">
      <c r="A3161" s="7" t="n">
        <v>9103</v>
      </c>
      <c r="B3161" s="12" t="inlineStr">
        <is>
          <t>7896311773015</t>
        </is>
      </c>
      <c r="C3161" s="7" t="inlineStr">
        <is>
          <t>NUTRIWHEY INTEGRALMEDICA COOKIES PT 900G</t>
        </is>
      </c>
      <c r="D3161" s="7" t="inlineStr">
        <is>
          <t>SUPLEMENTO</t>
        </is>
      </c>
      <c r="E3161" s="7" t="inlineStr">
        <is>
          <t>B</t>
        </is>
      </c>
      <c r="F3161" s="13" t="n">
        <v>1</v>
      </c>
      <c r="G3161" s="13" t="n">
        <v>1</v>
      </c>
      <c r="H3161" s="8" t="n">
        <v>66.11</v>
      </c>
      <c r="I3161" s="8" t="n">
        <v>66.11</v>
      </c>
      <c r="J3161" s="8" t="n">
        <v>66.11</v>
      </c>
      <c r="K3161" s="8" t="n"/>
      <c r="L3161" s="8" t="n"/>
      <c r="M3161" s="8" t="n"/>
      <c r="N3161" s="8" t="n"/>
      <c r="O3161" s="8" t="n"/>
      <c r="P3161" s="8" t="n"/>
      <c r="Q3161" s="8" t="n"/>
      <c r="R3161" s="8" t="n"/>
      <c r="S3161" s="8" t="n"/>
      <c r="T3161" s="7" t="inlineStr">
        <is>
          <t>SEM COTAÇÃO</t>
        </is>
      </c>
      <c r="U3161" s="8" t="n"/>
      <c r="V3161" s="14" t="n"/>
      <c r="W3161" s="14" t="n"/>
      <c r="X3161" s="7" t="inlineStr"/>
      <c r="Y3161" s="7" t="inlineStr"/>
    </row>
    <row r="3162">
      <c r="A3162" s="7" t="n">
        <v>606011</v>
      </c>
      <c r="B3162" s="12" t="inlineStr">
        <is>
          <t>7896311709526</t>
        </is>
      </c>
      <c r="C3162" s="7" t="inlineStr">
        <is>
          <t>NUTRIWHEY INTEGRALMEDICA MORANGO PT 907G</t>
        </is>
      </c>
      <c r="D3162" s="7" t="inlineStr">
        <is>
          <t>SUPLEMENTO</t>
        </is>
      </c>
      <c r="E3162" s="7" t="inlineStr">
        <is>
          <t>C</t>
        </is>
      </c>
      <c r="F3162" s="13" t="n">
        <v>1</v>
      </c>
      <c r="G3162" s="13" t="n">
        <v>1</v>
      </c>
      <c r="H3162" s="8" t="n">
        <v>60.49</v>
      </c>
      <c r="I3162" s="8" t="n">
        <v>60.49</v>
      </c>
      <c r="J3162" s="8" t="n">
        <v>60.49</v>
      </c>
      <c r="K3162" s="8" t="n"/>
      <c r="L3162" s="8" t="n"/>
      <c r="M3162" s="8" t="n"/>
      <c r="N3162" s="8" t="n"/>
      <c r="O3162" s="8" t="n"/>
      <c r="P3162" s="8" t="n"/>
      <c r="Q3162" s="8" t="n"/>
      <c r="R3162" s="8" t="n"/>
      <c r="S3162" s="8" t="n"/>
      <c r="T3162" s="7" t="inlineStr">
        <is>
          <t>SEM COTAÇÃO</t>
        </is>
      </c>
      <c r="U3162" s="8" t="n"/>
      <c r="V3162" s="14" t="n"/>
      <c r="W3162" s="14" t="n"/>
      <c r="X3162" s="7" t="inlineStr"/>
      <c r="Y3162" s="7" t="inlineStr"/>
    </row>
    <row r="3163">
      <c r="A3163" s="7" t="n">
        <v>598721</v>
      </c>
      <c r="B3163" s="12" t="inlineStr">
        <is>
          <t>7898211382731</t>
        </is>
      </c>
      <c r="C3163" s="7" t="inlineStr">
        <is>
          <t>OLEO BOMBA DE FORTALECIMENTO CAP KERATEX 60ML</t>
        </is>
      </c>
      <c r="D3163" s="7" t="inlineStr">
        <is>
          <t>PERF/COSME</t>
        </is>
      </c>
      <c r="E3163" s="7" t="inlineStr">
        <is>
          <t>C</t>
        </is>
      </c>
      <c r="F3163" s="13" t="n">
        <v>1</v>
      </c>
      <c r="G3163" s="13" t="n">
        <v>1</v>
      </c>
      <c r="H3163" s="8" t="n">
        <v>6.39</v>
      </c>
      <c r="I3163" s="8" t="n">
        <v>6.39</v>
      </c>
      <c r="J3163" s="8" t="n">
        <v>6.39</v>
      </c>
      <c r="K3163" s="8" t="n"/>
      <c r="L3163" s="8" t="n"/>
      <c r="M3163" s="8" t="n"/>
      <c r="N3163" s="8" t="n"/>
      <c r="O3163" s="8" t="n"/>
      <c r="P3163" s="8" t="n"/>
      <c r="Q3163" s="8" t="n"/>
      <c r="R3163" s="8" t="n"/>
      <c r="S3163" s="8" t="n"/>
      <c r="T3163" s="7" t="inlineStr">
        <is>
          <t>SEM COTAÇÃO</t>
        </is>
      </c>
      <c r="U3163" s="8" t="n"/>
      <c r="V3163" s="14" t="n"/>
      <c r="W3163" s="14" t="n"/>
      <c r="X3163" s="7" t="inlineStr"/>
      <c r="Y3163" s="7" t="inlineStr"/>
    </row>
    <row r="3164">
      <c r="A3164" s="7" t="n">
        <v>598731</v>
      </c>
      <c r="B3164" s="12" t="inlineStr">
        <is>
          <t>7898211382724</t>
        </is>
      </c>
      <c r="C3164" s="7" t="inlineStr">
        <is>
          <t>OLEO BOMBA DE VITAMINAS KERATEX 60ML</t>
        </is>
      </c>
      <c r="D3164" s="7" t="inlineStr">
        <is>
          <t>PERF/COSME</t>
        </is>
      </c>
      <c r="E3164" s="7" t="inlineStr">
        <is>
          <t>C</t>
        </is>
      </c>
      <c r="F3164" s="13" t="n">
        <v>2</v>
      </c>
      <c r="G3164" s="13" t="n">
        <v>2</v>
      </c>
      <c r="H3164" s="8" t="n">
        <v>6.39</v>
      </c>
      <c r="I3164" s="8" t="n">
        <v>6.39</v>
      </c>
      <c r="J3164" s="8" t="n">
        <v>6.39</v>
      </c>
      <c r="K3164" s="8" t="n"/>
      <c r="L3164" s="8" t="n"/>
      <c r="M3164" s="8" t="n"/>
      <c r="N3164" s="8" t="n"/>
      <c r="O3164" s="8" t="n"/>
      <c r="P3164" s="8" t="n"/>
      <c r="Q3164" s="8" t="n"/>
      <c r="R3164" s="8" t="n"/>
      <c r="S3164" s="8" t="n"/>
      <c r="T3164" s="7" t="inlineStr">
        <is>
          <t>SEM COTAÇÃO</t>
        </is>
      </c>
      <c r="U3164" s="8" t="n"/>
      <c r="V3164" s="14" t="n"/>
      <c r="W3164" s="14" t="n"/>
      <c r="X3164" s="7" t="inlineStr"/>
      <c r="Y3164" s="7" t="inlineStr"/>
    </row>
    <row r="3165">
      <c r="A3165" s="7" t="n">
        <v>667341</v>
      </c>
      <c r="B3165" s="12" t="inlineStr">
        <is>
          <t>7908448005553</t>
        </is>
      </c>
      <c r="C3165" s="7" t="inlineStr">
        <is>
          <t>OLEO CAP DABELLE CEREJA MANIA 45ML</t>
        </is>
      </c>
      <c r="D3165" s="7" t="inlineStr">
        <is>
          <t>PERF/COSME</t>
        </is>
      </c>
      <c r="E3165" s="7" t="inlineStr">
        <is>
          <t>C</t>
        </is>
      </c>
      <c r="F3165" s="13" t="n">
        <v>1</v>
      </c>
      <c r="G3165" s="13" t="n">
        <v>1</v>
      </c>
      <c r="H3165" s="8" t="n">
        <v>17.05</v>
      </c>
      <c r="I3165" s="8" t="n">
        <v>17.05</v>
      </c>
      <c r="J3165" s="8" t="n">
        <v>17.05</v>
      </c>
      <c r="K3165" s="8" t="n"/>
      <c r="L3165" s="8" t="n"/>
      <c r="M3165" s="8" t="n"/>
      <c r="N3165" s="8" t="n"/>
      <c r="O3165" s="8" t="n"/>
      <c r="P3165" s="8" t="n"/>
      <c r="Q3165" s="8" t="n"/>
      <c r="R3165" s="8" t="n"/>
      <c r="S3165" s="8" t="n"/>
      <c r="T3165" s="7" t="inlineStr">
        <is>
          <t>SEM COTAÇÃO</t>
        </is>
      </c>
      <c r="U3165" s="8" t="n"/>
      <c r="V3165" s="14" t="n"/>
      <c r="W3165" s="14" t="n"/>
      <c r="X3165" s="7" t="inlineStr"/>
      <c r="Y3165" s="7" t="inlineStr"/>
    </row>
    <row r="3166">
      <c r="A3166" s="7" t="n">
        <v>3963</v>
      </c>
      <c r="B3166" s="12" t="inlineStr">
        <is>
          <t>7896229906376</t>
        </is>
      </c>
      <c r="C3166" s="7" t="inlineStr">
        <is>
          <t>OLEO CAP NATU HAIR RICINO 60ML</t>
        </is>
      </c>
      <c r="D3166" s="7" t="inlineStr">
        <is>
          <t>PERF/COSME</t>
        </is>
      </c>
      <c r="E3166" s="7" t="inlineStr">
        <is>
          <t>C</t>
        </is>
      </c>
      <c r="F3166" s="13" t="n">
        <v>4</v>
      </c>
      <c r="G3166" s="13" t="n">
        <v>4</v>
      </c>
      <c r="H3166" s="8" t="n">
        <v>8.35</v>
      </c>
      <c r="I3166" s="8" t="n">
        <v>8.35</v>
      </c>
      <c r="J3166" s="8" t="n">
        <v>8.35</v>
      </c>
      <c r="K3166" s="8" t="n"/>
      <c r="L3166" s="8" t="n"/>
      <c r="M3166" s="8" t="n"/>
      <c r="N3166" s="8" t="n"/>
      <c r="O3166" s="8" t="n"/>
      <c r="P3166" s="8" t="n"/>
      <c r="Q3166" s="8" t="n"/>
      <c r="R3166" s="8" t="n"/>
      <c r="S3166" s="8" t="n"/>
      <c r="T3166" s="7" t="inlineStr">
        <is>
          <t>SEM COTAÇÃO</t>
        </is>
      </c>
      <c r="U3166" s="8" t="n"/>
      <c r="V3166" s="14" t="n"/>
      <c r="W3166" s="14" t="n"/>
      <c r="X3166" s="7" t="inlineStr"/>
      <c r="Y3166" s="7" t="inlineStr"/>
    </row>
    <row r="3167">
      <c r="A3167" s="7" t="n">
        <v>673631</v>
      </c>
      <c r="B3167" s="12" t="inlineStr">
        <is>
          <t>7897042021376</t>
        </is>
      </c>
      <c r="C3167" s="7" t="inlineStr">
        <is>
          <t>OLEO CAP.SKALA ABACATE 90ML</t>
        </is>
      </c>
      <c r="D3167" s="7" t="inlineStr">
        <is>
          <t>PERF/COSME</t>
        </is>
      </c>
      <c r="E3167" s="7" t="inlineStr">
        <is>
          <t>A</t>
        </is>
      </c>
      <c r="F3167" s="13" t="n">
        <v>8</v>
      </c>
      <c r="G3167" s="13" t="n">
        <v>8</v>
      </c>
      <c r="H3167" s="8" t="n">
        <v>12.48</v>
      </c>
      <c r="I3167" s="8" t="n">
        <v>12.15</v>
      </c>
      <c r="J3167" s="8" t="n">
        <v>12.37</v>
      </c>
      <c r="K3167" s="8" t="n"/>
      <c r="L3167" s="8" t="n"/>
      <c r="M3167" s="8" t="n"/>
      <c r="N3167" s="8" t="n"/>
      <c r="O3167" s="8" t="n"/>
      <c r="P3167" s="8" t="n"/>
      <c r="Q3167" s="8" t="n"/>
      <c r="R3167" s="8" t="n"/>
      <c r="S3167" s="8" t="n"/>
      <c r="T3167" s="7" t="inlineStr">
        <is>
          <t>SEM COTAÇÃO</t>
        </is>
      </c>
      <c r="U3167" s="8" t="n"/>
      <c r="V3167" s="14" t="n"/>
      <c r="W3167" s="14" t="n"/>
      <c r="X3167" s="7" t="inlineStr"/>
      <c r="Y3167" s="7" t="inlineStr"/>
    </row>
    <row r="3168">
      <c r="A3168" s="7" t="n">
        <v>598311</v>
      </c>
      <c r="B3168" s="12" t="inlineStr">
        <is>
          <t>7896902211063</t>
        </is>
      </c>
      <c r="C3168" s="7" t="inlineStr">
        <is>
          <t>OLEO CAP/CORP FARMAX 100ML AMENDOAS</t>
        </is>
      </c>
      <c r="D3168" s="7" t="inlineStr">
        <is>
          <t>PERF/COSME</t>
        </is>
      </c>
      <c r="E3168" s="7" t="inlineStr">
        <is>
          <t>C</t>
        </is>
      </c>
      <c r="F3168" s="13" t="n">
        <v>3</v>
      </c>
      <c r="G3168" s="13" t="n">
        <v>3</v>
      </c>
      <c r="H3168" s="8" t="n">
        <v>7.62</v>
      </c>
      <c r="I3168" s="8" t="n">
        <v>7.62</v>
      </c>
      <c r="J3168" s="8" t="n">
        <v>7.62</v>
      </c>
      <c r="K3168" s="8" t="n"/>
      <c r="L3168" s="8" t="n"/>
      <c r="M3168" s="8" t="n"/>
      <c r="N3168" s="8" t="n"/>
      <c r="O3168" s="8" t="n"/>
      <c r="P3168" s="8" t="n"/>
      <c r="Q3168" s="8" t="n"/>
      <c r="R3168" s="8" t="n"/>
      <c r="S3168" s="8" t="n"/>
      <c r="T3168" s="7" t="inlineStr">
        <is>
          <t>SEM COTAÇÃO</t>
        </is>
      </c>
      <c r="U3168" s="8" t="n"/>
      <c r="V3168" s="14" t="n"/>
      <c r="W3168" s="14" t="n"/>
      <c r="X3168" s="7" t="inlineStr"/>
      <c r="Y3168" s="7" t="inlineStr"/>
    </row>
    <row r="3169">
      <c r="A3169" s="7" t="n">
        <v>607491</v>
      </c>
      <c r="B3169" s="12" t="inlineStr"/>
      <c r="C3169" s="7" t="inlineStr">
        <is>
          <t>OLEO CAP/CORP FARMAX 100ML ARGAN</t>
        </is>
      </c>
      <c r="D3169" s="7" t="inlineStr">
        <is>
          <t>PERF/COSME</t>
        </is>
      </c>
      <c r="E3169" s="7" t="inlineStr">
        <is>
          <t>B</t>
        </is>
      </c>
      <c r="F3169" s="13" t="n">
        <v>2</v>
      </c>
      <c r="G3169" s="13" t="n">
        <v>2</v>
      </c>
      <c r="H3169" s="8" t="n">
        <v>6.51</v>
      </c>
      <c r="I3169" s="8" t="n">
        <v>6.51</v>
      </c>
      <c r="J3169" s="8" t="n">
        <v>6.510000000000001</v>
      </c>
      <c r="K3169" s="8" t="n"/>
      <c r="L3169" s="8" t="n"/>
      <c r="M3169" s="8" t="n"/>
      <c r="N3169" s="8" t="n"/>
      <c r="O3169" s="8" t="n"/>
      <c r="P3169" s="8" t="n"/>
      <c r="Q3169" s="8" t="n"/>
      <c r="R3169" s="8" t="n"/>
      <c r="S3169" s="8" t="n"/>
      <c r="T3169" s="7" t="inlineStr">
        <is>
          <t>SEM COTAÇÃO</t>
        </is>
      </c>
      <c r="U3169" s="8" t="n"/>
      <c r="V3169" s="14" t="n"/>
      <c r="W3169" s="14" t="n"/>
      <c r="X3169" s="7" t="inlineStr"/>
      <c r="Y3169" s="7" t="inlineStr"/>
    </row>
    <row r="3170">
      <c r="A3170" s="7" t="n">
        <v>607501</v>
      </c>
      <c r="B3170" s="12" t="inlineStr">
        <is>
          <t>7896902211124</t>
        </is>
      </c>
      <c r="C3170" s="7" t="inlineStr">
        <is>
          <t>OLEO CAP/CORP FARMAX 100ML BABOSA</t>
        </is>
      </c>
      <c r="D3170" s="7" t="inlineStr">
        <is>
          <t>PERF/COSME</t>
        </is>
      </c>
      <c r="E3170" s="7" t="inlineStr">
        <is>
          <t>C</t>
        </is>
      </c>
      <c r="F3170" s="13" t="n">
        <v>3</v>
      </c>
      <c r="G3170" s="13" t="n">
        <v>3</v>
      </c>
      <c r="H3170" s="8" t="n">
        <v>7.97</v>
      </c>
      <c r="I3170" s="8" t="n">
        <v>7.97</v>
      </c>
      <c r="J3170" s="8" t="n">
        <v>7.97</v>
      </c>
      <c r="K3170" s="8" t="n"/>
      <c r="L3170" s="8" t="n"/>
      <c r="M3170" s="8" t="n"/>
      <c r="N3170" s="8" t="n"/>
      <c r="O3170" s="8" t="n"/>
      <c r="P3170" s="8" t="n"/>
      <c r="Q3170" s="8" t="n"/>
      <c r="R3170" s="8" t="n"/>
      <c r="S3170" s="8" t="n"/>
      <c r="T3170" s="7" t="inlineStr">
        <is>
          <t>SEM COTAÇÃO</t>
        </is>
      </c>
      <c r="U3170" s="8" t="n"/>
      <c r="V3170" s="14" t="n"/>
      <c r="W3170" s="14" t="n"/>
      <c r="X3170" s="7" t="inlineStr"/>
      <c r="Y3170" s="7" t="inlineStr"/>
    </row>
    <row r="3171">
      <c r="A3171" s="7" t="n">
        <v>598371</v>
      </c>
      <c r="B3171" s="12" t="inlineStr">
        <is>
          <t>7896902285422</t>
        </is>
      </c>
      <c r="C3171" s="7" t="inlineStr">
        <is>
          <t>OLEO CAP/CORP FARMAX 30ML PURO RICINO</t>
        </is>
      </c>
      <c r="D3171" s="7" t="inlineStr">
        <is>
          <t>PERF/COSME</t>
        </is>
      </c>
      <c r="E3171" s="7" t="inlineStr">
        <is>
          <t>B</t>
        </is>
      </c>
      <c r="F3171" s="13" t="n">
        <v>2</v>
      </c>
      <c r="G3171" s="13" t="n">
        <v>2</v>
      </c>
      <c r="H3171" s="8" t="n">
        <v>4.69</v>
      </c>
      <c r="I3171" s="8" t="n">
        <v>4.69</v>
      </c>
      <c r="J3171" s="8" t="n">
        <v>4.69</v>
      </c>
      <c r="K3171" s="8" t="n"/>
      <c r="L3171" s="8" t="n"/>
      <c r="M3171" s="8" t="n"/>
      <c r="N3171" s="15" t="n">
        <v>4.61</v>
      </c>
      <c r="O3171" s="8" t="n"/>
      <c r="P3171" s="8" t="n"/>
      <c r="Q3171" s="8" t="n"/>
      <c r="R3171" s="8" t="n"/>
      <c r="S3171" s="8" t="n"/>
      <c r="T3171" s="7" t="inlineStr">
        <is>
          <t>CENTROFARMA</t>
        </is>
      </c>
      <c r="U3171" s="8" t="n">
        <v>4.61</v>
      </c>
      <c r="V3171" s="14">
        <f>U3171/J3171-1</f>
        <v/>
      </c>
      <c r="W3171" s="14">
        <f>U3171/H3171-1</f>
        <v/>
      </c>
      <c r="X3171" s="17" t="inlineStr">
        <is>
          <t>OK (≤ menor hist.)</t>
        </is>
      </c>
      <c r="Y3171" s="7" t="inlineStr"/>
    </row>
    <row r="3172">
      <c r="A3172" s="7" t="n">
        <v>598751</v>
      </c>
      <c r="B3172" s="12" t="inlineStr">
        <is>
          <t>7898211383288</t>
        </is>
      </c>
      <c r="C3172" s="7" t="inlineStr">
        <is>
          <t>OLEO CAPILAR ALECRIM FIXED 60ML</t>
        </is>
      </c>
      <c r="D3172" s="7" t="inlineStr">
        <is>
          <t>PERF/COSME</t>
        </is>
      </c>
      <c r="E3172" s="7" t="inlineStr">
        <is>
          <t>A</t>
        </is>
      </c>
      <c r="F3172" s="13" t="n">
        <v>2</v>
      </c>
      <c r="G3172" s="13" t="n">
        <v>2</v>
      </c>
      <c r="H3172" s="8" t="n">
        <v>8.99</v>
      </c>
      <c r="I3172" s="8" t="n">
        <v>8.99</v>
      </c>
      <c r="J3172" s="8" t="n">
        <v>8.99</v>
      </c>
      <c r="K3172" s="8" t="n"/>
      <c r="L3172" s="8" t="n"/>
      <c r="M3172" s="8" t="n"/>
      <c r="N3172" s="8" t="n"/>
      <c r="O3172" s="8" t="n"/>
      <c r="P3172" s="8" t="n"/>
      <c r="Q3172" s="8" t="n"/>
      <c r="R3172" s="8" t="n"/>
      <c r="S3172" s="8" t="n"/>
      <c r="T3172" s="7" t="inlineStr">
        <is>
          <t>SEM COTAÇÃO</t>
        </is>
      </c>
      <c r="U3172" s="8" t="n"/>
      <c r="V3172" s="14" t="n"/>
      <c r="W3172" s="14" t="n"/>
      <c r="X3172" s="7" t="inlineStr"/>
      <c r="Y3172" s="7" t="inlineStr"/>
    </row>
    <row r="3173">
      <c r="A3173" s="7" t="n">
        <v>598771</v>
      </c>
      <c r="B3173" s="12" t="inlineStr">
        <is>
          <t>7898211383363</t>
        </is>
      </c>
      <c r="C3173" s="7" t="inlineStr">
        <is>
          <t>OLEO CAPILAR KERATEX BIOTINA TONICO 24X60ML</t>
        </is>
      </c>
      <c r="D3173" s="7" t="inlineStr">
        <is>
          <t>PERF/COSME</t>
        </is>
      </c>
      <c r="E3173" s="7" t="inlineStr">
        <is>
          <t>A</t>
        </is>
      </c>
      <c r="F3173" s="13" t="n">
        <v>1</v>
      </c>
      <c r="G3173" s="13" t="n">
        <v>1</v>
      </c>
      <c r="H3173" s="8" t="n">
        <v>8.99</v>
      </c>
      <c r="I3173" s="8" t="n">
        <v>8.99</v>
      </c>
      <c r="J3173" s="8" t="n">
        <v>8.99</v>
      </c>
      <c r="K3173" s="8" t="n"/>
      <c r="L3173" s="8" t="n"/>
      <c r="M3173" s="8" t="n"/>
      <c r="N3173" s="8" t="n"/>
      <c r="O3173" s="8" t="n"/>
      <c r="P3173" s="8" t="n"/>
      <c r="Q3173" s="8" t="n"/>
      <c r="R3173" s="8" t="n"/>
      <c r="S3173" s="8" t="n"/>
      <c r="T3173" s="7" t="inlineStr">
        <is>
          <t>SEM COTAÇÃO</t>
        </is>
      </c>
      <c r="U3173" s="8" t="n"/>
      <c r="V3173" s="14" t="n"/>
      <c r="W3173" s="14" t="n"/>
      <c r="X3173" s="7" t="inlineStr"/>
      <c r="Y3173" s="7" t="inlineStr"/>
    </row>
    <row r="3174">
      <c r="A3174" s="7" t="n">
        <v>674871</v>
      </c>
      <c r="B3174" s="12" t="inlineStr">
        <is>
          <t>7896229909728</t>
        </is>
      </c>
      <c r="C3174" s="7" t="inlineStr">
        <is>
          <t>OLEO CAPILAR NATU HAIR OLEO DE MELALEUCA 60ML</t>
        </is>
      </c>
      <c r="D3174" s="7" t="inlineStr">
        <is>
          <t>PERF/COSME</t>
        </is>
      </c>
      <c r="E3174" s="7" t="inlineStr">
        <is>
          <t>B</t>
        </is>
      </c>
      <c r="F3174" s="13" t="n">
        <v>3</v>
      </c>
      <c r="G3174" s="13" t="n">
        <v>3</v>
      </c>
      <c r="H3174" s="8" t="n">
        <v>8.289999999999999</v>
      </c>
      <c r="I3174" s="8" t="n">
        <v>8.289999999999999</v>
      </c>
      <c r="J3174" s="8" t="n">
        <v>8.289999999999999</v>
      </c>
      <c r="K3174" s="8" t="n"/>
      <c r="L3174" s="8" t="n"/>
      <c r="M3174" s="8" t="n"/>
      <c r="N3174" s="8" t="n"/>
      <c r="O3174" s="8" t="n"/>
      <c r="P3174" s="8" t="n"/>
      <c r="Q3174" s="8" t="n"/>
      <c r="R3174" s="8" t="n"/>
      <c r="S3174" s="8" t="n"/>
      <c r="T3174" s="7" t="inlineStr">
        <is>
          <t>SEM COTAÇÃO</t>
        </is>
      </c>
      <c r="U3174" s="8" t="n"/>
      <c r="V3174" s="14" t="n"/>
      <c r="W3174" s="14" t="n"/>
      <c r="X3174" s="7" t="inlineStr"/>
      <c r="Y3174" s="7" t="inlineStr"/>
    </row>
    <row r="3175">
      <c r="A3175" s="7" t="n">
        <v>628481</v>
      </c>
      <c r="B3175" s="12" t="inlineStr">
        <is>
          <t>7896902287396</t>
        </is>
      </c>
      <c r="C3175" s="7" t="inlineStr">
        <is>
          <t>OLEO CORPO FARMAX 100ML AMEIXA</t>
        </is>
      </c>
      <c r="D3175" s="7" t="inlineStr">
        <is>
          <t>USO INTERNO</t>
        </is>
      </c>
      <c r="E3175" s="7" t="inlineStr">
        <is>
          <t>C</t>
        </is>
      </c>
      <c r="F3175" s="13" t="n">
        <v>1</v>
      </c>
      <c r="G3175" s="13" t="n">
        <v>1</v>
      </c>
      <c r="H3175" s="8" t="n">
        <v>7.32</v>
      </c>
      <c r="I3175" s="8" t="n">
        <v>7.32</v>
      </c>
      <c r="J3175" s="8" t="n">
        <v>7.32</v>
      </c>
      <c r="K3175" s="8" t="n"/>
      <c r="L3175" s="8" t="n"/>
      <c r="M3175" s="8" t="n"/>
      <c r="N3175" s="8" t="n"/>
      <c r="O3175" s="8" t="n"/>
      <c r="P3175" s="8" t="n"/>
      <c r="Q3175" s="8" t="n"/>
      <c r="R3175" s="8" t="n"/>
      <c r="S3175" s="8" t="n"/>
      <c r="T3175" s="7" t="inlineStr">
        <is>
          <t>SEM COTAÇÃO</t>
        </is>
      </c>
      <c r="U3175" s="8" t="n"/>
      <c r="V3175" s="14" t="n"/>
      <c r="W3175" s="14" t="n"/>
      <c r="X3175" s="7" t="inlineStr"/>
      <c r="Y3175" s="7" t="inlineStr"/>
    </row>
    <row r="3176">
      <c r="A3176" s="7" t="n">
        <v>628801</v>
      </c>
      <c r="B3176" s="12" t="inlineStr">
        <is>
          <t>7896279119443</t>
        </is>
      </c>
      <c r="C3176" s="7" t="inlineStr">
        <is>
          <t>OLEO CORPO MURIEL 100ML AMED C/ LAVANDA</t>
        </is>
      </c>
      <c r="D3176" s="7" t="inlineStr">
        <is>
          <t>BABY/KIDS</t>
        </is>
      </c>
      <c r="E3176" s="7" t="inlineStr">
        <is>
          <t>C</t>
        </is>
      </c>
      <c r="F3176" s="13" t="n">
        <v>1</v>
      </c>
      <c r="G3176" s="13" t="n">
        <v>1</v>
      </c>
      <c r="H3176" s="8" t="n">
        <v>10.45</v>
      </c>
      <c r="I3176" s="8" t="n">
        <v>10.45</v>
      </c>
      <c r="J3176" s="8" t="n">
        <v>10.45</v>
      </c>
      <c r="K3176" s="8" t="n"/>
      <c r="L3176" s="8" t="n"/>
      <c r="M3176" s="8" t="n"/>
      <c r="N3176" s="8" t="n"/>
      <c r="O3176" s="8" t="n"/>
      <c r="P3176" s="8" t="n"/>
      <c r="Q3176" s="8" t="n"/>
      <c r="R3176" s="8" t="n"/>
      <c r="S3176" s="8" t="n"/>
      <c r="T3176" s="7" t="inlineStr">
        <is>
          <t>SEM COTAÇÃO</t>
        </is>
      </c>
      <c r="U3176" s="8" t="n"/>
      <c r="V3176" s="14" t="n"/>
      <c r="W3176" s="14" t="n"/>
      <c r="X3176" s="7" t="inlineStr"/>
      <c r="Y3176" s="7" t="inlineStr"/>
    </row>
    <row r="3177">
      <c r="A3177" s="7" t="n">
        <v>631741</v>
      </c>
      <c r="B3177" s="12" t="inlineStr">
        <is>
          <t>7896279119481</t>
        </is>
      </c>
      <c r="C3177" s="7" t="inlineStr">
        <is>
          <t>OLEO CORPO MURIEL 100ML AMED C/CEREJEIR</t>
        </is>
      </c>
      <c r="D3177" s="7" t="inlineStr">
        <is>
          <t>PERF/COSME</t>
        </is>
      </c>
      <c r="E3177" s="7" t="inlineStr">
        <is>
          <t>C</t>
        </is>
      </c>
      <c r="F3177" s="13" t="n">
        <v>1</v>
      </c>
      <c r="G3177" s="13" t="n">
        <v>1</v>
      </c>
      <c r="H3177" s="8" t="n">
        <v>10.45</v>
      </c>
      <c r="I3177" s="8" t="n">
        <v>10.45</v>
      </c>
      <c r="J3177" s="8" t="n">
        <v>10.45</v>
      </c>
      <c r="K3177" s="8" t="n"/>
      <c r="L3177" s="8" t="n"/>
      <c r="M3177" s="8" t="n"/>
      <c r="N3177" s="8" t="n"/>
      <c r="O3177" s="8" t="n"/>
      <c r="P3177" s="8" t="n"/>
      <c r="Q3177" s="8" t="n"/>
      <c r="R3177" s="8" t="n"/>
      <c r="S3177" s="8" t="n"/>
      <c r="T3177" s="7" t="inlineStr">
        <is>
          <t>SEM COTAÇÃO</t>
        </is>
      </c>
      <c r="U3177" s="8" t="n"/>
      <c r="V3177" s="14" t="n"/>
      <c r="W3177" s="14" t="n"/>
      <c r="X3177" s="7" t="inlineStr"/>
      <c r="Y3177" s="7" t="inlineStr"/>
    </row>
    <row r="3178">
      <c r="A3178" s="7" t="n">
        <v>625161</v>
      </c>
      <c r="B3178" s="12" t="inlineStr">
        <is>
          <t>7896279119467</t>
        </is>
      </c>
      <c r="C3178" s="7" t="inlineStr">
        <is>
          <t>OLEO CORPO MURIEL 100ML AMED C/ERVA DOCE</t>
        </is>
      </c>
      <c r="D3178" s="7" t="inlineStr">
        <is>
          <t>PERF/COSME</t>
        </is>
      </c>
      <c r="E3178" s="7" t="inlineStr">
        <is>
          <t>C</t>
        </is>
      </c>
      <c r="F3178" s="13" t="n">
        <v>1</v>
      </c>
      <c r="G3178" s="13" t="n">
        <v>1</v>
      </c>
      <c r="H3178" s="8" t="n">
        <v>10.98</v>
      </c>
      <c r="I3178" s="8" t="n">
        <v>10.98</v>
      </c>
      <c r="J3178" s="8" t="n">
        <v>10.98</v>
      </c>
      <c r="K3178" s="8" t="n"/>
      <c r="L3178" s="8" t="n"/>
      <c r="M3178" s="8" t="n"/>
      <c r="N3178" s="8" t="n"/>
      <c r="O3178" s="8" t="n"/>
      <c r="P3178" s="8" t="n"/>
      <c r="Q3178" s="8" t="n"/>
      <c r="R3178" s="8" t="n"/>
      <c r="S3178" s="8" t="n"/>
      <c r="T3178" s="7" t="inlineStr">
        <is>
          <t>SEM COTAÇÃO</t>
        </is>
      </c>
      <c r="U3178" s="8" t="n"/>
      <c r="V3178" s="14" t="n"/>
      <c r="W3178" s="14" t="n"/>
      <c r="X3178" s="7" t="inlineStr"/>
      <c r="Y3178" s="7" t="inlineStr"/>
    </row>
    <row r="3179">
      <c r="A3179" s="7" t="n">
        <v>658351</v>
      </c>
      <c r="B3179" s="12" t="inlineStr">
        <is>
          <t>7898632471649</t>
        </is>
      </c>
      <c r="C3179" s="7" t="inlineStr">
        <is>
          <t>OLEO CORPORAL DE AMENDOAS DOCE 120ML LABOTRAT</t>
        </is>
      </c>
      <c r="D3179" s="7" t="inlineStr">
        <is>
          <t>PERF/COSME</t>
        </is>
      </c>
      <c r="E3179" s="7" t="inlineStr">
        <is>
          <t>C</t>
        </is>
      </c>
      <c r="F3179" s="13" t="n">
        <v>2</v>
      </c>
      <c r="G3179" s="13" t="n">
        <v>2</v>
      </c>
      <c r="H3179" s="8" t="n">
        <v>24.87</v>
      </c>
      <c r="I3179" s="8" t="n">
        <v>24.87</v>
      </c>
      <c r="J3179" s="8" t="n">
        <v>24.87</v>
      </c>
      <c r="K3179" s="8" t="n"/>
      <c r="L3179" s="8" t="n"/>
      <c r="M3179" s="8" t="n"/>
      <c r="N3179" s="8" t="n"/>
      <c r="O3179" s="8" t="n"/>
      <c r="P3179" s="8" t="n"/>
      <c r="Q3179" s="8" t="n"/>
      <c r="R3179" s="8" t="n"/>
      <c r="S3179" s="8" t="n"/>
      <c r="T3179" s="7" t="inlineStr">
        <is>
          <t>SEM COTAÇÃO</t>
        </is>
      </c>
      <c r="U3179" s="8" t="n"/>
      <c r="V3179" s="14" t="n"/>
      <c r="W3179" s="14" t="n"/>
      <c r="X3179" s="7" t="inlineStr"/>
      <c r="Y3179" s="7" t="inlineStr"/>
    </row>
    <row r="3180">
      <c r="A3180" s="7" t="n">
        <v>568081</v>
      </c>
      <c r="B3180" s="12" t="inlineStr">
        <is>
          <t>7896902211209</t>
        </is>
      </c>
      <c r="C3180" s="7" t="inlineStr">
        <is>
          <t>OLEO CORPORAL E CAPILAR COCO 100ML</t>
        </is>
      </c>
      <c r="D3180" s="7" t="inlineStr">
        <is>
          <t>PERF/COSME</t>
        </is>
      </c>
      <c r="E3180" s="7" t="inlineStr">
        <is>
          <t>C</t>
        </is>
      </c>
      <c r="F3180" s="13" t="n">
        <v>4</v>
      </c>
      <c r="G3180" s="13" t="n">
        <v>4</v>
      </c>
      <c r="H3180" s="8" t="n">
        <v>8.869999999999999</v>
      </c>
      <c r="I3180" s="8" t="n">
        <v>8.869999999999999</v>
      </c>
      <c r="J3180" s="8" t="n">
        <v>8.869999999999999</v>
      </c>
      <c r="K3180" s="8" t="n"/>
      <c r="L3180" s="8" t="n"/>
      <c r="M3180" s="8" t="n"/>
      <c r="N3180" s="8" t="n"/>
      <c r="O3180" s="8" t="n"/>
      <c r="P3180" s="8" t="n"/>
      <c r="Q3180" s="8" t="n"/>
      <c r="R3180" s="8" t="n"/>
      <c r="S3180" s="8" t="n"/>
      <c r="T3180" s="7" t="inlineStr">
        <is>
          <t>SEM COTAÇÃO</t>
        </is>
      </c>
      <c r="U3180" s="8" t="n"/>
      <c r="V3180" s="14" t="n"/>
      <c r="W3180" s="14" t="n"/>
      <c r="X3180" s="7" t="inlineStr"/>
      <c r="Y3180" s="7" t="inlineStr"/>
    </row>
    <row r="3181">
      <c r="A3181" s="7" t="n">
        <v>617331</v>
      </c>
      <c r="B3181" s="12" t="inlineStr">
        <is>
          <t>7908448002934</t>
        </is>
      </c>
      <c r="C3181" s="7" t="inlineStr">
        <is>
          <t>OLEO CR DABELLE F SOS CR 190ML</t>
        </is>
      </c>
      <c r="D3181" s="7" t="inlineStr">
        <is>
          <t>COND/SHAM/CREM/SIMILARES</t>
        </is>
      </c>
      <c r="E3181" s="7" t="inlineStr">
        <is>
          <t>C</t>
        </is>
      </c>
      <c r="F3181" s="13" t="n">
        <v>1</v>
      </c>
      <c r="G3181" s="13" t="n">
        <v>1</v>
      </c>
      <c r="H3181" s="8" t="n">
        <v>12.42</v>
      </c>
      <c r="I3181" s="8" t="n">
        <v>12.42</v>
      </c>
      <c r="J3181" s="8" t="n">
        <v>12.42</v>
      </c>
      <c r="K3181" s="8" t="n"/>
      <c r="L3181" s="8" t="n"/>
      <c r="M3181" s="8" t="n"/>
      <c r="N3181" s="8" t="n"/>
      <c r="O3181" s="8" t="n"/>
      <c r="P3181" s="8" t="n"/>
      <c r="Q3181" s="8" t="n"/>
      <c r="R3181" s="8" t="n"/>
      <c r="S3181" s="8" t="n"/>
      <c r="T3181" s="7" t="inlineStr">
        <is>
          <t>SEM COTAÇÃO</t>
        </is>
      </c>
      <c r="U3181" s="8" t="n"/>
      <c r="V3181" s="14" t="n"/>
      <c r="W3181" s="14" t="n"/>
      <c r="X3181" s="7" t="inlineStr"/>
      <c r="Y3181" s="7" t="inlineStr"/>
    </row>
    <row r="3182">
      <c r="A3182" s="7" t="n">
        <v>3503</v>
      </c>
      <c r="B3182" s="12" t="inlineStr">
        <is>
          <t>7897344300933</t>
        </is>
      </c>
      <c r="C3182" s="7" t="inlineStr">
        <is>
          <t>OLEO DE ANDIROBA 30ML</t>
        </is>
      </c>
      <c r="D3182" s="7" t="inlineStr">
        <is>
          <t>SIMILAR</t>
        </is>
      </c>
      <c r="E3182" s="7" t="inlineStr">
        <is>
          <t>C</t>
        </is>
      </c>
      <c r="F3182" s="13" t="n">
        <v>2</v>
      </c>
      <c r="G3182" s="13" t="n">
        <v>2</v>
      </c>
      <c r="H3182" s="8" t="n">
        <v>7.59</v>
      </c>
      <c r="I3182" s="8" t="n">
        <v>7.59</v>
      </c>
      <c r="J3182" s="8" t="n">
        <v>7.59</v>
      </c>
      <c r="K3182" s="15" t="n">
        <v>7.59</v>
      </c>
      <c r="L3182" s="8" t="n"/>
      <c r="M3182" s="8" t="n"/>
      <c r="N3182" s="8" t="n"/>
      <c r="O3182" s="8" t="n"/>
      <c r="P3182" s="8" t="n"/>
      <c r="Q3182" s="8" t="n"/>
      <c r="R3182" s="8" t="n"/>
      <c r="S3182" s="8" t="n"/>
      <c r="T3182" s="7" t="inlineStr">
        <is>
          <t>DIMEC</t>
        </is>
      </c>
      <c r="U3182" s="8" t="n">
        <v>7.59</v>
      </c>
      <c r="V3182" s="14">
        <f>U3182/J3182-1</f>
        <v/>
      </c>
      <c r="W3182" s="14">
        <f>U3182/H3182-1</f>
        <v/>
      </c>
      <c r="X3182" s="17" t="inlineStr">
        <is>
          <t>OK (≤ menor hist.)</t>
        </is>
      </c>
      <c r="Y3182" s="7" t="inlineStr"/>
    </row>
    <row r="3183">
      <c r="A3183" s="7" t="n">
        <v>638661</v>
      </c>
      <c r="B3183" s="12" t="inlineStr">
        <is>
          <t>7898905356567</t>
        </is>
      </c>
      <c r="C3183" s="7" t="inlineStr">
        <is>
          <t>OLEO DE COCO EXTRA VIRGEM COPRA 200ML</t>
        </is>
      </c>
      <c r="D3183" s="7" t="inlineStr">
        <is>
          <t>PERF/COSME</t>
        </is>
      </c>
      <c r="E3183" s="7" t="inlineStr">
        <is>
          <t>C</t>
        </is>
      </c>
      <c r="F3183" s="13" t="n">
        <v>1</v>
      </c>
      <c r="G3183" s="13" t="n">
        <v>1</v>
      </c>
      <c r="H3183" s="8" t="n">
        <v>22.5</v>
      </c>
      <c r="I3183" s="8" t="n">
        <v>22.5</v>
      </c>
      <c r="J3183" s="8" t="n">
        <v>22.5</v>
      </c>
      <c r="K3183" s="8" t="n"/>
      <c r="L3183" s="8" t="n"/>
      <c r="M3183" s="8" t="n"/>
      <c r="N3183" s="8" t="n"/>
      <c r="O3183" s="8" t="n"/>
      <c r="P3183" s="8" t="n"/>
      <c r="Q3183" s="8" t="n"/>
      <c r="R3183" s="8" t="n"/>
      <c r="S3183" s="8" t="n"/>
      <c r="T3183" s="7" t="inlineStr">
        <is>
          <t>SEM COTAÇÃO</t>
        </is>
      </c>
      <c r="U3183" s="8" t="n"/>
      <c r="V3183" s="14" t="n"/>
      <c r="W3183" s="14" t="n"/>
      <c r="X3183" s="7" t="inlineStr"/>
      <c r="Y3183" s="7" t="inlineStr"/>
    </row>
    <row r="3184">
      <c r="A3184" s="7" t="n">
        <v>3523</v>
      </c>
      <c r="B3184" s="12" t="inlineStr">
        <is>
          <t>7898665750346</t>
        </is>
      </c>
      <c r="C3184" s="7" t="inlineStr">
        <is>
          <t>OLEO DE COPAIBA 30ML</t>
        </is>
      </c>
      <c r="D3184" s="7" t="inlineStr">
        <is>
          <t>SIMILAR</t>
        </is>
      </c>
      <c r="E3184" s="7" t="inlineStr">
        <is>
          <t>C</t>
        </is>
      </c>
      <c r="F3184" s="13" t="n">
        <v>5</v>
      </c>
      <c r="G3184" s="13" t="n">
        <v>5</v>
      </c>
      <c r="H3184" s="8" t="n">
        <v>9.99</v>
      </c>
      <c r="I3184" s="8" t="n">
        <v>9.99</v>
      </c>
      <c r="J3184" s="8" t="n">
        <v>9.99</v>
      </c>
      <c r="K3184" s="8" t="n"/>
      <c r="L3184" s="8" t="n"/>
      <c r="M3184" s="8" t="n"/>
      <c r="N3184" s="8" t="n"/>
      <c r="O3184" s="8" t="n"/>
      <c r="P3184" s="8" t="n"/>
      <c r="Q3184" s="8" t="n"/>
      <c r="R3184" s="8" t="n"/>
      <c r="S3184" s="8" t="n"/>
      <c r="T3184" s="7" t="inlineStr">
        <is>
          <t>SEM COTAÇÃO</t>
        </is>
      </c>
      <c r="U3184" s="8" t="n"/>
      <c r="V3184" s="14" t="n"/>
      <c r="W3184" s="14" t="n"/>
      <c r="X3184" s="7" t="inlineStr"/>
      <c r="Y3184" s="7" t="inlineStr"/>
    </row>
    <row r="3185">
      <c r="A3185" s="7" t="n">
        <v>565841</v>
      </c>
      <c r="B3185" s="12" t="inlineStr">
        <is>
          <t>7898031313335</t>
        </is>
      </c>
      <c r="C3185" s="7" t="inlineStr">
        <is>
          <t>OLEO DE COPAIBA 30ML</t>
        </is>
      </c>
      <c r="D3185" s="7" t="inlineStr">
        <is>
          <t>SIMILAR</t>
        </is>
      </c>
      <c r="E3185" s="7" t="inlineStr">
        <is>
          <t>C</t>
        </is>
      </c>
      <c r="F3185" s="13" t="n">
        <v>3</v>
      </c>
      <c r="G3185" s="13" t="n">
        <v>3</v>
      </c>
      <c r="H3185" s="8" t="n">
        <v>7.16</v>
      </c>
      <c r="I3185" s="8" t="n">
        <v>7.16</v>
      </c>
      <c r="J3185" s="8" t="n">
        <v>7.16</v>
      </c>
      <c r="K3185" s="15" t="n">
        <v>7.16</v>
      </c>
      <c r="L3185" s="8" t="n"/>
      <c r="M3185" s="8" t="n"/>
      <c r="N3185" s="8" t="n"/>
      <c r="O3185" s="8" t="n"/>
      <c r="P3185" s="8" t="n">
        <v>10.02</v>
      </c>
      <c r="Q3185" s="8" t="n"/>
      <c r="R3185" s="8" t="n"/>
      <c r="S3185" s="8" t="n"/>
      <c r="T3185" s="7" t="inlineStr">
        <is>
          <t>DIMEC</t>
        </is>
      </c>
      <c r="U3185" s="8" t="n">
        <v>7.16</v>
      </c>
      <c r="V3185" s="14">
        <f>U3185/J3185-1</f>
        <v/>
      </c>
      <c r="W3185" s="14">
        <f>U3185/H3185-1</f>
        <v/>
      </c>
      <c r="X3185" s="17" t="inlineStr">
        <is>
          <t>OK (≤ menor hist.)</t>
        </is>
      </c>
      <c r="Y3185" s="7" t="inlineStr"/>
    </row>
    <row r="3186">
      <c r="A3186" s="7" t="n">
        <v>5063</v>
      </c>
      <c r="B3186" s="12" t="inlineStr"/>
      <c r="C3186" s="7" t="inlineStr">
        <is>
          <t>OLEO DE GIRASSOL 100ML</t>
        </is>
      </c>
      <c r="D3186" s="7" t="inlineStr">
        <is>
          <t>CURATIVO</t>
        </is>
      </c>
      <c r="E3186" s="7" t="inlineStr">
        <is>
          <t>A</t>
        </is>
      </c>
      <c r="F3186" s="13" t="n">
        <v>18</v>
      </c>
      <c r="G3186" s="13" t="n">
        <v>18</v>
      </c>
      <c r="H3186" s="8" t="n">
        <v>4.2</v>
      </c>
      <c r="I3186" s="8" t="n">
        <v>3.99</v>
      </c>
      <c r="J3186" s="8" t="n">
        <v>3.99</v>
      </c>
      <c r="K3186" s="8" t="n"/>
      <c r="L3186" s="8" t="n"/>
      <c r="M3186" s="8" t="n"/>
      <c r="N3186" s="8" t="n"/>
      <c r="O3186" s="8" t="n"/>
      <c r="P3186" s="8" t="n"/>
      <c r="Q3186" s="8" t="n"/>
      <c r="R3186" s="8" t="n"/>
      <c r="S3186" s="8" t="n"/>
      <c r="T3186" s="7" t="inlineStr">
        <is>
          <t>SEM COTAÇÃO</t>
        </is>
      </c>
      <c r="U3186" s="8" t="n"/>
      <c r="V3186" s="14" t="n"/>
      <c r="W3186" s="14" t="n"/>
      <c r="X3186" s="7" t="inlineStr"/>
      <c r="Y3186" s="7" t="inlineStr"/>
    </row>
    <row r="3187">
      <c r="A3187" s="7" t="n">
        <v>661631</v>
      </c>
      <c r="B3187" s="12" t="inlineStr"/>
      <c r="C3187" s="7" t="inlineStr">
        <is>
          <t>OLEO DE GIRASSOL AGE 200ML   THEO %DN:0.00</t>
        </is>
      </c>
      <c r="D3187" s="7" t="inlineStr">
        <is>
          <t>CURATIVO</t>
        </is>
      </c>
      <c r="E3187" s="7" t="inlineStr">
        <is>
          <t>B</t>
        </is>
      </c>
      <c r="F3187" s="13" t="n">
        <v>1</v>
      </c>
      <c r="G3187" s="13" t="n">
        <v>1</v>
      </c>
      <c r="H3187" s="8" t="n">
        <v>8.65</v>
      </c>
      <c r="I3187" s="8" t="n">
        <v>8.33</v>
      </c>
      <c r="J3187" s="8" t="n">
        <v>8.436666666666667</v>
      </c>
      <c r="K3187" s="8" t="n"/>
      <c r="L3187" s="8" t="n"/>
      <c r="M3187" s="8" t="n"/>
      <c r="N3187" s="8" t="n"/>
      <c r="O3187" s="8" t="n"/>
      <c r="P3187" s="8" t="n"/>
      <c r="Q3187" s="8" t="n"/>
      <c r="R3187" s="8" t="n"/>
      <c r="S3187" s="8" t="n"/>
      <c r="T3187" s="7" t="inlineStr">
        <is>
          <t>SEM COTAÇÃO</t>
        </is>
      </c>
      <c r="U3187" s="8" t="n"/>
      <c r="V3187" s="14" t="n"/>
      <c r="W3187" s="14" t="n"/>
      <c r="X3187" s="7" t="inlineStr"/>
      <c r="Y3187" s="7" t="inlineStr"/>
    </row>
    <row r="3188">
      <c r="A3188" s="7" t="n">
        <v>4983</v>
      </c>
      <c r="B3188" s="12" t="inlineStr">
        <is>
          <t>7896544927704</t>
        </is>
      </c>
      <c r="C3188" s="7" t="inlineStr">
        <is>
          <t>OLEO DE GIRASSOL DERMA PROTECT 100ML</t>
        </is>
      </c>
      <c r="D3188" s="7" t="inlineStr">
        <is>
          <t>CURATIVO</t>
        </is>
      </c>
      <c r="E3188" s="7" t="inlineStr">
        <is>
          <t>A</t>
        </is>
      </c>
      <c r="F3188" s="13" t="n">
        <v>12</v>
      </c>
      <c r="G3188" s="13" t="n">
        <v>12</v>
      </c>
      <c r="H3188" s="8" t="n">
        <v>3.61</v>
      </c>
      <c r="I3188" s="8" t="n">
        <v>3.61</v>
      </c>
      <c r="J3188" s="8" t="n">
        <v>3.61</v>
      </c>
      <c r="K3188" s="15" t="n">
        <v>3.6</v>
      </c>
      <c r="L3188" s="8" t="n"/>
      <c r="M3188" s="8" t="n"/>
      <c r="N3188" s="8" t="n"/>
      <c r="O3188" s="8" t="n"/>
      <c r="P3188" s="8" t="n"/>
      <c r="Q3188" s="8" t="n"/>
      <c r="R3188" s="8" t="n"/>
      <c r="S3188" s="8" t="n"/>
      <c r="T3188" s="7" t="inlineStr">
        <is>
          <t>DIMEC</t>
        </is>
      </c>
      <c r="U3188" s="8" t="n">
        <v>3.6</v>
      </c>
      <c r="V3188" s="14">
        <f>U3188/J3188-1</f>
        <v/>
      </c>
      <c r="W3188" s="14">
        <f>U3188/H3188-1</f>
        <v/>
      </c>
      <c r="X3188" s="17" t="inlineStr">
        <is>
          <t>OK (≤ menor hist.)</t>
        </is>
      </c>
      <c r="Y3188" s="7" t="inlineStr"/>
    </row>
    <row r="3189">
      <c r="A3189" s="7" t="n">
        <v>5053</v>
      </c>
      <c r="B3189" s="12" t="inlineStr">
        <is>
          <t>7896544927698</t>
        </is>
      </c>
      <c r="C3189" s="7" t="inlineStr">
        <is>
          <t>OLEO DE GIRASSOL DERMA PROTECT 200ML</t>
        </is>
      </c>
      <c r="D3189" s="7" t="inlineStr">
        <is>
          <t>CURATIVO</t>
        </is>
      </c>
      <c r="E3189" s="7" t="inlineStr">
        <is>
          <t>B</t>
        </is>
      </c>
      <c r="F3189" s="13" t="n">
        <v>7</v>
      </c>
      <c r="G3189" s="13" t="n">
        <v>7</v>
      </c>
      <c r="H3189" s="8" t="n">
        <v>5.45</v>
      </c>
      <c r="I3189" s="8" t="n">
        <v>5.45</v>
      </c>
      <c r="J3189" s="8" t="n">
        <v>5.45</v>
      </c>
      <c r="K3189" s="15" t="n">
        <v>5.79</v>
      </c>
      <c r="L3189" s="8" t="n"/>
      <c r="M3189" s="8" t="n"/>
      <c r="N3189" s="8" t="n"/>
      <c r="O3189" s="8" t="n"/>
      <c r="P3189" s="8" t="n"/>
      <c r="Q3189" s="8" t="n"/>
      <c r="R3189" s="8" t="n"/>
      <c r="S3189" s="8" t="n"/>
      <c r="T3189" s="7" t="inlineStr">
        <is>
          <t>DIMEC</t>
        </is>
      </c>
      <c r="U3189" s="8" t="n">
        <v>5.79</v>
      </c>
      <c r="V3189" s="14">
        <f>U3189/J3189-1</f>
        <v/>
      </c>
      <c r="W3189" s="14">
        <f>U3189/H3189-1</f>
        <v/>
      </c>
      <c r="X3189" s="16" t="inlineStr">
        <is>
          <t>ACIMA +6.2%</t>
        </is>
      </c>
      <c r="Y3189" s="7" t="inlineStr"/>
    </row>
    <row r="3190">
      <c r="A3190" s="7" t="n">
        <v>605901</v>
      </c>
      <c r="B3190" s="12" t="inlineStr">
        <is>
          <t>7898719040157</t>
        </is>
      </c>
      <c r="C3190" s="7" t="inlineStr">
        <is>
          <t>OLEO DE GIRASSOL DERSIN 100ML</t>
        </is>
      </c>
      <c r="D3190" s="7" t="inlineStr">
        <is>
          <t>SIMILAR</t>
        </is>
      </c>
      <c r="E3190" s="7" t="inlineStr">
        <is>
          <t>C</t>
        </is>
      </c>
      <c r="F3190" s="13" t="n">
        <v>22</v>
      </c>
      <c r="G3190" s="13" t="n">
        <v>22</v>
      </c>
      <c r="H3190" s="8" t="n">
        <v>5.22</v>
      </c>
      <c r="I3190" s="8" t="n">
        <v>5.22</v>
      </c>
      <c r="J3190" s="8" t="n">
        <v>5.22</v>
      </c>
      <c r="K3190" s="15" t="n">
        <v>5.3</v>
      </c>
      <c r="L3190" s="8" t="n"/>
      <c r="M3190" s="8" t="n"/>
      <c r="N3190" s="8" t="n"/>
      <c r="O3190" s="8" t="n"/>
      <c r="P3190" s="8" t="n"/>
      <c r="Q3190" s="8" t="n"/>
      <c r="R3190" s="8" t="n">
        <v>5.85</v>
      </c>
      <c r="S3190" s="8" t="n"/>
      <c r="T3190" s="7" t="inlineStr">
        <is>
          <t>DIMEC</t>
        </is>
      </c>
      <c r="U3190" s="8" t="n">
        <v>5.3</v>
      </c>
      <c r="V3190" s="14">
        <f>U3190/J3190-1</f>
        <v/>
      </c>
      <c r="W3190" s="14">
        <f>U3190/H3190-1</f>
        <v/>
      </c>
      <c r="X3190" s="16" t="inlineStr">
        <is>
          <t>ACIMA +1.5%</t>
        </is>
      </c>
      <c r="Y3190" s="7" t="inlineStr"/>
    </row>
    <row r="3191">
      <c r="A3191" s="7" t="n">
        <v>613861</v>
      </c>
      <c r="B3191" s="12" t="inlineStr">
        <is>
          <t>7898719040164</t>
        </is>
      </c>
      <c r="C3191" s="7" t="inlineStr">
        <is>
          <t>OLEO DE GIRASSOL DERSIN 200ML</t>
        </is>
      </c>
      <c r="D3191" s="7" t="inlineStr">
        <is>
          <t>SIMILAR</t>
        </is>
      </c>
      <c r="E3191" s="7" t="inlineStr">
        <is>
          <t>C</t>
        </is>
      </c>
      <c r="F3191" s="13" t="n">
        <v>4</v>
      </c>
      <c r="G3191" s="13" t="n">
        <v>4</v>
      </c>
      <c r="H3191" s="8" t="n">
        <v>8.67</v>
      </c>
      <c r="I3191" s="8" t="n">
        <v>8.67</v>
      </c>
      <c r="J3191" s="8" t="n">
        <v>8.67</v>
      </c>
      <c r="K3191" s="15" t="n">
        <v>8.67</v>
      </c>
      <c r="L3191" s="8" t="n"/>
      <c r="M3191" s="8" t="n"/>
      <c r="N3191" s="8" t="n"/>
      <c r="O3191" s="8" t="n"/>
      <c r="P3191" s="8" t="n"/>
      <c r="Q3191" s="8" t="n"/>
      <c r="R3191" s="8" t="n">
        <v>9.58</v>
      </c>
      <c r="S3191" s="8" t="n"/>
      <c r="T3191" s="7" t="inlineStr">
        <is>
          <t>DIMEC</t>
        </is>
      </c>
      <c r="U3191" s="8" t="n">
        <v>8.67</v>
      </c>
      <c r="V3191" s="14">
        <f>U3191/J3191-1</f>
        <v/>
      </c>
      <c r="W3191" s="14">
        <f>U3191/H3191-1</f>
        <v/>
      </c>
      <c r="X3191" s="17" t="inlineStr">
        <is>
          <t>OK (≤ menor hist.)</t>
        </is>
      </c>
      <c r="Y3191" s="7" t="inlineStr"/>
    </row>
    <row r="3192">
      <c r="A3192" s="7" t="n">
        <v>37703</v>
      </c>
      <c r="B3192" s="12" t="inlineStr">
        <is>
          <t>7898582292639</t>
        </is>
      </c>
      <c r="C3192" s="7" t="inlineStr">
        <is>
          <t>OLEO DE GIRASSOL DERSOL 100ML</t>
        </is>
      </c>
      <c r="D3192" s="7" t="inlineStr">
        <is>
          <t>FITOTERAPICO</t>
        </is>
      </c>
      <c r="E3192" s="7" t="inlineStr">
        <is>
          <t>B</t>
        </is>
      </c>
      <c r="F3192" s="13" t="n">
        <v>9</v>
      </c>
      <c r="G3192" s="13" t="n">
        <v>9</v>
      </c>
      <c r="H3192" s="8" t="n">
        <v>5.66</v>
      </c>
      <c r="I3192" s="8" t="n">
        <v>5.66</v>
      </c>
      <c r="J3192" s="8" t="n">
        <v>5.66</v>
      </c>
      <c r="K3192" s="15" t="n">
        <v>6.89</v>
      </c>
      <c r="L3192" s="8" t="n"/>
      <c r="M3192" s="8" t="n"/>
      <c r="N3192" s="8" t="n">
        <v>7.92</v>
      </c>
      <c r="O3192" s="8" t="n"/>
      <c r="P3192" s="8" t="n"/>
      <c r="Q3192" s="8" t="n">
        <v>8.31</v>
      </c>
      <c r="R3192" s="8" t="n"/>
      <c r="S3192" s="8" t="n"/>
      <c r="T3192" s="7" t="inlineStr">
        <is>
          <t>DIMEC</t>
        </is>
      </c>
      <c r="U3192" s="8" t="n">
        <v>6.89</v>
      </c>
      <c r="V3192" s="14">
        <f>U3192/J3192-1</f>
        <v/>
      </c>
      <c r="W3192" s="14">
        <f>U3192/H3192-1</f>
        <v/>
      </c>
      <c r="X3192" s="16" t="inlineStr">
        <is>
          <t>ACIMA +21.7%</t>
        </is>
      </c>
      <c r="Y3192" s="7" t="inlineStr"/>
    </row>
    <row r="3193">
      <c r="A3193" s="7" t="n">
        <v>690701</v>
      </c>
      <c r="B3193" s="12" t="inlineStr">
        <is>
          <t>7898693390217</t>
        </is>
      </c>
      <c r="C3193" s="7" t="inlineStr">
        <is>
          <t>OLEO DE MELALEUCA 10ML CX C/12 - MELDICA</t>
        </is>
      </c>
      <c r="D3193" s="7" t="inlineStr">
        <is>
          <t>DERMOCOSMETICOS/COSMETICOS</t>
        </is>
      </c>
      <c r="E3193" s="7" t="inlineStr">
        <is>
          <t>B</t>
        </is>
      </c>
      <c r="F3193" s="13" t="n">
        <v>1</v>
      </c>
      <c r="G3193" s="13" t="n">
        <v>1</v>
      </c>
      <c r="H3193" s="8" t="n">
        <v>16.87</v>
      </c>
      <c r="I3193" s="8" t="n">
        <v>16.87</v>
      </c>
      <c r="J3193" s="8" t="n">
        <v>16.87</v>
      </c>
      <c r="K3193" s="8" t="n"/>
      <c r="L3193" s="8" t="n"/>
      <c r="M3193" s="8" t="n"/>
      <c r="N3193" s="8" t="n"/>
      <c r="O3193" s="8" t="n"/>
      <c r="P3193" s="8" t="n"/>
      <c r="Q3193" s="8" t="n"/>
      <c r="R3193" s="8" t="n"/>
      <c r="S3193" s="8" t="n"/>
      <c r="T3193" s="7" t="inlineStr">
        <is>
          <t>SEM COTAÇÃO</t>
        </is>
      </c>
      <c r="U3193" s="8" t="n"/>
      <c r="V3193" s="14" t="n"/>
      <c r="W3193" s="14" t="n"/>
      <c r="X3193" s="7" t="inlineStr"/>
      <c r="Y3193" s="7" t="inlineStr"/>
    </row>
    <row r="3194">
      <c r="A3194" s="7" t="n">
        <v>611431</v>
      </c>
      <c r="B3194" s="12" t="inlineStr">
        <is>
          <t>7897732607583</t>
        </is>
      </c>
      <c r="C3194" s="7" t="inlineStr">
        <is>
          <t>OLEO DE RICINO 100% 30ML SOBRAL</t>
        </is>
      </c>
      <c r="D3194" s="7" t="inlineStr">
        <is>
          <t>SIMILAR</t>
        </is>
      </c>
      <c r="E3194" s="7" t="inlineStr">
        <is>
          <t>C</t>
        </is>
      </c>
      <c r="F3194" s="13" t="n">
        <v>5</v>
      </c>
      <c r="G3194" s="13" t="n">
        <v>5</v>
      </c>
      <c r="H3194" s="8" t="n">
        <v>4.31</v>
      </c>
      <c r="I3194" s="8" t="n">
        <v>4.31</v>
      </c>
      <c r="J3194" s="8" t="n">
        <v>4.31</v>
      </c>
      <c r="K3194" s="8" t="n"/>
      <c r="L3194" s="8" t="n"/>
      <c r="M3194" s="8" t="n"/>
      <c r="N3194" s="15" t="n">
        <v>4.73</v>
      </c>
      <c r="O3194" s="8" t="n"/>
      <c r="P3194" s="8" t="n">
        <v>4.94</v>
      </c>
      <c r="Q3194" s="8" t="n"/>
      <c r="R3194" s="8" t="n"/>
      <c r="S3194" s="8" t="n"/>
      <c r="T3194" s="7" t="inlineStr">
        <is>
          <t>CENTROFARMA</t>
        </is>
      </c>
      <c r="U3194" s="8" t="n">
        <v>4.73</v>
      </c>
      <c r="V3194" s="14">
        <f>U3194/J3194-1</f>
        <v/>
      </c>
      <c r="W3194" s="14">
        <f>U3194/H3194-1</f>
        <v/>
      </c>
      <c r="X3194" s="16" t="inlineStr">
        <is>
          <t>ACIMA +9.7%</t>
        </is>
      </c>
      <c r="Y3194" s="7" t="inlineStr">
        <is>
          <t>NAZARIA: sem estoque</t>
        </is>
      </c>
    </row>
    <row r="3195">
      <c r="A3195" s="7" t="n">
        <v>608071</v>
      </c>
      <c r="B3195" s="12" t="inlineStr">
        <is>
          <t>7898211382076</t>
        </is>
      </c>
      <c r="C3195" s="7" t="inlineStr">
        <is>
          <t>OLEO DE RICINO CAPILAR KERATEX 60ML 60ML</t>
        </is>
      </c>
      <c r="D3195" s="7" t="inlineStr">
        <is>
          <t>PERF/COSME</t>
        </is>
      </c>
      <c r="E3195" s="7" t="inlineStr">
        <is>
          <t>C</t>
        </is>
      </c>
      <c r="F3195" s="13" t="n">
        <v>2</v>
      </c>
      <c r="G3195" s="13" t="n">
        <v>2</v>
      </c>
      <c r="H3195" s="8" t="n">
        <v>6.39</v>
      </c>
      <c r="I3195" s="8" t="n">
        <v>6.39</v>
      </c>
      <c r="J3195" s="8" t="n">
        <v>6.39</v>
      </c>
      <c r="K3195" s="8" t="n"/>
      <c r="L3195" s="8" t="n"/>
      <c r="M3195" s="8" t="n"/>
      <c r="N3195" s="8" t="n"/>
      <c r="O3195" s="8" t="n"/>
      <c r="P3195" s="8" t="n"/>
      <c r="Q3195" s="8" t="n"/>
      <c r="R3195" s="8" t="n"/>
      <c r="S3195" s="8" t="n"/>
      <c r="T3195" s="7" t="inlineStr">
        <is>
          <t>SEM COTAÇÃO</t>
        </is>
      </c>
      <c r="U3195" s="8" t="n"/>
      <c r="V3195" s="14" t="n"/>
      <c r="W3195" s="14" t="n"/>
      <c r="X3195" s="7" t="inlineStr"/>
      <c r="Y3195" s="7" t="inlineStr"/>
    </row>
    <row r="3196">
      <c r="A3196" s="7" t="n">
        <v>654761</v>
      </c>
      <c r="B3196" s="12" t="inlineStr">
        <is>
          <t>7898392930431</t>
        </is>
      </c>
      <c r="C3196" s="7" t="inlineStr">
        <is>
          <t>OLEO DE ROSA MOSQUETA 30 ML  - PHARMAKOS</t>
        </is>
      </c>
      <c r="D3196" s="7" t="inlineStr">
        <is>
          <t>FITOTERAPICO</t>
        </is>
      </c>
      <c r="E3196" s="7" t="inlineStr">
        <is>
          <t>C</t>
        </is>
      </c>
      <c r="F3196" s="13" t="n">
        <v>3</v>
      </c>
      <c r="G3196" s="13" t="n">
        <v>3</v>
      </c>
      <c r="H3196" s="8" t="n">
        <v>17.49</v>
      </c>
      <c r="I3196" s="8" t="n">
        <v>17.49</v>
      </c>
      <c r="J3196" s="8" t="n">
        <v>17.49</v>
      </c>
      <c r="K3196" s="8" t="n"/>
      <c r="L3196" s="8" t="n"/>
      <c r="M3196" s="8" t="n"/>
      <c r="N3196" s="8" t="n"/>
      <c r="O3196" s="8" t="n"/>
      <c r="P3196" s="8" t="n"/>
      <c r="Q3196" s="8" t="n"/>
      <c r="R3196" s="8" t="n"/>
      <c r="S3196" s="8" t="n"/>
      <c r="T3196" s="7" t="inlineStr">
        <is>
          <t>SEM COTAÇÃO</t>
        </is>
      </c>
      <c r="U3196" s="8" t="n"/>
      <c r="V3196" s="14" t="n"/>
      <c r="W3196" s="14" t="n"/>
      <c r="X3196" s="7" t="inlineStr"/>
      <c r="Y3196" s="7" t="inlineStr"/>
    </row>
    <row r="3197">
      <c r="A3197" s="7" t="n">
        <v>587061</v>
      </c>
      <c r="B3197" s="12" t="inlineStr"/>
      <c r="C3197" s="7" t="inlineStr">
        <is>
          <t>OLEO DE ROSA MOSQUETA CORPORAL 100% 30ML</t>
        </is>
      </c>
      <c r="D3197" s="7" t="inlineStr">
        <is>
          <t>GENERICO</t>
        </is>
      </c>
      <c r="E3197" s="7" t="inlineStr">
        <is>
          <t>C</t>
        </is>
      </c>
      <c r="F3197" s="13" t="n">
        <v>1</v>
      </c>
      <c r="G3197" s="13" t="n">
        <v>1</v>
      </c>
      <c r="H3197" s="8" t="n">
        <v>11.68</v>
      </c>
      <c r="I3197" s="8" t="n">
        <v>11.68</v>
      </c>
      <c r="J3197" s="8" t="n">
        <v>11.68</v>
      </c>
      <c r="K3197" s="8" t="n"/>
      <c r="L3197" s="8" t="n"/>
      <c r="M3197" s="8" t="n"/>
      <c r="N3197" s="8" t="n"/>
      <c r="O3197" s="8" t="n"/>
      <c r="P3197" s="8" t="n"/>
      <c r="Q3197" s="8" t="n"/>
      <c r="R3197" s="8" t="n"/>
      <c r="S3197" s="8" t="n"/>
      <c r="T3197" s="7" t="inlineStr">
        <is>
          <t>SEM COTAÇÃO</t>
        </is>
      </c>
      <c r="U3197" s="8" t="n"/>
      <c r="V3197" s="14" t="n"/>
      <c r="W3197" s="14" t="n"/>
      <c r="X3197" s="7" t="inlineStr"/>
      <c r="Y3197" s="7" t="inlineStr"/>
    </row>
    <row r="3198">
      <c r="A3198" s="7" t="n">
        <v>610951</v>
      </c>
      <c r="B3198" s="12" t="inlineStr">
        <is>
          <t>7898719040966</t>
        </is>
      </c>
      <c r="C3198" s="7" t="inlineStr">
        <is>
          <t>OLEO DE ROSA MOSQUETA CORPORAL 30ML</t>
        </is>
      </c>
      <c r="D3198" s="7" t="inlineStr">
        <is>
          <t>OTC</t>
        </is>
      </c>
      <c r="E3198" s="7" t="inlineStr">
        <is>
          <t>C</t>
        </is>
      </c>
      <c r="F3198" s="13" t="n">
        <v>1</v>
      </c>
      <c r="G3198" s="13" t="n">
        <v>1</v>
      </c>
      <c r="H3198" s="8" t="n">
        <v>9.300000000000001</v>
      </c>
      <c r="I3198" s="8" t="n">
        <v>9.300000000000001</v>
      </c>
      <c r="J3198" s="8" t="n">
        <v>9.300000000000001</v>
      </c>
      <c r="K3198" s="8" t="n"/>
      <c r="L3198" s="8" t="n"/>
      <c r="M3198" s="8" t="n"/>
      <c r="N3198" s="8" t="n"/>
      <c r="O3198" s="8" t="n"/>
      <c r="P3198" s="8" t="n"/>
      <c r="Q3198" s="8" t="n"/>
      <c r="R3198" s="8" t="n"/>
      <c r="S3198" s="8" t="n"/>
      <c r="T3198" s="7" t="inlineStr">
        <is>
          <t>SEM COTAÇÃO</t>
        </is>
      </c>
      <c r="U3198" s="8" t="n"/>
      <c r="V3198" s="14" t="n"/>
      <c r="W3198" s="14" t="n"/>
      <c r="X3198" s="7" t="inlineStr"/>
      <c r="Y3198" s="7" t="inlineStr"/>
    </row>
    <row r="3199">
      <c r="A3199" s="7" t="n">
        <v>647941</v>
      </c>
      <c r="B3199" s="12" t="inlineStr">
        <is>
          <t>7896235354727</t>
        </is>
      </c>
      <c r="C3199" s="7" t="inlineStr">
        <is>
          <t>OLEO DEO PAIXAO 200ML CACAU/PIMEN - VERD</t>
        </is>
      </c>
      <c r="D3199" s="7" t="inlineStr">
        <is>
          <t>PERF/COSME</t>
        </is>
      </c>
      <c r="E3199" s="7" t="inlineStr">
        <is>
          <t>C</t>
        </is>
      </c>
      <c r="F3199" s="13" t="n">
        <v>1</v>
      </c>
      <c r="G3199" s="13" t="n">
        <v>1</v>
      </c>
      <c r="H3199" s="8" t="n">
        <v>20.91</v>
      </c>
      <c r="I3199" s="8" t="n">
        <v>20.91</v>
      </c>
      <c r="J3199" s="8" t="n">
        <v>20.91</v>
      </c>
      <c r="K3199" s="8" t="n"/>
      <c r="L3199" s="8" t="n"/>
      <c r="M3199" s="8" t="n"/>
      <c r="N3199" s="8" t="n"/>
      <c r="O3199" s="8" t="n"/>
      <c r="P3199" s="8" t="n"/>
      <c r="Q3199" s="8" t="n"/>
      <c r="R3199" s="8" t="n"/>
      <c r="S3199" s="8" t="n"/>
      <c r="T3199" s="7" t="inlineStr">
        <is>
          <t>SEM COTAÇÃO</t>
        </is>
      </c>
      <c r="U3199" s="8" t="n"/>
      <c r="V3199" s="14" t="n"/>
      <c r="W3199" s="14" t="n"/>
      <c r="X3199" s="7" t="inlineStr"/>
      <c r="Y3199" s="7" t="inlineStr"/>
    </row>
    <row r="3200">
      <c r="A3200" s="7" t="n">
        <v>564341</v>
      </c>
      <c r="B3200" s="12" t="inlineStr">
        <is>
          <t>7899026478909</t>
        </is>
      </c>
      <c r="C3200" s="7" t="inlineStr">
        <is>
          <t>OLEO ELSEVE EXTRAORDINAR 100ML</t>
        </is>
      </c>
      <c r="D3200" s="7" t="inlineStr">
        <is>
          <t>PERF/COSME</t>
        </is>
      </c>
      <c r="E3200" s="7" t="inlineStr">
        <is>
          <t>A</t>
        </is>
      </c>
      <c r="F3200" s="13" t="n">
        <v>14</v>
      </c>
      <c r="G3200" s="13" t="n">
        <v>14</v>
      </c>
      <c r="H3200" s="8" t="n">
        <v>33.88</v>
      </c>
      <c r="I3200" s="8" t="n">
        <v>33.88</v>
      </c>
      <c r="J3200" s="8" t="n">
        <v>33.88</v>
      </c>
      <c r="K3200" s="8" t="n"/>
      <c r="L3200" s="8" t="n"/>
      <c r="M3200" s="8" t="n"/>
      <c r="N3200" s="8" t="n"/>
      <c r="O3200" s="8" t="n"/>
      <c r="P3200" s="15" t="n">
        <v>35.03</v>
      </c>
      <c r="Q3200" s="8" t="n"/>
      <c r="R3200" s="8" t="n"/>
      <c r="S3200" s="8" t="n"/>
      <c r="T3200" s="7" t="inlineStr">
        <is>
          <t>NAZARIA</t>
        </is>
      </c>
      <c r="U3200" s="8" t="n">
        <v>35.03</v>
      </c>
      <c r="V3200" s="14">
        <f>U3200/J3200-1</f>
        <v/>
      </c>
      <c r="W3200" s="14">
        <f>U3200/H3200-1</f>
        <v/>
      </c>
      <c r="X3200" s="16" t="inlineStr">
        <is>
          <t>ACIMA +3.4%</t>
        </is>
      </c>
      <c r="Y3200" s="7" t="inlineStr"/>
    </row>
    <row r="3201">
      <c r="A3201" s="7" t="n">
        <v>656731</v>
      </c>
      <c r="B3201" s="12" t="inlineStr">
        <is>
          <t>7500435240512</t>
        </is>
      </c>
      <c r="C3201" s="7" t="inlineStr">
        <is>
          <t>OLEO MILAGROSO PANTENE QUERATINA 95ML</t>
        </is>
      </c>
      <c r="D3201" s="7" t="inlineStr">
        <is>
          <t>COND/SHAM/CREM/SIMILARES</t>
        </is>
      </c>
      <c r="E3201" s="7" t="inlineStr">
        <is>
          <t>A</t>
        </is>
      </c>
      <c r="F3201" s="13" t="n">
        <v>4</v>
      </c>
      <c r="G3201" s="13" t="n">
        <v>4</v>
      </c>
      <c r="H3201" s="8" t="n">
        <v>26.31</v>
      </c>
      <c r="I3201" s="8" t="n">
        <v>26.31</v>
      </c>
      <c r="J3201" s="8" t="n">
        <v>26.31</v>
      </c>
      <c r="K3201" s="8" t="n"/>
      <c r="L3201" s="8" t="n"/>
      <c r="M3201" s="8" t="n"/>
      <c r="N3201" s="8" t="n"/>
      <c r="O3201" s="8" t="n"/>
      <c r="P3201" s="8" t="n"/>
      <c r="Q3201" s="8" t="n"/>
      <c r="R3201" s="8" t="n"/>
      <c r="S3201" s="8" t="n"/>
      <c r="T3201" s="7" t="inlineStr">
        <is>
          <t>SEM COTAÇÃO</t>
        </is>
      </c>
      <c r="U3201" s="8" t="n"/>
      <c r="V3201" s="14" t="n"/>
      <c r="W3201" s="14" t="n"/>
      <c r="X3201" s="7" t="inlineStr"/>
      <c r="Y3201" s="7" t="inlineStr"/>
    </row>
    <row r="3202">
      <c r="A3202" s="7" t="n">
        <v>608741</v>
      </c>
      <c r="B3202" s="12" t="inlineStr"/>
      <c r="C3202" s="7" t="inlineStr">
        <is>
          <t>OLEO MINERAL 100% 100ML SUS</t>
        </is>
      </c>
      <c r="D3202" s="7" t="inlineStr">
        <is>
          <t>GENERICO</t>
        </is>
      </c>
      <c r="E3202" s="7" t="inlineStr">
        <is>
          <t>A</t>
        </is>
      </c>
      <c r="F3202" s="13" t="n">
        <v>5</v>
      </c>
      <c r="G3202" s="13" t="n">
        <v>5</v>
      </c>
      <c r="H3202" s="8" t="n">
        <v>5.05</v>
      </c>
      <c r="I3202" s="8" t="n">
        <v>5.05</v>
      </c>
      <c r="J3202" s="8" t="n">
        <v>5.05</v>
      </c>
      <c r="K3202" s="8" t="n"/>
      <c r="L3202" s="8" t="n"/>
      <c r="M3202" s="8" t="n"/>
      <c r="N3202" s="8" t="n"/>
      <c r="O3202" s="8" t="n"/>
      <c r="P3202" s="8" t="n"/>
      <c r="Q3202" s="8" t="n"/>
      <c r="R3202" s="8" t="n"/>
      <c r="S3202" s="8" t="n"/>
      <c r="T3202" s="7" t="inlineStr">
        <is>
          <t>SEM COTAÇÃO</t>
        </is>
      </c>
      <c r="U3202" s="8" t="n"/>
      <c r="V3202" s="14" t="n"/>
      <c r="W3202" s="14" t="n"/>
      <c r="X3202" s="7" t="inlineStr"/>
      <c r="Y3202" s="7" t="inlineStr"/>
    </row>
    <row r="3203">
      <c r="A3203" s="7" t="n">
        <v>559881</v>
      </c>
      <c r="B3203" s="12" t="inlineStr"/>
      <c r="C3203" s="7" t="inlineStr">
        <is>
          <t>OLEO MINERAL 100ML</t>
        </is>
      </c>
      <c r="D3203" s="7" t="inlineStr">
        <is>
          <t>SIMILAR</t>
        </is>
      </c>
      <c r="E3203" s="7" t="inlineStr">
        <is>
          <t>C</t>
        </is>
      </c>
      <c r="F3203" s="13" t="n">
        <v>2</v>
      </c>
      <c r="G3203" s="13" t="n">
        <v>2</v>
      </c>
      <c r="H3203" s="8" t="n">
        <v>5.88</v>
      </c>
      <c r="I3203" s="8" t="n">
        <v>4.85</v>
      </c>
      <c r="J3203" s="8" t="n">
        <v>5.536666666666666</v>
      </c>
      <c r="K3203" s="8" t="n"/>
      <c r="L3203" s="8" t="n"/>
      <c r="M3203" s="8" t="n"/>
      <c r="N3203" s="8" t="n"/>
      <c r="O3203" s="8" t="n"/>
      <c r="P3203" s="8" t="n"/>
      <c r="Q3203" s="8" t="n"/>
      <c r="R3203" s="8" t="n"/>
      <c r="S3203" s="8" t="n"/>
      <c r="T3203" s="7" t="inlineStr">
        <is>
          <t>SEM COTAÇÃO</t>
        </is>
      </c>
      <c r="U3203" s="8" t="n"/>
      <c r="V3203" s="14" t="n"/>
      <c r="W3203" s="14" t="n"/>
      <c r="X3203" s="7" t="inlineStr"/>
      <c r="Y3203" s="7" t="inlineStr"/>
    </row>
    <row r="3204">
      <c r="A3204" s="7" t="n">
        <v>563181</v>
      </c>
      <c r="B3204" s="12" t="inlineStr">
        <is>
          <t>7896523224435</t>
        </is>
      </c>
      <c r="C3204" s="7" t="inlineStr">
        <is>
          <t>OLEO MINERAL FR 100 ML</t>
        </is>
      </c>
      <c r="D3204" s="7" t="inlineStr">
        <is>
          <t>SIMILAR</t>
        </is>
      </c>
      <c r="E3204" s="7" t="inlineStr">
        <is>
          <t>A</t>
        </is>
      </c>
      <c r="F3204" s="13" t="n">
        <v>7</v>
      </c>
      <c r="G3204" s="13" t="n">
        <v>7</v>
      </c>
      <c r="H3204" s="8" t="n">
        <v>6.99</v>
      </c>
      <c r="I3204" s="8" t="n">
        <v>6.99</v>
      </c>
      <c r="J3204" s="8" t="n">
        <v>6.989999999999999</v>
      </c>
      <c r="K3204" s="8" t="n"/>
      <c r="L3204" s="8" t="n"/>
      <c r="M3204" s="8" t="n"/>
      <c r="N3204" s="8" t="n"/>
      <c r="O3204" s="8" t="n"/>
      <c r="P3204" s="15" t="n">
        <v>7.2</v>
      </c>
      <c r="Q3204" s="8" t="n"/>
      <c r="R3204" s="8" t="n"/>
      <c r="S3204" s="8" t="n"/>
      <c r="T3204" s="7" t="inlineStr">
        <is>
          <t>NAZARIA</t>
        </is>
      </c>
      <c r="U3204" s="8" t="n">
        <v>7.2</v>
      </c>
      <c r="V3204" s="14">
        <f>U3204/J3204-1</f>
        <v/>
      </c>
      <c r="W3204" s="14">
        <f>U3204/H3204-1</f>
        <v/>
      </c>
      <c r="X3204" s="16" t="inlineStr">
        <is>
          <t>ACIMA +3.0%</t>
        </is>
      </c>
      <c r="Y3204" s="7" t="inlineStr"/>
    </row>
    <row r="3205">
      <c r="A3205" s="7" t="n">
        <v>617361</v>
      </c>
      <c r="B3205" s="12" t="inlineStr">
        <is>
          <t>7896000727510</t>
        </is>
      </c>
      <c r="C3205" s="7" t="inlineStr">
        <is>
          <t>OLEO N GOLD HID AGU COCO 100ML</t>
        </is>
      </c>
      <c r="D3205" s="7" t="inlineStr">
        <is>
          <t>COND/SHAM/CREM/SIMILARES</t>
        </is>
      </c>
      <c r="E3205" s="7" t="inlineStr">
        <is>
          <t>C</t>
        </is>
      </c>
      <c r="F3205" s="13" t="n">
        <v>1</v>
      </c>
      <c r="G3205" s="13" t="n">
        <v>1</v>
      </c>
      <c r="H3205" s="8" t="n">
        <v>11.44</v>
      </c>
      <c r="I3205" s="8" t="n">
        <v>11.44</v>
      </c>
      <c r="J3205" s="8" t="n">
        <v>11.44</v>
      </c>
      <c r="K3205" s="8" t="n"/>
      <c r="L3205" s="8" t="n"/>
      <c r="M3205" s="8" t="n"/>
      <c r="N3205" s="8" t="n"/>
      <c r="O3205" s="8" t="n"/>
      <c r="P3205" s="8" t="n"/>
      <c r="Q3205" s="8" t="n"/>
      <c r="R3205" s="8" t="n"/>
      <c r="S3205" s="8" t="n"/>
      <c r="T3205" s="7" t="inlineStr">
        <is>
          <t>SEM COTAÇÃO</t>
        </is>
      </c>
      <c r="U3205" s="8" t="n"/>
      <c r="V3205" s="14" t="n"/>
      <c r="W3205" s="14" t="n"/>
      <c r="X3205" s="7" t="inlineStr"/>
      <c r="Y3205" s="7" t="inlineStr"/>
    </row>
    <row r="3206">
      <c r="A3206" s="7" t="n">
        <v>668581</v>
      </c>
      <c r="B3206" s="12" t="inlineStr">
        <is>
          <t>7896000722553</t>
        </is>
      </c>
      <c r="C3206" s="7" t="inlineStr">
        <is>
          <t>OLEO NIELY G SILICONE NUTRI 42ML-DEMAIS PROD</t>
        </is>
      </c>
      <c r="D3206" s="7" t="inlineStr">
        <is>
          <t>PERF/COSME</t>
        </is>
      </c>
      <c r="E3206" s="7" t="inlineStr">
        <is>
          <t>C</t>
        </is>
      </c>
      <c r="F3206" s="13" t="n">
        <v>1</v>
      </c>
      <c r="G3206" s="13" t="n">
        <v>1</v>
      </c>
      <c r="H3206" s="8" t="n">
        <v>18.66</v>
      </c>
      <c r="I3206" s="8" t="n">
        <v>17.26</v>
      </c>
      <c r="J3206" s="8" t="n">
        <v>18.19333333333333</v>
      </c>
      <c r="K3206" s="8" t="n"/>
      <c r="L3206" s="8" t="n"/>
      <c r="M3206" s="8" t="n"/>
      <c r="N3206" s="8" t="n"/>
      <c r="O3206" s="8" t="n"/>
      <c r="P3206" s="15" t="n">
        <v>19.1</v>
      </c>
      <c r="Q3206" s="8" t="n"/>
      <c r="R3206" s="8" t="n"/>
      <c r="S3206" s="8" t="n"/>
      <c r="T3206" s="7" t="inlineStr">
        <is>
          <t>NAZARIA</t>
        </is>
      </c>
      <c r="U3206" s="8" t="n">
        <v>19.1</v>
      </c>
      <c r="V3206" s="14">
        <f>U3206/J3206-1</f>
        <v/>
      </c>
      <c r="W3206" s="14">
        <f>U3206/H3206-1</f>
        <v/>
      </c>
      <c r="X3206" s="16" t="inlineStr">
        <is>
          <t>ACIMA +2.4%</t>
        </is>
      </c>
      <c r="Y3206" s="7" t="inlineStr"/>
    </row>
    <row r="3207">
      <c r="A3207" s="7" t="n">
        <v>2433</v>
      </c>
      <c r="B3207" s="12" t="inlineStr">
        <is>
          <t>7908324406726</t>
        </is>
      </c>
      <c r="C3207" s="7" t="inlineStr">
        <is>
          <t>OLEO NUTRITIVO OX 120ML NUTRE 3X1</t>
        </is>
      </c>
      <c r="D3207" s="7" t="inlineStr">
        <is>
          <t>PERF/COSME</t>
        </is>
      </c>
      <c r="E3207" s="7" t="inlineStr">
        <is>
          <t>A</t>
        </is>
      </c>
      <c r="F3207" s="13" t="n">
        <v>18</v>
      </c>
      <c r="G3207" s="13" t="n">
        <v>18</v>
      </c>
      <c r="H3207" s="8" t="n">
        <v>21.5</v>
      </c>
      <c r="I3207" s="8" t="n">
        <v>20.44</v>
      </c>
      <c r="J3207" s="8" t="n">
        <v>21.14666666666666</v>
      </c>
      <c r="K3207" s="8" t="n"/>
      <c r="L3207" s="8" t="n"/>
      <c r="M3207" s="8" t="n"/>
      <c r="N3207" s="8" t="n"/>
      <c r="O3207" s="8" t="n"/>
      <c r="P3207" s="8" t="n"/>
      <c r="Q3207" s="8" t="n"/>
      <c r="R3207" s="8" t="n"/>
      <c r="S3207" s="8" t="n"/>
      <c r="T3207" s="7" t="inlineStr">
        <is>
          <t>SEM COTAÇÃO</t>
        </is>
      </c>
      <c r="U3207" s="8" t="n"/>
      <c r="V3207" s="14" t="n"/>
      <c r="W3207" s="14" t="n"/>
      <c r="X3207" s="7" t="inlineStr"/>
      <c r="Y3207" s="7" t="inlineStr"/>
    </row>
    <row r="3208">
      <c r="A3208" s="7" t="n">
        <v>600211</v>
      </c>
      <c r="B3208" s="12" t="inlineStr">
        <is>
          <t>7896235354048</t>
        </is>
      </c>
      <c r="C3208" s="7" t="inlineStr">
        <is>
          <t>OLEO PAIXAO 100ML FLOR BAUNILH -ROSA (N)</t>
        </is>
      </c>
      <c r="D3208" s="7" t="inlineStr">
        <is>
          <t>PERF/COSME</t>
        </is>
      </c>
      <c r="E3208" s="7" t="inlineStr">
        <is>
          <t>A</t>
        </is>
      </c>
      <c r="F3208" s="13" t="n">
        <v>8</v>
      </c>
      <c r="G3208" s="13" t="n">
        <v>8</v>
      </c>
      <c r="H3208" s="8" t="n">
        <v>10.95</v>
      </c>
      <c r="I3208" s="8" t="n">
        <v>9.619999999999999</v>
      </c>
      <c r="J3208" s="8" t="n">
        <v>10.50666666666667</v>
      </c>
      <c r="K3208" s="8" t="n"/>
      <c r="L3208" s="8" t="n"/>
      <c r="M3208" s="8" t="n"/>
      <c r="N3208" s="8" t="n"/>
      <c r="O3208" s="8" t="n"/>
      <c r="P3208" s="8" t="n"/>
      <c r="Q3208" s="8" t="n"/>
      <c r="R3208" s="8" t="n"/>
      <c r="S3208" s="8" t="n"/>
      <c r="T3208" s="7" t="inlineStr">
        <is>
          <t>SEM COTAÇÃO</t>
        </is>
      </c>
      <c r="U3208" s="8" t="n"/>
      <c r="V3208" s="14" t="n"/>
      <c r="W3208" s="14" t="n"/>
      <c r="X3208" s="7" t="inlineStr"/>
      <c r="Y3208" s="7" t="inlineStr"/>
    </row>
    <row r="3209">
      <c r="A3209" s="7" t="n">
        <v>608001</v>
      </c>
      <c r="B3209" s="12" t="inlineStr">
        <is>
          <t>7898211383165</t>
        </is>
      </c>
      <c r="C3209" s="7" t="inlineStr">
        <is>
          <t>OLEO QUERATINA LIQ. KERATEX SPRAY 120ML 120ML</t>
        </is>
      </c>
      <c r="D3209" s="7" t="inlineStr">
        <is>
          <t>PERF/COSME</t>
        </is>
      </c>
      <c r="E3209" s="7" t="inlineStr">
        <is>
          <t>C</t>
        </is>
      </c>
      <c r="F3209" s="13" t="n">
        <v>1</v>
      </c>
      <c r="G3209" s="13" t="n">
        <v>1</v>
      </c>
      <c r="H3209" s="8" t="n">
        <v>16.65</v>
      </c>
      <c r="I3209" s="8" t="n">
        <v>16.65</v>
      </c>
      <c r="J3209" s="8" t="n">
        <v>16.65</v>
      </c>
      <c r="K3209" s="8" t="n"/>
      <c r="L3209" s="8" t="n"/>
      <c r="M3209" s="8" t="n"/>
      <c r="N3209" s="8" t="n"/>
      <c r="O3209" s="8" t="n"/>
      <c r="P3209" s="8" t="n"/>
      <c r="Q3209" s="8" t="n"/>
      <c r="R3209" s="8" t="n"/>
      <c r="S3209" s="8" t="n"/>
      <c r="T3209" s="7" t="inlineStr">
        <is>
          <t>SEM COTAÇÃO</t>
        </is>
      </c>
      <c r="U3209" s="8" t="n"/>
      <c r="V3209" s="14" t="n"/>
      <c r="W3209" s="14" t="n"/>
      <c r="X3209" s="7" t="inlineStr"/>
      <c r="Y3209" s="7" t="inlineStr"/>
    </row>
    <row r="3210">
      <c r="A3210" s="7" t="n">
        <v>638411</v>
      </c>
      <c r="B3210" s="12" t="inlineStr">
        <is>
          <t>7908324405095</t>
        </is>
      </c>
      <c r="C3210" s="7" t="inlineStr">
        <is>
          <t>OLEO REPARADOR OX 60ML VITA GLOW</t>
        </is>
      </c>
      <c r="D3210" s="7" t="inlineStr">
        <is>
          <t>COND/SHAM/CREM/SIMILARES</t>
        </is>
      </c>
      <c r="E3210" s="7" t="inlineStr">
        <is>
          <t>A</t>
        </is>
      </c>
      <c r="F3210" s="13" t="n">
        <v>3</v>
      </c>
      <c r="G3210" s="13" t="n">
        <v>3</v>
      </c>
      <c r="H3210" s="8" t="n">
        <v>39.29</v>
      </c>
      <c r="I3210" s="8" t="n">
        <v>39.29</v>
      </c>
      <c r="J3210" s="8" t="n">
        <v>39.29</v>
      </c>
      <c r="K3210" s="8" t="n"/>
      <c r="L3210" s="8" t="n"/>
      <c r="M3210" s="8" t="n"/>
      <c r="N3210" s="8" t="n"/>
      <c r="O3210" s="8" t="n"/>
      <c r="P3210" s="8" t="n"/>
      <c r="Q3210" s="8" t="n"/>
      <c r="R3210" s="8" t="n"/>
      <c r="S3210" s="8" t="n"/>
      <c r="T3210" s="7" t="inlineStr">
        <is>
          <t>SEM COTAÇÃO</t>
        </is>
      </c>
      <c r="U3210" s="8" t="n"/>
      <c r="V3210" s="14" t="n"/>
      <c r="W3210" s="14" t="n"/>
      <c r="X3210" s="7" t="inlineStr"/>
      <c r="Y3210" s="7" t="inlineStr"/>
    </row>
    <row r="3211">
      <c r="A3211" s="7" t="n">
        <v>673101</v>
      </c>
      <c r="B3211" s="12" t="inlineStr">
        <is>
          <t>7908458332519</t>
        </is>
      </c>
      <c r="C3211" s="7" t="inlineStr">
        <is>
          <t>OLEO S.LINE XER.GLAM.CHIC 60M</t>
        </is>
      </c>
      <c r="D3211" s="7" t="inlineStr">
        <is>
          <t>COND/SHAM/CREM/SIMILARES</t>
        </is>
      </c>
      <c r="E3211" s="7" t="inlineStr">
        <is>
          <t>C</t>
        </is>
      </c>
      <c r="F3211" s="13" t="n">
        <v>1</v>
      </c>
      <c r="G3211" s="13" t="n">
        <v>1</v>
      </c>
      <c r="H3211" s="8" t="n">
        <v>17.76</v>
      </c>
      <c r="I3211" s="8" t="n">
        <v>17.76</v>
      </c>
      <c r="J3211" s="8" t="n">
        <v>17.76</v>
      </c>
      <c r="K3211" s="8" t="n"/>
      <c r="L3211" s="8" t="n"/>
      <c r="M3211" s="8" t="n"/>
      <c r="N3211" s="8" t="n"/>
      <c r="O3211" s="8" t="n"/>
      <c r="P3211" s="8" t="n"/>
      <c r="Q3211" s="8" t="n"/>
      <c r="R3211" s="8" t="n"/>
      <c r="S3211" s="8" t="n"/>
      <c r="T3211" s="7" t="inlineStr">
        <is>
          <t>SEM COTAÇÃO</t>
        </is>
      </c>
      <c r="U3211" s="8" t="n"/>
      <c r="V3211" s="14" t="n"/>
      <c r="W3211" s="14" t="n"/>
      <c r="X3211" s="7" t="inlineStr"/>
      <c r="Y3211" s="7" t="inlineStr"/>
    </row>
    <row r="3212">
      <c r="A3212" s="7" t="n">
        <v>669931</v>
      </c>
      <c r="B3212" s="12" t="inlineStr">
        <is>
          <t>7891150104860</t>
        </is>
      </c>
      <c r="C3212" s="7" t="inlineStr">
        <is>
          <t>OLEO SERUM DOVE TOM UNIFORM 150ML</t>
        </is>
      </c>
      <c r="D3212" s="7" t="inlineStr">
        <is>
          <t>COND/SHAM/CREM/SIMILARES</t>
        </is>
      </c>
      <c r="E3212" s="7" t="inlineStr">
        <is>
          <t>C</t>
        </is>
      </c>
      <c r="F3212" s="13" t="n">
        <v>1</v>
      </c>
      <c r="G3212" s="13" t="n">
        <v>1</v>
      </c>
      <c r="H3212" s="8" t="n">
        <v>40.63</v>
      </c>
      <c r="I3212" s="8" t="n">
        <v>40.63</v>
      </c>
      <c r="J3212" s="8" t="n">
        <v>40.63</v>
      </c>
      <c r="K3212" s="8" t="n"/>
      <c r="L3212" s="8" t="n"/>
      <c r="M3212" s="8" t="n"/>
      <c r="N3212" s="8" t="n"/>
      <c r="O3212" s="8" t="n"/>
      <c r="P3212" s="8" t="n">
        <v>39.27</v>
      </c>
      <c r="Q3212" s="8" t="n"/>
      <c r="R3212" s="8" t="n"/>
      <c r="S3212" s="8" t="n"/>
      <c r="T3212" s="7" t="inlineStr">
        <is>
          <t>SEM COTAÇÃO</t>
        </is>
      </c>
      <c r="U3212" s="8" t="n"/>
      <c r="V3212" s="14" t="n"/>
      <c r="W3212" s="14" t="n"/>
      <c r="X3212" s="7" t="inlineStr"/>
      <c r="Y3212" s="7" t="inlineStr">
        <is>
          <t>NAZARIA: sem estoque</t>
        </is>
      </c>
    </row>
    <row r="3213">
      <c r="A3213" s="7" t="n">
        <v>629671</v>
      </c>
      <c r="B3213" s="12" t="inlineStr">
        <is>
          <t>7898211383615</t>
        </is>
      </c>
      <c r="C3213" s="7" t="inlineStr">
        <is>
          <t>OLEO TONICO CAP. ALECRIM A.HIALURONICO 60ML</t>
        </is>
      </c>
      <c r="D3213" s="7" t="inlineStr">
        <is>
          <t>PERF/COSME</t>
        </is>
      </c>
      <c r="E3213" s="7" t="inlineStr">
        <is>
          <t>C</t>
        </is>
      </c>
      <c r="F3213" s="13" t="n">
        <v>1</v>
      </c>
      <c r="G3213" s="13" t="n">
        <v>1</v>
      </c>
      <c r="H3213" s="8" t="n">
        <v>6.39</v>
      </c>
      <c r="I3213" s="8" t="n">
        <v>6.39</v>
      </c>
      <c r="J3213" s="8" t="n">
        <v>6.39</v>
      </c>
      <c r="K3213" s="8" t="n"/>
      <c r="L3213" s="8" t="n"/>
      <c r="M3213" s="8" t="n"/>
      <c r="N3213" s="8" t="n"/>
      <c r="O3213" s="8" t="n"/>
      <c r="P3213" s="8" t="n"/>
      <c r="Q3213" s="8" t="n"/>
      <c r="R3213" s="8" t="n"/>
      <c r="S3213" s="8" t="n"/>
      <c r="T3213" s="7" t="inlineStr">
        <is>
          <t>SEM COTAÇÃO</t>
        </is>
      </c>
      <c r="U3213" s="8" t="n"/>
      <c r="V3213" s="14" t="n"/>
      <c r="W3213" s="14" t="n"/>
      <c r="X3213" s="7" t="inlineStr"/>
      <c r="Y3213" s="7" t="inlineStr"/>
    </row>
    <row r="3214">
      <c r="A3214" s="7" t="n">
        <v>375941</v>
      </c>
      <c r="B3214" s="12" t="inlineStr">
        <is>
          <t>7898569763015</t>
        </is>
      </c>
      <c r="C3214" s="7" t="inlineStr">
        <is>
          <t>OLMESARTANA MEDOXOMILA 20MG CX 30 COMP REV</t>
        </is>
      </c>
      <c r="D3214" s="7" t="inlineStr">
        <is>
          <t>GENERICO</t>
        </is>
      </c>
      <c r="E3214" s="7" t="inlineStr">
        <is>
          <t>C</t>
        </is>
      </c>
      <c r="F3214" s="13" t="n">
        <v>3</v>
      </c>
      <c r="G3214" s="13" t="n">
        <v>3</v>
      </c>
      <c r="H3214" s="8" t="n">
        <v>11.77</v>
      </c>
      <c r="I3214" s="8" t="n">
        <v>9.99</v>
      </c>
      <c r="J3214" s="8" t="n">
        <v>9.99</v>
      </c>
      <c r="K3214" s="8" t="n">
        <v>14.45</v>
      </c>
      <c r="L3214" s="15" t="n">
        <v>14.13</v>
      </c>
      <c r="M3214" s="8" t="n"/>
      <c r="N3214" s="8" t="n">
        <v>14.59</v>
      </c>
      <c r="O3214" s="8" t="n"/>
      <c r="P3214" s="8" t="n">
        <v>16.7157</v>
      </c>
      <c r="Q3214" s="8" t="n">
        <v>15.72</v>
      </c>
      <c r="R3214" s="8" t="n"/>
      <c r="S3214" s="8" t="n"/>
      <c r="T3214" s="7" t="inlineStr">
        <is>
          <t>PLUSFARMA</t>
        </is>
      </c>
      <c r="U3214" s="8" t="n">
        <v>14.13</v>
      </c>
      <c r="V3214" s="14">
        <f>U3214/J3214-1</f>
        <v/>
      </c>
      <c r="W3214" s="14">
        <f>U3214/H3214-1</f>
        <v/>
      </c>
      <c r="X3214" s="16" t="inlineStr">
        <is>
          <t>ACIMA +20.1%</t>
        </is>
      </c>
      <c r="Y3214" s="7" t="inlineStr"/>
    </row>
    <row r="3215">
      <c r="A3215" s="7" t="n">
        <v>636361</v>
      </c>
      <c r="B3215" s="12" t="inlineStr">
        <is>
          <t>7891058003159</t>
        </is>
      </c>
      <c r="C3215" s="7" t="inlineStr">
        <is>
          <t>OLMESARTANA MEDOXOMILA 20MG CX 30 COMP REV</t>
        </is>
      </c>
      <c r="D3215" s="7" t="inlineStr">
        <is>
          <t>GENERICO</t>
        </is>
      </c>
      <c r="E3215" s="7" t="inlineStr">
        <is>
          <t>B</t>
        </is>
      </c>
      <c r="F3215" s="13" t="n">
        <v>4</v>
      </c>
      <c r="G3215" s="13" t="n">
        <v>4</v>
      </c>
      <c r="H3215" s="8" t="n">
        <v>15.655</v>
      </c>
      <c r="I3215" s="8" t="n">
        <v>14.2667</v>
      </c>
      <c r="J3215" s="8" t="n">
        <v>15.19223333333333</v>
      </c>
      <c r="K3215" s="8" t="n"/>
      <c r="L3215" s="8" t="n"/>
      <c r="M3215" s="8" t="n"/>
      <c r="N3215" s="8" t="n"/>
      <c r="O3215" s="8" t="n"/>
      <c r="P3215" s="15" t="n">
        <v>27.2025</v>
      </c>
      <c r="Q3215" s="8" t="n"/>
      <c r="R3215" s="8" t="n"/>
      <c r="S3215" s="8" t="n"/>
      <c r="T3215" s="7" t="inlineStr">
        <is>
          <t>NAZARIA</t>
        </is>
      </c>
      <c r="U3215" s="8" t="n">
        <v>27.2025</v>
      </c>
      <c r="V3215" s="14">
        <f>U3215/J3215-1</f>
        <v/>
      </c>
      <c r="W3215" s="14">
        <f>U3215/H3215-1</f>
        <v/>
      </c>
      <c r="X3215" s="16" t="inlineStr">
        <is>
          <t>ACIMA +73.8%</t>
        </is>
      </c>
      <c r="Y3215" s="7" t="inlineStr"/>
    </row>
    <row r="3216">
      <c r="A3216" s="7" t="n">
        <v>376061</v>
      </c>
      <c r="B3216" s="12" t="inlineStr">
        <is>
          <t>7898569763077</t>
        </is>
      </c>
      <c r="C3216" s="7" t="inlineStr">
        <is>
          <t>OLMESARTANA MEDOXOMILA 40MG CX 30 COMP REV</t>
        </is>
      </c>
      <c r="D3216" s="7" t="inlineStr">
        <is>
          <t>GENERICO</t>
        </is>
      </c>
      <c r="E3216" s="7" t="inlineStr">
        <is>
          <t>C</t>
        </is>
      </c>
      <c r="F3216" s="13" t="n">
        <v>13</v>
      </c>
      <c r="G3216" s="13" t="n">
        <v>13</v>
      </c>
      <c r="H3216" s="8" t="n">
        <v>17.13</v>
      </c>
      <c r="I3216" s="8" t="n">
        <v>14.57</v>
      </c>
      <c r="J3216" s="8" t="n">
        <v>14.57</v>
      </c>
      <c r="K3216" s="8" t="n">
        <v>21.08</v>
      </c>
      <c r="L3216" s="8" t="n">
        <v>20.61</v>
      </c>
      <c r="M3216" s="8" t="n"/>
      <c r="N3216" s="15" t="n">
        <v>20.42</v>
      </c>
      <c r="O3216" s="8" t="n"/>
      <c r="P3216" s="8" t="n">
        <v>22.881609</v>
      </c>
      <c r="Q3216" s="8" t="n">
        <v>21.61</v>
      </c>
      <c r="R3216" s="8" t="n"/>
      <c r="S3216" s="8" t="n"/>
      <c r="T3216" s="7" t="inlineStr">
        <is>
          <t>CENTROFARMA</t>
        </is>
      </c>
      <c r="U3216" s="8" t="n">
        <v>20.42</v>
      </c>
      <c r="V3216" s="14">
        <f>U3216/J3216-1</f>
        <v/>
      </c>
      <c r="W3216" s="14">
        <f>U3216/H3216-1</f>
        <v/>
      </c>
      <c r="X3216" s="16" t="inlineStr">
        <is>
          <t>ACIMA +19.2%</t>
        </is>
      </c>
      <c r="Y3216" s="7" t="inlineStr"/>
    </row>
    <row r="3217">
      <c r="A3217" s="7" t="n">
        <v>644201</v>
      </c>
      <c r="B3217" s="12" t="inlineStr">
        <is>
          <t>7896004775364</t>
        </is>
      </c>
      <c r="C3217" s="7" t="inlineStr">
        <is>
          <t>OLMY ANLO 20+5MG CX 30 COMP REV</t>
        </is>
      </c>
      <c r="D3217" s="7" t="inlineStr">
        <is>
          <t>RX</t>
        </is>
      </c>
      <c r="E3217" s="7" t="inlineStr">
        <is>
          <t>B</t>
        </is>
      </c>
      <c r="F3217" s="13" t="n">
        <v>2</v>
      </c>
      <c r="G3217" s="13" t="n">
        <v>2</v>
      </c>
      <c r="H3217" s="8" t="n">
        <v>45.45</v>
      </c>
      <c r="I3217" s="8" t="n">
        <v>45.45</v>
      </c>
      <c r="J3217" s="8" t="n">
        <v>45.45000000000001</v>
      </c>
      <c r="K3217" s="8" t="n"/>
      <c r="L3217" s="8" t="n"/>
      <c r="M3217" s="8" t="n">
        <v>50.25</v>
      </c>
      <c r="N3217" s="8" t="n"/>
      <c r="O3217" s="8" t="n"/>
      <c r="P3217" s="8" t="n">
        <v>48.35</v>
      </c>
      <c r="Q3217" s="8" t="n"/>
      <c r="R3217" s="8" t="n"/>
      <c r="S3217" s="8" t="n"/>
      <c r="T3217" s="7" t="inlineStr">
        <is>
          <t>SEM COTAÇÃO</t>
        </is>
      </c>
      <c r="U3217" s="8" t="n"/>
      <c r="V3217" s="14" t="n"/>
      <c r="W3217" s="14" t="n"/>
      <c r="X3217" s="7" t="inlineStr"/>
      <c r="Y3217" s="7" t="inlineStr">
        <is>
          <t>EPAN: sem estoque; NAZARIA: sem estoque</t>
        </is>
      </c>
    </row>
    <row r="3218">
      <c r="A3218" s="7" t="n">
        <v>290201</v>
      </c>
      <c r="B3218" s="12" t="inlineStr">
        <is>
          <t>7894916510431</t>
        </is>
      </c>
      <c r="C3218" s="7" t="inlineStr">
        <is>
          <t>OLMY HCT 40+25MG CX 10 COMP REV</t>
        </is>
      </c>
      <c r="D3218" s="7" t="inlineStr">
        <is>
          <t>RX</t>
        </is>
      </c>
      <c r="E3218" s="7" t="inlineStr">
        <is>
          <t>C</t>
        </is>
      </c>
      <c r="F3218" s="13" t="n">
        <v>1</v>
      </c>
      <c r="G3218" s="13" t="n">
        <v>1</v>
      </c>
      <c r="H3218" s="8" t="n">
        <v>43.2</v>
      </c>
      <c r="I3218" s="8" t="n">
        <v>43.2</v>
      </c>
      <c r="J3218" s="8" t="n">
        <v>43.20000000000001</v>
      </c>
      <c r="K3218" s="8" t="n"/>
      <c r="L3218" s="8" t="n"/>
      <c r="M3218" s="8" t="n"/>
      <c r="N3218" s="8" t="n"/>
      <c r="O3218" s="8" t="n"/>
      <c r="P3218" s="8" t="n">
        <v>48.91</v>
      </c>
      <c r="Q3218" s="8" t="n"/>
      <c r="R3218" s="8" t="n"/>
      <c r="S3218" s="8" t="n"/>
      <c r="T3218" s="7" t="inlineStr">
        <is>
          <t>SEM COTAÇÃO</t>
        </is>
      </c>
      <c r="U3218" s="8" t="n"/>
      <c r="V3218" s="14" t="n"/>
      <c r="W3218" s="14" t="n"/>
      <c r="X3218" s="7" t="inlineStr"/>
      <c r="Y3218" s="7" t="inlineStr">
        <is>
          <t>NAZARIA: sem estoque</t>
        </is>
      </c>
    </row>
    <row r="3219">
      <c r="A3219" s="7" t="n">
        <v>468981</v>
      </c>
      <c r="B3219" s="12" t="inlineStr">
        <is>
          <t>7895858015824</t>
        </is>
      </c>
      <c r="C3219" s="7" t="inlineStr">
        <is>
          <t>OMCILON A 1,0MG/G PAS BG 10G</t>
        </is>
      </c>
      <c r="D3219" s="7" t="inlineStr">
        <is>
          <t>RX</t>
        </is>
      </c>
      <c r="E3219" s="7" t="inlineStr">
        <is>
          <t>A</t>
        </is>
      </c>
      <c r="F3219" s="13" t="n">
        <v>8</v>
      </c>
      <c r="G3219" s="13" t="n">
        <v>8</v>
      </c>
      <c r="H3219" s="8" t="n">
        <v>18.945</v>
      </c>
      <c r="I3219" s="8" t="n">
        <v>16.8473</v>
      </c>
      <c r="J3219" s="8" t="n">
        <v>18.11743333333333</v>
      </c>
      <c r="K3219" s="8" t="n"/>
      <c r="L3219" s="8" t="n"/>
      <c r="M3219" s="15" t="n">
        <v>18.94</v>
      </c>
      <c r="N3219" s="8" t="n"/>
      <c r="O3219" s="8" t="n"/>
      <c r="P3219" s="8" t="n">
        <v>20.29</v>
      </c>
      <c r="Q3219" s="8" t="n"/>
      <c r="R3219" s="8" t="n"/>
      <c r="S3219" s="8" t="n"/>
      <c r="T3219" s="7" t="inlineStr">
        <is>
          <t>EPAN</t>
        </is>
      </c>
      <c r="U3219" s="8" t="n">
        <v>18.94</v>
      </c>
      <c r="V3219" s="14">
        <f>U3219/J3219-1</f>
        <v/>
      </c>
      <c r="W3219" s="14">
        <f>U3219/H3219-1</f>
        <v/>
      </c>
      <c r="X3219" s="17" t="inlineStr">
        <is>
          <t>OK (≤ últ. compra)</t>
        </is>
      </c>
      <c r="Y3219" s="7" t="inlineStr"/>
    </row>
    <row r="3220">
      <c r="A3220" s="7" t="n">
        <v>627711</v>
      </c>
      <c r="B3220" s="12" t="inlineStr">
        <is>
          <t>7896023799983</t>
        </is>
      </c>
      <c r="C3220" s="7" t="inlineStr">
        <is>
          <t>OMEGA 3 1000MG 60CAP</t>
        </is>
      </c>
      <c r="D3220" s="7" t="inlineStr">
        <is>
          <t>RX - OTC</t>
        </is>
      </c>
      <c r="E3220" s="7" t="inlineStr">
        <is>
          <t>A</t>
        </is>
      </c>
      <c r="F3220" s="13" t="n">
        <v>13</v>
      </c>
      <c r="G3220" s="13" t="n">
        <v>13</v>
      </c>
      <c r="H3220" s="8" t="n">
        <v>32.02</v>
      </c>
      <c r="I3220" s="8" t="n">
        <v>27.45</v>
      </c>
      <c r="J3220" s="8" t="n">
        <v>27.93666666666667</v>
      </c>
      <c r="K3220" s="8" t="n">
        <v>37.44</v>
      </c>
      <c r="L3220" s="8" t="n"/>
      <c r="M3220" s="15" t="n">
        <v>19.03</v>
      </c>
      <c r="N3220" s="8" t="n">
        <v>34.48</v>
      </c>
      <c r="O3220" s="8" t="n"/>
      <c r="P3220" s="8" t="n">
        <v>37.94</v>
      </c>
      <c r="Q3220" s="8" t="n"/>
      <c r="R3220" s="8" t="n"/>
      <c r="S3220" s="8" t="n"/>
      <c r="T3220" s="7" t="inlineStr">
        <is>
          <t>EPAN</t>
        </is>
      </c>
      <c r="U3220" s="8" t="n">
        <v>19.03</v>
      </c>
      <c r="V3220" s="14">
        <f>U3220/J3220-1</f>
        <v/>
      </c>
      <c r="W3220" s="14">
        <f>U3220/H3220-1</f>
        <v/>
      </c>
      <c r="X3220" s="17" t="inlineStr">
        <is>
          <t>OK (≤ menor hist.)</t>
        </is>
      </c>
      <c r="Y3220" s="7" t="inlineStr"/>
    </row>
    <row r="3221">
      <c r="A3221" s="7" t="n">
        <v>653711</v>
      </c>
      <c r="B3221" s="12" t="inlineStr">
        <is>
          <t>7898675805227</t>
        </is>
      </c>
      <c r="C3221" s="7" t="inlineStr">
        <is>
          <t>OMEGA 3 60CAPS EPA+DHA NUTRACEUTICAL</t>
        </is>
      </c>
      <c r="D3221" s="7" t="inlineStr">
        <is>
          <t>VITAMINA E SIMILARES</t>
        </is>
      </c>
      <c r="E3221" s="7" t="inlineStr">
        <is>
          <t>C</t>
        </is>
      </c>
      <c r="F3221" s="13" t="n">
        <v>3</v>
      </c>
      <c r="G3221" s="13" t="n">
        <v>3</v>
      </c>
      <c r="H3221" s="8" t="n">
        <v>20.09</v>
      </c>
      <c r="I3221" s="8" t="n">
        <v>20.09</v>
      </c>
      <c r="J3221" s="8" t="n">
        <v>20.09</v>
      </c>
      <c r="K3221" s="8" t="n"/>
      <c r="L3221" s="8" t="n"/>
      <c r="M3221" s="8" t="n"/>
      <c r="N3221" s="15" t="n">
        <v>30.14</v>
      </c>
      <c r="O3221" s="8" t="n"/>
      <c r="P3221" s="8" t="n"/>
      <c r="Q3221" s="8" t="n"/>
      <c r="R3221" s="8" t="n"/>
      <c r="S3221" s="8" t="n"/>
      <c r="T3221" s="7" t="inlineStr">
        <is>
          <t>CENTROFARMA</t>
        </is>
      </c>
      <c r="U3221" s="8" t="n">
        <v>30.14</v>
      </c>
      <c r="V3221" s="14">
        <f>U3221/J3221-1</f>
        <v/>
      </c>
      <c r="W3221" s="14">
        <f>U3221/H3221-1</f>
        <v/>
      </c>
      <c r="X3221" s="16" t="inlineStr">
        <is>
          <t>ACIMA +50.0%</t>
        </is>
      </c>
      <c r="Y3221" s="7" t="inlineStr"/>
    </row>
    <row r="3222">
      <c r="A3222" s="7" t="n">
        <v>655061</v>
      </c>
      <c r="B3222" s="12" t="inlineStr">
        <is>
          <t>7908475811035</t>
        </is>
      </c>
      <c r="C3222" s="7" t="inlineStr">
        <is>
          <t>OMEGA 3 VEGANO 30CAPS</t>
        </is>
      </c>
      <c r="D3222" s="7" t="inlineStr">
        <is>
          <t>VITAMINA E SIMILARES</t>
        </is>
      </c>
      <c r="E3222" s="7" t="inlineStr">
        <is>
          <t>C</t>
        </is>
      </c>
      <c r="F3222" s="13" t="n">
        <v>1</v>
      </c>
      <c r="G3222" s="13" t="n">
        <v>1</v>
      </c>
      <c r="H3222" s="8" t="n">
        <v>17.72</v>
      </c>
      <c r="I3222" s="8" t="n">
        <v>17.72</v>
      </c>
      <c r="J3222" s="8" t="n">
        <v>17.72</v>
      </c>
      <c r="K3222" s="8" t="n"/>
      <c r="L3222" s="8" t="n"/>
      <c r="M3222" s="8" t="n"/>
      <c r="N3222" s="8" t="n"/>
      <c r="O3222" s="8" t="n"/>
      <c r="P3222" s="8" t="n"/>
      <c r="Q3222" s="8" t="n"/>
      <c r="R3222" s="8" t="n"/>
      <c r="S3222" s="8" t="n"/>
      <c r="T3222" s="7" t="inlineStr">
        <is>
          <t>SEM COTAÇÃO</t>
        </is>
      </c>
      <c r="U3222" s="8" t="n"/>
      <c r="V3222" s="14" t="n"/>
      <c r="W3222" s="14" t="n"/>
      <c r="X3222" s="7" t="inlineStr"/>
      <c r="Y3222" s="7" t="inlineStr"/>
    </row>
    <row r="3223">
      <c r="A3223" s="7" t="n">
        <v>378101</v>
      </c>
      <c r="B3223" s="12" t="inlineStr">
        <is>
          <t>7896523227184</t>
        </is>
      </c>
      <c r="C3223" s="7" t="inlineStr">
        <is>
          <t>OMEPRAZOL 20MG CX 28 CAP LIB RETARD</t>
        </is>
      </c>
      <c r="D3223" s="7" t="inlineStr">
        <is>
          <t>GENERICO</t>
        </is>
      </c>
      <c r="E3223" s="7" t="inlineStr">
        <is>
          <t>A</t>
        </is>
      </c>
      <c r="F3223" s="13" t="n">
        <v>14</v>
      </c>
      <c r="G3223" s="13" t="n">
        <v>14</v>
      </c>
      <c r="H3223" s="8" t="n">
        <v>2.79</v>
      </c>
      <c r="I3223" s="8" t="n">
        <v>2.65</v>
      </c>
      <c r="J3223" s="8" t="n">
        <v>2.686666666666667</v>
      </c>
      <c r="K3223" s="8" t="n"/>
      <c r="L3223" s="8" t="n"/>
      <c r="M3223" s="8" t="n"/>
      <c r="N3223" s="8" t="n"/>
      <c r="O3223" s="8" t="n"/>
      <c r="P3223" s="15" t="n">
        <v>23.13</v>
      </c>
      <c r="Q3223" s="8" t="n"/>
      <c r="R3223" s="8" t="n"/>
      <c r="S3223" s="8" t="n"/>
      <c r="T3223" s="7" t="inlineStr">
        <is>
          <t>NAZARIA</t>
        </is>
      </c>
      <c r="U3223" s="8" t="n">
        <v>23.13</v>
      </c>
      <c r="V3223" s="14">
        <f>U3223/J3223-1</f>
        <v/>
      </c>
      <c r="W3223" s="14">
        <f>U3223/H3223-1</f>
        <v/>
      </c>
      <c r="X3223" s="16" t="inlineStr">
        <is>
          <t>ACIMA +729.0%</t>
        </is>
      </c>
      <c r="Y3223" s="7" t="inlineStr">
        <is>
          <t>NAZARIA: conferir emb.</t>
        </is>
      </c>
    </row>
    <row r="3224">
      <c r="A3224" s="7" t="n">
        <v>378121</v>
      </c>
      <c r="B3224" s="12" t="inlineStr">
        <is>
          <t>7896523227191</t>
        </is>
      </c>
      <c r="C3224" s="7" t="inlineStr">
        <is>
          <t>OMEPRAZOL 20MG CX 56 CAP LIB RETARD</t>
        </is>
      </c>
      <c r="D3224" s="7" t="inlineStr">
        <is>
          <t>GENERICO</t>
        </is>
      </c>
      <c r="E3224" s="7" t="inlineStr">
        <is>
          <t>A</t>
        </is>
      </c>
      <c r="F3224" s="13" t="n">
        <v>8</v>
      </c>
      <c r="G3224" s="13" t="n">
        <v>8</v>
      </c>
      <c r="H3224" s="8" t="n">
        <v>4.95</v>
      </c>
      <c r="I3224" s="8" t="n">
        <v>3.94</v>
      </c>
      <c r="J3224" s="8" t="n">
        <v>4.276666666666666</v>
      </c>
      <c r="K3224" s="8" t="n"/>
      <c r="L3224" s="8" t="n"/>
      <c r="M3224" s="8" t="n"/>
      <c r="N3224" s="8" t="n"/>
      <c r="O3224" s="8" t="n"/>
      <c r="P3224" s="15" t="n">
        <v>21.22</v>
      </c>
      <c r="Q3224" s="8" t="n"/>
      <c r="R3224" s="8" t="n"/>
      <c r="S3224" s="8" t="n"/>
      <c r="T3224" s="7" t="inlineStr">
        <is>
          <t>NAZARIA</t>
        </is>
      </c>
      <c r="U3224" s="8" t="n">
        <v>21.22</v>
      </c>
      <c r="V3224" s="14">
        <f>U3224/J3224-1</f>
        <v/>
      </c>
      <c r="W3224" s="14">
        <f>U3224/H3224-1</f>
        <v/>
      </c>
      <c r="X3224" s="16" t="inlineStr">
        <is>
          <t>ACIMA +328.7%</t>
        </is>
      </c>
      <c r="Y3224" s="7" t="inlineStr">
        <is>
          <t>NAZARIA: conferir emb.</t>
        </is>
      </c>
    </row>
    <row r="3225">
      <c r="A3225" s="7" t="n">
        <v>564781</v>
      </c>
      <c r="B3225" s="12" t="inlineStr"/>
      <c r="C3225" s="7" t="inlineStr">
        <is>
          <t>OMOPREL 40MG C/28 COMP</t>
        </is>
      </c>
      <c r="D3225" s="7" t="inlineStr">
        <is>
          <t>SIMILAR</t>
        </is>
      </c>
      <c r="E3225" s="7" t="inlineStr">
        <is>
          <t>A</t>
        </is>
      </c>
      <c r="F3225" s="13" t="n">
        <v>30</v>
      </c>
      <c r="G3225" s="13" t="n">
        <v>30</v>
      </c>
      <c r="H3225" s="8" t="n">
        <v>9.619999999999999</v>
      </c>
      <c r="I3225" s="8" t="n">
        <v>5.69</v>
      </c>
      <c r="J3225" s="8" t="n">
        <v>8.31</v>
      </c>
      <c r="K3225" s="8" t="n"/>
      <c r="L3225" s="8" t="n"/>
      <c r="M3225" s="8" t="n"/>
      <c r="N3225" s="8" t="n"/>
      <c r="O3225" s="8" t="n"/>
      <c r="P3225" s="8" t="n"/>
      <c r="Q3225" s="8" t="n"/>
      <c r="R3225" s="8" t="n"/>
      <c r="S3225" s="8" t="n"/>
      <c r="T3225" s="7" t="inlineStr">
        <is>
          <t>SEM COTAÇÃO</t>
        </is>
      </c>
      <c r="U3225" s="8" t="n"/>
      <c r="V3225" s="14" t="n"/>
      <c r="W3225" s="14" t="n"/>
      <c r="X3225" s="7" t="inlineStr"/>
      <c r="Y3225" s="7" t="inlineStr"/>
    </row>
    <row r="3226">
      <c r="A3226" s="7" t="n">
        <v>378201</v>
      </c>
      <c r="B3226" s="12" t="inlineStr">
        <is>
          <t>7897917003285</t>
        </is>
      </c>
      <c r="C3226" s="7" t="inlineStr">
        <is>
          <t>OMOPREL 40MG CX 56 CAP</t>
        </is>
      </c>
      <c r="D3226" s="7" t="inlineStr">
        <is>
          <t>SIMILAR</t>
        </is>
      </c>
      <c r="E3226" s="7" t="inlineStr">
        <is>
          <t>A</t>
        </is>
      </c>
      <c r="F3226" s="13" t="n">
        <v>8</v>
      </c>
      <c r="G3226" s="13" t="n">
        <v>8</v>
      </c>
      <c r="H3226" s="8" t="n">
        <v>9.09</v>
      </c>
      <c r="I3226" s="8" t="n">
        <v>9.09</v>
      </c>
      <c r="J3226" s="8" t="n">
        <v>9.09</v>
      </c>
      <c r="K3226" s="8" t="n"/>
      <c r="L3226" s="8" t="n"/>
      <c r="M3226" s="8" t="n"/>
      <c r="N3226" s="15" t="n">
        <v>15.01</v>
      </c>
      <c r="O3226" s="8" t="n"/>
      <c r="P3226" s="8" t="n"/>
      <c r="Q3226" s="8" t="n"/>
      <c r="R3226" s="8" t="n"/>
      <c r="S3226" s="8" t="n"/>
      <c r="T3226" s="7" t="inlineStr">
        <is>
          <t>CENTROFARMA</t>
        </is>
      </c>
      <c r="U3226" s="8" t="n">
        <v>15.01</v>
      </c>
      <c r="V3226" s="14">
        <f>U3226/J3226-1</f>
        <v/>
      </c>
      <c r="W3226" s="14">
        <f>U3226/H3226-1</f>
        <v/>
      </c>
      <c r="X3226" s="16" t="inlineStr">
        <is>
          <t>ACIMA +65.1%</t>
        </is>
      </c>
      <c r="Y3226" s="7" t="inlineStr"/>
    </row>
    <row r="3227">
      <c r="A3227" s="7" t="n">
        <v>609511</v>
      </c>
      <c r="B3227" s="12" t="inlineStr">
        <is>
          <t>7897316806388</t>
        </is>
      </c>
      <c r="C3227" s="7" t="inlineStr">
        <is>
          <t>OPTIVE FR 15ML</t>
        </is>
      </c>
      <c r="D3227" s="7" t="inlineStr">
        <is>
          <t>RX - OTC</t>
        </is>
      </c>
      <c r="E3227" s="7" t="inlineStr">
        <is>
          <t>B</t>
        </is>
      </c>
      <c r="F3227" s="13" t="n">
        <v>1</v>
      </c>
      <c r="G3227" s="13" t="n">
        <v>1</v>
      </c>
      <c r="H3227" s="8" t="n">
        <v>81.22</v>
      </c>
      <c r="I3227" s="8" t="n">
        <v>73.28</v>
      </c>
      <c r="J3227" s="8" t="n">
        <v>78.57333333333334</v>
      </c>
      <c r="K3227" s="8" t="n"/>
      <c r="L3227" s="8" t="n"/>
      <c r="M3227" s="8" t="n">
        <v>67.69</v>
      </c>
      <c r="N3227" s="8" t="n"/>
      <c r="O3227" s="8" t="n"/>
      <c r="P3227" s="15" t="n">
        <v>65.136</v>
      </c>
      <c r="Q3227" s="8" t="n"/>
      <c r="R3227" s="8" t="n"/>
      <c r="S3227" s="8" t="n"/>
      <c r="T3227" s="7" t="inlineStr">
        <is>
          <t>NAZARIA</t>
        </is>
      </c>
      <c r="U3227" s="8" t="n">
        <v>65.136</v>
      </c>
      <c r="V3227" s="14">
        <f>U3227/J3227-1</f>
        <v/>
      </c>
      <c r="W3227" s="14">
        <f>U3227/H3227-1</f>
        <v/>
      </c>
      <c r="X3227" s="17" t="inlineStr">
        <is>
          <t>OK (≤ menor hist.)</t>
        </is>
      </c>
      <c r="Y3227" s="7" t="inlineStr"/>
    </row>
    <row r="3228">
      <c r="A3228" s="7" t="n">
        <v>655011</v>
      </c>
      <c r="B3228" s="12" t="inlineStr">
        <is>
          <t>7908475811387</t>
        </is>
      </c>
      <c r="C3228" s="7" t="inlineStr">
        <is>
          <t>ORA-PRO-NÓBIS (ABACAXI COM HORTELÃ) 150G</t>
        </is>
      </c>
      <c r="D3228" s="7" t="inlineStr">
        <is>
          <t>DESATIVADO</t>
        </is>
      </c>
      <c r="E3228" s="7" t="inlineStr">
        <is>
          <t>C</t>
        </is>
      </c>
      <c r="F3228" s="13" t="n">
        <v>1</v>
      </c>
      <c r="G3228" s="13" t="n">
        <v>1</v>
      </c>
      <c r="H3228" s="8" t="n">
        <v>29.95</v>
      </c>
      <c r="I3228" s="8" t="n">
        <v>29.95</v>
      </c>
      <c r="J3228" s="8" t="n">
        <v>29.95</v>
      </c>
      <c r="K3228" s="8" t="n"/>
      <c r="L3228" s="8" t="n"/>
      <c r="M3228" s="8" t="n"/>
      <c r="N3228" s="8" t="n"/>
      <c r="O3228" s="8" t="n"/>
      <c r="P3228" s="8" t="n"/>
      <c r="Q3228" s="8" t="n"/>
      <c r="R3228" s="8" t="n"/>
      <c r="S3228" s="8" t="n"/>
      <c r="T3228" s="7" t="inlineStr">
        <is>
          <t>SEM COTAÇÃO</t>
        </is>
      </c>
      <c r="U3228" s="8" t="n"/>
      <c r="V3228" s="14" t="n"/>
      <c r="W3228" s="14" t="n"/>
      <c r="X3228" s="7" t="inlineStr"/>
      <c r="Y3228" s="7" t="inlineStr"/>
    </row>
    <row r="3229">
      <c r="A3229" s="7" t="n">
        <v>655021</v>
      </c>
      <c r="B3229" s="12" t="inlineStr">
        <is>
          <t>7908475810168</t>
        </is>
      </c>
      <c r="C3229" s="7" t="inlineStr">
        <is>
          <t>ORA-PRO-NÓBIS 150G</t>
        </is>
      </c>
      <c r="D3229" s="7" t="inlineStr">
        <is>
          <t>DESATIVADO</t>
        </is>
      </c>
      <c r="E3229" s="7" t="inlineStr">
        <is>
          <t>C</t>
        </is>
      </c>
      <c r="F3229" s="13" t="n">
        <v>1</v>
      </c>
      <c r="G3229" s="13" t="n">
        <v>1</v>
      </c>
      <c r="H3229" s="8" t="n">
        <v>29.95</v>
      </c>
      <c r="I3229" s="8" t="n">
        <v>29.95</v>
      </c>
      <c r="J3229" s="8" t="n">
        <v>29.95</v>
      </c>
      <c r="K3229" s="8" t="n"/>
      <c r="L3229" s="8" t="n"/>
      <c r="M3229" s="8" t="n"/>
      <c r="N3229" s="8" t="n"/>
      <c r="O3229" s="8" t="n"/>
      <c r="P3229" s="8" t="n"/>
      <c r="Q3229" s="8" t="n"/>
      <c r="R3229" s="8" t="n"/>
      <c r="S3229" s="8" t="n"/>
      <c r="T3229" s="7" t="inlineStr">
        <is>
          <t>SEM COTAÇÃO</t>
        </is>
      </c>
      <c r="U3229" s="8" t="n"/>
      <c r="V3229" s="14" t="n"/>
      <c r="W3229" s="14" t="n"/>
      <c r="X3229" s="7" t="inlineStr"/>
      <c r="Y3229" s="7" t="inlineStr"/>
    </row>
    <row r="3230">
      <c r="A3230" s="7" t="n">
        <v>575561</v>
      </c>
      <c r="B3230" s="12" t="inlineStr">
        <is>
          <t>7896085867729</t>
        </is>
      </c>
      <c r="C3230" s="7" t="inlineStr">
        <is>
          <t>ORIGEM KIT SELAGEM REDUTORA LOIRO</t>
        </is>
      </c>
      <c r="D3230" s="7" t="inlineStr">
        <is>
          <t>PERF/COSME</t>
        </is>
      </c>
      <c r="E3230" s="7" t="inlineStr">
        <is>
          <t>C</t>
        </is>
      </c>
      <c r="F3230" s="13" t="n">
        <v>1</v>
      </c>
      <c r="G3230" s="13" t="n">
        <v>1</v>
      </c>
      <c r="H3230" s="8" t="n">
        <v>22.91</v>
      </c>
      <c r="I3230" s="8" t="n">
        <v>22.91</v>
      </c>
      <c r="J3230" s="8" t="n">
        <v>22.91</v>
      </c>
      <c r="K3230" s="8" t="n"/>
      <c r="L3230" s="8" t="n"/>
      <c r="M3230" s="8" t="n"/>
      <c r="N3230" s="8" t="n"/>
      <c r="O3230" s="8" t="n"/>
      <c r="P3230" s="8" t="n"/>
      <c r="Q3230" s="8" t="n"/>
      <c r="R3230" s="8" t="n"/>
      <c r="S3230" s="8" t="n"/>
      <c r="T3230" s="7" t="inlineStr">
        <is>
          <t>SEM COTAÇÃO</t>
        </is>
      </c>
      <c r="U3230" s="8" t="n"/>
      <c r="V3230" s="14" t="n"/>
      <c r="W3230" s="14" t="n"/>
      <c r="X3230" s="7" t="inlineStr"/>
      <c r="Y3230" s="7" t="inlineStr"/>
    </row>
    <row r="3231">
      <c r="A3231" s="7" t="n">
        <v>179961</v>
      </c>
      <c r="B3231" s="12" t="inlineStr">
        <is>
          <t>7898040321390</t>
        </is>
      </c>
      <c r="C3231" s="7" t="inlineStr">
        <is>
          <t>OTO BETNOVATE 1+10+5MG/ML SOL OTO FR GTS 10ML</t>
        </is>
      </c>
      <c r="D3231" s="7" t="inlineStr">
        <is>
          <t>RX</t>
        </is>
      </c>
      <c r="E3231" s="7" t="inlineStr">
        <is>
          <t>B</t>
        </is>
      </c>
      <c r="F3231" s="13" t="n">
        <v>1</v>
      </c>
      <c r="G3231" s="13" t="n">
        <v>1</v>
      </c>
      <c r="H3231" s="8" t="n">
        <v>27</v>
      </c>
      <c r="I3231" s="8" t="n">
        <v>24.82</v>
      </c>
      <c r="J3231" s="8" t="n">
        <v>25.91556666666667</v>
      </c>
      <c r="K3231" s="8" t="n"/>
      <c r="L3231" s="8" t="n"/>
      <c r="M3231" s="8" t="n"/>
      <c r="N3231" s="8" t="n"/>
      <c r="O3231" s="15" t="n">
        <v>27</v>
      </c>
      <c r="P3231" s="8" t="n">
        <v>27.3734</v>
      </c>
      <c r="Q3231" s="8" t="n"/>
      <c r="R3231" s="8" t="n"/>
      <c r="S3231" s="8" t="n"/>
      <c r="T3231" s="7" t="inlineStr">
        <is>
          <t>TAPAJOS</t>
        </is>
      </c>
      <c r="U3231" s="8" t="n">
        <v>27</v>
      </c>
      <c r="V3231" s="14">
        <f>U3231/J3231-1</f>
        <v/>
      </c>
      <c r="W3231" s="14">
        <f>U3231/H3231-1</f>
        <v/>
      </c>
      <c r="X3231" s="17" t="inlineStr">
        <is>
          <t>OK (≤ últ. compra)</t>
        </is>
      </c>
      <c r="Y3231" s="7" t="inlineStr"/>
    </row>
    <row r="3232">
      <c r="A3232" s="7" t="n">
        <v>321581</v>
      </c>
      <c r="B3232" s="12" t="inlineStr"/>
      <c r="C3232" s="7" t="inlineStr">
        <is>
          <t>OTO-XILODASE SOL OTO FR 8ML+AMP</t>
        </is>
      </c>
      <c r="D3232" s="7" t="inlineStr">
        <is>
          <t>RX - OTC</t>
        </is>
      </c>
      <c r="E3232" s="7" t="inlineStr">
        <is>
          <t>A</t>
        </is>
      </c>
      <c r="F3232" s="13" t="n">
        <v>25</v>
      </c>
      <c r="G3232" s="13" t="n">
        <v>25</v>
      </c>
      <c r="H3232" s="8" t="n">
        <v>19.83</v>
      </c>
      <c r="I3232" s="8" t="n">
        <v>19.515</v>
      </c>
      <c r="J3232" s="8" t="n">
        <v>19.62</v>
      </c>
      <c r="K3232" s="8" t="n"/>
      <c r="L3232" s="8" t="n"/>
      <c r="M3232" s="8" t="n"/>
      <c r="N3232" s="8" t="n"/>
      <c r="O3232" s="8" t="n"/>
      <c r="P3232" s="8" t="n"/>
      <c r="Q3232" s="8" t="n"/>
      <c r="R3232" s="8" t="n"/>
      <c r="S3232" s="8" t="n"/>
      <c r="T3232" s="7" t="inlineStr">
        <is>
          <t>SEM COTAÇÃO</t>
        </is>
      </c>
      <c r="U3232" s="8" t="n"/>
      <c r="V3232" s="14" t="n"/>
      <c r="W3232" s="14" t="n"/>
      <c r="X3232" s="7" t="inlineStr"/>
      <c r="Y3232" s="7" t="inlineStr"/>
    </row>
    <row r="3233">
      <c r="A3233" s="7" t="n">
        <v>452561</v>
      </c>
      <c r="B3233" s="12" t="inlineStr">
        <is>
          <t>7898040320942</t>
        </is>
      </c>
      <c r="C3233" s="7" t="inlineStr">
        <is>
          <t>OTOSPORIN SOL OTO FR GTS 10ML</t>
        </is>
      </c>
      <c r="D3233" s="7" t="inlineStr">
        <is>
          <t>RX - REFERENCIA - ATB</t>
        </is>
      </c>
      <c r="E3233" s="7" t="inlineStr">
        <is>
          <t>C</t>
        </is>
      </c>
      <c r="F3233" s="13" t="n">
        <v>4</v>
      </c>
      <c r="G3233" s="13" t="n">
        <v>4</v>
      </c>
      <c r="H3233" s="8" t="n">
        <v>11.99</v>
      </c>
      <c r="I3233" s="8" t="n">
        <v>11.9875</v>
      </c>
      <c r="J3233" s="8" t="n">
        <v>11.9875</v>
      </c>
      <c r="K3233" s="8" t="n"/>
      <c r="L3233" s="8" t="n"/>
      <c r="M3233" s="8" t="n"/>
      <c r="N3233" s="8" t="n"/>
      <c r="O3233" s="15" t="n">
        <v>13.04</v>
      </c>
      <c r="P3233" s="8" t="n">
        <v>13.2211</v>
      </c>
      <c r="Q3233" s="8" t="n"/>
      <c r="R3233" s="8" t="n"/>
      <c r="S3233" s="8" t="n"/>
      <c r="T3233" s="7" t="inlineStr">
        <is>
          <t>TAPAJOS</t>
        </is>
      </c>
      <c r="U3233" s="8" t="n">
        <v>13.04</v>
      </c>
      <c r="V3233" s="14">
        <f>U3233/J3233-1</f>
        <v/>
      </c>
      <c r="W3233" s="14">
        <f>U3233/H3233-1</f>
        <v/>
      </c>
      <c r="X3233" s="16" t="inlineStr">
        <is>
          <t>ACIMA +8.8%</t>
        </is>
      </c>
      <c r="Y3233" s="7" t="inlineStr"/>
    </row>
    <row r="3234">
      <c r="A3234" s="7" t="n">
        <v>1833</v>
      </c>
      <c r="B3234" s="12" t="inlineStr">
        <is>
          <t>7898591451591</t>
        </is>
      </c>
      <c r="C3234" s="7" t="inlineStr">
        <is>
          <t>OVOS FRITOS 90G</t>
        </is>
      </c>
      <c r="D3234" s="7" t="inlineStr">
        <is>
          <t>CONVENIENCIA</t>
        </is>
      </c>
      <c r="E3234" s="7" t="inlineStr">
        <is>
          <t>C</t>
        </is>
      </c>
      <c r="F3234" s="13" t="n">
        <v>2</v>
      </c>
      <c r="G3234" s="13" t="n">
        <v>2</v>
      </c>
      <c r="H3234" s="8" t="n">
        <v>5.97</v>
      </c>
      <c r="I3234" s="8" t="n">
        <v>5.97</v>
      </c>
      <c r="J3234" s="8" t="n">
        <v>5.97</v>
      </c>
      <c r="K3234" s="8" t="n"/>
      <c r="L3234" s="8" t="n"/>
      <c r="M3234" s="8" t="n"/>
      <c r="N3234" s="8" t="n"/>
      <c r="O3234" s="8" t="n"/>
      <c r="P3234" s="8" t="n"/>
      <c r="Q3234" s="8" t="n"/>
      <c r="R3234" s="8" t="n"/>
      <c r="S3234" s="8" t="n"/>
      <c r="T3234" s="7" t="inlineStr">
        <is>
          <t>SEM COTAÇÃO</t>
        </is>
      </c>
      <c r="U3234" s="8" t="n"/>
      <c r="V3234" s="14" t="n"/>
      <c r="W3234" s="14" t="n"/>
      <c r="X3234" s="7" t="inlineStr"/>
      <c r="Y3234" s="7" t="inlineStr"/>
    </row>
    <row r="3235">
      <c r="A3235" s="7" t="n">
        <v>666771</v>
      </c>
      <c r="B3235" s="12" t="inlineStr">
        <is>
          <t>7891058002428</t>
        </is>
      </c>
      <c r="C3235" s="7" t="inlineStr">
        <is>
          <t>OXALATO DE ESCITALOPRAM 10MG CX 60 COMP REV</t>
        </is>
      </c>
      <c r="D3235" s="7" t="inlineStr">
        <is>
          <t>GENERICO - CONTROLE</t>
        </is>
      </c>
      <c r="E3235" s="7" t="inlineStr">
        <is>
          <t>C</t>
        </is>
      </c>
      <c r="F3235" s="13" t="n">
        <v>1</v>
      </c>
      <c r="G3235" s="13" t="n">
        <v>1</v>
      </c>
      <c r="H3235" s="8" t="n">
        <v>16.19</v>
      </c>
      <c r="I3235" s="8" t="n">
        <v>11.4133</v>
      </c>
      <c r="J3235" s="8" t="n">
        <v>14.59776666666667</v>
      </c>
      <c r="K3235" s="8" t="n"/>
      <c r="L3235" s="8" t="n"/>
      <c r="M3235" s="8" t="n"/>
      <c r="N3235" s="8" t="n"/>
      <c r="O3235" s="8" t="n"/>
      <c r="P3235" s="15" t="n">
        <v>44.380476</v>
      </c>
      <c r="Q3235" s="8" t="n"/>
      <c r="R3235" s="8" t="n"/>
      <c r="S3235" s="8" t="n"/>
      <c r="T3235" s="7" t="inlineStr">
        <is>
          <t>NAZARIA</t>
        </is>
      </c>
      <c r="U3235" s="8" t="n">
        <v>44.380476</v>
      </c>
      <c r="V3235" s="14">
        <f>U3235/J3235-1</f>
        <v/>
      </c>
      <c r="W3235" s="14">
        <f>U3235/H3235-1</f>
        <v/>
      </c>
      <c r="X3235" s="16" t="inlineStr">
        <is>
          <t>ACIMA +174.1%</t>
        </is>
      </c>
      <c r="Y3235" s="7" t="inlineStr">
        <is>
          <t>NAZARIA: conferir emb.</t>
        </is>
      </c>
    </row>
    <row r="3236">
      <c r="A3236" s="7" t="n">
        <v>653701</v>
      </c>
      <c r="B3236" s="12" t="inlineStr">
        <is>
          <t>7898639690999</t>
        </is>
      </c>
      <c r="C3236" s="7" t="inlineStr">
        <is>
          <t>OXIMETRO DE DEDO LED OXILED1</t>
        </is>
      </c>
      <c r="D3236" s="7" t="inlineStr">
        <is>
          <t>RX - OTC</t>
        </is>
      </c>
      <c r="E3236" s="7" t="inlineStr">
        <is>
          <t>A</t>
        </is>
      </c>
      <c r="F3236" s="13" t="n">
        <v>1</v>
      </c>
      <c r="G3236" s="13" t="n">
        <v>1</v>
      </c>
      <c r="H3236" s="8" t="n">
        <v>72.55</v>
      </c>
      <c r="I3236" s="8" t="n">
        <v>71.25</v>
      </c>
      <c r="J3236" s="8" t="n">
        <v>71.85833333333333</v>
      </c>
      <c r="K3236" s="15" t="n">
        <v>78.61</v>
      </c>
      <c r="L3236" s="8" t="n"/>
      <c r="M3236" s="8" t="n"/>
      <c r="N3236" s="8" t="n">
        <v>78.81</v>
      </c>
      <c r="O3236" s="8" t="n"/>
      <c r="P3236" s="8" t="n"/>
      <c r="Q3236" s="8" t="n"/>
      <c r="R3236" s="8" t="n"/>
      <c r="S3236" s="8" t="n"/>
      <c r="T3236" s="7" t="inlineStr">
        <is>
          <t>DIMEC</t>
        </is>
      </c>
      <c r="U3236" s="8" t="n">
        <v>78.61</v>
      </c>
      <c r="V3236" s="14">
        <f>U3236/J3236-1</f>
        <v/>
      </c>
      <c r="W3236" s="14">
        <f>U3236/H3236-1</f>
        <v/>
      </c>
      <c r="X3236" s="16" t="inlineStr">
        <is>
          <t>ACIMA +8.4%</t>
        </is>
      </c>
      <c r="Y3236" s="7" t="inlineStr"/>
    </row>
    <row r="3237">
      <c r="A3237" s="7" t="n">
        <v>3253</v>
      </c>
      <c r="B3237" s="12" t="inlineStr">
        <is>
          <t>752785110244</t>
        </is>
      </c>
      <c r="C3237" s="7" t="inlineStr">
        <is>
          <t>OXIMETRO DE PULSO PARA DEDO MEDICLINI</t>
        </is>
      </c>
      <c r="D3237" s="7" t="inlineStr">
        <is>
          <t>UTENSILIOS</t>
        </is>
      </c>
      <c r="E3237" s="7" t="inlineStr">
        <is>
          <t>C</t>
        </is>
      </c>
      <c r="F3237" s="13" t="n">
        <v>1</v>
      </c>
      <c r="G3237" s="13" t="n">
        <v>1</v>
      </c>
      <c r="H3237" s="8" t="n">
        <v>77.62</v>
      </c>
      <c r="I3237" s="8" t="n">
        <v>77.62</v>
      </c>
      <c r="J3237" s="8" t="n">
        <v>77.62</v>
      </c>
      <c r="K3237" s="8" t="n"/>
      <c r="L3237" s="8" t="n"/>
      <c r="M3237" s="8" t="n"/>
      <c r="N3237" s="8" t="n"/>
      <c r="O3237" s="8" t="n"/>
      <c r="P3237" s="8" t="n"/>
      <c r="Q3237" s="8" t="n"/>
      <c r="R3237" s="8" t="n"/>
      <c r="S3237" s="8" t="n"/>
      <c r="T3237" s="7" t="inlineStr">
        <is>
          <t>SEM COTAÇÃO</t>
        </is>
      </c>
      <c r="U3237" s="8" t="n"/>
      <c r="V3237" s="14" t="n"/>
      <c r="W3237" s="14" t="n"/>
      <c r="X3237" s="7" t="inlineStr"/>
      <c r="Y3237" s="7" t="inlineStr"/>
    </row>
    <row r="3238">
      <c r="A3238" s="7" t="n">
        <v>675081</v>
      </c>
      <c r="B3238" s="12" t="inlineStr">
        <is>
          <t>7898212286717</t>
        </is>
      </c>
      <c r="C3238" s="7" t="inlineStr">
        <is>
          <t>PA1525|DBELLA CERA CONFETE NEGRA 250G</t>
        </is>
      </c>
      <c r="D3238" s="7" t="inlineStr">
        <is>
          <t>PERF/COSME</t>
        </is>
      </c>
      <c r="E3238" s="7" t="inlineStr">
        <is>
          <t>B</t>
        </is>
      </c>
      <c r="F3238" s="13" t="n">
        <v>3</v>
      </c>
      <c r="G3238" s="13" t="n">
        <v>3</v>
      </c>
      <c r="H3238" s="8" t="n">
        <v>11.1925</v>
      </c>
      <c r="I3238" s="8" t="n">
        <v>11.1925</v>
      </c>
      <c r="J3238" s="8" t="n">
        <v>11.1925</v>
      </c>
      <c r="K3238" s="8" t="n"/>
      <c r="L3238" s="8" t="n"/>
      <c r="M3238" s="8" t="n"/>
      <c r="N3238" s="8" t="n"/>
      <c r="O3238" s="8" t="n"/>
      <c r="P3238" s="8" t="n"/>
      <c r="Q3238" s="8" t="n"/>
      <c r="R3238" s="8" t="n"/>
      <c r="S3238" s="8" t="n"/>
      <c r="T3238" s="7" t="inlineStr">
        <is>
          <t>SEM COTAÇÃO</t>
        </is>
      </c>
      <c r="U3238" s="8" t="n"/>
      <c r="V3238" s="14" t="n"/>
      <c r="W3238" s="14" t="n"/>
      <c r="X3238" s="7" t="inlineStr"/>
      <c r="Y3238" s="7" t="inlineStr"/>
    </row>
    <row r="3239">
      <c r="A3239" s="7" t="n">
        <v>674961</v>
      </c>
      <c r="B3239" s="12" t="inlineStr">
        <is>
          <t>7898212287592</t>
        </is>
      </c>
      <c r="C3239" s="7" t="inlineStr">
        <is>
          <t>PA1594|DBELLA CERA HIDRO. PINK PITAYA 600G</t>
        </is>
      </c>
      <c r="D3239" s="7" t="inlineStr">
        <is>
          <t>PERF/COSME</t>
        </is>
      </c>
      <c r="E3239" s="7" t="inlineStr">
        <is>
          <t>A</t>
        </is>
      </c>
      <c r="F3239" s="13" t="n">
        <v>11</v>
      </c>
      <c r="G3239" s="13" t="n">
        <v>11</v>
      </c>
      <c r="H3239" s="8" t="n">
        <v>12.9008</v>
      </c>
      <c r="I3239" s="8" t="n">
        <v>12.9008</v>
      </c>
      <c r="J3239" s="8" t="n">
        <v>12.9008</v>
      </c>
      <c r="K3239" s="8" t="n"/>
      <c r="L3239" s="8" t="n"/>
      <c r="M3239" s="8" t="n"/>
      <c r="N3239" s="8" t="n"/>
      <c r="O3239" s="8" t="n"/>
      <c r="P3239" s="8" t="n"/>
      <c r="Q3239" s="8" t="n"/>
      <c r="R3239" s="8" t="n"/>
      <c r="S3239" s="8" t="n"/>
      <c r="T3239" s="7" t="inlineStr">
        <is>
          <t>SEM COTAÇÃO</t>
        </is>
      </c>
      <c r="U3239" s="8" t="n"/>
      <c r="V3239" s="14" t="n"/>
      <c r="W3239" s="14" t="n"/>
      <c r="X3239" s="7" t="inlineStr"/>
      <c r="Y3239" s="7" t="inlineStr"/>
    </row>
    <row r="3240">
      <c r="A3240" s="7" t="n">
        <v>398941</v>
      </c>
      <c r="B3240" s="12" t="inlineStr">
        <is>
          <t>7891317000035</t>
        </is>
      </c>
      <c r="C3240" s="7" t="inlineStr">
        <is>
          <t>PACO 500MG+30MG CX 12 COMP</t>
        </is>
      </c>
      <c r="D3240" s="7" t="inlineStr">
        <is>
          <t>RX - SIMILAR - CONTROLE</t>
        </is>
      </c>
      <c r="E3240" s="7" t="inlineStr">
        <is>
          <t>A</t>
        </is>
      </c>
      <c r="F3240" s="13" t="n">
        <v>9</v>
      </c>
      <c r="G3240" s="13" t="n">
        <v>9</v>
      </c>
      <c r="H3240" s="8" t="n">
        <v>31.99</v>
      </c>
      <c r="I3240" s="8" t="n">
        <v>23.0125</v>
      </c>
      <c r="J3240" s="8" t="n">
        <v>23.99936666666666</v>
      </c>
      <c r="K3240" s="8" t="n"/>
      <c r="L3240" s="8" t="n"/>
      <c r="M3240" s="8" t="n"/>
      <c r="N3240" s="8" t="n"/>
      <c r="O3240" s="15" t="n">
        <v>24.95</v>
      </c>
      <c r="P3240" s="8" t="n">
        <v>26.0092</v>
      </c>
      <c r="Q3240" s="8" t="n"/>
      <c r="R3240" s="8" t="n"/>
      <c r="S3240" s="8" t="n"/>
      <c r="T3240" s="7" t="inlineStr">
        <is>
          <t>TAPAJOS</t>
        </is>
      </c>
      <c r="U3240" s="8" t="n">
        <v>24.95</v>
      </c>
      <c r="V3240" s="14">
        <f>U3240/J3240-1</f>
        <v/>
      </c>
      <c r="W3240" s="14">
        <f>U3240/H3240-1</f>
        <v/>
      </c>
      <c r="X3240" s="17" t="inlineStr">
        <is>
          <t>OK (≤ últ. compra)</t>
        </is>
      </c>
      <c r="Y3240" s="7" t="inlineStr"/>
    </row>
    <row r="3241">
      <c r="A3241" s="7" t="n">
        <v>398921</v>
      </c>
      <c r="B3241" s="12" t="inlineStr">
        <is>
          <t>7891317000042</t>
        </is>
      </c>
      <c r="C3241" s="7" t="inlineStr">
        <is>
          <t>PACO 500MG+30MG CX 24 COMP</t>
        </is>
      </c>
      <c r="D3241" s="7" t="inlineStr">
        <is>
          <t>RX - SIMILAR - CONTROLE</t>
        </is>
      </c>
      <c r="E3241" s="7" t="inlineStr">
        <is>
          <t>A</t>
        </is>
      </c>
      <c r="F3241" s="13" t="n">
        <v>1</v>
      </c>
      <c r="G3241" s="13" t="n">
        <v>1</v>
      </c>
      <c r="H3241" s="8" t="n">
        <v>46.6</v>
      </c>
      <c r="I3241" s="8" t="n">
        <v>41.795</v>
      </c>
      <c r="J3241" s="8" t="n">
        <v>44.73</v>
      </c>
      <c r="K3241" s="8" t="n"/>
      <c r="L3241" s="8" t="n"/>
      <c r="M3241" s="8" t="n"/>
      <c r="N3241" s="8" t="n"/>
      <c r="O3241" s="15" t="n">
        <v>45.32</v>
      </c>
      <c r="P3241" s="8" t="n">
        <v>47.2556</v>
      </c>
      <c r="Q3241" s="8" t="n"/>
      <c r="R3241" s="8" t="n"/>
      <c r="S3241" s="8" t="n"/>
      <c r="T3241" s="7" t="inlineStr">
        <is>
          <t>TAPAJOS</t>
        </is>
      </c>
      <c r="U3241" s="8" t="n">
        <v>45.32</v>
      </c>
      <c r="V3241" s="14">
        <f>U3241/J3241-1</f>
        <v/>
      </c>
      <c r="W3241" s="14">
        <f>U3241/H3241-1</f>
        <v/>
      </c>
      <c r="X3241" s="17" t="inlineStr">
        <is>
          <t>OK (≤ últ. compra)</t>
        </is>
      </c>
      <c r="Y3241" s="7" t="inlineStr"/>
    </row>
    <row r="3242">
      <c r="A3242" s="7" t="n">
        <v>644501</v>
      </c>
      <c r="B3242" s="12" t="inlineStr">
        <is>
          <t>7891033519378</t>
        </is>
      </c>
      <c r="C3242" s="7" t="inlineStr">
        <is>
          <t>PAMPERS LOC HID CPO BABYTOPIA GIRA 200ML</t>
        </is>
      </c>
      <c r="D3242" s="7" t="inlineStr">
        <is>
          <t>BABY/KIDS</t>
        </is>
      </c>
      <c r="E3242" s="7" t="inlineStr">
        <is>
          <t>C</t>
        </is>
      </c>
      <c r="F3242" s="13" t="n">
        <v>1</v>
      </c>
      <c r="G3242" s="13" t="n">
        <v>1</v>
      </c>
      <c r="H3242" s="8" t="n">
        <v>32.44</v>
      </c>
      <c r="I3242" s="8" t="n">
        <v>32.44</v>
      </c>
      <c r="J3242" s="8" t="n">
        <v>32.44</v>
      </c>
      <c r="K3242" s="8" t="n"/>
      <c r="L3242" s="8" t="n"/>
      <c r="M3242" s="8" t="n"/>
      <c r="N3242" s="8" t="n"/>
      <c r="O3242" s="8" t="n"/>
      <c r="P3242" s="8" t="n"/>
      <c r="Q3242" s="8" t="n"/>
      <c r="R3242" s="8" t="n"/>
      <c r="S3242" s="8" t="n"/>
      <c r="T3242" s="7" t="inlineStr">
        <is>
          <t>SEM COTAÇÃO</t>
        </is>
      </c>
      <c r="U3242" s="8" t="n"/>
      <c r="V3242" s="14" t="n"/>
      <c r="W3242" s="14" t="n"/>
      <c r="X3242" s="7" t="inlineStr"/>
      <c r="Y3242" s="7" t="inlineStr"/>
    </row>
    <row r="3243">
      <c r="A3243" s="7" t="n">
        <v>644511</v>
      </c>
      <c r="B3243" s="12" t="inlineStr">
        <is>
          <t>7891033519323</t>
        </is>
      </c>
      <c r="C3243" s="7" t="inlineStr">
        <is>
          <t>PAMPERS OLEO CPO GIRASSOL 110ML</t>
        </is>
      </c>
      <c r="D3243" s="7" t="inlineStr">
        <is>
          <t>BABY/KIDS</t>
        </is>
      </c>
      <c r="E3243" s="7" t="inlineStr">
        <is>
          <t>C</t>
        </is>
      </c>
      <c r="F3243" s="13" t="n">
        <v>1</v>
      </c>
      <c r="G3243" s="13" t="n">
        <v>1</v>
      </c>
      <c r="H3243" s="8" t="n">
        <v>18.91</v>
      </c>
      <c r="I3243" s="8" t="n">
        <v>18.91</v>
      </c>
      <c r="J3243" s="8" t="n">
        <v>18.91</v>
      </c>
      <c r="K3243" s="8" t="n"/>
      <c r="L3243" s="8" t="n"/>
      <c r="M3243" s="8" t="n"/>
      <c r="N3243" s="8" t="n"/>
      <c r="O3243" s="8" t="n"/>
      <c r="P3243" s="8" t="n"/>
      <c r="Q3243" s="8" t="n"/>
      <c r="R3243" s="8" t="n"/>
      <c r="S3243" s="8" t="n"/>
      <c r="T3243" s="7" t="inlineStr">
        <is>
          <t>SEM COTAÇÃO</t>
        </is>
      </c>
      <c r="U3243" s="8" t="n"/>
      <c r="V3243" s="14" t="n"/>
      <c r="W3243" s="14" t="n"/>
      <c r="X3243" s="7" t="inlineStr"/>
      <c r="Y3243" s="7" t="inlineStr"/>
    </row>
    <row r="3244">
      <c r="A3244" s="7" t="n">
        <v>622011</v>
      </c>
      <c r="B3244" s="12" t="inlineStr">
        <is>
          <t>7891033519286</t>
        </is>
      </c>
      <c r="C3244" s="7" t="inlineStr">
        <is>
          <t>PAMPERS SAB LIQ CPO GLICERINA 200ML</t>
        </is>
      </c>
      <c r="D3244" s="7" t="inlineStr">
        <is>
          <t>PERF/COSME</t>
        </is>
      </c>
      <c r="E3244" s="7" t="inlineStr">
        <is>
          <t>C</t>
        </is>
      </c>
      <c r="F3244" s="13" t="n">
        <v>1</v>
      </c>
      <c r="G3244" s="13" t="n">
        <v>1</v>
      </c>
      <c r="H3244" s="8" t="n">
        <v>14.3</v>
      </c>
      <c r="I3244" s="8" t="n">
        <v>14.3</v>
      </c>
      <c r="J3244" s="8" t="n">
        <v>14.3</v>
      </c>
      <c r="K3244" s="8" t="n"/>
      <c r="L3244" s="8" t="n"/>
      <c r="M3244" s="8" t="n"/>
      <c r="N3244" s="8" t="n"/>
      <c r="O3244" s="8" t="n"/>
      <c r="P3244" s="8" t="n"/>
      <c r="Q3244" s="8" t="n"/>
      <c r="R3244" s="8" t="n"/>
      <c r="S3244" s="8" t="n"/>
      <c r="T3244" s="7" t="inlineStr">
        <is>
          <t>SEM COTAÇÃO</t>
        </is>
      </c>
      <c r="U3244" s="8" t="n"/>
      <c r="V3244" s="14" t="n"/>
      <c r="W3244" s="14" t="n"/>
      <c r="X3244" s="7" t="inlineStr"/>
      <c r="Y3244" s="7" t="inlineStr"/>
    </row>
    <row r="3245">
      <c r="A3245" s="7" t="n">
        <v>630421</v>
      </c>
      <c r="B3245" s="12" t="inlineStr">
        <is>
          <t>7893596226410</t>
        </is>
      </c>
      <c r="C3245" s="7" t="inlineStr">
        <is>
          <t>PANIC PRE WORKOUT  ADAPTOGEN SCIENCE MACA VERDE 150G</t>
        </is>
      </c>
      <c r="D3245" s="7" t="inlineStr">
        <is>
          <t>SUPLEMENTO</t>
        </is>
      </c>
      <c r="E3245" s="7" t="inlineStr">
        <is>
          <t>C</t>
        </is>
      </c>
      <c r="F3245" s="13" t="n">
        <v>1</v>
      </c>
      <c r="G3245" s="13" t="n">
        <v>1</v>
      </c>
      <c r="H3245" s="8" t="n">
        <v>55.96</v>
      </c>
      <c r="I3245" s="8" t="n">
        <v>55.96</v>
      </c>
      <c r="J3245" s="8" t="n">
        <v>55.96</v>
      </c>
      <c r="K3245" s="8" t="n"/>
      <c r="L3245" s="8" t="n"/>
      <c r="M3245" s="8" t="n"/>
      <c r="N3245" s="8" t="n"/>
      <c r="O3245" s="8" t="n"/>
      <c r="P3245" s="8" t="n"/>
      <c r="Q3245" s="8" t="n"/>
      <c r="R3245" s="8" t="n"/>
      <c r="S3245" s="8" t="n"/>
      <c r="T3245" s="7" t="inlineStr">
        <is>
          <t>SEM COTAÇÃO</t>
        </is>
      </c>
      <c r="U3245" s="8" t="n"/>
      <c r="V3245" s="14" t="n"/>
      <c r="W3245" s="14" t="n"/>
      <c r="X3245" s="7" t="inlineStr"/>
      <c r="Y3245" s="7" t="inlineStr"/>
    </row>
    <row r="3246">
      <c r="A3246" s="7" t="n">
        <v>657831</v>
      </c>
      <c r="B3246" s="12" t="inlineStr">
        <is>
          <t>7893595543204</t>
        </is>
      </c>
      <c r="C3246" s="7" t="inlineStr">
        <is>
          <t>PANIC PRE WORKOUT ADAPTOGEN MACA VERDE 300G</t>
        </is>
      </c>
      <c r="D3246" s="7" t="inlineStr">
        <is>
          <t>SUPLEMENTO</t>
        </is>
      </c>
      <c r="E3246" s="7" t="inlineStr">
        <is>
          <t>C</t>
        </is>
      </c>
      <c r="F3246" s="13" t="n">
        <v>1</v>
      </c>
      <c r="G3246" s="13" t="n">
        <v>1</v>
      </c>
      <c r="H3246" s="8" t="n">
        <v>103.58</v>
      </c>
      <c r="I3246" s="8" t="n">
        <v>103.58</v>
      </c>
      <c r="J3246" s="8" t="n">
        <v>103.58</v>
      </c>
      <c r="K3246" s="8" t="n"/>
      <c r="L3246" s="8" t="n"/>
      <c r="M3246" s="8" t="n"/>
      <c r="N3246" s="8" t="n"/>
      <c r="O3246" s="8" t="n"/>
      <c r="P3246" s="8" t="n"/>
      <c r="Q3246" s="8" t="n"/>
      <c r="R3246" s="8" t="n"/>
      <c r="S3246" s="15" t="n">
        <v>128</v>
      </c>
      <c r="T3246" s="7" t="inlineStr">
        <is>
          <t>AT_SUPLEMENTOS</t>
        </is>
      </c>
      <c r="U3246" s="8" t="n">
        <v>128</v>
      </c>
      <c r="V3246" s="14">
        <f>U3246/J3246-1</f>
        <v/>
      </c>
      <c r="W3246" s="14">
        <f>U3246/H3246-1</f>
        <v/>
      </c>
      <c r="X3246" s="16" t="inlineStr">
        <is>
          <t>ACIMA +23.6%</t>
        </is>
      </c>
      <c r="Y3246" s="7" t="inlineStr"/>
    </row>
    <row r="3247">
      <c r="A3247" s="7" t="n">
        <v>657811</v>
      </c>
      <c r="B3247" s="12" t="inlineStr">
        <is>
          <t>7893095104271</t>
        </is>
      </c>
      <c r="C3247" s="7" t="inlineStr">
        <is>
          <t>PANIC PRE WORKOUT ADAPTOGEN MORANGO 300G</t>
        </is>
      </c>
      <c r="D3247" s="7" t="inlineStr">
        <is>
          <t>SUPLEMENTO</t>
        </is>
      </c>
      <c r="E3247" s="7" t="inlineStr">
        <is>
          <t>C</t>
        </is>
      </c>
      <c r="F3247" s="13" t="n">
        <v>1</v>
      </c>
      <c r="G3247" s="13" t="n">
        <v>1</v>
      </c>
      <c r="H3247" s="8" t="n">
        <v>103.58</v>
      </c>
      <c r="I3247" s="8" t="n">
        <v>103.58</v>
      </c>
      <c r="J3247" s="8" t="n">
        <v>103.58</v>
      </c>
      <c r="K3247" s="8" t="n"/>
      <c r="L3247" s="8" t="n"/>
      <c r="M3247" s="8" t="n"/>
      <c r="N3247" s="8" t="n"/>
      <c r="O3247" s="8" t="n"/>
      <c r="P3247" s="8" t="n"/>
      <c r="Q3247" s="8" t="n"/>
      <c r="R3247" s="8" t="n"/>
      <c r="S3247" s="15" t="n">
        <v>128</v>
      </c>
      <c r="T3247" s="7" t="inlineStr">
        <is>
          <t>AT_SUPLEMENTOS</t>
        </is>
      </c>
      <c r="U3247" s="8" t="n">
        <v>128</v>
      </c>
      <c r="V3247" s="14">
        <f>U3247/J3247-1</f>
        <v/>
      </c>
      <c r="W3247" s="14">
        <f>U3247/H3247-1</f>
        <v/>
      </c>
      <c r="X3247" s="16" t="inlineStr">
        <is>
          <t>ACIMA +23.6%</t>
        </is>
      </c>
      <c r="Y3247" s="7" t="inlineStr"/>
    </row>
    <row r="3248">
      <c r="A3248" s="7" t="n">
        <v>638311</v>
      </c>
      <c r="B3248" s="12" t="inlineStr">
        <is>
          <t>7893596226427</t>
        </is>
      </c>
      <c r="C3248" s="7" t="inlineStr">
        <is>
          <t>PANIC PRE WORKOUT ADAPTOGEN UVA 150G</t>
        </is>
      </c>
      <c r="D3248" s="7" t="inlineStr">
        <is>
          <t>SUPLEMENTO</t>
        </is>
      </c>
      <c r="E3248" s="7" t="inlineStr">
        <is>
          <t>C</t>
        </is>
      </c>
      <c r="F3248" s="13" t="n">
        <v>1</v>
      </c>
      <c r="G3248" s="13" t="n">
        <v>1</v>
      </c>
      <c r="H3248" s="8" t="n">
        <v>62.61</v>
      </c>
      <c r="I3248" s="8" t="n">
        <v>62.61</v>
      </c>
      <c r="J3248" s="8" t="n">
        <v>62.60999999999999</v>
      </c>
      <c r="K3248" s="8" t="n"/>
      <c r="L3248" s="8" t="n"/>
      <c r="M3248" s="8" t="n"/>
      <c r="N3248" s="8" t="n"/>
      <c r="O3248" s="8" t="n"/>
      <c r="P3248" s="8" t="n"/>
      <c r="Q3248" s="8" t="n"/>
      <c r="R3248" s="8" t="n"/>
      <c r="S3248" s="15" t="n">
        <v>60</v>
      </c>
      <c r="T3248" s="7" t="inlineStr">
        <is>
          <t>AT_SUPLEMENTOS</t>
        </is>
      </c>
      <c r="U3248" s="8" t="n">
        <v>60</v>
      </c>
      <c r="V3248" s="14">
        <f>U3248/J3248-1</f>
        <v/>
      </c>
      <c r="W3248" s="14">
        <f>U3248/H3248-1</f>
        <v/>
      </c>
      <c r="X3248" s="17" t="inlineStr">
        <is>
          <t>OK (≤ menor hist.)</t>
        </is>
      </c>
      <c r="Y3248" s="7" t="inlineStr"/>
    </row>
    <row r="3249">
      <c r="A3249" s="7" t="n">
        <v>589541</v>
      </c>
      <c r="B3249" s="12" t="inlineStr">
        <is>
          <t>7500435154222</t>
        </is>
      </c>
      <c r="C3249" s="7" t="inlineStr">
        <is>
          <t>PANTENE SH 200ML BAMBU</t>
        </is>
      </c>
      <c r="D3249" s="7" t="inlineStr">
        <is>
          <t>COND/SHAM/CREM/SIMILARES</t>
        </is>
      </c>
      <c r="E3249" s="7" t="inlineStr">
        <is>
          <t>A</t>
        </is>
      </c>
      <c r="F3249" s="13" t="n">
        <v>3</v>
      </c>
      <c r="G3249" s="13" t="n">
        <v>3</v>
      </c>
      <c r="H3249" s="8" t="n">
        <v>14.14</v>
      </c>
      <c r="I3249" s="8" t="n">
        <v>11.27</v>
      </c>
      <c r="J3249" s="8" t="n">
        <v>12.39</v>
      </c>
      <c r="K3249" s="8" t="n"/>
      <c r="L3249" s="8" t="n"/>
      <c r="M3249" s="15" t="n">
        <v>11.92</v>
      </c>
      <c r="N3249" s="8" t="n"/>
      <c r="O3249" s="8" t="n"/>
      <c r="P3249" s="8" t="n"/>
      <c r="Q3249" s="8" t="n"/>
      <c r="R3249" s="8" t="n"/>
      <c r="S3249" s="8" t="n"/>
      <c r="T3249" s="7" t="inlineStr">
        <is>
          <t>EPAN</t>
        </is>
      </c>
      <c r="U3249" s="8" t="n">
        <v>11.92</v>
      </c>
      <c r="V3249" s="14">
        <f>U3249/J3249-1</f>
        <v/>
      </c>
      <c r="W3249" s="14">
        <f>U3249/H3249-1</f>
        <v/>
      </c>
      <c r="X3249" s="17" t="inlineStr">
        <is>
          <t>OK (≤ últ. compra)</t>
        </is>
      </c>
      <c r="Y3249" s="7" t="inlineStr"/>
    </row>
    <row r="3250">
      <c r="A3250" s="7" t="n">
        <v>392681</v>
      </c>
      <c r="B3250" s="12" t="inlineStr">
        <is>
          <t>7896422506595</t>
        </is>
      </c>
      <c r="C3250" s="7" t="inlineStr">
        <is>
          <t>PANTOPRAZOL 20MG CX 28 COMP</t>
        </is>
      </c>
      <c r="D3250" s="7" t="inlineStr">
        <is>
          <t>GENERICO</t>
        </is>
      </c>
      <c r="E3250" s="7" t="inlineStr">
        <is>
          <t>C</t>
        </is>
      </c>
      <c r="F3250" s="13" t="n">
        <v>1</v>
      </c>
      <c r="G3250" s="13" t="n">
        <v>1</v>
      </c>
      <c r="H3250" s="8" t="n">
        <v>15.83</v>
      </c>
      <c r="I3250" s="8" t="n">
        <v>15.83</v>
      </c>
      <c r="J3250" s="8" t="n">
        <v>15.83</v>
      </c>
      <c r="K3250" s="8" t="n"/>
      <c r="L3250" s="8" t="n"/>
      <c r="M3250" s="8" t="n"/>
      <c r="N3250" s="8" t="n"/>
      <c r="O3250" s="8" t="n"/>
      <c r="P3250" s="8" t="n"/>
      <c r="Q3250" s="8" t="n"/>
      <c r="R3250" s="8" t="n"/>
      <c r="S3250" s="8" t="n"/>
      <c r="T3250" s="7" t="inlineStr">
        <is>
          <t>SEM COTAÇÃO</t>
        </is>
      </c>
      <c r="U3250" s="8" t="n"/>
      <c r="V3250" s="14" t="n"/>
      <c r="W3250" s="14" t="n"/>
      <c r="X3250" s="7" t="inlineStr"/>
      <c r="Y3250" s="7" t="inlineStr"/>
    </row>
    <row r="3251">
      <c r="A3251" s="7" t="n">
        <v>391441</v>
      </c>
      <c r="B3251" s="12" t="inlineStr">
        <is>
          <t>7896523214351</t>
        </is>
      </c>
      <c r="C3251" s="7" t="inlineStr">
        <is>
          <t>PANTOPRAZOL 20MG CX 28 COMP REV</t>
        </is>
      </c>
      <c r="D3251" s="7" t="inlineStr">
        <is>
          <t>GENERICO</t>
        </is>
      </c>
      <c r="E3251" s="7" t="inlineStr">
        <is>
          <t>A</t>
        </is>
      </c>
      <c r="F3251" s="13" t="n">
        <v>60</v>
      </c>
      <c r="G3251" s="13" t="n">
        <v>60</v>
      </c>
      <c r="H3251" s="8" t="n">
        <v>3.13</v>
      </c>
      <c r="I3251" s="8" t="n">
        <v>3.01</v>
      </c>
      <c r="J3251" s="8" t="n">
        <v>3.01</v>
      </c>
      <c r="K3251" s="8" t="n"/>
      <c r="L3251" s="8" t="n"/>
      <c r="M3251" s="8" t="n"/>
      <c r="N3251" s="8" t="n"/>
      <c r="O3251" s="8" t="n"/>
      <c r="P3251" s="8" t="n"/>
      <c r="Q3251" s="8" t="n"/>
      <c r="R3251" s="8" t="n"/>
      <c r="S3251" s="8" t="n"/>
      <c r="T3251" s="7" t="inlineStr">
        <is>
          <t>SEM COTAÇÃO</t>
        </is>
      </c>
      <c r="U3251" s="8" t="n"/>
      <c r="V3251" s="14" t="n"/>
      <c r="W3251" s="14" t="n"/>
      <c r="X3251" s="7" t="inlineStr"/>
      <c r="Y3251" s="7" t="inlineStr"/>
    </row>
    <row r="3252">
      <c r="A3252" s="7" t="n">
        <v>388861</v>
      </c>
      <c r="B3252" s="12" t="inlineStr">
        <is>
          <t>7895296199025</t>
        </is>
      </c>
      <c r="C3252" s="7" t="inlineStr">
        <is>
          <t>PANTOPRAZOL 20MG CX 4BL X 7 COMP REV</t>
        </is>
      </c>
      <c r="D3252" s="7" t="inlineStr">
        <is>
          <t>GENERICO</t>
        </is>
      </c>
      <c r="E3252" s="7" t="inlineStr">
        <is>
          <t>C</t>
        </is>
      </c>
      <c r="F3252" s="13" t="n">
        <v>1</v>
      </c>
      <c r="G3252" s="13" t="n">
        <v>1</v>
      </c>
      <c r="H3252" s="8" t="n">
        <v>6.5</v>
      </c>
      <c r="I3252" s="8" t="n">
        <v>6.38</v>
      </c>
      <c r="J3252" s="8" t="n">
        <v>6.419999999999999</v>
      </c>
      <c r="K3252" s="8" t="n"/>
      <c r="L3252" s="15" t="n">
        <v>4.69</v>
      </c>
      <c r="M3252" s="8" t="n"/>
      <c r="N3252" s="8" t="n"/>
      <c r="O3252" s="8" t="n"/>
      <c r="P3252" s="8" t="n"/>
      <c r="Q3252" s="8" t="n"/>
      <c r="R3252" s="8" t="n"/>
      <c r="S3252" s="8" t="n"/>
      <c r="T3252" s="7" t="inlineStr">
        <is>
          <t>PLUSFARMA</t>
        </is>
      </c>
      <c r="U3252" s="8" t="n">
        <v>4.69</v>
      </c>
      <c r="V3252" s="14">
        <f>U3252/J3252-1</f>
        <v/>
      </c>
      <c r="W3252" s="14">
        <f>U3252/H3252-1</f>
        <v/>
      </c>
      <c r="X3252" s="17" t="inlineStr">
        <is>
          <t>OK (≤ menor hist.)</t>
        </is>
      </c>
      <c r="Y3252" s="7" t="inlineStr"/>
    </row>
    <row r="3253">
      <c r="A3253" s="7" t="n">
        <v>670391</v>
      </c>
      <c r="B3253" s="12" t="inlineStr">
        <is>
          <t>7891058005979</t>
        </is>
      </c>
      <c r="C3253" s="7" t="inlineStr">
        <is>
          <t>PANTOPRAZOL 40MG 28CPR LIB RET</t>
        </is>
      </c>
      <c r="D3253" s="7" t="inlineStr">
        <is>
          <t>GENERICO</t>
        </is>
      </c>
      <c r="E3253" s="7" t="inlineStr">
        <is>
          <t>A</t>
        </is>
      </c>
      <c r="F3253" s="13" t="n">
        <v>15</v>
      </c>
      <c r="G3253" s="13" t="n">
        <v>15</v>
      </c>
      <c r="H3253" s="8" t="n">
        <v>6.23</v>
      </c>
      <c r="I3253" s="8" t="n">
        <v>6.23</v>
      </c>
      <c r="J3253" s="8" t="n">
        <v>6.23</v>
      </c>
      <c r="K3253" s="8" t="n"/>
      <c r="L3253" s="8" t="n"/>
      <c r="M3253" s="8" t="n"/>
      <c r="N3253" s="8" t="n"/>
      <c r="O3253" s="8" t="n"/>
      <c r="P3253" s="15" t="n">
        <v>16.54848</v>
      </c>
      <c r="Q3253" s="8" t="n"/>
      <c r="R3253" s="8" t="n"/>
      <c r="S3253" s="8" t="n"/>
      <c r="T3253" s="7" t="inlineStr">
        <is>
          <t>NAZARIA</t>
        </is>
      </c>
      <c r="U3253" s="8" t="n">
        <v>16.54848</v>
      </c>
      <c r="V3253" s="14">
        <f>U3253/J3253-1</f>
        <v/>
      </c>
      <c r="W3253" s="14">
        <f>U3253/H3253-1</f>
        <v/>
      </c>
      <c r="X3253" s="16" t="inlineStr">
        <is>
          <t>ACIMA +165.6%</t>
        </is>
      </c>
      <c r="Y3253" s="7" t="inlineStr">
        <is>
          <t>NAZARIA: estoque parcial (2 un); conferir emb.</t>
        </is>
      </c>
    </row>
    <row r="3254">
      <c r="A3254" s="7" t="n">
        <v>391481</v>
      </c>
      <c r="B3254" s="12" t="inlineStr">
        <is>
          <t>7896523226323</t>
        </is>
      </c>
      <c r="C3254" s="7" t="inlineStr">
        <is>
          <t>PANTOPRAZOL 40MG CX 42 COMP REV LIB RETARD</t>
        </is>
      </c>
      <c r="D3254" s="7" t="inlineStr">
        <is>
          <t>GENERICO</t>
        </is>
      </c>
      <c r="E3254" s="7" t="inlineStr">
        <is>
          <t>C</t>
        </is>
      </c>
      <c r="F3254" s="13" t="n">
        <v>8</v>
      </c>
      <c r="G3254" s="13" t="n">
        <v>8</v>
      </c>
      <c r="H3254" s="8" t="n">
        <v>5.97</v>
      </c>
      <c r="I3254" s="8" t="n">
        <v>5.97</v>
      </c>
      <c r="J3254" s="8" t="n">
        <v>5.97</v>
      </c>
      <c r="K3254" s="8" t="n"/>
      <c r="L3254" s="8" t="n"/>
      <c r="M3254" s="8" t="n"/>
      <c r="N3254" s="8" t="n"/>
      <c r="O3254" s="8" t="n"/>
      <c r="P3254" s="8" t="n"/>
      <c r="Q3254" s="8" t="n"/>
      <c r="R3254" s="8" t="n"/>
      <c r="S3254" s="8" t="n"/>
      <c r="T3254" s="7" t="inlineStr">
        <is>
          <t>SEM COTAÇÃO</t>
        </is>
      </c>
      <c r="U3254" s="8" t="n"/>
      <c r="V3254" s="14" t="n"/>
      <c r="W3254" s="14" t="n"/>
      <c r="X3254" s="7" t="inlineStr"/>
      <c r="Y3254" s="7" t="inlineStr"/>
    </row>
    <row r="3255">
      <c r="A3255" s="7" t="n">
        <v>493261</v>
      </c>
      <c r="B3255" s="12" t="inlineStr">
        <is>
          <t>7896862923273</t>
        </is>
      </c>
      <c r="C3255" s="7" t="inlineStr">
        <is>
          <t>PANTOPRAZOL SODICO SESQUI-HIDRATADO 40MG CX 30 COMP REV</t>
        </is>
      </c>
      <c r="D3255" s="7" t="inlineStr">
        <is>
          <t>GENERICO</t>
        </is>
      </c>
      <c r="E3255" s="7" t="inlineStr">
        <is>
          <t>C</t>
        </is>
      </c>
      <c r="F3255" s="13" t="n">
        <v>10</v>
      </c>
      <c r="G3255" s="13" t="n">
        <v>10</v>
      </c>
      <c r="H3255" s="8" t="n">
        <v>3.99</v>
      </c>
      <c r="I3255" s="8" t="n">
        <v>3.99</v>
      </c>
      <c r="J3255" s="8" t="n">
        <v>3.99</v>
      </c>
      <c r="K3255" s="8" t="n"/>
      <c r="L3255" s="8" t="n">
        <v>5.05</v>
      </c>
      <c r="M3255" s="8" t="n"/>
      <c r="N3255" s="8" t="n">
        <v>4.98</v>
      </c>
      <c r="O3255" s="8" t="n"/>
      <c r="P3255" s="8" t="n">
        <v>4.902975999999995</v>
      </c>
      <c r="Q3255" s="8" t="n"/>
      <c r="R3255" s="15" t="n">
        <v>4.69</v>
      </c>
      <c r="S3255" s="8" t="n"/>
      <c r="T3255" s="7" t="inlineStr">
        <is>
          <t>BRASFARMA</t>
        </is>
      </c>
      <c r="U3255" s="8" t="n">
        <v>4.69</v>
      </c>
      <c r="V3255" s="14">
        <f>U3255/J3255-1</f>
        <v/>
      </c>
      <c r="W3255" s="14">
        <f>U3255/H3255-1</f>
        <v/>
      </c>
      <c r="X3255" s="16" t="inlineStr">
        <is>
          <t>ACIMA +17.5%</t>
        </is>
      </c>
      <c r="Y3255" s="7" t="inlineStr">
        <is>
          <t>NAZARIA: sem estoque</t>
        </is>
      </c>
    </row>
    <row r="3256">
      <c r="A3256" s="7" t="n">
        <v>541621</v>
      </c>
      <c r="B3256" s="12" t="inlineStr"/>
      <c r="C3256" s="7" t="inlineStr">
        <is>
          <t>PAR DE LUVA</t>
        </is>
      </c>
      <c r="D3256" s="7" t="inlineStr">
        <is>
          <t>USO INTERNO</t>
        </is>
      </c>
      <c r="E3256" s="7" t="inlineStr">
        <is>
          <t>C</t>
        </is>
      </c>
      <c r="F3256" s="13" t="n">
        <v>1</v>
      </c>
      <c r="G3256" s="13" t="n">
        <v>1</v>
      </c>
      <c r="H3256" s="8" t="n"/>
      <c r="I3256" s="8" t="n"/>
      <c r="J3256" s="8" t="n"/>
      <c r="K3256" s="8" t="n"/>
      <c r="L3256" s="8" t="n"/>
      <c r="M3256" s="8" t="n"/>
      <c r="N3256" s="8" t="n"/>
      <c r="O3256" s="8" t="n"/>
      <c r="P3256" s="8" t="n"/>
      <c r="Q3256" s="8" t="n"/>
      <c r="R3256" s="8" t="n"/>
      <c r="S3256" s="8" t="n"/>
      <c r="T3256" s="7" t="inlineStr">
        <is>
          <t>SEM COTAÇÃO</t>
        </is>
      </c>
      <c r="U3256" s="8" t="n"/>
      <c r="V3256" s="14" t="n"/>
      <c r="W3256" s="14" t="n"/>
      <c r="X3256" s="7" t="inlineStr"/>
      <c r="Y3256" s="7" t="inlineStr"/>
    </row>
    <row r="3257">
      <c r="A3257" s="7" t="n">
        <v>664791</v>
      </c>
      <c r="B3257" s="12" t="inlineStr">
        <is>
          <t>7896523201726</t>
        </is>
      </c>
      <c r="C3257" s="7" t="inlineStr">
        <is>
          <t>PARACETAMOL 750 MG CX 20CP</t>
        </is>
      </c>
      <c r="D3257" s="7" t="inlineStr">
        <is>
          <t>GENERICO</t>
        </is>
      </c>
      <c r="E3257" s="7" t="inlineStr">
        <is>
          <t>C</t>
        </is>
      </c>
      <c r="F3257" s="13" t="n">
        <v>19</v>
      </c>
      <c r="G3257" s="13" t="n">
        <v>19</v>
      </c>
      <c r="H3257" s="8" t="n">
        <v>3.39</v>
      </c>
      <c r="I3257" s="8" t="n">
        <v>3.39</v>
      </c>
      <c r="J3257" s="8" t="n">
        <v>3.39</v>
      </c>
      <c r="K3257" s="8" t="n"/>
      <c r="L3257" s="8" t="n"/>
      <c r="M3257" s="8" t="n"/>
      <c r="N3257" s="8" t="n"/>
      <c r="O3257" s="8" t="n"/>
      <c r="P3257" s="15" t="n">
        <v>20.31</v>
      </c>
      <c r="Q3257" s="8" t="n"/>
      <c r="R3257" s="8" t="n"/>
      <c r="S3257" s="8" t="n"/>
      <c r="T3257" s="7" t="inlineStr">
        <is>
          <t>NAZARIA</t>
        </is>
      </c>
      <c r="U3257" s="8" t="n">
        <v>20.31</v>
      </c>
      <c r="V3257" s="14">
        <f>U3257/J3257-1</f>
        <v/>
      </c>
      <c r="W3257" s="14">
        <f>U3257/H3257-1</f>
        <v/>
      </c>
      <c r="X3257" s="16" t="inlineStr">
        <is>
          <t>ACIMA +499.1%</t>
        </is>
      </c>
      <c r="Y3257" s="7" t="inlineStr">
        <is>
          <t>NAZARIA: conferir emb.</t>
        </is>
      </c>
    </row>
    <row r="3258">
      <c r="A3258" s="7" t="n">
        <v>647881</v>
      </c>
      <c r="B3258" s="12" t="inlineStr">
        <is>
          <t>7898632474121</t>
        </is>
      </c>
      <c r="C3258" s="7" t="inlineStr">
        <is>
          <t>PARAFINA ATIVAD. BETERRABA E BURITI 90G VAI E BRILHA LABOTRAT</t>
        </is>
      </c>
      <c r="D3258" s="7" t="inlineStr">
        <is>
          <t>PERF/COSME</t>
        </is>
      </c>
      <c r="E3258" s="7" t="inlineStr">
        <is>
          <t>B</t>
        </is>
      </c>
      <c r="F3258" s="13" t="n">
        <v>2</v>
      </c>
      <c r="G3258" s="13" t="n">
        <v>2</v>
      </c>
      <c r="H3258" s="8" t="n">
        <v>16.31</v>
      </c>
      <c r="I3258" s="8" t="n">
        <v>16.31</v>
      </c>
      <c r="J3258" s="8" t="n">
        <v>16.31</v>
      </c>
      <c r="K3258" s="8" t="n"/>
      <c r="L3258" s="8" t="n"/>
      <c r="M3258" s="8" t="n"/>
      <c r="N3258" s="8" t="n"/>
      <c r="O3258" s="8" t="n"/>
      <c r="P3258" s="8" t="n"/>
      <c r="Q3258" s="8" t="n"/>
      <c r="R3258" s="8" t="n"/>
      <c r="S3258" s="8" t="n"/>
      <c r="T3258" s="7" t="inlineStr">
        <is>
          <t>SEM COTAÇÃO</t>
        </is>
      </c>
      <c r="U3258" s="8" t="n"/>
      <c r="V3258" s="14" t="n"/>
      <c r="W3258" s="14" t="n"/>
      <c r="X3258" s="7" t="inlineStr"/>
      <c r="Y3258" s="7" t="inlineStr"/>
    </row>
    <row r="3259">
      <c r="A3259" s="7" t="n">
        <v>647631</v>
      </c>
      <c r="B3259" s="12" t="inlineStr">
        <is>
          <t>7898392930318</t>
        </is>
      </c>
      <c r="C3259" s="7" t="inlineStr">
        <is>
          <t>PARAFINA BRONZEADORA 80 GR - PHARMAKOS</t>
        </is>
      </c>
      <c r="D3259" s="7" t="inlineStr">
        <is>
          <t>PERF/COSME</t>
        </is>
      </c>
      <c r="E3259" s="7" t="inlineStr">
        <is>
          <t>C</t>
        </is>
      </c>
      <c r="F3259" s="13" t="n">
        <v>2</v>
      </c>
      <c r="G3259" s="13" t="n">
        <v>2</v>
      </c>
      <c r="H3259" s="8" t="n">
        <v>11.6</v>
      </c>
      <c r="I3259" s="8" t="n">
        <v>11.6</v>
      </c>
      <c r="J3259" s="8" t="n">
        <v>11.6</v>
      </c>
      <c r="K3259" s="8" t="n"/>
      <c r="L3259" s="8" t="n"/>
      <c r="M3259" s="8" t="n"/>
      <c r="N3259" s="8" t="n"/>
      <c r="O3259" s="8" t="n"/>
      <c r="P3259" s="8" t="n"/>
      <c r="Q3259" s="8" t="n"/>
      <c r="R3259" s="8" t="n"/>
      <c r="S3259" s="8" t="n"/>
      <c r="T3259" s="7" t="inlineStr">
        <is>
          <t>SEM COTAÇÃO</t>
        </is>
      </c>
      <c r="U3259" s="8" t="n"/>
      <c r="V3259" s="14" t="n"/>
      <c r="W3259" s="14" t="n"/>
      <c r="X3259" s="7" t="inlineStr"/>
      <c r="Y3259" s="7" t="inlineStr"/>
    </row>
    <row r="3260">
      <c r="A3260" s="7" t="n">
        <v>198381</v>
      </c>
      <c r="B3260" s="12" t="inlineStr">
        <is>
          <t>7896226102818</t>
        </is>
      </c>
      <c r="C3260" s="7" t="inlineStr">
        <is>
          <t>PASALIX CX 20 COMP</t>
        </is>
      </c>
      <c r="D3260" s="7" t="inlineStr">
        <is>
          <t>FITOTERAPICO</t>
        </is>
      </c>
      <c r="E3260" s="7" t="inlineStr">
        <is>
          <t>C</t>
        </is>
      </c>
      <c r="F3260" s="13" t="n">
        <v>1</v>
      </c>
      <c r="G3260" s="13" t="n">
        <v>1</v>
      </c>
      <c r="H3260" s="8" t="n">
        <v>40.2</v>
      </c>
      <c r="I3260" s="8" t="n">
        <v>40.2</v>
      </c>
      <c r="J3260" s="8" t="n">
        <v>40.2</v>
      </c>
      <c r="K3260" s="8" t="n"/>
      <c r="L3260" s="8" t="n"/>
      <c r="M3260" s="8" t="n"/>
      <c r="N3260" s="8" t="n"/>
      <c r="O3260" s="8" t="n"/>
      <c r="P3260" s="8" t="n"/>
      <c r="Q3260" s="8" t="n"/>
      <c r="R3260" s="8" t="n"/>
      <c r="S3260" s="8" t="n"/>
      <c r="T3260" s="7" t="inlineStr">
        <is>
          <t>SEM COTAÇÃO</t>
        </is>
      </c>
      <c r="U3260" s="8" t="n"/>
      <c r="V3260" s="14" t="n"/>
      <c r="W3260" s="14" t="n"/>
      <c r="X3260" s="7" t="inlineStr"/>
      <c r="Y3260" s="7" t="inlineStr"/>
    </row>
    <row r="3261">
      <c r="A3261" s="7" t="n">
        <v>1763</v>
      </c>
      <c r="B3261" s="12" t="inlineStr">
        <is>
          <t>7891000259351</t>
        </is>
      </c>
      <c r="C3261" s="7" t="inlineStr">
        <is>
          <t>PASSATEMPO BISC RECH CHOC MRG 130G</t>
        </is>
      </c>
      <c r="D3261" s="7" t="inlineStr">
        <is>
          <t>CONVENIENCIA</t>
        </is>
      </c>
      <c r="E3261" s="7" t="inlineStr">
        <is>
          <t>C</t>
        </is>
      </c>
      <c r="F3261" s="13" t="n">
        <v>3</v>
      </c>
      <c r="G3261" s="13" t="n">
        <v>3</v>
      </c>
      <c r="H3261" s="8" t="n">
        <v>2.6073</v>
      </c>
      <c r="I3261" s="8" t="n">
        <v>2.6073</v>
      </c>
      <c r="J3261" s="8" t="n">
        <v>2.6073</v>
      </c>
      <c r="K3261" s="8" t="n"/>
      <c r="L3261" s="8" t="n"/>
      <c r="M3261" s="8" t="n"/>
      <c r="N3261" s="8" t="n"/>
      <c r="O3261" s="8" t="n"/>
      <c r="P3261" s="8" t="n"/>
      <c r="Q3261" s="8" t="n"/>
      <c r="R3261" s="8" t="n"/>
      <c r="S3261" s="8" t="n"/>
      <c r="T3261" s="7" t="inlineStr">
        <is>
          <t>SEM COTAÇÃO</t>
        </is>
      </c>
      <c r="U3261" s="8" t="n"/>
      <c r="V3261" s="14" t="n"/>
      <c r="W3261" s="14" t="n"/>
      <c r="X3261" s="7" t="inlineStr"/>
      <c r="Y3261" s="7" t="inlineStr"/>
    </row>
    <row r="3262">
      <c r="A3262" s="7" t="n">
        <v>623351</v>
      </c>
      <c r="B3262" s="12" t="inlineStr">
        <is>
          <t>7891000051436</t>
        </is>
      </c>
      <c r="C3262" s="7" t="inlineStr">
        <is>
          <t>PASSATEMPO BISCOITO LEITE 150G BR</t>
        </is>
      </c>
      <c r="D3262" s="7" t="inlineStr">
        <is>
          <t>CONVENIENCIA</t>
        </is>
      </c>
      <c r="E3262" s="7" t="inlineStr">
        <is>
          <t>C</t>
        </is>
      </c>
      <c r="F3262" s="13" t="n">
        <v>1</v>
      </c>
      <c r="G3262" s="13" t="n">
        <v>8</v>
      </c>
      <c r="H3262" s="8" t="n">
        <v>3.4859</v>
      </c>
      <c r="I3262" s="8" t="n">
        <v>3.4859</v>
      </c>
      <c r="J3262" s="8" t="n">
        <v>3.4859</v>
      </c>
      <c r="K3262" s="8" t="n"/>
      <c r="L3262" s="8" t="n"/>
      <c r="M3262" s="8" t="n"/>
      <c r="N3262" s="8" t="n"/>
      <c r="O3262" s="8" t="n"/>
      <c r="P3262" s="8" t="n"/>
      <c r="Q3262" s="8" t="n"/>
      <c r="R3262" s="8" t="n"/>
      <c r="S3262" s="8" t="n"/>
      <c r="T3262" s="7" t="inlineStr">
        <is>
          <t>SEM COTAÇÃO</t>
        </is>
      </c>
      <c r="U3262" s="8" t="n"/>
      <c r="V3262" s="14" t="n"/>
      <c r="W3262" s="14" t="n"/>
      <c r="X3262" s="7" t="inlineStr"/>
      <c r="Y3262" s="7" t="inlineStr"/>
    </row>
    <row r="3263">
      <c r="A3263" s="7" t="n">
        <v>531661</v>
      </c>
      <c r="B3263" s="12" t="inlineStr">
        <is>
          <t>7898031310709</t>
        </is>
      </c>
      <c r="C3263" s="7" t="inlineStr">
        <is>
          <t>PASTA D AGUA 100G</t>
        </is>
      </c>
      <c r="D3263" s="7" t="inlineStr">
        <is>
          <t>SIMILAR</t>
        </is>
      </c>
      <c r="E3263" s="7" t="inlineStr">
        <is>
          <t>A</t>
        </is>
      </c>
      <c r="F3263" s="13" t="n">
        <v>12</v>
      </c>
      <c r="G3263" s="13" t="n">
        <v>12</v>
      </c>
      <c r="H3263" s="8" t="n">
        <v>6.28</v>
      </c>
      <c r="I3263" s="8" t="n">
        <v>6.13</v>
      </c>
      <c r="J3263" s="8" t="n">
        <v>6.13</v>
      </c>
      <c r="K3263" s="15" t="n">
        <v>6.28</v>
      </c>
      <c r="L3263" s="8" t="n"/>
      <c r="M3263" s="8" t="n"/>
      <c r="N3263" s="8" t="n"/>
      <c r="O3263" s="8" t="n"/>
      <c r="P3263" s="8" t="n">
        <v>6.95</v>
      </c>
      <c r="Q3263" s="8" t="n">
        <v>6.96</v>
      </c>
      <c r="R3263" s="8" t="n"/>
      <c r="S3263" s="8" t="n"/>
      <c r="T3263" s="7" t="inlineStr">
        <is>
          <t>DIMEC</t>
        </is>
      </c>
      <c r="U3263" s="8" t="n">
        <v>6.28</v>
      </c>
      <c r="V3263" s="14">
        <f>U3263/J3263-1</f>
        <v/>
      </c>
      <c r="W3263" s="14">
        <f>U3263/H3263-1</f>
        <v/>
      </c>
      <c r="X3263" s="17" t="inlineStr">
        <is>
          <t>OK (≤ últ. compra)</t>
        </is>
      </c>
      <c r="Y3263" s="7" t="inlineStr"/>
    </row>
    <row r="3264">
      <c r="A3264" s="7" t="n">
        <v>691101</v>
      </c>
      <c r="B3264" s="12" t="inlineStr">
        <is>
          <t>7896186000056</t>
        </is>
      </c>
      <c r="C3264" s="7" t="inlineStr">
        <is>
          <t>PASTA DAGUA SIMPLES 80G BISNAGA</t>
        </is>
      </c>
      <c r="D3264" s="7" t="inlineStr">
        <is>
          <t>GENERICO</t>
        </is>
      </c>
      <c r="E3264" s="7" t="inlineStr">
        <is>
          <t>B</t>
        </is>
      </c>
      <c r="F3264" s="13" t="n">
        <v>8</v>
      </c>
      <c r="G3264" s="13" t="n">
        <v>8</v>
      </c>
      <c r="H3264" s="8" t="n">
        <v>5.65</v>
      </c>
      <c r="I3264" s="8" t="n">
        <v>5.65</v>
      </c>
      <c r="J3264" s="8" t="n">
        <v>5.650000000000001</v>
      </c>
      <c r="K3264" s="8" t="n"/>
      <c r="L3264" s="8" t="n"/>
      <c r="M3264" s="8" t="n"/>
      <c r="N3264" s="8" t="n"/>
      <c r="O3264" s="8" t="n"/>
      <c r="P3264" s="8" t="n"/>
      <c r="Q3264" s="8" t="n"/>
      <c r="R3264" s="8" t="n"/>
      <c r="S3264" s="8" t="n"/>
      <c r="T3264" s="7" t="inlineStr">
        <is>
          <t>SEM COTAÇÃO</t>
        </is>
      </c>
      <c r="U3264" s="8" t="n"/>
      <c r="V3264" s="14" t="n"/>
      <c r="W3264" s="14" t="n"/>
      <c r="X3264" s="7" t="inlineStr"/>
      <c r="Y3264" s="7" t="inlineStr"/>
    </row>
    <row r="3265">
      <c r="A3265" s="7" t="n">
        <v>4063</v>
      </c>
      <c r="B3265" s="12" t="inlineStr">
        <is>
          <t>7898031311102</t>
        </is>
      </c>
      <c r="C3265" s="7" t="inlineStr">
        <is>
          <t>PASTA DAGUA SIMPLES 90G BISNAGA</t>
        </is>
      </c>
      <c r="D3265" s="7" t="inlineStr">
        <is>
          <t>SIMILAR</t>
        </is>
      </c>
      <c r="E3265" s="7" t="inlineStr">
        <is>
          <t>C</t>
        </is>
      </c>
      <c r="F3265" s="13" t="n">
        <v>3</v>
      </c>
      <c r="G3265" s="13" t="n">
        <v>3</v>
      </c>
      <c r="H3265" s="8" t="n">
        <v>7.74</v>
      </c>
      <c r="I3265" s="8" t="n">
        <v>7.57</v>
      </c>
      <c r="J3265" s="8" t="n">
        <v>7.683333333333334</v>
      </c>
      <c r="K3265" s="15" t="n">
        <v>7.74</v>
      </c>
      <c r="L3265" s="8" t="n"/>
      <c r="M3265" s="8" t="n"/>
      <c r="N3265" s="8" t="n"/>
      <c r="O3265" s="8" t="n"/>
      <c r="P3265" s="8" t="n">
        <v>8.5</v>
      </c>
      <c r="Q3265" s="8" t="n"/>
      <c r="R3265" s="8" t="n"/>
      <c r="S3265" s="8" t="n"/>
      <c r="T3265" s="7" t="inlineStr">
        <is>
          <t>DIMEC</t>
        </is>
      </c>
      <c r="U3265" s="8" t="n">
        <v>7.74</v>
      </c>
      <c r="V3265" s="14">
        <f>U3265/J3265-1</f>
        <v/>
      </c>
      <c r="W3265" s="14">
        <f>U3265/H3265-1</f>
        <v/>
      </c>
      <c r="X3265" s="17" t="inlineStr">
        <is>
          <t>OK (≤ últ. compra)</t>
        </is>
      </c>
      <c r="Y3265" s="7" t="inlineStr"/>
    </row>
    <row r="3266">
      <c r="A3266" s="7" t="n">
        <v>602041</v>
      </c>
      <c r="B3266" s="12" t="inlineStr">
        <is>
          <t>7898939072617</t>
        </is>
      </c>
      <c r="C3266" s="7" t="inlineStr">
        <is>
          <t>PASTA DE AMENDOIM POWER1ONE CROCANTE 1,005KG (L)</t>
        </is>
      </c>
      <c r="D3266" s="7" t="inlineStr">
        <is>
          <t>SUPLEMENTO</t>
        </is>
      </c>
      <c r="E3266" s="7" t="inlineStr">
        <is>
          <t>C</t>
        </is>
      </c>
      <c r="F3266" s="13" t="n">
        <v>2</v>
      </c>
      <c r="G3266" s="13" t="n">
        <v>2</v>
      </c>
      <c r="H3266" s="8" t="n">
        <v>25.81</v>
      </c>
      <c r="I3266" s="8" t="n">
        <v>20.81</v>
      </c>
      <c r="J3266" s="8" t="n">
        <v>22.47666666666666</v>
      </c>
      <c r="K3266" s="8" t="n"/>
      <c r="L3266" s="8" t="n"/>
      <c r="M3266" s="8" t="n"/>
      <c r="N3266" s="8" t="n"/>
      <c r="O3266" s="8" t="n"/>
      <c r="P3266" s="8" t="n"/>
      <c r="Q3266" s="8" t="n"/>
      <c r="R3266" s="8" t="n"/>
      <c r="S3266" s="15" t="n">
        <v>27</v>
      </c>
      <c r="T3266" s="7" t="inlineStr">
        <is>
          <t>AT_SUPLEMENTOS</t>
        </is>
      </c>
      <c r="U3266" s="8" t="n">
        <v>27</v>
      </c>
      <c r="V3266" s="14">
        <f>U3266/J3266-1</f>
        <v/>
      </c>
      <c r="W3266" s="14">
        <f>U3266/H3266-1</f>
        <v/>
      </c>
      <c r="X3266" s="16" t="inlineStr">
        <is>
          <t>ACIMA +4.6%</t>
        </is>
      </c>
      <c r="Y3266" s="7" t="inlineStr"/>
    </row>
    <row r="3267">
      <c r="A3267" s="7" t="n">
        <v>584261</v>
      </c>
      <c r="B3267" s="12" t="inlineStr">
        <is>
          <t>78910041</t>
        </is>
      </c>
      <c r="C3267" s="7" t="inlineStr">
        <is>
          <t>PASTILHA SABOR HORTELA GAROTO</t>
        </is>
      </c>
      <c r="D3267" s="7" t="inlineStr">
        <is>
          <t>CONVENIENCIA</t>
        </is>
      </c>
      <c r="E3267" s="7" t="inlineStr">
        <is>
          <t>B</t>
        </is>
      </c>
      <c r="F3267" s="13" t="n">
        <v>1</v>
      </c>
      <c r="G3267" s="13" t="n">
        <v>28</v>
      </c>
      <c r="H3267" s="8" t="n">
        <v>0.8718</v>
      </c>
      <c r="I3267" s="8" t="n">
        <v>0.8462</v>
      </c>
      <c r="J3267" s="8" t="n">
        <v>0.8632666666666666</v>
      </c>
      <c r="K3267" s="8" t="n"/>
      <c r="L3267" s="8" t="n"/>
      <c r="M3267" s="8" t="n"/>
      <c r="N3267" s="8" t="n"/>
      <c r="O3267" s="8" t="n"/>
      <c r="P3267" s="8" t="n"/>
      <c r="Q3267" s="8" t="n"/>
      <c r="R3267" s="8" t="n"/>
      <c r="S3267" s="8" t="n"/>
      <c r="T3267" s="7" t="inlineStr">
        <is>
          <t>SEM COTAÇÃO</t>
        </is>
      </c>
      <c r="U3267" s="8" t="n"/>
      <c r="V3267" s="14" t="n"/>
      <c r="W3267" s="14" t="n"/>
      <c r="X3267" s="7" t="inlineStr"/>
      <c r="Y3267" s="7" t="inlineStr"/>
    </row>
    <row r="3268">
      <c r="A3268" s="7" t="n">
        <v>565041</v>
      </c>
      <c r="B3268" s="12" t="inlineStr">
        <is>
          <t>78900813</t>
        </is>
      </c>
      <c r="C3268" s="7" t="inlineStr">
        <is>
          <t>PASTILHAS VALDA CLASSIC 24G</t>
        </is>
      </c>
      <c r="D3268" s="7" t="inlineStr">
        <is>
          <t>RX</t>
        </is>
      </c>
      <c r="E3268" s="7" t="inlineStr">
        <is>
          <t>C</t>
        </is>
      </c>
      <c r="F3268" s="13" t="n">
        <v>1</v>
      </c>
      <c r="G3268" s="13" t="n">
        <v>1</v>
      </c>
      <c r="H3268" s="8" t="n">
        <v>4.7158</v>
      </c>
      <c r="I3268" s="8" t="n">
        <v>4.6233</v>
      </c>
      <c r="J3268" s="8" t="n">
        <v>4.684966666666667</v>
      </c>
      <c r="K3268" s="8" t="n"/>
      <c r="L3268" s="8" t="n"/>
      <c r="M3268" s="8" t="n"/>
      <c r="N3268" s="8" t="n"/>
      <c r="O3268" s="8" t="n"/>
      <c r="P3268" s="8" t="n"/>
      <c r="Q3268" s="8" t="n"/>
      <c r="R3268" s="8" t="n"/>
      <c r="S3268" s="8" t="n"/>
      <c r="T3268" s="7" t="inlineStr">
        <is>
          <t>SEM COTAÇÃO</t>
        </is>
      </c>
      <c r="U3268" s="8" t="n"/>
      <c r="V3268" s="14" t="n"/>
      <c r="W3268" s="14" t="n"/>
      <c r="X3268" s="7" t="inlineStr"/>
      <c r="Y3268" s="7" t="inlineStr"/>
    </row>
    <row r="3269">
      <c r="A3269" s="7" t="n">
        <v>652011</v>
      </c>
      <c r="B3269" s="12" t="inlineStr">
        <is>
          <t>7891158106460</t>
        </is>
      </c>
      <c r="C3269" s="7" t="inlineStr">
        <is>
          <t>PEDIALYTE MAX COCO 500ML</t>
        </is>
      </c>
      <c r="D3269" s="7" t="inlineStr">
        <is>
          <t>RX</t>
        </is>
      </c>
      <c r="E3269" s="7" t="inlineStr">
        <is>
          <t>C</t>
        </is>
      </c>
      <c r="F3269" s="13" t="n">
        <v>3</v>
      </c>
      <c r="G3269" s="13" t="n">
        <v>3</v>
      </c>
      <c r="H3269" s="8" t="n">
        <v>22.32</v>
      </c>
      <c r="I3269" s="8" t="n">
        <v>20.09</v>
      </c>
      <c r="J3269" s="8" t="n">
        <v>20.09</v>
      </c>
      <c r="K3269" s="8" t="n"/>
      <c r="L3269" s="8" t="n"/>
      <c r="M3269" s="8" t="n">
        <v>21.92</v>
      </c>
      <c r="N3269" s="8" t="n"/>
      <c r="O3269" s="8" t="n"/>
      <c r="P3269" s="8" t="n"/>
      <c r="Q3269" s="8" t="n"/>
      <c r="R3269" s="8" t="n"/>
      <c r="S3269" s="8" t="n"/>
      <c r="T3269" s="7" t="inlineStr">
        <is>
          <t>SEM COTAÇÃO</t>
        </is>
      </c>
      <c r="U3269" s="8" t="n"/>
      <c r="V3269" s="14" t="n"/>
      <c r="W3269" s="14" t="n"/>
      <c r="X3269" s="7" t="inlineStr"/>
      <c r="Y3269" s="7" t="inlineStr">
        <is>
          <t>EPAN: sem estoque</t>
        </is>
      </c>
    </row>
    <row r="3270">
      <c r="A3270" s="7" t="n">
        <v>626361</v>
      </c>
      <c r="B3270" s="12" t="inlineStr"/>
      <c r="C3270" s="7" t="inlineStr">
        <is>
          <t>PEDIALYTE MAX SOL OR FR 500ML SB MACA</t>
        </is>
      </c>
      <c r="D3270" s="7" t="inlineStr">
        <is>
          <t>RX</t>
        </is>
      </c>
      <c r="E3270" s="7" t="inlineStr">
        <is>
          <t>A</t>
        </is>
      </c>
      <c r="F3270" s="13" t="n">
        <v>1</v>
      </c>
      <c r="G3270" s="13" t="n">
        <v>1</v>
      </c>
      <c r="H3270" s="8" t="n">
        <v>20.2167</v>
      </c>
      <c r="I3270" s="8" t="n">
        <v>19.04</v>
      </c>
      <c r="J3270" s="8" t="n">
        <v>19.04</v>
      </c>
      <c r="K3270" s="8" t="n"/>
      <c r="L3270" s="8" t="n"/>
      <c r="M3270" s="8" t="n"/>
      <c r="N3270" s="8" t="n"/>
      <c r="O3270" s="8" t="n"/>
      <c r="P3270" s="8" t="n"/>
      <c r="Q3270" s="8" t="n"/>
      <c r="R3270" s="8" t="n"/>
      <c r="S3270" s="8" t="n"/>
      <c r="T3270" s="7" t="inlineStr">
        <is>
          <t>SEM COTAÇÃO</t>
        </is>
      </c>
      <c r="U3270" s="8" t="n"/>
      <c r="V3270" s="14" t="n"/>
      <c r="W3270" s="14" t="n"/>
      <c r="X3270" s="7" t="inlineStr"/>
      <c r="Y3270" s="7" t="inlineStr"/>
    </row>
    <row r="3271">
      <c r="A3271" s="7" t="n">
        <v>626351</v>
      </c>
      <c r="B3271" s="12" t="inlineStr"/>
      <c r="C3271" s="7" t="inlineStr">
        <is>
          <t>PEDIALYTE MAX SOL OR FR 500ML SB MORANGO</t>
        </is>
      </c>
      <c r="D3271" s="7" t="inlineStr">
        <is>
          <t>RX</t>
        </is>
      </c>
      <c r="E3271" s="7" t="inlineStr">
        <is>
          <t>A</t>
        </is>
      </c>
      <c r="F3271" s="13" t="n">
        <v>7</v>
      </c>
      <c r="G3271" s="13" t="n">
        <v>7</v>
      </c>
      <c r="H3271" s="8" t="n">
        <v>17.865</v>
      </c>
      <c r="I3271" s="8" t="n">
        <v>17.8633</v>
      </c>
      <c r="J3271" s="8" t="n">
        <v>17.8633</v>
      </c>
      <c r="K3271" s="8" t="n"/>
      <c r="L3271" s="8" t="n"/>
      <c r="M3271" s="8" t="n"/>
      <c r="N3271" s="8" t="n"/>
      <c r="O3271" s="8" t="n"/>
      <c r="P3271" s="8" t="n"/>
      <c r="Q3271" s="8" t="n"/>
      <c r="R3271" s="8" t="n"/>
      <c r="S3271" s="8" t="n"/>
      <c r="T3271" s="7" t="inlineStr">
        <is>
          <t>SEM COTAÇÃO</t>
        </is>
      </c>
      <c r="U3271" s="8" t="n"/>
      <c r="V3271" s="14" t="n"/>
      <c r="W3271" s="14" t="n"/>
      <c r="X3271" s="7" t="inlineStr"/>
      <c r="Y3271" s="7" t="inlineStr"/>
    </row>
    <row r="3272">
      <c r="A3272" s="7" t="n">
        <v>626341</v>
      </c>
      <c r="B3272" s="12" t="inlineStr"/>
      <c r="C3272" s="7" t="inlineStr">
        <is>
          <t>PEDIALYTE MAX SOL OR FR 500ML SB UVA</t>
        </is>
      </c>
      <c r="D3272" s="7" t="inlineStr">
        <is>
          <t>RX</t>
        </is>
      </c>
      <c r="E3272" s="7" t="inlineStr">
        <is>
          <t>A</t>
        </is>
      </c>
      <c r="F3272" s="13" t="n">
        <v>1</v>
      </c>
      <c r="G3272" s="13" t="n">
        <v>1</v>
      </c>
      <c r="H3272" s="8" t="n">
        <v>20.2167</v>
      </c>
      <c r="I3272" s="8" t="n">
        <v>18.53</v>
      </c>
      <c r="J3272" s="8" t="n">
        <v>19.65446666666667</v>
      </c>
      <c r="K3272" s="8" t="n"/>
      <c r="L3272" s="8" t="n"/>
      <c r="M3272" s="8" t="n"/>
      <c r="N3272" s="8" t="n"/>
      <c r="O3272" s="8" t="n"/>
      <c r="P3272" s="8" t="n"/>
      <c r="Q3272" s="8" t="n"/>
      <c r="R3272" s="8" t="n"/>
      <c r="S3272" s="8" t="n"/>
      <c r="T3272" s="7" t="inlineStr">
        <is>
          <t>SEM COTAÇÃO</t>
        </is>
      </c>
      <c r="U3272" s="8" t="n"/>
      <c r="V3272" s="14" t="n"/>
      <c r="W3272" s="14" t="n"/>
      <c r="X3272" s="7" t="inlineStr"/>
      <c r="Y3272" s="7" t="inlineStr"/>
    </row>
    <row r="3273">
      <c r="A3273" s="7" t="n">
        <v>402681</v>
      </c>
      <c r="B3273" s="12" t="inlineStr"/>
      <c r="C3273" s="7" t="inlineStr">
        <is>
          <t>PEDILETAN 10MG/ML LOCAO FR 60ML</t>
        </is>
      </c>
      <c r="D3273" s="7" t="inlineStr">
        <is>
          <t>SIMILAR</t>
        </is>
      </c>
      <c r="E3273" s="7" t="inlineStr">
        <is>
          <t>A</t>
        </is>
      </c>
      <c r="F3273" s="13" t="n">
        <v>4</v>
      </c>
      <c r="G3273" s="13" t="n">
        <v>4</v>
      </c>
      <c r="H3273" s="8" t="n">
        <v>10.45</v>
      </c>
      <c r="I3273" s="8" t="n">
        <v>7.99</v>
      </c>
      <c r="J3273" s="8" t="n">
        <v>8.81</v>
      </c>
      <c r="K3273" s="8" t="n"/>
      <c r="L3273" s="8" t="n"/>
      <c r="M3273" s="8" t="n"/>
      <c r="N3273" s="8" t="n"/>
      <c r="O3273" s="8" t="n"/>
      <c r="P3273" s="8" t="n"/>
      <c r="Q3273" s="8" t="n"/>
      <c r="R3273" s="8" t="n"/>
      <c r="S3273" s="8" t="n"/>
      <c r="T3273" s="7" t="inlineStr">
        <is>
          <t>SEM COTAÇÃO</t>
        </is>
      </c>
      <c r="U3273" s="8" t="n"/>
      <c r="V3273" s="14" t="n"/>
      <c r="W3273" s="14" t="n"/>
      <c r="X3273" s="7" t="inlineStr"/>
      <c r="Y3273" s="7" t="inlineStr"/>
    </row>
    <row r="3274">
      <c r="A3274" s="7" t="n">
        <v>662241</v>
      </c>
      <c r="B3274" s="12" t="inlineStr">
        <is>
          <t>7898719041048</t>
        </is>
      </c>
      <c r="C3274" s="7" t="inlineStr">
        <is>
          <t>PEDRA HUME 35ML SPRAY</t>
        </is>
      </c>
      <c r="D3274" s="7" t="inlineStr">
        <is>
          <t>UTENSILIOS</t>
        </is>
      </c>
      <c r="E3274" s="7" t="inlineStr">
        <is>
          <t>C</t>
        </is>
      </c>
      <c r="F3274" s="13" t="n">
        <v>2</v>
      </c>
      <c r="G3274" s="13" t="n">
        <v>2</v>
      </c>
      <c r="H3274" s="8" t="n">
        <v>6.59</v>
      </c>
      <c r="I3274" s="8" t="n">
        <v>6.59</v>
      </c>
      <c r="J3274" s="8" t="n">
        <v>6.59</v>
      </c>
      <c r="K3274" s="15" t="n">
        <v>6.59</v>
      </c>
      <c r="L3274" s="8" t="n"/>
      <c r="M3274" s="8" t="n"/>
      <c r="N3274" s="8" t="n"/>
      <c r="O3274" s="8" t="n"/>
      <c r="P3274" s="8" t="n"/>
      <c r="Q3274" s="8" t="n"/>
      <c r="R3274" s="8" t="n"/>
      <c r="S3274" s="8" t="n"/>
      <c r="T3274" s="7" t="inlineStr">
        <is>
          <t>DIMEC</t>
        </is>
      </c>
      <c r="U3274" s="8" t="n">
        <v>6.59</v>
      </c>
      <c r="V3274" s="14">
        <f>U3274/J3274-1</f>
        <v/>
      </c>
      <c r="W3274" s="14">
        <f>U3274/H3274-1</f>
        <v/>
      </c>
      <c r="X3274" s="17" t="inlineStr">
        <is>
          <t>OK (≤ menor hist.)</t>
        </is>
      </c>
      <c r="Y3274" s="7" t="inlineStr"/>
    </row>
    <row r="3275">
      <c r="A3275" s="7" t="n">
        <v>630971</v>
      </c>
      <c r="B3275" s="12" t="inlineStr">
        <is>
          <t>7896902209749</t>
        </is>
      </c>
      <c r="C3275" s="7" t="inlineStr">
        <is>
          <t>PEDRA HUME FARMAX 30ML C/GLIC SPRAY</t>
        </is>
      </c>
      <c r="D3275" s="7" t="inlineStr">
        <is>
          <t>CURATIVO</t>
        </is>
      </c>
      <c r="E3275" s="7" t="inlineStr">
        <is>
          <t>C</t>
        </is>
      </c>
      <c r="F3275" s="13" t="n">
        <v>2</v>
      </c>
      <c r="G3275" s="13" t="n">
        <v>2</v>
      </c>
      <c r="H3275" s="8" t="n">
        <v>7.04</v>
      </c>
      <c r="I3275" s="8" t="n">
        <v>7.04</v>
      </c>
      <c r="J3275" s="8" t="n">
        <v>7.04</v>
      </c>
      <c r="K3275" s="8" t="n"/>
      <c r="L3275" s="8" t="n"/>
      <c r="M3275" s="8" t="n"/>
      <c r="N3275" s="8" t="n"/>
      <c r="O3275" s="8" t="n"/>
      <c r="P3275" s="15" t="n">
        <v>7.04</v>
      </c>
      <c r="Q3275" s="8" t="n"/>
      <c r="R3275" s="8" t="n"/>
      <c r="S3275" s="8" t="n"/>
      <c r="T3275" s="7" t="inlineStr">
        <is>
          <t>NAZARIA</t>
        </is>
      </c>
      <c r="U3275" s="8" t="n">
        <v>7.04</v>
      </c>
      <c r="V3275" s="14">
        <f>U3275/J3275-1</f>
        <v/>
      </c>
      <c r="W3275" s="14">
        <f>U3275/H3275-1</f>
        <v/>
      </c>
      <c r="X3275" s="17" t="inlineStr">
        <is>
          <t>OK (≤ menor hist.)</t>
        </is>
      </c>
      <c r="Y3275" s="7" t="inlineStr"/>
    </row>
    <row r="3276">
      <c r="A3276" s="7" t="n">
        <v>650601</v>
      </c>
      <c r="B3276" s="12" t="inlineStr">
        <is>
          <t>7898719040775</t>
        </is>
      </c>
      <c r="C3276" s="7" t="inlineStr">
        <is>
          <t>PEDRA HUME PO 30G SACHE</t>
        </is>
      </c>
      <c r="D3276" s="7" t="inlineStr">
        <is>
          <t>OTC</t>
        </is>
      </c>
      <c r="E3276" s="7" t="inlineStr">
        <is>
          <t>C</t>
        </is>
      </c>
      <c r="F3276" s="13" t="n">
        <v>3</v>
      </c>
      <c r="G3276" s="13" t="n">
        <v>3</v>
      </c>
      <c r="H3276" s="8" t="n">
        <v>2.96</v>
      </c>
      <c r="I3276" s="8" t="n">
        <v>2.96</v>
      </c>
      <c r="J3276" s="8" t="n">
        <v>2.96</v>
      </c>
      <c r="K3276" s="8" t="n"/>
      <c r="L3276" s="8" t="n"/>
      <c r="M3276" s="8" t="n"/>
      <c r="N3276" s="8" t="n"/>
      <c r="O3276" s="8" t="n"/>
      <c r="P3276" s="8" t="n"/>
      <c r="Q3276" s="8" t="n"/>
      <c r="R3276" s="8" t="n"/>
      <c r="S3276" s="8" t="n"/>
      <c r="T3276" s="7" t="inlineStr">
        <is>
          <t>SEM COTAÇÃO</t>
        </is>
      </c>
      <c r="U3276" s="8" t="n"/>
      <c r="V3276" s="14" t="n"/>
      <c r="W3276" s="14" t="n"/>
      <c r="X3276" s="7" t="inlineStr"/>
      <c r="Y3276" s="7" t="inlineStr"/>
    </row>
    <row r="3277">
      <c r="A3277" s="7" t="n">
        <v>644681</v>
      </c>
      <c r="B3277" s="12" t="inlineStr">
        <is>
          <t>7898031310891</t>
        </is>
      </c>
      <c r="C3277" s="7" t="inlineStr">
        <is>
          <t>PEDRA HUME SOLUCAO SPRAY 30ML</t>
        </is>
      </c>
      <c r="D3277" s="7" t="inlineStr">
        <is>
          <t>OTC</t>
        </is>
      </c>
      <c r="E3277" s="7" t="inlineStr">
        <is>
          <t>B</t>
        </is>
      </c>
      <c r="F3277" s="13" t="n">
        <v>4</v>
      </c>
      <c r="G3277" s="13" t="n">
        <v>4</v>
      </c>
      <c r="H3277" s="8" t="n">
        <v>5.45</v>
      </c>
      <c r="I3277" s="8" t="n">
        <v>5.45</v>
      </c>
      <c r="J3277" s="8" t="n">
        <v>5.45</v>
      </c>
      <c r="K3277" s="8" t="n">
        <v>5.45</v>
      </c>
      <c r="L3277" s="8" t="n"/>
      <c r="M3277" s="8" t="n"/>
      <c r="N3277" s="8" t="n"/>
      <c r="O3277" s="15" t="n">
        <v>3.91</v>
      </c>
      <c r="P3277" s="8" t="n">
        <v>7.05</v>
      </c>
      <c r="Q3277" s="8" t="n">
        <v>6.45</v>
      </c>
      <c r="R3277" s="8" t="n"/>
      <c r="S3277" s="8" t="n"/>
      <c r="T3277" s="7" t="inlineStr">
        <is>
          <t>TAPAJOS</t>
        </is>
      </c>
      <c r="U3277" s="8" t="n">
        <v>3.91</v>
      </c>
      <c r="V3277" s="14">
        <f>U3277/J3277-1</f>
        <v/>
      </c>
      <c r="W3277" s="14">
        <f>U3277/H3277-1</f>
        <v/>
      </c>
      <c r="X3277" s="17" t="inlineStr">
        <is>
          <t>OK (≤ menor hist.)</t>
        </is>
      </c>
      <c r="Y3277" s="7" t="inlineStr"/>
    </row>
    <row r="3278">
      <c r="A3278" s="7" t="n">
        <v>571861</v>
      </c>
      <c r="B3278" s="12" t="inlineStr"/>
      <c r="C3278" s="7" t="inlineStr">
        <is>
          <t>PEDRA HUME SPRAY 30ML BELLAPHYTUS</t>
        </is>
      </c>
      <c r="D3278" s="7" t="inlineStr">
        <is>
          <t>SIMILAR</t>
        </is>
      </c>
      <c r="E3278" s="7" t="inlineStr">
        <is>
          <t>B</t>
        </is>
      </c>
      <c r="F3278" s="13" t="n">
        <v>3</v>
      </c>
      <c r="G3278" s="13" t="n">
        <v>3</v>
      </c>
      <c r="H3278" s="8" t="n">
        <v>5.96</v>
      </c>
      <c r="I3278" s="8" t="n">
        <v>5.79</v>
      </c>
      <c r="J3278" s="8" t="n">
        <v>5.896666666666667</v>
      </c>
      <c r="K3278" s="8" t="n"/>
      <c r="L3278" s="8" t="n"/>
      <c r="M3278" s="8" t="n"/>
      <c r="N3278" s="8" t="n"/>
      <c r="O3278" s="8" t="n"/>
      <c r="P3278" s="8" t="n"/>
      <c r="Q3278" s="8" t="n"/>
      <c r="R3278" s="8" t="n"/>
      <c r="S3278" s="8" t="n"/>
      <c r="T3278" s="7" t="inlineStr">
        <is>
          <t>SEM COTAÇÃO</t>
        </is>
      </c>
      <c r="U3278" s="8" t="n"/>
      <c r="V3278" s="14" t="n"/>
      <c r="W3278" s="14" t="n"/>
      <c r="X3278" s="7" t="inlineStr"/>
      <c r="Y3278" s="7" t="inlineStr"/>
    </row>
    <row r="3279">
      <c r="A3279" s="7" t="n">
        <v>17603</v>
      </c>
      <c r="B3279" s="12" t="inlineStr">
        <is>
          <t>7896026172356</t>
        </is>
      </c>
      <c r="C3279" s="7" t="inlineStr">
        <is>
          <t>PENETRO SPRAY 50ML</t>
        </is>
      </c>
      <c r="D3279" s="7" t="inlineStr">
        <is>
          <t>RX</t>
        </is>
      </c>
      <c r="E3279" s="7" t="inlineStr">
        <is>
          <t>C</t>
        </is>
      </c>
      <c r="F3279" s="13" t="n">
        <v>1</v>
      </c>
      <c r="G3279" s="13" t="n">
        <v>1</v>
      </c>
      <c r="H3279" s="8" t="n">
        <v>33.915</v>
      </c>
      <c r="I3279" s="8" t="n">
        <v>33.915</v>
      </c>
      <c r="J3279" s="8" t="n">
        <v>33.915</v>
      </c>
      <c r="K3279" s="8" t="n"/>
      <c r="L3279" s="8" t="n"/>
      <c r="M3279" s="8" t="n"/>
      <c r="N3279" s="8" t="n"/>
      <c r="O3279" s="8" t="n"/>
      <c r="P3279" s="8" t="n">
        <v>31.234</v>
      </c>
      <c r="Q3279" s="8" t="n"/>
      <c r="R3279" s="8" t="n"/>
      <c r="S3279" s="8" t="n"/>
      <c r="T3279" s="7" t="inlineStr">
        <is>
          <t>SEM COTAÇÃO</t>
        </is>
      </c>
      <c r="U3279" s="8" t="n"/>
      <c r="V3279" s="14" t="n"/>
      <c r="W3279" s="14" t="n"/>
      <c r="X3279" s="7" t="inlineStr"/>
      <c r="Y3279" s="7" t="inlineStr">
        <is>
          <t>NAZARIA: sem estoque</t>
        </is>
      </c>
    </row>
    <row r="3280">
      <c r="A3280" s="7" t="n">
        <v>602671</v>
      </c>
      <c r="B3280" s="12" t="inlineStr"/>
      <c r="C3280" s="7" t="inlineStr">
        <is>
          <t>PENTE DE ACO - DR PENTINHO</t>
        </is>
      </c>
      <c r="D3280" s="7" t="inlineStr">
        <is>
          <t>BABY/KIDS</t>
        </is>
      </c>
      <c r="E3280" s="7" t="inlineStr">
        <is>
          <t>A</t>
        </is>
      </c>
      <c r="F3280" s="13" t="n">
        <v>3</v>
      </c>
      <c r="G3280" s="13" t="n">
        <v>3</v>
      </c>
      <c r="H3280" s="8" t="n">
        <v>11.46</v>
      </c>
      <c r="I3280" s="8" t="n">
        <v>11.46</v>
      </c>
      <c r="J3280" s="8" t="n">
        <v>11.46</v>
      </c>
      <c r="K3280" s="8" t="n"/>
      <c r="L3280" s="8" t="n"/>
      <c r="M3280" s="8" t="n"/>
      <c r="N3280" s="8" t="n"/>
      <c r="O3280" s="8" t="n"/>
      <c r="P3280" s="8" t="n"/>
      <c r="Q3280" s="8" t="n"/>
      <c r="R3280" s="8" t="n"/>
      <c r="S3280" s="8" t="n"/>
      <c r="T3280" s="7" t="inlineStr">
        <is>
          <t>SEM COTAÇÃO</t>
        </is>
      </c>
      <c r="U3280" s="8" t="n"/>
      <c r="V3280" s="14" t="n"/>
      <c r="W3280" s="14" t="n"/>
      <c r="X3280" s="7" t="inlineStr"/>
      <c r="Y3280" s="7" t="inlineStr"/>
    </row>
    <row r="3281">
      <c r="A3281" s="7" t="n">
        <v>550381</v>
      </c>
      <c r="B3281" s="12" t="inlineStr">
        <is>
          <t>7898552160982</t>
        </is>
      </c>
      <c r="C3281" s="7" t="inlineStr">
        <is>
          <t>PENTE FINO C/CABO P/PIOLHO</t>
        </is>
      </c>
      <c r="D3281" s="7" t="inlineStr">
        <is>
          <t>PERF/COSME</t>
        </is>
      </c>
      <c r="E3281" s="7" t="inlineStr">
        <is>
          <t>C</t>
        </is>
      </c>
      <c r="F3281" s="13" t="n">
        <v>1</v>
      </c>
      <c r="G3281" s="13" t="n">
        <v>1</v>
      </c>
      <c r="H3281" s="8" t="n"/>
      <c r="I3281" s="8" t="n"/>
      <c r="J3281" s="8" t="n"/>
      <c r="K3281" s="8" t="n"/>
      <c r="L3281" s="8" t="n"/>
      <c r="M3281" s="8" t="n"/>
      <c r="N3281" s="8" t="n"/>
      <c r="O3281" s="8" t="n"/>
      <c r="P3281" s="8" t="n"/>
      <c r="Q3281" s="8" t="n"/>
      <c r="R3281" s="8" t="n"/>
      <c r="S3281" s="8" t="n"/>
      <c r="T3281" s="7" t="inlineStr">
        <is>
          <t>SEM COTAÇÃO</t>
        </is>
      </c>
      <c r="U3281" s="8" t="n"/>
      <c r="V3281" s="14" t="n"/>
      <c r="W3281" s="14" t="n"/>
      <c r="X3281" s="7" t="inlineStr"/>
      <c r="Y3281" s="7" t="inlineStr"/>
    </row>
    <row r="3282">
      <c r="A3282" s="7" t="n">
        <v>3193</v>
      </c>
      <c r="B3282" s="12" t="inlineStr">
        <is>
          <t>631430102097</t>
        </is>
      </c>
      <c r="C3282" s="7" t="inlineStr">
        <is>
          <t>PENTE FINO DR PETTINE 1 UN LARANJA</t>
        </is>
      </c>
      <c r="D3282" s="7" t="inlineStr">
        <is>
          <t>UTENSILIOS</t>
        </is>
      </c>
      <c r="E3282" s="7" t="inlineStr">
        <is>
          <t>C</t>
        </is>
      </c>
      <c r="F3282" s="13" t="n">
        <v>2</v>
      </c>
      <c r="G3282" s="13" t="n">
        <v>2</v>
      </c>
      <c r="H3282" s="8" t="n">
        <v>6.99</v>
      </c>
      <c r="I3282" s="8" t="n">
        <v>6.99</v>
      </c>
      <c r="J3282" s="8" t="n">
        <v>6.989999999999999</v>
      </c>
      <c r="K3282" s="8" t="n"/>
      <c r="L3282" s="8" t="n"/>
      <c r="M3282" s="8" t="n"/>
      <c r="N3282" s="8" t="n"/>
      <c r="O3282" s="8" t="n"/>
      <c r="P3282" s="8" t="n"/>
      <c r="Q3282" s="8" t="n"/>
      <c r="R3282" s="8" t="n"/>
      <c r="S3282" s="8" t="n"/>
      <c r="T3282" s="7" t="inlineStr">
        <is>
          <t>SEM COTAÇÃO</t>
        </is>
      </c>
      <c r="U3282" s="8" t="n"/>
      <c r="V3282" s="14" t="n"/>
      <c r="W3282" s="14" t="n"/>
      <c r="X3282" s="7" t="inlineStr"/>
      <c r="Y3282" s="7" t="inlineStr"/>
    </row>
    <row r="3283">
      <c r="A3283" s="7" t="n">
        <v>639911</v>
      </c>
      <c r="B3283" s="12" t="inlineStr">
        <is>
          <t>7898953484410</t>
        </is>
      </c>
      <c r="C3283" s="7" t="inlineStr">
        <is>
          <t>PENTE FINO TIRA PIOLHO 1 UN ROSA</t>
        </is>
      </c>
      <c r="D3283" s="7" t="inlineStr">
        <is>
          <t>UTENSILIOS</t>
        </is>
      </c>
      <c r="E3283" s="7" t="inlineStr">
        <is>
          <t>B</t>
        </is>
      </c>
      <c r="F3283" s="13" t="n">
        <v>5</v>
      </c>
      <c r="G3283" s="13" t="n">
        <v>5</v>
      </c>
      <c r="H3283" s="8" t="n">
        <v>11.84</v>
      </c>
      <c r="I3283" s="8" t="n">
        <v>11.84</v>
      </c>
      <c r="J3283" s="8" t="n">
        <v>11.84</v>
      </c>
      <c r="K3283" s="15" t="n">
        <v>11.84</v>
      </c>
      <c r="L3283" s="8" t="n"/>
      <c r="M3283" s="8" t="n"/>
      <c r="N3283" s="8" t="n">
        <v>12.59</v>
      </c>
      <c r="O3283" s="8" t="n"/>
      <c r="P3283" s="8" t="n"/>
      <c r="Q3283" s="8" t="n"/>
      <c r="R3283" s="8" t="n"/>
      <c r="S3283" s="8" t="n"/>
      <c r="T3283" s="7" t="inlineStr">
        <is>
          <t>DIMEC</t>
        </is>
      </c>
      <c r="U3283" s="8" t="n">
        <v>11.84</v>
      </c>
      <c r="V3283" s="14">
        <f>U3283/J3283-1</f>
        <v/>
      </c>
      <c r="W3283" s="14">
        <f>U3283/H3283-1</f>
        <v/>
      </c>
      <c r="X3283" s="17" t="inlineStr">
        <is>
          <t>OK (≤ menor hist.)</t>
        </is>
      </c>
      <c r="Y3283" s="7" t="inlineStr"/>
    </row>
    <row r="3284">
      <c r="A3284" s="7" t="n">
        <v>599201</v>
      </c>
      <c r="B3284" s="12" t="inlineStr">
        <is>
          <t>7892840800079</t>
        </is>
      </c>
      <c r="C3284" s="7" t="inlineStr">
        <is>
          <t>PEPSI COLA 350ML</t>
        </is>
      </c>
      <c r="D3284" s="7" t="inlineStr">
        <is>
          <t>BEBIDAS GERAL</t>
        </is>
      </c>
      <c r="E3284" s="7" t="inlineStr">
        <is>
          <t>C</t>
        </is>
      </c>
      <c r="F3284" s="13" t="n">
        <v>1</v>
      </c>
      <c r="G3284" s="13" t="n">
        <v>1</v>
      </c>
      <c r="H3284" s="8" t="n">
        <v>2.39</v>
      </c>
      <c r="I3284" s="8" t="n">
        <v>2.39</v>
      </c>
      <c r="J3284" s="8" t="n">
        <v>2.39</v>
      </c>
      <c r="K3284" s="8" t="n"/>
      <c r="L3284" s="8" t="n"/>
      <c r="M3284" s="8" t="n"/>
      <c r="N3284" s="8" t="n"/>
      <c r="O3284" s="8" t="n"/>
      <c r="P3284" s="8" t="n"/>
      <c r="Q3284" s="8" t="n"/>
      <c r="R3284" s="8" t="n"/>
      <c r="S3284" s="8" t="n"/>
      <c r="T3284" s="7" t="inlineStr">
        <is>
          <t>SEM COTAÇÃO</t>
        </is>
      </c>
      <c r="U3284" s="8" t="n"/>
      <c r="V3284" s="14" t="n"/>
      <c r="W3284" s="14" t="n"/>
      <c r="X3284" s="7" t="inlineStr"/>
      <c r="Y3284" s="7" t="inlineStr"/>
    </row>
    <row r="3285">
      <c r="A3285" s="7" t="n">
        <v>220241</v>
      </c>
      <c r="B3285" s="12" t="inlineStr"/>
      <c r="C3285" s="7" t="inlineStr">
        <is>
          <t>PEPSOGEL SUSP FR 240ML</t>
        </is>
      </c>
      <c r="D3285" s="7" t="inlineStr">
        <is>
          <t>SIMILAR</t>
        </is>
      </c>
      <c r="E3285" s="7" t="inlineStr">
        <is>
          <t>A</t>
        </is>
      </c>
      <c r="F3285" s="13" t="n">
        <v>15</v>
      </c>
      <c r="G3285" s="13" t="n">
        <v>15</v>
      </c>
      <c r="H3285" s="8" t="n">
        <v>11.66</v>
      </c>
      <c r="I3285" s="8" t="n">
        <v>11.38</v>
      </c>
      <c r="J3285" s="8" t="n">
        <v>11.38</v>
      </c>
      <c r="K3285" s="8" t="n"/>
      <c r="L3285" s="8" t="n"/>
      <c r="M3285" s="8" t="n"/>
      <c r="N3285" s="8" t="n"/>
      <c r="O3285" s="8" t="n"/>
      <c r="P3285" s="8" t="n"/>
      <c r="Q3285" s="8" t="n"/>
      <c r="R3285" s="15" t="n">
        <v>11.69</v>
      </c>
      <c r="S3285" s="8" t="n"/>
      <c r="T3285" s="7" t="inlineStr">
        <is>
          <t>BRASFARMA</t>
        </is>
      </c>
      <c r="U3285" s="8" t="n">
        <v>11.69</v>
      </c>
      <c r="V3285" s="14">
        <f>U3285/J3285-1</f>
        <v/>
      </c>
      <c r="W3285" s="14">
        <f>U3285/H3285-1</f>
        <v/>
      </c>
      <c r="X3285" s="16" t="inlineStr">
        <is>
          <t>ACIMA +0.3%</t>
        </is>
      </c>
      <c r="Y3285" s="7" t="inlineStr"/>
    </row>
    <row r="3286">
      <c r="A3286" s="7" t="n">
        <v>660221</v>
      </c>
      <c r="B3286" s="12" t="inlineStr">
        <is>
          <t>7898277715115</t>
        </is>
      </c>
      <c r="C3286" s="7" t="inlineStr">
        <is>
          <t>PEPTINON SB.PEPTS FRUITS 60 FLACONETES 10ML</t>
        </is>
      </c>
      <c r="D3286" s="7" t="inlineStr">
        <is>
          <t>SIMILAR</t>
        </is>
      </c>
      <c r="E3286" s="7" t="inlineStr">
        <is>
          <t>C</t>
        </is>
      </c>
      <c r="F3286" s="13" t="n">
        <v>1</v>
      </c>
      <c r="G3286" s="13" t="n">
        <v>54</v>
      </c>
      <c r="H3286" s="8" t="n">
        <v>28.99</v>
      </c>
      <c r="I3286" s="8" t="n">
        <v>28.99</v>
      </c>
      <c r="J3286" s="8" t="n">
        <v>28.99</v>
      </c>
      <c r="K3286" s="8" t="n"/>
      <c r="L3286" s="8" t="n"/>
      <c r="M3286" s="8" t="n"/>
      <c r="N3286" s="8" t="n"/>
      <c r="O3286" s="8" t="n"/>
      <c r="P3286" s="8" t="n"/>
      <c r="Q3286" s="8" t="n"/>
      <c r="R3286" s="8" t="n"/>
      <c r="S3286" s="8" t="n"/>
      <c r="T3286" s="7" t="inlineStr">
        <is>
          <t>SEM COTAÇÃO</t>
        </is>
      </c>
      <c r="U3286" s="8" t="n"/>
      <c r="V3286" s="14" t="n"/>
      <c r="W3286" s="14" t="n"/>
      <c r="X3286" s="7" t="inlineStr"/>
      <c r="Y3286" s="7" t="inlineStr"/>
    </row>
    <row r="3287">
      <c r="A3287" s="7" t="n">
        <v>316121</v>
      </c>
      <c r="B3287" s="12" t="inlineStr"/>
      <c r="C3287" s="7" t="inlineStr">
        <is>
          <t>PERCOF 6 MG/ML XPE FR 120ML+COPO MED</t>
        </is>
      </c>
      <c r="D3287" s="7" t="inlineStr">
        <is>
          <t>RX</t>
        </is>
      </c>
      <c r="E3287" s="7" t="inlineStr">
        <is>
          <t>A</t>
        </is>
      </c>
      <c r="F3287" s="13" t="n">
        <v>4</v>
      </c>
      <c r="G3287" s="13" t="n">
        <v>4</v>
      </c>
      <c r="H3287" s="8" t="n">
        <v>32.9686</v>
      </c>
      <c r="I3287" s="8" t="n">
        <v>31.67</v>
      </c>
      <c r="J3287" s="8" t="n">
        <v>32.28526666666667</v>
      </c>
      <c r="K3287" s="8" t="n"/>
      <c r="L3287" s="8" t="n"/>
      <c r="M3287" s="8" t="n"/>
      <c r="N3287" s="8" t="n"/>
      <c r="O3287" s="8" t="n"/>
      <c r="P3287" s="8" t="n"/>
      <c r="Q3287" s="8" t="n"/>
      <c r="R3287" s="8" t="n"/>
      <c r="S3287" s="8" t="n"/>
      <c r="T3287" s="7" t="inlineStr">
        <is>
          <t>SEM COTAÇÃO</t>
        </is>
      </c>
      <c r="U3287" s="8" t="n"/>
      <c r="V3287" s="14" t="n"/>
      <c r="W3287" s="14" t="n"/>
      <c r="X3287" s="7" t="inlineStr"/>
      <c r="Y3287" s="7" t="inlineStr"/>
    </row>
    <row r="3288">
      <c r="A3288" s="7" t="n">
        <v>675911</v>
      </c>
      <c r="B3288" s="12" t="inlineStr">
        <is>
          <t>7898719041857</t>
        </is>
      </c>
      <c r="C3288" s="7" t="inlineStr">
        <is>
          <t>PERIOASSEPT 250ML EXTRA MINT SEM ALCOOL</t>
        </is>
      </c>
      <c r="D3288" s="7" t="inlineStr">
        <is>
          <t>SIMILAR</t>
        </is>
      </c>
      <c r="E3288" s="7" t="inlineStr">
        <is>
          <t>A</t>
        </is>
      </c>
      <c r="F3288" s="13" t="n">
        <v>3</v>
      </c>
      <c r="G3288" s="13" t="n">
        <v>3</v>
      </c>
      <c r="H3288" s="8" t="n">
        <v>12.95</v>
      </c>
      <c r="I3288" s="8" t="n">
        <v>12.95</v>
      </c>
      <c r="J3288" s="8" t="n">
        <v>12.95</v>
      </c>
      <c r="K3288" s="8" t="n"/>
      <c r="L3288" s="8" t="n"/>
      <c r="M3288" s="8" t="n"/>
      <c r="N3288" s="8" t="n"/>
      <c r="O3288" s="8" t="n"/>
      <c r="P3288" s="8" t="n"/>
      <c r="Q3288" s="8" t="n"/>
      <c r="R3288" s="15" t="n">
        <v>14.69</v>
      </c>
      <c r="S3288" s="8" t="n"/>
      <c r="T3288" s="7" t="inlineStr">
        <is>
          <t>BRASFARMA</t>
        </is>
      </c>
      <c r="U3288" s="8" t="n">
        <v>14.69</v>
      </c>
      <c r="V3288" s="14">
        <f>U3288/J3288-1</f>
        <v/>
      </c>
      <c r="W3288" s="14">
        <f>U3288/H3288-1</f>
        <v/>
      </c>
      <c r="X3288" s="16" t="inlineStr">
        <is>
          <t>ACIMA +13.4%</t>
        </is>
      </c>
      <c r="Y3288" s="7" t="inlineStr"/>
    </row>
    <row r="3289">
      <c r="A3289" s="7" t="n">
        <v>3563</v>
      </c>
      <c r="B3289" s="12" t="inlineStr">
        <is>
          <t>7898719040539</t>
        </is>
      </c>
      <c r="C3289" s="7" t="inlineStr">
        <is>
          <t>PERIOASSEPT 250ML MENTA COM ALCOOL</t>
        </is>
      </c>
      <c r="D3289" s="7" t="inlineStr">
        <is>
          <t>SIMILAR</t>
        </is>
      </c>
      <c r="E3289" s="7" t="inlineStr">
        <is>
          <t>C</t>
        </is>
      </c>
      <c r="F3289" s="13" t="n">
        <v>1</v>
      </c>
      <c r="G3289" s="13" t="n">
        <v>1</v>
      </c>
      <c r="H3289" s="8" t="n">
        <v>11.99</v>
      </c>
      <c r="I3289" s="8" t="n">
        <v>11.99</v>
      </c>
      <c r="J3289" s="8" t="n">
        <v>11.99</v>
      </c>
      <c r="K3289" s="15" t="n">
        <v>12.95</v>
      </c>
      <c r="L3289" s="8" t="n"/>
      <c r="M3289" s="8" t="n"/>
      <c r="N3289" s="8" t="n"/>
      <c r="O3289" s="8" t="n"/>
      <c r="P3289" s="8" t="n"/>
      <c r="Q3289" s="8" t="n"/>
      <c r="R3289" s="8" t="n"/>
      <c r="S3289" s="8" t="n"/>
      <c r="T3289" s="7" t="inlineStr">
        <is>
          <t>DIMEC</t>
        </is>
      </c>
      <c r="U3289" s="8" t="n">
        <v>12.95</v>
      </c>
      <c r="V3289" s="14">
        <f>U3289/J3289-1</f>
        <v/>
      </c>
      <c r="W3289" s="14">
        <f>U3289/H3289-1</f>
        <v/>
      </c>
      <c r="X3289" s="16" t="inlineStr">
        <is>
          <t>ACIMA +8.0%</t>
        </is>
      </c>
      <c r="Y3289" s="7" t="inlineStr"/>
    </row>
    <row r="3290">
      <c r="A3290" s="7" t="n">
        <v>547801</v>
      </c>
      <c r="B3290" s="12" t="inlineStr">
        <is>
          <t>7899620913059</t>
        </is>
      </c>
      <c r="C3290" s="7" t="inlineStr">
        <is>
          <t>PERIODENT SOLUCAO BUCAL 250 ML</t>
        </is>
      </c>
      <c r="D3290" s="7" t="inlineStr">
        <is>
          <t>SIMILAR</t>
        </is>
      </c>
      <c r="E3290" s="7" t="inlineStr">
        <is>
          <t>B</t>
        </is>
      </c>
      <c r="F3290" s="13" t="n">
        <v>2</v>
      </c>
      <c r="G3290" s="13" t="n">
        <v>2</v>
      </c>
      <c r="H3290" s="8" t="n">
        <v>10.79</v>
      </c>
      <c r="I3290" s="8" t="n">
        <v>10.79</v>
      </c>
      <c r="J3290" s="8" t="n">
        <v>10.79</v>
      </c>
      <c r="K3290" s="15" t="n">
        <v>10.79</v>
      </c>
      <c r="L3290" s="8" t="n"/>
      <c r="M3290" s="8" t="n"/>
      <c r="N3290" s="8" t="n">
        <v>11.47</v>
      </c>
      <c r="O3290" s="8" t="n"/>
      <c r="P3290" s="8" t="n"/>
      <c r="Q3290" s="8" t="n"/>
      <c r="R3290" s="8" t="n"/>
      <c r="S3290" s="8" t="n"/>
      <c r="T3290" s="7" t="inlineStr">
        <is>
          <t>DIMEC</t>
        </is>
      </c>
      <c r="U3290" s="8" t="n">
        <v>10.79</v>
      </c>
      <c r="V3290" s="14">
        <f>U3290/J3290-1</f>
        <v/>
      </c>
      <c r="W3290" s="14">
        <f>U3290/H3290-1</f>
        <v/>
      </c>
      <c r="X3290" s="17" t="inlineStr">
        <is>
          <t>OK (≤ menor hist.)</t>
        </is>
      </c>
      <c r="Y3290" s="7" t="inlineStr"/>
    </row>
    <row r="3291">
      <c r="A3291" s="7" t="n">
        <v>594751</v>
      </c>
      <c r="B3291" s="12" t="inlineStr"/>
      <c r="C3291" s="7" t="inlineStr">
        <is>
          <t>PERIOGARD S/ALCOOL 250ML</t>
        </is>
      </c>
      <c r="D3291" s="7" t="inlineStr">
        <is>
          <t>RX</t>
        </is>
      </c>
      <c r="E3291" s="7" t="inlineStr">
        <is>
          <t>A</t>
        </is>
      </c>
      <c r="F3291" s="13" t="n">
        <v>1</v>
      </c>
      <c r="G3291" s="13" t="n">
        <v>1</v>
      </c>
      <c r="H3291" s="8" t="n">
        <v>25.345</v>
      </c>
      <c r="I3291" s="8" t="n">
        <v>22.4675</v>
      </c>
      <c r="J3291" s="8" t="n">
        <v>22.89833333333334</v>
      </c>
      <c r="K3291" s="8" t="n"/>
      <c r="L3291" s="8" t="n"/>
      <c r="M3291" s="8" t="n"/>
      <c r="N3291" s="8" t="n"/>
      <c r="O3291" s="8" t="n"/>
      <c r="P3291" s="8" t="n"/>
      <c r="Q3291" s="8" t="n"/>
      <c r="R3291" s="8" t="n"/>
      <c r="S3291" s="8" t="n"/>
      <c r="T3291" s="7" t="inlineStr">
        <is>
          <t>SEM COTAÇÃO</t>
        </is>
      </c>
      <c r="U3291" s="8" t="n"/>
      <c r="V3291" s="14" t="n"/>
      <c r="W3291" s="14" t="n"/>
      <c r="X3291" s="7" t="inlineStr"/>
      <c r="Y3291" s="7" t="inlineStr"/>
    </row>
    <row r="3292">
      <c r="A3292" s="7" t="n">
        <v>549241</v>
      </c>
      <c r="B3292" s="12" t="inlineStr"/>
      <c r="C3292" s="7" t="inlineStr">
        <is>
          <t>PERMANGANATO DE POTASSIO 10ENV 100MG (PG)</t>
        </is>
      </c>
      <c r="D3292" s="7" t="inlineStr">
        <is>
          <t>SIMILAR</t>
        </is>
      </c>
      <c r="E3292" s="7" t="inlineStr">
        <is>
          <t>B</t>
        </is>
      </c>
      <c r="F3292" s="13" t="n">
        <v>12</v>
      </c>
      <c r="G3292" s="13" t="n">
        <v>12</v>
      </c>
      <c r="H3292" s="8" t="n">
        <v>2.43</v>
      </c>
      <c r="I3292" s="8" t="n">
        <v>2.43</v>
      </c>
      <c r="J3292" s="8" t="n">
        <v>2.43</v>
      </c>
      <c r="K3292" s="8" t="n"/>
      <c r="L3292" s="8" t="n"/>
      <c r="M3292" s="8" t="n"/>
      <c r="N3292" s="8" t="n"/>
      <c r="O3292" s="8" t="n"/>
      <c r="P3292" s="8" t="n"/>
      <c r="Q3292" s="8" t="n"/>
      <c r="R3292" s="8" t="n"/>
      <c r="S3292" s="8" t="n"/>
      <c r="T3292" s="7" t="inlineStr">
        <is>
          <t>SEM COTAÇÃO</t>
        </is>
      </c>
      <c r="U3292" s="8" t="n"/>
      <c r="V3292" s="14" t="n"/>
      <c r="W3292" s="14" t="n"/>
      <c r="X3292" s="7" t="inlineStr"/>
      <c r="Y3292" s="7" t="inlineStr"/>
    </row>
    <row r="3293">
      <c r="A3293" s="7" t="n">
        <v>578161</v>
      </c>
      <c r="B3293" s="12" t="inlineStr"/>
      <c r="C3293" s="7" t="inlineStr">
        <is>
          <t>PERMESE 5MG/ML+2MG/ML SUS INJ AMP 1ML+SER SIST SEG</t>
        </is>
      </c>
      <c r="D3293" s="7" t="inlineStr">
        <is>
          <t>RX</t>
        </is>
      </c>
      <c r="E3293" s="7" t="inlineStr">
        <is>
          <t>A</t>
        </is>
      </c>
      <c r="F3293" s="13" t="n">
        <v>2</v>
      </c>
      <c r="G3293" s="13" t="n">
        <v>2</v>
      </c>
      <c r="H3293" s="8" t="n">
        <v>22.91</v>
      </c>
      <c r="I3293" s="8" t="n">
        <v>22.91</v>
      </c>
      <c r="J3293" s="8" t="n">
        <v>22.91</v>
      </c>
      <c r="K3293" s="8" t="n"/>
      <c r="L3293" s="8" t="n"/>
      <c r="M3293" s="8" t="n"/>
      <c r="N3293" s="8" t="n"/>
      <c r="O3293" s="8" t="n"/>
      <c r="P3293" s="8" t="n"/>
      <c r="Q3293" s="8" t="n"/>
      <c r="R3293" s="8" t="n"/>
      <c r="S3293" s="8" t="n"/>
      <c r="T3293" s="7" t="inlineStr">
        <is>
          <t>SEM COTAÇÃO</t>
        </is>
      </c>
      <c r="U3293" s="8" t="n"/>
      <c r="V3293" s="14" t="n"/>
      <c r="W3293" s="14" t="n"/>
      <c r="X3293" s="7" t="inlineStr"/>
      <c r="Y3293" s="7" t="inlineStr"/>
    </row>
    <row r="3294">
      <c r="A3294" s="7" t="n">
        <v>487921</v>
      </c>
      <c r="B3294" s="12" t="inlineStr">
        <is>
          <t>7898100244485</t>
        </is>
      </c>
      <c r="C3294" s="7" t="inlineStr">
        <is>
          <t>PETIVIT BC XPE FR 240ML</t>
        </is>
      </c>
      <c r="D3294" s="7" t="inlineStr">
        <is>
          <t>SIMILAR</t>
        </is>
      </c>
      <c r="E3294" s="7" t="inlineStr">
        <is>
          <t>A</t>
        </is>
      </c>
      <c r="F3294" s="13" t="n">
        <v>33</v>
      </c>
      <c r="G3294" s="13" t="n">
        <v>33</v>
      </c>
      <c r="H3294" s="8" t="n">
        <v>6.99</v>
      </c>
      <c r="I3294" s="8" t="n">
        <v>6.99</v>
      </c>
      <c r="J3294" s="8" t="n">
        <v>6.989999999999999</v>
      </c>
      <c r="K3294" s="8" t="n">
        <v>8.800000000000001</v>
      </c>
      <c r="L3294" s="8" t="n"/>
      <c r="M3294" s="8" t="n"/>
      <c r="N3294" s="8" t="n">
        <v>8.199999999999999</v>
      </c>
      <c r="O3294" s="8" t="n">
        <v>8.09</v>
      </c>
      <c r="P3294" s="8" t="n"/>
      <c r="Q3294" s="8" t="n">
        <v>8.9</v>
      </c>
      <c r="R3294" s="15" t="n">
        <v>7.49</v>
      </c>
      <c r="S3294" s="8" t="n"/>
      <c r="T3294" s="7" t="inlineStr">
        <is>
          <t>BRASFARMA</t>
        </is>
      </c>
      <c r="U3294" s="8" t="n">
        <v>7.49</v>
      </c>
      <c r="V3294" s="14">
        <f>U3294/J3294-1</f>
        <v/>
      </c>
      <c r="W3294" s="14">
        <f>U3294/H3294-1</f>
        <v/>
      </c>
      <c r="X3294" s="16" t="inlineStr">
        <is>
          <t>ACIMA +7.2%</t>
        </is>
      </c>
      <c r="Y3294" s="7" t="inlineStr"/>
    </row>
    <row r="3295">
      <c r="A3295" s="7" t="n">
        <v>274781</v>
      </c>
      <c r="B3295" s="12" t="inlineStr">
        <is>
          <t>7898100243112</t>
        </is>
      </c>
      <c r="C3295" s="7" t="inlineStr">
        <is>
          <t>PHITOSS 7MG/ML XPE FR 100ML PET</t>
        </is>
      </c>
      <c r="D3295" s="7" t="inlineStr">
        <is>
          <t>GENERICO</t>
        </is>
      </c>
      <c r="E3295" s="7" t="inlineStr">
        <is>
          <t>A</t>
        </is>
      </c>
      <c r="F3295" s="13" t="n">
        <v>22</v>
      </c>
      <c r="G3295" s="13" t="n">
        <v>22</v>
      </c>
      <c r="H3295" s="8" t="n">
        <v>5.49</v>
      </c>
      <c r="I3295" s="8" t="n">
        <v>5.49</v>
      </c>
      <c r="J3295" s="8" t="n">
        <v>5.489999999999999</v>
      </c>
      <c r="K3295" s="8" t="n">
        <v>6.61</v>
      </c>
      <c r="L3295" s="8" t="n"/>
      <c r="M3295" s="8" t="n"/>
      <c r="N3295" s="15" t="n">
        <v>5.67</v>
      </c>
      <c r="O3295" s="8" t="n">
        <v>6.67</v>
      </c>
      <c r="P3295" s="8" t="n"/>
      <c r="Q3295" s="8" t="n">
        <v>6.2</v>
      </c>
      <c r="R3295" s="8" t="n">
        <v>5.81</v>
      </c>
      <c r="S3295" s="8" t="n"/>
      <c r="T3295" s="7" t="inlineStr">
        <is>
          <t>CENTROFARMA</t>
        </is>
      </c>
      <c r="U3295" s="8" t="n">
        <v>5.67</v>
      </c>
      <c r="V3295" s="14">
        <f>U3295/J3295-1</f>
        <v/>
      </c>
      <c r="W3295" s="14">
        <f>U3295/H3295-1</f>
        <v/>
      </c>
      <c r="X3295" s="16" t="inlineStr">
        <is>
          <t>ACIMA +3.3%</t>
        </is>
      </c>
      <c r="Y3295" s="7" t="inlineStr"/>
    </row>
    <row r="3296">
      <c r="A3296" s="7" t="n">
        <v>565861</v>
      </c>
      <c r="B3296" s="12" t="inlineStr">
        <is>
          <t>7898100244669</t>
        </is>
      </c>
      <c r="C3296" s="7" t="inlineStr">
        <is>
          <t>PHITOSS KIDS 7MG/ML XPE 100ML</t>
        </is>
      </c>
      <c r="D3296" s="7" t="inlineStr">
        <is>
          <t>FITOTERAPICO</t>
        </is>
      </c>
      <c r="E3296" s="7" t="inlineStr">
        <is>
          <t>C</t>
        </is>
      </c>
      <c r="F3296" s="13" t="n">
        <v>1</v>
      </c>
      <c r="G3296" s="13" t="n">
        <v>1</v>
      </c>
      <c r="H3296" s="8" t="n">
        <v>5.66</v>
      </c>
      <c r="I3296" s="8" t="n">
        <v>5.66</v>
      </c>
      <c r="J3296" s="8" t="n">
        <v>5.66</v>
      </c>
      <c r="K3296" s="8" t="n">
        <v>6.96</v>
      </c>
      <c r="L3296" s="8" t="n"/>
      <c r="M3296" s="8" t="n"/>
      <c r="N3296" s="8" t="n">
        <v>7.08</v>
      </c>
      <c r="O3296" s="8" t="n"/>
      <c r="P3296" s="8" t="n"/>
      <c r="Q3296" s="8" t="n">
        <v>8.02</v>
      </c>
      <c r="R3296" s="15" t="n">
        <v>6.05</v>
      </c>
      <c r="S3296" s="8" t="n"/>
      <c r="T3296" s="7" t="inlineStr">
        <is>
          <t>BRASFARMA</t>
        </is>
      </c>
      <c r="U3296" s="8" t="n">
        <v>6.05</v>
      </c>
      <c r="V3296" s="14">
        <f>U3296/J3296-1</f>
        <v/>
      </c>
      <c r="W3296" s="14">
        <f>U3296/H3296-1</f>
        <v/>
      </c>
      <c r="X3296" s="16" t="inlineStr">
        <is>
          <t>ACIMA +6.9%</t>
        </is>
      </c>
      <c r="Y3296" s="7" t="inlineStr"/>
    </row>
    <row r="3297">
      <c r="A3297" s="7" t="n">
        <v>553021</v>
      </c>
      <c r="B3297" s="12" t="inlineStr">
        <is>
          <t>7896676434323</t>
        </is>
      </c>
      <c r="C3297" s="7" t="inlineStr">
        <is>
          <t>PHOSFOENEMA 160+60MG/ML ENEMA FR 130ML</t>
        </is>
      </c>
      <c r="D3297" s="7" t="inlineStr">
        <is>
          <t>RX - OTC</t>
        </is>
      </c>
      <c r="E3297" s="7" t="inlineStr">
        <is>
          <t>A</t>
        </is>
      </c>
      <c r="F3297" s="13" t="n">
        <v>8</v>
      </c>
      <c r="G3297" s="13" t="n">
        <v>8</v>
      </c>
      <c r="H3297" s="8" t="n">
        <v>16.8267</v>
      </c>
      <c r="I3297" s="8" t="n">
        <v>14.228</v>
      </c>
      <c r="J3297" s="8" t="n">
        <v>15.30376666666667</v>
      </c>
      <c r="K3297" s="8" t="n"/>
      <c r="L3297" s="8" t="n"/>
      <c r="M3297" s="8" t="n"/>
      <c r="N3297" s="8" t="n"/>
      <c r="O3297" s="8" t="n"/>
      <c r="P3297" s="15" t="n">
        <v>17.0618</v>
      </c>
      <c r="Q3297" s="8" t="n"/>
      <c r="R3297" s="8" t="n"/>
      <c r="S3297" s="8" t="n"/>
      <c r="T3297" s="7" t="inlineStr">
        <is>
          <t>NAZARIA</t>
        </is>
      </c>
      <c r="U3297" s="8" t="n">
        <v>17.0618</v>
      </c>
      <c r="V3297" s="14">
        <f>U3297/J3297-1</f>
        <v/>
      </c>
      <c r="W3297" s="14">
        <f>U3297/H3297-1</f>
        <v/>
      </c>
      <c r="X3297" s="16" t="inlineStr">
        <is>
          <t>ACIMA +1.4%</t>
        </is>
      </c>
      <c r="Y3297" s="7" t="inlineStr"/>
    </row>
    <row r="3298">
      <c r="A3298" s="7" t="n">
        <v>566001</v>
      </c>
      <c r="B3298" s="12" t="inlineStr"/>
      <c r="C3298" s="7" t="inlineStr">
        <is>
          <t>PICOLE BRIGADEIRO UN</t>
        </is>
      </c>
      <c r="D3298" s="7" t="inlineStr">
        <is>
          <t>SORVETE E PICOLES</t>
        </is>
      </c>
      <c r="E3298" s="7" t="inlineStr">
        <is>
          <t>A</t>
        </is>
      </c>
      <c r="F3298" s="13" t="n">
        <v>1</v>
      </c>
      <c r="G3298" s="13" t="n">
        <v>23</v>
      </c>
      <c r="H3298" s="8" t="n">
        <v>5.2708</v>
      </c>
      <c r="I3298" s="8" t="n">
        <v>5.2708</v>
      </c>
      <c r="J3298" s="8" t="n">
        <v>5.2708</v>
      </c>
      <c r="K3298" s="8" t="n"/>
      <c r="L3298" s="8" t="n"/>
      <c r="M3298" s="8" t="n"/>
      <c r="N3298" s="8" t="n"/>
      <c r="O3298" s="8" t="n"/>
      <c r="P3298" s="8" t="n"/>
      <c r="Q3298" s="8" t="n"/>
      <c r="R3298" s="8" t="n"/>
      <c r="S3298" s="8" t="n"/>
      <c r="T3298" s="7" t="inlineStr">
        <is>
          <t>SEM COTAÇÃO</t>
        </is>
      </c>
      <c r="U3298" s="8" t="n"/>
      <c r="V3298" s="14" t="n"/>
      <c r="W3298" s="14" t="n"/>
      <c r="X3298" s="7" t="inlineStr"/>
      <c r="Y3298" s="7" t="inlineStr"/>
    </row>
    <row r="3299">
      <c r="A3299" s="7" t="n">
        <v>561901</v>
      </c>
      <c r="B3299" s="12" t="inlineStr">
        <is>
          <t>7898918205531</t>
        </is>
      </c>
      <c r="C3299" s="7" t="inlineStr">
        <is>
          <t>PICOLE CHOCOBARRA UN</t>
        </is>
      </c>
      <c r="D3299" s="7" t="inlineStr">
        <is>
          <t>SORVETE E PICOLES</t>
        </is>
      </c>
      <c r="E3299" s="7" t="inlineStr">
        <is>
          <t>A</t>
        </is>
      </c>
      <c r="F3299" s="13" t="n">
        <v>1</v>
      </c>
      <c r="G3299" s="13" t="n">
        <v>26</v>
      </c>
      <c r="H3299" s="8" t="n">
        <v>6.0179</v>
      </c>
      <c r="I3299" s="8" t="n">
        <v>6.0179</v>
      </c>
      <c r="J3299" s="8" t="n">
        <v>6.0179</v>
      </c>
      <c r="K3299" s="8" t="n"/>
      <c r="L3299" s="8" t="n"/>
      <c r="M3299" s="8" t="n"/>
      <c r="N3299" s="8" t="n"/>
      <c r="O3299" s="8" t="n"/>
      <c r="P3299" s="8" t="n"/>
      <c r="Q3299" s="8" t="n"/>
      <c r="R3299" s="8" t="n"/>
      <c r="S3299" s="8" t="n"/>
      <c r="T3299" s="7" t="inlineStr">
        <is>
          <t>SEM COTAÇÃO</t>
        </is>
      </c>
      <c r="U3299" s="8" t="n"/>
      <c r="V3299" s="14" t="n"/>
      <c r="W3299" s="14" t="n"/>
      <c r="X3299" s="7" t="inlineStr"/>
      <c r="Y3299" s="7" t="inlineStr"/>
    </row>
    <row r="3300">
      <c r="A3300" s="7" t="n">
        <v>579121</v>
      </c>
      <c r="B3300" s="12" t="inlineStr">
        <is>
          <t>7898918205579</t>
        </is>
      </c>
      <c r="C3300" s="7" t="inlineStr">
        <is>
          <t>PICOLE CHOCOLATE CX. 32 UND</t>
        </is>
      </c>
      <c r="D3300" s="7" t="inlineStr">
        <is>
          <t>SORVETE E PICOLES</t>
        </is>
      </c>
      <c r="E3300" s="7" t="inlineStr">
        <is>
          <t>B</t>
        </is>
      </c>
      <c r="F3300" s="13" t="n">
        <v>1</v>
      </c>
      <c r="G3300" s="13" t="n">
        <v>20</v>
      </c>
      <c r="H3300" s="8" t="n">
        <v>2.6562</v>
      </c>
      <c r="I3300" s="8" t="n">
        <v>2.6562</v>
      </c>
      <c r="J3300" s="8" t="n">
        <v>2.6562</v>
      </c>
      <c r="K3300" s="8" t="n"/>
      <c r="L3300" s="8" t="n"/>
      <c r="M3300" s="8" t="n"/>
      <c r="N3300" s="8" t="n"/>
      <c r="O3300" s="8" t="n"/>
      <c r="P3300" s="8" t="n"/>
      <c r="Q3300" s="8" t="n"/>
      <c r="R3300" s="8" t="n"/>
      <c r="S3300" s="8" t="n"/>
      <c r="T3300" s="7" t="inlineStr">
        <is>
          <t>SEM COTAÇÃO</t>
        </is>
      </c>
      <c r="U3300" s="8" t="n"/>
      <c r="V3300" s="14" t="n"/>
      <c r="W3300" s="14" t="n"/>
      <c r="X3300" s="7" t="inlineStr"/>
      <c r="Y3300" s="7" t="inlineStr"/>
    </row>
    <row r="3301">
      <c r="A3301" s="7" t="n">
        <v>563881</v>
      </c>
      <c r="B3301" s="12" t="inlineStr">
        <is>
          <t>7898918205593</t>
        </is>
      </c>
      <c r="C3301" s="7" t="inlineStr">
        <is>
          <t>PICOLE COCO UN</t>
        </is>
      </c>
      <c r="D3301" s="7" t="inlineStr">
        <is>
          <t>SORVETE E PICOLES</t>
        </is>
      </c>
      <c r="E3301" s="7" t="inlineStr">
        <is>
          <t>B</t>
        </is>
      </c>
      <c r="F3301" s="13" t="n">
        <v>1</v>
      </c>
      <c r="G3301" s="13" t="n">
        <v>4</v>
      </c>
      <c r="H3301" s="8" t="n">
        <v>2.6562</v>
      </c>
      <c r="I3301" s="8" t="n">
        <v>2.6562</v>
      </c>
      <c r="J3301" s="8" t="n">
        <v>2.6562</v>
      </c>
      <c r="K3301" s="8" t="n"/>
      <c r="L3301" s="8" t="n"/>
      <c r="M3301" s="8" t="n"/>
      <c r="N3301" s="8" t="n"/>
      <c r="O3301" s="8" t="n"/>
      <c r="P3301" s="8" t="n"/>
      <c r="Q3301" s="8" t="n"/>
      <c r="R3301" s="8" t="n"/>
      <c r="S3301" s="8" t="n"/>
      <c r="T3301" s="7" t="inlineStr">
        <is>
          <t>SEM COTAÇÃO</t>
        </is>
      </c>
      <c r="U3301" s="8" t="n"/>
      <c r="V3301" s="14" t="n"/>
      <c r="W3301" s="14" t="n"/>
      <c r="X3301" s="7" t="inlineStr"/>
      <c r="Y3301" s="7" t="inlineStr"/>
    </row>
    <row r="3302">
      <c r="A3302" s="7" t="n">
        <v>659111</v>
      </c>
      <c r="B3302" s="12" t="inlineStr">
        <is>
          <t>7898757790021</t>
        </is>
      </c>
      <c r="C3302" s="7" t="inlineStr">
        <is>
          <t>PICOLE ESTRUSADO ACAI CX. 22 UND</t>
        </is>
      </c>
      <c r="D3302" s="7" t="inlineStr">
        <is>
          <t>SORVETE E PICOLES</t>
        </is>
      </c>
      <c r="E3302" s="7" t="inlineStr">
        <is>
          <t>C</t>
        </is>
      </c>
      <c r="F3302" s="13" t="n">
        <v>1</v>
      </c>
      <c r="G3302" s="13" t="n">
        <v>4</v>
      </c>
      <c r="H3302" s="8" t="n">
        <v>7.4545</v>
      </c>
      <c r="I3302" s="8" t="n">
        <v>7.4545</v>
      </c>
      <c r="J3302" s="8" t="n">
        <v>7.4545</v>
      </c>
      <c r="K3302" s="8" t="n"/>
      <c r="L3302" s="8" t="n"/>
      <c r="M3302" s="8" t="n"/>
      <c r="N3302" s="8" t="n"/>
      <c r="O3302" s="8" t="n"/>
      <c r="P3302" s="8" t="n"/>
      <c r="Q3302" s="8" t="n"/>
      <c r="R3302" s="8" t="n"/>
      <c r="S3302" s="8" t="n"/>
      <c r="T3302" s="7" t="inlineStr">
        <is>
          <t>SEM COTAÇÃO</t>
        </is>
      </c>
      <c r="U3302" s="8" t="n"/>
      <c r="V3302" s="14" t="n"/>
      <c r="W3302" s="14" t="n"/>
      <c r="X3302" s="7" t="inlineStr"/>
      <c r="Y3302" s="7" t="inlineStr"/>
    </row>
    <row r="3303">
      <c r="A3303" s="7" t="n">
        <v>560441</v>
      </c>
      <c r="B3303" s="12" t="inlineStr">
        <is>
          <t>7898918205241</t>
        </is>
      </c>
      <c r="C3303" s="7" t="inlineStr">
        <is>
          <t>PICOLE EXCELL. PETIT GATEAU</t>
        </is>
      </c>
      <c r="D3303" s="7" t="inlineStr">
        <is>
          <t>SORVETE E PICOLES</t>
        </is>
      </c>
      <c r="E3303" s="7" t="inlineStr">
        <is>
          <t>A</t>
        </is>
      </c>
      <c r="F3303" s="13" t="n">
        <v>1</v>
      </c>
      <c r="G3303" s="13" t="n">
        <v>5</v>
      </c>
      <c r="H3303" s="8" t="n">
        <v>5.05</v>
      </c>
      <c r="I3303" s="8" t="n">
        <v>5.05</v>
      </c>
      <c r="J3303" s="8" t="n">
        <v>5.05</v>
      </c>
      <c r="K3303" s="8" t="n"/>
      <c r="L3303" s="8" t="n"/>
      <c r="M3303" s="8" t="n"/>
      <c r="N3303" s="8" t="n"/>
      <c r="O3303" s="8" t="n"/>
      <c r="P3303" s="8" t="n"/>
      <c r="Q3303" s="8" t="n"/>
      <c r="R3303" s="8" t="n"/>
      <c r="S3303" s="8" t="n"/>
      <c r="T3303" s="7" t="inlineStr">
        <is>
          <t>SEM COTAÇÃO</t>
        </is>
      </c>
      <c r="U3303" s="8" t="n"/>
      <c r="V3303" s="14" t="n"/>
      <c r="W3303" s="14" t="n"/>
      <c r="X3303" s="7" t="inlineStr"/>
      <c r="Y3303" s="7" t="inlineStr"/>
    </row>
    <row r="3304">
      <c r="A3304" s="7" t="n">
        <v>666031</v>
      </c>
      <c r="B3304" s="12" t="inlineStr">
        <is>
          <t>7898918205524</t>
        </is>
      </c>
      <c r="C3304" s="7" t="inlineStr">
        <is>
          <t>PICOLE FRUT CREAM CX. 38 UND</t>
        </is>
      </c>
      <c r="D3304" s="7" t="inlineStr">
        <is>
          <t>SORVETE E PICOLES</t>
        </is>
      </c>
      <c r="E3304" s="7" t="inlineStr">
        <is>
          <t>C</t>
        </is>
      </c>
      <c r="F3304" s="13" t="n">
        <v>1</v>
      </c>
      <c r="G3304" s="13" t="n">
        <v>4</v>
      </c>
      <c r="H3304" s="8" t="n">
        <v>1.9474</v>
      </c>
      <c r="I3304" s="8" t="n">
        <v>1.9474</v>
      </c>
      <c r="J3304" s="8" t="n">
        <v>1.9474</v>
      </c>
      <c r="K3304" s="8" t="n"/>
      <c r="L3304" s="8" t="n"/>
      <c r="M3304" s="8" t="n"/>
      <c r="N3304" s="8" t="n"/>
      <c r="O3304" s="8" t="n"/>
      <c r="P3304" s="8" t="n"/>
      <c r="Q3304" s="8" t="n"/>
      <c r="R3304" s="8" t="n"/>
      <c r="S3304" s="8" t="n"/>
      <c r="T3304" s="7" t="inlineStr">
        <is>
          <t>SEM COTAÇÃO</t>
        </is>
      </c>
      <c r="U3304" s="8" t="n"/>
      <c r="V3304" s="14" t="n"/>
      <c r="W3304" s="14" t="n"/>
      <c r="X3304" s="7" t="inlineStr"/>
      <c r="Y3304" s="7" t="inlineStr"/>
    </row>
    <row r="3305">
      <c r="A3305" s="7" t="n">
        <v>560481</v>
      </c>
      <c r="B3305" s="12" t="inlineStr">
        <is>
          <t>7898918205203</t>
        </is>
      </c>
      <c r="C3305" s="7" t="inlineStr">
        <is>
          <t>PICOLE KIDS CHOCOLATINHO</t>
        </is>
      </c>
      <c r="D3305" s="7" t="inlineStr">
        <is>
          <t>SORVETE E PICOLES</t>
        </is>
      </c>
      <c r="E3305" s="7" t="inlineStr">
        <is>
          <t>A</t>
        </is>
      </c>
      <c r="F3305" s="13" t="n">
        <v>1</v>
      </c>
      <c r="G3305" s="13" t="n">
        <v>46</v>
      </c>
      <c r="H3305" s="8" t="n">
        <v>1.5417</v>
      </c>
      <c r="I3305" s="8" t="n">
        <v>1.5417</v>
      </c>
      <c r="J3305" s="8" t="n">
        <v>1.5417</v>
      </c>
      <c r="K3305" s="8" t="n"/>
      <c r="L3305" s="8" t="n"/>
      <c r="M3305" s="8" t="n"/>
      <c r="N3305" s="8" t="n"/>
      <c r="O3305" s="8" t="n"/>
      <c r="P3305" s="8" t="n"/>
      <c r="Q3305" s="8" t="n"/>
      <c r="R3305" s="8" t="n"/>
      <c r="S3305" s="8" t="n"/>
      <c r="T3305" s="7" t="inlineStr">
        <is>
          <t>SEM COTAÇÃO</t>
        </is>
      </c>
      <c r="U3305" s="8" t="n"/>
      <c r="V3305" s="14" t="n"/>
      <c r="W3305" s="14" t="n"/>
      <c r="X3305" s="7" t="inlineStr"/>
      <c r="Y3305" s="7" t="inlineStr"/>
    </row>
    <row r="3306">
      <c r="A3306" s="7" t="n">
        <v>651841</v>
      </c>
      <c r="B3306" s="12" t="inlineStr">
        <is>
          <t>7898918205609</t>
        </is>
      </c>
      <c r="C3306" s="7" t="inlineStr">
        <is>
          <t>PICOLE LEITE CONDENSADO</t>
        </is>
      </c>
      <c r="D3306" s="7" t="inlineStr">
        <is>
          <t>SORVETE E PICOLES</t>
        </is>
      </c>
      <c r="E3306" s="7" t="inlineStr">
        <is>
          <t>C</t>
        </is>
      </c>
      <c r="F3306" s="13" t="n">
        <v>1</v>
      </c>
      <c r="G3306" s="13" t="n">
        <v>2</v>
      </c>
      <c r="H3306" s="8" t="n">
        <v>2.2812</v>
      </c>
      <c r="I3306" s="8" t="n">
        <v>2.2812</v>
      </c>
      <c r="J3306" s="8" t="n">
        <v>2.2812</v>
      </c>
      <c r="K3306" s="8" t="n"/>
      <c r="L3306" s="8" t="n"/>
      <c r="M3306" s="8" t="n"/>
      <c r="N3306" s="8" t="n"/>
      <c r="O3306" s="8" t="n"/>
      <c r="P3306" s="8" t="n"/>
      <c r="Q3306" s="8" t="n"/>
      <c r="R3306" s="8" t="n"/>
      <c r="S3306" s="8" t="n"/>
      <c r="T3306" s="7" t="inlineStr">
        <is>
          <t>SEM COTAÇÃO</t>
        </is>
      </c>
      <c r="U3306" s="8" t="n"/>
      <c r="V3306" s="14" t="n"/>
      <c r="W3306" s="14" t="n"/>
      <c r="X3306" s="7" t="inlineStr"/>
      <c r="Y3306" s="7" t="inlineStr"/>
    </row>
    <row r="3307">
      <c r="A3307" s="7" t="n">
        <v>565381</v>
      </c>
      <c r="B3307" s="12" t="inlineStr">
        <is>
          <t>7898918205418</t>
        </is>
      </c>
      <c r="C3307" s="7" t="inlineStr">
        <is>
          <t>PICOLE SKIMO C/ 28 UN</t>
        </is>
      </c>
      <c r="D3307" s="7" t="inlineStr">
        <is>
          <t>SORVETE E PICOLES</t>
        </is>
      </c>
      <c r="E3307" s="7" t="inlineStr">
        <is>
          <t>B</t>
        </is>
      </c>
      <c r="F3307" s="13" t="n">
        <v>1</v>
      </c>
      <c r="G3307" s="13" t="n">
        <v>2</v>
      </c>
      <c r="H3307" s="8" t="n">
        <v>5.25</v>
      </c>
      <c r="I3307" s="8" t="n">
        <v>5.25</v>
      </c>
      <c r="J3307" s="8" t="n">
        <v>5.25</v>
      </c>
      <c r="K3307" s="8" t="n"/>
      <c r="L3307" s="8" t="n"/>
      <c r="M3307" s="8" t="n"/>
      <c r="N3307" s="8" t="n"/>
      <c r="O3307" s="8" t="n"/>
      <c r="P3307" s="8" t="n"/>
      <c r="Q3307" s="8" t="n"/>
      <c r="R3307" s="8" t="n"/>
      <c r="S3307" s="8" t="n"/>
      <c r="T3307" s="7" t="inlineStr">
        <is>
          <t>SEM COTAÇÃO</t>
        </is>
      </c>
      <c r="U3307" s="8" t="n"/>
      <c r="V3307" s="14" t="n"/>
      <c r="W3307" s="14" t="n"/>
      <c r="X3307" s="7" t="inlineStr"/>
      <c r="Y3307" s="7" t="inlineStr"/>
    </row>
    <row r="3308">
      <c r="A3308" s="7" t="n">
        <v>11703</v>
      </c>
      <c r="B3308" s="12" t="inlineStr">
        <is>
          <t>7898918205357</t>
        </is>
      </c>
      <c r="C3308" s="7" t="inlineStr">
        <is>
          <t>PICOLE SUBLIME UN</t>
        </is>
      </c>
      <c r="D3308" s="7" t="inlineStr">
        <is>
          <t>SORVETE E PICOLES</t>
        </is>
      </c>
      <c r="E3308" s="7" t="inlineStr">
        <is>
          <t>C</t>
        </is>
      </c>
      <c r="F3308" s="13" t="n">
        <v>2</v>
      </c>
      <c r="G3308" s="13" t="n">
        <v>2</v>
      </c>
      <c r="H3308" s="8" t="n">
        <v>5.2885</v>
      </c>
      <c r="I3308" s="8" t="n">
        <v>5.2885</v>
      </c>
      <c r="J3308" s="8" t="n">
        <v>5.2885</v>
      </c>
      <c r="K3308" s="8" t="n"/>
      <c r="L3308" s="8" t="n"/>
      <c r="M3308" s="8" t="n"/>
      <c r="N3308" s="8" t="n"/>
      <c r="O3308" s="8" t="n"/>
      <c r="P3308" s="8" t="n"/>
      <c r="Q3308" s="8" t="n"/>
      <c r="R3308" s="8" t="n"/>
      <c r="S3308" s="8" t="n"/>
      <c r="T3308" s="7" t="inlineStr">
        <is>
          <t>SEM COTAÇÃO</t>
        </is>
      </c>
      <c r="U3308" s="8" t="n"/>
      <c r="V3308" s="14" t="n"/>
      <c r="W3308" s="14" t="n"/>
      <c r="X3308" s="7" t="inlineStr"/>
      <c r="Y3308" s="7" t="inlineStr"/>
    </row>
    <row r="3309">
      <c r="A3309" s="7" t="n">
        <v>561861</v>
      </c>
      <c r="B3309" s="12" t="inlineStr">
        <is>
          <t>7898918205456</t>
        </is>
      </c>
      <c r="C3309" s="7" t="inlineStr">
        <is>
          <t>PICOLE TAPIOCA UN</t>
        </is>
      </c>
      <c r="D3309" s="7" t="inlineStr">
        <is>
          <t>SORVETE E PICOLES</t>
        </is>
      </c>
      <c r="E3309" s="7" t="inlineStr">
        <is>
          <t>B</t>
        </is>
      </c>
      <c r="F3309" s="13" t="n">
        <v>1</v>
      </c>
      <c r="G3309" s="13" t="n">
        <v>6</v>
      </c>
      <c r="H3309" s="8" t="n">
        <v>2.9688</v>
      </c>
      <c r="I3309" s="8" t="n">
        <v>2.9688</v>
      </c>
      <c r="J3309" s="8" t="n">
        <v>2.9688</v>
      </c>
      <c r="K3309" s="8" t="n"/>
      <c r="L3309" s="8" t="n"/>
      <c r="M3309" s="8" t="n"/>
      <c r="N3309" s="8" t="n"/>
      <c r="O3309" s="8" t="n"/>
      <c r="P3309" s="8" t="n"/>
      <c r="Q3309" s="8" t="n"/>
      <c r="R3309" s="8" t="n"/>
      <c r="S3309" s="8" t="n"/>
      <c r="T3309" s="7" t="inlineStr">
        <is>
          <t>SEM COTAÇÃO</t>
        </is>
      </c>
      <c r="U3309" s="8" t="n"/>
      <c r="V3309" s="14" t="n"/>
      <c r="W3309" s="14" t="n"/>
      <c r="X3309" s="7" t="inlineStr"/>
      <c r="Y3309" s="7" t="inlineStr"/>
    </row>
    <row r="3310">
      <c r="A3310" s="7" t="n">
        <v>561921</v>
      </c>
      <c r="B3310" s="12" t="inlineStr">
        <is>
          <t>7898918205326</t>
        </is>
      </c>
      <c r="C3310" s="7" t="inlineStr">
        <is>
          <t>PICOLE TRAD NINHO TRUFADO UN</t>
        </is>
      </c>
      <c r="D3310" s="7" t="inlineStr">
        <is>
          <t>SORVETE E PICOLES</t>
        </is>
      </c>
      <c r="E3310" s="7" t="inlineStr">
        <is>
          <t>C</t>
        </is>
      </c>
      <c r="F3310" s="13" t="n">
        <v>1</v>
      </c>
      <c r="G3310" s="13" t="n">
        <v>4</v>
      </c>
      <c r="H3310" s="8" t="n">
        <v>5.2656</v>
      </c>
      <c r="I3310" s="8" t="n">
        <v>5.2656</v>
      </c>
      <c r="J3310" s="8" t="n">
        <v>5.2656</v>
      </c>
      <c r="K3310" s="8" t="n"/>
      <c r="L3310" s="8" t="n"/>
      <c r="M3310" s="8" t="n"/>
      <c r="N3310" s="8" t="n"/>
      <c r="O3310" s="8" t="n"/>
      <c r="P3310" s="8" t="n"/>
      <c r="Q3310" s="8" t="n"/>
      <c r="R3310" s="8" t="n"/>
      <c r="S3310" s="8" t="n"/>
      <c r="T3310" s="7" t="inlineStr">
        <is>
          <t>SEM COTAÇÃO</t>
        </is>
      </c>
      <c r="U3310" s="8" t="n"/>
      <c r="V3310" s="14" t="n"/>
      <c r="W3310" s="14" t="n"/>
      <c r="X3310" s="7" t="inlineStr"/>
      <c r="Y3310" s="7" t="inlineStr"/>
    </row>
    <row r="3311">
      <c r="A3311" s="7" t="n">
        <v>638911</v>
      </c>
      <c r="B3311" s="12" t="inlineStr">
        <is>
          <t>7896067201398</t>
        </is>
      </c>
      <c r="C3311" s="7" t="inlineStr">
        <is>
          <t>PILHA ALC PALITO AAA CARTELA C/4-LR03XAB/4B192 CT</t>
        </is>
      </c>
      <c r="D3311" s="7" t="inlineStr">
        <is>
          <t>UTENSILIOS</t>
        </is>
      </c>
      <c r="E3311" s="7" t="inlineStr">
        <is>
          <t>C</t>
        </is>
      </c>
      <c r="F3311" s="13" t="n">
        <v>2</v>
      </c>
      <c r="G3311" s="13" t="n">
        <v>2</v>
      </c>
      <c r="H3311" s="8" t="n">
        <v>15.2</v>
      </c>
      <c r="I3311" s="8" t="n">
        <v>15.2</v>
      </c>
      <c r="J3311" s="8" t="n">
        <v>15.2</v>
      </c>
      <c r="K3311" s="8" t="n"/>
      <c r="L3311" s="8" t="n"/>
      <c r="M3311" s="8" t="n"/>
      <c r="N3311" s="8" t="n"/>
      <c r="O3311" s="8" t="n"/>
      <c r="P3311" s="8" t="n"/>
      <c r="Q3311" s="8" t="n"/>
      <c r="R3311" s="8" t="n"/>
      <c r="S3311" s="8" t="n"/>
      <c r="T3311" s="7" t="inlineStr">
        <is>
          <t>SEM COTAÇÃO</t>
        </is>
      </c>
      <c r="U3311" s="8" t="n"/>
      <c r="V3311" s="14" t="n"/>
      <c r="W3311" s="14" t="n"/>
      <c r="X3311" s="7" t="inlineStr"/>
      <c r="Y3311" s="7" t="inlineStr"/>
    </row>
    <row r="3312">
      <c r="A3312" s="7" t="n">
        <v>653921</v>
      </c>
      <c r="B3312" s="12" t="inlineStr">
        <is>
          <t>7896067202395</t>
        </is>
      </c>
      <c r="C3312" s="7" t="inlineStr">
        <is>
          <t>PILHA ALC PEQ CARTELADO AA C/ 2</t>
        </is>
      </c>
      <c r="D3312" s="7" t="inlineStr">
        <is>
          <t>UTENSILIOS</t>
        </is>
      </c>
      <c r="E3312" s="7" t="inlineStr">
        <is>
          <t>C</t>
        </is>
      </c>
      <c r="F3312" s="13" t="n">
        <v>1</v>
      </c>
      <c r="G3312" s="13" t="n">
        <v>1</v>
      </c>
      <c r="H3312" s="8" t="n">
        <v>6.185</v>
      </c>
      <c r="I3312" s="8" t="n">
        <v>6.185</v>
      </c>
      <c r="J3312" s="8" t="n">
        <v>6.185</v>
      </c>
      <c r="K3312" s="8" t="n"/>
      <c r="L3312" s="8" t="n"/>
      <c r="M3312" s="8" t="n"/>
      <c r="N3312" s="8" t="n"/>
      <c r="O3312" s="8" t="n"/>
      <c r="P3312" s="8" t="n"/>
      <c r="Q3312" s="8" t="n"/>
      <c r="R3312" s="8" t="n"/>
      <c r="S3312" s="8" t="n"/>
      <c r="T3312" s="7" t="inlineStr">
        <is>
          <t>SEM COTAÇÃO</t>
        </is>
      </c>
      <c r="U3312" s="8" t="n"/>
      <c r="V3312" s="14" t="n"/>
      <c r="W3312" s="14" t="n"/>
      <c r="X3312" s="7" t="inlineStr"/>
      <c r="Y3312" s="7" t="inlineStr"/>
    </row>
    <row r="3313">
      <c r="A3313" s="7" t="n">
        <v>1533</v>
      </c>
      <c r="B3313" s="12" t="inlineStr"/>
      <c r="C3313" s="7" t="inlineStr">
        <is>
          <t>PILHA ALCAL PEQ AA CART 2UN</t>
        </is>
      </c>
      <c r="D3313" s="7" t="inlineStr">
        <is>
          <t>UTENSILIOS</t>
        </is>
      </c>
      <c r="E3313" s="7" t="inlineStr">
        <is>
          <t>A</t>
        </is>
      </c>
      <c r="F3313" s="13" t="n">
        <v>8</v>
      </c>
      <c r="G3313" s="13" t="n">
        <v>8</v>
      </c>
      <c r="H3313" s="8" t="n">
        <v>6.82</v>
      </c>
      <c r="I3313" s="8" t="n">
        <v>6.71</v>
      </c>
      <c r="J3313" s="8" t="n">
        <v>6.71</v>
      </c>
      <c r="K3313" s="8" t="n"/>
      <c r="L3313" s="8" t="n"/>
      <c r="M3313" s="8" t="n"/>
      <c r="N3313" s="8" t="n"/>
      <c r="O3313" s="8" t="n"/>
      <c r="P3313" s="8" t="n"/>
      <c r="Q3313" s="8" t="n"/>
      <c r="R3313" s="8" t="n"/>
      <c r="S3313" s="8" t="n"/>
      <c r="T3313" s="7" t="inlineStr">
        <is>
          <t>SEM COTAÇÃO</t>
        </is>
      </c>
      <c r="U3313" s="8" t="n"/>
      <c r="V3313" s="14" t="n"/>
      <c r="W3313" s="14" t="n"/>
      <c r="X3313" s="7" t="inlineStr"/>
      <c r="Y3313" s="7" t="inlineStr"/>
    </row>
    <row r="3314">
      <c r="A3314" s="7" t="n">
        <v>1523</v>
      </c>
      <c r="B3314" s="12" t="inlineStr">
        <is>
          <t>7896067200186</t>
        </is>
      </c>
      <c r="C3314" s="7" t="inlineStr">
        <is>
          <t>PILHA ALCAL. AAA CT/02</t>
        </is>
      </c>
      <c r="D3314" s="7" t="inlineStr">
        <is>
          <t>UTENSILIOS</t>
        </is>
      </c>
      <c r="E3314" s="7" t="inlineStr">
        <is>
          <t>C</t>
        </is>
      </c>
      <c r="F3314" s="13" t="n">
        <v>8</v>
      </c>
      <c r="G3314" s="13" t="n">
        <v>8</v>
      </c>
      <c r="H3314" s="8" t="n">
        <v>8.01</v>
      </c>
      <c r="I3314" s="8" t="n">
        <v>7.88</v>
      </c>
      <c r="J3314" s="8" t="n">
        <v>7.88</v>
      </c>
      <c r="K3314" s="8" t="n"/>
      <c r="L3314" s="8" t="n"/>
      <c r="M3314" s="8" t="n"/>
      <c r="N3314" s="8" t="n"/>
      <c r="O3314" s="8" t="n"/>
      <c r="P3314" s="8" t="n"/>
      <c r="Q3314" s="8" t="n"/>
      <c r="R3314" s="8" t="n"/>
      <c r="S3314" s="8" t="n"/>
      <c r="T3314" s="7" t="inlineStr">
        <is>
          <t>SEM COTAÇÃO</t>
        </is>
      </c>
      <c r="U3314" s="8" t="n"/>
      <c r="V3314" s="14" t="n"/>
      <c r="W3314" s="14" t="n"/>
      <c r="X3314" s="7" t="inlineStr"/>
      <c r="Y3314" s="7" t="inlineStr"/>
    </row>
    <row r="3315">
      <c r="A3315" s="7" t="n">
        <v>549581</v>
      </c>
      <c r="B3315" s="12" t="inlineStr">
        <is>
          <t>7897013534188</t>
        </is>
      </c>
      <c r="C3315" s="7" t="inlineStr">
        <is>
          <t>PILHA ALCALINA ELGIN AA C/2</t>
        </is>
      </c>
      <c r="D3315" s="7" t="inlineStr">
        <is>
          <t>USO INTERNO</t>
        </is>
      </c>
      <c r="E3315" s="7" t="inlineStr">
        <is>
          <t>C</t>
        </is>
      </c>
      <c r="F3315" s="13" t="n">
        <v>1</v>
      </c>
      <c r="G3315" s="13" t="n">
        <v>1</v>
      </c>
      <c r="H3315" s="8" t="n">
        <v>5.91</v>
      </c>
      <c r="I3315" s="8" t="n">
        <v>5.91</v>
      </c>
      <c r="J3315" s="8" t="n">
        <v>5.91</v>
      </c>
      <c r="K3315" s="8" t="n"/>
      <c r="L3315" s="8" t="n"/>
      <c r="M3315" s="8" t="n"/>
      <c r="N3315" s="8" t="n"/>
      <c r="O3315" s="8" t="n"/>
      <c r="P3315" s="8" t="n"/>
      <c r="Q3315" s="8" t="n"/>
      <c r="R3315" s="8" t="n"/>
      <c r="S3315" s="8" t="n"/>
      <c r="T3315" s="7" t="inlineStr">
        <is>
          <t>SEM COTAÇÃO</t>
        </is>
      </c>
      <c r="U3315" s="8" t="n"/>
      <c r="V3315" s="14" t="n"/>
      <c r="W3315" s="14" t="n"/>
      <c r="X3315" s="7" t="inlineStr"/>
      <c r="Y3315" s="7" t="inlineStr"/>
    </row>
    <row r="3316">
      <c r="A3316" s="7" t="n">
        <v>638921</v>
      </c>
      <c r="B3316" s="12" t="inlineStr">
        <is>
          <t>7896067200179</t>
        </is>
      </c>
      <c r="C3316" s="7" t="inlineStr">
        <is>
          <t>PILHA ALCALINA PEQUENA AA CARTELA C/ 4-XAB/4B192 CT</t>
        </is>
      </c>
      <c r="D3316" s="7" t="inlineStr">
        <is>
          <t>UTENSILIOS</t>
        </is>
      </c>
      <c r="E3316" s="7" t="inlineStr">
        <is>
          <t>C</t>
        </is>
      </c>
      <c r="F3316" s="13" t="n">
        <v>2</v>
      </c>
      <c r="G3316" s="13" t="n">
        <v>2</v>
      </c>
      <c r="H3316" s="8" t="n">
        <v>12.33</v>
      </c>
      <c r="I3316" s="8" t="n">
        <v>12.33</v>
      </c>
      <c r="J3316" s="8" t="n">
        <v>12.33</v>
      </c>
      <c r="K3316" s="8" t="n"/>
      <c r="L3316" s="8" t="n"/>
      <c r="M3316" s="8" t="n"/>
      <c r="N3316" s="8" t="n"/>
      <c r="O3316" s="8" t="n"/>
      <c r="P3316" s="8" t="n"/>
      <c r="Q3316" s="8" t="n"/>
      <c r="R3316" s="8" t="n"/>
      <c r="S3316" s="8" t="n"/>
      <c r="T3316" s="7" t="inlineStr">
        <is>
          <t>SEM COTAÇÃO</t>
        </is>
      </c>
      <c r="U3316" s="8" t="n"/>
      <c r="V3316" s="14" t="n"/>
      <c r="W3316" s="14" t="n"/>
      <c r="X3316" s="7" t="inlineStr"/>
      <c r="Y3316" s="7" t="inlineStr"/>
    </row>
    <row r="3317">
      <c r="A3317" s="7" t="n">
        <v>603761</v>
      </c>
      <c r="B3317" s="12" t="inlineStr">
        <is>
          <t>7908412508936</t>
        </is>
      </c>
      <c r="C3317" s="7" t="inlineStr">
        <is>
          <t>PILHA ALCALINA TUBO AAA C/2</t>
        </is>
      </c>
      <c r="D3317" s="7" t="inlineStr">
        <is>
          <t>UTENSILIOS</t>
        </is>
      </c>
      <c r="E3317" s="7" t="inlineStr">
        <is>
          <t>B</t>
        </is>
      </c>
      <c r="F3317" s="13" t="n">
        <v>1</v>
      </c>
      <c r="G3317" s="13" t="n">
        <v>5</v>
      </c>
      <c r="H3317" s="8" t="n">
        <v>6.702</v>
      </c>
      <c r="I3317" s="8" t="n">
        <v>6.702</v>
      </c>
      <c r="J3317" s="8" t="n">
        <v>6.702000000000001</v>
      </c>
      <c r="K3317" s="8" t="n"/>
      <c r="L3317" s="8" t="n"/>
      <c r="M3317" s="8" t="n"/>
      <c r="N3317" s="8" t="n"/>
      <c r="O3317" s="8" t="n"/>
      <c r="P3317" s="8" t="n"/>
      <c r="Q3317" s="8" t="n"/>
      <c r="R3317" s="8" t="n"/>
      <c r="S3317" s="8" t="n"/>
      <c r="T3317" s="7" t="inlineStr">
        <is>
          <t>SEM COTAÇÃO</t>
        </is>
      </c>
      <c r="U3317" s="8" t="n"/>
      <c r="V3317" s="14" t="n"/>
      <c r="W3317" s="14" t="n"/>
      <c r="X3317" s="7" t="inlineStr"/>
      <c r="Y3317" s="7" t="inlineStr"/>
    </row>
    <row r="3318">
      <c r="A3318" s="7" t="n">
        <v>1513</v>
      </c>
      <c r="B3318" s="12" t="inlineStr">
        <is>
          <t>7896067203170</t>
        </is>
      </c>
      <c r="C3318" s="7" t="inlineStr">
        <is>
          <t>PILHA S.HYPER PEQUENA AA PACK C/4UN AZUL</t>
        </is>
      </c>
      <c r="D3318" s="7" t="inlineStr">
        <is>
          <t>UTENSILIOS</t>
        </is>
      </c>
      <c r="E3318" s="7" t="inlineStr">
        <is>
          <t>C</t>
        </is>
      </c>
      <c r="F3318" s="13" t="n">
        <v>1</v>
      </c>
      <c r="G3318" s="13" t="n">
        <v>1</v>
      </c>
      <c r="H3318" s="8" t="n">
        <v>3.2415</v>
      </c>
      <c r="I3318" s="8" t="n">
        <v>3.2415</v>
      </c>
      <c r="J3318" s="8" t="n">
        <v>3.2415</v>
      </c>
      <c r="K3318" s="8" t="n"/>
      <c r="L3318" s="8" t="n"/>
      <c r="M3318" s="8" t="n"/>
      <c r="N3318" s="8" t="n"/>
      <c r="O3318" s="8" t="n"/>
      <c r="P3318" s="8" t="n"/>
      <c r="Q3318" s="8" t="n"/>
      <c r="R3318" s="8" t="n"/>
      <c r="S3318" s="8" t="n"/>
      <c r="T3318" s="7" t="inlineStr">
        <is>
          <t>SEM COTAÇÃO</t>
        </is>
      </c>
      <c r="U3318" s="8" t="n"/>
      <c r="V3318" s="14" t="n"/>
      <c r="W3318" s="14" t="n"/>
      <c r="X3318" s="7" t="inlineStr"/>
      <c r="Y3318" s="7" t="inlineStr"/>
    </row>
    <row r="3319">
      <c r="A3319" s="7" t="n">
        <v>626851</v>
      </c>
      <c r="B3319" s="12" t="inlineStr">
        <is>
          <t>7896067203040</t>
        </is>
      </c>
      <c r="C3319" s="7" t="inlineStr">
        <is>
          <t>PILHA ULTRA HYPER AAA PACK C/4 AZUL</t>
        </is>
      </c>
      <c r="D3319" s="7" t="inlineStr">
        <is>
          <t>UTENSILIOS</t>
        </is>
      </c>
      <c r="E3319" s="7" t="inlineStr">
        <is>
          <t>C</t>
        </is>
      </c>
      <c r="F3319" s="13" t="n">
        <v>1</v>
      </c>
      <c r="G3319" s="13" t="n">
        <v>1</v>
      </c>
      <c r="H3319" s="8" t="n">
        <v>3.999</v>
      </c>
      <c r="I3319" s="8" t="n">
        <v>3.999</v>
      </c>
      <c r="J3319" s="8" t="n">
        <v>3.999</v>
      </c>
      <c r="K3319" s="8" t="n"/>
      <c r="L3319" s="8" t="n"/>
      <c r="M3319" s="8" t="n"/>
      <c r="N3319" s="8" t="n"/>
      <c r="O3319" s="8" t="n"/>
      <c r="P3319" s="8" t="n"/>
      <c r="Q3319" s="8" t="n"/>
      <c r="R3319" s="8" t="n"/>
      <c r="S3319" s="8" t="n"/>
      <c r="T3319" s="7" t="inlineStr">
        <is>
          <t>SEM COTAÇÃO</t>
        </is>
      </c>
      <c r="U3319" s="8" t="n"/>
      <c r="V3319" s="14" t="n"/>
      <c r="W3319" s="14" t="n"/>
      <c r="X3319" s="7" t="inlineStr"/>
      <c r="Y3319" s="7" t="inlineStr"/>
    </row>
    <row r="3320">
      <c r="A3320" s="7" t="n">
        <v>612911</v>
      </c>
      <c r="B3320" s="12" t="inlineStr">
        <is>
          <t>7897517917173</t>
        </is>
      </c>
      <c r="C3320" s="7" t="inlineStr">
        <is>
          <t>PINCA INOX NEON PONTA RETA RICCA UN</t>
        </is>
      </c>
      <c r="D3320" s="7" t="inlineStr">
        <is>
          <t>PERF/COSME</t>
        </is>
      </c>
      <c r="E3320" s="7" t="inlineStr">
        <is>
          <t>C</t>
        </is>
      </c>
      <c r="F3320" s="13" t="n">
        <v>1</v>
      </c>
      <c r="G3320" s="13" t="n">
        <v>1</v>
      </c>
      <c r="H3320" s="8" t="n">
        <v>7.99</v>
      </c>
      <c r="I3320" s="8" t="n">
        <v>7.99</v>
      </c>
      <c r="J3320" s="8" t="n">
        <v>7.989999999999999</v>
      </c>
      <c r="K3320" s="8" t="n"/>
      <c r="L3320" s="8" t="n"/>
      <c r="M3320" s="8" t="n"/>
      <c r="N3320" s="8" t="n"/>
      <c r="O3320" s="8" t="n"/>
      <c r="P3320" s="8" t="n"/>
      <c r="Q3320" s="8" t="n"/>
      <c r="R3320" s="8" t="n"/>
      <c r="S3320" s="8" t="n"/>
      <c r="T3320" s="7" t="inlineStr">
        <is>
          <t>SEM COTAÇÃO</t>
        </is>
      </c>
      <c r="U3320" s="8" t="n"/>
      <c r="V3320" s="14" t="n"/>
      <c r="W3320" s="14" t="n"/>
      <c r="X3320" s="7" t="inlineStr"/>
      <c r="Y3320" s="7" t="inlineStr"/>
    </row>
    <row r="3321">
      <c r="A3321" s="7" t="n">
        <v>630031</v>
      </c>
      <c r="B3321" s="12" t="inlineStr">
        <is>
          <t>7896075757474</t>
        </is>
      </c>
      <c r="C3321" s="7" t="inlineStr">
        <is>
          <t>PINCA MERHEJE DECORADA C 2</t>
        </is>
      </c>
      <c r="D3321" s="7" t="inlineStr">
        <is>
          <t>PERF/COSME</t>
        </is>
      </c>
      <c r="E3321" s="7" t="inlineStr">
        <is>
          <t>C</t>
        </is>
      </c>
      <c r="F3321" s="13" t="n">
        <v>1</v>
      </c>
      <c r="G3321" s="13" t="n">
        <v>1</v>
      </c>
      <c r="H3321" s="8" t="n">
        <v>3.99</v>
      </c>
      <c r="I3321" s="8" t="n">
        <v>3.2025</v>
      </c>
      <c r="J3321" s="8" t="n">
        <v>3.7275</v>
      </c>
      <c r="K3321" s="8" t="n"/>
      <c r="L3321" s="8" t="n"/>
      <c r="M3321" s="8" t="n"/>
      <c r="N3321" s="8" t="n"/>
      <c r="O3321" s="8" t="n"/>
      <c r="P3321" s="8" t="n"/>
      <c r="Q3321" s="8" t="n"/>
      <c r="R3321" s="8" t="n"/>
      <c r="S3321" s="8" t="n"/>
      <c r="T3321" s="7" t="inlineStr">
        <is>
          <t>SEM COTAÇÃO</t>
        </is>
      </c>
      <c r="U3321" s="8" t="n"/>
      <c r="V3321" s="14" t="n"/>
      <c r="W3321" s="14" t="n"/>
      <c r="X3321" s="7" t="inlineStr"/>
      <c r="Y3321" s="7" t="inlineStr"/>
    </row>
    <row r="3322">
      <c r="A3322" s="7" t="n">
        <v>647071</v>
      </c>
      <c r="B3322" s="12" t="inlineStr">
        <is>
          <t>7897517906733</t>
        </is>
      </c>
      <c r="C3322" s="7" t="inlineStr">
        <is>
          <t>PINCA PONTA DIAGONAL 06X1UN</t>
        </is>
      </c>
      <c r="D3322" s="7" t="inlineStr">
        <is>
          <t>UTENSILIOS</t>
        </is>
      </c>
      <c r="E3322" s="7" t="inlineStr">
        <is>
          <t>C</t>
        </is>
      </c>
      <c r="F3322" s="13" t="n">
        <v>1</v>
      </c>
      <c r="G3322" s="13" t="n">
        <v>1</v>
      </c>
      <c r="H3322" s="8" t="n">
        <v>8.99</v>
      </c>
      <c r="I3322" s="8" t="n">
        <v>8.99</v>
      </c>
      <c r="J3322" s="8" t="n">
        <v>8.99</v>
      </c>
      <c r="K3322" s="8" t="n"/>
      <c r="L3322" s="8" t="n"/>
      <c r="M3322" s="8" t="n"/>
      <c r="N3322" s="8" t="n"/>
      <c r="O3322" s="8" t="n"/>
      <c r="P3322" s="8" t="n"/>
      <c r="Q3322" s="8" t="n"/>
      <c r="R3322" s="8" t="n"/>
      <c r="S3322" s="8" t="n"/>
      <c r="T3322" s="7" t="inlineStr">
        <is>
          <t>SEM COTAÇÃO</t>
        </is>
      </c>
      <c r="U3322" s="8" t="n"/>
      <c r="V3322" s="14" t="n"/>
      <c r="W3322" s="14" t="n"/>
      <c r="X3322" s="7" t="inlineStr"/>
      <c r="Y3322" s="7" t="inlineStr"/>
    </row>
    <row r="3323">
      <c r="A3323" s="7" t="n">
        <v>612941</v>
      </c>
      <c r="B3323" s="12" t="inlineStr">
        <is>
          <t>7897517906757</t>
        </is>
      </c>
      <c r="C3323" s="7" t="inlineStr">
        <is>
          <t>PINCA PONTA FINA 06X01UN</t>
        </is>
      </c>
      <c r="D3323" s="7" t="inlineStr">
        <is>
          <t>PERF/COSME</t>
        </is>
      </c>
      <c r="E3323" s="7" t="inlineStr">
        <is>
          <t>C</t>
        </is>
      </c>
      <c r="F3323" s="13" t="n">
        <v>1</v>
      </c>
      <c r="G3323" s="13" t="n">
        <v>1</v>
      </c>
      <c r="H3323" s="8" t="n">
        <v>1.4983</v>
      </c>
      <c r="I3323" s="8" t="n">
        <v>1.4983</v>
      </c>
      <c r="J3323" s="8" t="n">
        <v>1.4983</v>
      </c>
      <c r="K3323" s="8" t="n"/>
      <c r="L3323" s="8" t="n"/>
      <c r="M3323" s="8" t="n"/>
      <c r="N3323" s="8" t="n"/>
      <c r="O3323" s="8" t="n"/>
      <c r="P3323" s="8" t="n"/>
      <c r="Q3323" s="8" t="n"/>
      <c r="R3323" s="8" t="n"/>
      <c r="S3323" s="8" t="n"/>
      <c r="T3323" s="7" t="inlineStr">
        <is>
          <t>SEM COTAÇÃO</t>
        </is>
      </c>
      <c r="U3323" s="8" t="n"/>
      <c r="V3323" s="14" t="n"/>
      <c r="W3323" s="14" t="n"/>
      <c r="X3323" s="7" t="inlineStr"/>
      <c r="Y3323" s="7" t="inlineStr"/>
    </row>
    <row r="3324">
      <c r="A3324" s="7" t="n">
        <v>647081</v>
      </c>
      <c r="B3324" s="12" t="inlineStr">
        <is>
          <t>7897517906740</t>
        </is>
      </c>
      <c r="C3324" s="7" t="inlineStr">
        <is>
          <t>PINCA PONTA RETA</t>
        </is>
      </c>
      <c r="D3324" s="7" t="inlineStr">
        <is>
          <t>UTENSILIOS</t>
        </is>
      </c>
      <c r="E3324" s="7" t="inlineStr">
        <is>
          <t>B</t>
        </is>
      </c>
      <c r="F3324" s="13" t="n">
        <v>5</v>
      </c>
      <c r="G3324" s="13" t="n">
        <v>5</v>
      </c>
      <c r="H3324" s="8" t="n">
        <v>9.65</v>
      </c>
      <c r="I3324" s="8" t="n">
        <v>9.65</v>
      </c>
      <c r="J3324" s="8" t="n">
        <v>9.65</v>
      </c>
      <c r="K3324" s="8" t="n"/>
      <c r="L3324" s="8" t="n"/>
      <c r="M3324" s="8" t="n"/>
      <c r="N3324" s="8" t="n"/>
      <c r="O3324" s="8" t="n"/>
      <c r="P3324" s="8" t="n"/>
      <c r="Q3324" s="8" t="n"/>
      <c r="R3324" s="8" t="n"/>
      <c r="S3324" s="8" t="n"/>
      <c r="T3324" s="7" t="inlineStr">
        <is>
          <t>SEM COTAÇÃO</t>
        </is>
      </c>
      <c r="U3324" s="8" t="n"/>
      <c r="V3324" s="14" t="n"/>
      <c r="W3324" s="14" t="n"/>
      <c r="X3324" s="7" t="inlineStr"/>
      <c r="Y3324" s="7" t="inlineStr"/>
    </row>
    <row r="3325">
      <c r="A3325" s="7" t="n">
        <v>612901</v>
      </c>
      <c r="B3325" s="12" t="inlineStr">
        <is>
          <t>7897517907464</t>
        </is>
      </c>
      <c r="C3325" s="7" t="inlineStr">
        <is>
          <t>PINCA RETA ENOX UNID.</t>
        </is>
      </c>
      <c r="D3325" s="7" t="inlineStr">
        <is>
          <t>PERF/COSME</t>
        </is>
      </c>
      <c r="E3325" s="7" t="inlineStr">
        <is>
          <t>C</t>
        </is>
      </c>
      <c r="F3325" s="13" t="n">
        <v>1</v>
      </c>
      <c r="G3325" s="13" t="n">
        <v>3</v>
      </c>
      <c r="H3325" s="8" t="n">
        <v>2.225</v>
      </c>
      <c r="I3325" s="8" t="n">
        <v>2.225</v>
      </c>
      <c r="J3325" s="8" t="n">
        <v>2.225</v>
      </c>
      <c r="K3325" s="8" t="n"/>
      <c r="L3325" s="8" t="n"/>
      <c r="M3325" s="8" t="n"/>
      <c r="N3325" s="8" t="n"/>
      <c r="O3325" s="8" t="n"/>
      <c r="P3325" s="8" t="n"/>
      <c r="Q3325" s="8" t="n"/>
      <c r="R3325" s="8" t="n"/>
      <c r="S3325" s="8" t="n"/>
      <c r="T3325" s="7" t="inlineStr">
        <is>
          <t>SEM COTAÇÃO</t>
        </is>
      </c>
      <c r="U3325" s="8" t="n"/>
      <c r="V3325" s="14" t="n"/>
      <c r="W3325" s="14" t="n"/>
      <c r="X3325" s="7" t="inlineStr"/>
      <c r="Y3325" s="7" t="inlineStr"/>
    </row>
    <row r="3326">
      <c r="A3326" s="7" t="n">
        <v>629391</v>
      </c>
      <c r="B3326" s="12" t="inlineStr">
        <is>
          <t>7898936110558</t>
        </is>
      </c>
      <c r="C3326" s="7" t="inlineStr">
        <is>
          <t>PIQUITUCHO TOALHAS UMD PREMIUM C/60</t>
        </is>
      </c>
      <c r="D3326" s="7" t="inlineStr">
        <is>
          <t>BABY/KIDS</t>
        </is>
      </c>
      <c r="E3326" s="7" t="inlineStr">
        <is>
          <t>B</t>
        </is>
      </c>
      <c r="F3326" s="13" t="n">
        <v>15</v>
      </c>
      <c r="G3326" s="13" t="n">
        <v>15</v>
      </c>
      <c r="H3326" s="8" t="n">
        <v>4.25</v>
      </c>
      <c r="I3326" s="8" t="n">
        <v>4.18</v>
      </c>
      <c r="J3326" s="8" t="n">
        <v>4.18</v>
      </c>
      <c r="K3326" s="8" t="n"/>
      <c r="L3326" s="8" t="n"/>
      <c r="M3326" s="8" t="n"/>
      <c r="N3326" s="8" t="n"/>
      <c r="O3326" s="8" t="n"/>
      <c r="P3326" s="15" t="n">
        <v>5.3253</v>
      </c>
      <c r="Q3326" s="8" t="n"/>
      <c r="R3326" s="8" t="n"/>
      <c r="S3326" s="8" t="n"/>
      <c r="T3326" s="7" t="inlineStr">
        <is>
          <t>NAZARIA</t>
        </is>
      </c>
      <c r="U3326" s="8" t="n">
        <v>5.3253</v>
      </c>
      <c r="V3326" s="14">
        <f>U3326/J3326-1</f>
        <v/>
      </c>
      <c r="W3326" s="14">
        <f>U3326/H3326-1</f>
        <v/>
      </c>
      <c r="X3326" s="16" t="inlineStr">
        <is>
          <t>ACIMA +25.3%</t>
        </is>
      </c>
      <c r="Y3326" s="7" t="inlineStr"/>
    </row>
    <row r="3327">
      <c r="A3327" s="7" t="n">
        <v>675131</v>
      </c>
      <c r="B3327" s="12" t="inlineStr"/>
      <c r="C3327" s="7" t="inlineStr">
        <is>
          <t>PIRANHA - MINI</t>
        </is>
      </c>
      <c r="D3327" s="7" t="inlineStr">
        <is>
          <t>UTENSILIOS</t>
        </is>
      </c>
      <c r="E3327" s="7" t="inlineStr">
        <is>
          <t>C</t>
        </is>
      </c>
      <c r="F3327" s="13" t="n">
        <v>1</v>
      </c>
      <c r="G3327" s="13" t="n">
        <v>1</v>
      </c>
      <c r="H3327" s="8" t="n"/>
      <c r="I3327" s="8" t="n"/>
      <c r="J3327" s="8" t="n"/>
      <c r="K3327" s="8" t="n"/>
      <c r="L3327" s="8" t="n"/>
      <c r="M3327" s="8" t="n"/>
      <c r="N3327" s="8" t="n"/>
      <c r="O3327" s="8" t="n"/>
      <c r="P3327" s="8" t="n"/>
      <c r="Q3327" s="8" t="n"/>
      <c r="R3327" s="8" t="n"/>
      <c r="S3327" s="8" t="n"/>
      <c r="T3327" s="7" t="inlineStr">
        <is>
          <t>SEM COTAÇÃO</t>
        </is>
      </c>
      <c r="U3327" s="8" t="n"/>
      <c r="V3327" s="14" t="n"/>
      <c r="W3327" s="14" t="n"/>
      <c r="X3327" s="7" t="inlineStr"/>
      <c r="Y3327" s="7" t="inlineStr"/>
    </row>
    <row r="3328">
      <c r="A3328" s="7" t="n">
        <v>675241</v>
      </c>
      <c r="B3328" s="12" t="inlineStr">
        <is>
          <t>7898647928824</t>
        </is>
      </c>
      <c r="C3328" s="7" t="inlineStr">
        <is>
          <t>PIRANHA BELLESA ELA</t>
        </is>
      </c>
      <c r="D3328" s="7" t="inlineStr">
        <is>
          <t>UTENSILIOS</t>
        </is>
      </c>
      <c r="E3328" s="7" t="inlineStr">
        <is>
          <t>C</t>
        </is>
      </c>
      <c r="F3328" s="13" t="n">
        <v>1</v>
      </c>
      <c r="G3328" s="13" t="n">
        <v>1</v>
      </c>
      <c r="H3328" s="8" t="n"/>
      <c r="I3328" s="8" t="n"/>
      <c r="J3328" s="8" t="n"/>
      <c r="K3328" s="8" t="n"/>
      <c r="L3328" s="8" t="n"/>
      <c r="M3328" s="8" t="n"/>
      <c r="N3328" s="8" t="n"/>
      <c r="O3328" s="8" t="n"/>
      <c r="P3328" s="8" t="n"/>
      <c r="Q3328" s="8" t="n"/>
      <c r="R3328" s="8" t="n"/>
      <c r="S3328" s="8" t="n"/>
      <c r="T3328" s="7" t="inlineStr">
        <is>
          <t>SEM COTAÇÃO</t>
        </is>
      </c>
      <c r="U3328" s="8" t="n"/>
      <c r="V3328" s="14" t="n"/>
      <c r="W3328" s="14" t="n"/>
      <c r="X3328" s="7" t="inlineStr"/>
      <c r="Y3328" s="7" t="inlineStr"/>
    </row>
    <row r="3329">
      <c r="A3329" s="7" t="n">
        <v>675201</v>
      </c>
      <c r="B3329" s="12" t="inlineStr"/>
      <c r="C3329" s="7" t="inlineStr">
        <is>
          <t>PIRANHA GRANDE</t>
        </is>
      </c>
      <c r="D3329" s="7" t="inlineStr">
        <is>
          <t>UTENSILIOS</t>
        </is>
      </c>
      <c r="E3329" s="7" t="inlineStr">
        <is>
          <t>C</t>
        </is>
      </c>
      <c r="F3329" s="13" t="n">
        <v>5</v>
      </c>
      <c r="G3329" s="13" t="n">
        <v>5</v>
      </c>
      <c r="H3329" s="8" t="n"/>
      <c r="I3329" s="8" t="n"/>
      <c r="J3329" s="8" t="n"/>
      <c r="K3329" s="8" t="n"/>
      <c r="L3329" s="8" t="n"/>
      <c r="M3329" s="8" t="n"/>
      <c r="N3329" s="8" t="n"/>
      <c r="O3329" s="8" t="n"/>
      <c r="P3329" s="8" t="n"/>
      <c r="Q3329" s="8" t="n"/>
      <c r="R3329" s="8" t="n"/>
      <c r="S3329" s="8" t="n"/>
      <c r="T3329" s="7" t="inlineStr">
        <is>
          <t>SEM COTAÇÃO</t>
        </is>
      </c>
      <c r="U3329" s="8" t="n"/>
      <c r="V3329" s="14" t="n"/>
      <c r="W3329" s="14" t="n"/>
      <c r="X3329" s="7" t="inlineStr"/>
      <c r="Y3329" s="7" t="inlineStr"/>
    </row>
    <row r="3330">
      <c r="A3330" s="7" t="n">
        <v>675171</v>
      </c>
      <c r="B3330" s="12" t="inlineStr"/>
      <c r="C3330" s="7" t="inlineStr">
        <is>
          <t>PIRANHA METAL STRASS</t>
        </is>
      </c>
      <c r="D3330" s="7" t="inlineStr">
        <is>
          <t>UTENSILIOS</t>
        </is>
      </c>
      <c r="E3330" s="7" t="inlineStr">
        <is>
          <t>C</t>
        </is>
      </c>
      <c r="F3330" s="13" t="n">
        <v>1</v>
      </c>
      <c r="G3330" s="13" t="n">
        <v>1</v>
      </c>
      <c r="H3330" s="8" t="n"/>
      <c r="I3330" s="8" t="n"/>
      <c r="J3330" s="8" t="n"/>
      <c r="K3330" s="8" t="n"/>
      <c r="L3330" s="8" t="n"/>
      <c r="M3330" s="8" t="n"/>
      <c r="N3330" s="8" t="n"/>
      <c r="O3330" s="8" t="n"/>
      <c r="P3330" s="8" t="n"/>
      <c r="Q3330" s="8" t="n"/>
      <c r="R3330" s="8" t="n"/>
      <c r="S3330" s="8" t="n"/>
      <c r="T3330" s="7" t="inlineStr">
        <is>
          <t>SEM COTAÇÃO</t>
        </is>
      </c>
      <c r="U3330" s="8" t="n"/>
      <c r="V3330" s="14" t="n"/>
      <c r="W3330" s="14" t="n"/>
      <c r="X3330" s="7" t="inlineStr"/>
      <c r="Y3330" s="7" t="inlineStr"/>
    </row>
    <row r="3331">
      <c r="A3331" s="7" t="n">
        <v>675311</v>
      </c>
      <c r="B3331" s="12" t="inlineStr"/>
      <c r="C3331" s="7" t="inlineStr">
        <is>
          <t>PIRANHA MINI 3 UNIDADE</t>
        </is>
      </c>
      <c r="D3331" s="7" t="inlineStr">
        <is>
          <t>UTENSILIOS</t>
        </is>
      </c>
      <c r="E3331" s="7" t="inlineStr">
        <is>
          <t>C</t>
        </is>
      </c>
      <c r="F3331" s="13" t="n">
        <v>1</v>
      </c>
      <c r="G3331" s="13" t="n">
        <v>1</v>
      </c>
      <c r="H3331" s="8" t="n"/>
      <c r="I3331" s="8" t="n"/>
      <c r="J3331" s="8" t="n"/>
      <c r="K3331" s="8" t="n"/>
      <c r="L3331" s="8" t="n"/>
      <c r="M3331" s="8" t="n"/>
      <c r="N3331" s="8" t="n"/>
      <c r="O3331" s="8" t="n"/>
      <c r="P3331" s="8" t="n"/>
      <c r="Q3331" s="8" t="n"/>
      <c r="R3331" s="8" t="n"/>
      <c r="S3331" s="8" t="n"/>
      <c r="T3331" s="7" t="inlineStr">
        <is>
          <t>SEM COTAÇÃO</t>
        </is>
      </c>
      <c r="U3331" s="8" t="n"/>
      <c r="V3331" s="14" t="n"/>
      <c r="W3331" s="14" t="n"/>
      <c r="X3331" s="7" t="inlineStr"/>
      <c r="Y3331" s="7" t="inlineStr"/>
    </row>
    <row r="3332">
      <c r="A3332" s="7" t="n">
        <v>675301</v>
      </c>
      <c r="B3332" s="12" t="inlineStr"/>
      <c r="C3332" s="7" t="inlineStr">
        <is>
          <t>PIRANHA PEQUENA COM 3 UND</t>
        </is>
      </c>
      <c r="D3332" s="7" t="inlineStr">
        <is>
          <t>UTENSILIOS</t>
        </is>
      </c>
      <c r="E3332" s="7" t="inlineStr">
        <is>
          <t>C</t>
        </is>
      </c>
      <c r="F3332" s="13" t="n">
        <v>5</v>
      </c>
      <c r="G3332" s="13" t="n">
        <v>5</v>
      </c>
      <c r="H3332" s="8" t="n"/>
      <c r="I3332" s="8" t="n"/>
      <c r="J3332" s="8" t="n"/>
      <c r="K3332" s="8" t="n"/>
      <c r="L3332" s="8" t="n"/>
      <c r="M3332" s="8" t="n"/>
      <c r="N3332" s="8" t="n"/>
      <c r="O3332" s="8" t="n"/>
      <c r="P3332" s="8" t="n"/>
      <c r="Q3332" s="8" t="n"/>
      <c r="R3332" s="8" t="n"/>
      <c r="S3332" s="8" t="n"/>
      <c r="T3332" s="7" t="inlineStr">
        <is>
          <t>SEM COTAÇÃO</t>
        </is>
      </c>
      <c r="U3332" s="8" t="n"/>
      <c r="V3332" s="14" t="n"/>
      <c r="W3332" s="14" t="n"/>
      <c r="X3332" s="7" t="inlineStr"/>
      <c r="Y3332" s="7" t="inlineStr"/>
    </row>
    <row r="3333">
      <c r="A3333" s="7" t="n">
        <v>404881</v>
      </c>
      <c r="B3333" s="12" t="inlineStr">
        <is>
          <t>7898216362189</t>
        </is>
      </c>
      <c r="C3333" s="7" t="inlineStr">
        <is>
          <t>PIROXICAM 20MG CX 10 CAP</t>
        </is>
      </c>
      <c r="D3333" s="7" t="inlineStr">
        <is>
          <t>GENERICO</t>
        </is>
      </c>
      <c r="E3333" s="7" t="inlineStr">
        <is>
          <t>A</t>
        </is>
      </c>
      <c r="F3333" s="13" t="n">
        <v>6</v>
      </c>
      <c r="G3333" s="13" t="n">
        <v>6</v>
      </c>
      <c r="H3333" s="8" t="n">
        <v>4.15</v>
      </c>
      <c r="I3333" s="8" t="n">
        <v>4.15</v>
      </c>
      <c r="J3333" s="8" t="n">
        <v>4.15</v>
      </c>
      <c r="K3333" s="8" t="n">
        <v>4.38</v>
      </c>
      <c r="L3333" s="8" t="n"/>
      <c r="M3333" s="8" t="n"/>
      <c r="N3333" s="8" t="n">
        <v>4.45</v>
      </c>
      <c r="O3333" s="8" t="n">
        <v>4.37</v>
      </c>
      <c r="P3333" s="8" t="n"/>
      <c r="Q3333" s="8" t="n"/>
      <c r="R3333" s="15" t="n">
        <v>4.22</v>
      </c>
      <c r="S3333" s="8" t="n"/>
      <c r="T3333" s="7" t="inlineStr">
        <is>
          <t>BRASFARMA</t>
        </is>
      </c>
      <c r="U3333" s="8" t="n">
        <v>4.22</v>
      </c>
      <c r="V3333" s="14">
        <f>U3333/J3333-1</f>
        <v/>
      </c>
      <c r="W3333" s="14">
        <f>U3333/H3333-1</f>
        <v/>
      </c>
      <c r="X3333" s="16" t="inlineStr">
        <is>
          <t>ACIMA +1.7%</t>
        </is>
      </c>
      <c r="Y3333" s="7" t="inlineStr"/>
    </row>
    <row r="3334">
      <c r="A3334" s="7" t="n">
        <v>159701</v>
      </c>
      <c r="B3334" s="12" t="inlineStr"/>
      <c r="C3334" s="7" t="inlineStr">
        <is>
          <t>PLABEL 10MG CX 20 COMP</t>
        </is>
      </c>
      <c r="D3334" s="7" t="inlineStr">
        <is>
          <t>SIMILAR</t>
        </is>
      </c>
      <c r="E3334" s="7" t="inlineStr">
        <is>
          <t>B</t>
        </is>
      </c>
      <c r="F3334" s="13" t="n">
        <v>9</v>
      </c>
      <c r="G3334" s="13" t="n">
        <v>9</v>
      </c>
      <c r="H3334" s="8" t="n">
        <v>2.86</v>
      </c>
      <c r="I3334" s="8" t="n">
        <v>2.86</v>
      </c>
      <c r="J3334" s="8" t="n">
        <v>2.86</v>
      </c>
      <c r="K3334" s="8" t="n"/>
      <c r="L3334" s="8" t="n"/>
      <c r="M3334" s="8" t="n"/>
      <c r="N3334" s="8" t="n"/>
      <c r="O3334" s="8" t="n"/>
      <c r="P3334" s="8" t="n"/>
      <c r="Q3334" s="8" t="n"/>
      <c r="R3334" s="8" t="n"/>
      <c r="S3334" s="8" t="n"/>
      <c r="T3334" s="7" t="inlineStr">
        <is>
          <t>SEM COTAÇÃO</t>
        </is>
      </c>
      <c r="U3334" s="8" t="n"/>
      <c r="V3334" s="14" t="n"/>
      <c r="W3334" s="14" t="n"/>
      <c r="X3334" s="7" t="inlineStr"/>
      <c r="Y3334" s="7" t="inlineStr"/>
    </row>
    <row r="3335">
      <c r="A3335" s="7" t="n">
        <v>159781</v>
      </c>
      <c r="B3335" s="12" t="inlineStr">
        <is>
          <t>7891058059149</t>
        </is>
      </c>
      <c r="C3335" s="7" t="inlineStr">
        <is>
          <t>PLASIL 10MG CX 20 COMP</t>
        </is>
      </c>
      <c r="D3335" s="7" t="inlineStr">
        <is>
          <t>RX</t>
        </is>
      </c>
      <c r="E3335" s="7" t="inlineStr">
        <is>
          <t>B</t>
        </is>
      </c>
      <c r="F3335" s="13" t="n">
        <v>8</v>
      </c>
      <c r="G3335" s="13" t="n">
        <v>8</v>
      </c>
      <c r="H3335" s="8" t="n">
        <v>11.352</v>
      </c>
      <c r="I3335" s="8" t="n">
        <v>9.918900000000001</v>
      </c>
      <c r="J3335" s="8" t="n">
        <v>10.54173333333333</v>
      </c>
      <c r="K3335" s="8" t="n"/>
      <c r="L3335" s="8" t="n"/>
      <c r="M3335" s="8" t="n"/>
      <c r="N3335" s="8" t="n"/>
      <c r="O3335" s="8" t="n"/>
      <c r="P3335" s="15" t="n">
        <v>11.037</v>
      </c>
      <c r="Q3335" s="8" t="n"/>
      <c r="R3335" s="8" t="n"/>
      <c r="S3335" s="8" t="n"/>
      <c r="T3335" s="7" t="inlineStr">
        <is>
          <t>NAZARIA</t>
        </is>
      </c>
      <c r="U3335" s="8" t="n">
        <v>11.037</v>
      </c>
      <c r="V3335" s="14">
        <f>U3335/J3335-1</f>
        <v/>
      </c>
      <c r="W3335" s="14">
        <f>U3335/H3335-1</f>
        <v/>
      </c>
      <c r="X3335" s="17" t="inlineStr">
        <is>
          <t>OK (≤ últ. compra)</t>
        </is>
      </c>
      <c r="Y3335" s="7" t="inlineStr">
        <is>
          <t>NAZARIA: estoque parcial (5 un)</t>
        </is>
      </c>
    </row>
    <row r="3336">
      <c r="A3336" s="7" t="n">
        <v>594181</v>
      </c>
      <c r="B3336" s="12" t="inlineStr">
        <is>
          <t>7891024130728</t>
        </is>
      </c>
      <c r="C3336" s="7" t="inlineStr">
        <is>
          <t>PLAX DEN COLGATE FRESH MINT 60ML</t>
        </is>
      </c>
      <c r="D3336" s="7" t="inlineStr">
        <is>
          <t>PERF/COSME</t>
        </is>
      </c>
      <c r="E3336" s="7" t="inlineStr">
        <is>
          <t>A</t>
        </is>
      </c>
      <c r="F3336" s="13" t="n">
        <v>5</v>
      </c>
      <c r="G3336" s="13" t="n">
        <v>5</v>
      </c>
      <c r="H3336" s="8" t="n">
        <v>4.5017</v>
      </c>
      <c r="I3336" s="8" t="n">
        <v>4.37</v>
      </c>
      <c r="J3336" s="8" t="n">
        <v>4.37</v>
      </c>
      <c r="K3336" s="8" t="n"/>
      <c r="L3336" s="8" t="n"/>
      <c r="M3336" s="8" t="n"/>
      <c r="N3336" s="8" t="n"/>
      <c r="O3336" s="8" t="n"/>
      <c r="P3336" s="15" t="n">
        <v>4.52</v>
      </c>
      <c r="Q3336" s="8" t="n"/>
      <c r="R3336" s="8" t="n"/>
      <c r="S3336" s="8" t="n"/>
      <c r="T3336" s="7" t="inlineStr">
        <is>
          <t>NAZARIA</t>
        </is>
      </c>
      <c r="U3336" s="8" t="n">
        <v>4.52</v>
      </c>
      <c r="V3336" s="14">
        <f>U3336/J3336-1</f>
        <v/>
      </c>
      <c r="W3336" s="14">
        <f>U3336/H3336-1</f>
        <v/>
      </c>
      <c r="X3336" s="16" t="inlineStr">
        <is>
          <t>ACIMA +0.4%</t>
        </is>
      </c>
      <c r="Y3336" s="7" t="inlineStr"/>
    </row>
    <row r="3337">
      <c r="A3337" s="7" t="n">
        <v>657941</v>
      </c>
      <c r="B3337" s="12" t="inlineStr">
        <is>
          <t>07896150008989</t>
        </is>
      </c>
      <c r="C3337" s="7" t="inlineStr">
        <is>
          <t>PO DESC YAMA 50G TRAD ACTIVE</t>
        </is>
      </c>
      <c r="D3337" s="7" t="inlineStr">
        <is>
          <t>TINTAS/DESCOLORANTES</t>
        </is>
      </c>
      <c r="E3337" s="7" t="inlineStr">
        <is>
          <t>C</t>
        </is>
      </c>
      <c r="F3337" s="13" t="n">
        <v>1</v>
      </c>
      <c r="G3337" s="13" t="n">
        <v>1</v>
      </c>
      <c r="H3337" s="8" t="n">
        <v>9.66</v>
      </c>
      <c r="I3337" s="8" t="n">
        <v>9.66</v>
      </c>
      <c r="J3337" s="8" t="n">
        <v>9.66</v>
      </c>
      <c r="K3337" s="8" t="n"/>
      <c r="L3337" s="8" t="n"/>
      <c r="M3337" s="8" t="n"/>
      <c r="N3337" s="8" t="n"/>
      <c r="O3337" s="8" t="n"/>
      <c r="P3337" s="8" t="n"/>
      <c r="Q3337" s="8" t="n"/>
      <c r="R3337" s="8" t="n"/>
      <c r="S3337" s="8" t="n"/>
      <c r="T3337" s="7" t="inlineStr">
        <is>
          <t>SEM COTAÇÃO</t>
        </is>
      </c>
      <c r="U3337" s="8" t="n"/>
      <c r="V3337" s="14" t="n"/>
      <c r="W3337" s="14" t="n"/>
      <c r="X3337" s="7" t="inlineStr"/>
      <c r="Y3337" s="7" t="inlineStr"/>
    </row>
    <row r="3338">
      <c r="A3338" s="7" t="n">
        <v>600161</v>
      </c>
      <c r="B3338" s="12" t="inlineStr">
        <is>
          <t>7896150014577</t>
        </is>
      </c>
      <c r="C3338" s="7" t="inlineStr">
        <is>
          <t>PO DESC. AMETISTA  50G</t>
        </is>
      </c>
      <c r="D3338" s="7" t="inlineStr">
        <is>
          <t>PERF/COSME</t>
        </is>
      </c>
      <c r="E3338" s="7" t="inlineStr">
        <is>
          <t>C</t>
        </is>
      </c>
      <c r="F3338" s="13" t="n">
        <v>7</v>
      </c>
      <c r="G3338" s="13" t="n">
        <v>7</v>
      </c>
      <c r="H3338" s="8" t="n">
        <v>7.6017</v>
      </c>
      <c r="I3338" s="8" t="n">
        <v>7.6017</v>
      </c>
      <c r="J3338" s="8" t="n">
        <v>7.6017</v>
      </c>
      <c r="K3338" s="8" t="n"/>
      <c r="L3338" s="8" t="n"/>
      <c r="M3338" s="8" t="n"/>
      <c r="N3338" s="8" t="n"/>
      <c r="O3338" s="8" t="n"/>
      <c r="P3338" s="8" t="n"/>
      <c r="Q3338" s="8" t="n"/>
      <c r="R3338" s="8" t="n"/>
      <c r="S3338" s="8" t="n"/>
      <c r="T3338" s="7" t="inlineStr">
        <is>
          <t>SEM COTAÇÃO</t>
        </is>
      </c>
      <c r="U3338" s="8" t="n"/>
      <c r="V3338" s="14" t="n"/>
      <c r="W3338" s="14" t="n"/>
      <c r="X3338" s="7" t="inlineStr"/>
      <c r="Y3338" s="7" t="inlineStr"/>
    </row>
    <row r="3339">
      <c r="A3339" s="7" t="n">
        <v>593771</v>
      </c>
      <c r="B3339" s="12" t="inlineStr">
        <is>
          <t>7896150012825</t>
        </is>
      </c>
      <c r="C3339" s="7" t="inlineStr">
        <is>
          <t>PO DESC. CAMOMILA  50G</t>
        </is>
      </c>
      <c r="D3339" s="7" t="inlineStr">
        <is>
          <t>PERF/COSME</t>
        </is>
      </c>
      <c r="E3339" s="7" t="inlineStr">
        <is>
          <t>B</t>
        </is>
      </c>
      <c r="F3339" s="13" t="n">
        <v>4</v>
      </c>
      <c r="G3339" s="13" t="n">
        <v>4</v>
      </c>
      <c r="H3339" s="8" t="n">
        <v>9.609999999999999</v>
      </c>
      <c r="I3339" s="8" t="n">
        <v>9.609999999999999</v>
      </c>
      <c r="J3339" s="8" t="n">
        <v>9.609999999999999</v>
      </c>
      <c r="K3339" s="8" t="n"/>
      <c r="L3339" s="8" t="n"/>
      <c r="M3339" s="8" t="n"/>
      <c r="N3339" s="8" t="n"/>
      <c r="O3339" s="8" t="n"/>
      <c r="P3339" s="8" t="n"/>
      <c r="Q3339" s="8" t="n"/>
      <c r="R3339" s="8" t="n"/>
      <c r="S3339" s="8" t="n"/>
      <c r="T3339" s="7" t="inlineStr">
        <is>
          <t>SEM COTAÇÃO</t>
        </is>
      </c>
      <c r="U3339" s="8" t="n"/>
      <c r="V3339" s="14" t="n"/>
      <c r="W3339" s="14" t="n"/>
      <c r="X3339" s="7" t="inlineStr"/>
      <c r="Y3339" s="7" t="inlineStr"/>
    </row>
    <row r="3340">
      <c r="A3340" s="7" t="n">
        <v>593781</v>
      </c>
      <c r="B3340" s="12" t="inlineStr">
        <is>
          <t>7896150009658</t>
        </is>
      </c>
      <c r="C3340" s="7" t="inlineStr">
        <is>
          <t>PO DESC. ERVAS DUST FREE  50G</t>
        </is>
      </c>
      <c r="D3340" s="7" t="inlineStr">
        <is>
          <t>PERF/COSME</t>
        </is>
      </c>
      <c r="E3340" s="7" t="inlineStr">
        <is>
          <t>B</t>
        </is>
      </c>
      <c r="F3340" s="13" t="n">
        <v>4</v>
      </c>
      <c r="G3340" s="13" t="n">
        <v>4</v>
      </c>
      <c r="H3340" s="8" t="n">
        <v>7.6017</v>
      </c>
      <c r="I3340" s="8" t="n">
        <v>7.6017</v>
      </c>
      <c r="J3340" s="8" t="n">
        <v>7.6017</v>
      </c>
      <c r="K3340" s="8" t="n"/>
      <c r="L3340" s="8" t="n"/>
      <c r="M3340" s="8" t="n"/>
      <c r="N3340" s="8" t="n"/>
      <c r="O3340" s="8" t="n"/>
      <c r="P3340" s="8" t="n"/>
      <c r="Q3340" s="8" t="n"/>
      <c r="R3340" s="8" t="n"/>
      <c r="S3340" s="8" t="n"/>
      <c r="T3340" s="7" t="inlineStr">
        <is>
          <t>SEM COTAÇÃO</t>
        </is>
      </c>
      <c r="U3340" s="8" t="n"/>
      <c r="V3340" s="14" t="n"/>
      <c r="W3340" s="14" t="n"/>
      <c r="X3340" s="7" t="inlineStr"/>
      <c r="Y3340" s="7" t="inlineStr"/>
    </row>
    <row r="3341">
      <c r="A3341" s="7" t="n">
        <v>602501</v>
      </c>
      <c r="B3341" s="12" t="inlineStr">
        <is>
          <t>7896150019510</t>
        </is>
      </c>
      <c r="C3341" s="7" t="inlineStr">
        <is>
          <t>PO DESC. PEROLADO REFIL 300G</t>
        </is>
      </c>
      <c r="D3341" s="7" t="inlineStr">
        <is>
          <t>PERF/COSME</t>
        </is>
      </c>
      <c r="E3341" s="7" t="inlineStr">
        <is>
          <t>C</t>
        </is>
      </c>
      <c r="F3341" s="13" t="n">
        <v>1</v>
      </c>
      <c r="G3341" s="13" t="n">
        <v>1</v>
      </c>
      <c r="H3341" s="8" t="n">
        <v>23.72</v>
      </c>
      <c r="I3341" s="8" t="n">
        <v>23.72</v>
      </c>
      <c r="J3341" s="8" t="n">
        <v>23.72</v>
      </c>
      <c r="K3341" s="8" t="n"/>
      <c r="L3341" s="8" t="n"/>
      <c r="M3341" s="8" t="n"/>
      <c r="N3341" s="8" t="n"/>
      <c r="O3341" s="8" t="n"/>
      <c r="P3341" s="8" t="n"/>
      <c r="Q3341" s="8" t="n"/>
      <c r="R3341" s="8" t="n"/>
      <c r="S3341" s="8" t="n"/>
      <c r="T3341" s="7" t="inlineStr">
        <is>
          <t>SEM COTAÇÃO</t>
        </is>
      </c>
      <c r="U3341" s="8" t="n"/>
      <c r="V3341" s="14" t="n"/>
      <c r="W3341" s="14" t="n"/>
      <c r="X3341" s="7" t="inlineStr"/>
      <c r="Y3341" s="7" t="inlineStr"/>
    </row>
    <row r="3342">
      <c r="A3342" s="7" t="n">
        <v>593791</v>
      </c>
      <c r="B3342" s="12" t="inlineStr">
        <is>
          <t>7896150014607</t>
        </is>
      </c>
      <c r="C3342" s="7" t="inlineStr">
        <is>
          <t>PO DESC. PROTEINAS DO LEITE  50G    CX C/12</t>
        </is>
      </c>
      <c r="D3342" s="7" t="inlineStr">
        <is>
          <t>PERF/COSME</t>
        </is>
      </c>
      <c r="E3342" s="7" t="inlineStr">
        <is>
          <t>B</t>
        </is>
      </c>
      <c r="F3342" s="13" t="n">
        <v>8</v>
      </c>
      <c r="G3342" s="13" t="n">
        <v>8</v>
      </c>
      <c r="H3342" s="8" t="n">
        <v>9.66</v>
      </c>
      <c r="I3342" s="8" t="n">
        <v>9.66</v>
      </c>
      <c r="J3342" s="8" t="n">
        <v>9.66</v>
      </c>
      <c r="K3342" s="8" t="n"/>
      <c r="L3342" s="8" t="n"/>
      <c r="M3342" s="8" t="n"/>
      <c r="N3342" s="8" t="n"/>
      <c r="O3342" s="8" t="n"/>
      <c r="P3342" s="8" t="n"/>
      <c r="Q3342" s="8" t="n"/>
      <c r="R3342" s="8" t="n"/>
      <c r="S3342" s="8" t="n"/>
      <c r="T3342" s="7" t="inlineStr">
        <is>
          <t>SEM COTAÇÃO</t>
        </is>
      </c>
      <c r="U3342" s="8" t="n"/>
      <c r="V3342" s="14" t="n"/>
      <c r="W3342" s="14" t="n"/>
      <c r="X3342" s="7" t="inlineStr"/>
      <c r="Y3342" s="7" t="inlineStr"/>
    </row>
    <row r="3343">
      <c r="A3343" s="7" t="n">
        <v>590841</v>
      </c>
      <c r="B3343" s="12" t="inlineStr">
        <is>
          <t>7896150015741</t>
        </is>
      </c>
      <c r="C3343" s="7" t="inlineStr">
        <is>
          <t>PO DESC. QUERATINA REFIL 300G</t>
        </is>
      </c>
      <c r="D3343" s="7" t="inlineStr">
        <is>
          <t>TINTAS/DESCOLORANTES</t>
        </is>
      </c>
      <c r="E3343" s="7" t="inlineStr">
        <is>
          <t>C</t>
        </is>
      </c>
      <c r="F3343" s="13" t="n">
        <v>1</v>
      </c>
      <c r="G3343" s="13" t="n">
        <v>1</v>
      </c>
      <c r="H3343" s="8" t="n">
        <v>20.43</v>
      </c>
      <c r="I3343" s="8" t="n">
        <v>20.43</v>
      </c>
      <c r="J3343" s="8" t="n">
        <v>20.43</v>
      </c>
      <c r="K3343" s="8" t="n"/>
      <c r="L3343" s="8" t="n"/>
      <c r="M3343" s="8" t="n"/>
      <c r="N3343" s="8" t="n"/>
      <c r="O3343" s="8" t="n"/>
      <c r="P3343" s="8" t="n"/>
      <c r="Q3343" s="8" t="n"/>
      <c r="R3343" s="8" t="n"/>
      <c r="S3343" s="8" t="n"/>
      <c r="T3343" s="7" t="inlineStr">
        <is>
          <t>SEM COTAÇÃO</t>
        </is>
      </c>
      <c r="U3343" s="8" t="n"/>
      <c r="V3343" s="14" t="n"/>
      <c r="W3343" s="14" t="n"/>
      <c r="X3343" s="7" t="inlineStr"/>
      <c r="Y3343" s="7" t="inlineStr"/>
    </row>
    <row r="3344">
      <c r="A3344" s="7" t="n">
        <v>5703</v>
      </c>
      <c r="B3344" s="12" t="inlineStr">
        <is>
          <t>609963917563</t>
        </is>
      </c>
      <c r="C3344" s="7" t="inlineStr">
        <is>
          <t>POLIVITAMINICO AZ C/60 CPS</t>
        </is>
      </c>
      <c r="D3344" s="7" t="inlineStr">
        <is>
          <t>VITAMINA E SIMILARES</t>
        </is>
      </c>
      <c r="E3344" s="7" t="inlineStr">
        <is>
          <t>C</t>
        </is>
      </c>
      <c r="F3344" s="13" t="n">
        <v>1</v>
      </c>
      <c r="G3344" s="13" t="n">
        <v>1</v>
      </c>
      <c r="H3344" s="8" t="n"/>
      <c r="I3344" s="8" t="n"/>
      <c r="J3344" s="8" t="n"/>
      <c r="K3344" s="15" t="n">
        <v>12.62</v>
      </c>
      <c r="L3344" s="8" t="n"/>
      <c r="M3344" s="8" t="n"/>
      <c r="N3344" s="8" t="n"/>
      <c r="O3344" s="8" t="n"/>
      <c r="P3344" s="8" t="n"/>
      <c r="Q3344" s="8" t="n"/>
      <c r="R3344" s="8" t="n"/>
      <c r="S3344" s="8" t="n"/>
      <c r="T3344" s="7" t="inlineStr">
        <is>
          <t>DIMEC</t>
        </is>
      </c>
      <c r="U3344" s="8" t="n">
        <v>12.62</v>
      </c>
      <c r="V3344" s="14" t="n"/>
      <c r="W3344" s="14" t="n"/>
      <c r="X3344" s="7" t="inlineStr">
        <is>
          <t>SEM HISTÓRICO</t>
        </is>
      </c>
      <c r="Y3344" s="7" t="inlineStr"/>
    </row>
    <row r="3345">
      <c r="A3345" s="7" t="n">
        <v>549401</v>
      </c>
      <c r="B3345" s="12" t="inlineStr">
        <is>
          <t>7898014563139</t>
        </is>
      </c>
      <c r="C3345" s="7" t="inlineStr">
        <is>
          <t>POLYDRAT PO 4ENV FRAMBOESA 28,52G</t>
        </is>
      </c>
      <c r="D3345" s="7" t="inlineStr">
        <is>
          <t>SIMILAR</t>
        </is>
      </c>
      <c r="E3345" s="7" t="inlineStr">
        <is>
          <t>C</t>
        </is>
      </c>
      <c r="F3345" s="13" t="n">
        <v>5</v>
      </c>
      <c r="G3345" s="13" t="n">
        <v>5</v>
      </c>
      <c r="H3345" s="8" t="n">
        <v>8.99</v>
      </c>
      <c r="I3345" s="8" t="n">
        <v>8.99</v>
      </c>
      <c r="J3345" s="8" t="n">
        <v>8.99</v>
      </c>
      <c r="K3345" s="8" t="n"/>
      <c r="L3345" s="8" t="n"/>
      <c r="M3345" s="8" t="n"/>
      <c r="N3345" s="8" t="n"/>
      <c r="O3345" s="8" t="n"/>
      <c r="P3345" s="8" t="n"/>
      <c r="Q3345" s="8" t="n"/>
      <c r="R3345" s="8" t="n"/>
      <c r="S3345" s="8" t="n"/>
      <c r="T3345" s="7" t="inlineStr">
        <is>
          <t>SEM COTAÇÃO</t>
        </is>
      </c>
      <c r="U3345" s="8" t="n"/>
      <c r="V3345" s="14" t="n"/>
      <c r="W3345" s="14" t="n"/>
      <c r="X3345" s="7" t="inlineStr"/>
      <c r="Y3345" s="7" t="inlineStr"/>
    </row>
    <row r="3346">
      <c r="A3346" s="7" t="n">
        <v>627321</v>
      </c>
      <c r="B3346" s="12" t="inlineStr">
        <is>
          <t>7898014563092</t>
        </is>
      </c>
      <c r="C3346" s="7" t="inlineStr">
        <is>
          <t>POLYDRAT PO 50 ENV. 28,52GR UVA</t>
        </is>
      </c>
      <c r="D3346" s="7" t="inlineStr">
        <is>
          <t>SIMILAR</t>
        </is>
      </c>
      <c r="E3346" s="7" t="inlineStr">
        <is>
          <t>C</t>
        </is>
      </c>
      <c r="F3346" s="13" t="n">
        <v>1</v>
      </c>
      <c r="G3346" s="13" t="n">
        <v>1</v>
      </c>
      <c r="H3346" s="8" t="n">
        <v>83.94</v>
      </c>
      <c r="I3346" s="8" t="n">
        <v>83.94</v>
      </c>
      <c r="J3346" s="8" t="n">
        <v>83.94</v>
      </c>
      <c r="K3346" s="8" t="n"/>
      <c r="L3346" s="8" t="n"/>
      <c r="M3346" s="8" t="n"/>
      <c r="N3346" s="8" t="n"/>
      <c r="O3346" s="8" t="n"/>
      <c r="P3346" s="8" t="n"/>
      <c r="Q3346" s="8" t="n"/>
      <c r="R3346" s="8" t="n"/>
      <c r="S3346" s="8" t="n"/>
      <c r="T3346" s="7" t="inlineStr">
        <is>
          <t>SEM COTAÇÃO</t>
        </is>
      </c>
      <c r="U3346" s="8" t="n"/>
      <c r="V3346" s="14" t="n"/>
      <c r="W3346" s="14" t="n"/>
      <c r="X3346" s="7" t="inlineStr"/>
      <c r="Y3346" s="7" t="inlineStr"/>
    </row>
    <row r="3347">
      <c r="A3347" s="7" t="n">
        <v>655851</v>
      </c>
      <c r="B3347" s="12" t="inlineStr"/>
      <c r="C3347" s="7" t="inlineStr">
        <is>
          <t>POLYDRAT PO UVA</t>
        </is>
      </c>
      <c r="D3347" s="7" t="inlineStr">
        <is>
          <t>SIMILAR</t>
        </is>
      </c>
      <c r="E3347" s="7" t="inlineStr">
        <is>
          <t>C</t>
        </is>
      </c>
      <c r="F3347" s="13" t="n">
        <v>1</v>
      </c>
      <c r="G3347" s="13" t="n">
        <v>1</v>
      </c>
      <c r="H3347" s="8" t="n">
        <v>5.32</v>
      </c>
      <c r="I3347" s="8" t="n">
        <v>5.32</v>
      </c>
      <c r="J3347" s="8" t="n">
        <v>5.32</v>
      </c>
      <c r="K3347" s="8" t="n"/>
      <c r="L3347" s="8" t="n"/>
      <c r="M3347" s="8" t="n"/>
      <c r="N3347" s="8" t="n"/>
      <c r="O3347" s="8" t="n"/>
      <c r="P3347" s="8" t="n"/>
      <c r="Q3347" s="8" t="n"/>
      <c r="R3347" s="8" t="n"/>
      <c r="S3347" s="8" t="n"/>
      <c r="T3347" s="7" t="inlineStr">
        <is>
          <t>SEM COTAÇÃO</t>
        </is>
      </c>
      <c r="U3347" s="8" t="n"/>
      <c r="V3347" s="14" t="n"/>
      <c r="W3347" s="14" t="n"/>
      <c r="X3347" s="7" t="inlineStr"/>
      <c r="Y3347" s="7" t="inlineStr"/>
    </row>
    <row r="3348">
      <c r="A3348" s="7" t="n">
        <v>647041</v>
      </c>
      <c r="B3348" s="12" t="inlineStr">
        <is>
          <t>7898211384261</t>
        </is>
      </c>
      <c r="C3348" s="7" t="inlineStr">
        <is>
          <t>POMADA FIXED PASTA CAP FINALIZADORA 55G</t>
        </is>
      </c>
      <c r="D3348" s="7" t="inlineStr">
        <is>
          <t>COND/SHAM/CREM/SIMILARES</t>
        </is>
      </c>
      <c r="E3348" s="7" t="inlineStr">
        <is>
          <t>C</t>
        </is>
      </c>
      <c r="F3348" s="13" t="n">
        <v>1</v>
      </c>
      <c r="G3348" s="13" t="n">
        <v>1</v>
      </c>
      <c r="H3348" s="8" t="n">
        <v>10.97</v>
      </c>
      <c r="I3348" s="8" t="n">
        <v>10.97</v>
      </c>
      <c r="J3348" s="8" t="n">
        <v>10.97</v>
      </c>
      <c r="K3348" s="8" t="n"/>
      <c r="L3348" s="8" t="n"/>
      <c r="M3348" s="8" t="n"/>
      <c r="N3348" s="8" t="n"/>
      <c r="O3348" s="8" t="n"/>
      <c r="P3348" s="8" t="n"/>
      <c r="Q3348" s="8" t="n"/>
      <c r="R3348" s="8" t="n"/>
      <c r="S3348" s="8" t="n"/>
      <c r="T3348" s="7" t="inlineStr">
        <is>
          <t>SEM COTAÇÃO</t>
        </is>
      </c>
      <c r="U3348" s="8" t="n"/>
      <c r="V3348" s="14" t="n"/>
      <c r="W3348" s="14" t="n"/>
      <c r="X3348" s="7" t="inlineStr"/>
      <c r="Y3348" s="7" t="inlineStr"/>
    </row>
    <row r="3349">
      <c r="A3349" s="7" t="n">
        <v>115101</v>
      </c>
      <c r="B3349" s="12" t="inlineStr">
        <is>
          <t>78905108</t>
        </is>
      </c>
      <c r="C3349" s="7" t="inlineStr">
        <is>
          <t>POMADA MINANCORA 20%+0,5%+5% POM DERM BG 30G</t>
        </is>
      </c>
      <c r="D3349" s="7" t="inlineStr">
        <is>
          <t>RX - OTC</t>
        </is>
      </c>
      <c r="E3349" s="7" t="inlineStr">
        <is>
          <t>A</t>
        </is>
      </c>
      <c r="F3349" s="13" t="n">
        <v>1</v>
      </c>
      <c r="G3349" s="13" t="n">
        <v>1</v>
      </c>
      <c r="H3349" s="8" t="n">
        <v>16.1667</v>
      </c>
      <c r="I3349" s="8" t="n">
        <v>14.245</v>
      </c>
      <c r="J3349" s="8" t="n">
        <v>15.455</v>
      </c>
      <c r="K3349" s="8" t="n"/>
      <c r="L3349" s="8" t="n"/>
      <c r="M3349" s="15" t="n">
        <v>16.07</v>
      </c>
      <c r="N3349" s="8" t="n"/>
      <c r="O3349" s="8" t="n"/>
      <c r="P3349" s="8" t="n">
        <v>17.48</v>
      </c>
      <c r="Q3349" s="8" t="n"/>
      <c r="R3349" s="8" t="n"/>
      <c r="S3349" s="8" t="n"/>
      <c r="T3349" s="7" t="inlineStr">
        <is>
          <t>EPAN</t>
        </is>
      </c>
      <c r="U3349" s="8" t="n">
        <v>16.07</v>
      </c>
      <c r="V3349" s="14">
        <f>U3349/J3349-1</f>
        <v/>
      </c>
      <c r="W3349" s="14">
        <f>U3349/H3349-1</f>
        <v/>
      </c>
      <c r="X3349" s="17" t="inlineStr">
        <is>
          <t>OK (≤ últ. compra)</t>
        </is>
      </c>
      <c r="Y3349" s="7" t="inlineStr"/>
    </row>
    <row r="3350">
      <c r="A3350" s="7" t="n">
        <v>17041</v>
      </c>
      <c r="B3350" s="12" t="inlineStr"/>
      <c r="C3350" s="7" t="inlineStr">
        <is>
          <t>PONSTAN 500MG CX 24 COMP</t>
        </is>
      </c>
      <c r="D3350" s="7" t="inlineStr">
        <is>
          <t>RX</t>
        </is>
      </c>
      <c r="E3350" s="7" t="inlineStr">
        <is>
          <t>A</t>
        </is>
      </c>
      <c r="F3350" s="13" t="n">
        <v>3</v>
      </c>
      <c r="G3350" s="13" t="n">
        <v>3</v>
      </c>
      <c r="H3350" s="8" t="n">
        <v>34.76</v>
      </c>
      <c r="I3350" s="8" t="n">
        <v>31.915</v>
      </c>
      <c r="J3350" s="8" t="n">
        <v>33.3261</v>
      </c>
      <c r="K3350" s="8" t="n"/>
      <c r="L3350" s="8" t="n"/>
      <c r="M3350" s="8" t="n"/>
      <c r="N3350" s="8" t="n"/>
      <c r="O3350" s="8" t="n"/>
      <c r="P3350" s="8" t="n"/>
      <c r="Q3350" s="8" t="n"/>
      <c r="R3350" s="8" t="n"/>
      <c r="S3350" s="8" t="n"/>
      <c r="T3350" s="7" t="inlineStr">
        <is>
          <t>SEM COTAÇÃO</t>
        </is>
      </c>
      <c r="U3350" s="8" t="n"/>
      <c r="V3350" s="14" t="n"/>
      <c r="W3350" s="14" t="n"/>
      <c r="X3350" s="7" t="inlineStr"/>
      <c r="Y3350" s="7" t="inlineStr"/>
    </row>
    <row r="3351">
      <c r="A3351" s="7" t="n">
        <v>588961</v>
      </c>
      <c r="B3351" s="12" t="inlineStr">
        <is>
          <t>4005900648419</t>
        </is>
      </c>
      <c r="C3351" s="7" t="inlineStr">
        <is>
          <t>POS BARB NIVEA DEEP BLACK 100ML   NIVE %DN:0.00</t>
        </is>
      </c>
      <c r="D3351" s="7" t="inlineStr">
        <is>
          <t>DERMATOLOGICO</t>
        </is>
      </c>
      <c r="E3351" s="7" t="inlineStr">
        <is>
          <t>C</t>
        </is>
      </c>
      <c r="F3351" s="13" t="n">
        <v>1</v>
      </c>
      <c r="G3351" s="13" t="n">
        <v>1</v>
      </c>
      <c r="H3351" s="8" t="n">
        <v>27.38</v>
      </c>
      <c r="I3351" s="8" t="n">
        <v>27.38</v>
      </c>
      <c r="J3351" s="8" t="n">
        <v>27.38</v>
      </c>
      <c r="K3351" s="8" t="n"/>
      <c r="L3351" s="8" t="n"/>
      <c r="M3351" s="8" t="n"/>
      <c r="N3351" s="8" t="n"/>
      <c r="O3351" s="8" t="n"/>
      <c r="P3351" s="8" t="n"/>
      <c r="Q3351" s="8" t="n"/>
      <c r="R3351" s="8" t="n"/>
      <c r="S3351" s="8" t="n"/>
      <c r="T3351" s="7" t="inlineStr">
        <is>
          <t>SEM COTAÇÃO</t>
        </is>
      </c>
      <c r="U3351" s="8" t="n"/>
      <c r="V3351" s="14" t="n"/>
      <c r="W3351" s="14" t="n"/>
      <c r="X3351" s="7" t="inlineStr"/>
      <c r="Y3351" s="7" t="inlineStr"/>
    </row>
    <row r="3352">
      <c r="A3352" s="7" t="n">
        <v>485641</v>
      </c>
      <c r="B3352" s="12" t="inlineStr">
        <is>
          <t>7908020503125</t>
        </is>
      </c>
      <c r="C3352" s="7" t="inlineStr">
        <is>
          <t>POSLOV 1,5MG CX 1 COMP</t>
        </is>
      </c>
      <c r="D3352" s="7" t="inlineStr">
        <is>
          <t>SIMILAR</t>
        </is>
      </c>
      <c r="E3352" s="7" t="inlineStr">
        <is>
          <t>C</t>
        </is>
      </c>
      <c r="F3352" s="13" t="n">
        <v>24</v>
      </c>
      <c r="G3352" s="13" t="n">
        <v>24</v>
      </c>
      <c r="H3352" s="8" t="n">
        <v>1.31</v>
      </c>
      <c r="I3352" s="8" t="n">
        <v>1.31</v>
      </c>
      <c r="J3352" s="8" t="n">
        <v>1.31</v>
      </c>
      <c r="K3352" s="8" t="n"/>
      <c r="L3352" s="8" t="n"/>
      <c r="M3352" s="8" t="n"/>
      <c r="N3352" s="15" t="n">
        <v>3.03</v>
      </c>
      <c r="O3352" s="8" t="n"/>
      <c r="P3352" s="8" t="n"/>
      <c r="Q3352" s="8" t="n"/>
      <c r="R3352" s="8" t="n"/>
      <c r="S3352" s="8" t="n"/>
      <c r="T3352" s="7" t="inlineStr">
        <is>
          <t>CENTROFARMA</t>
        </is>
      </c>
      <c r="U3352" s="8" t="n">
        <v>3.03</v>
      </c>
      <c r="V3352" s="14">
        <f>U3352/J3352-1</f>
        <v/>
      </c>
      <c r="W3352" s="14">
        <f>U3352/H3352-1</f>
        <v/>
      </c>
      <c r="X3352" s="16" t="inlineStr">
        <is>
          <t>ACIMA +131.3%</t>
        </is>
      </c>
      <c r="Y3352" s="7" t="inlineStr">
        <is>
          <t>CENTROFARMA: conferir emb.</t>
        </is>
      </c>
    </row>
    <row r="3353">
      <c r="A3353" s="7" t="n">
        <v>284281</v>
      </c>
      <c r="B3353" s="12" t="inlineStr">
        <is>
          <t>7896637025362</t>
        </is>
      </c>
      <c r="C3353" s="7" t="inlineStr">
        <is>
          <t>POSTEC 2,5MG+150UTR POM DERM BG 20G</t>
        </is>
      </c>
      <c r="D3353" s="7" t="inlineStr">
        <is>
          <t>RX</t>
        </is>
      </c>
      <c r="E3353" s="7" t="inlineStr">
        <is>
          <t>A</t>
        </is>
      </c>
      <c r="F3353" s="13" t="n">
        <v>5</v>
      </c>
      <c r="G3353" s="13" t="n">
        <v>5</v>
      </c>
      <c r="H3353" s="8" t="n">
        <v>108.14</v>
      </c>
      <c r="I3353" s="8" t="n">
        <v>101.2367</v>
      </c>
      <c r="J3353" s="8" t="n">
        <v>103.5378</v>
      </c>
      <c r="K3353" s="8" t="n"/>
      <c r="L3353" s="8" t="n"/>
      <c r="M3353" s="8" t="n"/>
      <c r="N3353" s="8" t="n"/>
      <c r="O3353" s="15" t="n">
        <v>108.14</v>
      </c>
      <c r="P3353" s="8" t="n">
        <v>113.3144</v>
      </c>
      <c r="Q3353" s="8" t="n"/>
      <c r="R3353" s="8" t="n"/>
      <c r="S3353" s="8" t="n"/>
      <c r="T3353" s="7" t="inlineStr">
        <is>
          <t>TAPAJOS</t>
        </is>
      </c>
      <c r="U3353" s="8" t="n">
        <v>108.14</v>
      </c>
      <c r="V3353" s="14">
        <f>U3353/J3353-1</f>
        <v/>
      </c>
      <c r="W3353" s="14">
        <f>U3353/H3353-1</f>
        <v/>
      </c>
      <c r="X3353" s="17" t="inlineStr">
        <is>
          <t>OK (≤ últ. compra)</t>
        </is>
      </c>
      <c r="Y3353" s="7" t="inlineStr"/>
    </row>
    <row r="3354">
      <c r="A3354" s="7" t="n">
        <v>632981</v>
      </c>
      <c r="B3354" s="12" t="inlineStr">
        <is>
          <t>7898918205654</t>
        </is>
      </c>
      <c r="C3354" s="7" t="inlineStr">
        <is>
          <t>POTE 2 LT 3CHOCOLATE</t>
        </is>
      </c>
      <c r="D3354" s="7" t="inlineStr">
        <is>
          <t>SORVETE E PICOLES</t>
        </is>
      </c>
      <c r="E3354" s="7" t="inlineStr">
        <is>
          <t>A</t>
        </is>
      </c>
      <c r="F3354" s="13" t="n">
        <v>1</v>
      </c>
      <c r="G3354" s="13" t="n">
        <v>1</v>
      </c>
      <c r="H3354" s="8" t="n">
        <v>23.5</v>
      </c>
      <c r="I3354" s="8" t="n">
        <v>23.5</v>
      </c>
      <c r="J3354" s="8" t="n">
        <v>23.5</v>
      </c>
      <c r="K3354" s="8" t="n"/>
      <c r="L3354" s="8" t="n"/>
      <c r="M3354" s="8" t="n"/>
      <c r="N3354" s="8" t="n"/>
      <c r="O3354" s="8" t="n"/>
      <c r="P3354" s="8" t="n"/>
      <c r="Q3354" s="8" t="n"/>
      <c r="R3354" s="8" t="n"/>
      <c r="S3354" s="8" t="n"/>
      <c r="T3354" s="7" t="inlineStr">
        <is>
          <t>SEM COTAÇÃO</t>
        </is>
      </c>
      <c r="U3354" s="8" t="n"/>
      <c r="V3354" s="14" t="n"/>
      <c r="W3354" s="14" t="n"/>
      <c r="X3354" s="7" t="inlineStr"/>
      <c r="Y3354" s="7" t="inlineStr"/>
    </row>
    <row r="3355">
      <c r="A3355" s="7" t="n">
        <v>560621</v>
      </c>
      <c r="B3355" s="12" t="inlineStr">
        <is>
          <t>7898918205630</t>
        </is>
      </c>
      <c r="C3355" s="7" t="inlineStr">
        <is>
          <t>POTE 2 LT FRAGOLA EL CHOCOLATE</t>
        </is>
      </c>
      <c r="D3355" s="7" t="inlineStr">
        <is>
          <t>SORVETE E PICOLES</t>
        </is>
      </c>
      <c r="E3355" s="7" t="inlineStr">
        <is>
          <t>B</t>
        </is>
      </c>
      <c r="F3355" s="13" t="n">
        <v>5</v>
      </c>
      <c r="G3355" s="13" t="n">
        <v>5</v>
      </c>
      <c r="H3355" s="8" t="n">
        <v>23.5</v>
      </c>
      <c r="I3355" s="8" t="n">
        <v>23.5</v>
      </c>
      <c r="J3355" s="8" t="n">
        <v>23.5</v>
      </c>
      <c r="K3355" s="8" t="n"/>
      <c r="L3355" s="8" t="n"/>
      <c r="M3355" s="8" t="n"/>
      <c r="N3355" s="8" t="n"/>
      <c r="O3355" s="8" t="n"/>
      <c r="P3355" s="8" t="n"/>
      <c r="Q3355" s="8" t="n"/>
      <c r="R3355" s="8" t="n"/>
      <c r="S3355" s="8" t="n"/>
      <c r="T3355" s="7" t="inlineStr">
        <is>
          <t>SEM COTAÇÃO</t>
        </is>
      </c>
      <c r="U3355" s="8" t="n"/>
      <c r="V3355" s="14" t="n"/>
      <c r="W3355" s="14" t="n"/>
      <c r="X3355" s="7" t="inlineStr"/>
      <c r="Y3355" s="7" t="inlineStr"/>
    </row>
    <row r="3356">
      <c r="A3356" s="7" t="n">
        <v>560641</v>
      </c>
      <c r="B3356" s="12" t="inlineStr">
        <is>
          <t>7898918205708</t>
        </is>
      </c>
      <c r="C3356" s="7" t="inlineStr">
        <is>
          <t>POTE 2 LT NAPOLITANO</t>
        </is>
      </c>
      <c r="D3356" s="7" t="inlineStr">
        <is>
          <t>SORVETE E PICOLES</t>
        </is>
      </c>
      <c r="E3356" s="7" t="inlineStr">
        <is>
          <t>A</t>
        </is>
      </c>
      <c r="F3356" s="13" t="n">
        <v>4</v>
      </c>
      <c r="G3356" s="13" t="n">
        <v>4</v>
      </c>
      <c r="H3356" s="8" t="n">
        <v>23.5</v>
      </c>
      <c r="I3356" s="8" t="n">
        <v>23.5</v>
      </c>
      <c r="J3356" s="8" t="n">
        <v>23.5</v>
      </c>
      <c r="K3356" s="8" t="n"/>
      <c r="L3356" s="8" t="n"/>
      <c r="M3356" s="8" t="n"/>
      <c r="N3356" s="8" t="n"/>
      <c r="O3356" s="8" t="n"/>
      <c r="P3356" s="8" t="n"/>
      <c r="Q3356" s="8" t="n"/>
      <c r="R3356" s="8" t="n"/>
      <c r="S3356" s="8" t="n"/>
      <c r="T3356" s="7" t="inlineStr">
        <is>
          <t>SEM COTAÇÃO</t>
        </is>
      </c>
      <c r="U3356" s="8" t="n"/>
      <c r="V3356" s="14" t="n"/>
      <c r="W3356" s="14" t="n"/>
      <c r="X3356" s="7" t="inlineStr"/>
      <c r="Y3356" s="7" t="inlineStr"/>
    </row>
    <row r="3357">
      <c r="A3357" s="7" t="n">
        <v>560661</v>
      </c>
      <c r="B3357" s="12" t="inlineStr"/>
      <c r="C3357" s="7" t="inlineStr">
        <is>
          <t>POTE 2 LT SICILIANO</t>
        </is>
      </c>
      <c r="D3357" s="7" t="inlineStr">
        <is>
          <t>SORVETE E PICOLES</t>
        </is>
      </c>
      <c r="E3357" s="7" t="inlineStr">
        <is>
          <t>B</t>
        </is>
      </c>
      <c r="F3357" s="13" t="n">
        <v>1</v>
      </c>
      <c r="G3357" s="13" t="n">
        <v>1</v>
      </c>
      <c r="H3357" s="8" t="n">
        <v>23.5</v>
      </c>
      <c r="I3357" s="8" t="n">
        <v>23.5</v>
      </c>
      <c r="J3357" s="8" t="n">
        <v>23.5</v>
      </c>
      <c r="K3357" s="8" t="n"/>
      <c r="L3357" s="8" t="n"/>
      <c r="M3357" s="8" t="n"/>
      <c r="N3357" s="8" t="n"/>
      <c r="O3357" s="8" t="n"/>
      <c r="P3357" s="8" t="n"/>
      <c r="Q3357" s="8" t="n"/>
      <c r="R3357" s="8" t="n"/>
      <c r="S3357" s="8" t="n"/>
      <c r="T3357" s="7" t="inlineStr">
        <is>
          <t>SEM COTAÇÃO</t>
        </is>
      </c>
      <c r="U3357" s="8" t="n"/>
      <c r="V3357" s="14" t="n"/>
      <c r="W3357" s="14" t="n"/>
      <c r="X3357" s="7" t="inlineStr"/>
      <c r="Y3357" s="7" t="inlineStr"/>
    </row>
    <row r="3358">
      <c r="A3358" s="7" t="n">
        <v>585441</v>
      </c>
      <c r="B3358" s="12" t="inlineStr">
        <is>
          <t>7898918205678</t>
        </is>
      </c>
      <c r="C3358" s="7" t="inlineStr">
        <is>
          <t>POTE 2 LT TOFFE</t>
        </is>
      </c>
      <c r="D3358" s="7" t="inlineStr">
        <is>
          <t>SORVETE E PICOLES</t>
        </is>
      </c>
      <c r="E3358" s="7" t="inlineStr">
        <is>
          <t>B</t>
        </is>
      </c>
      <c r="F3358" s="13" t="n">
        <v>1</v>
      </c>
      <c r="G3358" s="13" t="n">
        <v>1</v>
      </c>
      <c r="H3358" s="8" t="n">
        <v>23.5</v>
      </c>
      <c r="I3358" s="8" t="n">
        <v>23.5</v>
      </c>
      <c r="J3358" s="8" t="n">
        <v>23.5</v>
      </c>
      <c r="K3358" s="8" t="n"/>
      <c r="L3358" s="8" t="n"/>
      <c r="M3358" s="8" t="n"/>
      <c r="N3358" s="8" t="n"/>
      <c r="O3358" s="8" t="n"/>
      <c r="P3358" s="8" t="n"/>
      <c r="Q3358" s="8" t="n"/>
      <c r="R3358" s="8" t="n"/>
      <c r="S3358" s="8" t="n"/>
      <c r="T3358" s="7" t="inlineStr">
        <is>
          <t>SEM COTAÇÃO</t>
        </is>
      </c>
      <c r="U3358" s="8" t="n"/>
      <c r="V3358" s="14" t="n"/>
      <c r="W3358" s="14" t="n"/>
      <c r="X3358" s="7" t="inlineStr"/>
      <c r="Y3358" s="7" t="inlineStr"/>
    </row>
    <row r="3359">
      <c r="A3359" s="7" t="n">
        <v>563941</v>
      </c>
      <c r="B3359" s="12" t="inlineStr">
        <is>
          <t>7898918205074</t>
        </is>
      </c>
      <c r="C3359" s="7" t="inlineStr">
        <is>
          <t>POTE DE 1 LT ACAI</t>
        </is>
      </c>
      <c r="D3359" s="7" t="inlineStr">
        <is>
          <t>SORVETE E PICOLES</t>
        </is>
      </c>
      <c r="E3359" s="7" t="inlineStr">
        <is>
          <t>C</t>
        </is>
      </c>
      <c r="F3359" s="13" t="n">
        <v>1</v>
      </c>
      <c r="G3359" s="13" t="n">
        <v>1</v>
      </c>
      <c r="H3359" s="8" t="n">
        <v>26</v>
      </c>
      <c r="I3359" s="8" t="n">
        <v>26</v>
      </c>
      <c r="J3359" s="8" t="n">
        <v>26</v>
      </c>
      <c r="K3359" s="8" t="n"/>
      <c r="L3359" s="8" t="n"/>
      <c r="M3359" s="8" t="n"/>
      <c r="N3359" s="8" t="n"/>
      <c r="O3359" s="8" t="n"/>
      <c r="P3359" s="8" t="n"/>
      <c r="Q3359" s="8" t="n"/>
      <c r="R3359" s="8" t="n"/>
      <c r="S3359" s="8" t="n"/>
      <c r="T3359" s="7" t="inlineStr">
        <is>
          <t>SEM COTAÇÃO</t>
        </is>
      </c>
      <c r="U3359" s="8" t="n"/>
      <c r="V3359" s="14" t="n"/>
      <c r="W3359" s="14" t="n"/>
      <c r="X3359" s="7" t="inlineStr"/>
      <c r="Y3359" s="7" t="inlineStr"/>
    </row>
    <row r="3360">
      <c r="A3360" s="7" t="n">
        <v>659211</v>
      </c>
      <c r="B3360" s="12" t="inlineStr">
        <is>
          <t>7898918205845</t>
        </is>
      </c>
      <c r="C3360" s="7" t="inlineStr">
        <is>
          <t>POTE DE 1 LT CREME C/PASSAS</t>
        </is>
      </c>
      <c r="D3360" s="7" t="inlineStr">
        <is>
          <t>SORVETE E PICOLES</t>
        </is>
      </c>
      <c r="E3360" s="7" t="inlineStr">
        <is>
          <t>C</t>
        </is>
      </c>
      <c r="F3360" s="13" t="n">
        <v>1</v>
      </c>
      <c r="G3360" s="13" t="n">
        <v>1</v>
      </c>
      <c r="H3360" s="8" t="n">
        <v>17</v>
      </c>
      <c r="I3360" s="8" t="n">
        <v>17</v>
      </c>
      <c r="J3360" s="8" t="n">
        <v>17</v>
      </c>
      <c r="K3360" s="8" t="n"/>
      <c r="L3360" s="8" t="n"/>
      <c r="M3360" s="8" t="n"/>
      <c r="N3360" s="8" t="n"/>
      <c r="O3360" s="8" t="n"/>
      <c r="P3360" s="8" t="n"/>
      <c r="Q3360" s="8" t="n"/>
      <c r="R3360" s="8" t="n"/>
      <c r="S3360" s="8" t="n"/>
      <c r="T3360" s="7" t="inlineStr">
        <is>
          <t>SEM COTAÇÃO</t>
        </is>
      </c>
      <c r="U3360" s="8" t="n"/>
      <c r="V3360" s="14" t="n"/>
      <c r="W3360" s="14" t="n"/>
      <c r="X3360" s="7" t="inlineStr"/>
      <c r="Y3360" s="7" t="inlineStr"/>
    </row>
    <row r="3361">
      <c r="A3361" s="7" t="n">
        <v>560561</v>
      </c>
      <c r="B3361" s="12" t="inlineStr">
        <is>
          <t>7898918205814</t>
        </is>
      </c>
      <c r="C3361" s="7" t="inlineStr">
        <is>
          <t>POTE DE 1 LT FANTASIA</t>
        </is>
      </c>
      <c r="D3361" s="7" t="inlineStr">
        <is>
          <t>SORVETE E PICOLES</t>
        </is>
      </c>
      <c r="E3361" s="7" t="inlineStr">
        <is>
          <t>C</t>
        </is>
      </c>
      <c r="F3361" s="13" t="n">
        <v>1</v>
      </c>
      <c r="G3361" s="13" t="n">
        <v>1</v>
      </c>
      <c r="H3361" s="8" t="n">
        <v>17</v>
      </c>
      <c r="I3361" s="8" t="n">
        <v>17</v>
      </c>
      <c r="J3361" s="8" t="n">
        <v>17</v>
      </c>
      <c r="K3361" s="8" t="n"/>
      <c r="L3361" s="8" t="n"/>
      <c r="M3361" s="8" t="n"/>
      <c r="N3361" s="8" t="n"/>
      <c r="O3361" s="8" t="n"/>
      <c r="P3361" s="8" t="n"/>
      <c r="Q3361" s="8" t="n"/>
      <c r="R3361" s="8" t="n"/>
      <c r="S3361" s="8" t="n"/>
      <c r="T3361" s="7" t="inlineStr">
        <is>
          <t>SEM COTAÇÃO</t>
        </is>
      </c>
      <c r="U3361" s="8" t="n"/>
      <c r="V3361" s="14" t="n"/>
      <c r="W3361" s="14" t="n"/>
      <c r="X3361" s="7" t="inlineStr"/>
      <c r="Y3361" s="7" t="inlineStr"/>
    </row>
    <row r="3362">
      <c r="A3362" s="7" t="n">
        <v>560581</v>
      </c>
      <c r="B3362" s="12" t="inlineStr">
        <is>
          <t>7898918205807</t>
        </is>
      </c>
      <c r="C3362" s="7" t="inlineStr">
        <is>
          <t>POTE DE 1 LT FLOCOS</t>
        </is>
      </c>
      <c r="D3362" s="7" t="inlineStr">
        <is>
          <t>SORVETE E PICOLES</t>
        </is>
      </c>
      <c r="E3362" s="7" t="inlineStr">
        <is>
          <t>C</t>
        </is>
      </c>
      <c r="F3362" s="13" t="n">
        <v>2</v>
      </c>
      <c r="G3362" s="13" t="n">
        <v>2</v>
      </c>
      <c r="H3362" s="8" t="n">
        <v>17</v>
      </c>
      <c r="I3362" s="8" t="n">
        <v>17</v>
      </c>
      <c r="J3362" s="8" t="n">
        <v>17</v>
      </c>
      <c r="K3362" s="8" t="n"/>
      <c r="L3362" s="8" t="n"/>
      <c r="M3362" s="8" t="n"/>
      <c r="N3362" s="8" t="n"/>
      <c r="O3362" s="8" t="n"/>
      <c r="P3362" s="8" t="n"/>
      <c r="Q3362" s="8" t="n"/>
      <c r="R3362" s="8" t="n"/>
      <c r="S3362" s="8" t="n"/>
      <c r="T3362" s="7" t="inlineStr">
        <is>
          <t>SEM COTAÇÃO</t>
        </is>
      </c>
      <c r="U3362" s="8" t="n"/>
      <c r="V3362" s="14" t="n"/>
      <c r="W3362" s="14" t="n"/>
      <c r="X3362" s="7" t="inlineStr"/>
      <c r="Y3362" s="7" t="inlineStr"/>
    </row>
    <row r="3363">
      <c r="A3363" s="7" t="n">
        <v>560681</v>
      </c>
      <c r="B3363" s="12" t="inlineStr">
        <is>
          <t>7898918205067</t>
        </is>
      </c>
      <c r="C3363" s="7" t="inlineStr">
        <is>
          <t>POTE DE 1,5 LT BOLO VULCAO</t>
        </is>
      </c>
      <c r="D3363" s="7" t="inlineStr">
        <is>
          <t>SORVETE E PICOLES</t>
        </is>
      </c>
      <c r="E3363" s="7" t="inlineStr">
        <is>
          <t>B</t>
        </is>
      </c>
      <c r="F3363" s="13" t="n">
        <v>2</v>
      </c>
      <c r="G3363" s="13" t="n">
        <v>2</v>
      </c>
      <c r="H3363" s="8" t="n">
        <v>26</v>
      </c>
      <c r="I3363" s="8" t="n">
        <v>26</v>
      </c>
      <c r="J3363" s="8" t="n">
        <v>26</v>
      </c>
      <c r="K3363" s="8" t="n"/>
      <c r="L3363" s="8" t="n"/>
      <c r="M3363" s="8" t="n"/>
      <c r="N3363" s="8" t="n"/>
      <c r="O3363" s="8" t="n"/>
      <c r="P3363" s="8" t="n"/>
      <c r="Q3363" s="8" t="n"/>
      <c r="R3363" s="8" t="n"/>
      <c r="S3363" s="8" t="n"/>
      <c r="T3363" s="7" t="inlineStr">
        <is>
          <t>SEM COTAÇÃO</t>
        </is>
      </c>
      <c r="U3363" s="8" t="n"/>
      <c r="V3363" s="14" t="n"/>
      <c r="W3363" s="14" t="n"/>
      <c r="X3363" s="7" t="inlineStr"/>
      <c r="Y3363" s="7" t="inlineStr"/>
    </row>
    <row r="3364">
      <c r="A3364" s="7" t="n">
        <v>560701</v>
      </c>
      <c r="B3364" s="12" t="inlineStr">
        <is>
          <t>7898918205159</t>
        </is>
      </c>
      <c r="C3364" s="7" t="inlineStr">
        <is>
          <t>POTE DE 1,5 LT CHEESE CAKE</t>
        </is>
      </c>
      <c r="D3364" s="7" t="inlineStr">
        <is>
          <t>SORVETE E PICOLES</t>
        </is>
      </c>
      <c r="E3364" s="7" t="inlineStr">
        <is>
          <t>C</t>
        </is>
      </c>
      <c r="F3364" s="13" t="n">
        <v>1</v>
      </c>
      <c r="G3364" s="13" t="n">
        <v>1</v>
      </c>
      <c r="H3364" s="8" t="n">
        <v>26</v>
      </c>
      <c r="I3364" s="8" t="n">
        <v>26</v>
      </c>
      <c r="J3364" s="8" t="n">
        <v>26</v>
      </c>
      <c r="K3364" s="8" t="n"/>
      <c r="L3364" s="8" t="n"/>
      <c r="M3364" s="8" t="n"/>
      <c r="N3364" s="8" t="n"/>
      <c r="O3364" s="8" t="n"/>
      <c r="P3364" s="8" t="n"/>
      <c r="Q3364" s="8" t="n"/>
      <c r="R3364" s="8" t="n"/>
      <c r="S3364" s="8" t="n"/>
      <c r="T3364" s="7" t="inlineStr">
        <is>
          <t>SEM COTAÇÃO</t>
        </is>
      </c>
      <c r="U3364" s="8" t="n"/>
      <c r="V3364" s="14" t="n"/>
      <c r="W3364" s="14" t="n"/>
      <c r="X3364" s="7" t="inlineStr"/>
      <c r="Y3364" s="7" t="inlineStr"/>
    </row>
    <row r="3365">
      <c r="A3365" s="7" t="n">
        <v>560721</v>
      </c>
      <c r="B3365" s="12" t="inlineStr">
        <is>
          <t>7898918205128</t>
        </is>
      </c>
      <c r="C3365" s="7" t="inlineStr">
        <is>
          <t>POTE DE 1,5 LT IOGURTE GREGO</t>
        </is>
      </c>
      <c r="D3365" s="7" t="inlineStr">
        <is>
          <t>SORVETE E PICOLES</t>
        </is>
      </c>
      <c r="E3365" s="7" t="inlineStr">
        <is>
          <t>B</t>
        </is>
      </c>
      <c r="F3365" s="13" t="n">
        <v>2</v>
      </c>
      <c r="G3365" s="13" t="n">
        <v>2</v>
      </c>
      <c r="H3365" s="8" t="n">
        <v>26</v>
      </c>
      <c r="I3365" s="8" t="n">
        <v>26</v>
      </c>
      <c r="J3365" s="8" t="n">
        <v>26</v>
      </c>
      <c r="K3365" s="8" t="n"/>
      <c r="L3365" s="8" t="n"/>
      <c r="M3365" s="8" t="n"/>
      <c r="N3365" s="8" t="n"/>
      <c r="O3365" s="8" t="n"/>
      <c r="P3365" s="8" t="n"/>
      <c r="Q3365" s="8" t="n"/>
      <c r="R3365" s="8" t="n"/>
      <c r="S3365" s="8" t="n"/>
      <c r="T3365" s="7" t="inlineStr">
        <is>
          <t>SEM COTAÇÃO</t>
        </is>
      </c>
      <c r="U3365" s="8" t="n"/>
      <c r="V3365" s="14" t="n"/>
      <c r="W3365" s="14" t="n"/>
      <c r="X3365" s="7" t="inlineStr"/>
      <c r="Y3365" s="7" t="inlineStr"/>
    </row>
    <row r="3366">
      <c r="A3366" s="7" t="n">
        <v>563921</v>
      </c>
      <c r="B3366" s="12" t="inlineStr">
        <is>
          <t>7898918205333</t>
        </is>
      </c>
      <c r="C3366" s="7" t="inlineStr">
        <is>
          <t>POTE DE 1,5 LT NINHO TRUFADO</t>
        </is>
      </c>
      <c r="D3366" s="7" t="inlineStr">
        <is>
          <t>SORVETE E PICOLES</t>
        </is>
      </c>
      <c r="E3366" s="7" t="inlineStr">
        <is>
          <t>A</t>
        </is>
      </c>
      <c r="F3366" s="13" t="n">
        <v>2</v>
      </c>
      <c r="G3366" s="13" t="n">
        <v>2</v>
      </c>
      <c r="H3366" s="8" t="n">
        <v>26</v>
      </c>
      <c r="I3366" s="8" t="n">
        <v>26</v>
      </c>
      <c r="J3366" s="8" t="n">
        <v>26</v>
      </c>
      <c r="K3366" s="8" t="n"/>
      <c r="L3366" s="8" t="n"/>
      <c r="M3366" s="8" t="n"/>
      <c r="N3366" s="8" t="n"/>
      <c r="O3366" s="8" t="n"/>
      <c r="P3366" s="8" t="n"/>
      <c r="Q3366" s="8" t="n"/>
      <c r="R3366" s="8" t="n"/>
      <c r="S3366" s="8" t="n"/>
      <c r="T3366" s="7" t="inlineStr">
        <is>
          <t>SEM COTAÇÃO</t>
        </is>
      </c>
      <c r="U3366" s="8" t="n"/>
      <c r="V3366" s="14" t="n"/>
      <c r="W3366" s="14" t="n"/>
      <c r="X3366" s="7" t="inlineStr"/>
      <c r="Y3366" s="7" t="inlineStr"/>
    </row>
    <row r="3367">
      <c r="A3367" s="7" t="n">
        <v>656861</v>
      </c>
      <c r="B3367" s="12" t="inlineStr">
        <is>
          <t>7898918205739</t>
        </is>
      </c>
      <c r="C3367" s="7" t="inlineStr">
        <is>
          <t>POTE DE 2 LT  CREME C/PASSAS</t>
        </is>
      </c>
      <c r="D3367" s="7" t="inlineStr">
        <is>
          <t>SORVETE E PICOLES</t>
        </is>
      </c>
      <c r="E3367" s="7" t="inlineStr">
        <is>
          <t>C</t>
        </is>
      </c>
      <c r="F3367" s="13" t="n">
        <v>1</v>
      </c>
      <c r="G3367" s="13" t="n">
        <v>1</v>
      </c>
      <c r="H3367" s="8" t="n">
        <v>23.5</v>
      </c>
      <c r="I3367" s="8" t="n">
        <v>23.5</v>
      </c>
      <c r="J3367" s="8" t="n">
        <v>23.5</v>
      </c>
      <c r="K3367" s="8" t="n"/>
      <c r="L3367" s="8" t="n"/>
      <c r="M3367" s="8" t="n"/>
      <c r="N3367" s="8" t="n"/>
      <c r="O3367" s="8" t="n"/>
      <c r="P3367" s="8" t="n"/>
      <c r="Q3367" s="8" t="n"/>
      <c r="R3367" s="8" t="n"/>
      <c r="S3367" s="8" t="n"/>
      <c r="T3367" s="7" t="inlineStr">
        <is>
          <t>SEM COTAÇÃO</t>
        </is>
      </c>
      <c r="U3367" s="8" t="n"/>
      <c r="V3367" s="14" t="n"/>
      <c r="W3367" s="14" t="n"/>
      <c r="X3367" s="7" t="inlineStr"/>
      <c r="Y3367" s="7" t="inlineStr"/>
    </row>
    <row r="3368">
      <c r="A3368" s="7" t="n">
        <v>560601</v>
      </c>
      <c r="B3368" s="12" t="inlineStr">
        <is>
          <t>7898918205746</t>
        </is>
      </c>
      <c r="C3368" s="7" t="inlineStr">
        <is>
          <t>POTE DE 2 LT BROWNIE</t>
        </is>
      </c>
      <c r="D3368" s="7" t="inlineStr">
        <is>
          <t>SORVETE E PICOLES</t>
        </is>
      </c>
      <c r="E3368" s="7" t="inlineStr">
        <is>
          <t>B</t>
        </is>
      </c>
      <c r="F3368" s="13" t="n">
        <v>2</v>
      </c>
      <c r="G3368" s="13" t="n">
        <v>2</v>
      </c>
      <c r="H3368" s="8" t="n">
        <v>23.5</v>
      </c>
      <c r="I3368" s="8" t="n">
        <v>23.5</v>
      </c>
      <c r="J3368" s="8" t="n">
        <v>23.5</v>
      </c>
      <c r="K3368" s="8" t="n"/>
      <c r="L3368" s="8" t="n"/>
      <c r="M3368" s="8" t="n"/>
      <c r="N3368" s="8" t="n"/>
      <c r="O3368" s="8" t="n"/>
      <c r="P3368" s="8" t="n"/>
      <c r="Q3368" s="8" t="n"/>
      <c r="R3368" s="8" t="n"/>
      <c r="S3368" s="8" t="n"/>
      <c r="T3368" s="7" t="inlineStr">
        <is>
          <t>SEM COTAÇÃO</t>
        </is>
      </c>
      <c r="U3368" s="8" t="n"/>
      <c r="V3368" s="14" t="n"/>
      <c r="W3368" s="14" t="n"/>
      <c r="X3368" s="7" t="inlineStr"/>
      <c r="Y3368" s="7" t="inlineStr"/>
    </row>
    <row r="3369">
      <c r="A3369" s="7" t="n">
        <v>4253</v>
      </c>
      <c r="B3369" s="12" t="inlineStr">
        <is>
          <t>17894900504009</t>
        </is>
      </c>
      <c r="C3369" s="7" t="inlineStr">
        <is>
          <t>POWERADE MIX DE FRUTAS 500ML</t>
        </is>
      </c>
      <c r="D3369" s="7" t="inlineStr">
        <is>
          <t>BEBIDAS GERAL</t>
        </is>
      </c>
      <c r="E3369" s="7" t="inlineStr">
        <is>
          <t>B</t>
        </is>
      </c>
      <c r="F3369" s="13" t="n">
        <v>7</v>
      </c>
      <c r="G3369" s="13" t="n">
        <v>7</v>
      </c>
      <c r="H3369" s="8" t="n">
        <v>6.16</v>
      </c>
      <c r="I3369" s="8" t="n">
        <v>5.6792</v>
      </c>
      <c r="J3369" s="8" t="n">
        <v>5.999733333333334</v>
      </c>
      <c r="K3369" s="8" t="n"/>
      <c r="L3369" s="8" t="n"/>
      <c r="M3369" s="8" t="n"/>
      <c r="N3369" s="8" t="n"/>
      <c r="O3369" s="8" t="n"/>
      <c r="P3369" s="8" t="n"/>
      <c r="Q3369" s="8" t="n"/>
      <c r="R3369" s="8" t="n"/>
      <c r="S3369" s="8" t="n"/>
      <c r="T3369" s="7" t="inlineStr">
        <is>
          <t>SEM COTAÇÃO</t>
        </is>
      </c>
      <c r="U3369" s="8" t="n"/>
      <c r="V3369" s="14" t="n"/>
      <c r="W3369" s="14" t="n"/>
      <c r="X3369" s="7" t="inlineStr"/>
      <c r="Y3369" s="7" t="inlineStr"/>
    </row>
    <row r="3370">
      <c r="A3370" s="7" t="n">
        <v>4263</v>
      </c>
      <c r="B3370" s="12" t="inlineStr">
        <is>
          <t>7894900501001</t>
        </is>
      </c>
      <c r="C3370" s="7" t="inlineStr">
        <is>
          <t>POWERADE UVA 500ML</t>
        </is>
      </c>
      <c r="D3370" s="7" t="inlineStr">
        <is>
          <t>BEBIDAS GERAL</t>
        </is>
      </c>
      <c r="E3370" s="7" t="inlineStr">
        <is>
          <t>B</t>
        </is>
      </c>
      <c r="F3370" s="13" t="n">
        <v>7</v>
      </c>
      <c r="G3370" s="13" t="n">
        <v>7</v>
      </c>
      <c r="H3370" s="8" t="n">
        <v>6.16</v>
      </c>
      <c r="I3370" s="8" t="n">
        <v>6.15</v>
      </c>
      <c r="J3370" s="8" t="n">
        <v>6.156666666666666</v>
      </c>
      <c r="K3370" s="8" t="n"/>
      <c r="L3370" s="8" t="n"/>
      <c r="M3370" s="8" t="n"/>
      <c r="N3370" s="8" t="n"/>
      <c r="O3370" s="8" t="n"/>
      <c r="P3370" s="8" t="n"/>
      <c r="Q3370" s="8" t="n"/>
      <c r="R3370" s="8" t="n"/>
      <c r="S3370" s="8" t="n"/>
      <c r="T3370" s="7" t="inlineStr">
        <is>
          <t>SEM COTAÇÃO</t>
        </is>
      </c>
      <c r="U3370" s="8" t="n"/>
      <c r="V3370" s="14" t="n"/>
      <c r="W3370" s="14" t="n"/>
      <c r="X3370" s="7" t="inlineStr"/>
      <c r="Y3370" s="7" t="inlineStr"/>
    </row>
    <row r="3371">
      <c r="A3371" s="7" t="n">
        <v>627821</v>
      </c>
      <c r="B3371" s="12" t="inlineStr">
        <is>
          <t>7896523201320</t>
        </is>
      </c>
      <c r="C3371" s="7" t="inlineStr">
        <is>
          <t>PRALIVIO 400MG BL 10 CAP</t>
        </is>
      </c>
      <c r="D3371" s="7" t="inlineStr">
        <is>
          <t>SIMILAR</t>
        </is>
      </c>
      <c r="E3371" s="7" t="inlineStr">
        <is>
          <t>C</t>
        </is>
      </c>
      <c r="F3371" s="13" t="n">
        <v>1</v>
      </c>
      <c r="G3371" s="13" t="n">
        <v>1</v>
      </c>
      <c r="H3371" s="8" t="n">
        <v>6.99</v>
      </c>
      <c r="I3371" s="8" t="n">
        <v>6.99</v>
      </c>
      <c r="J3371" s="8" t="n">
        <v>6.989999999999999</v>
      </c>
      <c r="K3371" s="8" t="n"/>
      <c r="L3371" s="8" t="n"/>
      <c r="M3371" s="8" t="n"/>
      <c r="N3371" s="8" t="n"/>
      <c r="O3371" s="8" t="n"/>
      <c r="P3371" s="15" t="n">
        <v>18.61</v>
      </c>
      <c r="Q3371" s="8" t="n"/>
      <c r="R3371" s="8" t="n"/>
      <c r="S3371" s="8" t="n"/>
      <c r="T3371" s="7" t="inlineStr">
        <is>
          <t>NAZARIA</t>
        </is>
      </c>
      <c r="U3371" s="8" t="n">
        <v>18.61</v>
      </c>
      <c r="V3371" s="14">
        <f>U3371/J3371-1</f>
        <v/>
      </c>
      <c r="W3371" s="14">
        <f>U3371/H3371-1</f>
        <v/>
      </c>
      <c r="X3371" s="16" t="inlineStr">
        <is>
          <t>ACIMA +166.2%</t>
        </is>
      </c>
      <c r="Y3371" s="7" t="inlineStr">
        <is>
          <t>NAZARIA: conferir emb.</t>
        </is>
      </c>
    </row>
    <row r="3372">
      <c r="A3372" s="7" t="n">
        <v>588931</v>
      </c>
      <c r="B3372" s="12" t="inlineStr">
        <is>
          <t>7897146600583</t>
        </is>
      </c>
      <c r="C3372" s="7" t="inlineStr">
        <is>
          <t>PRANFIGALDO 10ML ABACAXI UN (FLACONETE)</t>
        </is>
      </c>
      <c r="D3372" s="7" t="inlineStr">
        <is>
          <t>SIMILAR</t>
        </is>
      </c>
      <c r="E3372" s="7" t="inlineStr">
        <is>
          <t>B</t>
        </is>
      </c>
      <c r="F3372" s="13" t="n">
        <v>2</v>
      </c>
      <c r="G3372" s="13" t="n">
        <v>85</v>
      </c>
      <c r="H3372" s="8" t="n">
        <v>0.4048</v>
      </c>
      <c r="I3372" s="8" t="n">
        <v>0.4048</v>
      </c>
      <c r="J3372" s="8" t="n">
        <v>0.4048</v>
      </c>
      <c r="K3372" s="15" t="n">
        <v>0.4048333333333333</v>
      </c>
      <c r="L3372" s="8" t="n"/>
      <c r="M3372" s="8" t="n"/>
      <c r="N3372" s="8" t="n"/>
      <c r="O3372" s="8" t="n"/>
      <c r="P3372" s="8" t="n"/>
      <c r="Q3372" s="8" t="n"/>
      <c r="R3372" s="8" t="n"/>
      <c r="S3372" s="8" t="n"/>
      <c r="T3372" s="7" t="inlineStr">
        <is>
          <t>DIMEC</t>
        </is>
      </c>
      <c r="U3372" s="8" t="n">
        <v>0.4048333333333333</v>
      </c>
      <c r="V3372" s="14">
        <f>U3372/J3372-1</f>
        <v/>
      </c>
      <c r="W3372" s="14">
        <f>U3372/H3372-1</f>
        <v/>
      </c>
      <c r="X3372" s="17" t="inlineStr">
        <is>
          <t>OK (≤ menor hist.)</t>
        </is>
      </c>
      <c r="Y3372" s="7" t="inlineStr">
        <is>
          <t>DIMEC: 1 emb = 60 un</t>
        </is>
      </c>
    </row>
    <row r="3373">
      <c r="A3373" s="7" t="n">
        <v>553861</v>
      </c>
      <c r="B3373" s="12" t="inlineStr"/>
      <c r="C3373" s="7" t="inlineStr">
        <is>
          <t>PRANFIGALDO ABACAXI 10ML(FLACONETES)</t>
        </is>
      </c>
      <c r="D3373" s="7" t="inlineStr">
        <is>
          <t>SIMILAR</t>
        </is>
      </c>
      <c r="E3373" s="7" t="inlineStr">
        <is>
          <t>C</t>
        </is>
      </c>
      <c r="F3373" s="13" t="n">
        <v>10</v>
      </c>
      <c r="G3373" s="13" t="n">
        <v>10</v>
      </c>
      <c r="H3373" s="8" t="n"/>
      <c r="I3373" s="8" t="n"/>
      <c r="J3373" s="8" t="n"/>
      <c r="K3373" s="8" t="n"/>
      <c r="L3373" s="8" t="n"/>
      <c r="M3373" s="8" t="n"/>
      <c r="N3373" s="8" t="n"/>
      <c r="O3373" s="8" t="n"/>
      <c r="P3373" s="8" t="n"/>
      <c r="Q3373" s="8" t="n"/>
      <c r="R3373" s="8" t="n"/>
      <c r="S3373" s="8" t="n"/>
      <c r="T3373" s="7" t="inlineStr">
        <is>
          <t>SEM COTAÇÃO</t>
        </is>
      </c>
      <c r="U3373" s="8" t="n"/>
      <c r="V3373" s="14" t="n"/>
      <c r="W3373" s="14" t="n"/>
      <c r="X3373" s="7" t="inlineStr"/>
      <c r="Y3373" s="7" t="inlineStr"/>
    </row>
    <row r="3374">
      <c r="A3374" s="7" t="n">
        <v>543501</v>
      </c>
      <c r="B3374" s="12" t="inlineStr">
        <is>
          <t>7897146600040</t>
        </is>
      </c>
      <c r="C3374" s="7" t="inlineStr">
        <is>
          <t>PRANFIGALDO BOLDO 10ML(FLACONETES)</t>
        </is>
      </c>
      <c r="D3374" s="7" t="inlineStr">
        <is>
          <t>SIMILAR</t>
        </is>
      </c>
      <c r="E3374" s="7" t="inlineStr">
        <is>
          <t>A</t>
        </is>
      </c>
      <c r="F3374" s="13" t="n">
        <v>4</v>
      </c>
      <c r="G3374" s="13" t="n">
        <v>206</v>
      </c>
      <c r="H3374" s="8" t="n">
        <v>0.5625</v>
      </c>
      <c r="I3374" s="8" t="n">
        <v>0.5367</v>
      </c>
      <c r="J3374" s="8" t="n">
        <v>0.5538999999999999</v>
      </c>
      <c r="K3374" s="15" t="n">
        <v>0.5625</v>
      </c>
      <c r="L3374" s="8" t="n"/>
      <c r="M3374" s="8" t="n"/>
      <c r="N3374" s="8" t="n"/>
      <c r="O3374" s="8" t="n"/>
      <c r="P3374" s="8" t="n"/>
      <c r="Q3374" s="8" t="n"/>
      <c r="R3374" s="8" t="n"/>
      <c r="S3374" s="8" t="n"/>
      <c r="T3374" s="7" t="inlineStr">
        <is>
          <t>DIMEC</t>
        </is>
      </c>
      <c r="U3374" s="8" t="n">
        <v>0.5625</v>
      </c>
      <c r="V3374" s="14">
        <f>U3374/J3374-1</f>
        <v/>
      </c>
      <c r="W3374" s="14">
        <f>U3374/H3374-1</f>
        <v/>
      </c>
      <c r="X3374" s="17" t="inlineStr">
        <is>
          <t>OK (≤ últ. compra)</t>
        </is>
      </c>
      <c r="Y3374" s="7" t="inlineStr">
        <is>
          <t>DIMEC: 1 emb = 60 un</t>
        </is>
      </c>
    </row>
    <row r="3375">
      <c r="A3375" s="7" t="n">
        <v>393141</v>
      </c>
      <c r="B3375" s="12" t="inlineStr">
        <is>
          <t>7896004755410</t>
        </is>
      </c>
      <c r="C3375" s="7" t="inlineStr">
        <is>
          <t>PRAZY 20MG CX 4BL X 7 COMP REV</t>
        </is>
      </c>
      <c r="D3375" s="7" t="inlineStr">
        <is>
          <t>SIMILAR</t>
        </is>
      </c>
      <c r="E3375" s="7" t="inlineStr">
        <is>
          <t>C</t>
        </is>
      </c>
      <c r="F3375" s="13" t="n">
        <v>2</v>
      </c>
      <c r="G3375" s="13" t="n">
        <v>2</v>
      </c>
      <c r="H3375" s="8" t="n">
        <v>6.8</v>
      </c>
      <c r="I3375" s="8" t="n">
        <v>6.6</v>
      </c>
      <c r="J3375" s="8" t="n">
        <v>6.733333333333333</v>
      </c>
      <c r="K3375" s="8" t="n"/>
      <c r="L3375" s="8" t="n"/>
      <c r="M3375" s="8" t="n"/>
      <c r="N3375" s="15" t="n">
        <v>7.16</v>
      </c>
      <c r="O3375" s="8" t="n"/>
      <c r="P3375" s="8" t="n">
        <v>31.59</v>
      </c>
      <c r="Q3375" s="8" t="n">
        <v>7.52</v>
      </c>
      <c r="R3375" s="8" t="n"/>
      <c r="S3375" s="8" t="n"/>
      <c r="T3375" s="7" t="inlineStr">
        <is>
          <t>CENTROFARMA</t>
        </is>
      </c>
      <c r="U3375" s="8" t="n">
        <v>7.16</v>
      </c>
      <c r="V3375" s="14">
        <f>U3375/J3375-1</f>
        <v/>
      </c>
      <c r="W3375" s="14">
        <f>U3375/H3375-1</f>
        <v/>
      </c>
      <c r="X3375" s="16" t="inlineStr">
        <is>
          <t>ACIMA +5.3%</t>
        </is>
      </c>
      <c r="Y3375" s="7" t="inlineStr">
        <is>
          <t>NAZARIA: conferir emb.</t>
        </is>
      </c>
    </row>
    <row r="3376">
      <c r="A3376" s="7" t="n">
        <v>393121</v>
      </c>
      <c r="B3376" s="12" t="inlineStr">
        <is>
          <t>7896004755427</t>
        </is>
      </c>
      <c r="C3376" s="7" t="inlineStr">
        <is>
          <t>PRAZY 40MG CX 4BL X 7 COMP REV</t>
        </is>
      </c>
      <c r="D3376" s="7" t="inlineStr">
        <is>
          <t>SIMILAR</t>
        </is>
      </c>
      <c r="E3376" s="7" t="inlineStr">
        <is>
          <t>C</t>
        </is>
      </c>
      <c r="F3376" s="13" t="n">
        <v>2</v>
      </c>
      <c r="G3376" s="13" t="n">
        <v>2</v>
      </c>
      <c r="H3376" s="8" t="n">
        <v>9.91</v>
      </c>
      <c r="I3376" s="8" t="n">
        <v>9.91</v>
      </c>
      <c r="J3376" s="8" t="n">
        <v>9.91</v>
      </c>
      <c r="K3376" s="8" t="n"/>
      <c r="L3376" s="8" t="n"/>
      <c r="M3376" s="8" t="n"/>
      <c r="N3376" s="8" t="n"/>
      <c r="O3376" s="8" t="n"/>
      <c r="P3376" s="8" t="n">
        <v>52.7</v>
      </c>
      <c r="Q3376" s="8" t="n"/>
      <c r="R3376" s="8" t="n"/>
      <c r="S3376" s="8" t="n"/>
      <c r="T3376" s="7" t="inlineStr">
        <is>
          <t>SEM COTAÇÃO</t>
        </is>
      </c>
      <c r="U3376" s="8" t="n"/>
      <c r="V3376" s="14" t="n"/>
      <c r="W3376" s="14" t="n"/>
      <c r="X3376" s="7" t="inlineStr"/>
      <c r="Y3376" s="7" t="inlineStr">
        <is>
          <t>NAZARIA: sem estoque; conferir emb.</t>
        </is>
      </c>
    </row>
    <row r="3377">
      <c r="A3377" s="7" t="n">
        <v>650871</v>
      </c>
      <c r="B3377" s="12" t="inlineStr">
        <is>
          <t>7898669305535</t>
        </is>
      </c>
      <c r="C3377" s="7" t="inlineStr">
        <is>
          <t>PRE TREINO FIRE ABSOLUT LARANJA 150G</t>
        </is>
      </c>
      <c r="D3377" s="7" t="inlineStr">
        <is>
          <t>SUPLEMENTO</t>
        </is>
      </c>
      <c r="E3377" s="7" t="inlineStr">
        <is>
          <t>C</t>
        </is>
      </c>
      <c r="F3377" s="13" t="n">
        <v>1</v>
      </c>
      <c r="G3377" s="13" t="n">
        <v>1</v>
      </c>
      <c r="H3377" s="8" t="n">
        <v>56.9033</v>
      </c>
      <c r="I3377" s="8" t="n">
        <v>56.9033</v>
      </c>
      <c r="J3377" s="8" t="n">
        <v>56.9033</v>
      </c>
      <c r="K3377" s="8" t="n"/>
      <c r="L3377" s="8" t="n"/>
      <c r="M3377" s="8" t="n"/>
      <c r="N3377" s="8" t="n"/>
      <c r="O3377" s="8" t="n"/>
      <c r="P3377" s="8" t="n"/>
      <c r="Q3377" s="8" t="n"/>
      <c r="R3377" s="8" t="n"/>
      <c r="S3377" s="8" t="n"/>
      <c r="T3377" s="7" t="inlineStr">
        <is>
          <t>SEM COTAÇÃO</t>
        </is>
      </c>
      <c r="U3377" s="8" t="n"/>
      <c r="V3377" s="14" t="n"/>
      <c r="W3377" s="14" t="n"/>
      <c r="X3377" s="7" t="inlineStr"/>
      <c r="Y3377" s="7" t="inlineStr"/>
    </row>
    <row r="3378">
      <c r="A3378" s="7" t="n">
        <v>643351</v>
      </c>
      <c r="B3378" s="12" t="inlineStr">
        <is>
          <t>7898669307119</t>
        </is>
      </c>
      <c r="C3378" s="7" t="inlineStr">
        <is>
          <t>PRE TREINO FIRE ABSOLUT LARANJA NIGHT 150G</t>
        </is>
      </c>
      <c r="D3378" s="7" t="inlineStr">
        <is>
          <t>SUPLEMENTO</t>
        </is>
      </c>
      <c r="E3378" s="7" t="inlineStr">
        <is>
          <t>C</t>
        </is>
      </c>
      <c r="F3378" s="13" t="n">
        <v>1</v>
      </c>
      <c r="G3378" s="13" t="n">
        <v>1</v>
      </c>
      <c r="H3378" s="8" t="n">
        <v>56.91</v>
      </c>
      <c r="I3378" s="8" t="n">
        <v>56.91</v>
      </c>
      <c r="J3378" s="8" t="n">
        <v>56.91</v>
      </c>
      <c r="K3378" s="8" t="n"/>
      <c r="L3378" s="8" t="n"/>
      <c r="M3378" s="8" t="n"/>
      <c r="N3378" s="8" t="n"/>
      <c r="O3378" s="8" t="n"/>
      <c r="P3378" s="8" t="n"/>
      <c r="Q3378" s="8" t="n"/>
      <c r="R3378" s="8" t="n"/>
      <c r="S3378" s="8" t="n"/>
      <c r="T3378" s="7" t="inlineStr">
        <is>
          <t>SEM COTAÇÃO</t>
        </is>
      </c>
      <c r="U3378" s="8" t="n"/>
      <c r="V3378" s="14" t="n"/>
      <c r="W3378" s="14" t="n"/>
      <c r="X3378" s="7" t="inlineStr"/>
      <c r="Y3378" s="7" t="inlineStr"/>
    </row>
    <row r="3379">
      <c r="A3379" s="7" t="n">
        <v>643341</v>
      </c>
      <c r="B3379" s="12" t="inlineStr">
        <is>
          <t>7898669305528</t>
        </is>
      </c>
      <c r="C3379" s="7" t="inlineStr">
        <is>
          <t>PRE TREINO FIRE ABSOLUT UVA 150G</t>
        </is>
      </c>
      <c r="D3379" s="7" t="inlineStr">
        <is>
          <t>SUPLEMENTO</t>
        </is>
      </c>
      <c r="E3379" s="7" t="inlineStr">
        <is>
          <t>C</t>
        </is>
      </c>
      <c r="F3379" s="13" t="n">
        <v>1</v>
      </c>
      <c r="G3379" s="13" t="n">
        <v>1</v>
      </c>
      <c r="H3379" s="8" t="n">
        <v>56.91</v>
      </c>
      <c r="I3379" s="8" t="n">
        <v>56.91</v>
      </c>
      <c r="J3379" s="8" t="n">
        <v>56.91</v>
      </c>
      <c r="K3379" s="8" t="n"/>
      <c r="L3379" s="8" t="n"/>
      <c r="M3379" s="8" t="n"/>
      <c r="N3379" s="8" t="n"/>
      <c r="O3379" s="8" t="n"/>
      <c r="P3379" s="8" t="n"/>
      <c r="Q3379" s="8" t="n"/>
      <c r="R3379" s="8" t="n"/>
      <c r="S3379" s="8" t="n"/>
      <c r="T3379" s="7" t="inlineStr">
        <is>
          <t>SEM COTAÇÃO</t>
        </is>
      </c>
      <c r="U3379" s="8" t="n"/>
      <c r="V3379" s="14" t="n"/>
      <c r="W3379" s="14" t="n"/>
      <c r="X3379" s="7" t="inlineStr"/>
      <c r="Y3379" s="7" t="inlineStr"/>
    </row>
    <row r="3380">
      <c r="A3380" s="7" t="n">
        <v>407941</v>
      </c>
      <c r="B3380" s="12" t="inlineStr">
        <is>
          <t>7898569765439</t>
        </is>
      </c>
      <c r="C3380" s="7" t="inlineStr">
        <is>
          <t>PREDNISOLONA 20MG CX 10 COMP</t>
        </is>
      </c>
      <c r="D3380" s="7" t="inlineStr">
        <is>
          <t>GENERICO</t>
        </is>
      </c>
      <c r="E3380" s="7" t="inlineStr">
        <is>
          <t>C</t>
        </is>
      </c>
      <c r="F3380" s="13" t="n">
        <v>1</v>
      </c>
      <c r="G3380" s="13" t="n">
        <v>1</v>
      </c>
      <c r="H3380" s="8" t="n">
        <v>6.82</v>
      </c>
      <c r="I3380" s="8" t="n">
        <v>6.82</v>
      </c>
      <c r="J3380" s="8" t="n">
        <v>6.82</v>
      </c>
      <c r="K3380" s="8" t="n">
        <v>8.93</v>
      </c>
      <c r="L3380" s="8" t="n"/>
      <c r="M3380" s="8" t="n"/>
      <c r="N3380" s="15" t="n">
        <v>8.73</v>
      </c>
      <c r="O3380" s="8" t="n"/>
      <c r="P3380" s="8" t="n"/>
      <c r="Q3380" s="8" t="n"/>
      <c r="R3380" s="8" t="n"/>
      <c r="S3380" s="8" t="n"/>
      <c r="T3380" s="7" t="inlineStr">
        <is>
          <t>CENTROFARMA</t>
        </is>
      </c>
      <c r="U3380" s="8" t="n">
        <v>8.73</v>
      </c>
      <c r="V3380" s="14">
        <f>U3380/J3380-1</f>
        <v/>
      </c>
      <c r="W3380" s="14">
        <f>U3380/H3380-1</f>
        <v/>
      </c>
      <c r="X3380" s="16" t="inlineStr">
        <is>
          <t>ACIMA +28.0%</t>
        </is>
      </c>
      <c r="Y3380" s="7" t="inlineStr"/>
    </row>
    <row r="3381">
      <c r="A3381" s="7" t="n">
        <v>408041</v>
      </c>
      <c r="B3381" s="12" t="inlineStr">
        <is>
          <t>7898569765514</t>
        </is>
      </c>
      <c r="C3381" s="7" t="inlineStr">
        <is>
          <t>PREDNISOLONA 40MG CX 7 COMP</t>
        </is>
      </c>
      <c r="D3381" s="7" t="inlineStr">
        <is>
          <t>GENERICO</t>
        </is>
      </c>
      <c r="E3381" s="7" t="inlineStr">
        <is>
          <t>C</t>
        </is>
      </c>
      <c r="F3381" s="13" t="n">
        <v>6</v>
      </c>
      <c r="G3381" s="13" t="n">
        <v>6</v>
      </c>
      <c r="H3381" s="8" t="n">
        <v>9.75</v>
      </c>
      <c r="I3381" s="8" t="n">
        <v>9.75</v>
      </c>
      <c r="J3381" s="8" t="n">
        <v>9.75</v>
      </c>
      <c r="K3381" s="8" t="n">
        <v>10.67</v>
      </c>
      <c r="L3381" s="8" t="n">
        <v>10.51</v>
      </c>
      <c r="M3381" s="8" t="n"/>
      <c r="N3381" s="15" t="n">
        <v>10.4</v>
      </c>
      <c r="O3381" s="8" t="n"/>
      <c r="P3381" s="8" t="n">
        <v>12.987506</v>
      </c>
      <c r="Q3381" s="8" t="n">
        <v>11.18</v>
      </c>
      <c r="R3381" s="8" t="n"/>
      <c r="S3381" s="8" t="n"/>
      <c r="T3381" s="7" t="inlineStr">
        <is>
          <t>CENTROFARMA</t>
        </is>
      </c>
      <c r="U3381" s="8" t="n">
        <v>10.4</v>
      </c>
      <c r="V3381" s="14">
        <f>U3381/J3381-1</f>
        <v/>
      </c>
      <c r="W3381" s="14">
        <f>U3381/H3381-1</f>
        <v/>
      </c>
      <c r="X3381" s="16" t="inlineStr">
        <is>
          <t>ACIMA +6.7%</t>
        </is>
      </c>
      <c r="Y3381" s="7" t="inlineStr"/>
    </row>
    <row r="3382">
      <c r="A3382" s="7" t="n">
        <v>407821</v>
      </c>
      <c r="B3382" s="12" t="inlineStr">
        <is>
          <t>7898569765347</t>
        </is>
      </c>
      <c r="C3382" s="7" t="inlineStr">
        <is>
          <t>PREDNISOLONA 5MG CX 10 COMP</t>
        </is>
      </c>
      <c r="D3382" s="7" t="inlineStr">
        <is>
          <t>GENERICO</t>
        </is>
      </c>
      <c r="E3382" s="7" t="inlineStr">
        <is>
          <t>C</t>
        </is>
      </c>
      <c r="F3382" s="13" t="n">
        <v>3</v>
      </c>
      <c r="G3382" s="13" t="n">
        <v>3</v>
      </c>
      <c r="H3382" s="8" t="n">
        <v>4.32</v>
      </c>
      <c r="I3382" s="8" t="n">
        <v>4.32</v>
      </c>
      <c r="J3382" s="8" t="n">
        <v>4.32</v>
      </c>
      <c r="K3382" s="8" t="n"/>
      <c r="L3382" s="15" t="n">
        <v>4.22</v>
      </c>
      <c r="M3382" s="8" t="n"/>
      <c r="N3382" s="8" t="n"/>
      <c r="O3382" s="8" t="n"/>
      <c r="P3382" s="8" t="n"/>
      <c r="Q3382" s="8" t="n"/>
      <c r="R3382" s="8" t="n"/>
      <c r="S3382" s="8" t="n"/>
      <c r="T3382" s="7" t="inlineStr">
        <is>
          <t>PLUSFARMA</t>
        </is>
      </c>
      <c r="U3382" s="8" t="n">
        <v>4.22</v>
      </c>
      <c r="V3382" s="14">
        <f>U3382/J3382-1</f>
        <v/>
      </c>
      <c r="W3382" s="14">
        <f>U3382/H3382-1</f>
        <v/>
      </c>
      <c r="X3382" s="17" t="inlineStr">
        <is>
          <t>OK (≤ menor hist.)</t>
        </is>
      </c>
      <c r="Y3382" s="7" t="inlineStr"/>
    </row>
    <row r="3383">
      <c r="A3383" s="7" t="n">
        <v>480781</v>
      </c>
      <c r="B3383" s="12" t="inlineStr"/>
      <c r="C3383" s="7" t="inlineStr">
        <is>
          <t>PREDNISONA 20MG CX 10 COMP</t>
        </is>
      </c>
      <c r="D3383" s="7" t="inlineStr">
        <is>
          <t>GENERICO</t>
        </is>
      </c>
      <c r="E3383" s="7" t="inlineStr">
        <is>
          <t>B</t>
        </is>
      </c>
      <c r="F3383" s="13" t="n">
        <v>12</v>
      </c>
      <c r="G3383" s="13" t="n">
        <v>12</v>
      </c>
      <c r="H3383" s="8" t="n">
        <v>3.97</v>
      </c>
      <c r="I3383" s="8" t="n">
        <v>3.95</v>
      </c>
      <c r="J3383" s="8" t="n">
        <v>3.963333333333333</v>
      </c>
      <c r="K3383" s="8" t="n"/>
      <c r="L3383" s="8" t="n"/>
      <c r="M3383" s="8" t="n"/>
      <c r="N3383" s="8" t="n"/>
      <c r="O3383" s="8" t="n"/>
      <c r="P3383" s="8" t="n"/>
      <c r="Q3383" s="8" t="n"/>
      <c r="R3383" s="8" t="n"/>
      <c r="S3383" s="8" t="n"/>
      <c r="T3383" s="7" t="inlineStr">
        <is>
          <t>SEM COTAÇÃO</t>
        </is>
      </c>
      <c r="U3383" s="8" t="n"/>
      <c r="V3383" s="14" t="n"/>
      <c r="W3383" s="14" t="n"/>
      <c r="X3383" s="7" t="inlineStr"/>
      <c r="Y3383" s="7" t="inlineStr"/>
    </row>
    <row r="3384">
      <c r="A3384" s="7" t="n">
        <v>408801</v>
      </c>
      <c r="B3384" s="12" t="inlineStr">
        <is>
          <t>7894916141123</t>
        </is>
      </c>
      <c r="C3384" s="7" t="inlineStr">
        <is>
          <t>PREDNISONA 20MG CX 10 COMP</t>
        </is>
      </c>
      <c r="D3384" s="7" t="inlineStr">
        <is>
          <t>GENERICO</t>
        </is>
      </c>
      <c r="E3384" s="7" t="inlineStr">
        <is>
          <t>C</t>
        </is>
      </c>
      <c r="F3384" s="13" t="n">
        <v>1</v>
      </c>
      <c r="G3384" s="13" t="n">
        <v>1</v>
      </c>
      <c r="H3384" s="8" t="n">
        <v>5.04</v>
      </c>
      <c r="I3384" s="8" t="n">
        <v>5.04</v>
      </c>
      <c r="J3384" s="8" t="n">
        <v>5.04</v>
      </c>
      <c r="K3384" s="8" t="n"/>
      <c r="L3384" s="8" t="n"/>
      <c r="M3384" s="8" t="n"/>
      <c r="N3384" s="8" t="n"/>
      <c r="O3384" s="8" t="n"/>
      <c r="P3384" s="8" t="n"/>
      <c r="Q3384" s="8" t="n">
        <v>4.74</v>
      </c>
      <c r="R3384" s="15" t="n">
        <v>1.36</v>
      </c>
      <c r="S3384" s="8" t="n"/>
      <c r="T3384" s="7" t="inlineStr">
        <is>
          <t>BRASFARMA</t>
        </is>
      </c>
      <c r="U3384" s="8" t="n">
        <v>1.36</v>
      </c>
      <c r="V3384" s="14">
        <f>U3384/J3384-1</f>
        <v/>
      </c>
      <c r="W3384" s="14">
        <f>U3384/H3384-1</f>
        <v/>
      </c>
      <c r="X3384" s="17" t="inlineStr">
        <is>
          <t>OK (≤ menor hist.)</t>
        </is>
      </c>
      <c r="Y3384" s="7" t="inlineStr">
        <is>
          <t>BRASFARMA: conferir emb.</t>
        </is>
      </c>
    </row>
    <row r="3385">
      <c r="A3385" s="7" t="n">
        <v>660331</v>
      </c>
      <c r="B3385" s="12" t="inlineStr">
        <is>
          <t>7891058005665</t>
        </is>
      </c>
      <c r="C3385" s="7" t="inlineStr">
        <is>
          <t>PREDNISONA 20MG CX 10 COMP</t>
        </is>
      </c>
      <c r="D3385" s="7" t="inlineStr">
        <is>
          <t>GENERICO</t>
        </is>
      </c>
      <c r="E3385" s="7" t="inlineStr">
        <is>
          <t>A</t>
        </is>
      </c>
      <c r="F3385" s="13" t="n">
        <v>8</v>
      </c>
      <c r="G3385" s="13" t="n">
        <v>8</v>
      </c>
      <c r="H3385" s="8" t="n">
        <v>4.74</v>
      </c>
      <c r="I3385" s="8" t="n">
        <v>4.07</v>
      </c>
      <c r="J3385" s="8" t="n">
        <v>4.516666666666667</v>
      </c>
      <c r="K3385" s="8" t="n"/>
      <c r="L3385" s="8" t="n"/>
      <c r="M3385" s="8" t="n"/>
      <c r="N3385" s="8" t="n"/>
      <c r="O3385" s="8" t="n"/>
      <c r="P3385" s="15" t="n">
        <v>8.305759999999999</v>
      </c>
      <c r="Q3385" s="8" t="n"/>
      <c r="R3385" s="8" t="n"/>
      <c r="S3385" s="8" t="n"/>
      <c r="T3385" s="7" t="inlineStr">
        <is>
          <t>NAZARIA</t>
        </is>
      </c>
      <c r="U3385" s="8" t="n">
        <v>8.305759999999999</v>
      </c>
      <c r="V3385" s="14">
        <f>U3385/J3385-1</f>
        <v/>
      </c>
      <c r="W3385" s="14">
        <f>U3385/H3385-1</f>
        <v/>
      </c>
      <c r="X3385" s="16" t="inlineStr">
        <is>
          <t>ACIMA +75.2%</t>
        </is>
      </c>
      <c r="Y3385" s="7" t="inlineStr"/>
    </row>
    <row r="3386">
      <c r="A3386" s="7" t="n">
        <v>483381</v>
      </c>
      <c r="B3386" s="12" t="inlineStr">
        <is>
          <t>7899620912144</t>
        </is>
      </c>
      <c r="C3386" s="7" t="inlineStr">
        <is>
          <t>PREDNISONA 20MG CX 20 COMP</t>
        </is>
      </c>
      <c r="D3386" s="7" t="inlineStr">
        <is>
          <t>GENERICO</t>
        </is>
      </c>
      <c r="E3386" s="7" t="inlineStr">
        <is>
          <t>C</t>
        </is>
      </c>
      <c r="F3386" s="13" t="n">
        <v>1</v>
      </c>
      <c r="G3386" s="13" t="n">
        <v>1</v>
      </c>
      <c r="H3386" s="8" t="n">
        <v>6.97</v>
      </c>
      <c r="I3386" s="8" t="n">
        <v>6.69</v>
      </c>
      <c r="J3386" s="8" t="n">
        <v>6.783333333333334</v>
      </c>
      <c r="K3386" s="8" t="n">
        <v>7.02</v>
      </c>
      <c r="L3386" s="8" t="n"/>
      <c r="M3386" s="8" t="n"/>
      <c r="N3386" s="8" t="n"/>
      <c r="O3386" s="8" t="n"/>
      <c r="P3386" s="8" t="n"/>
      <c r="Q3386" s="8" t="n"/>
      <c r="R3386" s="15" t="n">
        <v>6.71</v>
      </c>
      <c r="S3386" s="8" t="n"/>
      <c r="T3386" s="7" t="inlineStr">
        <is>
          <t>BRASFARMA</t>
        </is>
      </c>
      <c r="U3386" s="8" t="n">
        <v>6.71</v>
      </c>
      <c r="V3386" s="14">
        <f>U3386/J3386-1</f>
        <v/>
      </c>
      <c r="W3386" s="14">
        <f>U3386/H3386-1</f>
        <v/>
      </c>
      <c r="X3386" s="17" t="inlineStr">
        <is>
          <t>OK (≤ últ. compra)</t>
        </is>
      </c>
      <c r="Y3386" s="7" t="inlineStr"/>
    </row>
    <row r="3387">
      <c r="A3387" s="7" t="n">
        <v>409221</v>
      </c>
      <c r="B3387" s="12" t="inlineStr">
        <is>
          <t>7895296286022</t>
        </is>
      </c>
      <c r="C3387" s="7" t="inlineStr">
        <is>
          <t>PREDNISONA 5MG CX 20 COMP</t>
        </is>
      </c>
      <c r="D3387" s="7" t="inlineStr">
        <is>
          <t>GENERICO</t>
        </is>
      </c>
      <c r="E3387" s="7" t="inlineStr">
        <is>
          <t>C</t>
        </is>
      </c>
      <c r="F3387" s="13" t="n">
        <v>2</v>
      </c>
      <c r="G3387" s="13" t="n">
        <v>2</v>
      </c>
      <c r="H3387" s="8" t="n">
        <v>4.28</v>
      </c>
      <c r="I3387" s="8" t="n">
        <v>4.28</v>
      </c>
      <c r="J3387" s="8" t="n">
        <v>4.28</v>
      </c>
      <c r="K3387" s="8" t="n">
        <v>4.52</v>
      </c>
      <c r="L3387" s="15" t="n">
        <v>4.49</v>
      </c>
      <c r="M3387" s="8" t="n"/>
      <c r="N3387" s="8" t="n"/>
      <c r="O3387" s="8" t="n"/>
      <c r="P3387" s="8" t="n">
        <v>15.26</v>
      </c>
      <c r="Q3387" s="8" t="n">
        <v>4.79</v>
      </c>
      <c r="R3387" s="8" t="n">
        <v>4.54</v>
      </c>
      <c r="S3387" s="8" t="n"/>
      <c r="T3387" s="7" t="inlineStr">
        <is>
          <t>PLUSFARMA</t>
        </is>
      </c>
      <c r="U3387" s="8" t="n">
        <v>4.49</v>
      </c>
      <c r="V3387" s="14">
        <f>U3387/J3387-1</f>
        <v/>
      </c>
      <c r="W3387" s="14">
        <f>U3387/H3387-1</f>
        <v/>
      </c>
      <c r="X3387" s="16" t="inlineStr">
        <is>
          <t>ACIMA +4.9%</t>
        </is>
      </c>
      <c r="Y3387" s="7" t="inlineStr">
        <is>
          <t>NAZARIA: conferir emb.</t>
        </is>
      </c>
    </row>
    <row r="3388">
      <c r="A3388" s="7" t="n">
        <v>613331</v>
      </c>
      <c r="B3388" s="12" t="inlineStr">
        <is>
          <t>7896862927073</t>
        </is>
      </c>
      <c r="C3388" s="7" t="inlineStr">
        <is>
          <t>PREGABALINA 75MG X 30</t>
        </is>
      </c>
      <c r="D3388" s="7" t="inlineStr">
        <is>
          <t>GENERICO - CONTROLE</t>
        </is>
      </c>
      <c r="E3388" s="7" t="inlineStr">
        <is>
          <t>C</t>
        </is>
      </c>
      <c r="F3388" s="13" t="n">
        <v>6</v>
      </c>
      <c r="G3388" s="13" t="n">
        <v>6</v>
      </c>
      <c r="H3388" s="8" t="n">
        <v>6.99</v>
      </c>
      <c r="I3388" s="8" t="n">
        <v>6.99</v>
      </c>
      <c r="J3388" s="8" t="n">
        <v>6.989999999999999</v>
      </c>
      <c r="K3388" s="8" t="n"/>
      <c r="L3388" s="8" t="n"/>
      <c r="M3388" s="8" t="n"/>
      <c r="N3388" s="8" t="n"/>
      <c r="O3388" s="8" t="n"/>
      <c r="P3388" s="8" t="n">
        <v>6.443067999999997</v>
      </c>
      <c r="Q3388" s="8" t="n"/>
      <c r="R3388" s="8" t="n"/>
      <c r="S3388" s="8" t="n"/>
      <c r="T3388" s="7" t="inlineStr">
        <is>
          <t>SEM COTAÇÃO</t>
        </is>
      </c>
      <c r="U3388" s="8" t="n"/>
      <c r="V3388" s="14" t="n"/>
      <c r="W3388" s="14" t="n"/>
      <c r="X3388" s="7" t="inlineStr"/>
      <c r="Y3388" s="7" t="inlineStr">
        <is>
          <t>NAZARIA: sem estoque</t>
        </is>
      </c>
    </row>
    <row r="3389">
      <c r="A3389" s="7" t="n">
        <v>629791</v>
      </c>
      <c r="B3389" s="12" t="inlineStr">
        <is>
          <t>7896699030670</t>
        </is>
      </c>
      <c r="C3389" s="7" t="inlineStr">
        <is>
          <t>PREND CHUPETA LOLLY ROSA</t>
        </is>
      </c>
      <c r="D3389" s="7" t="inlineStr">
        <is>
          <t>BABY/KIDS</t>
        </is>
      </c>
      <c r="E3389" s="7" t="inlineStr">
        <is>
          <t>C</t>
        </is>
      </c>
      <c r="F3389" s="13" t="n">
        <v>1</v>
      </c>
      <c r="G3389" s="13" t="n">
        <v>1</v>
      </c>
      <c r="H3389" s="8" t="n">
        <v>11.04</v>
      </c>
      <c r="I3389" s="8" t="n">
        <v>11.04</v>
      </c>
      <c r="J3389" s="8" t="n">
        <v>11.04</v>
      </c>
      <c r="K3389" s="8" t="n"/>
      <c r="L3389" s="8" t="n"/>
      <c r="M3389" s="8" t="n"/>
      <c r="N3389" s="8" t="n"/>
      <c r="O3389" s="8" t="n"/>
      <c r="P3389" s="8" t="n"/>
      <c r="Q3389" s="8" t="n"/>
      <c r="R3389" s="8" t="n"/>
      <c r="S3389" s="8" t="n"/>
      <c r="T3389" s="7" t="inlineStr">
        <is>
          <t>SEM COTAÇÃO</t>
        </is>
      </c>
      <c r="U3389" s="8" t="n"/>
      <c r="V3389" s="14" t="n"/>
      <c r="W3389" s="14" t="n"/>
      <c r="X3389" s="7" t="inlineStr"/>
      <c r="Y3389" s="7" t="inlineStr"/>
    </row>
    <row r="3390">
      <c r="A3390" s="7" t="n">
        <v>255821</v>
      </c>
      <c r="B3390" s="12" t="inlineStr">
        <is>
          <t>7891317004163</t>
        </is>
      </c>
      <c r="C3390" s="7" t="inlineStr">
        <is>
          <t>PRENI 11MG/ML SOL OR FR GOT 20ML</t>
        </is>
      </c>
      <c r="D3390" s="7" t="inlineStr">
        <is>
          <t>RX</t>
        </is>
      </c>
      <c r="E3390" s="7" t="inlineStr">
        <is>
          <t>C</t>
        </is>
      </c>
      <c r="F3390" s="13" t="n">
        <v>1</v>
      </c>
      <c r="G3390" s="13" t="n">
        <v>1</v>
      </c>
      <c r="H3390" s="8" t="n">
        <v>30.25</v>
      </c>
      <c r="I3390" s="8" t="n">
        <v>27.63</v>
      </c>
      <c r="J3390" s="8" t="n">
        <v>29.37666666666667</v>
      </c>
      <c r="K3390" s="8" t="n"/>
      <c r="L3390" s="8" t="n"/>
      <c r="M3390" s="8" t="n">
        <v>30.77</v>
      </c>
      <c r="N3390" s="8" t="n"/>
      <c r="O3390" s="8" t="n"/>
      <c r="P3390" s="8" t="n"/>
      <c r="Q3390" s="8" t="n"/>
      <c r="R3390" s="8" t="n"/>
      <c r="S3390" s="8" t="n"/>
      <c r="T3390" s="7" t="inlineStr">
        <is>
          <t>SEM COTAÇÃO</t>
        </is>
      </c>
      <c r="U3390" s="8" t="n"/>
      <c r="V3390" s="14" t="n"/>
      <c r="W3390" s="14" t="n"/>
      <c r="X3390" s="7" t="inlineStr"/>
      <c r="Y3390" s="7" t="inlineStr">
        <is>
          <t>EPAN: sem estoque</t>
        </is>
      </c>
    </row>
    <row r="3391">
      <c r="A3391" s="7" t="n">
        <v>408261</v>
      </c>
      <c r="B3391" s="12" t="inlineStr">
        <is>
          <t>7891317004095</t>
        </is>
      </c>
      <c r="C3391" s="7" t="inlineStr">
        <is>
          <t>PRENI 20MG CX 10 COMP</t>
        </is>
      </c>
      <c r="D3391" s="7" t="inlineStr">
        <is>
          <t>RX</t>
        </is>
      </c>
      <c r="E3391" s="7" t="inlineStr">
        <is>
          <t>C</t>
        </is>
      </c>
      <c r="F3391" s="13" t="n">
        <v>1</v>
      </c>
      <c r="G3391" s="13" t="n">
        <v>1</v>
      </c>
      <c r="H3391" s="8" t="n">
        <v>19.31</v>
      </c>
      <c r="I3391" s="8" t="n">
        <v>19.31</v>
      </c>
      <c r="J3391" s="8" t="n">
        <v>19.31</v>
      </c>
      <c r="K3391" s="8" t="n"/>
      <c r="L3391" s="8" t="n"/>
      <c r="M3391" s="8" t="n">
        <v>21.51</v>
      </c>
      <c r="N3391" s="8" t="n"/>
      <c r="O3391" s="8" t="n"/>
      <c r="P3391" s="15" t="n">
        <v>22.26</v>
      </c>
      <c r="Q3391" s="8" t="n"/>
      <c r="R3391" s="8" t="n"/>
      <c r="S3391" s="8" t="n"/>
      <c r="T3391" s="7" t="inlineStr">
        <is>
          <t>NAZARIA</t>
        </is>
      </c>
      <c r="U3391" s="8" t="n">
        <v>22.26</v>
      </c>
      <c r="V3391" s="14">
        <f>U3391/J3391-1</f>
        <v/>
      </c>
      <c r="W3391" s="14">
        <f>U3391/H3391-1</f>
        <v/>
      </c>
      <c r="X3391" s="16" t="inlineStr">
        <is>
          <t>ACIMA +15.3%</t>
        </is>
      </c>
      <c r="Y3391" s="7" t="inlineStr">
        <is>
          <t>EPAN: sem estoque</t>
        </is>
      </c>
    </row>
    <row r="3392">
      <c r="A3392" s="7" t="n">
        <v>613011</v>
      </c>
      <c r="B3392" s="12" t="inlineStr">
        <is>
          <t>7891317476410</t>
        </is>
      </c>
      <c r="C3392" s="7" t="inlineStr">
        <is>
          <t>PRENI 3MG/ML SOL OR FR 120ML+SER DOS</t>
        </is>
      </c>
      <c r="D3392" s="7" t="inlineStr">
        <is>
          <t>RX</t>
        </is>
      </c>
      <c r="E3392" s="7" t="inlineStr">
        <is>
          <t>C</t>
        </is>
      </c>
      <c r="F3392" s="13" t="n">
        <v>1</v>
      </c>
      <c r="G3392" s="13" t="n">
        <v>1</v>
      </c>
      <c r="H3392" s="8" t="n">
        <v>38.63</v>
      </c>
      <c r="I3392" s="8" t="n">
        <v>38.63</v>
      </c>
      <c r="J3392" s="8" t="n">
        <v>38.63</v>
      </c>
      <c r="K3392" s="8" t="n"/>
      <c r="L3392" s="8" t="n"/>
      <c r="M3392" s="8" t="n"/>
      <c r="N3392" s="8" t="n"/>
      <c r="O3392" s="8" t="n"/>
      <c r="P3392" s="8" t="n"/>
      <c r="Q3392" s="8" t="n"/>
      <c r="R3392" s="8" t="n"/>
      <c r="S3392" s="8" t="n"/>
      <c r="T3392" s="7" t="inlineStr">
        <is>
          <t>SEM COTAÇÃO</t>
        </is>
      </c>
      <c r="U3392" s="8" t="n"/>
      <c r="V3392" s="14" t="n"/>
      <c r="W3392" s="14" t="n"/>
      <c r="X3392" s="7" t="inlineStr"/>
      <c r="Y3392" s="7" t="inlineStr"/>
    </row>
    <row r="3393">
      <c r="A3393" s="7" t="n">
        <v>256001</v>
      </c>
      <c r="B3393" s="12" t="inlineStr">
        <is>
          <t>7891317004217</t>
        </is>
      </c>
      <c r="C3393" s="7" t="inlineStr">
        <is>
          <t>PRENI 3MG/ML SOL OR FR 60ML+SER DOS</t>
        </is>
      </c>
      <c r="D3393" s="7" t="inlineStr">
        <is>
          <t>RX</t>
        </is>
      </c>
      <c r="E3393" s="7" t="inlineStr">
        <is>
          <t>C</t>
        </is>
      </c>
      <c r="F3393" s="13" t="n">
        <v>1</v>
      </c>
      <c r="G3393" s="13" t="n">
        <v>1</v>
      </c>
      <c r="H3393" s="8" t="n">
        <v>21.51</v>
      </c>
      <c r="I3393" s="8" t="n">
        <v>18.91</v>
      </c>
      <c r="J3393" s="8" t="n">
        <v>20.10333333333334</v>
      </c>
      <c r="K3393" s="8" t="n"/>
      <c r="L3393" s="8" t="n"/>
      <c r="M3393" s="8" t="n">
        <v>21.05</v>
      </c>
      <c r="N3393" s="8" t="n"/>
      <c r="O3393" s="8" t="n"/>
      <c r="P3393" s="8" t="n"/>
      <c r="Q3393" s="8" t="n"/>
      <c r="R3393" s="8" t="n"/>
      <c r="S3393" s="8" t="n"/>
      <c r="T3393" s="7" t="inlineStr">
        <is>
          <t>SEM COTAÇÃO</t>
        </is>
      </c>
      <c r="U3393" s="8" t="n"/>
      <c r="V3393" s="14" t="n"/>
      <c r="W3393" s="14" t="n"/>
      <c r="X3393" s="7" t="inlineStr"/>
      <c r="Y3393" s="7" t="inlineStr">
        <is>
          <t>EPAN: sem estoque</t>
        </is>
      </c>
    </row>
    <row r="3394">
      <c r="A3394" s="7" t="n">
        <v>563761</v>
      </c>
      <c r="B3394" s="12" t="inlineStr">
        <is>
          <t>7891035991110</t>
        </is>
      </c>
      <c r="C3394" s="7" t="inlineStr">
        <is>
          <t>PRES JONTEX ULTRA SENSITIVE C2UN</t>
        </is>
      </c>
      <c r="D3394" s="7" t="inlineStr">
        <is>
          <t>PRESERVATIVOS</t>
        </is>
      </c>
      <c r="E3394" s="7" t="inlineStr">
        <is>
          <t>C</t>
        </is>
      </c>
      <c r="F3394" s="13" t="n">
        <v>1</v>
      </c>
      <c r="G3394" s="13" t="n">
        <v>1</v>
      </c>
      <c r="H3394" s="8" t="n">
        <v>12.06</v>
      </c>
      <c r="I3394" s="8" t="n">
        <v>11.4783</v>
      </c>
      <c r="J3394" s="8" t="n">
        <v>11.4783</v>
      </c>
      <c r="K3394" s="8" t="n"/>
      <c r="L3394" s="8" t="n"/>
      <c r="M3394" s="8" t="n"/>
      <c r="N3394" s="8" t="n"/>
      <c r="O3394" s="8" t="n"/>
      <c r="P3394" s="15" t="n">
        <v>13.1908</v>
      </c>
      <c r="Q3394" s="8" t="n"/>
      <c r="R3394" s="8" t="n"/>
      <c r="S3394" s="8" t="n"/>
      <c r="T3394" s="7" t="inlineStr">
        <is>
          <t>NAZARIA</t>
        </is>
      </c>
      <c r="U3394" s="8" t="n">
        <v>13.1908</v>
      </c>
      <c r="V3394" s="14">
        <f>U3394/J3394-1</f>
        <v/>
      </c>
      <c r="W3394" s="14">
        <f>U3394/H3394-1</f>
        <v/>
      </c>
      <c r="X3394" s="16" t="inlineStr">
        <is>
          <t>ACIMA +9.4%</t>
        </is>
      </c>
      <c r="Y3394" s="7" t="inlineStr"/>
    </row>
    <row r="3395">
      <c r="A3395" s="7" t="n">
        <v>550041</v>
      </c>
      <c r="B3395" s="12" t="inlineStr">
        <is>
          <t>7896222718389</t>
        </is>
      </c>
      <c r="C3395" s="7" t="inlineStr">
        <is>
          <t>PRES OLLA STIMULUS 3UN</t>
        </is>
      </c>
      <c r="D3395" s="7" t="inlineStr">
        <is>
          <t>PRESERVATIVOS</t>
        </is>
      </c>
      <c r="E3395" s="7" t="inlineStr">
        <is>
          <t>C</t>
        </is>
      </c>
      <c r="F3395" s="13" t="n">
        <v>3</v>
      </c>
      <c r="G3395" s="13" t="n">
        <v>3</v>
      </c>
      <c r="H3395" s="8" t="n">
        <v>5.795</v>
      </c>
      <c r="I3395" s="8" t="n">
        <v>5.795</v>
      </c>
      <c r="J3395" s="8" t="n">
        <v>5.794999999999999</v>
      </c>
      <c r="K3395" s="8" t="n"/>
      <c r="L3395" s="8" t="n"/>
      <c r="M3395" s="8" t="n"/>
      <c r="N3395" s="8" t="n"/>
      <c r="O3395" s="8" t="n"/>
      <c r="P3395" s="8" t="n"/>
      <c r="Q3395" s="8" t="n"/>
      <c r="R3395" s="8" t="n"/>
      <c r="S3395" s="8" t="n"/>
      <c r="T3395" s="7" t="inlineStr">
        <is>
          <t>SEM COTAÇÃO</t>
        </is>
      </c>
      <c r="U3395" s="8" t="n"/>
      <c r="V3395" s="14" t="n"/>
      <c r="W3395" s="14" t="n"/>
      <c r="X3395" s="7" t="inlineStr"/>
      <c r="Y3395" s="7" t="inlineStr"/>
    </row>
    <row r="3396">
      <c r="A3396" s="7" t="n">
        <v>584721</v>
      </c>
      <c r="B3396" s="12" t="inlineStr">
        <is>
          <t>7898556850988</t>
        </is>
      </c>
      <c r="C3396" s="7" t="inlineStr">
        <is>
          <t>PRES RILEX BACON 3UN</t>
        </is>
      </c>
      <c r="D3396" s="7" t="inlineStr">
        <is>
          <t>PRESERVATIVOS</t>
        </is>
      </c>
      <c r="E3396" s="7" t="inlineStr">
        <is>
          <t>C</t>
        </is>
      </c>
      <c r="F3396" s="13" t="n">
        <v>1</v>
      </c>
      <c r="G3396" s="13" t="n">
        <v>1</v>
      </c>
      <c r="H3396" s="8" t="n">
        <v>6.16</v>
      </c>
      <c r="I3396" s="8" t="n">
        <v>6.16</v>
      </c>
      <c r="J3396" s="8" t="n">
        <v>6.16</v>
      </c>
      <c r="K3396" s="8" t="n"/>
      <c r="L3396" s="8" t="n"/>
      <c r="M3396" s="8" t="n"/>
      <c r="N3396" s="8" t="n"/>
      <c r="O3396" s="8" t="n"/>
      <c r="P3396" s="8" t="n"/>
      <c r="Q3396" s="15" t="n">
        <v>3.43</v>
      </c>
      <c r="R3396" s="8" t="n"/>
      <c r="S3396" s="8" t="n"/>
      <c r="T3396" s="7" t="inlineStr">
        <is>
          <t>MEDCENTRO</t>
        </is>
      </c>
      <c r="U3396" s="8" t="n">
        <v>3.43</v>
      </c>
      <c r="V3396" s="14">
        <f>U3396/J3396-1</f>
        <v/>
      </c>
      <c r="W3396" s="14">
        <f>U3396/H3396-1</f>
        <v/>
      </c>
      <c r="X3396" s="17" t="inlineStr">
        <is>
          <t>OK (≤ menor hist.)</t>
        </is>
      </c>
      <c r="Y3396" s="7" t="inlineStr"/>
    </row>
    <row r="3397">
      <c r="A3397" s="7" t="n">
        <v>550201</v>
      </c>
      <c r="B3397" s="12" t="inlineStr">
        <is>
          <t>7898556850254</t>
        </is>
      </c>
      <c r="C3397" s="7" t="inlineStr">
        <is>
          <t>PRES RILEX HOT 3UN</t>
        </is>
      </c>
      <c r="D3397" s="7" t="inlineStr">
        <is>
          <t>PRESERVATIVOS</t>
        </is>
      </c>
      <c r="E3397" s="7" t="inlineStr">
        <is>
          <t>C</t>
        </is>
      </c>
      <c r="F3397" s="13" t="n">
        <v>2</v>
      </c>
      <c r="G3397" s="13" t="n">
        <v>2</v>
      </c>
      <c r="H3397" s="8" t="n">
        <v>5.07</v>
      </c>
      <c r="I3397" s="8" t="n">
        <v>4.85</v>
      </c>
      <c r="J3397" s="8" t="n">
        <v>4.996666666666667</v>
      </c>
      <c r="K3397" s="15" t="n">
        <v>5.3</v>
      </c>
      <c r="L3397" s="8" t="n"/>
      <c r="M3397" s="8" t="n"/>
      <c r="N3397" s="8" t="n">
        <v>5.34</v>
      </c>
      <c r="O3397" s="8" t="n"/>
      <c r="P3397" s="8" t="n"/>
      <c r="Q3397" s="8" t="n">
        <v>5.63</v>
      </c>
      <c r="R3397" s="8" t="n"/>
      <c r="S3397" s="8" t="n"/>
      <c r="T3397" s="7" t="inlineStr">
        <is>
          <t>DIMEC</t>
        </is>
      </c>
      <c r="U3397" s="8" t="n">
        <v>5.3</v>
      </c>
      <c r="V3397" s="14">
        <f>U3397/J3397-1</f>
        <v/>
      </c>
      <c r="W3397" s="14">
        <f>U3397/H3397-1</f>
        <v/>
      </c>
      <c r="X3397" s="16" t="inlineStr">
        <is>
          <t>ACIMA +4.5%</t>
        </is>
      </c>
      <c r="Y3397" s="7" t="inlineStr"/>
    </row>
    <row r="3398">
      <c r="A3398" s="7" t="n">
        <v>550161</v>
      </c>
      <c r="B3398" s="12" t="inlineStr">
        <is>
          <t>7898556850209</t>
        </is>
      </c>
      <c r="C3398" s="7" t="inlineStr">
        <is>
          <t>PRES RILEX TEXTURIZADO 3UN</t>
        </is>
      </c>
      <c r="D3398" s="7" t="inlineStr">
        <is>
          <t>PRESERVATIVOS</t>
        </is>
      </c>
      <c r="E3398" s="7" t="inlineStr">
        <is>
          <t>C</t>
        </is>
      </c>
      <c r="F3398" s="13" t="n">
        <v>1</v>
      </c>
      <c r="G3398" s="13" t="n">
        <v>1</v>
      </c>
      <c r="H3398" s="8" t="n">
        <v>4.56</v>
      </c>
      <c r="I3398" s="8" t="n">
        <v>4.55</v>
      </c>
      <c r="J3398" s="8" t="n">
        <v>4.553333333333334</v>
      </c>
      <c r="K3398" s="15" t="n">
        <v>4.73</v>
      </c>
      <c r="L3398" s="8" t="n"/>
      <c r="M3398" s="8" t="n"/>
      <c r="N3398" s="8" t="n">
        <v>4.8</v>
      </c>
      <c r="O3398" s="8" t="n"/>
      <c r="P3398" s="8" t="n"/>
      <c r="Q3398" s="8" t="n">
        <v>5.02</v>
      </c>
      <c r="R3398" s="8" t="n"/>
      <c r="S3398" s="8" t="n"/>
      <c r="T3398" s="7" t="inlineStr">
        <is>
          <t>DIMEC</t>
        </is>
      </c>
      <c r="U3398" s="8" t="n">
        <v>4.73</v>
      </c>
      <c r="V3398" s="14">
        <f>U3398/J3398-1</f>
        <v/>
      </c>
      <c r="W3398" s="14">
        <f>U3398/H3398-1</f>
        <v/>
      </c>
      <c r="X3398" s="16" t="inlineStr">
        <is>
          <t>ACIMA +3.7%</t>
        </is>
      </c>
      <c r="Y3398" s="7" t="inlineStr"/>
    </row>
    <row r="3399">
      <c r="A3399" s="7" t="n">
        <v>657401</v>
      </c>
      <c r="B3399" s="12" t="inlineStr">
        <is>
          <t>7898079002864</t>
        </is>
      </c>
      <c r="C3399" s="7" t="inlineStr">
        <is>
          <t>PRES. PRUDENCE AROM MORANGAO C/03</t>
        </is>
      </c>
      <c r="D3399" s="7" t="inlineStr">
        <is>
          <t>PRESERVATIVOS</t>
        </is>
      </c>
      <c r="E3399" s="7" t="inlineStr">
        <is>
          <t>B</t>
        </is>
      </c>
      <c r="F3399" s="13" t="n">
        <v>1</v>
      </c>
      <c r="G3399" s="13" t="n">
        <v>1</v>
      </c>
      <c r="H3399" s="8" t="n">
        <v>6.64</v>
      </c>
      <c r="I3399" s="8" t="n">
        <v>6.64</v>
      </c>
      <c r="J3399" s="8" t="n">
        <v>6.64</v>
      </c>
      <c r="K3399" s="8" t="n"/>
      <c r="L3399" s="8" t="n"/>
      <c r="M3399" s="8" t="n"/>
      <c r="N3399" s="15" t="n">
        <v>7.45</v>
      </c>
      <c r="O3399" s="8" t="n"/>
      <c r="P3399" s="8" t="n">
        <v>7.999</v>
      </c>
      <c r="Q3399" s="8" t="n"/>
      <c r="R3399" s="8" t="n"/>
      <c r="S3399" s="8" t="n"/>
      <c r="T3399" s="7" t="inlineStr">
        <is>
          <t>CENTROFARMA</t>
        </is>
      </c>
      <c r="U3399" s="8" t="n">
        <v>7.45</v>
      </c>
      <c r="V3399" s="14">
        <f>U3399/J3399-1</f>
        <v/>
      </c>
      <c r="W3399" s="14">
        <f>U3399/H3399-1</f>
        <v/>
      </c>
      <c r="X3399" s="16" t="inlineStr">
        <is>
          <t>ACIMA +12.2%</t>
        </is>
      </c>
      <c r="Y3399" s="7" t="inlineStr"/>
    </row>
    <row r="3400">
      <c r="A3400" s="7" t="n">
        <v>657391</v>
      </c>
      <c r="B3400" s="12" t="inlineStr">
        <is>
          <t>7898079001300</t>
        </is>
      </c>
      <c r="C3400" s="7" t="inlineStr">
        <is>
          <t>PRES. PRUDENCE AROM MORANGO C/06</t>
        </is>
      </c>
      <c r="D3400" s="7" t="inlineStr">
        <is>
          <t>PRESERVATIVOS</t>
        </is>
      </c>
      <c r="E3400" s="7" t="inlineStr">
        <is>
          <t>B</t>
        </is>
      </c>
      <c r="F3400" s="13" t="n">
        <v>6</v>
      </c>
      <c r="G3400" s="13" t="n">
        <v>6</v>
      </c>
      <c r="H3400" s="8" t="n">
        <v>8.390000000000001</v>
      </c>
      <c r="I3400" s="8" t="n">
        <v>8.390000000000001</v>
      </c>
      <c r="J3400" s="8" t="n">
        <v>8.390000000000001</v>
      </c>
      <c r="K3400" s="8" t="n"/>
      <c r="L3400" s="8" t="n"/>
      <c r="M3400" s="8" t="n"/>
      <c r="N3400" s="8" t="n">
        <v>9.85</v>
      </c>
      <c r="O3400" s="8" t="n"/>
      <c r="P3400" s="15" t="n">
        <v>9.6995</v>
      </c>
      <c r="Q3400" s="8" t="n"/>
      <c r="R3400" s="8" t="n"/>
      <c r="S3400" s="8" t="n"/>
      <c r="T3400" s="7" t="inlineStr">
        <is>
          <t>NAZARIA</t>
        </is>
      </c>
      <c r="U3400" s="8" t="n">
        <v>9.6995</v>
      </c>
      <c r="V3400" s="14">
        <f>U3400/J3400-1</f>
        <v/>
      </c>
      <c r="W3400" s="14">
        <f>U3400/H3400-1</f>
        <v/>
      </c>
      <c r="X3400" s="16" t="inlineStr">
        <is>
          <t>ACIMA +15.6%</t>
        </is>
      </c>
      <c r="Y3400" s="7" t="inlineStr"/>
    </row>
    <row r="3401">
      <c r="A3401" s="7" t="n">
        <v>657381</v>
      </c>
      <c r="B3401" s="12" t="inlineStr">
        <is>
          <t>7898079000259</t>
        </is>
      </c>
      <c r="C3401" s="7" t="inlineStr">
        <is>
          <t>PRES. PRUDENCE EXT GRANDE ULTR SENS C/03</t>
        </is>
      </c>
      <c r="D3401" s="7" t="inlineStr">
        <is>
          <t>PRESERVATIVOS</t>
        </is>
      </c>
      <c r="E3401" s="7" t="inlineStr">
        <is>
          <t>B</t>
        </is>
      </c>
      <c r="F3401" s="13" t="n">
        <v>5</v>
      </c>
      <c r="G3401" s="13" t="n">
        <v>5</v>
      </c>
      <c r="H3401" s="8" t="n">
        <v>6.94</v>
      </c>
      <c r="I3401" s="8" t="n">
        <v>6.94</v>
      </c>
      <c r="J3401" s="8" t="n">
        <v>6.94</v>
      </c>
      <c r="K3401" s="8" t="n"/>
      <c r="L3401" s="8" t="n"/>
      <c r="M3401" s="8" t="n"/>
      <c r="N3401" s="15" t="n">
        <v>7.69</v>
      </c>
      <c r="O3401" s="8" t="n"/>
      <c r="P3401" s="8" t="n">
        <v>7.951499999999999</v>
      </c>
      <c r="Q3401" s="8" t="n"/>
      <c r="R3401" s="8" t="n"/>
      <c r="S3401" s="8" t="n"/>
      <c r="T3401" s="7" t="inlineStr">
        <is>
          <t>CENTROFARMA</t>
        </is>
      </c>
      <c r="U3401" s="8" t="n">
        <v>7.69</v>
      </c>
      <c r="V3401" s="14">
        <f>U3401/J3401-1</f>
        <v/>
      </c>
      <c r="W3401" s="14">
        <f>U3401/H3401-1</f>
        <v/>
      </c>
      <c r="X3401" s="16" t="inlineStr">
        <is>
          <t>ACIMA +10.8%</t>
        </is>
      </c>
      <c r="Y3401" s="7" t="inlineStr">
        <is>
          <t>NAZARIA: sem estoque</t>
        </is>
      </c>
    </row>
    <row r="3402">
      <c r="A3402" s="7" t="n">
        <v>657361</v>
      </c>
      <c r="B3402" s="12" t="inlineStr">
        <is>
          <t>7898079003168</t>
        </is>
      </c>
      <c r="C3402" s="7" t="inlineStr">
        <is>
          <t>PRES. PRUDENCE LUBRIFICADOS LEVE8 PAGUE6</t>
        </is>
      </c>
      <c r="D3402" s="7" t="inlineStr">
        <is>
          <t>PRESERVATIVOS</t>
        </is>
      </c>
      <c r="E3402" s="7" t="inlineStr">
        <is>
          <t>B</t>
        </is>
      </c>
      <c r="F3402" s="13" t="n">
        <v>7</v>
      </c>
      <c r="G3402" s="13" t="n">
        <v>7</v>
      </c>
      <c r="H3402" s="8" t="n">
        <v>6.88</v>
      </c>
      <c r="I3402" s="8" t="n">
        <v>6.67</v>
      </c>
      <c r="J3402" s="8" t="n">
        <v>6.739999999999999</v>
      </c>
      <c r="K3402" s="8" t="n"/>
      <c r="L3402" s="8" t="n"/>
      <c r="M3402" s="8" t="n"/>
      <c r="N3402" s="15" t="n">
        <v>6.94</v>
      </c>
      <c r="O3402" s="8" t="n"/>
      <c r="P3402" s="8" t="n"/>
      <c r="Q3402" s="8" t="n"/>
      <c r="R3402" s="8" t="n"/>
      <c r="S3402" s="8" t="n"/>
      <c r="T3402" s="7" t="inlineStr">
        <is>
          <t>CENTROFARMA</t>
        </is>
      </c>
      <c r="U3402" s="8" t="n">
        <v>6.94</v>
      </c>
      <c r="V3402" s="14">
        <f>U3402/J3402-1</f>
        <v/>
      </c>
      <c r="W3402" s="14">
        <f>U3402/H3402-1</f>
        <v/>
      </c>
      <c r="X3402" s="16" t="inlineStr">
        <is>
          <t>ACIMA +0.9%</t>
        </is>
      </c>
      <c r="Y3402" s="7" t="inlineStr"/>
    </row>
    <row r="3403">
      <c r="A3403" s="7" t="n">
        <v>657341</v>
      </c>
      <c r="B3403" s="12" t="inlineStr">
        <is>
          <t>7898079000549</t>
        </is>
      </c>
      <c r="C3403" s="7" t="inlineStr">
        <is>
          <t>PRES. PRUDENCE SENSACOES SENS RETAR C/03</t>
        </is>
      </c>
      <c r="D3403" s="7" t="inlineStr">
        <is>
          <t>PRESERVATIVOS</t>
        </is>
      </c>
      <c r="E3403" s="7" t="inlineStr">
        <is>
          <t>B</t>
        </is>
      </c>
      <c r="F3403" s="13" t="n">
        <v>2</v>
      </c>
      <c r="G3403" s="13" t="n">
        <v>2</v>
      </c>
      <c r="H3403" s="8" t="n">
        <v>7.89</v>
      </c>
      <c r="I3403" s="8" t="n">
        <v>7.89</v>
      </c>
      <c r="J3403" s="8" t="n">
        <v>7.89</v>
      </c>
      <c r="K3403" s="8" t="n"/>
      <c r="L3403" s="8" t="n"/>
      <c r="M3403" s="8" t="n"/>
      <c r="N3403" s="15" t="n">
        <v>8.859999999999999</v>
      </c>
      <c r="O3403" s="8" t="n"/>
      <c r="P3403" s="8" t="n"/>
      <c r="Q3403" s="8" t="n"/>
      <c r="R3403" s="8" t="n"/>
      <c r="S3403" s="8" t="n"/>
      <c r="T3403" s="7" t="inlineStr">
        <is>
          <t>CENTROFARMA</t>
        </is>
      </c>
      <c r="U3403" s="8" t="n">
        <v>8.859999999999999</v>
      </c>
      <c r="V3403" s="14">
        <f>U3403/J3403-1</f>
        <v/>
      </c>
      <c r="W3403" s="14">
        <f>U3403/H3403-1</f>
        <v/>
      </c>
      <c r="X3403" s="16" t="inlineStr">
        <is>
          <t>ACIMA +12.3%</t>
        </is>
      </c>
      <c r="Y3403" s="7" t="inlineStr"/>
    </row>
    <row r="3404">
      <c r="A3404" s="7" t="n">
        <v>681401</v>
      </c>
      <c r="B3404" s="12" t="inlineStr">
        <is>
          <t>7896007200757</t>
        </is>
      </c>
      <c r="C3404" s="7" t="inlineStr">
        <is>
          <t>PRESERV BLOWTEX ACTIONMAX SACHE 12X3UN 12X3UN</t>
        </is>
      </c>
      <c r="D3404" s="7" t="inlineStr">
        <is>
          <t>PRESERVATIVOS</t>
        </is>
      </c>
      <c r="E3404" s="7" t="inlineStr">
        <is>
          <t>C</t>
        </is>
      </c>
      <c r="F3404" s="13" t="n">
        <v>1</v>
      </c>
      <c r="G3404" s="13" t="n">
        <v>1</v>
      </c>
      <c r="H3404" s="8" t="n">
        <v>8.5542</v>
      </c>
      <c r="I3404" s="8" t="n">
        <v>8.5542</v>
      </c>
      <c r="J3404" s="8" t="n">
        <v>8.5542</v>
      </c>
      <c r="K3404" s="8" t="n"/>
      <c r="L3404" s="8" t="n"/>
      <c r="M3404" s="8" t="n"/>
      <c r="N3404" s="8" t="n"/>
      <c r="O3404" s="8" t="n"/>
      <c r="P3404" s="8" t="n"/>
      <c r="Q3404" s="8" t="n"/>
      <c r="R3404" s="8" t="n"/>
      <c r="S3404" s="8" t="n"/>
      <c r="T3404" s="7" t="inlineStr">
        <is>
          <t>SEM COTAÇÃO</t>
        </is>
      </c>
      <c r="U3404" s="8" t="n"/>
      <c r="V3404" s="14" t="n"/>
      <c r="W3404" s="14" t="n"/>
      <c r="X3404" s="7" t="inlineStr"/>
      <c r="Y3404" s="7" t="inlineStr"/>
    </row>
    <row r="3405">
      <c r="A3405" s="7" t="n">
        <v>682201</v>
      </c>
      <c r="B3405" s="12" t="inlineStr">
        <is>
          <t>7896007200740</t>
        </is>
      </c>
      <c r="C3405" s="7" t="inlineStr">
        <is>
          <t>PRESERV BLOWTEX AROM MENTA 12X3UN 12X3UN</t>
        </is>
      </c>
      <c r="D3405" s="7" t="inlineStr">
        <is>
          <t>PRESERVATIVOS</t>
        </is>
      </c>
      <c r="E3405" s="7" t="inlineStr">
        <is>
          <t>C</t>
        </is>
      </c>
      <c r="F3405" s="13" t="n">
        <v>1</v>
      </c>
      <c r="G3405" s="13" t="n">
        <v>1</v>
      </c>
      <c r="H3405" s="8" t="n">
        <v>5.4492</v>
      </c>
      <c r="I3405" s="8" t="n">
        <v>5.4492</v>
      </c>
      <c r="J3405" s="8" t="n">
        <v>5.4492</v>
      </c>
      <c r="K3405" s="8" t="n"/>
      <c r="L3405" s="8" t="n"/>
      <c r="M3405" s="8" t="n"/>
      <c r="N3405" s="8" t="n"/>
      <c r="O3405" s="8" t="n"/>
      <c r="P3405" s="8" t="n"/>
      <c r="Q3405" s="8" t="n"/>
      <c r="R3405" s="8" t="n"/>
      <c r="S3405" s="8" t="n"/>
      <c r="T3405" s="7" t="inlineStr">
        <is>
          <t>SEM COTAÇÃO</t>
        </is>
      </c>
      <c r="U3405" s="8" t="n"/>
      <c r="V3405" s="14" t="n"/>
      <c r="W3405" s="14" t="n"/>
      <c r="X3405" s="7" t="inlineStr"/>
      <c r="Y3405" s="7" t="inlineStr"/>
    </row>
    <row r="3406">
      <c r="A3406" s="7" t="n">
        <v>682301</v>
      </c>
      <c r="B3406" s="12" t="inlineStr">
        <is>
          <t>7896007201785</t>
        </is>
      </c>
      <c r="C3406" s="7" t="inlineStr">
        <is>
          <t>PRESERV BLOWTEX AROM MORAN/CHOC 12X3UN 12X3UN</t>
        </is>
      </c>
      <c r="D3406" s="7" t="inlineStr">
        <is>
          <t>PRESERVATIVOS</t>
        </is>
      </c>
      <c r="E3406" s="7" t="inlineStr">
        <is>
          <t>C</t>
        </is>
      </c>
      <c r="F3406" s="13" t="n">
        <v>1</v>
      </c>
      <c r="G3406" s="13" t="n">
        <v>1</v>
      </c>
      <c r="H3406" s="8" t="n">
        <v>5.4492</v>
      </c>
      <c r="I3406" s="8" t="n">
        <v>5.4492</v>
      </c>
      <c r="J3406" s="8" t="n">
        <v>5.4492</v>
      </c>
      <c r="K3406" s="8" t="n"/>
      <c r="L3406" s="8" t="n"/>
      <c r="M3406" s="8" t="n"/>
      <c r="N3406" s="8" t="n"/>
      <c r="O3406" s="8" t="n"/>
      <c r="P3406" s="8" t="n"/>
      <c r="Q3406" s="8" t="n"/>
      <c r="R3406" s="8" t="n"/>
      <c r="S3406" s="8" t="n"/>
      <c r="T3406" s="7" t="inlineStr">
        <is>
          <t>SEM COTAÇÃO</t>
        </is>
      </c>
      <c r="U3406" s="8" t="n"/>
      <c r="V3406" s="14" t="n"/>
      <c r="W3406" s="14" t="n"/>
      <c r="X3406" s="7" t="inlineStr"/>
      <c r="Y3406" s="7" t="inlineStr"/>
    </row>
    <row r="3407">
      <c r="A3407" s="7" t="n">
        <v>681901</v>
      </c>
      <c r="B3407" s="12" t="inlineStr">
        <is>
          <t>7896007200764</t>
        </is>
      </c>
      <c r="C3407" s="7" t="inlineStr">
        <is>
          <t>PRESERV BLOWTEX AROM TUTI FRUTTI 12X3UN 12X3UN</t>
        </is>
      </c>
      <c r="D3407" s="7" t="inlineStr">
        <is>
          <t>PRESERVATIVOS</t>
        </is>
      </c>
      <c r="E3407" s="7" t="inlineStr">
        <is>
          <t>C</t>
        </is>
      </c>
      <c r="F3407" s="13" t="n">
        <v>1</v>
      </c>
      <c r="G3407" s="13" t="n">
        <v>2</v>
      </c>
      <c r="H3407" s="8" t="n">
        <v>5.4492</v>
      </c>
      <c r="I3407" s="8" t="n">
        <v>5.4492</v>
      </c>
      <c r="J3407" s="8" t="n">
        <v>5.4492</v>
      </c>
      <c r="K3407" s="8" t="n"/>
      <c r="L3407" s="8" t="n"/>
      <c r="M3407" s="8" t="n"/>
      <c r="N3407" s="8" t="n"/>
      <c r="O3407" s="8" t="n"/>
      <c r="P3407" s="8" t="n"/>
      <c r="Q3407" s="8" t="n"/>
      <c r="R3407" s="8" t="n"/>
      <c r="S3407" s="8" t="n"/>
      <c r="T3407" s="7" t="inlineStr">
        <is>
          <t>SEM COTAÇÃO</t>
        </is>
      </c>
      <c r="U3407" s="8" t="n"/>
      <c r="V3407" s="14" t="n"/>
      <c r="W3407" s="14" t="n"/>
      <c r="X3407" s="7" t="inlineStr"/>
      <c r="Y3407" s="7" t="inlineStr"/>
    </row>
    <row r="3408">
      <c r="A3408" s="7" t="n">
        <v>682101</v>
      </c>
      <c r="B3408" s="12" t="inlineStr">
        <is>
          <t>7896007202539</t>
        </is>
      </c>
      <c r="C3408" s="7" t="inlineStr">
        <is>
          <t>PRESERV BLOWTEX AROM UVA VERDE 12X3UN 12X3UN</t>
        </is>
      </c>
      <c r="D3408" s="7" t="inlineStr">
        <is>
          <t>PRESERVATIVOS</t>
        </is>
      </c>
      <c r="E3408" s="7" t="inlineStr">
        <is>
          <t>C</t>
        </is>
      </c>
      <c r="F3408" s="13" t="n">
        <v>1</v>
      </c>
      <c r="G3408" s="13" t="n">
        <v>1</v>
      </c>
      <c r="H3408" s="8" t="n">
        <v>5.4492</v>
      </c>
      <c r="I3408" s="8" t="n">
        <v>5.4492</v>
      </c>
      <c r="J3408" s="8" t="n">
        <v>5.4492</v>
      </c>
      <c r="K3408" s="8" t="n"/>
      <c r="L3408" s="8" t="n"/>
      <c r="M3408" s="8" t="n"/>
      <c r="N3408" s="8" t="n"/>
      <c r="O3408" s="8" t="n"/>
      <c r="P3408" s="8" t="n"/>
      <c r="Q3408" s="8" t="n"/>
      <c r="R3408" s="8" t="n"/>
      <c r="S3408" s="8" t="n"/>
      <c r="T3408" s="7" t="inlineStr">
        <is>
          <t>SEM COTAÇÃO</t>
        </is>
      </c>
      <c r="U3408" s="8" t="n"/>
      <c r="V3408" s="14" t="n"/>
      <c r="W3408" s="14" t="n"/>
      <c r="X3408" s="7" t="inlineStr"/>
      <c r="Y3408" s="7" t="inlineStr"/>
    </row>
    <row r="3409">
      <c r="A3409" s="7" t="n">
        <v>569121</v>
      </c>
      <c r="B3409" s="12" t="inlineStr">
        <is>
          <t>7896007200504</t>
        </is>
      </c>
      <c r="C3409" s="7" t="inlineStr">
        <is>
          <t>PRESERV BLOWTEX ELITE C/3UN (BLO)</t>
        </is>
      </c>
      <c r="D3409" s="7" t="inlineStr">
        <is>
          <t>PRESERVATIVOS</t>
        </is>
      </c>
      <c r="E3409" s="7" t="inlineStr">
        <is>
          <t>B</t>
        </is>
      </c>
      <c r="F3409" s="13" t="n">
        <v>5</v>
      </c>
      <c r="G3409" s="13" t="n">
        <v>5</v>
      </c>
      <c r="H3409" s="8" t="n">
        <v>1.29</v>
      </c>
      <c r="I3409" s="8" t="n">
        <v>1.18</v>
      </c>
      <c r="J3409" s="8" t="n">
        <v>1.253333333333333</v>
      </c>
      <c r="K3409" s="8" t="n"/>
      <c r="L3409" s="8" t="n">
        <v>1.45</v>
      </c>
      <c r="M3409" s="8" t="n"/>
      <c r="N3409" s="15" t="n">
        <v>1.37</v>
      </c>
      <c r="O3409" s="8" t="n"/>
      <c r="P3409" s="8" t="n">
        <v>1.539</v>
      </c>
      <c r="Q3409" s="8" t="n"/>
      <c r="R3409" s="8" t="n"/>
      <c r="S3409" s="8" t="n"/>
      <c r="T3409" s="7" t="inlineStr">
        <is>
          <t>CENTROFARMA</t>
        </is>
      </c>
      <c r="U3409" s="8" t="n">
        <v>1.37</v>
      </c>
      <c r="V3409" s="14">
        <f>U3409/J3409-1</f>
        <v/>
      </c>
      <c r="W3409" s="14">
        <f>U3409/H3409-1</f>
        <v/>
      </c>
      <c r="X3409" s="16" t="inlineStr">
        <is>
          <t>ACIMA +6.2%</t>
        </is>
      </c>
      <c r="Y3409" s="7" t="inlineStr"/>
    </row>
    <row r="3410">
      <c r="A3410" s="7" t="n">
        <v>641761</v>
      </c>
      <c r="B3410" s="12" t="inlineStr">
        <is>
          <t>7896007202003</t>
        </is>
      </c>
      <c r="C3410" s="7" t="inlineStr">
        <is>
          <t>PRESERV BLOWTEX LUBRIFICADO L9P6</t>
        </is>
      </c>
      <c r="D3410" s="7" t="inlineStr">
        <is>
          <t>PRESERVATIVOS</t>
        </is>
      </c>
      <c r="E3410" s="7" t="inlineStr">
        <is>
          <t>B</t>
        </is>
      </c>
      <c r="F3410" s="13" t="n">
        <v>3</v>
      </c>
      <c r="G3410" s="13" t="n">
        <v>3</v>
      </c>
      <c r="H3410" s="8" t="n">
        <v>8.26</v>
      </c>
      <c r="I3410" s="8" t="n">
        <v>7.23</v>
      </c>
      <c r="J3410" s="8" t="n">
        <v>7.916666666666667</v>
      </c>
      <c r="K3410" s="8" t="n"/>
      <c r="L3410" s="8" t="n">
        <v>9.09</v>
      </c>
      <c r="M3410" s="8" t="n"/>
      <c r="N3410" s="15" t="n">
        <v>8.869999999999999</v>
      </c>
      <c r="O3410" s="8" t="n"/>
      <c r="P3410" s="8" t="n">
        <v>9.747</v>
      </c>
      <c r="Q3410" s="8" t="n"/>
      <c r="R3410" s="8" t="n"/>
      <c r="S3410" s="8" t="n"/>
      <c r="T3410" s="7" t="inlineStr">
        <is>
          <t>CENTROFARMA</t>
        </is>
      </c>
      <c r="U3410" s="8" t="n">
        <v>8.869999999999999</v>
      </c>
      <c r="V3410" s="14">
        <f>U3410/J3410-1</f>
        <v/>
      </c>
      <c r="W3410" s="14">
        <f>U3410/H3410-1</f>
        <v/>
      </c>
      <c r="X3410" s="16" t="inlineStr">
        <is>
          <t>ACIMA +7.4%</t>
        </is>
      </c>
      <c r="Y3410" s="7" t="inlineStr"/>
    </row>
    <row r="3411">
      <c r="A3411" s="7" t="n">
        <v>579341</v>
      </c>
      <c r="B3411" s="12" t="inlineStr">
        <is>
          <t>7896007200344</t>
        </is>
      </c>
      <c r="C3411" s="7" t="inlineStr">
        <is>
          <t>PRESERV BLOWTEX MENTA C/3UN (BLO)</t>
        </is>
      </c>
      <c r="D3411" s="7" t="inlineStr">
        <is>
          <t>PRESERVATIVOS</t>
        </is>
      </c>
      <c r="E3411" s="7" t="inlineStr">
        <is>
          <t>B</t>
        </is>
      </c>
      <c r="F3411" s="13" t="n">
        <v>2</v>
      </c>
      <c r="G3411" s="13" t="n">
        <v>2</v>
      </c>
      <c r="H3411" s="8" t="n">
        <v>4.33</v>
      </c>
      <c r="I3411" s="8" t="n">
        <v>4.33</v>
      </c>
      <c r="J3411" s="8" t="n">
        <v>4.33</v>
      </c>
      <c r="K3411" s="8" t="n"/>
      <c r="L3411" s="8" t="n">
        <v>5.29</v>
      </c>
      <c r="M3411" s="8" t="n"/>
      <c r="N3411" s="15" t="n">
        <v>4.73</v>
      </c>
      <c r="O3411" s="8" t="n"/>
      <c r="P3411" s="8" t="n">
        <v>5.757</v>
      </c>
      <c r="Q3411" s="8" t="n"/>
      <c r="R3411" s="8" t="n"/>
      <c r="S3411" s="8" t="n"/>
      <c r="T3411" s="7" t="inlineStr">
        <is>
          <t>CENTROFARMA</t>
        </is>
      </c>
      <c r="U3411" s="8" t="n">
        <v>4.73</v>
      </c>
      <c r="V3411" s="14">
        <f>U3411/J3411-1</f>
        <v/>
      </c>
      <c r="W3411" s="14">
        <f>U3411/H3411-1</f>
        <v/>
      </c>
      <c r="X3411" s="16" t="inlineStr">
        <is>
          <t>ACIMA +9.2%</t>
        </is>
      </c>
      <c r="Y3411" s="7" t="inlineStr"/>
    </row>
    <row r="3412">
      <c r="A3412" s="7" t="n">
        <v>643211</v>
      </c>
      <c r="B3412" s="12" t="inlineStr">
        <is>
          <t>7896007202348</t>
        </is>
      </c>
      <c r="C3412" s="7" t="inlineStr">
        <is>
          <t>PRESERV BLOWTEX MENTA L9P6</t>
        </is>
      </c>
      <c r="D3412" s="7" t="inlineStr">
        <is>
          <t>PRESERVATIVOS</t>
        </is>
      </c>
      <c r="E3412" s="7" t="inlineStr">
        <is>
          <t>C</t>
        </is>
      </c>
      <c r="F3412" s="13" t="n">
        <v>2</v>
      </c>
      <c r="G3412" s="13" t="n">
        <v>2</v>
      </c>
      <c r="H3412" s="8" t="n">
        <v>7.72</v>
      </c>
      <c r="I3412" s="8" t="n">
        <v>7.72</v>
      </c>
      <c r="J3412" s="8" t="n">
        <v>7.72</v>
      </c>
      <c r="K3412" s="8" t="n"/>
      <c r="L3412" s="8" t="n">
        <v>10.05</v>
      </c>
      <c r="M3412" s="8" t="n"/>
      <c r="N3412" s="15" t="n">
        <v>9.779999999999999</v>
      </c>
      <c r="O3412" s="8" t="n"/>
      <c r="P3412" s="8" t="n">
        <v>10.925</v>
      </c>
      <c r="Q3412" s="8" t="n"/>
      <c r="R3412" s="8" t="n"/>
      <c r="S3412" s="8" t="n"/>
      <c r="T3412" s="7" t="inlineStr">
        <is>
          <t>CENTROFARMA</t>
        </is>
      </c>
      <c r="U3412" s="8" t="n">
        <v>9.779999999999999</v>
      </c>
      <c r="V3412" s="14">
        <f>U3412/J3412-1</f>
        <v/>
      </c>
      <c r="W3412" s="14">
        <f>U3412/H3412-1</f>
        <v/>
      </c>
      <c r="X3412" s="16" t="inlineStr">
        <is>
          <t>ACIMA +26.7%</t>
        </is>
      </c>
      <c r="Y3412" s="7" t="inlineStr"/>
    </row>
    <row r="3413">
      <c r="A3413" s="7" t="n">
        <v>579301</v>
      </c>
      <c r="B3413" s="12" t="inlineStr"/>
      <c r="C3413" s="7" t="inlineStr">
        <is>
          <t>PRESERV BLOWTEX MORANGO C/3UN (BLO)</t>
        </is>
      </c>
      <c r="D3413" s="7" t="inlineStr">
        <is>
          <t>PRESERVATIVOS</t>
        </is>
      </c>
      <c r="E3413" s="7" t="inlineStr">
        <is>
          <t>A</t>
        </is>
      </c>
      <c r="F3413" s="13" t="n">
        <v>11</v>
      </c>
      <c r="G3413" s="13" t="n">
        <v>11</v>
      </c>
      <c r="H3413" s="8" t="n">
        <v>4.39</v>
      </c>
      <c r="I3413" s="8" t="n">
        <v>4.29</v>
      </c>
      <c r="J3413" s="8" t="n">
        <v>4.356666666666666</v>
      </c>
      <c r="K3413" s="8" t="n"/>
      <c r="L3413" s="8" t="n"/>
      <c r="M3413" s="8" t="n"/>
      <c r="N3413" s="8" t="n"/>
      <c r="O3413" s="8" t="n"/>
      <c r="P3413" s="8" t="n"/>
      <c r="Q3413" s="8" t="n"/>
      <c r="R3413" s="8" t="n"/>
      <c r="S3413" s="8" t="n"/>
      <c r="T3413" s="7" t="inlineStr">
        <is>
          <t>SEM COTAÇÃO</t>
        </is>
      </c>
      <c r="U3413" s="8" t="n"/>
      <c r="V3413" s="14" t="n"/>
      <c r="W3413" s="14" t="n"/>
      <c r="X3413" s="7" t="inlineStr"/>
      <c r="Y3413" s="7" t="inlineStr"/>
    </row>
    <row r="3414">
      <c r="A3414" s="7" t="n">
        <v>632781</v>
      </c>
      <c r="B3414" s="12" t="inlineStr">
        <is>
          <t>7896007202720</t>
        </is>
      </c>
      <c r="C3414" s="7" t="inlineStr">
        <is>
          <t>PRESERV BLOWTEX SENS EXTRA FINO 3UN</t>
        </is>
      </c>
      <c r="D3414" s="7" t="inlineStr">
        <is>
          <t>PRESERVATIVOS</t>
        </is>
      </c>
      <c r="E3414" s="7" t="inlineStr">
        <is>
          <t>B</t>
        </is>
      </c>
      <c r="F3414" s="13" t="n">
        <v>3</v>
      </c>
      <c r="G3414" s="13" t="n">
        <v>3</v>
      </c>
      <c r="H3414" s="8" t="n">
        <v>7.79</v>
      </c>
      <c r="I3414" s="8" t="n">
        <v>7.16</v>
      </c>
      <c r="J3414" s="8" t="n">
        <v>7.580000000000001</v>
      </c>
      <c r="K3414" s="8" t="n"/>
      <c r="L3414" s="8" t="n">
        <v>8.75</v>
      </c>
      <c r="M3414" s="8" t="n"/>
      <c r="N3414" s="15" t="n">
        <v>8.1</v>
      </c>
      <c r="O3414" s="8" t="n"/>
      <c r="P3414" s="8" t="n">
        <v>8.949</v>
      </c>
      <c r="Q3414" s="8" t="n"/>
      <c r="R3414" s="8" t="n"/>
      <c r="S3414" s="8" t="n"/>
      <c r="T3414" s="7" t="inlineStr">
        <is>
          <t>CENTROFARMA</t>
        </is>
      </c>
      <c r="U3414" s="8" t="n">
        <v>8.1</v>
      </c>
      <c r="V3414" s="14">
        <f>U3414/J3414-1</f>
        <v/>
      </c>
      <c r="W3414" s="14">
        <f>U3414/H3414-1</f>
        <v/>
      </c>
      <c r="X3414" s="16" t="inlineStr">
        <is>
          <t>ACIMA +4.0%</t>
        </is>
      </c>
      <c r="Y3414" s="7" t="inlineStr"/>
    </row>
    <row r="3415">
      <c r="A3415" s="7" t="n">
        <v>579381</v>
      </c>
      <c r="B3415" s="12" t="inlineStr">
        <is>
          <t>7896007201358</t>
        </is>
      </c>
      <c r="C3415" s="7" t="inlineStr">
        <is>
          <t>PRESERV BLOWTEX SKYN ELITE C/3UN</t>
        </is>
      </c>
      <c r="D3415" s="7" t="inlineStr">
        <is>
          <t>PRESERVATIVOS</t>
        </is>
      </c>
      <c r="E3415" s="7" t="inlineStr">
        <is>
          <t>C</t>
        </is>
      </c>
      <c r="F3415" s="13" t="n">
        <v>2</v>
      </c>
      <c r="G3415" s="13" t="n">
        <v>2</v>
      </c>
      <c r="H3415" s="8" t="n">
        <v>8.91</v>
      </c>
      <c r="I3415" s="8" t="n">
        <v>8.91</v>
      </c>
      <c r="J3415" s="8" t="n">
        <v>8.91</v>
      </c>
      <c r="K3415" s="8" t="n"/>
      <c r="L3415" s="8" t="n">
        <v>12.49</v>
      </c>
      <c r="M3415" s="8" t="n"/>
      <c r="N3415" s="15" t="n">
        <v>11.97</v>
      </c>
      <c r="O3415" s="8" t="n"/>
      <c r="P3415" s="8" t="n">
        <v>13.148</v>
      </c>
      <c r="Q3415" s="8" t="n"/>
      <c r="R3415" s="8" t="n"/>
      <c r="S3415" s="8" t="n"/>
      <c r="T3415" s="7" t="inlineStr">
        <is>
          <t>CENTROFARMA</t>
        </is>
      </c>
      <c r="U3415" s="8" t="n">
        <v>11.97</v>
      </c>
      <c r="V3415" s="14">
        <f>U3415/J3415-1</f>
        <v/>
      </c>
      <c r="W3415" s="14">
        <f>U3415/H3415-1</f>
        <v/>
      </c>
      <c r="X3415" s="16" t="inlineStr">
        <is>
          <t>ACIMA +34.3%</t>
        </is>
      </c>
      <c r="Y3415" s="7" t="inlineStr"/>
    </row>
    <row r="3416">
      <c r="A3416" s="7" t="n">
        <v>641781</v>
      </c>
      <c r="B3416" s="12" t="inlineStr">
        <is>
          <t>7896007201297</t>
        </is>
      </c>
      <c r="C3416" s="7" t="inlineStr">
        <is>
          <t>PRESERV BLOWTEX SKYN TEXTURIZADO 3UN</t>
        </is>
      </c>
      <c r="D3416" s="7" t="inlineStr">
        <is>
          <t>PRESERVATIVOS</t>
        </is>
      </c>
      <c r="E3416" s="7" t="inlineStr">
        <is>
          <t>B</t>
        </is>
      </c>
      <c r="F3416" s="13" t="n">
        <v>4</v>
      </c>
      <c r="G3416" s="13" t="n">
        <v>4</v>
      </c>
      <c r="H3416" s="8" t="n">
        <v>11.39</v>
      </c>
      <c r="I3416" s="8" t="n">
        <v>10.69</v>
      </c>
      <c r="J3416" s="8" t="n">
        <v>11.15666666666667</v>
      </c>
      <c r="K3416" s="8" t="n"/>
      <c r="L3416" s="8" t="n">
        <v>12.49</v>
      </c>
      <c r="M3416" s="8" t="n"/>
      <c r="N3416" s="15" t="n">
        <v>11.97</v>
      </c>
      <c r="O3416" s="8" t="n"/>
      <c r="P3416" s="8" t="n">
        <v>13.148</v>
      </c>
      <c r="Q3416" s="8" t="n"/>
      <c r="R3416" s="8" t="n"/>
      <c r="S3416" s="8" t="n"/>
      <c r="T3416" s="7" t="inlineStr">
        <is>
          <t>CENTROFARMA</t>
        </is>
      </c>
      <c r="U3416" s="8" t="n">
        <v>11.97</v>
      </c>
      <c r="V3416" s="14">
        <f>U3416/J3416-1</f>
        <v/>
      </c>
      <c r="W3416" s="14">
        <f>U3416/H3416-1</f>
        <v/>
      </c>
      <c r="X3416" s="16" t="inlineStr">
        <is>
          <t>ACIMA +5.1%</t>
        </is>
      </c>
      <c r="Y3416" s="7" t="inlineStr"/>
    </row>
    <row r="3417">
      <c r="A3417" s="7" t="n">
        <v>579321</v>
      </c>
      <c r="B3417" s="12" t="inlineStr">
        <is>
          <t>7896007200368</t>
        </is>
      </c>
      <c r="C3417" s="7" t="inlineStr">
        <is>
          <t>PRESERV BLOWTEX TUTTI-FRUTTI C/3UN (BLO)</t>
        </is>
      </c>
      <c r="D3417" s="7" t="inlineStr">
        <is>
          <t>PRESERVATIVOS</t>
        </is>
      </c>
      <c r="E3417" s="7" t="inlineStr">
        <is>
          <t>B</t>
        </is>
      </c>
      <c r="F3417" s="13" t="n">
        <v>3</v>
      </c>
      <c r="G3417" s="13" t="n">
        <v>3</v>
      </c>
      <c r="H3417" s="8" t="n">
        <v>4.288</v>
      </c>
      <c r="I3417" s="8" t="n">
        <v>4.288</v>
      </c>
      <c r="J3417" s="8" t="n">
        <v>4.288</v>
      </c>
      <c r="K3417" s="8" t="n"/>
      <c r="L3417" s="8" t="n">
        <v>5.29</v>
      </c>
      <c r="M3417" s="8" t="n"/>
      <c r="N3417" s="15" t="n">
        <v>4.98</v>
      </c>
      <c r="O3417" s="8" t="n"/>
      <c r="P3417" s="8" t="n">
        <v>5.757</v>
      </c>
      <c r="Q3417" s="8" t="n"/>
      <c r="R3417" s="8" t="n"/>
      <c r="S3417" s="8" t="n"/>
      <c r="T3417" s="7" t="inlineStr">
        <is>
          <t>CENTROFARMA</t>
        </is>
      </c>
      <c r="U3417" s="8" t="n">
        <v>4.98</v>
      </c>
      <c r="V3417" s="14">
        <f>U3417/J3417-1</f>
        <v/>
      </c>
      <c r="W3417" s="14">
        <f>U3417/H3417-1</f>
        <v/>
      </c>
      <c r="X3417" s="16" t="inlineStr">
        <is>
          <t>ACIMA +16.1%</t>
        </is>
      </c>
      <c r="Y3417" s="7" t="inlineStr"/>
    </row>
    <row r="3418">
      <c r="A3418" s="7" t="n">
        <v>595581</v>
      </c>
      <c r="B3418" s="12" t="inlineStr"/>
      <c r="C3418" s="7" t="inlineStr">
        <is>
          <t>PRESERV PRUDENCE CHICLETE 3UN</t>
        </is>
      </c>
      <c r="D3418" s="7" t="inlineStr">
        <is>
          <t>PRESERVATIVOS</t>
        </is>
      </c>
      <c r="E3418" s="7" t="inlineStr">
        <is>
          <t>A</t>
        </is>
      </c>
      <c r="F3418" s="13" t="n">
        <v>6</v>
      </c>
      <c r="G3418" s="13" t="n">
        <v>6</v>
      </c>
      <c r="H3418" s="8" t="n">
        <v>4.95</v>
      </c>
      <c r="I3418" s="8" t="n">
        <v>4.92</v>
      </c>
      <c r="J3418" s="8" t="n">
        <v>4.930000000000001</v>
      </c>
      <c r="K3418" s="8" t="n"/>
      <c r="L3418" s="8" t="n"/>
      <c r="M3418" s="8" t="n"/>
      <c r="N3418" s="8" t="n"/>
      <c r="O3418" s="8" t="n"/>
      <c r="P3418" s="8" t="n"/>
      <c r="Q3418" s="8" t="n"/>
      <c r="R3418" s="8" t="n"/>
      <c r="S3418" s="8" t="n"/>
      <c r="T3418" s="7" t="inlineStr">
        <is>
          <t>SEM COTAÇÃO</t>
        </is>
      </c>
      <c r="U3418" s="8" t="n"/>
      <c r="V3418" s="14" t="n"/>
      <c r="W3418" s="14" t="n"/>
      <c r="X3418" s="7" t="inlineStr"/>
      <c r="Y3418" s="7" t="inlineStr"/>
    </row>
    <row r="3419">
      <c r="A3419" s="7" t="n">
        <v>595671</v>
      </c>
      <c r="B3419" s="12" t="inlineStr">
        <is>
          <t>7898079006404</t>
        </is>
      </c>
      <c r="C3419" s="7" t="inlineStr">
        <is>
          <t>PRESERV PRUDENCE EF RET 8 OF</t>
        </is>
      </c>
      <c r="D3419" s="7" t="inlineStr">
        <is>
          <t>PRESERVATIVOS</t>
        </is>
      </c>
      <c r="E3419" s="7" t="inlineStr">
        <is>
          <t>A</t>
        </is>
      </c>
      <c r="F3419" s="13" t="n">
        <v>3</v>
      </c>
      <c r="G3419" s="13" t="n">
        <v>3</v>
      </c>
      <c r="H3419" s="8" t="n">
        <v>12.99</v>
      </c>
      <c r="I3419" s="8" t="n">
        <v>12.99</v>
      </c>
      <c r="J3419" s="8" t="n">
        <v>12.99</v>
      </c>
      <c r="K3419" s="8" t="n"/>
      <c r="L3419" s="8" t="n"/>
      <c r="M3419" s="8" t="n"/>
      <c r="N3419" s="8" t="n">
        <v>14.79</v>
      </c>
      <c r="O3419" s="8" t="n"/>
      <c r="P3419" s="15" t="n">
        <v>14.7725</v>
      </c>
      <c r="Q3419" s="8" t="n"/>
      <c r="R3419" s="8" t="n"/>
      <c r="S3419" s="8" t="n"/>
      <c r="T3419" s="7" t="inlineStr">
        <is>
          <t>NAZARIA</t>
        </is>
      </c>
      <c r="U3419" s="8" t="n">
        <v>14.7725</v>
      </c>
      <c r="V3419" s="14">
        <f>U3419/J3419-1</f>
        <v/>
      </c>
      <c r="W3419" s="14">
        <f>U3419/H3419-1</f>
        <v/>
      </c>
      <c r="X3419" s="16" t="inlineStr">
        <is>
          <t>ACIMA +13.7%</t>
        </is>
      </c>
      <c r="Y3419" s="7" t="inlineStr"/>
    </row>
    <row r="3420">
      <c r="A3420" s="7" t="n">
        <v>595661</v>
      </c>
      <c r="B3420" s="12" t="inlineStr">
        <is>
          <t>7898079000433</t>
        </is>
      </c>
      <c r="C3420" s="7" t="inlineStr">
        <is>
          <t>PRESERV PRUDENCE EG US 8 OF</t>
        </is>
      </c>
      <c r="D3420" s="7" t="inlineStr">
        <is>
          <t>PRESERVATIVOS</t>
        </is>
      </c>
      <c r="E3420" s="7" t="inlineStr">
        <is>
          <t>B</t>
        </is>
      </c>
      <c r="F3420" s="13" t="n">
        <v>4</v>
      </c>
      <c r="G3420" s="13" t="n">
        <v>4</v>
      </c>
      <c r="H3420" s="8" t="n">
        <v>11.88</v>
      </c>
      <c r="I3420" s="8" t="n">
        <v>11.88</v>
      </c>
      <c r="J3420" s="8" t="n">
        <v>11.88</v>
      </c>
      <c r="K3420" s="8" t="n"/>
      <c r="L3420" s="8" t="n"/>
      <c r="M3420" s="8" t="n"/>
      <c r="N3420" s="8" t="n">
        <v>13.71</v>
      </c>
      <c r="O3420" s="8" t="n"/>
      <c r="P3420" s="15" t="n">
        <v>13.4995</v>
      </c>
      <c r="Q3420" s="8" t="n"/>
      <c r="R3420" s="8" t="n"/>
      <c r="S3420" s="8" t="n"/>
      <c r="T3420" s="7" t="inlineStr">
        <is>
          <t>NAZARIA</t>
        </is>
      </c>
      <c r="U3420" s="8" t="n">
        <v>13.4995</v>
      </c>
      <c r="V3420" s="14">
        <f>U3420/J3420-1</f>
        <v/>
      </c>
      <c r="W3420" s="14">
        <f>U3420/H3420-1</f>
        <v/>
      </c>
      <c r="X3420" s="16" t="inlineStr">
        <is>
          <t>ACIMA +13.6%</t>
        </is>
      </c>
      <c r="Y3420" s="7" t="inlineStr"/>
    </row>
    <row r="3421">
      <c r="A3421" s="7" t="n">
        <v>595641</v>
      </c>
      <c r="B3421" s="12" t="inlineStr">
        <is>
          <t>7898079006770</t>
        </is>
      </c>
      <c r="C3421" s="7" t="inlineStr">
        <is>
          <t>PRESERV PRUDENCE MIX 6X8 OF</t>
        </is>
      </c>
      <c r="D3421" s="7" t="inlineStr">
        <is>
          <t>PRESERVATIVOS</t>
        </is>
      </c>
      <c r="E3421" s="7" t="inlineStr">
        <is>
          <t>C</t>
        </is>
      </c>
      <c r="F3421" s="13" t="n">
        <v>2</v>
      </c>
      <c r="G3421" s="13" t="n">
        <v>2</v>
      </c>
      <c r="H3421" s="8" t="n">
        <v>8.539999999999999</v>
      </c>
      <c r="I3421" s="8" t="n">
        <v>8.539999999999999</v>
      </c>
      <c r="J3421" s="8" t="n">
        <v>8.539999999999999</v>
      </c>
      <c r="K3421" s="8" t="n"/>
      <c r="L3421" s="8" t="n"/>
      <c r="M3421" s="8" t="n"/>
      <c r="N3421" s="15" t="n">
        <v>9.81</v>
      </c>
      <c r="O3421" s="8" t="n"/>
      <c r="P3421" s="8" t="n">
        <v>9.6995</v>
      </c>
      <c r="Q3421" s="8" t="n"/>
      <c r="R3421" s="8" t="n"/>
      <c r="S3421" s="8" t="n"/>
      <c r="T3421" s="7" t="inlineStr">
        <is>
          <t>CENTROFARMA</t>
        </is>
      </c>
      <c r="U3421" s="8" t="n">
        <v>9.81</v>
      </c>
      <c r="V3421" s="14">
        <f>U3421/J3421-1</f>
        <v/>
      </c>
      <c r="W3421" s="14">
        <f>U3421/H3421-1</f>
        <v/>
      </c>
      <c r="X3421" s="16" t="inlineStr">
        <is>
          <t>ACIMA +14.9%</t>
        </is>
      </c>
      <c r="Y3421" s="7" t="inlineStr">
        <is>
          <t>NAZARIA: sem estoque</t>
        </is>
      </c>
    </row>
    <row r="3422">
      <c r="A3422" s="7" t="n">
        <v>595621</v>
      </c>
      <c r="B3422" s="12" t="inlineStr">
        <is>
          <t>7898079000358</t>
        </is>
      </c>
      <c r="C3422" s="7" t="inlineStr">
        <is>
          <t>PRESERV PRUDENCE T FRUTTI 12UN</t>
        </is>
      </c>
      <c r="D3422" s="7" t="inlineStr">
        <is>
          <t>PRESERVATIVOS</t>
        </is>
      </c>
      <c r="E3422" s="7" t="inlineStr">
        <is>
          <t>B</t>
        </is>
      </c>
      <c r="F3422" s="13" t="n">
        <v>1</v>
      </c>
      <c r="G3422" s="13" t="n">
        <v>1</v>
      </c>
      <c r="H3422" s="8" t="n">
        <v>5.13</v>
      </c>
      <c r="I3422" s="8" t="n">
        <v>4.97</v>
      </c>
      <c r="J3422" s="8" t="n">
        <v>4.976666666666667</v>
      </c>
      <c r="K3422" s="8" t="n"/>
      <c r="L3422" s="8" t="n"/>
      <c r="M3422" s="8" t="n"/>
      <c r="N3422" s="15" t="n">
        <v>4.18</v>
      </c>
      <c r="O3422" s="8" t="n"/>
      <c r="P3422" s="8" t="n">
        <v>5.7</v>
      </c>
      <c r="Q3422" s="8" t="n"/>
      <c r="R3422" s="8" t="n"/>
      <c r="S3422" s="8" t="n"/>
      <c r="T3422" s="7" t="inlineStr">
        <is>
          <t>CENTROFARMA</t>
        </is>
      </c>
      <c r="U3422" s="8" t="n">
        <v>4.18</v>
      </c>
      <c r="V3422" s="14">
        <f>U3422/J3422-1</f>
        <v/>
      </c>
      <c r="W3422" s="14">
        <f>U3422/H3422-1</f>
        <v/>
      </c>
      <c r="X3422" s="17" t="inlineStr">
        <is>
          <t>OK (≤ menor hist.)</t>
        </is>
      </c>
      <c r="Y3422" s="7" t="inlineStr"/>
    </row>
    <row r="3423">
      <c r="A3423" s="7" t="n">
        <v>595611</v>
      </c>
      <c r="B3423" s="12" t="inlineStr">
        <is>
          <t>7898079002963</t>
        </is>
      </c>
      <c r="C3423" s="7" t="inlineStr">
        <is>
          <t>PRESERV PRUDENCE ULT S 6X8 OF</t>
        </is>
      </c>
      <c r="D3423" s="7" t="inlineStr">
        <is>
          <t>PRESERVATIVOS</t>
        </is>
      </c>
      <c r="E3423" s="7" t="inlineStr">
        <is>
          <t>A</t>
        </is>
      </c>
      <c r="F3423" s="13" t="n">
        <v>7</v>
      </c>
      <c r="G3423" s="13" t="n">
        <v>7</v>
      </c>
      <c r="H3423" s="8" t="n">
        <v>9.99</v>
      </c>
      <c r="I3423" s="8" t="n">
        <v>9.69</v>
      </c>
      <c r="J3423" s="8" t="n">
        <v>9.69</v>
      </c>
      <c r="K3423" s="8" t="n"/>
      <c r="L3423" s="8" t="n"/>
      <c r="M3423" s="8" t="n"/>
      <c r="N3423" s="15" t="n">
        <v>10.52</v>
      </c>
      <c r="O3423" s="8" t="n"/>
      <c r="P3423" s="8" t="n">
        <v>11.4</v>
      </c>
      <c r="Q3423" s="8" t="n"/>
      <c r="R3423" s="8" t="n"/>
      <c r="S3423" s="8" t="n"/>
      <c r="T3423" s="7" t="inlineStr">
        <is>
          <t>CENTROFARMA</t>
        </is>
      </c>
      <c r="U3423" s="8" t="n">
        <v>10.52</v>
      </c>
      <c r="V3423" s="14">
        <f>U3423/J3423-1</f>
        <v/>
      </c>
      <c r="W3423" s="14">
        <f>U3423/H3423-1</f>
        <v/>
      </c>
      <c r="X3423" s="16" t="inlineStr">
        <is>
          <t>ACIMA +5.3%</t>
        </is>
      </c>
      <c r="Y3423" s="7" t="inlineStr"/>
    </row>
    <row r="3424">
      <c r="A3424" s="7" t="n">
        <v>595601</v>
      </c>
      <c r="B3424" s="12" t="inlineStr">
        <is>
          <t>7898079000136</t>
        </is>
      </c>
      <c r="C3424" s="7" t="inlineStr">
        <is>
          <t>PRESERV PRUDENCE ULTRA S 3UN</t>
        </is>
      </c>
      <c r="D3424" s="7" t="inlineStr">
        <is>
          <t>PRESERVATIVOS</t>
        </is>
      </c>
      <c r="E3424" s="7" t="inlineStr">
        <is>
          <t>C</t>
        </is>
      </c>
      <c r="F3424" s="13" t="n">
        <v>2</v>
      </c>
      <c r="G3424" s="13" t="n">
        <v>2</v>
      </c>
      <c r="H3424" s="8" t="n">
        <v>5.89</v>
      </c>
      <c r="I3424" s="8" t="n">
        <v>5.89</v>
      </c>
      <c r="J3424" s="8" t="n">
        <v>5.89</v>
      </c>
      <c r="K3424" s="8" t="n"/>
      <c r="L3424" s="8" t="n"/>
      <c r="M3424" s="8" t="n"/>
      <c r="N3424" s="15" t="n">
        <v>6.6</v>
      </c>
      <c r="O3424" s="8" t="n"/>
      <c r="P3424" s="8" t="n">
        <v>6.6975</v>
      </c>
      <c r="Q3424" s="8" t="n"/>
      <c r="R3424" s="8" t="n"/>
      <c r="S3424" s="8" t="n"/>
      <c r="T3424" s="7" t="inlineStr">
        <is>
          <t>CENTROFARMA</t>
        </is>
      </c>
      <c r="U3424" s="8" t="n">
        <v>6.6</v>
      </c>
      <c r="V3424" s="14">
        <f>U3424/J3424-1</f>
        <v/>
      </c>
      <c r="W3424" s="14">
        <f>U3424/H3424-1</f>
        <v/>
      </c>
      <c r="X3424" s="16" t="inlineStr">
        <is>
          <t>ACIMA +12.1%</t>
        </is>
      </c>
      <c r="Y3424" s="7" t="inlineStr"/>
    </row>
    <row r="3425">
      <c r="A3425" s="7" t="n">
        <v>669391</v>
      </c>
      <c r="B3425" s="12" t="inlineStr">
        <is>
          <t>7898936965431</t>
        </is>
      </c>
      <c r="C3425" s="7" t="inlineStr">
        <is>
          <t>PRESERV SEXFREE ACAI C/3</t>
        </is>
      </c>
      <c r="D3425" s="7" t="inlineStr">
        <is>
          <t>PRESERVATIVOS</t>
        </is>
      </c>
      <c r="E3425" s="7" t="inlineStr">
        <is>
          <t>C</t>
        </is>
      </c>
      <c r="F3425" s="13" t="n">
        <v>2</v>
      </c>
      <c r="G3425" s="13" t="n">
        <v>2</v>
      </c>
      <c r="H3425" s="8" t="n">
        <v>1.98</v>
      </c>
      <c r="I3425" s="8" t="n">
        <v>1.88</v>
      </c>
      <c r="J3425" s="8" t="n">
        <v>1.946666666666667</v>
      </c>
      <c r="K3425" s="8" t="n"/>
      <c r="L3425" s="8" t="n"/>
      <c r="M3425" s="8" t="n"/>
      <c r="N3425" s="8" t="n"/>
      <c r="O3425" s="8" t="n"/>
      <c r="P3425" s="8" t="n"/>
      <c r="Q3425" s="8" t="n"/>
      <c r="R3425" s="8" t="n"/>
      <c r="S3425" s="8" t="n"/>
      <c r="T3425" s="7" t="inlineStr">
        <is>
          <t>SEM COTAÇÃO</t>
        </is>
      </c>
      <c r="U3425" s="8" t="n"/>
      <c r="V3425" s="14" t="n"/>
      <c r="W3425" s="14" t="n"/>
      <c r="X3425" s="7" t="inlineStr"/>
      <c r="Y3425" s="7" t="inlineStr"/>
    </row>
    <row r="3426">
      <c r="A3426" s="7" t="n">
        <v>662531</v>
      </c>
      <c r="B3426" s="12" t="inlineStr">
        <is>
          <t>7898936965042</t>
        </is>
      </c>
      <c r="C3426" s="7" t="inlineStr">
        <is>
          <t>PRESERV SEXFREE BASIC LUBRIFIC</t>
        </is>
      </c>
      <c r="D3426" s="7" t="inlineStr">
        <is>
          <t>PRESERVATIVOS</t>
        </is>
      </c>
      <c r="E3426" s="7" t="inlineStr">
        <is>
          <t>C</t>
        </is>
      </c>
      <c r="F3426" s="13" t="n">
        <v>10</v>
      </c>
      <c r="G3426" s="13" t="n">
        <v>10</v>
      </c>
      <c r="H3426" s="8" t="n">
        <v>1.98</v>
      </c>
      <c r="I3426" s="8" t="n">
        <v>1.88</v>
      </c>
      <c r="J3426" s="8" t="n">
        <v>1.946666666666667</v>
      </c>
      <c r="K3426" s="8" t="n"/>
      <c r="L3426" s="8" t="n"/>
      <c r="M3426" s="8" t="n"/>
      <c r="N3426" s="8" t="n"/>
      <c r="O3426" s="8" t="n"/>
      <c r="P3426" s="8" t="n"/>
      <c r="Q3426" s="8" t="n"/>
      <c r="R3426" s="8" t="n"/>
      <c r="S3426" s="8" t="n"/>
      <c r="T3426" s="7" t="inlineStr">
        <is>
          <t>SEM COTAÇÃO</t>
        </is>
      </c>
      <c r="U3426" s="8" t="n"/>
      <c r="V3426" s="14" t="n"/>
      <c r="W3426" s="14" t="n"/>
      <c r="X3426" s="7" t="inlineStr"/>
      <c r="Y3426" s="7" t="inlineStr"/>
    </row>
    <row r="3427">
      <c r="A3427" s="7" t="n">
        <v>669401</v>
      </c>
      <c r="B3427" s="12" t="inlineStr">
        <is>
          <t>7898936965196</t>
        </is>
      </c>
      <c r="C3427" s="7" t="inlineStr">
        <is>
          <t>PRESERV SEXFREE EXCITING C/3</t>
        </is>
      </c>
      <c r="D3427" s="7" t="inlineStr">
        <is>
          <t>PRESERVATIVOS</t>
        </is>
      </c>
      <c r="E3427" s="7" t="inlineStr">
        <is>
          <t>B</t>
        </is>
      </c>
      <c r="F3427" s="13" t="n">
        <v>2</v>
      </c>
      <c r="G3427" s="13" t="n">
        <v>2</v>
      </c>
      <c r="H3427" s="8" t="n">
        <v>4.56</v>
      </c>
      <c r="I3427" s="8" t="n">
        <v>4.52</v>
      </c>
      <c r="J3427" s="8" t="n">
        <v>4.546666666666666</v>
      </c>
      <c r="K3427" s="8" t="n"/>
      <c r="L3427" s="8" t="n"/>
      <c r="M3427" s="8" t="n"/>
      <c r="N3427" s="8" t="n"/>
      <c r="O3427" s="8" t="n"/>
      <c r="P3427" s="8" t="n"/>
      <c r="Q3427" s="8" t="n"/>
      <c r="R3427" s="8" t="n"/>
      <c r="S3427" s="8" t="n"/>
      <c r="T3427" s="7" t="inlineStr">
        <is>
          <t>SEM COTAÇÃO</t>
        </is>
      </c>
      <c r="U3427" s="8" t="n"/>
      <c r="V3427" s="14" t="n"/>
      <c r="W3427" s="14" t="n"/>
      <c r="X3427" s="7" t="inlineStr"/>
      <c r="Y3427" s="7" t="inlineStr"/>
    </row>
    <row r="3428">
      <c r="A3428" s="7" t="n">
        <v>669411</v>
      </c>
      <c r="B3428" s="12" t="inlineStr">
        <is>
          <t>7898936965134</t>
        </is>
      </c>
      <c r="C3428" s="7" t="inlineStr">
        <is>
          <t>PRESERV SEXFREE EXTRA LARGE C/3</t>
        </is>
      </c>
      <c r="D3428" s="7" t="inlineStr">
        <is>
          <t>PRESERVATIVOS</t>
        </is>
      </c>
      <c r="E3428" s="7" t="inlineStr">
        <is>
          <t>B</t>
        </is>
      </c>
      <c r="F3428" s="13" t="n">
        <v>3</v>
      </c>
      <c r="G3428" s="13" t="n">
        <v>3</v>
      </c>
      <c r="H3428" s="8" t="n">
        <v>3.81</v>
      </c>
      <c r="I3428" s="8" t="n">
        <v>3.76</v>
      </c>
      <c r="J3428" s="8" t="n">
        <v>3.793333333333333</v>
      </c>
      <c r="K3428" s="8" t="n"/>
      <c r="L3428" s="8" t="n"/>
      <c r="M3428" s="8" t="n"/>
      <c r="N3428" s="8" t="n"/>
      <c r="O3428" s="8" t="n"/>
      <c r="P3428" s="8" t="n"/>
      <c r="Q3428" s="8" t="n"/>
      <c r="R3428" s="8" t="n"/>
      <c r="S3428" s="8" t="n"/>
      <c r="T3428" s="7" t="inlineStr">
        <is>
          <t>SEM COTAÇÃO</t>
        </is>
      </c>
      <c r="U3428" s="8" t="n"/>
      <c r="V3428" s="14" t="n"/>
      <c r="W3428" s="14" t="n"/>
      <c r="X3428" s="7" t="inlineStr"/>
      <c r="Y3428" s="7" t="inlineStr"/>
    </row>
    <row r="3429">
      <c r="A3429" s="7" t="n">
        <v>669421</v>
      </c>
      <c r="B3429" s="12" t="inlineStr">
        <is>
          <t>7898936965257</t>
        </is>
      </c>
      <c r="C3429" s="7" t="inlineStr">
        <is>
          <t>PRESERV SEXFREE MENTA C/3</t>
        </is>
      </c>
      <c r="D3429" s="7" t="inlineStr">
        <is>
          <t>PRESERVATIVOS</t>
        </is>
      </c>
      <c r="E3429" s="7" t="inlineStr">
        <is>
          <t>C</t>
        </is>
      </c>
      <c r="F3429" s="13" t="n">
        <v>7</v>
      </c>
      <c r="G3429" s="13" t="n">
        <v>7</v>
      </c>
      <c r="H3429" s="8" t="n">
        <v>1.98</v>
      </c>
      <c r="I3429" s="8" t="n">
        <v>1.88</v>
      </c>
      <c r="J3429" s="8" t="n">
        <v>1.946666666666667</v>
      </c>
      <c r="K3429" s="8" t="n"/>
      <c r="L3429" s="8" t="n"/>
      <c r="M3429" s="8" t="n"/>
      <c r="N3429" s="8" t="n"/>
      <c r="O3429" s="8" t="n"/>
      <c r="P3429" s="8" t="n"/>
      <c r="Q3429" s="8" t="n"/>
      <c r="R3429" s="8" t="n"/>
      <c r="S3429" s="8" t="n"/>
      <c r="T3429" s="7" t="inlineStr">
        <is>
          <t>SEM COTAÇÃO</t>
        </is>
      </c>
      <c r="U3429" s="8" t="n"/>
      <c r="V3429" s="14" t="n"/>
      <c r="W3429" s="14" t="n"/>
      <c r="X3429" s="7" t="inlineStr"/>
      <c r="Y3429" s="7" t="inlineStr"/>
    </row>
    <row r="3430">
      <c r="A3430" s="7" t="n">
        <v>662561</v>
      </c>
      <c r="B3430" s="12" t="inlineStr">
        <is>
          <t>7898936965226</t>
        </is>
      </c>
      <c r="C3430" s="7" t="inlineStr">
        <is>
          <t>PRESERV SEXFREE MORANGO</t>
        </is>
      </c>
      <c r="D3430" s="7" t="inlineStr">
        <is>
          <t>PRESERVATIVOS</t>
        </is>
      </c>
      <c r="E3430" s="7" t="inlineStr">
        <is>
          <t>C</t>
        </is>
      </c>
      <c r="F3430" s="13" t="n">
        <v>9</v>
      </c>
      <c r="G3430" s="13" t="n">
        <v>9</v>
      </c>
      <c r="H3430" s="8" t="n">
        <v>1.98</v>
      </c>
      <c r="I3430" s="8" t="n">
        <v>1.88</v>
      </c>
      <c r="J3430" s="8" t="n">
        <v>1.946666666666667</v>
      </c>
      <c r="K3430" s="8" t="n"/>
      <c r="L3430" s="8" t="n"/>
      <c r="M3430" s="8" t="n"/>
      <c r="N3430" s="8" t="n"/>
      <c r="O3430" s="8" t="n"/>
      <c r="P3430" s="8" t="n"/>
      <c r="Q3430" s="8" t="n"/>
      <c r="R3430" s="8" t="n"/>
      <c r="S3430" s="8" t="n"/>
      <c r="T3430" s="7" t="inlineStr">
        <is>
          <t>SEM COTAÇÃO</t>
        </is>
      </c>
      <c r="U3430" s="8" t="n"/>
      <c r="V3430" s="14" t="n"/>
      <c r="W3430" s="14" t="n"/>
      <c r="X3430" s="7" t="inlineStr"/>
      <c r="Y3430" s="7" t="inlineStr"/>
    </row>
    <row r="3431">
      <c r="A3431" s="7" t="n">
        <v>662551</v>
      </c>
      <c r="B3431" s="12" t="inlineStr">
        <is>
          <t>7898936965073</t>
        </is>
      </c>
      <c r="C3431" s="7" t="inlineStr">
        <is>
          <t>PRESERV SEXFREE PROLONG</t>
        </is>
      </c>
      <c r="D3431" s="7" t="inlineStr">
        <is>
          <t>PRESERVATIVOS</t>
        </is>
      </c>
      <c r="E3431" s="7" t="inlineStr">
        <is>
          <t>B</t>
        </is>
      </c>
      <c r="F3431" s="13" t="n">
        <v>9</v>
      </c>
      <c r="G3431" s="13" t="n">
        <v>9</v>
      </c>
      <c r="H3431" s="8" t="n">
        <v>4.98</v>
      </c>
      <c r="I3431" s="8" t="n">
        <v>4.98</v>
      </c>
      <c r="J3431" s="8" t="n">
        <v>4.98</v>
      </c>
      <c r="K3431" s="8" t="n"/>
      <c r="L3431" s="8" t="n"/>
      <c r="M3431" s="8" t="n"/>
      <c r="N3431" s="8" t="n"/>
      <c r="O3431" s="8" t="n"/>
      <c r="P3431" s="8" t="n"/>
      <c r="Q3431" s="8" t="n"/>
      <c r="R3431" s="8" t="n"/>
      <c r="S3431" s="8" t="n"/>
      <c r="T3431" s="7" t="inlineStr">
        <is>
          <t>SEM COTAÇÃO</t>
        </is>
      </c>
      <c r="U3431" s="8" t="n"/>
      <c r="V3431" s="14" t="n"/>
      <c r="W3431" s="14" t="n"/>
      <c r="X3431" s="7" t="inlineStr"/>
      <c r="Y3431" s="7" t="inlineStr"/>
    </row>
    <row r="3432">
      <c r="A3432" s="7" t="n">
        <v>662541</v>
      </c>
      <c r="B3432" s="12" t="inlineStr">
        <is>
          <t>7898936965165</t>
        </is>
      </c>
      <c r="C3432" s="7" t="inlineStr">
        <is>
          <t>PRESERV SEXFREE SENSITIVE</t>
        </is>
      </c>
      <c r="D3432" s="7" t="inlineStr">
        <is>
          <t>PRESERVATIVOS</t>
        </is>
      </c>
      <c r="E3432" s="7" t="inlineStr">
        <is>
          <t>B</t>
        </is>
      </c>
      <c r="F3432" s="13" t="n">
        <v>9</v>
      </c>
      <c r="G3432" s="13" t="n">
        <v>9</v>
      </c>
      <c r="H3432" s="8" t="n">
        <v>4.29</v>
      </c>
      <c r="I3432" s="8" t="n">
        <v>4</v>
      </c>
      <c r="J3432" s="8" t="n">
        <v>4.193333333333333</v>
      </c>
      <c r="K3432" s="8" t="n"/>
      <c r="L3432" s="8" t="n"/>
      <c r="M3432" s="8" t="n"/>
      <c r="N3432" s="8" t="n"/>
      <c r="O3432" s="8" t="n"/>
      <c r="P3432" s="8" t="n"/>
      <c r="Q3432" s="8" t="n"/>
      <c r="R3432" s="8" t="n"/>
      <c r="S3432" s="8" t="n"/>
      <c r="T3432" s="7" t="inlineStr">
        <is>
          <t>SEM COTAÇÃO</t>
        </is>
      </c>
      <c r="U3432" s="8" t="n"/>
      <c r="V3432" s="14" t="n"/>
      <c r="W3432" s="14" t="n"/>
      <c r="X3432" s="7" t="inlineStr"/>
      <c r="Y3432" s="7" t="inlineStr"/>
    </row>
    <row r="3433">
      <c r="A3433" s="7" t="n">
        <v>669431</v>
      </c>
      <c r="B3433" s="12" t="inlineStr">
        <is>
          <t>7898936965400</t>
        </is>
      </c>
      <c r="C3433" s="7" t="inlineStr">
        <is>
          <t>PRESERV SEXFREE UVA C/3</t>
        </is>
      </c>
      <c r="D3433" s="7" t="inlineStr">
        <is>
          <t>PRESERVATIVOS</t>
        </is>
      </c>
      <c r="E3433" s="7" t="inlineStr">
        <is>
          <t>C</t>
        </is>
      </c>
      <c r="F3433" s="13" t="n">
        <v>4</v>
      </c>
      <c r="G3433" s="13" t="n">
        <v>4</v>
      </c>
      <c r="H3433" s="8" t="n">
        <v>1.98</v>
      </c>
      <c r="I3433" s="8" t="n">
        <v>1.88</v>
      </c>
      <c r="J3433" s="8" t="n">
        <v>1.946666666666667</v>
      </c>
      <c r="K3433" s="8" t="n"/>
      <c r="L3433" s="8" t="n"/>
      <c r="M3433" s="8" t="n"/>
      <c r="N3433" s="8" t="n"/>
      <c r="O3433" s="8" t="n"/>
      <c r="P3433" s="8" t="n"/>
      <c r="Q3433" s="8" t="n"/>
      <c r="R3433" s="8" t="n"/>
      <c r="S3433" s="8" t="n"/>
      <c r="T3433" s="7" t="inlineStr">
        <is>
          <t>SEM COTAÇÃO</t>
        </is>
      </c>
      <c r="U3433" s="8" t="n"/>
      <c r="V3433" s="14" t="n"/>
      <c r="W3433" s="14" t="n"/>
      <c r="X3433" s="7" t="inlineStr"/>
      <c r="Y3433" s="7" t="inlineStr"/>
    </row>
    <row r="3434">
      <c r="A3434" s="7" t="n">
        <v>585221</v>
      </c>
      <c r="B3434" s="12" t="inlineStr">
        <is>
          <t>7896007200313</t>
        </is>
      </c>
      <c r="C3434" s="7" t="inlineStr">
        <is>
          <t>PRESERV. BLOWTEX LUB.12X3</t>
        </is>
      </c>
      <c r="D3434" s="7" t="inlineStr">
        <is>
          <t>PRESERVATIVOS</t>
        </is>
      </c>
      <c r="E3434" s="7" t="inlineStr">
        <is>
          <t>B</t>
        </is>
      </c>
      <c r="F3434" s="13" t="n">
        <v>4</v>
      </c>
      <c r="G3434" s="13" t="n">
        <v>4</v>
      </c>
      <c r="H3434" s="8" t="n">
        <v>4.02</v>
      </c>
      <c r="I3434" s="8" t="n">
        <v>3.99</v>
      </c>
      <c r="J3434" s="8" t="n">
        <v>3.99</v>
      </c>
      <c r="K3434" s="8" t="n"/>
      <c r="L3434" s="8" t="n">
        <v>4.35</v>
      </c>
      <c r="M3434" s="8" t="n"/>
      <c r="N3434" s="15" t="n">
        <v>4.23</v>
      </c>
      <c r="O3434" s="8" t="n"/>
      <c r="P3434" s="8" t="n">
        <v>4.806999999999999</v>
      </c>
      <c r="Q3434" s="8" t="n"/>
      <c r="R3434" s="8" t="n"/>
      <c r="S3434" s="8" t="n"/>
      <c r="T3434" s="7" t="inlineStr">
        <is>
          <t>CENTROFARMA</t>
        </is>
      </c>
      <c r="U3434" s="8" t="n">
        <v>4.23</v>
      </c>
      <c r="V3434" s="14">
        <f>U3434/J3434-1</f>
        <v/>
      </c>
      <c r="W3434" s="14">
        <f>U3434/H3434-1</f>
        <v/>
      </c>
      <c r="X3434" s="16" t="inlineStr">
        <is>
          <t>ACIMA +5.2%</t>
        </is>
      </c>
      <c r="Y3434" s="7" t="inlineStr"/>
    </row>
    <row r="3435">
      <c r="A3435" s="7" t="n">
        <v>585241</v>
      </c>
      <c r="B3435" s="12" t="inlineStr"/>
      <c r="C3435" s="7" t="inlineStr">
        <is>
          <t>PRESERV. BLOWTEX SKYN</t>
        </is>
      </c>
      <c r="D3435" s="7" t="inlineStr">
        <is>
          <t>PRESERVATIVOS</t>
        </is>
      </c>
      <c r="E3435" s="7" t="inlineStr">
        <is>
          <t>A</t>
        </is>
      </c>
      <c r="F3435" s="13" t="n">
        <v>6</v>
      </c>
      <c r="G3435" s="13" t="n">
        <v>6</v>
      </c>
      <c r="H3435" s="8" t="n">
        <v>9.550000000000001</v>
      </c>
      <c r="I3435" s="8" t="n">
        <v>9.51</v>
      </c>
      <c r="J3435" s="8" t="n">
        <v>9.536666666666667</v>
      </c>
      <c r="K3435" s="8" t="n"/>
      <c r="L3435" s="8" t="n"/>
      <c r="M3435" s="8" t="n"/>
      <c r="N3435" s="8" t="n"/>
      <c r="O3435" s="8" t="n"/>
      <c r="P3435" s="8" t="n"/>
      <c r="Q3435" s="8" t="n"/>
      <c r="R3435" s="8" t="n"/>
      <c r="S3435" s="8" t="n"/>
      <c r="T3435" s="7" t="inlineStr">
        <is>
          <t>SEM COTAÇÃO</t>
        </is>
      </c>
      <c r="U3435" s="8" t="n"/>
      <c r="V3435" s="14" t="n"/>
      <c r="W3435" s="14" t="n"/>
      <c r="X3435" s="7" t="inlineStr"/>
      <c r="Y3435" s="7" t="inlineStr"/>
    </row>
    <row r="3436">
      <c r="A3436" s="7" t="n">
        <v>585281</v>
      </c>
      <c r="B3436" s="12" t="inlineStr">
        <is>
          <t>7898079000129</t>
        </is>
      </c>
      <c r="C3436" s="7" t="inlineStr">
        <is>
          <t>PRESERV. PRUDENCE EF. RETA.12X3</t>
        </is>
      </c>
      <c r="D3436" s="7" t="inlineStr">
        <is>
          <t>PRESERVATIVOS</t>
        </is>
      </c>
      <c r="E3436" s="7" t="inlineStr">
        <is>
          <t>C</t>
        </is>
      </c>
      <c r="F3436" s="13" t="n">
        <v>1</v>
      </c>
      <c r="G3436" s="13" t="n">
        <v>1</v>
      </c>
      <c r="H3436" s="8" t="n">
        <v>7.57</v>
      </c>
      <c r="I3436" s="8" t="n">
        <v>7.57</v>
      </c>
      <c r="J3436" s="8" t="n">
        <v>7.57</v>
      </c>
      <c r="K3436" s="8" t="n"/>
      <c r="L3436" s="8" t="n"/>
      <c r="M3436" s="8" t="n"/>
      <c r="N3436" s="15" t="n">
        <v>8.460000000000001</v>
      </c>
      <c r="O3436" s="8" t="n"/>
      <c r="P3436" s="8" t="n">
        <v>8.968</v>
      </c>
      <c r="Q3436" s="8" t="n"/>
      <c r="R3436" s="8" t="n"/>
      <c r="S3436" s="8" t="n"/>
      <c r="T3436" s="7" t="inlineStr">
        <is>
          <t>CENTROFARMA</t>
        </is>
      </c>
      <c r="U3436" s="8" t="n">
        <v>8.460000000000001</v>
      </c>
      <c r="V3436" s="14">
        <f>U3436/J3436-1</f>
        <v/>
      </c>
      <c r="W3436" s="14">
        <f>U3436/H3436-1</f>
        <v/>
      </c>
      <c r="X3436" s="16" t="inlineStr">
        <is>
          <t>ACIMA +11.8%</t>
        </is>
      </c>
      <c r="Y3436" s="7" t="inlineStr"/>
    </row>
    <row r="3437">
      <c r="A3437" s="7" t="n">
        <v>585321</v>
      </c>
      <c r="B3437" s="12" t="inlineStr">
        <is>
          <t>7898079003021</t>
        </is>
      </c>
      <c r="C3437" s="7" t="inlineStr">
        <is>
          <t>PRESERV. PRUDENCE LUB.12X3</t>
        </is>
      </c>
      <c r="D3437" s="7" t="inlineStr">
        <is>
          <t>PRESERVATIVOS</t>
        </is>
      </c>
      <c r="E3437" s="7" t="inlineStr">
        <is>
          <t>B</t>
        </is>
      </c>
      <c r="F3437" s="13" t="n">
        <v>3</v>
      </c>
      <c r="G3437" s="13" t="n">
        <v>3</v>
      </c>
      <c r="H3437" s="8" t="n">
        <v>3.91</v>
      </c>
      <c r="I3437" s="8" t="n">
        <v>3.91</v>
      </c>
      <c r="J3437" s="8" t="n">
        <v>3.91</v>
      </c>
      <c r="K3437" s="8" t="n"/>
      <c r="L3437" s="8" t="n"/>
      <c r="M3437" s="8" t="n"/>
      <c r="N3437" s="15" t="n">
        <v>3.93</v>
      </c>
      <c r="O3437" s="8" t="n"/>
      <c r="P3437" s="8" t="n">
        <v>4.465</v>
      </c>
      <c r="Q3437" s="8" t="n"/>
      <c r="R3437" s="8" t="n"/>
      <c r="S3437" s="8" t="n"/>
      <c r="T3437" s="7" t="inlineStr">
        <is>
          <t>CENTROFARMA</t>
        </is>
      </c>
      <c r="U3437" s="8" t="n">
        <v>3.93</v>
      </c>
      <c r="V3437" s="14">
        <f>U3437/J3437-1</f>
        <v/>
      </c>
      <c r="W3437" s="14">
        <f>U3437/H3437-1</f>
        <v/>
      </c>
      <c r="X3437" s="16" t="inlineStr">
        <is>
          <t>ACIMA +0.5%</t>
        </is>
      </c>
      <c r="Y3437" s="7" t="inlineStr"/>
    </row>
    <row r="3438">
      <c r="A3438" s="7" t="n">
        <v>585341</v>
      </c>
      <c r="B3438" s="12" t="inlineStr">
        <is>
          <t>7898079000495</t>
        </is>
      </c>
      <c r="C3438" s="7" t="inlineStr">
        <is>
          <t>PRESERV. PRUDENCE MELANCIA 12X3</t>
        </is>
      </c>
      <c r="D3438" s="7" t="inlineStr">
        <is>
          <t>PRESERVATIVOS</t>
        </is>
      </c>
      <c r="E3438" s="7" t="inlineStr">
        <is>
          <t>B</t>
        </is>
      </c>
      <c r="F3438" s="13" t="n">
        <v>7</v>
      </c>
      <c r="G3438" s="13" t="n">
        <v>7</v>
      </c>
      <c r="H3438" s="8" t="n">
        <v>5.5</v>
      </c>
      <c r="I3438" s="8" t="n">
        <v>5.5</v>
      </c>
      <c r="J3438" s="8" t="n">
        <v>5.5</v>
      </c>
      <c r="K3438" s="8" t="n"/>
      <c r="L3438" s="8" t="n"/>
      <c r="M3438" s="8" t="n"/>
      <c r="N3438" s="15" t="n">
        <v>4.76</v>
      </c>
      <c r="O3438" s="8" t="n"/>
      <c r="P3438" s="8" t="n"/>
      <c r="Q3438" s="8" t="n"/>
      <c r="R3438" s="8" t="n"/>
      <c r="S3438" s="8" t="n"/>
      <c r="T3438" s="7" t="inlineStr">
        <is>
          <t>CENTROFARMA</t>
        </is>
      </c>
      <c r="U3438" s="8" t="n">
        <v>4.76</v>
      </c>
      <c r="V3438" s="14">
        <f>U3438/J3438-1</f>
        <v/>
      </c>
      <c r="W3438" s="14">
        <f>U3438/H3438-1</f>
        <v/>
      </c>
      <c r="X3438" s="17" t="inlineStr">
        <is>
          <t>OK (≤ menor hist.)</t>
        </is>
      </c>
      <c r="Y3438" s="7" t="inlineStr"/>
    </row>
    <row r="3439">
      <c r="A3439" s="7" t="n">
        <v>585361</v>
      </c>
      <c r="B3439" s="12" t="inlineStr">
        <is>
          <t>7898079000303</t>
        </is>
      </c>
      <c r="C3439" s="7" t="inlineStr">
        <is>
          <t>PRESERV. PRUDENCE MORANGO 12X3</t>
        </is>
      </c>
      <c r="D3439" s="7" t="inlineStr">
        <is>
          <t>PRESERVATIVOS</t>
        </is>
      </c>
      <c r="E3439" s="7" t="inlineStr">
        <is>
          <t>B</t>
        </is>
      </c>
      <c r="F3439" s="13" t="n">
        <v>7</v>
      </c>
      <c r="G3439" s="13" t="n">
        <v>7</v>
      </c>
      <c r="H3439" s="8" t="n">
        <v>4.92</v>
      </c>
      <c r="I3439" s="8" t="n">
        <v>4.92</v>
      </c>
      <c r="J3439" s="8" t="n">
        <v>4.92</v>
      </c>
      <c r="K3439" s="8" t="n"/>
      <c r="L3439" s="8" t="n"/>
      <c r="M3439" s="8" t="n"/>
      <c r="N3439" s="15" t="n">
        <v>5.18</v>
      </c>
      <c r="O3439" s="8" t="n"/>
      <c r="P3439" s="8" t="n">
        <v>5.7</v>
      </c>
      <c r="Q3439" s="8" t="n"/>
      <c r="R3439" s="8" t="n"/>
      <c r="S3439" s="8" t="n"/>
      <c r="T3439" s="7" t="inlineStr">
        <is>
          <t>CENTROFARMA</t>
        </is>
      </c>
      <c r="U3439" s="8" t="n">
        <v>5.18</v>
      </c>
      <c r="V3439" s="14">
        <f>U3439/J3439-1</f>
        <v/>
      </c>
      <c r="W3439" s="14">
        <f>U3439/H3439-1</f>
        <v/>
      </c>
      <c r="X3439" s="16" t="inlineStr">
        <is>
          <t>ACIMA +5.3%</t>
        </is>
      </c>
      <c r="Y3439" s="7" t="inlineStr"/>
    </row>
    <row r="3440">
      <c r="A3440" s="7" t="n">
        <v>585381</v>
      </c>
      <c r="B3440" s="12" t="inlineStr">
        <is>
          <t>7898079000327</t>
        </is>
      </c>
      <c r="C3440" s="7" t="inlineStr">
        <is>
          <t>PRESERV. PRUDENCE UVA 12X3</t>
        </is>
      </c>
      <c r="D3440" s="7" t="inlineStr">
        <is>
          <t>PRESERVATIVOS</t>
        </is>
      </c>
      <c r="E3440" s="7" t="inlineStr">
        <is>
          <t>B</t>
        </is>
      </c>
      <c r="F3440" s="13" t="n">
        <v>7</v>
      </c>
      <c r="G3440" s="13" t="n">
        <v>7</v>
      </c>
      <c r="H3440" s="8" t="n">
        <v>5.17</v>
      </c>
      <c r="I3440" s="8" t="n">
        <v>5.17</v>
      </c>
      <c r="J3440" s="8" t="n">
        <v>5.17</v>
      </c>
      <c r="K3440" s="8" t="n"/>
      <c r="L3440" s="8" t="n"/>
      <c r="M3440" s="8" t="n"/>
      <c r="N3440" s="15" t="n">
        <v>3.8</v>
      </c>
      <c r="O3440" s="8" t="n"/>
      <c r="P3440" s="8" t="n">
        <v>5.7</v>
      </c>
      <c r="Q3440" s="8" t="n"/>
      <c r="R3440" s="8" t="n"/>
      <c r="S3440" s="8" t="n"/>
      <c r="T3440" s="7" t="inlineStr">
        <is>
          <t>CENTROFARMA</t>
        </is>
      </c>
      <c r="U3440" s="8" t="n">
        <v>3.8</v>
      </c>
      <c r="V3440" s="14">
        <f>U3440/J3440-1</f>
        <v/>
      </c>
      <c r="W3440" s="14">
        <f>U3440/H3440-1</f>
        <v/>
      </c>
      <c r="X3440" s="17" t="inlineStr">
        <is>
          <t>OK (≤ menor hist.)</t>
        </is>
      </c>
      <c r="Y3440" s="7" t="inlineStr"/>
    </row>
    <row r="3441">
      <c r="A3441" s="7" t="n">
        <v>595631</v>
      </c>
      <c r="B3441" s="12" t="inlineStr">
        <is>
          <t>7898079002499</t>
        </is>
      </c>
      <c r="C3441" s="7" t="inlineStr">
        <is>
          <t>PRESERV.PRUDENCE SUPER 03UN</t>
        </is>
      </c>
      <c r="D3441" s="7" t="inlineStr">
        <is>
          <t>PRESERVATIVOS</t>
        </is>
      </c>
      <c r="E3441" s="7" t="inlineStr">
        <is>
          <t>B</t>
        </is>
      </c>
      <c r="F3441" s="13" t="n">
        <v>4</v>
      </c>
      <c r="G3441" s="13" t="n">
        <v>4</v>
      </c>
      <c r="H3441" s="8" t="n">
        <v>7.63</v>
      </c>
      <c r="I3441" s="8" t="n">
        <v>7.63</v>
      </c>
      <c r="J3441" s="8" t="n">
        <v>7.63</v>
      </c>
      <c r="K3441" s="8" t="n"/>
      <c r="L3441" s="8" t="n"/>
      <c r="M3441" s="8" t="n"/>
      <c r="N3441" s="15" t="n">
        <v>8.56</v>
      </c>
      <c r="O3441" s="8" t="n"/>
      <c r="P3441" s="8" t="n">
        <v>8.968</v>
      </c>
      <c r="Q3441" s="8" t="n"/>
      <c r="R3441" s="8" t="n"/>
      <c r="S3441" s="8" t="n"/>
      <c r="T3441" s="7" t="inlineStr">
        <is>
          <t>CENTROFARMA</t>
        </is>
      </c>
      <c r="U3441" s="8" t="n">
        <v>8.56</v>
      </c>
      <c r="V3441" s="14">
        <f>U3441/J3441-1</f>
        <v/>
      </c>
      <c r="W3441" s="14">
        <f>U3441/H3441-1</f>
        <v/>
      </c>
      <c r="X3441" s="16" t="inlineStr">
        <is>
          <t>ACIMA +12.2%</t>
        </is>
      </c>
      <c r="Y3441" s="7" t="inlineStr"/>
    </row>
    <row r="3442">
      <c r="A3442" s="7" t="n">
        <v>662501</v>
      </c>
      <c r="B3442" s="12" t="inlineStr">
        <is>
          <t>7898079000938</t>
        </is>
      </c>
      <c r="C3442" s="7" t="inlineStr">
        <is>
          <t>PRESERVATIVO PRUDENCE C S MIX TROPICAL LV8 PG6</t>
        </is>
      </c>
      <c r="D3442" s="7" t="inlineStr">
        <is>
          <t>PRESERVATIVOS</t>
        </is>
      </c>
      <c r="E3442" s="7" t="inlineStr">
        <is>
          <t>C</t>
        </is>
      </c>
      <c r="F3442" s="13" t="n">
        <v>2</v>
      </c>
      <c r="G3442" s="13" t="n">
        <v>2</v>
      </c>
      <c r="H3442" s="8" t="n">
        <v>8.539999999999999</v>
      </c>
      <c r="I3442" s="8" t="n">
        <v>8.539999999999999</v>
      </c>
      <c r="J3442" s="8" t="n">
        <v>8.539999999999999</v>
      </c>
      <c r="K3442" s="8" t="n"/>
      <c r="L3442" s="8" t="n"/>
      <c r="M3442" s="8" t="n"/>
      <c r="N3442" s="8" t="n">
        <v>9.859999999999999</v>
      </c>
      <c r="O3442" s="8" t="n"/>
      <c r="P3442" s="15" t="n">
        <v>9.6995</v>
      </c>
      <c r="Q3442" s="8" t="n"/>
      <c r="R3442" s="8" t="n"/>
      <c r="S3442" s="8" t="n"/>
      <c r="T3442" s="7" t="inlineStr">
        <is>
          <t>NAZARIA</t>
        </is>
      </c>
      <c r="U3442" s="8" t="n">
        <v>9.6995</v>
      </c>
      <c r="V3442" s="14">
        <f>U3442/J3442-1</f>
        <v/>
      </c>
      <c r="W3442" s="14">
        <f>U3442/H3442-1</f>
        <v/>
      </c>
      <c r="X3442" s="16" t="inlineStr">
        <is>
          <t>ACIMA +13.6%</t>
        </is>
      </c>
      <c r="Y3442" s="7" t="inlineStr"/>
    </row>
    <row r="3443">
      <c r="A3443" s="7" t="n">
        <v>584461</v>
      </c>
      <c r="B3443" s="12" t="inlineStr">
        <is>
          <t>7898556850452</t>
        </is>
      </c>
      <c r="C3443" s="7" t="inlineStr">
        <is>
          <t>PRESERVATIVO RILEX LEITE CONDENSADO 3UN</t>
        </is>
      </c>
      <c r="D3443" s="7" t="inlineStr">
        <is>
          <t>PRESERVATIVOS</t>
        </is>
      </c>
      <c r="E3443" s="7" t="inlineStr">
        <is>
          <t>C</t>
        </is>
      </c>
      <c r="F3443" s="13" t="n">
        <v>4</v>
      </c>
      <c r="G3443" s="13" t="n">
        <v>4</v>
      </c>
      <c r="H3443" s="8" t="n">
        <v>2.22</v>
      </c>
      <c r="I3443" s="8" t="n">
        <v>2.22</v>
      </c>
      <c r="J3443" s="8" t="n">
        <v>2.22</v>
      </c>
      <c r="K3443" s="15" t="n">
        <v>2.33</v>
      </c>
      <c r="L3443" s="8" t="n"/>
      <c r="M3443" s="8" t="n"/>
      <c r="N3443" s="8" t="n">
        <v>2.36</v>
      </c>
      <c r="O3443" s="8" t="n"/>
      <c r="P3443" s="8" t="n"/>
      <c r="Q3443" s="8" t="n">
        <v>2.48</v>
      </c>
      <c r="R3443" s="8" t="n"/>
      <c r="S3443" s="8" t="n"/>
      <c r="T3443" s="7" t="inlineStr">
        <is>
          <t>DIMEC</t>
        </is>
      </c>
      <c r="U3443" s="8" t="n">
        <v>2.33</v>
      </c>
      <c r="V3443" s="14">
        <f>U3443/J3443-1</f>
        <v/>
      </c>
      <c r="W3443" s="14">
        <f>U3443/H3443-1</f>
        <v/>
      </c>
      <c r="X3443" s="16" t="inlineStr">
        <is>
          <t>ACIMA +5.0%</t>
        </is>
      </c>
      <c r="Y3443" s="7" t="inlineStr"/>
    </row>
    <row r="3444">
      <c r="A3444" s="7" t="n">
        <v>532801</v>
      </c>
      <c r="B3444" s="12" t="inlineStr">
        <is>
          <t>7898903991487</t>
        </is>
      </c>
      <c r="C3444" s="7" t="inlineStr">
        <is>
          <t>PRESERVATIVO RILEX LUBRIFICADO C/3</t>
        </is>
      </c>
      <c r="D3444" s="7" t="inlineStr">
        <is>
          <t>PRESERVATIVOS</t>
        </is>
      </c>
      <c r="E3444" s="7" t="inlineStr">
        <is>
          <t>C</t>
        </is>
      </c>
      <c r="F3444" s="13" t="n">
        <v>3</v>
      </c>
      <c r="G3444" s="13" t="n">
        <v>3</v>
      </c>
      <c r="H3444" s="8" t="n">
        <v>2.11</v>
      </c>
      <c r="I3444" s="8" t="n">
        <v>2.09</v>
      </c>
      <c r="J3444" s="8" t="n">
        <v>2.096666666666666</v>
      </c>
      <c r="K3444" s="15" t="n">
        <v>2.17</v>
      </c>
      <c r="L3444" s="8" t="n"/>
      <c r="M3444" s="8" t="n"/>
      <c r="N3444" s="8" t="n">
        <v>2.22</v>
      </c>
      <c r="O3444" s="8" t="n"/>
      <c r="P3444" s="8" t="n"/>
      <c r="Q3444" s="8" t="n">
        <v>2.28</v>
      </c>
      <c r="R3444" s="8" t="n"/>
      <c r="S3444" s="8" t="n"/>
      <c r="T3444" s="7" t="inlineStr">
        <is>
          <t>DIMEC</t>
        </is>
      </c>
      <c r="U3444" s="8" t="n">
        <v>2.17</v>
      </c>
      <c r="V3444" s="14">
        <f>U3444/J3444-1</f>
        <v/>
      </c>
      <c r="W3444" s="14">
        <f>U3444/H3444-1</f>
        <v/>
      </c>
      <c r="X3444" s="16" t="inlineStr">
        <is>
          <t>ACIMA +2.8%</t>
        </is>
      </c>
      <c r="Y3444" s="7" t="inlineStr"/>
    </row>
    <row r="3445">
      <c r="A3445" s="7" t="n">
        <v>532821</v>
      </c>
      <c r="B3445" s="12" t="inlineStr">
        <is>
          <t>7898903991517</t>
        </is>
      </c>
      <c r="C3445" s="7" t="inlineStr">
        <is>
          <t>PRESERVATIVO RILEX MORANGO C/3</t>
        </is>
      </c>
      <c r="D3445" s="7" t="inlineStr">
        <is>
          <t>PRESERVATIVOS</t>
        </is>
      </c>
      <c r="E3445" s="7" t="inlineStr">
        <is>
          <t>C</t>
        </is>
      </c>
      <c r="F3445" s="13" t="n">
        <v>1</v>
      </c>
      <c r="G3445" s="13" t="n">
        <v>1</v>
      </c>
      <c r="H3445" s="8" t="n">
        <v>2.14</v>
      </c>
      <c r="I3445" s="8" t="n">
        <v>2.13</v>
      </c>
      <c r="J3445" s="8" t="n">
        <v>2.133333333333333</v>
      </c>
      <c r="K3445" s="15" t="n">
        <v>2.21</v>
      </c>
      <c r="L3445" s="8" t="n"/>
      <c r="M3445" s="8" t="n"/>
      <c r="N3445" s="8" t="n">
        <v>2.26</v>
      </c>
      <c r="O3445" s="8" t="n"/>
      <c r="P3445" s="8" t="n"/>
      <c r="Q3445" s="8" t="n">
        <v>2.29</v>
      </c>
      <c r="R3445" s="8" t="n"/>
      <c r="S3445" s="8" t="n"/>
      <c r="T3445" s="7" t="inlineStr">
        <is>
          <t>DIMEC</t>
        </is>
      </c>
      <c r="U3445" s="8" t="n">
        <v>2.21</v>
      </c>
      <c r="V3445" s="14">
        <f>U3445/J3445-1</f>
        <v/>
      </c>
      <c r="W3445" s="14">
        <f>U3445/H3445-1</f>
        <v/>
      </c>
      <c r="X3445" s="16" t="inlineStr">
        <is>
          <t>ACIMA +3.3%</t>
        </is>
      </c>
      <c r="Y3445" s="7" t="inlineStr"/>
    </row>
    <row r="3446">
      <c r="A3446" s="7" t="n">
        <v>532781</v>
      </c>
      <c r="B3446" s="12" t="inlineStr">
        <is>
          <t>7898556850193</t>
        </is>
      </c>
      <c r="C3446" s="7" t="inlineStr">
        <is>
          <t>PRESERVATIVO RILEX SENSITIVE C/3</t>
        </is>
      </c>
      <c r="D3446" s="7" t="inlineStr">
        <is>
          <t>PRESERVATIVOS</t>
        </is>
      </c>
      <c r="E3446" s="7" t="inlineStr">
        <is>
          <t>C</t>
        </is>
      </c>
      <c r="F3446" s="13" t="n">
        <v>5</v>
      </c>
      <c r="G3446" s="13" t="n">
        <v>5</v>
      </c>
      <c r="H3446" s="8" t="n">
        <v>4.38</v>
      </c>
      <c r="I3446" s="8" t="n">
        <v>4.37</v>
      </c>
      <c r="J3446" s="8" t="n">
        <v>4.373333333333334</v>
      </c>
      <c r="K3446" s="15" t="n">
        <v>4.55</v>
      </c>
      <c r="L3446" s="8" t="n"/>
      <c r="M3446" s="8" t="n"/>
      <c r="N3446" s="8" t="n">
        <v>4.62</v>
      </c>
      <c r="O3446" s="8" t="n"/>
      <c r="P3446" s="8" t="n"/>
      <c r="Q3446" s="8" t="n">
        <v>4.81</v>
      </c>
      <c r="R3446" s="8" t="n"/>
      <c r="S3446" s="8" t="n"/>
      <c r="T3446" s="7" t="inlineStr">
        <is>
          <t>DIMEC</t>
        </is>
      </c>
      <c r="U3446" s="8" t="n">
        <v>4.55</v>
      </c>
      <c r="V3446" s="14">
        <f>U3446/J3446-1</f>
        <v/>
      </c>
      <c r="W3446" s="14">
        <f>U3446/H3446-1</f>
        <v/>
      </c>
      <c r="X3446" s="16" t="inlineStr">
        <is>
          <t>ACIMA +3.9%</t>
        </is>
      </c>
      <c r="Y3446" s="7" t="inlineStr"/>
    </row>
    <row r="3447">
      <c r="A3447" s="7" t="n">
        <v>636141</v>
      </c>
      <c r="B3447" s="12" t="inlineStr">
        <is>
          <t>7891000256152</t>
        </is>
      </c>
      <c r="C3447" s="7" t="inlineStr">
        <is>
          <t>PRESTIGIO AO LEITE FLOWPACK 114G</t>
        </is>
      </c>
      <c r="D3447" s="7" t="inlineStr">
        <is>
          <t>CONVENIENCIA</t>
        </is>
      </c>
      <c r="E3447" s="7" t="inlineStr">
        <is>
          <t>A</t>
        </is>
      </c>
      <c r="F3447" s="13" t="n">
        <v>2</v>
      </c>
      <c r="G3447" s="13" t="n">
        <v>2</v>
      </c>
      <c r="H3447" s="8" t="n">
        <v>10.3233</v>
      </c>
      <c r="I3447" s="8" t="n">
        <v>10.3233</v>
      </c>
      <c r="J3447" s="8" t="n">
        <v>10.3233</v>
      </c>
      <c r="K3447" s="8" t="n"/>
      <c r="L3447" s="8" t="n"/>
      <c r="M3447" s="8" t="n"/>
      <c r="N3447" s="8" t="n"/>
      <c r="O3447" s="8" t="n"/>
      <c r="P3447" s="8" t="n"/>
      <c r="Q3447" s="8" t="n"/>
      <c r="R3447" s="8" t="n"/>
      <c r="S3447" s="8" t="n"/>
      <c r="T3447" s="7" t="inlineStr">
        <is>
          <t>SEM COTAÇÃO</t>
        </is>
      </c>
      <c r="U3447" s="8" t="n"/>
      <c r="V3447" s="14" t="n"/>
      <c r="W3447" s="14" t="n"/>
      <c r="X3447" s="7" t="inlineStr"/>
      <c r="Y3447" s="7" t="inlineStr"/>
    </row>
    <row r="3448">
      <c r="A3448" s="7" t="n">
        <v>607681</v>
      </c>
      <c r="B3448" s="12" t="inlineStr">
        <is>
          <t>7891000251133</t>
        </is>
      </c>
      <c r="C3448" s="7" t="inlineStr">
        <is>
          <t>PRESTIGIO BRANCO CHOCOLATE 33G</t>
        </is>
      </c>
      <c r="D3448" s="7" t="inlineStr">
        <is>
          <t>CONVENIENCIA</t>
        </is>
      </c>
      <c r="E3448" s="7" t="inlineStr">
        <is>
          <t>C</t>
        </is>
      </c>
      <c r="F3448" s="13" t="n">
        <v>1</v>
      </c>
      <c r="G3448" s="13" t="n">
        <v>4</v>
      </c>
      <c r="H3448" s="8" t="n">
        <v>4.6463</v>
      </c>
      <c r="I3448" s="8" t="n">
        <v>4.6463</v>
      </c>
      <c r="J3448" s="8" t="n">
        <v>4.6463</v>
      </c>
      <c r="K3448" s="8" t="n"/>
      <c r="L3448" s="8" t="n"/>
      <c r="M3448" s="8" t="n"/>
      <c r="N3448" s="8" t="n"/>
      <c r="O3448" s="8" t="n"/>
      <c r="P3448" s="8" t="n"/>
      <c r="Q3448" s="8" t="n"/>
      <c r="R3448" s="8" t="n"/>
      <c r="S3448" s="8" t="n"/>
      <c r="T3448" s="7" t="inlineStr">
        <is>
          <t>SEM COTAÇÃO</t>
        </is>
      </c>
      <c r="U3448" s="8" t="n"/>
      <c r="V3448" s="14" t="n"/>
      <c r="W3448" s="14" t="n"/>
      <c r="X3448" s="7" t="inlineStr"/>
      <c r="Y3448" s="7" t="inlineStr"/>
    </row>
    <row r="3449">
      <c r="A3449" s="7" t="n">
        <v>592031</v>
      </c>
      <c r="B3449" s="12" t="inlineStr">
        <is>
          <t>7891000460207</t>
        </is>
      </c>
      <c r="C3449" s="7" t="inlineStr">
        <is>
          <t>PRESTIGIO CHOCOLATE 33G</t>
        </is>
      </c>
      <c r="D3449" s="7" t="inlineStr">
        <is>
          <t>CONVENIENCIA</t>
        </is>
      </c>
      <c r="E3449" s="7" t="inlineStr">
        <is>
          <t>A</t>
        </is>
      </c>
      <c r="F3449" s="13" t="n">
        <v>2</v>
      </c>
      <c r="G3449" s="13" t="n">
        <v>39</v>
      </c>
      <c r="H3449" s="8" t="n">
        <v>2.4173</v>
      </c>
      <c r="I3449" s="8" t="n">
        <v>2.3697</v>
      </c>
      <c r="J3449" s="8" t="n">
        <v>2.3697</v>
      </c>
      <c r="K3449" s="8" t="n"/>
      <c r="L3449" s="8" t="n"/>
      <c r="M3449" s="8" t="n"/>
      <c r="N3449" s="8" t="n"/>
      <c r="O3449" s="8" t="n"/>
      <c r="P3449" s="8" t="n"/>
      <c r="Q3449" s="8" t="n"/>
      <c r="R3449" s="8" t="n"/>
      <c r="S3449" s="8" t="n"/>
      <c r="T3449" s="7" t="inlineStr">
        <is>
          <t>SEM COTAÇÃO</t>
        </is>
      </c>
      <c r="U3449" s="8" t="n"/>
      <c r="V3449" s="14" t="n"/>
      <c r="W3449" s="14" t="n"/>
      <c r="X3449" s="7" t="inlineStr"/>
      <c r="Y3449" s="7" t="inlineStr"/>
    </row>
    <row r="3450">
      <c r="A3450" s="7" t="n">
        <v>629581</v>
      </c>
      <c r="B3450" s="12" t="inlineStr">
        <is>
          <t>7891000339237</t>
        </is>
      </c>
      <c r="C3450" s="7" t="inlineStr">
        <is>
          <t>PRESTIGIO COOKIECHOC GOTASCHOC 52X60G BR</t>
        </is>
      </c>
      <c r="D3450" s="7" t="inlineStr">
        <is>
          <t>CONVENIENCIA</t>
        </is>
      </c>
      <c r="E3450" s="7" t="inlineStr">
        <is>
          <t>C</t>
        </is>
      </c>
      <c r="F3450" s="13" t="n">
        <v>4</v>
      </c>
      <c r="G3450" s="13" t="n">
        <v>4</v>
      </c>
      <c r="H3450" s="8" t="n">
        <v>2.3392</v>
      </c>
      <c r="I3450" s="8" t="n">
        <v>2.3392</v>
      </c>
      <c r="J3450" s="8" t="n">
        <v>2.3392</v>
      </c>
      <c r="K3450" s="8" t="n"/>
      <c r="L3450" s="8" t="n"/>
      <c r="M3450" s="8" t="n"/>
      <c r="N3450" s="8" t="n"/>
      <c r="O3450" s="8" t="n"/>
      <c r="P3450" s="8" t="n"/>
      <c r="Q3450" s="8" t="n"/>
      <c r="R3450" s="8" t="n"/>
      <c r="S3450" s="8" t="n"/>
      <c r="T3450" s="7" t="inlineStr">
        <is>
          <t>SEM COTAÇÃO</t>
        </is>
      </c>
      <c r="U3450" s="8" t="n"/>
      <c r="V3450" s="14" t="n"/>
      <c r="W3450" s="14" t="n"/>
      <c r="X3450" s="7" t="inlineStr"/>
      <c r="Y3450" s="7" t="inlineStr"/>
    </row>
    <row r="3451">
      <c r="A3451" s="7" t="n">
        <v>655671</v>
      </c>
      <c r="B3451" s="12" t="inlineStr">
        <is>
          <t>7891000401095</t>
        </is>
      </c>
      <c r="C3451" s="7" t="inlineStr">
        <is>
          <t>PRESTIGIO DOCEDELEITE CHOC 33G BR</t>
        </is>
      </c>
      <c r="D3451" s="7" t="inlineStr">
        <is>
          <t>CHOCOLATES</t>
        </is>
      </c>
      <c r="E3451" s="7" t="inlineStr">
        <is>
          <t>C</t>
        </is>
      </c>
      <c r="F3451" s="13" t="n">
        <v>1</v>
      </c>
      <c r="G3451" s="13" t="n">
        <v>5</v>
      </c>
      <c r="H3451" s="8" t="n">
        <v>3.9802</v>
      </c>
      <c r="I3451" s="8" t="n">
        <v>3.9802</v>
      </c>
      <c r="J3451" s="8" t="n">
        <v>3.9802</v>
      </c>
      <c r="K3451" s="8" t="n"/>
      <c r="L3451" s="8" t="n"/>
      <c r="M3451" s="8" t="n"/>
      <c r="N3451" s="8" t="n"/>
      <c r="O3451" s="8" t="n"/>
      <c r="P3451" s="8" t="n"/>
      <c r="Q3451" s="8" t="n"/>
      <c r="R3451" s="8" t="n"/>
      <c r="S3451" s="8" t="n"/>
      <c r="T3451" s="7" t="inlineStr">
        <is>
          <t>SEM COTAÇÃO</t>
        </is>
      </c>
      <c r="U3451" s="8" t="n"/>
      <c r="V3451" s="14" t="n"/>
      <c r="W3451" s="14" t="n"/>
      <c r="X3451" s="7" t="inlineStr"/>
      <c r="Y3451" s="7" t="inlineStr"/>
    </row>
    <row r="3452">
      <c r="A3452" s="7" t="n">
        <v>614891</v>
      </c>
      <c r="B3452" s="12" t="inlineStr">
        <is>
          <t>7500435154772</t>
        </is>
      </c>
      <c r="C3452" s="7" t="inlineStr">
        <is>
          <t>PRESTOBARBA GILLETTE 3LAM</t>
        </is>
      </c>
      <c r="D3452" s="7" t="inlineStr">
        <is>
          <t>PERF/COSME</t>
        </is>
      </c>
      <c r="E3452" s="7" t="inlineStr">
        <is>
          <t>A</t>
        </is>
      </c>
      <c r="F3452" s="13" t="n">
        <v>2</v>
      </c>
      <c r="G3452" s="13" t="n">
        <v>15</v>
      </c>
      <c r="H3452" s="8" t="n">
        <v>5.0175</v>
      </c>
      <c r="I3452" s="8" t="n">
        <v>4.0183</v>
      </c>
      <c r="J3452" s="8" t="n">
        <v>4.360833333333333</v>
      </c>
      <c r="K3452" s="8" t="n"/>
      <c r="L3452" s="8" t="n"/>
      <c r="M3452" s="8" t="n"/>
      <c r="N3452" s="8" t="n"/>
      <c r="O3452" s="8" t="n"/>
      <c r="P3452" s="8" t="n"/>
      <c r="Q3452" s="8" t="n"/>
      <c r="R3452" s="8" t="n"/>
      <c r="S3452" s="8" t="n"/>
      <c r="T3452" s="7" t="inlineStr">
        <is>
          <t>SEM COTAÇÃO</t>
        </is>
      </c>
      <c r="U3452" s="8" t="n"/>
      <c r="V3452" s="14" t="n"/>
      <c r="W3452" s="14" t="n"/>
      <c r="X3452" s="7" t="inlineStr"/>
      <c r="Y3452" s="7" t="inlineStr"/>
    </row>
    <row r="3453">
      <c r="A3453" s="7" t="n">
        <v>205761</v>
      </c>
      <c r="B3453" s="12" t="inlineStr">
        <is>
          <t>7891317177652</t>
        </is>
      </c>
      <c r="C3453" s="7" t="inlineStr">
        <is>
          <t>PRIMERA 0,150+0,020MG CAIXA C/ 3 CARTELAS</t>
        </is>
      </c>
      <c r="D3453" s="7" t="inlineStr">
        <is>
          <t>RX</t>
        </is>
      </c>
      <c r="E3453" s="7" t="inlineStr">
        <is>
          <t>B</t>
        </is>
      </c>
      <c r="F3453" s="13" t="n">
        <v>2</v>
      </c>
      <c r="G3453" s="13" t="n">
        <v>2</v>
      </c>
      <c r="H3453" s="8" t="n">
        <v>69.47</v>
      </c>
      <c r="I3453" s="8" t="n">
        <v>20.79</v>
      </c>
      <c r="J3453" s="8" t="n">
        <v>37.67443333333333</v>
      </c>
      <c r="K3453" s="8" t="n"/>
      <c r="L3453" s="8" t="n"/>
      <c r="M3453" s="15" t="n">
        <v>69.47</v>
      </c>
      <c r="N3453" s="8" t="n"/>
      <c r="O3453" s="8" t="n"/>
      <c r="P3453" s="8" t="n">
        <v>70.44239999999999</v>
      </c>
      <c r="Q3453" s="8" t="n"/>
      <c r="R3453" s="8" t="n"/>
      <c r="S3453" s="8" t="n"/>
      <c r="T3453" s="7" t="inlineStr">
        <is>
          <t>EPAN</t>
        </is>
      </c>
      <c r="U3453" s="8" t="n">
        <v>69.47</v>
      </c>
      <c r="V3453" s="14">
        <f>U3453/J3453-1</f>
        <v/>
      </c>
      <c r="W3453" s="14">
        <f>U3453/H3453-1</f>
        <v/>
      </c>
      <c r="X3453" s="17" t="inlineStr">
        <is>
          <t>OK (≤ últ. compra)</t>
        </is>
      </c>
      <c r="Y3453" s="7" t="inlineStr"/>
    </row>
    <row r="3454">
      <c r="A3454" s="7" t="n">
        <v>563381</v>
      </c>
      <c r="B3454" s="12" t="inlineStr">
        <is>
          <t>7891106914048</t>
        </is>
      </c>
      <c r="C3454" s="7" t="inlineStr">
        <is>
          <t>PRIMOGYNA 2MG CX 28 DRG</t>
        </is>
      </c>
      <c r="D3454" s="7" t="inlineStr">
        <is>
          <t>RX</t>
        </is>
      </c>
      <c r="E3454" s="7" t="inlineStr">
        <is>
          <t>B</t>
        </is>
      </c>
      <c r="F3454" s="13" t="n">
        <v>1</v>
      </c>
      <c r="G3454" s="13" t="n">
        <v>1</v>
      </c>
      <c r="H3454" s="8" t="n">
        <v>78.16</v>
      </c>
      <c r="I3454" s="8" t="n">
        <v>78.16</v>
      </c>
      <c r="J3454" s="8" t="n">
        <v>78.16</v>
      </c>
      <c r="K3454" s="8" t="n"/>
      <c r="L3454" s="8" t="n"/>
      <c r="M3454" s="8" t="n"/>
      <c r="N3454" s="8" t="n"/>
      <c r="O3454" s="8" t="n"/>
      <c r="P3454" s="8" t="n"/>
      <c r="Q3454" s="8" t="n"/>
      <c r="R3454" s="8" t="n"/>
      <c r="S3454" s="8" t="n"/>
      <c r="T3454" s="7" t="inlineStr">
        <is>
          <t>SEM COTAÇÃO</t>
        </is>
      </c>
      <c r="U3454" s="8" t="n"/>
      <c r="V3454" s="14" t="n"/>
      <c r="W3454" s="14" t="n"/>
      <c r="X3454" s="7" t="inlineStr"/>
      <c r="Y3454" s="7" t="inlineStr"/>
    </row>
    <row r="3455">
      <c r="A3455" s="7" t="n">
        <v>658581</v>
      </c>
      <c r="B3455" s="12" t="inlineStr">
        <is>
          <t>0070341368183</t>
        </is>
      </c>
      <c r="C3455" s="7" t="inlineStr">
        <is>
          <t>PRINCIPIA DC AD-02 70ML HIDRATA E ACALMA</t>
        </is>
      </c>
      <c r="D3455" s="7" t="inlineStr">
        <is>
          <t>DERMOCOSMETICOS/COSMETICOS</t>
        </is>
      </c>
      <c r="E3455" s="7" t="inlineStr">
        <is>
          <t>C</t>
        </is>
      </c>
      <c r="F3455" s="13" t="n">
        <v>1</v>
      </c>
      <c r="G3455" s="13" t="n">
        <v>1</v>
      </c>
      <c r="H3455" s="8" t="n">
        <v>30.8</v>
      </c>
      <c r="I3455" s="8" t="n">
        <v>30.8</v>
      </c>
      <c r="J3455" s="8" t="n">
        <v>30.8</v>
      </c>
      <c r="K3455" s="8" t="n"/>
      <c r="L3455" s="8" t="n"/>
      <c r="M3455" s="8" t="n"/>
      <c r="N3455" s="8" t="n"/>
      <c r="O3455" s="8" t="n"/>
      <c r="P3455" s="15" t="n">
        <v>35.24</v>
      </c>
      <c r="Q3455" s="8" t="n"/>
      <c r="R3455" s="8" t="n"/>
      <c r="S3455" s="8" t="n"/>
      <c r="T3455" s="7" t="inlineStr">
        <is>
          <t>NAZARIA</t>
        </is>
      </c>
      <c r="U3455" s="8" t="n">
        <v>35.24</v>
      </c>
      <c r="V3455" s="14">
        <f>U3455/J3455-1</f>
        <v/>
      </c>
      <c r="W3455" s="14">
        <f>U3455/H3455-1</f>
        <v/>
      </c>
      <c r="X3455" s="16" t="inlineStr">
        <is>
          <t>ACIMA +14.4%</t>
        </is>
      </c>
      <c r="Y3455" s="7" t="inlineStr"/>
    </row>
    <row r="3456">
      <c r="A3456" s="7" t="n">
        <v>658621</v>
      </c>
      <c r="B3456" s="12" t="inlineStr">
        <is>
          <t>0609963220625</t>
        </is>
      </c>
      <c r="C3456" s="7" t="inlineStr">
        <is>
          <t>PRINCIPIA EMULSAO CORPORAL EC-01 200ML</t>
        </is>
      </c>
      <c r="D3456" s="7" t="inlineStr">
        <is>
          <t>DERMOCOSMETICOS/COSMETICOS</t>
        </is>
      </c>
      <c r="E3456" s="7" t="inlineStr">
        <is>
          <t>B</t>
        </is>
      </c>
      <c r="F3456" s="13" t="n">
        <v>4</v>
      </c>
      <c r="G3456" s="13" t="n">
        <v>4</v>
      </c>
      <c r="H3456" s="8" t="n">
        <v>38.63</v>
      </c>
      <c r="I3456" s="8" t="n">
        <v>38.63</v>
      </c>
      <c r="J3456" s="8" t="n">
        <v>38.63</v>
      </c>
      <c r="K3456" s="8" t="n"/>
      <c r="L3456" s="8" t="n"/>
      <c r="M3456" s="8" t="n"/>
      <c r="N3456" s="8" t="n"/>
      <c r="O3456" s="8" t="n"/>
      <c r="P3456" s="15" t="n">
        <v>45.01</v>
      </c>
      <c r="Q3456" s="8" t="n"/>
      <c r="R3456" s="8" t="n"/>
      <c r="S3456" s="8" t="n"/>
      <c r="T3456" s="7" t="inlineStr">
        <is>
          <t>NAZARIA</t>
        </is>
      </c>
      <c r="U3456" s="8" t="n">
        <v>45.01</v>
      </c>
      <c r="V3456" s="14">
        <f>U3456/J3456-1</f>
        <v/>
      </c>
      <c r="W3456" s="14">
        <f>U3456/H3456-1</f>
        <v/>
      </c>
      <c r="X3456" s="16" t="inlineStr">
        <is>
          <t>ACIMA +16.5%</t>
        </is>
      </c>
      <c r="Y3456" s="7" t="inlineStr"/>
    </row>
    <row r="3457">
      <c r="A3457" s="7" t="n">
        <v>658571</v>
      </c>
      <c r="B3457" s="12" t="inlineStr">
        <is>
          <t>0736532824868</t>
        </is>
      </c>
      <c r="C3457" s="7" t="inlineStr">
        <is>
          <t>PRINCIPIA EMULSAO FAC GRANACTI GR-2 30ML</t>
        </is>
      </c>
      <c r="D3457" s="7" t="inlineStr">
        <is>
          <t>DERMOCOSMETICOS/COSMETICOS</t>
        </is>
      </c>
      <c r="E3457" s="7" t="inlineStr">
        <is>
          <t>C</t>
        </is>
      </c>
      <c r="F3457" s="13" t="n">
        <v>1</v>
      </c>
      <c r="G3457" s="13" t="n">
        <v>1</v>
      </c>
      <c r="H3457" s="8" t="n">
        <v>68.44</v>
      </c>
      <c r="I3457" s="8" t="n">
        <v>68.44</v>
      </c>
      <c r="J3457" s="8" t="n">
        <v>68.44</v>
      </c>
      <c r="K3457" s="8" t="n"/>
      <c r="L3457" s="8" t="n"/>
      <c r="M3457" s="8" t="n"/>
      <c r="N3457" s="8" t="n"/>
      <c r="O3457" s="8" t="n"/>
      <c r="P3457" s="15" t="n">
        <v>82.53</v>
      </c>
      <c r="Q3457" s="8" t="n"/>
      <c r="R3457" s="8" t="n"/>
      <c r="S3457" s="8" t="n"/>
      <c r="T3457" s="7" t="inlineStr">
        <is>
          <t>NAZARIA</t>
        </is>
      </c>
      <c r="U3457" s="8" t="n">
        <v>82.53</v>
      </c>
      <c r="V3457" s="14">
        <f>U3457/J3457-1</f>
        <v/>
      </c>
      <c r="W3457" s="14">
        <f>U3457/H3457-1</f>
        <v/>
      </c>
      <c r="X3457" s="16" t="inlineStr">
        <is>
          <t>ACIMA +20.6%</t>
        </is>
      </c>
      <c r="Y3457" s="7" t="inlineStr"/>
    </row>
    <row r="3458">
      <c r="A3458" s="7" t="n">
        <v>658701</v>
      </c>
      <c r="B3458" s="12" t="inlineStr">
        <is>
          <t>609963220564</t>
        </is>
      </c>
      <c r="C3458" s="7" t="inlineStr">
        <is>
          <t>PRINCIPIA GEL LIMPEZA FAC GL-01 350G</t>
        </is>
      </c>
      <c r="D3458" s="7" t="inlineStr">
        <is>
          <t>DERMOCOSMETICOS/COSMETICOS</t>
        </is>
      </c>
      <c r="E3458" s="7" t="inlineStr">
        <is>
          <t>A</t>
        </is>
      </c>
      <c r="F3458" s="13" t="n">
        <v>6</v>
      </c>
      <c r="G3458" s="13" t="n">
        <v>6</v>
      </c>
      <c r="H3458" s="8" t="n">
        <v>40.77</v>
      </c>
      <c r="I3458" s="8" t="n">
        <v>34.3</v>
      </c>
      <c r="J3458" s="8" t="n">
        <v>38.61333333333334</v>
      </c>
      <c r="K3458" s="8" t="n"/>
      <c r="L3458" s="8" t="n"/>
      <c r="M3458" s="8" t="n"/>
      <c r="N3458" s="8" t="n"/>
      <c r="O3458" s="8" t="n"/>
      <c r="P3458" s="15" t="n">
        <v>45.47</v>
      </c>
      <c r="Q3458" s="8" t="n"/>
      <c r="R3458" s="8" t="n"/>
      <c r="S3458" s="8" t="n"/>
      <c r="T3458" s="7" t="inlineStr">
        <is>
          <t>NAZARIA</t>
        </is>
      </c>
      <c r="U3458" s="8" t="n">
        <v>45.47</v>
      </c>
      <c r="V3458" s="14">
        <f>U3458/J3458-1</f>
        <v/>
      </c>
      <c r="W3458" s="14">
        <f>U3458/H3458-1</f>
        <v/>
      </c>
      <c r="X3458" s="16" t="inlineStr">
        <is>
          <t>ACIMA +11.5%</t>
        </is>
      </c>
      <c r="Y3458" s="7" t="inlineStr"/>
    </row>
    <row r="3459">
      <c r="A3459" s="7" t="n">
        <v>658711</v>
      </c>
      <c r="B3459" s="12" t="inlineStr">
        <is>
          <t>609963220755</t>
        </is>
      </c>
      <c r="C3459" s="7" t="inlineStr">
        <is>
          <t>PRINCIPIA GEL LIMPEZA FAC GL-02 350G</t>
        </is>
      </c>
      <c r="D3459" s="7" t="inlineStr">
        <is>
          <t>DERMOCOSMETICOS/COSMETICOS</t>
        </is>
      </c>
      <c r="E3459" s="7" t="inlineStr">
        <is>
          <t>A</t>
        </is>
      </c>
      <c r="F3459" s="13" t="n">
        <v>3</v>
      </c>
      <c r="G3459" s="13" t="n">
        <v>3</v>
      </c>
      <c r="H3459" s="8" t="n">
        <v>38.64</v>
      </c>
      <c r="I3459" s="8" t="n">
        <v>34.3</v>
      </c>
      <c r="J3459" s="8" t="n">
        <v>37.19333333333334</v>
      </c>
      <c r="K3459" s="8" t="n"/>
      <c r="L3459" s="8" t="n"/>
      <c r="M3459" s="8" t="n"/>
      <c r="N3459" s="8" t="n"/>
      <c r="O3459" s="8" t="n"/>
      <c r="P3459" s="15" t="n">
        <v>41.26</v>
      </c>
      <c r="Q3459" s="8" t="n"/>
      <c r="R3459" s="8" t="n"/>
      <c r="S3459" s="8" t="n"/>
      <c r="T3459" s="7" t="inlineStr">
        <is>
          <t>NAZARIA</t>
        </is>
      </c>
      <c r="U3459" s="8" t="n">
        <v>41.26</v>
      </c>
      <c r="V3459" s="14">
        <f>U3459/J3459-1</f>
        <v/>
      </c>
      <c r="W3459" s="14">
        <f>U3459/H3459-1</f>
        <v/>
      </c>
      <c r="X3459" s="16" t="inlineStr">
        <is>
          <t>ACIMA +6.8%</t>
        </is>
      </c>
      <c r="Y3459" s="7" t="inlineStr"/>
    </row>
    <row r="3460">
      <c r="A3460" s="7" t="n">
        <v>658731</v>
      </c>
      <c r="B3460" s="12" t="inlineStr">
        <is>
          <t>0609963220694</t>
        </is>
      </c>
      <c r="C3460" s="7" t="inlineStr">
        <is>
          <t>PRINCIPIA PROT SOL FAC PS-01 FPS60 40ML</t>
        </is>
      </c>
      <c r="D3460" s="7" t="inlineStr">
        <is>
          <t>DERMOCOSMETICOS/COSMETICOS</t>
        </is>
      </c>
      <c r="E3460" s="7" t="inlineStr">
        <is>
          <t>A</t>
        </is>
      </c>
      <c r="F3460" s="13" t="n">
        <v>3</v>
      </c>
      <c r="G3460" s="13" t="n">
        <v>3</v>
      </c>
      <c r="H3460" s="8" t="n">
        <v>36.74</v>
      </c>
      <c r="I3460" s="8" t="n">
        <v>30.8</v>
      </c>
      <c r="J3460" s="8" t="n">
        <v>34.76</v>
      </c>
      <c r="K3460" s="8" t="n"/>
      <c r="L3460" s="8" t="n"/>
      <c r="M3460" s="8" t="n"/>
      <c r="N3460" s="8" t="n"/>
      <c r="O3460" s="8" t="n"/>
      <c r="P3460" s="15" t="n">
        <v>40.85</v>
      </c>
      <c r="Q3460" s="8" t="n"/>
      <c r="R3460" s="8" t="n"/>
      <c r="S3460" s="8" t="n"/>
      <c r="T3460" s="7" t="inlineStr">
        <is>
          <t>NAZARIA</t>
        </is>
      </c>
      <c r="U3460" s="8" t="n">
        <v>40.85</v>
      </c>
      <c r="V3460" s="14">
        <f>U3460/J3460-1</f>
        <v/>
      </c>
      <c r="W3460" s="14">
        <f>U3460/H3460-1</f>
        <v/>
      </c>
      <c r="X3460" s="16" t="inlineStr">
        <is>
          <t>ACIMA +11.2%</t>
        </is>
      </c>
      <c r="Y3460" s="7" t="inlineStr"/>
    </row>
    <row r="3461">
      <c r="A3461" s="7" t="n">
        <v>658761</v>
      </c>
      <c r="B3461" s="12" t="inlineStr">
        <is>
          <t>0609963220588</t>
        </is>
      </c>
      <c r="C3461" s="7" t="inlineStr">
        <is>
          <t>PRINCIPIA SERUM CAP BAICAPIL SC-01 50ML</t>
        </is>
      </c>
      <c r="D3461" s="7" t="inlineStr">
        <is>
          <t>DERMOCOSMETICOS/COSMETICOS</t>
        </is>
      </c>
      <c r="E3461" s="7" t="inlineStr">
        <is>
          <t>B</t>
        </is>
      </c>
      <c r="F3461" s="13" t="n">
        <v>1</v>
      </c>
      <c r="G3461" s="13" t="n">
        <v>1</v>
      </c>
      <c r="H3461" s="8" t="n">
        <v>58.6</v>
      </c>
      <c r="I3461" s="8" t="n">
        <v>58.6</v>
      </c>
      <c r="J3461" s="8" t="n">
        <v>58.6</v>
      </c>
      <c r="K3461" s="8" t="n"/>
      <c r="L3461" s="8" t="n"/>
      <c r="M3461" s="8" t="n"/>
      <c r="N3461" s="8" t="n"/>
      <c r="O3461" s="8" t="n"/>
      <c r="P3461" s="8" t="n"/>
      <c r="Q3461" s="8" t="n"/>
      <c r="R3461" s="8" t="n"/>
      <c r="S3461" s="8" t="n"/>
      <c r="T3461" s="7" t="inlineStr">
        <is>
          <t>SEM COTAÇÃO</t>
        </is>
      </c>
      <c r="U3461" s="8" t="n"/>
      <c r="V3461" s="14" t="n"/>
      <c r="W3461" s="14" t="n"/>
      <c r="X3461" s="7" t="inlineStr"/>
      <c r="Y3461" s="7" t="inlineStr"/>
    </row>
    <row r="3462">
      <c r="A3462" s="7" t="n">
        <v>658721</v>
      </c>
      <c r="B3462" s="12" t="inlineStr">
        <is>
          <t>602883706477</t>
        </is>
      </c>
      <c r="C3462" s="7" t="inlineStr">
        <is>
          <t>PRINCIPIA SERUM FAC NIACINAM MIX-01 30ML</t>
        </is>
      </c>
      <c r="D3462" s="7" t="inlineStr">
        <is>
          <t>DERMOCOSMETICOS/COSMETICOS</t>
        </is>
      </c>
      <c r="E3462" s="7" t="inlineStr">
        <is>
          <t>A</t>
        </is>
      </c>
      <c r="F3462" s="13" t="n">
        <v>2</v>
      </c>
      <c r="G3462" s="13" t="n">
        <v>2</v>
      </c>
      <c r="H3462" s="8" t="n">
        <v>53.85</v>
      </c>
      <c r="I3462" s="8" t="n">
        <v>44.8</v>
      </c>
      <c r="J3462" s="8" t="n">
        <v>50.83333333333334</v>
      </c>
      <c r="K3462" s="8" t="n"/>
      <c r="L3462" s="8" t="n"/>
      <c r="M3462" s="8" t="n"/>
      <c r="N3462" s="8" t="n"/>
      <c r="O3462" s="8" t="n"/>
      <c r="P3462" s="15" t="n">
        <v>61.69</v>
      </c>
      <c r="Q3462" s="8" t="n"/>
      <c r="R3462" s="8" t="n"/>
      <c r="S3462" s="8" t="n"/>
      <c r="T3462" s="7" t="inlineStr">
        <is>
          <t>NAZARIA</t>
        </is>
      </c>
      <c r="U3462" s="8" t="n">
        <v>61.69</v>
      </c>
      <c r="V3462" s="14">
        <f>U3462/J3462-1</f>
        <v/>
      </c>
      <c r="W3462" s="14">
        <f>U3462/H3462-1</f>
        <v/>
      </c>
      <c r="X3462" s="16" t="inlineStr">
        <is>
          <t>ACIMA +14.6%</t>
        </is>
      </c>
      <c r="Y3462" s="7" t="inlineStr"/>
    </row>
    <row r="3463">
      <c r="A3463" s="7" t="n">
        <v>653141</v>
      </c>
      <c r="B3463" s="12" t="inlineStr">
        <is>
          <t>7896004010618</t>
        </is>
      </c>
      <c r="C3463" s="7" t="inlineStr">
        <is>
          <t>PRINGLES BATATA 105G PIZZA CALABRESA</t>
        </is>
      </c>
      <c r="D3463" s="7" t="inlineStr">
        <is>
          <t>CONVENIENCIA</t>
        </is>
      </c>
      <c r="E3463" s="7" t="inlineStr">
        <is>
          <t>C</t>
        </is>
      </c>
      <c r="F3463" s="13" t="n">
        <v>1</v>
      </c>
      <c r="G3463" s="13" t="n">
        <v>1</v>
      </c>
      <c r="H3463" s="8" t="n">
        <v>9.02</v>
      </c>
      <c r="I3463" s="8" t="n">
        <v>9.02</v>
      </c>
      <c r="J3463" s="8" t="n">
        <v>9.02</v>
      </c>
      <c r="K3463" s="8" t="n"/>
      <c r="L3463" s="8" t="n"/>
      <c r="M3463" s="8" t="n"/>
      <c r="N3463" s="8" t="n"/>
      <c r="O3463" s="8" t="n"/>
      <c r="P3463" s="8" t="n"/>
      <c r="Q3463" s="8" t="n"/>
      <c r="R3463" s="8" t="n"/>
      <c r="S3463" s="8" t="n"/>
      <c r="T3463" s="7" t="inlineStr">
        <is>
          <t>SEM COTAÇÃO</t>
        </is>
      </c>
      <c r="U3463" s="8" t="n"/>
      <c r="V3463" s="14" t="n"/>
      <c r="W3463" s="14" t="n"/>
      <c r="X3463" s="7" t="inlineStr"/>
      <c r="Y3463" s="7" t="inlineStr"/>
    </row>
    <row r="3464">
      <c r="A3464" s="7" t="n">
        <v>653131</v>
      </c>
      <c r="B3464" s="12" t="inlineStr">
        <is>
          <t>7896004010625</t>
        </is>
      </c>
      <c r="C3464" s="7" t="inlineStr">
        <is>
          <t>PRINGLES BATATA 105G PIZZA MARGUERITA</t>
        </is>
      </c>
      <c r="D3464" s="7" t="inlineStr">
        <is>
          <t>CONVENIENCIA</t>
        </is>
      </c>
      <c r="E3464" s="7" t="inlineStr">
        <is>
          <t>C</t>
        </is>
      </c>
      <c r="F3464" s="13" t="n">
        <v>1</v>
      </c>
      <c r="G3464" s="13" t="n">
        <v>1</v>
      </c>
      <c r="H3464" s="8" t="n">
        <v>9.02</v>
      </c>
      <c r="I3464" s="8" t="n">
        <v>9.02</v>
      </c>
      <c r="J3464" s="8" t="n">
        <v>9.02</v>
      </c>
      <c r="K3464" s="8" t="n"/>
      <c r="L3464" s="8" t="n"/>
      <c r="M3464" s="8" t="n"/>
      <c r="N3464" s="8" t="n"/>
      <c r="O3464" s="8" t="n"/>
      <c r="P3464" s="8" t="n"/>
      <c r="Q3464" s="8" t="n"/>
      <c r="R3464" s="8" t="n"/>
      <c r="S3464" s="8" t="n"/>
      <c r="T3464" s="7" t="inlineStr">
        <is>
          <t>SEM COTAÇÃO</t>
        </is>
      </c>
      <c r="U3464" s="8" t="n"/>
      <c r="V3464" s="14" t="n"/>
      <c r="W3464" s="14" t="n"/>
      <c r="X3464" s="7" t="inlineStr"/>
      <c r="Y3464" s="7" t="inlineStr"/>
    </row>
    <row r="3465">
      <c r="A3465" s="7" t="n">
        <v>653121</v>
      </c>
      <c r="B3465" s="12" t="inlineStr">
        <is>
          <t>7896004010632</t>
        </is>
      </c>
      <c r="C3465" s="7" t="inlineStr">
        <is>
          <t>PRINGLES BATATA 105G PIZZA PORTUGUESA</t>
        </is>
      </c>
      <c r="D3465" s="7" t="inlineStr">
        <is>
          <t>CONVENIENCIA</t>
        </is>
      </c>
      <c r="E3465" s="7" t="inlineStr">
        <is>
          <t>C</t>
        </is>
      </c>
      <c r="F3465" s="13" t="n">
        <v>1</v>
      </c>
      <c r="G3465" s="13" t="n">
        <v>1</v>
      </c>
      <c r="H3465" s="8" t="n">
        <v>9.02</v>
      </c>
      <c r="I3465" s="8" t="n">
        <v>9.02</v>
      </c>
      <c r="J3465" s="8" t="n">
        <v>9.02</v>
      </c>
      <c r="K3465" s="8" t="n"/>
      <c r="L3465" s="8" t="n"/>
      <c r="M3465" s="8" t="n"/>
      <c r="N3465" s="8" t="n"/>
      <c r="O3465" s="8" t="n"/>
      <c r="P3465" s="8" t="n"/>
      <c r="Q3465" s="8" t="n"/>
      <c r="R3465" s="8" t="n"/>
      <c r="S3465" s="8" t="n"/>
      <c r="T3465" s="7" t="inlineStr">
        <is>
          <t>SEM COTAÇÃO</t>
        </is>
      </c>
      <c r="U3465" s="8" t="n"/>
      <c r="V3465" s="14" t="n"/>
      <c r="W3465" s="14" t="n"/>
      <c r="X3465" s="7" t="inlineStr"/>
      <c r="Y3465" s="7" t="inlineStr"/>
    </row>
    <row r="3466">
      <c r="A3466" s="7" t="n">
        <v>644221</v>
      </c>
      <c r="B3466" s="12" t="inlineStr">
        <is>
          <t>7898636193622</t>
        </is>
      </c>
      <c r="C3466" s="7" t="inlineStr">
        <is>
          <t>PROCTAN 25G C/ 10 LUVAS-OUTROS</t>
        </is>
      </c>
      <c r="D3466" s="7" t="inlineStr">
        <is>
          <t>RX - OTC</t>
        </is>
      </c>
      <c r="E3466" s="7" t="inlineStr">
        <is>
          <t>A</t>
        </is>
      </c>
      <c r="F3466" s="13" t="n">
        <v>1</v>
      </c>
      <c r="G3466" s="13" t="n">
        <v>1</v>
      </c>
      <c r="H3466" s="8" t="n">
        <v>44.71</v>
      </c>
      <c r="I3466" s="8" t="n">
        <v>34.175</v>
      </c>
      <c r="J3466" s="8" t="n">
        <v>37.9211</v>
      </c>
      <c r="K3466" s="8" t="n"/>
      <c r="L3466" s="8" t="n"/>
      <c r="M3466" s="15" t="n">
        <v>41.77</v>
      </c>
      <c r="N3466" s="8" t="n"/>
      <c r="O3466" s="8" t="n"/>
      <c r="P3466" s="8" t="n">
        <v>47.87</v>
      </c>
      <c r="Q3466" s="8" t="n"/>
      <c r="R3466" s="8" t="n"/>
      <c r="S3466" s="8" t="n"/>
      <c r="T3466" s="7" t="inlineStr">
        <is>
          <t>EPAN</t>
        </is>
      </c>
      <c r="U3466" s="8" t="n">
        <v>41.77</v>
      </c>
      <c r="V3466" s="14">
        <f>U3466/J3466-1</f>
        <v/>
      </c>
      <c r="W3466" s="14">
        <f>U3466/H3466-1</f>
        <v/>
      </c>
      <c r="X3466" s="17" t="inlineStr">
        <is>
          <t>OK (≤ últ. compra)</t>
        </is>
      </c>
      <c r="Y3466" s="7" t="inlineStr"/>
    </row>
    <row r="3467">
      <c r="A3467" s="7" t="n">
        <v>543021</v>
      </c>
      <c r="B3467" s="12" t="inlineStr">
        <is>
          <t>7898949409465</t>
        </is>
      </c>
      <c r="C3467" s="7" t="inlineStr">
        <is>
          <t>PROCTAN 25G POMADA GENO %DN:0.00</t>
        </is>
      </c>
      <c r="D3467" s="7" t="inlineStr">
        <is>
          <t>RX - OTC</t>
        </is>
      </c>
      <c r="E3467" s="7" t="inlineStr">
        <is>
          <t>A</t>
        </is>
      </c>
      <c r="F3467" s="13" t="n">
        <v>3</v>
      </c>
      <c r="G3467" s="13" t="n">
        <v>3</v>
      </c>
      <c r="H3467" s="8" t="n">
        <v>41.765</v>
      </c>
      <c r="I3467" s="8" t="n">
        <v>34.1775</v>
      </c>
      <c r="J3467" s="8" t="n">
        <v>38.41583333333333</v>
      </c>
      <c r="K3467" s="8" t="n"/>
      <c r="L3467" s="8" t="n"/>
      <c r="M3467" s="15" t="n">
        <v>41.77</v>
      </c>
      <c r="N3467" s="8" t="n"/>
      <c r="O3467" s="8" t="n"/>
      <c r="P3467" s="8" t="n">
        <v>47.87</v>
      </c>
      <c r="Q3467" s="8" t="n"/>
      <c r="R3467" s="8" t="n"/>
      <c r="S3467" s="8" t="n"/>
      <c r="T3467" s="7" t="inlineStr">
        <is>
          <t>EPAN</t>
        </is>
      </c>
      <c r="U3467" s="8" t="n">
        <v>41.77</v>
      </c>
      <c r="V3467" s="14">
        <f>U3467/J3467-1</f>
        <v/>
      </c>
      <c r="W3467" s="14">
        <f>U3467/H3467-1</f>
        <v/>
      </c>
      <c r="X3467" s="16" t="inlineStr">
        <is>
          <t>ACIMA +0.0%</t>
        </is>
      </c>
      <c r="Y3467" s="7" t="inlineStr"/>
    </row>
    <row r="3468">
      <c r="A3468" s="7" t="n">
        <v>405861</v>
      </c>
      <c r="B3468" s="12" t="inlineStr">
        <is>
          <t>7896641801792</t>
        </is>
      </c>
      <c r="C3468" s="7" t="inlineStr">
        <is>
          <t>PROCTYL POM BG 30G</t>
        </is>
      </c>
      <c r="D3468" s="7" t="inlineStr">
        <is>
          <t>RX - OTC</t>
        </is>
      </c>
      <c r="E3468" s="7" t="inlineStr">
        <is>
          <t>A</t>
        </is>
      </c>
      <c r="F3468" s="13" t="n">
        <v>3</v>
      </c>
      <c r="G3468" s="13" t="n">
        <v>3</v>
      </c>
      <c r="H3468" s="8" t="n">
        <v>84.06999999999999</v>
      </c>
      <c r="I3468" s="8" t="n">
        <v>65.70999999999999</v>
      </c>
      <c r="J3468" s="8" t="n">
        <v>73.27499999999999</v>
      </c>
      <c r="K3468" s="8" t="n"/>
      <c r="L3468" s="8" t="n"/>
      <c r="M3468" s="8" t="n">
        <v>84.06999999999999</v>
      </c>
      <c r="N3468" s="8" t="n"/>
      <c r="O3468" s="8" t="n"/>
      <c r="P3468" s="15" t="n">
        <v>83.40000000000001</v>
      </c>
      <c r="Q3468" s="8" t="n"/>
      <c r="R3468" s="8" t="n"/>
      <c r="S3468" s="8" t="n"/>
      <c r="T3468" s="7" t="inlineStr">
        <is>
          <t>NAZARIA</t>
        </is>
      </c>
      <c r="U3468" s="8" t="n">
        <v>83.40000000000001</v>
      </c>
      <c r="V3468" s="14">
        <f>U3468/J3468-1</f>
        <v/>
      </c>
      <c r="W3468" s="14">
        <f>U3468/H3468-1</f>
        <v/>
      </c>
      <c r="X3468" s="17" t="inlineStr">
        <is>
          <t>OK (≤ últ. compra)</t>
        </is>
      </c>
      <c r="Y3468" s="7" t="inlineStr"/>
    </row>
    <row r="3469">
      <c r="A3469" s="7" t="n">
        <v>96361</v>
      </c>
      <c r="B3469" s="12" t="inlineStr">
        <is>
          <t>7896070601871</t>
        </is>
      </c>
      <c r="C3469" s="7" t="inlineStr">
        <is>
          <t>PROFENID 50MG SOL INJ CX 6 AMP X 2ML</t>
        </is>
      </c>
      <c r="D3469" s="7" t="inlineStr">
        <is>
          <t>RX</t>
        </is>
      </c>
      <c r="E3469" s="7" t="inlineStr">
        <is>
          <t>C</t>
        </is>
      </c>
      <c r="F3469" s="13" t="n">
        <v>1</v>
      </c>
      <c r="G3469" s="13" t="n">
        <v>3</v>
      </c>
      <c r="H3469" s="8" t="n">
        <v>5.3083</v>
      </c>
      <c r="I3469" s="8" t="n">
        <v>5.0654</v>
      </c>
      <c r="J3469" s="8" t="n">
        <v>5.227333333333333</v>
      </c>
      <c r="K3469" s="8" t="n"/>
      <c r="L3469" s="8" t="n"/>
      <c r="M3469" s="8" t="n">
        <v>5.308333333333334</v>
      </c>
      <c r="N3469" s="8" t="n"/>
      <c r="O3469" s="8" t="n"/>
      <c r="P3469" s="15" t="n">
        <v>5.242249999999999</v>
      </c>
      <c r="Q3469" s="8" t="n"/>
      <c r="R3469" s="8" t="n"/>
      <c r="S3469" s="8" t="n"/>
      <c r="T3469" s="7" t="inlineStr">
        <is>
          <t>NAZARIA</t>
        </is>
      </c>
      <c r="U3469" s="8" t="n">
        <v>5.242249999999999</v>
      </c>
      <c r="V3469" s="14">
        <f>U3469/J3469-1</f>
        <v/>
      </c>
      <c r="W3469" s="14">
        <f>U3469/H3469-1</f>
        <v/>
      </c>
      <c r="X3469" s="17" t="inlineStr">
        <is>
          <t>OK (≤ últ. compra)</t>
        </is>
      </c>
      <c r="Y3469" s="7" t="inlineStr">
        <is>
          <t>EPAN: 1 emb = 6 un; NAZARIA: 1 emb = 6 un</t>
        </is>
      </c>
    </row>
    <row r="3470">
      <c r="A3470" s="7" t="n">
        <v>597551</v>
      </c>
      <c r="B3470" s="12" t="inlineStr">
        <is>
          <t>7898616753549</t>
        </is>
      </c>
      <c r="C3470" s="7" t="inlineStr">
        <is>
          <t>PROHIBIDO 3VS CITRUS 180G</t>
        </is>
      </c>
      <c r="D3470" s="7" t="inlineStr">
        <is>
          <t>SUPLEMENTO</t>
        </is>
      </c>
      <c r="E3470" s="7" t="inlineStr">
        <is>
          <t>C</t>
        </is>
      </c>
      <c r="F3470" s="13" t="n">
        <v>1</v>
      </c>
      <c r="G3470" s="13" t="n">
        <v>1</v>
      </c>
      <c r="H3470" s="8" t="n">
        <v>56.1533</v>
      </c>
      <c r="I3470" s="8" t="n">
        <v>56.1533</v>
      </c>
      <c r="J3470" s="8" t="n">
        <v>56.1533</v>
      </c>
      <c r="K3470" s="8" t="n"/>
      <c r="L3470" s="8" t="n"/>
      <c r="M3470" s="8" t="n"/>
      <c r="N3470" s="8" t="n"/>
      <c r="O3470" s="8" t="n"/>
      <c r="P3470" s="8" t="n"/>
      <c r="Q3470" s="8" t="n"/>
      <c r="R3470" s="8" t="n"/>
      <c r="S3470" s="8" t="n"/>
      <c r="T3470" s="7" t="inlineStr">
        <is>
          <t>SEM COTAÇÃO</t>
        </is>
      </c>
      <c r="U3470" s="8" t="n"/>
      <c r="V3470" s="14" t="n"/>
      <c r="W3470" s="14" t="n"/>
      <c r="X3470" s="7" t="inlineStr"/>
      <c r="Y3470" s="7" t="inlineStr"/>
    </row>
    <row r="3471">
      <c r="A3471" s="7" t="n">
        <v>602031</v>
      </c>
      <c r="B3471" s="12" t="inlineStr">
        <is>
          <t>7898616753068</t>
        </is>
      </c>
      <c r="C3471" s="7" t="inlineStr">
        <is>
          <t>PROHIBIDO 3VS CITRUS 360G</t>
        </is>
      </c>
      <c r="D3471" s="7" t="inlineStr">
        <is>
          <t>SUPLEMENTO</t>
        </is>
      </c>
      <c r="E3471" s="7" t="inlineStr">
        <is>
          <t>B</t>
        </is>
      </c>
      <c r="F3471" s="13" t="n">
        <v>1</v>
      </c>
      <c r="G3471" s="13" t="n">
        <v>1</v>
      </c>
      <c r="H3471" s="8" t="n">
        <v>91.98999999999999</v>
      </c>
      <c r="I3471" s="8" t="n">
        <v>91.98999999999999</v>
      </c>
      <c r="J3471" s="8" t="n">
        <v>91.98999999999999</v>
      </c>
      <c r="K3471" s="8" t="n"/>
      <c r="L3471" s="8" t="n"/>
      <c r="M3471" s="8" t="n"/>
      <c r="N3471" s="8" t="n"/>
      <c r="O3471" s="8" t="n"/>
      <c r="P3471" s="8" t="n"/>
      <c r="Q3471" s="8" t="n"/>
      <c r="R3471" s="8" t="n"/>
      <c r="S3471" s="15" t="n">
        <v>117</v>
      </c>
      <c r="T3471" s="7" t="inlineStr">
        <is>
          <t>AT_SUPLEMENTOS</t>
        </is>
      </c>
      <c r="U3471" s="8" t="n">
        <v>117</v>
      </c>
      <c r="V3471" s="14">
        <f>U3471/J3471-1</f>
        <v/>
      </c>
      <c r="W3471" s="14">
        <f>U3471/H3471-1</f>
        <v/>
      </c>
      <c r="X3471" s="16" t="inlineStr">
        <is>
          <t>ACIMA +27.2%</t>
        </is>
      </c>
      <c r="Y3471" s="7" t="inlineStr"/>
    </row>
    <row r="3472">
      <c r="A3472" s="7" t="n">
        <v>638321</v>
      </c>
      <c r="B3472" s="12" t="inlineStr">
        <is>
          <t>7898616753556</t>
        </is>
      </c>
      <c r="C3472" s="7" t="inlineStr">
        <is>
          <t>PROHIBIDO 3VS COTTON CANDY 180G</t>
        </is>
      </c>
      <c r="D3472" s="7" t="inlineStr">
        <is>
          <t>SUPLEMENTO</t>
        </is>
      </c>
      <c r="E3472" s="7" t="inlineStr">
        <is>
          <t>C</t>
        </is>
      </c>
      <c r="F3472" s="13" t="n">
        <v>1</v>
      </c>
      <c r="G3472" s="13" t="n">
        <v>1</v>
      </c>
      <c r="H3472" s="8" t="n">
        <v>56.1533</v>
      </c>
      <c r="I3472" s="8" t="n">
        <v>56.1533</v>
      </c>
      <c r="J3472" s="8" t="n">
        <v>56.1533</v>
      </c>
      <c r="K3472" s="8" t="n"/>
      <c r="L3472" s="8" t="n"/>
      <c r="M3472" s="8" t="n"/>
      <c r="N3472" s="8" t="n"/>
      <c r="O3472" s="8" t="n"/>
      <c r="P3472" s="8" t="n"/>
      <c r="Q3472" s="8" t="n"/>
      <c r="R3472" s="8" t="n"/>
      <c r="S3472" s="15" t="n">
        <v>63</v>
      </c>
      <c r="T3472" s="7" t="inlineStr">
        <is>
          <t>AT_SUPLEMENTOS</t>
        </is>
      </c>
      <c r="U3472" s="8" t="n">
        <v>63</v>
      </c>
      <c r="V3472" s="14">
        <f>U3472/J3472-1</f>
        <v/>
      </c>
      <c r="W3472" s="14">
        <f>U3472/H3472-1</f>
        <v/>
      </c>
      <c r="X3472" s="16" t="inlineStr">
        <is>
          <t>ACIMA +12.2%</t>
        </is>
      </c>
      <c r="Y3472" s="7" t="inlineStr"/>
    </row>
    <row r="3473">
      <c r="A3473" s="7" t="n">
        <v>650881</v>
      </c>
      <c r="B3473" s="12" t="inlineStr">
        <is>
          <t>7898616753570</t>
        </is>
      </c>
      <c r="C3473" s="7" t="inlineStr">
        <is>
          <t>PROHIBIDO 3VS FRUIT PUNCH 180G</t>
        </is>
      </c>
      <c r="D3473" s="7" t="inlineStr">
        <is>
          <t>SUPLEMENTO</t>
        </is>
      </c>
      <c r="E3473" s="7" t="inlineStr">
        <is>
          <t>C</t>
        </is>
      </c>
      <c r="F3473" s="13" t="n">
        <v>1</v>
      </c>
      <c r="G3473" s="13" t="n">
        <v>1</v>
      </c>
      <c r="H3473" s="8" t="n">
        <v>56.1533</v>
      </c>
      <c r="I3473" s="8" t="n">
        <v>56.1533</v>
      </c>
      <c r="J3473" s="8" t="n">
        <v>56.1533</v>
      </c>
      <c r="K3473" s="8" t="n"/>
      <c r="L3473" s="8" t="n"/>
      <c r="M3473" s="8" t="n"/>
      <c r="N3473" s="8" t="n"/>
      <c r="O3473" s="8" t="n"/>
      <c r="P3473" s="8" t="n"/>
      <c r="Q3473" s="8" t="n"/>
      <c r="R3473" s="8" t="n"/>
      <c r="S3473" s="15" t="n">
        <v>63</v>
      </c>
      <c r="T3473" s="7" t="inlineStr">
        <is>
          <t>AT_SUPLEMENTOS</t>
        </is>
      </c>
      <c r="U3473" s="8" t="n">
        <v>63</v>
      </c>
      <c r="V3473" s="14">
        <f>U3473/J3473-1</f>
        <v/>
      </c>
      <c r="W3473" s="14">
        <f>U3473/H3473-1</f>
        <v/>
      </c>
      <c r="X3473" s="16" t="inlineStr">
        <is>
          <t>ACIMA +12.2%</t>
        </is>
      </c>
      <c r="Y3473" s="7" t="inlineStr"/>
    </row>
    <row r="3474">
      <c r="A3474" s="7" t="n">
        <v>650891</v>
      </c>
      <c r="B3474" s="12" t="inlineStr">
        <is>
          <t>7898616753563</t>
        </is>
      </c>
      <c r="C3474" s="7" t="inlineStr">
        <is>
          <t>PROHIBIDO 3VS STRAWBERRY MARGARITA 180G</t>
        </is>
      </c>
      <c r="D3474" s="7" t="inlineStr">
        <is>
          <t>SUPLEMENTO</t>
        </is>
      </c>
      <c r="E3474" s="7" t="inlineStr">
        <is>
          <t>C</t>
        </is>
      </c>
      <c r="F3474" s="13" t="n">
        <v>1</v>
      </c>
      <c r="G3474" s="13" t="n">
        <v>1</v>
      </c>
      <c r="H3474" s="8" t="n">
        <v>56.15</v>
      </c>
      <c r="I3474" s="8" t="n">
        <v>56.15</v>
      </c>
      <c r="J3474" s="8" t="n">
        <v>56.15</v>
      </c>
      <c r="K3474" s="8" t="n"/>
      <c r="L3474" s="8" t="n"/>
      <c r="M3474" s="8" t="n"/>
      <c r="N3474" s="8" t="n"/>
      <c r="O3474" s="8" t="n"/>
      <c r="P3474" s="8" t="n"/>
      <c r="Q3474" s="8" t="n"/>
      <c r="R3474" s="8" t="n"/>
      <c r="S3474" s="15" t="n">
        <v>63</v>
      </c>
      <c r="T3474" s="7" t="inlineStr">
        <is>
          <t>AT_SUPLEMENTOS</t>
        </is>
      </c>
      <c r="U3474" s="8" t="n">
        <v>63</v>
      </c>
      <c r="V3474" s="14">
        <f>U3474/J3474-1</f>
        <v/>
      </c>
      <c r="W3474" s="14">
        <f>U3474/H3474-1</f>
        <v/>
      </c>
      <c r="X3474" s="16" t="inlineStr">
        <is>
          <t>ACIMA +12.2%</t>
        </is>
      </c>
      <c r="Y3474" s="7" t="inlineStr"/>
    </row>
    <row r="3475">
      <c r="A3475" s="7" t="n">
        <v>669481</v>
      </c>
      <c r="B3475" s="12" t="inlineStr">
        <is>
          <t>7896013508854</t>
        </is>
      </c>
      <c r="C3475" s="7" t="inlineStr">
        <is>
          <t>PROMOPACK 2 NATUCOR 1.7 PRETO AZ+QUERAT</t>
        </is>
      </c>
      <c r="D3475" s="7" t="inlineStr">
        <is>
          <t>TINTAS/DESCOLORANTES</t>
        </is>
      </c>
      <c r="E3475" s="7" t="inlineStr">
        <is>
          <t>C</t>
        </is>
      </c>
      <c r="F3475" s="13" t="n">
        <v>2</v>
      </c>
      <c r="G3475" s="13" t="n">
        <v>2</v>
      </c>
      <c r="H3475" s="8" t="n">
        <v>20.8</v>
      </c>
      <c r="I3475" s="8" t="n">
        <v>20.8</v>
      </c>
      <c r="J3475" s="8" t="n">
        <v>20.8</v>
      </c>
      <c r="K3475" s="8" t="n"/>
      <c r="L3475" s="8" t="n"/>
      <c r="M3475" s="8" t="n"/>
      <c r="N3475" s="8" t="n"/>
      <c r="O3475" s="8" t="n"/>
      <c r="P3475" s="8" t="n"/>
      <c r="Q3475" s="8" t="n"/>
      <c r="R3475" s="8" t="n"/>
      <c r="S3475" s="8" t="n"/>
      <c r="T3475" s="7" t="inlineStr">
        <is>
          <t>SEM COTAÇÃO</t>
        </is>
      </c>
      <c r="U3475" s="8" t="n"/>
      <c r="V3475" s="14" t="n"/>
      <c r="W3475" s="14" t="n"/>
      <c r="X3475" s="7" t="inlineStr"/>
      <c r="Y3475" s="7" t="inlineStr"/>
    </row>
    <row r="3476">
      <c r="A3476" s="7" t="n">
        <v>414621</v>
      </c>
      <c r="B3476" s="12" t="inlineStr">
        <is>
          <t>7895296210324</t>
        </is>
      </c>
      <c r="C3476" s="7" t="inlineStr">
        <is>
          <t>PROPIONATO DE CLOBETASOL 0,5MG/G CREME DERM BG 30G</t>
        </is>
      </c>
      <c r="D3476" s="7" t="inlineStr">
        <is>
          <t>GENERICO</t>
        </is>
      </c>
      <c r="E3476" s="7" t="inlineStr">
        <is>
          <t>C</t>
        </is>
      </c>
      <c r="F3476" s="13" t="n">
        <v>7</v>
      </c>
      <c r="G3476" s="13" t="n">
        <v>7</v>
      </c>
      <c r="H3476" s="8" t="n">
        <v>6.19</v>
      </c>
      <c r="I3476" s="8" t="n">
        <v>6.19</v>
      </c>
      <c r="J3476" s="8" t="n">
        <v>6.19</v>
      </c>
      <c r="K3476" s="8" t="n">
        <v>6.92</v>
      </c>
      <c r="L3476" s="8" t="n">
        <v>6.85</v>
      </c>
      <c r="M3476" s="8" t="n"/>
      <c r="N3476" s="8" t="n"/>
      <c r="O3476" s="8" t="n"/>
      <c r="P3476" s="8" t="n"/>
      <c r="Q3476" s="8" t="n">
        <v>7.28</v>
      </c>
      <c r="R3476" s="15" t="n">
        <v>6.41</v>
      </c>
      <c r="S3476" s="8" t="n"/>
      <c r="T3476" s="7" t="inlineStr">
        <is>
          <t>BRASFARMA</t>
        </is>
      </c>
      <c r="U3476" s="8" t="n">
        <v>6.41</v>
      </c>
      <c r="V3476" s="14">
        <f>U3476/J3476-1</f>
        <v/>
      </c>
      <c r="W3476" s="14">
        <f>U3476/H3476-1</f>
        <v/>
      </c>
      <c r="X3476" s="16" t="inlineStr">
        <is>
          <t>ACIMA +3.6%</t>
        </is>
      </c>
      <c r="Y3476" s="7" t="inlineStr"/>
    </row>
    <row r="3477">
      <c r="A3477" s="7" t="n">
        <v>650761</v>
      </c>
      <c r="B3477" s="12" t="inlineStr"/>
      <c r="C3477" s="7" t="inlineStr">
        <is>
          <t>PROPOFLEX SPRAY TUTI FRUTI KIDS 35ML - APIS VIDA</t>
        </is>
      </c>
      <c r="D3477" s="7" t="inlineStr">
        <is>
          <t>SIMILAR</t>
        </is>
      </c>
      <c r="E3477" s="7" t="inlineStr">
        <is>
          <t>C</t>
        </is>
      </c>
      <c r="F3477" s="13" t="n">
        <v>1</v>
      </c>
      <c r="G3477" s="13" t="n">
        <v>1</v>
      </c>
      <c r="H3477" s="8" t="n">
        <v>14.96</v>
      </c>
      <c r="I3477" s="8" t="n">
        <v>14.96</v>
      </c>
      <c r="J3477" s="8" t="n">
        <v>14.96</v>
      </c>
      <c r="K3477" s="8" t="n"/>
      <c r="L3477" s="8" t="n"/>
      <c r="M3477" s="8" t="n"/>
      <c r="N3477" s="8" t="n"/>
      <c r="O3477" s="8" t="n"/>
      <c r="P3477" s="8" t="n"/>
      <c r="Q3477" s="8" t="n"/>
      <c r="R3477" s="8" t="n"/>
      <c r="S3477" s="8" t="n"/>
      <c r="T3477" s="7" t="inlineStr">
        <is>
          <t>SEM COTAÇÃO</t>
        </is>
      </c>
      <c r="U3477" s="8" t="n"/>
      <c r="V3477" s="14" t="n"/>
      <c r="W3477" s="14" t="n"/>
      <c r="X3477" s="7" t="inlineStr"/>
      <c r="Y3477" s="7" t="inlineStr"/>
    </row>
    <row r="3478">
      <c r="A3478" s="7" t="n">
        <v>641811</v>
      </c>
      <c r="B3478" s="12" t="inlineStr">
        <is>
          <t>7897732609433</t>
        </is>
      </c>
      <c r="C3478" s="7" t="inlineStr">
        <is>
          <t>PROPZINCO SPR MEL30ML</t>
        </is>
      </c>
      <c r="D3478" s="7" t="inlineStr">
        <is>
          <t>SIMILAR</t>
        </is>
      </c>
      <c r="E3478" s="7" t="inlineStr">
        <is>
          <t>C</t>
        </is>
      </c>
      <c r="F3478" s="13" t="n">
        <v>2</v>
      </c>
      <c r="G3478" s="13" t="n">
        <v>2</v>
      </c>
      <c r="H3478" s="8" t="n">
        <v>8.029999999999999</v>
      </c>
      <c r="I3478" s="8" t="n">
        <v>8.029999999999999</v>
      </c>
      <c r="J3478" s="8" t="n">
        <v>8.029999999999999</v>
      </c>
      <c r="K3478" s="8" t="n"/>
      <c r="L3478" s="8" t="n"/>
      <c r="M3478" s="8" t="n"/>
      <c r="N3478" s="8" t="n"/>
      <c r="O3478" s="8" t="n"/>
      <c r="P3478" s="8" t="n">
        <v>8.109999999999999</v>
      </c>
      <c r="Q3478" s="8" t="n"/>
      <c r="R3478" s="8" t="n"/>
      <c r="S3478" s="8" t="n"/>
      <c r="T3478" s="7" t="inlineStr">
        <is>
          <t>SEM COTAÇÃO</t>
        </is>
      </c>
      <c r="U3478" s="8" t="n"/>
      <c r="V3478" s="14" t="n"/>
      <c r="W3478" s="14" t="n"/>
      <c r="X3478" s="7" t="inlineStr"/>
      <c r="Y3478" s="7" t="inlineStr">
        <is>
          <t>NAZARIA: sem estoque</t>
        </is>
      </c>
    </row>
    <row r="3479">
      <c r="A3479" s="7" t="n">
        <v>641821</v>
      </c>
      <c r="B3479" s="12" t="inlineStr">
        <is>
          <t>7897732609464</t>
        </is>
      </c>
      <c r="C3479" s="7" t="inlineStr">
        <is>
          <t>PROPZINCO SPR MENTA 30ML</t>
        </is>
      </c>
      <c r="D3479" s="7" t="inlineStr">
        <is>
          <t>RX</t>
        </is>
      </c>
      <c r="E3479" s="7" t="inlineStr">
        <is>
          <t>C</t>
        </is>
      </c>
      <c r="F3479" s="13" t="n">
        <v>2</v>
      </c>
      <c r="G3479" s="13" t="n">
        <v>2</v>
      </c>
      <c r="H3479" s="8" t="n">
        <v>8.029999999999999</v>
      </c>
      <c r="I3479" s="8" t="n">
        <v>7.55</v>
      </c>
      <c r="J3479" s="8" t="n">
        <v>7.55</v>
      </c>
      <c r="K3479" s="8" t="n"/>
      <c r="L3479" s="8" t="n"/>
      <c r="M3479" s="8" t="n"/>
      <c r="N3479" s="8" t="n"/>
      <c r="O3479" s="8" t="n"/>
      <c r="P3479" s="8" t="n">
        <v>8.109999999999999</v>
      </c>
      <c r="Q3479" s="8" t="n"/>
      <c r="R3479" s="8" t="n"/>
      <c r="S3479" s="8" t="n"/>
      <c r="T3479" s="7" t="inlineStr">
        <is>
          <t>SEM COTAÇÃO</t>
        </is>
      </c>
      <c r="U3479" s="8" t="n"/>
      <c r="V3479" s="14" t="n"/>
      <c r="W3479" s="14" t="n"/>
      <c r="X3479" s="7" t="inlineStr"/>
      <c r="Y3479" s="7" t="inlineStr">
        <is>
          <t>NAZARIA: sem estoque</t>
        </is>
      </c>
    </row>
    <row r="3480">
      <c r="A3480" s="7" t="n">
        <v>594451</v>
      </c>
      <c r="B3480" s="12" t="inlineStr">
        <is>
          <t>7891010087722</t>
        </is>
      </c>
      <c r="C3480" s="7" t="inlineStr">
        <is>
          <t>PROT DIAR CAREFREE PROTECAO C/PERF 15UN</t>
        </is>
      </c>
      <c r="D3480" s="7" t="inlineStr">
        <is>
          <t>PERF/COSME</t>
        </is>
      </c>
      <c r="E3480" s="7" t="inlineStr">
        <is>
          <t>C</t>
        </is>
      </c>
      <c r="F3480" s="13" t="n">
        <v>2</v>
      </c>
      <c r="G3480" s="13" t="n">
        <v>2</v>
      </c>
      <c r="H3480" s="8" t="n">
        <v>7.1408</v>
      </c>
      <c r="I3480" s="8" t="n">
        <v>7.1408</v>
      </c>
      <c r="J3480" s="8" t="n">
        <v>7.1408</v>
      </c>
      <c r="K3480" s="8" t="n"/>
      <c r="L3480" s="8" t="n"/>
      <c r="M3480" s="8" t="n"/>
      <c r="N3480" s="8" t="n"/>
      <c r="O3480" s="8" t="n"/>
      <c r="P3480" s="15" t="n">
        <v>7.82</v>
      </c>
      <c r="Q3480" s="8" t="n"/>
      <c r="R3480" s="8" t="n"/>
      <c r="S3480" s="8" t="n"/>
      <c r="T3480" s="7" t="inlineStr">
        <is>
          <t>NAZARIA</t>
        </is>
      </c>
      <c r="U3480" s="8" t="n">
        <v>7.82</v>
      </c>
      <c r="V3480" s="14">
        <f>U3480/J3480-1</f>
        <v/>
      </c>
      <c r="W3480" s="14">
        <f>U3480/H3480-1</f>
        <v/>
      </c>
      <c r="X3480" s="16" t="inlineStr">
        <is>
          <t>ACIMA +9.5%</t>
        </is>
      </c>
      <c r="Y3480" s="7" t="inlineStr"/>
    </row>
    <row r="3481">
      <c r="A3481" s="7" t="n">
        <v>594541</v>
      </c>
      <c r="B3481" s="12" t="inlineStr">
        <is>
          <t>7500435125826</t>
        </is>
      </c>
      <c r="C3481" s="7" t="inlineStr">
        <is>
          <t>PROT DIARIO ALW S/PERFUME C/40 PROMO</t>
        </is>
      </c>
      <c r="D3481" s="7" t="inlineStr">
        <is>
          <t>PERF/COSME</t>
        </is>
      </c>
      <c r="E3481" s="7" t="inlineStr">
        <is>
          <t>C</t>
        </is>
      </c>
      <c r="F3481" s="13" t="n">
        <v>1</v>
      </c>
      <c r="G3481" s="13" t="n">
        <v>1</v>
      </c>
      <c r="H3481" s="8" t="n">
        <v>14.47</v>
      </c>
      <c r="I3481" s="8" t="n">
        <v>14.47</v>
      </c>
      <c r="J3481" s="8" t="n">
        <v>14.47</v>
      </c>
      <c r="K3481" s="8" t="n"/>
      <c r="L3481" s="8" t="n"/>
      <c r="M3481" s="8" t="n"/>
      <c r="N3481" s="8" t="n"/>
      <c r="O3481" s="8" t="n"/>
      <c r="P3481" s="8" t="n"/>
      <c r="Q3481" s="8" t="n"/>
      <c r="R3481" s="8" t="n"/>
      <c r="S3481" s="8" t="n"/>
      <c r="T3481" s="7" t="inlineStr">
        <is>
          <t>SEM COTAÇÃO</t>
        </is>
      </c>
      <c r="U3481" s="8" t="n"/>
      <c r="V3481" s="14" t="n"/>
      <c r="W3481" s="14" t="n"/>
      <c r="X3481" s="7" t="inlineStr"/>
      <c r="Y3481" s="7" t="inlineStr"/>
    </row>
    <row r="3482">
      <c r="A3482" s="7" t="n">
        <v>659361</v>
      </c>
      <c r="B3482" s="12" t="inlineStr">
        <is>
          <t>7896227690390</t>
        </is>
      </c>
      <c r="C3482" s="7" t="inlineStr">
        <is>
          <t>PROT DIARIO COTTONBABY LADY S/ABAS C/40</t>
        </is>
      </c>
      <c r="D3482" s="7" t="inlineStr">
        <is>
          <t>ABSORVENTES</t>
        </is>
      </c>
      <c r="E3482" s="7" t="inlineStr">
        <is>
          <t>A</t>
        </is>
      </c>
      <c r="F3482" s="13" t="n">
        <v>3</v>
      </c>
      <c r="G3482" s="13" t="n">
        <v>3</v>
      </c>
      <c r="H3482" s="8" t="n">
        <v>6.89</v>
      </c>
      <c r="I3482" s="8" t="n">
        <v>6.89</v>
      </c>
      <c r="J3482" s="8" t="n">
        <v>6.89</v>
      </c>
      <c r="K3482" s="8" t="n"/>
      <c r="L3482" s="8" t="n"/>
      <c r="M3482" s="8" t="n"/>
      <c r="N3482" s="8" t="n"/>
      <c r="O3482" s="8" t="n"/>
      <c r="P3482" s="8" t="n"/>
      <c r="Q3482" s="8" t="n"/>
      <c r="R3482" s="8" t="n"/>
      <c r="S3482" s="8" t="n"/>
      <c r="T3482" s="7" t="inlineStr">
        <is>
          <t>SEM COTAÇÃO</t>
        </is>
      </c>
      <c r="U3482" s="8" t="n"/>
      <c r="V3482" s="14" t="n"/>
      <c r="W3482" s="14" t="n"/>
      <c r="X3482" s="7" t="inlineStr"/>
      <c r="Y3482" s="7" t="inlineStr"/>
    </row>
    <row r="3483">
      <c r="A3483" s="7" t="n">
        <v>649881</v>
      </c>
      <c r="B3483" s="12" t="inlineStr">
        <is>
          <t>7896007553365</t>
        </is>
      </c>
      <c r="C3483" s="7" t="inlineStr">
        <is>
          <t>PROT DIARIO INT DAYS LONGO EXT PROT C/48</t>
        </is>
      </c>
      <c r="D3483" s="7" t="inlineStr">
        <is>
          <t>ABSORVENTES</t>
        </is>
      </c>
      <c r="E3483" s="7" t="inlineStr">
        <is>
          <t>C</t>
        </is>
      </c>
      <c r="F3483" s="13" t="n">
        <v>1</v>
      </c>
      <c r="G3483" s="13" t="n">
        <v>1</v>
      </c>
      <c r="H3483" s="8" t="n">
        <v>11.6</v>
      </c>
      <c r="I3483" s="8" t="n">
        <v>11.6</v>
      </c>
      <c r="J3483" s="8" t="n">
        <v>11.6</v>
      </c>
      <c r="K3483" s="8" t="n"/>
      <c r="L3483" s="8" t="n"/>
      <c r="M3483" s="8" t="n"/>
      <c r="N3483" s="8" t="n"/>
      <c r="O3483" s="8" t="n"/>
      <c r="P3483" s="8" t="n"/>
      <c r="Q3483" s="8" t="n"/>
      <c r="R3483" s="8" t="n"/>
      <c r="S3483" s="8" t="n"/>
      <c r="T3483" s="7" t="inlineStr">
        <is>
          <t>SEM COTAÇÃO</t>
        </is>
      </c>
      <c r="U3483" s="8" t="n"/>
      <c r="V3483" s="14" t="n"/>
      <c r="W3483" s="14" t="n"/>
      <c r="X3483" s="7" t="inlineStr"/>
      <c r="Y3483" s="7" t="inlineStr"/>
    </row>
    <row r="3484">
      <c r="A3484" s="7" t="n">
        <v>661771</v>
      </c>
      <c r="B3484" s="12" t="inlineStr">
        <is>
          <t>7899852025780</t>
        </is>
      </c>
      <c r="C3484" s="7" t="inlineStr">
        <is>
          <t>PROT LAB VULT AMORA FPS15 3,5G-DEMAIS PROD</t>
        </is>
      </c>
      <c r="D3484" s="7" t="inlineStr">
        <is>
          <t>UTENSILIOS</t>
        </is>
      </c>
      <c r="E3484" s="7" t="inlineStr">
        <is>
          <t>C</t>
        </is>
      </c>
      <c r="F3484" s="13" t="n">
        <v>1</v>
      </c>
      <c r="G3484" s="13" t="n">
        <v>1</v>
      </c>
      <c r="H3484" s="8" t="n">
        <v>11.1</v>
      </c>
      <c r="I3484" s="8" t="n">
        <v>11.1</v>
      </c>
      <c r="J3484" s="8" t="n">
        <v>11.1</v>
      </c>
      <c r="K3484" s="8" t="n"/>
      <c r="L3484" s="8" t="n"/>
      <c r="M3484" s="8" t="n"/>
      <c r="N3484" s="8" t="n"/>
      <c r="O3484" s="8" t="n"/>
      <c r="P3484" s="15" t="n">
        <v>13.72</v>
      </c>
      <c r="Q3484" s="8" t="n"/>
      <c r="R3484" s="8" t="n"/>
      <c r="S3484" s="8" t="n"/>
      <c r="T3484" s="7" t="inlineStr">
        <is>
          <t>NAZARIA</t>
        </is>
      </c>
      <c r="U3484" s="8" t="n">
        <v>13.72</v>
      </c>
      <c r="V3484" s="14">
        <f>U3484/J3484-1</f>
        <v/>
      </c>
      <c r="W3484" s="14">
        <f>U3484/H3484-1</f>
        <v/>
      </c>
      <c r="X3484" s="16" t="inlineStr">
        <is>
          <t>ACIMA +23.6%</t>
        </is>
      </c>
      <c r="Y3484" s="7" t="inlineStr"/>
    </row>
    <row r="3485">
      <c r="A3485" s="7" t="n">
        <v>623561</v>
      </c>
      <c r="B3485" s="12" t="inlineStr">
        <is>
          <t>4005900921574</t>
        </is>
      </c>
      <c r="C3485" s="7" t="inlineStr">
        <is>
          <t>PROT LABIAL COLOR VERMELHO 4,8G-DEMAIS PROD</t>
        </is>
      </c>
      <c r="D3485" s="7" t="inlineStr">
        <is>
          <t>RX</t>
        </is>
      </c>
      <c r="E3485" s="7" t="inlineStr">
        <is>
          <t>C</t>
        </is>
      </c>
      <c r="F3485" s="13" t="n">
        <v>1</v>
      </c>
      <c r="G3485" s="13" t="n">
        <v>1</v>
      </c>
      <c r="H3485" s="8" t="n">
        <v>21.13</v>
      </c>
      <c r="I3485" s="8" t="n">
        <v>21.13</v>
      </c>
      <c r="J3485" s="8" t="n">
        <v>21.13</v>
      </c>
      <c r="K3485" s="8" t="n"/>
      <c r="L3485" s="8" t="n"/>
      <c r="M3485" s="8" t="n"/>
      <c r="N3485" s="8" t="n"/>
      <c r="O3485" s="8" t="n"/>
      <c r="P3485" s="8" t="n"/>
      <c r="Q3485" s="8" t="n"/>
      <c r="R3485" s="8" t="n"/>
      <c r="S3485" s="8" t="n"/>
      <c r="T3485" s="7" t="inlineStr">
        <is>
          <t>SEM COTAÇÃO</t>
        </is>
      </c>
      <c r="U3485" s="8" t="n"/>
      <c r="V3485" s="14" t="n"/>
      <c r="W3485" s="14" t="n"/>
      <c r="X3485" s="7" t="inlineStr"/>
      <c r="Y3485" s="7" t="inlineStr"/>
    </row>
    <row r="3486">
      <c r="A3486" s="7" t="n">
        <v>615371</v>
      </c>
      <c r="B3486" s="12" t="inlineStr">
        <is>
          <t>4005900904621</t>
        </is>
      </c>
      <c r="C3486" s="7" t="inlineStr">
        <is>
          <t>PROT NIVEA SOLAR SUN FACIAL TRIPLE ANTIAC FPS50 40ML</t>
        </is>
      </c>
      <c r="D3486" s="7" t="inlineStr">
        <is>
          <t>DESATIVADO</t>
        </is>
      </c>
      <c r="E3486" s="7" t="inlineStr">
        <is>
          <t>C</t>
        </is>
      </c>
      <c r="F3486" s="13" t="n">
        <v>1</v>
      </c>
      <c r="G3486" s="13" t="n">
        <v>1</v>
      </c>
      <c r="H3486" s="8" t="n">
        <v>35.8475</v>
      </c>
      <c r="I3486" s="8" t="n">
        <v>35.8475</v>
      </c>
      <c r="J3486" s="8" t="n">
        <v>35.8475</v>
      </c>
      <c r="K3486" s="8" t="n"/>
      <c r="L3486" s="8" t="n"/>
      <c r="M3486" s="8" t="n"/>
      <c r="N3486" s="8" t="n"/>
      <c r="O3486" s="8" t="n"/>
      <c r="P3486" s="8" t="n"/>
      <c r="Q3486" s="8" t="n"/>
      <c r="R3486" s="8" t="n"/>
      <c r="S3486" s="8" t="n"/>
      <c r="T3486" s="7" t="inlineStr">
        <is>
          <t>SEM COTAÇÃO</t>
        </is>
      </c>
      <c r="U3486" s="8" t="n"/>
      <c r="V3486" s="14" t="n"/>
      <c r="W3486" s="14" t="n"/>
      <c r="X3486" s="7" t="inlineStr"/>
      <c r="Y3486" s="7" t="inlineStr"/>
    </row>
    <row r="3487">
      <c r="A3487" s="7" t="n">
        <v>566961</v>
      </c>
      <c r="B3487" s="12" t="inlineStr">
        <is>
          <t>4005808555345</t>
        </is>
      </c>
      <c r="C3487" s="7" t="inlineStr">
        <is>
          <t>PROT NIVEA SOLAR SUN PROT  HIDRAT FPS50 200ML</t>
        </is>
      </c>
      <c r="D3487" s="7" t="inlineStr">
        <is>
          <t>RX - DERMO</t>
        </is>
      </c>
      <c r="E3487" s="7" t="inlineStr">
        <is>
          <t>A</t>
        </is>
      </c>
      <c r="F3487" s="13" t="n">
        <v>3</v>
      </c>
      <c r="G3487" s="13" t="n">
        <v>3</v>
      </c>
      <c r="H3487" s="8" t="n">
        <v>50.005</v>
      </c>
      <c r="I3487" s="8" t="n">
        <v>50.005</v>
      </c>
      <c r="J3487" s="8" t="n">
        <v>50.005</v>
      </c>
      <c r="K3487" s="8" t="n"/>
      <c r="L3487" s="8" t="n"/>
      <c r="M3487" s="15" t="n">
        <v>50.34</v>
      </c>
      <c r="N3487" s="8" t="n"/>
      <c r="O3487" s="8" t="n"/>
      <c r="P3487" s="8" t="n">
        <v>61.46</v>
      </c>
      <c r="Q3487" s="8" t="n"/>
      <c r="R3487" s="8" t="n"/>
      <c r="S3487" s="8" t="n"/>
      <c r="T3487" s="7" t="inlineStr">
        <is>
          <t>EPAN</t>
        </is>
      </c>
      <c r="U3487" s="8" t="n">
        <v>50.34</v>
      </c>
      <c r="V3487" s="14">
        <f>U3487/J3487-1</f>
        <v/>
      </c>
      <c r="W3487" s="14">
        <f>U3487/H3487-1</f>
        <v/>
      </c>
      <c r="X3487" s="16" t="inlineStr">
        <is>
          <t>ACIMA +0.7%</t>
        </is>
      </c>
      <c r="Y3487" s="7" t="inlineStr"/>
    </row>
    <row r="3488">
      <c r="A3488" s="7" t="n">
        <v>566981</v>
      </c>
      <c r="B3488" s="12" t="inlineStr">
        <is>
          <t>4005900308719</t>
        </is>
      </c>
      <c r="C3488" s="7" t="inlineStr">
        <is>
          <t>PROT NIVEA SOLAR SUN PROT  HIDRAT FPS70 200ML</t>
        </is>
      </c>
      <c r="D3488" s="7" t="inlineStr">
        <is>
          <t>DERMOCOSMETICOS/COSMETICOS</t>
        </is>
      </c>
      <c r="E3488" s="7" t="inlineStr">
        <is>
          <t>A</t>
        </is>
      </c>
      <c r="F3488" s="13" t="n">
        <v>1</v>
      </c>
      <c r="G3488" s="13" t="n">
        <v>1</v>
      </c>
      <c r="H3488" s="8" t="n">
        <v>51.4243</v>
      </c>
      <c r="I3488" s="8" t="n">
        <v>51.4243</v>
      </c>
      <c r="J3488" s="8" t="n">
        <v>51.4243</v>
      </c>
      <c r="K3488" s="8" t="n"/>
      <c r="L3488" s="8" t="n"/>
      <c r="M3488" s="8" t="n"/>
      <c r="N3488" s="8" t="n"/>
      <c r="O3488" s="8" t="n"/>
      <c r="P3488" s="15" t="n">
        <v>76.68000000000001</v>
      </c>
      <c r="Q3488" s="8" t="n"/>
      <c r="R3488" s="8" t="n"/>
      <c r="S3488" s="8" t="n"/>
      <c r="T3488" s="7" t="inlineStr">
        <is>
          <t>NAZARIA</t>
        </is>
      </c>
      <c r="U3488" s="8" t="n">
        <v>76.68000000000001</v>
      </c>
      <c r="V3488" s="14">
        <f>U3488/J3488-1</f>
        <v/>
      </c>
      <c r="W3488" s="14">
        <f>U3488/H3488-1</f>
        <v/>
      </c>
      <c r="X3488" s="16" t="inlineStr">
        <is>
          <t>ACIMA +49.1%</t>
        </is>
      </c>
      <c r="Y3488" s="7" t="inlineStr"/>
    </row>
    <row r="3489">
      <c r="A3489" s="7" t="n">
        <v>637681</v>
      </c>
      <c r="B3489" s="12" t="inlineStr">
        <is>
          <t>4005900980380</t>
        </is>
      </c>
      <c r="C3489" s="7" t="inlineStr">
        <is>
          <t>PROT NIVEA SUN FACIAL TOQUE SECO FPS30 40ML</t>
        </is>
      </c>
      <c r="D3489" s="7" t="inlineStr">
        <is>
          <t>RX - DERMO</t>
        </is>
      </c>
      <c r="E3489" s="7" t="inlineStr">
        <is>
          <t>B</t>
        </is>
      </c>
      <c r="F3489" s="13" t="n">
        <v>1</v>
      </c>
      <c r="G3489" s="13" t="n">
        <v>1</v>
      </c>
      <c r="H3489" s="8" t="n">
        <v>35.8</v>
      </c>
      <c r="I3489" s="8" t="n">
        <v>35.8</v>
      </c>
      <c r="J3489" s="8" t="n">
        <v>35.8</v>
      </c>
      <c r="K3489" s="8" t="n"/>
      <c r="L3489" s="8" t="n"/>
      <c r="M3489" s="8" t="n">
        <v>28.09</v>
      </c>
      <c r="N3489" s="8" t="n"/>
      <c r="O3489" s="8" t="n"/>
      <c r="P3489" s="15" t="n">
        <v>35.95</v>
      </c>
      <c r="Q3489" s="8" t="n"/>
      <c r="R3489" s="8" t="n"/>
      <c r="S3489" s="8" t="n"/>
      <c r="T3489" s="7" t="inlineStr">
        <is>
          <t>NAZARIA</t>
        </is>
      </c>
      <c r="U3489" s="8" t="n">
        <v>35.95</v>
      </c>
      <c r="V3489" s="14">
        <f>U3489/J3489-1</f>
        <v/>
      </c>
      <c r="W3489" s="14">
        <f>U3489/H3489-1</f>
        <v/>
      </c>
      <c r="X3489" s="16" t="inlineStr">
        <is>
          <t>ACIMA +0.4%</t>
        </is>
      </c>
      <c r="Y3489" s="7" t="inlineStr">
        <is>
          <t>EPAN: sem estoque</t>
        </is>
      </c>
    </row>
    <row r="3490">
      <c r="A3490" s="7" t="n">
        <v>615391</v>
      </c>
      <c r="B3490" s="12" t="inlineStr">
        <is>
          <t>4005900980397</t>
        </is>
      </c>
      <c r="C3490" s="7" t="inlineStr">
        <is>
          <t>PROT NIVEA SUN FACIAL TOQUE SECO FPS70 40ML</t>
        </is>
      </c>
      <c r="D3490" s="7" t="inlineStr">
        <is>
          <t>RX - DERMO</t>
        </is>
      </c>
      <c r="E3490" s="7" t="inlineStr">
        <is>
          <t>A</t>
        </is>
      </c>
      <c r="F3490" s="13" t="n">
        <v>1</v>
      </c>
      <c r="G3490" s="13" t="n">
        <v>1</v>
      </c>
      <c r="H3490" s="8" t="n">
        <v>35.045</v>
      </c>
      <c r="I3490" s="8" t="n">
        <v>29.3933</v>
      </c>
      <c r="J3490" s="8" t="n">
        <v>30.43553333333334</v>
      </c>
      <c r="K3490" s="8" t="n"/>
      <c r="L3490" s="8" t="n"/>
      <c r="M3490" s="15" t="n">
        <v>29.1</v>
      </c>
      <c r="N3490" s="8" t="n"/>
      <c r="O3490" s="8" t="n"/>
      <c r="P3490" s="8" t="n">
        <v>44.1</v>
      </c>
      <c r="Q3490" s="8" t="n"/>
      <c r="R3490" s="8" t="n"/>
      <c r="S3490" s="8" t="n"/>
      <c r="T3490" s="7" t="inlineStr">
        <is>
          <t>EPAN</t>
        </is>
      </c>
      <c r="U3490" s="8" t="n">
        <v>29.1</v>
      </c>
      <c r="V3490" s="14">
        <f>U3490/J3490-1</f>
        <v/>
      </c>
      <c r="W3490" s="14">
        <f>U3490/H3490-1</f>
        <v/>
      </c>
      <c r="X3490" s="17" t="inlineStr">
        <is>
          <t>OK (≤ menor hist.)</t>
        </is>
      </c>
      <c r="Y3490" s="7" t="inlineStr"/>
    </row>
    <row r="3491">
      <c r="A3491" s="7" t="n">
        <v>602021</v>
      </c>
      <c r="B3491" s="12" t="inlineStr">
        <is>
          <t>7896311773275</t>
        </is>
      </c>
      <c r="C3491" s="7" t="inlineStr">
        <is>
          <t>PROTEIN CRISP BAR INTEGRAL COOKIES AND CREAM 45G/D12</t>
        </is>
      </c>
      <c r="D3491" s="7" t="inlineStr">
        <is>
          <t>SUPLEMENTO</t>
        </is>
      </c>
      <c r="E3491" s="7" t="inlineStr">
        <is>
          <t>C</t>
        </is>
      </c>
      <c r="F3491" s="13" t="n">
        <v>3</v>
      </c>
      <c r="G3491" s="13" t="n">
        <v>3</v>
      </c>
      <c r="H3491" s="8" t="n">
        <v>6.23</v>
      </c>
      <c r="I3491" s="8" t="n">
        <v>6.23</v>
      </c>
      <c r="J3491" s="8" t="n">
        <v>6.23</v>
      </c>
      <c r="K3491" s="8" t="n"/>
      <c r="L3491" s="8" t="n"/>
      <c r="M3491" s="8" t="n"/>
      <c r="N3491" s="8" t="n"/>
      <c r="O3491" s="8" t="n"/>
      <c r="P3491" s="8" t="n"/>
      <c r="Q3491" s="8" t="n"/>
      <c r="R3491" s="8" t="n"/>
      <c r="S3491" s="15" t="n">
        <v>8</v>
      </c>
      <c r="T3491" s="7" t="inlineStr">
        <is>
          <t>AT_SUPLEMENTOS</t>
        </is>
      </c>
      <c r="U3491" s="8" t="n">
        <v>8</v>
      </c>
      <c r="V3491" s="14">
        <f>U3491/J3491-1</f>
        <v/>
      </c>
      <c r="W3491" s="14">
        <f>U3491/H3491-1</f>
        <v/>
      </c>
      <c r="X3491" s="16" t="inlineStr">
        <is>
          <t>ACIMA +28.4%</t>
        </is>
      </c>
      <c r="Y3491" s="7" t="inlineStr"/>
    </row>
    <row r="3492">
      <c r="A3492" s="7" t="n">
        <v>638331</v>
      </c>
      <c r="B3492" s="12" t="inlineStr">
        <is>
          <t>7896311775705</t>
        </is>
      </c>
      <c r="C3492" s="7" t="inlineStr">
        <is>
          <t>PROTEIN CRISP BAR INTEGRAL CREME DE COCO 45G</t>
        </is>
      </c>
      <c r="D3492" s="7" t="inlineStr">
        <is>
          <t>SUPLEMENTO</t>
        </is>
      </c>
      <c r="E3492" s="7" t="inlineStr">
        <is>
          <t>C</t>
        </is>
      </c>
      <c r="F3492" s="13" t="n">
        <v>5</v>
      </c>
      <c r="G3492" s="13" t="n">
        <v>5</v>
      </c>
      <c r="H3492" s="8" t="n">
        <v>6.64</v>
      </c>
      <c r="I3492" s="8" t="n">
        <v>6.23</v>
      </c>
      <c r="J3492" s="8" t="n">
        <v>6.503333333333333</v>
      </c>
      <c r="K3492" s="8" t="n"/>
      <c r="L3492" s="8" t="n"/>
      <c r="M3492" s="8" t="n"/>
      <c r="N3492" s="8" t="n"/>
      <c r="O3492" s="8" t="n"/>
      <c r="P3492" s="8" t="n"/>
      <c r="Q3492" s="8" t="n"/>
      <c r="R3492" s="8" t="n"/>
      <c r="S3492" s="15" t="n">
        <v>8</v>
      </c>
      <c r="T3492" s="7" t="inlineStr">
        <is>
          <t>AT_SUPLEMENTOS</t>
        </is>
      </c>
      <c r="U3492" s="8" t="n">
        <v>8</v>
      </c>
      <c r="V3492" s="14">
        <f>U3492/J3492-1</f>
        <v/>
      </c>
      <c r="W3492" s="14">
        <f>U3492/H3492-1</f>
        <v/>
      </c>
      <c r="X3492" s="16" t="inlineStr">
        <is>
          <t>ACIMA +20.5%</t>
        </is>
      </c>
      <c r="Y3492" s="7" t="inlineStr"/>
    </row>
    <row r="3493">
      <c r="A3493" s="7" t="n">
        <v>602011</v>
      </c>
      <c r="B3493" s="12" t="inlineStr">
        <is>
          <t>7896311773299</t>
        </is>
      </c>
      <c r="C3493" s="7" t="inlineStr">
        <is>
          <t>PROTEIN CRISP BAR INTEGRAL DUO CRUNCH 45G/D12</t>
        </is>
      </c>
      <c r="D3493" s="7" t="inlineStr">
        <is>
          <t>SUPLEMENTO</t>
        </is>
      </c>
      <c r="E3493" s="7" t="inlineStr">
        <is>
          <t>C</t>
        </is>
      </c>
      <c r="F3493" s="13" t="n">
        <v>4</v>
      </c>
      <c r="G3493" s="13" t="n">
        <v>4</v>
      </c>
      <c r="H3493" s="8" t="n">
        <v>6.64</v>
      </c>
      <c r="I3493" s="8" t="n">
        <v>6.23</v>
      </c>
      <c r="J3493" s="8" t="n">
        <v>6.503333333333333</v>
      </c>
      <c r="K3493" s="8" t="n"/>
      <c r="L3493" s="8" t="n"/>
      <c r="M3493" s="8" t="n"/>
      <c r="N3493" s="8" t="n"/>
      <c r="O3493" s="8" t="n"/>
      <c r="P3493" s="8" t="n"/>
      <c r="Q3493" s="8" t="n"/>
      <c r="R3493" s="8" t="n"/>
      <c r="S3493" s="15" t="n">
        <v>8</v>
      </c>
      <c r="T3493" s="7" t="inlineStr">
        <is>
          <t>AT_SUPLEMENTOS</t>
        </is>
      </c>
      <c r="U3493" s="8" t="n">
        <v>8</v>
      </c>
      <c r="V3493" s="14">
        <f>U3493/J3493-1</f>
        <v/>
      </c>
      <c r="W3493" s="14">
        <f>U3493/H3493-1</f>
        <v/>
      </c>
      <c r="X3493" s="16" t="inlineStr">
        <is>
          <t>ACIMA +20.5%</t>
        </is>
      </c>
      <c r="Y3493" s="7" t="inlineStr"/>
    </row>
    <row r="3494">
      <c r="A3494" s="7" t="n">
        <v>602001</v>
      </c>
      <c r="B3494" s="12" t="inlineStr">
        <is>
          <t>7896311710300</t>
        </is>
      </c>
      <c r="C3494" s="7" t="inlineStr">
        <is>
          <t>PROTEIN CRISP BAR INTEGRAL TRUFA AVELA 45G/D12</t>
        </is>
      </c>
      <c r="D3494" s="7" t="inlineStr">
        <is>
          <t>SUPLEMENTO</t>
        </is>
      </c>
      <c r="E3494" s="7" t="inlineStr">
        <is>
          <t>C</t>
        </is>
      </c>
      <c r="F3494" s="13" t="n">
        <v>1</v>
      </c>
      <c r="G3494" s="13" t="n">
        <v>1</v>
      </c>
      <c r="H3494" s="8" t="n">
        <v>5.985</v>
      </c>
      <c r="I3494" s="8" t="n">
        <v>5.985</v>
      </c>
      <c r="J3494" s="8" t="n">
        <v>5.985</v>
      </c>
      <c r="K3494" s="8" t="n"/>
      <c r="L3494" s="8" t="n"/>
      <c r="M3494" s="8" t="n"/>
      <c r="N3494" s="8" t="n"/>
      <c r="O3494" s="8" t="n"/>
      <c r="P3494" s="8" t="n"/>
      <c r="Q3494" s="8" t="n"/>
      <c r="R3494" s="8" t="n"/>
      <c r="S3494" s="15" t="n">
        <v>8</v>
      </c>
      <c r="T3494" s="7" t="inlineStr">
        <is>
          <t>AT_SUPLEMENTOS</t>
        </is>
      </c>
      <c r="U3494" s="8" t="n">
        <v>8</v>
      </c>
      <c r="V3494" s="14">
        <f>U3494/J3494-1</f>
        <v/>
      </c>
      <c r="W3494" s="14">
        <f>U3494/H3494-1</f>
        <v/>
      </c>
      <c r="X3494" s="16" t="inlineStr">
        <is>
          <t>ACIMA +33.7%</t>
        </is>
      </c>
      <c r="Y3494" s="7" t="inlineStr"/>
    </row>
    <row r="3495">
      <c r="A3495" s="7" t="n">
        <v>9203</v>
      </c>
      <c r="B3495" s="12" t="inlineStr">
        <is>
          <t>7896311775729</t>
        </is>
      </c>
      <c r="C3495" s="7" t="inlineStr">
        <is>
          <t>PROTEIN CRISP INTEGRAL BROW CHOC 45G</t>
        </is>
      </c>
      <c r="D3495" s="7" t="inlineStr">
        <is>
          <t>SUPLEMENTO</t>
        </is>
      </c>
      <c r="E3495" s="7" t="inlineStr">
        <is>
          <t>C</t>
        </is>
      </c>
      <c r="F3495" s="13" t="n">
        <v>3</v>
      </c>
      <c r="G3495" s="13" t="n">
        <v>3</v>
      </c>
      <c r="H3495" s="8" t="n">
        <v>6.64</v>
      </c>
      <c r="I3495" s="8" t="n">
        <v>6.64</v>
      </c>
      <c r="J3495" s="8" t="n">
        <v>6.64</v>
      </c>
      <c r="K3495" s="8" t="n"/>
      <c r="L3495" s="8" t="n"/>
      <c r="M3495" s="8" t="n"/>
      <c r="N3495" s="8" t="n"/>
      <c r="O3495" s="8" t="n"/>
      <c r="P3495" s="8" t="n"/>
      <c r="Q3495" s="8" t="n"/>
      <c r="R3495" s="8" t="n"/>
      <c r="S3495" s="15" t="n">
        <v>8</v>
      </c>
      <c r="T3495" s="7" t="inlineStr">
        <is>
          <t>AT_SUPLEMENTOS</t>
        </is>
      </c>
      <c r="U3495" s="8" t="n">
        <v>8</v>
      </c>
      <c r="V3495" s="14">
        <f>U3495/J3495-1</f>
        <v/>
      </c>
      <c r="W3495" s="14">
        <f>U3495/H3495-1</f>
        <v/>
      </c>
      <c r="X3495" s="16" t="inlineStr">
        <is>
          <t>ACIMA +20.5%</t>
        </is>
      </c>
      <c r="Y3495" s="7" t="inlineStr"/>
    </row>
    <row r="3496">
      <c r="A3496" s="7" t="n">
        <v>672961</v>
      </c>
      <c r="B3496" s="12" t="inlineStr">
        <is>
          <t>7896311778041</t>
        </is>
      </c>
      <c r="C3496" s="7" t="inlineStr">
        <is>
          <t>PROTEIN CRISP INTEGRAL OVOMALTIN 45G</t>
        </is>
      </c>
      <c r="D3496" s="7" t="inlineStr">
        <is>
          <t>SUPLEMENTO</t>
        </is>
      </c>
      <c r="E3496" s="7" t="inlineStr">
        <is>
          <t>B</t>
        </is>
      </c>
      <c r="F3496" s="13" t="n">
        <v>6</v>
      </c>
      <c r="G3496" s="13" t="n">
        <v>6</v>
      </c>
      <c r="H3496" s="8" t="n">
        <v>8.050000000000001</v>
      </c>
      <c r="I3496" s="8" t="n">
        <v>6.23</v>
      </c>
      <c r="J3496" s="8" t="n">
        <v>6.973333333333334</v>
      </c>
      <c r="K3496" s="8" t="n"/>
      <c r="L3496" s="8" t="n"/>
      <c r="M3496" s="8" t="n"/>
      <c r="N3496" s="8" t="n"/>
      <c r="O3496" s="8" t="n"/>
      <c r="P3496" s="8" t="n"/>
      <c r="Q3496" s="8" t="n"/>
      <c r="R3496" s="8" t="n"/>
      <c r="S3496" s="15" t="n">
        <v>8</v>
      </c>
      <c r="T3496" s="7" t="inlineStr">
        <is>
          <t>AT_SUPLEMENTOS</t>
        </is>
      </c>
      <c r="U3496" s="8" t="n">
        <v>8</v>
      </c>
      <c r="V3496" s="14">
        <f>U3496/J3496-1</f>
        <v/>
      </c>
      <c r="W3496" s="14">
        <f>U3496/H3496-1</f>
        <v/>
      </c>
      <c r="X3496" s="17" t="inlineStr">
        <is>
          <t>OK (≤ últ. compra)</t>
        </is>
      </c>
      <c r="Y3496" s="7" t="inlineStr"/>
    </row>
    <row r="3497">
      <c r="A3497" s="7" t="n">
        <v>10103</v>
      </c>
      <c r="B3497" s="12" t="inlineStr">
        <is>
          <t>7896715602096</t>
        </is>
      </c>
      <c r="C3497" s="7" t="inlineStr">
        <is>
          <t>PROTEINA UEVO BANOFFE 420G</t>
        </is>
      </c>
      <c r="D3497" s="7" t="inlineStr">
        <is>
          <t>SUPLEMENTO</t>
        </is>
      </c>
      <c r="E3497" s="7" t="inlineStr">
        <is>
          <t>C</t>
        </is>
      </c>
      <c r="F3497" s="13" t="n">
        <v>1</v>
      </c>
      <c r="G3497" s="13" t="n">
        <v>1</v>
      </c>
      <c r="H3497" s="8" t="n">
        <v>33.81</v>
      </c>
      <c r="I3497" s="8" t="n">
        <v>33.81</v>
      </c>
      <c r="J3497" s="8" t="n">
        <v>33.81</v>
      </c>
      <c r="K3497" s="8" t="n"/>
      <c r="L3497" s="8" t="n"/>
      <c r="M3497" s="8" t="n"/>
      <c r="N3497" s="8" t="n"/>
      <c r="O3497" s="8" t="n"/>
      <c r="P3497" s="8" t="n"/>
      <c r="Q3497" s="8" t="n"/>
      <c r="R3497" s="8" t="n"/>
      <c r="S3497" s="8" t="n"/>
      <c r="T3497" s="7" t="inlineStr">
        <is>
          <t>SEM COTAÇÃO</t>
        </is>
      </c>
      <c r="U3497" s="8" t="n"/>
      <c r="V3497" s="14" t="n"/>
      <c r="W3497" s="14" t="n"/>
      <c r="X3497" s="7" t="inlineStr"/>
      <c r="Y3497" s="7" t="inlineStr"/>
    </row>
    <row r="3498">
      <c r="A3498" s="7" t="n">
        <v>661451</v>
      </c>
      <c r="B3498" s="12" t="inlineStr">
        <is>
          <t>7896715601815</t>
        </is>
      </c>
      <c r="C3498" s="7" t="inlineStr">
        <is>
          <t>PROTEINA UEVO BAUNILHA 420G</t>
        </is>
      </c>
      <c r="D3498" s="7" t="inlineStr">
        <is>
          <t>SUPLEMENTO</t>
        </is>
      </c>
      <c r="E3498" s="7" t="inlineStr">
        <is>
          <t>C</t>
        </is>
      </c>
      <c r="F3498" s="13" t="n">
        <v>1</v>
      </c>
      <c r="G3498" s="13" t="n">
        <v>1</v>
      </c>
      <c r="H3498" s="8" t="n">
        <v>35.69</v>
      </c>
      <c r="I3498" s="8" t="n">
        <v>35.69</v>
      </c>
      <c r="J3498" s="8" t="n">
        <v>35.69</v>
      </c>
      <c r="K3498" s="8" t="n"/>
      <c r="L3498" s="8" t="n"/>
      <c r="M3498" s="8" t="n"/>
      <c r="N3498" s="8" t="n"/>
      <c r="O3498" s="8" t="n"/>
      <c r="P3498" s="8" t="n"/>
      <c r="Q3498" s="8" t="n"/>
      <c r="R3498" s="8" t="n"/>
      <c r="S3498" s="8" t="n"/>
      <c r="T3498" s="7" t="inlineStr">
        <is>
          <t>SEM COTAÇÃO</t>
        </is>
      </c>
      <c r="U3498" s="8" t="n"/>
      <c r="V3498" s="14" t="n"/>
      <c r="W3498" s="14" t="n"/>
      <c r="X3498" s="7" t="inlineStr"/>
      <c r="Y3498" s="7" t="inlineStr"/>
    </row>
    <row r="3499">
      <c r="A3499" s="7" t="n">
        <v>10203</v>
      </c>
      <c r="B3499" s="12" t="inlineStr">
        <is>
          <t>7896715601846</t>
        </is>
      </c>
      <c r="C3499" s="7" t="inlineStr">
        <is>
          <t>PROTEINA UEVO CAFE MOCACCINO 420G</t>
        </is>
      </c>
      <c r="D3499" s="7" t="inlineStr">
        <is>
          <t>SUPLEMENTO</t>
        </is>
      </c>
      <c r="E3499" s="7" t="inlineStr">
        <is>
          <t>B</t>
        </is>
      </c>
      <c r="F3499" s="13" t="n">
        <v>1</v>
      </c>
      <c r="G3499" s="13" t="n">
        <v>1</v>
      </c>
      <c r="H3499" s="8" t="n">
        <v>33.81</v>
      </c>
      <c r="I3499" s="8" t="n">
        <v>33.81</v>
      </c>
      <c r="J3499" s="8" t="n">
        <v>33.81</v>
      </c>
      <c r="K3499" s="8" t="n"/>
      <c r="L3499" s="8" t="n"/>
      <c r="M3499" s="8" t="n"/>
      <c r="N3499" s="8" t="n"/>
      <c r="O3499" s="8" t="n"/>
      <c r="P3499" s="8" t="n"/>
      <c r="Q3499" s="8" t="n"/>
      <c r="R3499" s="8" t="n"/>
      <c r="S3499" s="8" t="n"/>
      <c r="T3499" s="7" t="inlineStr">
        <is>
          <t>SEM COTAÇÃO</t>
        </is>
      </c>
      <c r="U3499" s="8" t="n"/>
      <c r="V3499" s="14" t="n"/>
      <c r="W3499" s="14" t="n"/>
      <c r="X3499" s="7" t="inlineStr"/>
      <c r="Y3499" s="7" t="inlineStr"/>
    </row>
    <row r="3500">
      <c r="A3500" s="7" t="n">
        <v>538381</v>
      </c>
      <c r="B3500" s="12" t="inlineStr"/>
      <c r="C3500" s="7" t="inlineStr">
        <is>
          <t>PROTET.DIARIO COTTONBABY S/A C/15</t>
        </is>
      </c>
      <c r="D3500" s="7" t="inlineStr">
        <is>
          <t>ABSORVENTES</t>
        </is>
      </c>
      <c r="E3500" s="7" t="inlineStr">
        <is>
          <t>A</t>
        </is>
      </c>
      <c r="F3500" s="13" t="n">
        <v>8</v>
      </c>
      <c r="G3500" s="13" t="n">
        <v>8</v>
      </c>
      <c r="H3500" s="8" t="n">
        <v>2.91</v>
      </c>
      <c r="I3500" s="8" t="n">
        <v>2.91</v>
      </c>
      <c r="J3500" s="8" t="n">
        <v>2.91</v>
      </c>
      <c r="K3500" s="8" t="n"/>
      <c r="L3500" s="8" t="n"/>
      <c r="M3500" s="8" t="n"/>
      <c r="N3500" s="8" t="n"/>
      <c r="O3500" s="8" t="n"/>
      <c r="P3500" s="8" t="n"/>
      <c r="Q3500" s="8" t="n"/>
      <c r="R3500" s="8" t="n"/>
      <c r="S3500" s="8" t="n"/>
      <c r="T3500" s="7" t="inlineStr">
        <is>
          <t>SEM COTAÇÃO</t>
        </is>
      </c>
      <c r="U3500" s="8" t="n"/>
      <c r="V3500" s="14" t="n"/>
      <c r="W3500" s="14" t="n"/>
      <c r="X3500" s="7" t="inlineStr"/>
      <c r="Y3500" s="7" t="inlineStr"/>
    </row>
    <row r="3501">
      <c r="A3501" s="7" t="n">
        <v>554841</v>
      </c>
      <c r="B3501" s="12" t="inlineStr">
        <is>
          <t>7896007550463</t>
        </is>
      </c>
      <c r="C3501" s="7" t="inlineStr">
        <is>
          <t>PROTETOR DIARIO INTIMUS ANTBAC 15UN</t>
        </is>
      </c>
      <c r="D3501" s="7" t="inlineStr">
        <is>
          <t>USO INTERNO</t>
        </is>
      </c>
      <c r="E3501" s="7" t="inlineStr">
        <is>
          <t>C</t>
        </is>
      </c>
      <c r="F3501" s="13" t="n">
        <v>5</v>
      </c>
      <c r="G3501" s="13" t="n">
        <v>5</v>
      </c>
      <c r="H3501" s="8" t="n">
        <v>4.035</v>
      </c>
      <c r="I3501" s="8" t="n">
        <v>4.035</v>
      </c>
      <c r="J3501" s="8" t="n">
        <v>4.035</v>
      </c>
      <c r="K3501" s="8" t="n"/>
      <c r="L3501" s="8" t="n"/>
      <c r="M3501" s="8" t="n"/>
      <c r="N3501" s="8" t="n"/>
      <c r="O3501" s="8" t="n"/>
      <c r="P3501" s="15" t="n">
        <v>5.76</v>
      </c>
      <c r="Q3501" s="8" t="n"/>
      <c r="R3501" s="8" t="n"/>
      <c r="S3501" s="8" t="n"/>
      <c r="T3501" s="7" t="inlineStr">
        <is>
          <t>NAZARIA</t>
        </is>
      </c>
      <c r="U3501" s="8" t="n">
        <v>5.76</v>
      </c>
      <c r="V3501" s="14">
        <f>U3501/J3501-1</f>
        <v/>
      </c>
      <c r="W3501" s="14">
        <f>U3501/H3501-1</f>
        <v/>
      </c>
      <c r="X3501" s="16" t="inlineStr">
        <is>
          <t>ACIMA +42.8%</t>
        </is>
      </c>
      <c r="Y3501" s="7" t="inlineStr"/>
    </row>
    <row r="3502">
      <c r="A3502" s="7" t="n">
        <v>554861</v>
      </c>
      <c r="B3502" s="12" t="inlineStr">
        <is>
          <t>7896007540259</t>
        </is>
      </c>
      <c r="C3502" s="7" t="inlineStr">
        <is>
          <t>PROTETOR DIARIO INTIMUS CUIDADO DIARIO 15UN</t>
        </is>
      </c>
      <c r="D3502" s="7" t="inlineStr">
        <is>
          <t>ABSORVENTES</t>
        </is>
      </c>
      <c r="E3502" s="7" t="inlineStr">
        <is>
          <t>B</t>
        </is>
      </c>
      <c r="F3502" s="13" t="n">
        <v>9</v>
      </c>
      <c r="G3502" s="13" t="n">
        <v>9</v>
      </c>
      <c r="H3502" s="8" t="n">
        <v>4.035</v>
      </c>
      <c r="I3502" s="8" t="n">
        <v>4.035</v>
      </c>
      <c r="J3502" s="8" t="n">
        <v>4.035</v>
      </c>
      <c r="K3502" s="8" t="n"/>
      <c r="L3502" s="8" t="n"/>
      <c r="M3502" s="8" t="n"/>
      <c r="N3502" s="8" t="n"/>
      <c r="O3502" s="8" t="n"/>
      <c r="P3502" s="8" t="n">
        <v>5.76</v>
      </c>
      <c r="Q3502" s="8" t="n"/>
      <c r="R3502" s="8" t="n"/>
      <c r="S3502" s="8" t="n"/>
      <c r="T3502" s="7" t="inlineStr">
        <is>
          <t>SEM COTAÇÃO</t>
        </is>
      </c>
      <c r="U3502" s="8" t="n"/>
      <c r="V3502" s="14" t="n"/>
      <c r="W3502" s="14" t="n"/>
      <c r="X3502" s="7" t="inlineStr"/>
      <c r="Y3502" s="7" t="inlineStr">
        <is>
          <t>NAZARIA: sem estoque</t>
        </is>
      </c>
    </row>
    <row r="3503">
      <c r="A3503" s="7" t="n">
        <v>556761</v>
      </c>
      <c r="B3503" s="12" t="inlineStr"/>
      <c r="C3503" s="7" t="inlineStr">
        <is>
          <t>PROTETOR SOLAR FACIAL FPS 70 NEUTROGENA SUN FRESH BISNAGA 40G</t>
        </is>
      </c>
      <c r="D3503" s="7" t="inlineStr">
        <is>
          <t>RX - DERMO</t>
        </is>
      </c>
      <c r="E3503" s="7" t="inlineStr">
        <is>
          <t>A</t>
        </is>
      </c>
      <c r="F3503" s="13" t="n">
        <v>2</v>
      </c>
      <c r="G3503" s="13" t="n">
        <v>2</v>
      </c>
      <c r="H3503" s="8" t="n">
        <v>53.95</v>
      </c>
      <c r="I3503" s="8" t="n">
        <v>47.9967</v>
      </c>
      <c r="J3503" s="8" t="n">
        <v>51.96556666666667</v>
      </c>
      <c r="K3503" s="8" t="n"/>
      <c r="L3503" s="8" t="n"/>
      <c r="M3503" s="8" t="n"/>
      <c r="N3503" s="8" t="n"/>
      <c r="O3503" s="8" t="n"/>
      <c r="P3503" s="8" t="n"/>
      <c r="Q3503" s="8" t="n"/>
      <c r="R3503" s="8" t="n"/>
      <c r="S3503" s="8" t="n"/>
      <c r="T3503" s="7" t="inlineStr">
        <is>
          <t>SEM COTAÇÃO</t>
        </is>
      </c>
      <c r="U3503" s="8" t="n"/>
      <c r="V3503" s="14" t="n"/>
      <c r="W3503" s="14" t="n"/>
      <c r="X3503" s="7" t="inlineStr"/>
      <c r="Y3503" s="7" t="inlineStr"/>
    </row>
    <row r="3504">
      <c r="A3504" s="7" t="n">
        <v>609991</v>
      </c>
      <c r="B3504" s="12" t="inlineStr"/>
      <c r="C3504" s="7" t="inlineStr">
        <is>
          <t>PROTETOR SOLAR NEUTROGENA SUN FRESH FPS70 200ML</t>
        </is>
      </c>
      <c r="D3504" s="7" t="inlineStr">
        <is>
          <t>RX - DERMO</t>
        </is>
      </c>
      <c r="E3504" s="7" t="inlineStr">
        <is>
          <t>A</t>
        </is>
      </c>
      <c r="F3504" s="13" t="n">
        <v>1</v>
      </c>
      <c r="G3504" s="13" t="n">
        <v>1</v>
      </c>
      <c r="H3504" s="8" t="n">
        <v>86.48</v>
      </c>
      <c r="I3504" s="8" t="n">
        <v>86.48</v>
      </c>
      <c r="J3504" s="8" t="n">
        <v>86.48</v>
      </c>
      <c r="K3504" s="8" t="n"/>
      <c r="L3504" s="8" t="n"/>
      <c r="M3504" s="8" t="n"/>
      <c r="N3504" s="8" t="n"/>
      <c r="O3504" s="8" t="n"/>
      <c r="P3504" s="8" t="n"/>
      <c r="Q3504" s="8" t="n"/>
      <c r="R3504" s="8" t="n"/>
      <c r="S3504" s="8" t="n"/>
      <c r="T3504" s="7" t="inlineStr">
        <is>
          <t>SEM COTAÇÃO</t>
        </is>
      </c>
      <c r="U3504" s="8" t="n"/>
      <c r="V3504" s="14" t="n"/>
      <c r="W3504" s="14" t="n"/>
      <c r="X3504" s="7" t="inlineStr"/>
      <c r="Y3504" s="7" t="inlineStr"/>
    </row>
    <row r="3505">
      <c r="A3505" s="7" t="n">
        <v>648811</v>
      </c>
      <c r="B3505" s="12" t="inlineStr">
        <is>
          <t>7509546687865</t>
        </is>
      </c>
      <c r="C3505" s="7" t="inlineStr">
        <is>
          <t>PROTEX BABY BW LAVANDA REFIL 180ML</t>
        </is>
      </c>
      <c r="D3505" s="7" t="inlineStr">
        <is>
          <t>BABY/KIDS</t>
        </is>
      </c>
      <c r="E3505" s="7" t="inlineStr">
        <is>
          <t>A</t>
        </is>
      </c>
      <c r="F3505" s="13" t="n">
        <v>8</v>
      </c>
      <c r="G3505" s="13" t="n">
        <v>8</v>
      </c>
      <c r="H3505" s="8" t="n">
        <v>11.0733</v>
      </c>
      <c r="I3505" s="8" t="n">
        <v>5.78</v>
      </c>
      <c r="J3505" s="8" t="n">
        <v>9.308866666666667</v>
      </c>
      <c r="K3505" s="8" t="n"/>
      <c r="L3505" s="8" t="n"/>
      <c r="M3505" s="8" t="n"/>
      <c r="N3505" s="8" t="n"/>
      <c r="O3505" s="8" t="n"/>
      <c r="P3505" s="15" t="n">
        <v>11.98</v>
      </c>
      <c r="Q3505" s="8" t="n"/>
      <c r="R3505" s="8" t="n"/>
      <c r="S3505" s="8" t="n"/>
      <c r="T3505" s="7" t="inlineStr">
        <is>
          <t>NAZARIA</t>
        </is>
      </c>
      <c r="U3505" s="8" t="n">
        <v>11.98</v>
      </c>
      <c r="V3505" s="14">
        <f>U3505/J3505-1</f>
        <v/>
      </c>
      <c r="W3505" s="14">
        <f>U3505/H3505-1</f>
        <v/>
      </c>
      <c r="X3505" s="16" t="inlineStr">
        <is>
          <t>ACIMA +8.2%</t>
        </is>
      </c>
      <c r="Y3505" s="7" t="inlineStr"/>
    </row>
    <row r="3506">
      <c r="A3506" s="7" t="n">
        <v>695701</v>
      </c>
      <c r="B3506" s="12" t="inlineStr">
        <is>
          <t>0070341368572</t>
        </is>
      </c>
      <c r="C3506" s="7" t="inlineStr">
        <is>
          <t>PS-05 PROTETOR SOLAR 14,5% MIX DE FILTROS UV + 5% NIACINAMIDA FPS 70 - COR 2.0 30ML</t>
        </is>
      </c>
      <c r="D3506" s="7" t="inlineStr">
        <is>
          <t>PERF/COSME</t>
        </is>
      </c>
      <c r="E3506" s="7" t="inlineStr">
        <is>
          <t>C</t>
        </is>
      </c>
      <c r="F3506" s="13" t="n">
        <v>1</v>
      </c>
      <c r="G3506" s="13" t="n">
        <v>1</v>
      </c>
      <c r="H3506" s="8" t="n">
        <v>38.63</v>
      </c>
      <c r="I3506" s="8" t="n">
        <v>38.63</v>
      </c>
      <c r="J3506" s="8" t="n">
        <v>38.63</v>
      </c>
      <c r="K3506" s="8" t="n"/>
      <c r="L3506" s="8" t="n"/>
      <c r="M3506" s="8" t="n"/>
      <c r="N3506" s="8" t="n"/>
      <c r="O3506" s="8" t="n"/>
      <c r="P3506" s="15" t="n">
        <v>44.11</v>
      </c>
      <c r="Q3506" s="8" t="n"/>
      <c r="R3506" s="8" t="n"/>
      <c r="S3506" s="8" t="n"/>
      <c r="T3506" s="7" t="inlineStr">
        <is>
          <t>NAZARIA</t>
        </is>
      </c>
      <c r="U3506" s="8" t="n">
        <v>44.11</v>
      </c>
      <c r="V3506" s="14">
        <f>U3506/J3506-1</f>
        <v/>
      </c>
      <c r="W3506" s="14">
        <f>U3506/H3506-1</f>
        <v/>
      </c>
      <c r="X3506" s="16" t="inlineStr">
        <is>
          <t>ACIMA +14.2%</t>
        </is>
      </c>
      <c r="Y3506" s="7" t="inlineStr"/>
    </row>
    <row r="3507">
      <c r="A3507" s="7" t="n">
        <v>695801</v>
      </c>
      <c r="B3507" s="12" t="inlineStr">
        <is>
          <t>0070341368589</t>
        </is>
      </c>
      <c r="C3507" s="7" t="inlineStr">
        <is>
          <t>PS-05 PROTETOR SOLAR 14,5% MIX DE FILTROS UV + 5% NIACINAMIDA FPS 70 - COR 3.0 30ML</t>
        </is>
      </c>
      <c r="D3507" s="7" t="inlineStr">
        <is>
          <t>PERF/COSME</t>
        </is>
      </c>
      <c r="E3507" s="7" t="inlineStr">
        <is>
          <t>B</t>
        </is>
      </c>
      <c r="F3507" s="13" t="n">
        <v>3</v>
      </c>
      <c r="G3507" s="13" t="n">
        <v>3</v>
      </c>
      <c r="H3507" s="8" t="n">
        <v>38.63</v>
      </c>
      <c r="I3507" s="8" t="n">
        <v>38.63</v>
      </c>
      <c r="J3507" s="8" t="n">
        <v>38.63</v>
      </c>
      <c r="K3507" s="8" t="n"/>
      <c r="L3507" s="8" t="n"/>
      <c r="M3507" s="8" t="n"/>
      <c r="N3507" s="8" t="n"/>
      <c r="O3507" s="8" t="n"/>
      <c r="P3507" s="15" t="n">
        <v>44.11</v>
      </c>
      <c r="Q3507" s="8" t="n"/>
      <c r="R3507" s="8" t="n"/>
      <c r="S3507" s="8" t="n"/>
      <c r="T3507" s="7" t="inlineStr">
        <is>
          <t>NAZARIA</t>
        </is>
      </c>
      <c r="U3507" s="8" t="n">
        <v>44.11</v>
      </c>
      <c r="V3507" s="14">
        <f>U3507/J3507-1</f>
        <v/>
      </c>
      <c r="W3507" s="14">
        <f>U3507/H3507-1</f>
        <v/>
      </c>
      <c r="X3507" s="16" t="inlineStr">
        <is>
          <t>ACIMA +14.2%</t>
        </is>
      </c>
      <c r="Y3507" s="7" t="inlineStr"/>
    </row>
    <row r="3508">
      <c r="A3508" s="7" t="n">
        <v>673241</v>
      </c>
      <c r="B3508" s="12" t="inlineStr">
        <is>
          <t>7898713952395</t>
        </is>
      </c>
      <c r="C3508" s="7" t="inlineStr">
        <is>
          <t>PSICHOTIC T DEMONS LAB FRUIT ENERGY 245G</t>
        </is>
      </c>
      <c r="D3508" s="7" t="inlineStr">
        <is>
          <t>SUPLEMENTO</t>
        </is>
      </c>
      <c r="E3508" s="7" t="inlineStr">
        <is>
          <t>C</t>
        </is>
      </c>
      <c r="F3508" s="13" t="n">
        <v>1</v>
      </c>
      <c r="G3508" s="13" t="n">
        <v>1</v>
      </c>
      <c r="H3508" s="8" t="n">
        <v>108.63</v>
      </c>
      <c r="I3508" s="8" t="n">
        <v>108.63</v>
      </c>
      <c r="J3508" s="8" t="n">
        <v>108.63</v>
      </c>
      <c r="K3508" s="8" t="n"/>
      <c r="L3508" s="8" t="n"/>
      <c r="M3508" s="8" t="n"/>
      <c r="N3508" s="8" t="n"/>
      <c r="O3508" s="8" t="n"/>
      <c r="P3508" s="8" t="n"/>
      <c r="Q3508" s="8" t="n"/>
      <c r="R3508" s="8" t="n"/>
      <c r="S3508" s="8" t="n"/>
      <c r="T3508" s="7" t="inlineStr">
        <is>
          <t>SEM COTAÇÃO</t>
        </is>
      </c>
      <c r="U3508" s="8" t="n"/>
      <c r="V3508" s="14" t="n"/>
      <c r="W3508" s="14" t="n"/>
      <c r="X3508" s="7" t="inlineStr"/>
      <c r="Y3508" s="7" t="inlineStr"/>
    </row>
    <row r="3509">
      <c r="A3509" s="7" t="n">
        <v>69341</v>
      </c>
      <c r="B3509" s="12" t="inlineStr">
        <is>
          <t>7896206401610</t>
        </is>
      </c>
      <c r="C3509" s="7" t="inlineStr">
        <is>
          <t>PULMICORT 0,25MG SUS EMBALAGEM FRACIONADA (5 FC)</t>
        </is>
      </c>
      <c r="D3509" s="7" t="inlineStr">
        <is>
          <t>RX</t>
        </is>
      </c>
      <c r="E3509" s="7" t="inlineStr">
        <is>
          <t>A</t>
        </is>
      </c>
      <c r="F3509" s="13" t="n">
        <v>1</v>
      </c>
      <c r="G3509" s="13" t="n">
        <v>3</v>
      </c>
      <c r="H3509" s="8" t="n">
        <v>43.5222</v>
      </c>
      <c r="I3509" s="8" t="n">
        <v>39.2025</v>
      </c>
      <c r="J3509" s="8" t="n">
        <v>42.0823</v>
      </c>
      <c r="K3509" s="8" t="n"/>
      <c r="L3509" s="8" t="n"/>
      <c r="M3509" s="8" t="n"/>
      <c r="N3509" s="8" t="n"/>
      <c r="O3509" s="8" t="n"/>
      <c r="P3509" s="15" t="n">
        <v>43.423725</v>
      </c>
      <c r="Q3509" s="8" t="n"/>
      <c r="R3509" s="8" t="n"/>
      <c r="S3509" s="8" t="n"/>
      <c r="T3509" s="7" t="inlineStr">
        <is>
          <t>NAZARIA</t>
        </is>
      </c>
      <c r="U3509" s="8" t="n">
        <v>43.423725</v>
      </c>
      <c r="V3509" s="14">
        <f>U3509/J3509-1</f>
        <v/>
      </c>
      <c r="W3509" s="14">
        <f>U3509/H3509-1</f>
        <v/>
      </c>
      <c r="X3509" s="17" t="inlineStr">
        <is>
          <t>OK (≤ últ. compra)</t>
        </is>
      </c>
      <c r="Y3509" s="7" t="inlineStr">
        <is>
          <t>NAZARIA: 1 emb = 4 un</t>
        </is>
      </c>
    </row>
    <row r="3510">
      <c r="A3510" s="7" t="n">
        <v>69321</v>
      </c>
      <c r="B3510" s="12" t="inlineStr">
        <is>
          <t>7896206402013</t>
        </is>
      </c>
      <c r="C3510" s="7" t="inlineStr">
        <is>
          <t>PULMICORT 0,25MG SUS NEB CX 5 FR X 2ML</t>
        </is>
      </c>
      <c r="D3510" s="7" t="inlineStr">
        <is>
          <t>RX</t>
        </is>
      </c>
      <c r="E3510" s="7" t="inlineStr">
        <is>
          <t>A</t>
        </is>
      </c>
      <c r="F3510" s="13" t="n">
        <v>8</v>
      </c>
      <c r="G3510" s="13" t="n">
        <v>8</v>
      </c>
      <c r="H3510" s="8" t="n">
        <v>41.0625</v>
      </c>
      <c r="I3510" s="8" t="n">
        <v>39.12</v>
      </c>
      <c r="J3510" s="8" t="n">
        <v>40.415</v>
      </c>
      <c r="K3510" s="8" t="n"/>
      <c r="L3510" s="8" t="n"/>
      <c r="M3510" s="15" t="n">
        <v>41.06</v>
      </c>
      <c r="N3510" s="8" t="n"/>
      <c r="O3510" s="8" t="n"/>
      <c r="P3510" s="8" t="n">
        <v>43.33015</v>
      </c>
      <c r="Q3510" s="8" t="n"/>
      <c r="R3510" s="8" t="n"/>
      <c r="S3510" s="8" t="n"/>
      <c r="T3510" s="7" t="inlineStr">
        <is>
          <t>EPAN</t>
        </is>
      </c>
      <c r="U3510" s="8" t="n">
        <v>41.06</v>
      </c>
      <c r="V3510" s="14">
        <f>U3510/J3510-1</f>
        <v/>
      </c>
      <c r="W3510" s="14">
        <f>U3510/H3510-1</f>
        <v/>
      </c>
      <c r="X3510" s="17" t="inlineStr">
        <is>
          <t>OK (≤ últ. compra)</t>
        </is>
      </c>
      <c r="Y3510" s="7" t="inlineStr"/>
    </row>
    <row r="3511">
      <c r="A3511" s="7" t="n">
        <v>500261</v>
      </c>
      <c r="B3511" s="12" t="inlineStr"/>
      <c r="C3511" s="7" t="inlineStr">
        <is>
          <t>PURAN T4 100MCG CX 30 COMP</t>
        </is>
      </c>
      <c r="D3511" s="7" t="inlineStr">
        <is>
          <t>RX</t>
        </is>
      </c>
      <c r="E3511" s="7" t="inlineStr">
        <is>
          <t>A</t>
        </is>
      </c>
      <c r="F3511" s="13" t="n">
        <v>5</v>
      </c>
      <c r="G3511" s="13" t="n">
        <v>5</v>
      </c>
      <c r="H3511" s="8" t="n">
        <v>12.286</v>
      </c>
      <c r="I3511" s="8" t="n">
        <v>10.43</v>
      </c>
      <c r="J3511" s="8" t="n">
        <v>11.60003333333333</v>
      </c>
      <c r="K3511" s="8" t="n"/>
      <c r="L3511" s="8" t="n"/>
      <c r="M3511" s="8" t="n"/>
      <c r="N3511" s="8" t="n"/>
      <c r="O3511" s="8" t="n"/>
      <c r="P3511" s="8" t="n"/>
      <c r="Q3511" s="8" t="n"/>
      <c r="R3511" s="8" t="n"/>
      <c r="S3511" s="8" t="n"/>
      <c r="T3511" s="7" t="inlineStr">
        <is>
          <t>SEM COTAÇÃO</t>
        </is>
      </c>
      <c r="U3511" s="8" t="n"/>
      <c r="V3511" s="14" t="n"/>
      <c r="W3511" s="14" t="n"/>
      <c r="X3511" s="7" t="inlineStr"/>
      <c r="Y3511" s="7" t="inlineStr"/>
    </row>
    <row r="3512">
      <c r="A3512" s="7" t="n">
        <v>500281</v>
      </c>
      <c r="B3512" s="12" t="inlineStr">
        <is>
          <t>7897595901446</t>
        </is>
      </c>
      <c r="C3512" s="7" t="inlineStr">
        <is>
          <t>PURAN T4 125MCG CX 30 COMP</t>
        </is>
      </c>
      <c r="D3512" s="7" t="inlineStr">
        <is>
          <t>RX</t>
        </is>
      </c>
      <c r="E3512" s="7" t="inlineStr">
        <is>
          <t>A</t>
        </is>
      </c>
      <c r="F3512" s="13" t="n">
        <v>6</v>
      </c>
      <c r="G3512" s="13" t="n">
        <v>6</v>
      </c>
      <c r="H3512" s="8" t="n">
        <v>19.265</v>
      </c>
      <c r="I3512" s="8" t="n">
        <v>15.31</v>
      </c>
      <c r="J3512" s="8" t="n">
        <v>17.175</v>
      </c>
      <c r="K3512" s="8" t="n"/>
      <c r="L3512" s="8" t="n"/>
      <c r="M3512" s="8" t="n">
        <v>18.03</v>
      </c>
      <c r="N3512" s="8" t="n"/>
      <c r="O3512" s="8" t="n"/>
      <c r="P3512" s="8" t="n">
        <v>18.5367</v>
      </c>
      <c r="Q3512" s="8" t="n"/>
      <c r="R3512" s="8" t="n"/>
      <c r="S3512" s="8" t="n"/>
      <c r="T3512" s="7" t="inlineStr">
        <is>
          <t>SEM COTAÇÃO</t>
        </is>
      </c>
      <c r="U3512" s="8" t="n"/>
      <c r="V3512" s="14" t="n"/>
      <c r="W3512" s="14" t="n"/>
      <c r="X3512" s="7" t="inlineStr"/>
      <c r="Y3512" s="7" t="inlineStr">
        <is>
          <t>EPAN: sem estoque; NAZARIA: sem estoque</t>
        </is>
      </c>
    </row>
    <row r="3513">
      <c r="A3513" s="7" t="n">
        <v>500201</v>
      </c>
      <c r="B3513" s="12" t="inlineStr">
        <is>
          <t>7897595901309</t>
        </is>
      </c>
      <c r="C3513" s="7" t="inlineStr">
        <is>
          <t>PURAN T4 25MCG CX 30 COMP</t>
        </is>
      </c>
      <c r="D3513" s="7" t="inlineStr">
        <is>
          <t>RX</t>
        </is>
      </c>
      <c r="E3513" s="7" t="inlineStr">
        <is>
          <t>A</t>
        </is>
      </c>
      <c r="F3513" s="13" t="n">
        <v>14</v>
      </c>
      <c r="G3513" s="13" t="n">
        <v>14</v>
      </c>
      <c r="H3513" s="8" t="n">
        <v>13.3467</v>
      </c>
      <c r="I3513" s="8" t="n">
        <v>11.0783</v>
      </c>
      <c r="J3513" s="8" t="n">
        <v>12.42</v>
      </c>
      <c r="K3513" s="8" t="n"/>
      <c r="L3513" s="8" t="n"/>
      <c r="M3513" s="8" t="n"/>
      <c r="N3513" s="8" t="n"/>
      <c r="O3513" s="15" t="n">
        <v>13.36</v>
      </c>
      <c r="P3513" s="8" t="n">
        <v>13.4054</v>
      </c>
      <c r="Q3513" s="8" t="n"/>
      <c r="R3513" s="8" t="n"/>
      <c r="S3513" s="8" t="n"/>
      <c r="T3513" s="7" t="inlineStr">
        <is>
          <t>TAPAJOS</t>
        </is>
      </c>
      <c r="U3513" s="8" t="n">
        <v>13.36</v>
      </c>
      <c r="V3513" s="14">
        <f>U3513/J3513-1</f>
        <v/>
      </c>
      <c r="W3513" s="14">
        <f>U3513/H3513-1</f>
        <v/>
      </c>
      <c r="X3513" s="16" t="inlineStr">
        <is>
          <t>ACIMA +0.1%</t>
        </is>
      </c>
      <c r="Y3513" s="7" t="inlineStr"/>
    </row>
    <row r="3514">
      <c r="A3514" s="7" t="n">
        <v>319641</v>
      </c>
      <c r="B3514" s="12" t="inlineStr">
        <is>
          <t>7891058003562</t>
        </is>
      </c>
      <c r="C3514" s="7" t="inlineStr">
        <is>
          <t>PURAN T4 37,5MCG CX 30 COMP</t>
        </is>
      </c>
      <c r="D3514" s="7" t="inlineStr">
        <is>
          <t>RX</t>
        </is>
      </c>
      <c r="E3514" s="7" t="inlineStr">
        <is>
          <t>B</t>
        </is>
      </c>
      <c r="F3514" s="13" t="n">
        <v>9</v>
      </c>
      <c r="G3514" s="13" t="n">
        <v>9</v>
      </c>
      <c r="H3514" s="8" t="n">
        <v>8.255000000000001</v>
      </c>
      <c r="I3514" s="8" t="n">
        <v>7.6</v>
      </c>
      <c r="J3514" s="8" t="n">
        <v>7.988333333333334</v>
      </c>
      <c r="K3514" s="8" t="n"/>
      <c r="L3514" s="8" t="n"/>
      <c r="M3514" s="15" t="n">
        <v>8.26</v>
      </c>
      <c r="N3514" s="8" t="n"/>
      <c r="O3514" s="8" t="n"/>
      <c r="P3514" s="8" t="n">
        <v>8.487500000000001</v>
      </c>
      <c r="Q3514" s="8" t="n"/>
      <c r="R3514" s="8" t="n"/>
      <c r="S3514" s="8" t="n"/>
      <c r="T3514" s="7" t="inlineStr">
        <is>
          <t>EPAN</t>
        </is>
      </c>
      <c r="U3514" s="8" t="n">
        <v>8.26</v>
      </c>
      <c r="V3514" s="14">
        <f>U3514/J3514-1</f>
        <v/>
      </c>
      <c r="W3514" s="14">
        <f>U3514/H3514-1</f>
        <v/>
      </c>
      <c r="X3514" s="16" t="inlineStr">
        <is>
          <t>ACIMA +0.1%</t>
        </is>
      </c>
      <c r="Y3514" s="7" t="inlineStr"/>
    </row>
    <row r="3515">
      <c r="A3515" s="7" t="n">
        <v>320861</v>
      </c>
      <c r="B3515" s="12" t="inlineStr">
        <is>
          <t>7897595901316</t>
        </is>
      </c>
      <c r="C3515" s="7" t="inlineStr">
        <is>
          <t>PURAN T4 50MCG CX 30 COMP</t>
        </is>
      </c>
      <c r="D3515" s="7" t="inlineStr">
        <is>
          <t>RX</t>
        </is>
      </c>
      <c r="E3515" s="7" t="inlineStr">
        <is>
          <t>A</t>
        </is>
      </c>
      <c r="F3515" s="13" t="n">
        <v>6</v>
      </c>
      <c r="G3515" s="13" t="n">
        <v>6</v>
      </c>
      <c r="H3515" s="8" t="n">
        <v>14.437</v>
      </c>
      <c r="I3515" s="8" t="n">
        <v>12.2508</v>
      </c>
      <c r="J3515" s="8" t="n">
        <v>13.62703333333333</v>
      </c>
      <c r="K3515" s="8" t="n"/>
      <c r="L3515" s="8" t="n"/>
      <c r="M3515" s="15" t="n">
        <v>14.43</v>
      </c>
      <c r="N3515" s="8" t="n"/>
      <c r="O3515" s="8" t="n">
        <v>14.78</v>
      </c>
      <c r="P3515" s="8" t="n">
        <v>14.8313</v>
      </c>
      <c r="Q3515" s="8" t="n"/>
      <c r="R3515" s="8" t="n"/>
      <c r="S3515" s="8" t="n"/>
      <c r="T3515" s="7" t="inlineStr">
        <is>
          <t>EPAN</t>
        </is>
      </c>
      <c r="U3515" s="8" t="n">
        <v>14.43</v>
      </c>
      <c r="V3515" s="14">
        <f>U3515/J3515-1</f>
        <v/>
      </c>
      <c r="W3515" s="14">
        <f>U3515/H3515-1</f>
        <v/>
      </c>
      <c r="X3515" s="17" t="inlineStr">
        <is>
          <t>OK (≤ últ. compra)</t>
        </is>
      </c>
      <c r="Y3515" s="7" t="inlineStr">
        <is>
          <t>NAZARIA: sem estoque</t>
        </is>
      </c>
    </row>
    <row r="3516">
      <c r="A3516" s="7" t="n">
        <v>500621</v>
      </c>
      <c r="B3516" s="12" t="inlineStr">
        <is>
          <t>7891058003579</t>
        </is>
      </c>
      <c r="C3516" s="7" t="inlineStr">
        <is>
          <t>PURAN T4 62,5MCG CX 30 COMP</t>
        </is>
      </c>
      <c r="D3516" s="7" t="inlineStr">
        <is>
          <t>RX</t>
        </is>
      </c>
      <c r="E3516" s="7" t="inlineStr">
        <is>
          <t>B</t>
        </is>
      </c>
      <c r="F3516" s="13" t="n">
        <v>2</v>
      </c>
      <c r="G3516" s="13" t="n">
        <v>2</v>
      </c>
      <c r="H3516" s="8" t="n">
        <v>13.74</v>
      </c>
      <c r="I3516" s="8" t="n">
        <v>12.655</v>
      </c>
      <c r="J3516" s="8" t="n">
        <v>13.301</v>
      </c>
      <c r="K3516" s="8" t="n"/>
      <c r="L3516" s="8" t="n"/>
      <c r="M3516" s="15" t="n">
        <v>13.74</v>
      </c>
      <c r="N3516" s="8" t="n"/>
      <c r="O3516" s="8" t="n"/>
      <c r="P3516" s="8" t="n">
        <v>14.1232</v>
      </c>
      <c r="Q3516" s="8" t="n"/>
      <c r="R3516" s="8" t="n"/>
      <c r="S3516" s="8" t="n"/>
      <c r="T3516" s="7" t="inlineStr">
        <is>
          <t>EPAN</t>
        </is>
      </c>
      <c r="U3516" s="8" t="n">
        <v>13.74</v>
      </c>
      <c r="V3516" s="14">
        <f>U3516/J3516-1</f>
        <v/>
      </c>
      <c r="W3516" s="14">
        <f>U3516/H3516-1</f>
        <v/>
      </c>
      <c r="X3516" s="17" t="inlineStr">
        <is>
          <t>OK (≤ últ. compra)</t>
        </is>
      </c>
      <c r="Y3516" s="7" t="inlineStr"/>
    </row>
    <row r="3517">
      <c r="A3517" s="7" t="n">
        <v>320881</v>
      </c>
      <c r="B3517" s="12" t="inlineStr"/>
      <c r="C3517" s="7" t="inlineStr">
        <is>
          <t>PURAN T4 75MCG CX 30 COMP</t>
        </is>
      </c>
      <c r="D3517" s="7" t="inlineStr">
        <is>
          <t>RX</t>
        </is>
      </c>
      <c r="E3517" s="7" t="inlineStr">
        <is>
          <t>A</t>
        </is>
      </c>
      <c r="F3517" s="13" t="n">
        <v>2</v>
      </c>
      <c r="G3517" s="13" t="n">
        <v>2</v>
      </c>
      <c r="H3517" s="8" t="n">
        <v>15.7389</v>
      </c>
      <c r="I3517" s="8" t="n">
        <v>13.366</v>
      </c>
      <c r="J3517" s="8" t="n">
        <v>14.8631</v>
      </c>
      <c r="K3517" s="8" t="n"/>
      <c r="L3517" s="8" t="n"/>
      <c r="M3517" s="8" t="n"/>
      <c r="N3517" s="8" t="n"/>
      <c r="O3517" s="8" t="n"/>
      <c r="P3517" s="8" t="n"/>
      <c r="Q3517" s="8" t="n"/>
      <c r="R3517" s="8" t="n"/>
      <c r="S3517" s="8" t="n"/>
      <c r="T3517" s="7" t="inlineStr">
        <is>
          <t>SEM COTAÇÃO</t>
        </is>
      </c>
      <c r="U3517" s="8" t="n"/>
      <c r="V3517" s="14" t="n"/>
      <c r="W3517" s="14" t="n"/>
      <c r="X3517" s="7" t="inlineStr"/>
      <c r="Y3517" s="7" t="inlineStr"/>
    </row>
    <row r="3518">
      <c r="A3518" s="7" t="n">
        <v>320961</v>
      </c>
      <c r="B3518" s="12" t="inlineStr">
        <is>
          <t>7897595903365</t>
        </is>
      </c>
      <c r="C3518" s="7" t="inlineStr">
        <is>
          <t>PURAN T4 88MCG CX 30 COMP</t>
        </is>
      </c>
      <c r="D3518" s="7" t="inlineStr">
        <is>
          <t>RX</t>
        </is>
      </c>
      <c r="E3518" s="7" t="inlineStr">
        <is>
          <t>A</t>
        </is>
      </c>
      <c r="F3518" s="13" t="n">
        <v>6</v>
      </c>
      <c r="G3518" s="13" t="n">
        <v>6</v>
      </c>
      <c r="H3518" s="8" t="n">
        <v>19.51</v>
      </c>
      <c r="I3518" s="8" t="n">
        <v>16.105</v>
      </c>
      <c r="J3518" s="8" t="n">
        <v>18.375</v>
      </c>
      <c r="K3518" s="8" t="n"/>
      <c r="L3518" s="8" t="n"/>
      <c r="M3518" s="8" t="n">
        <v>18.98</v>
      </c>
      <c r="N3518" s="8" t="n"/>
      <c r="O3518" s="8" t="n"/>
      <c r="P3518" s="8" t="n">
        <v>19.5067</v>
      </c>
      <c r="Q3518" s="8" t="n"/>
      <c r="R3518" s="8" t="n"/>
      <c r="S3518" s="8" t="n"/>
      <c r="T3518" s="7" t="inlineStr">
        <is>
          <t>SEM COTAÇÃO</t>
        </is>
      </c>
      <c r="U3518" s="8" t="n"/>
      <c r="V3518" s="14" t="n"/>
      <c r="W3518" s="14" t="n"/>
      <c r="X3518" s="7" t="inlineStr"/>
      <c r="Y3518" s="7" t="inlineStr">
        <is>
          <t>EPAN: sem estoque; NAZARIA: sem estoque</t>
        </is>
      </c>
    </row>
    <row r="3519">
      <c r="A3519" s="7" t="n">
        <v>603201</v>
      </c>
      <c r="B3519" s="12" t="inlineStr">
        <is>
          <t>7897517937751</t>
        </is>
      </c>
      <c r="C3519" s="7" t="inlineStr">
        <is>
          <t>PV - AGUA MICELAR RICCA 200ML</t>
        </is>
      </c>
      <c r="D3519" s="7" t="inlineStr">
        <is>
          <t>PERF/COSME</t>
        </is>
      </c>
      <c r="E3519" s="7" t="inlineStr">
        <is>
          <t>C</t>
        </is>
      </c>
      <c r="F3519" s="13" t="n">
        <v>1</v>
      </c>
      <c r="G3519" s="13" t="n">
        <v>1</v>
      </c>
      <c r="H3519" s="8" t="n">
        <v>22.95</v>
      </c>
      <c r="I3519" s="8" t="n">
        <v>22.95</v>
      </c>
      <c r="J3519" s="8" t="n">
        <v>22.95</v>
      </c>
      <c r="K3519" s="8" t="n"/>
      <c r="L3519" s="8" t="n"/>
      <c r="M3519" s="8" t="n"/>
      <c r="N3519" s="8" t="n"/>
      <c r="O3519" s="8" t="n"/>
      <c r="P3519" s="8" t="n"/>
      <c r="Q3519" s="8" t="n"/>
      <c r="R3519" s="8" t="n"/>
      <c r="S3519" s="8" t="n"/>
      <c r="T3519" s="7" t="inlineStr">
        <is>
          <t>SEM COTAÇÃO</t>
        </is>
      </c>
      <c r="U3519" s="8" t="n"/>
      <c r="V3519" s="14" t="n"/>
      <c r="W3519" s="14" t="n"/>
      <c r="X3519" s="7" t="inlineStr"/>
      <c r="Y3519" s="7" t="inlineStr"/>
    </row>
    <row r="3520">
      <c r="A3520" s="7" t="n">
        <v>331801</v>
      </c>
      <c r="B3520" s="12" t="inlineStr">
        <is>
          <t>7896523209425</t>
        </is>
      </c>
      <c r="C3520" s="7" t="inlineStr">
        <is>
          <t>PV - ALERGOMINE 0,4MG/ML SOL OR FR 120ML+CM</t>
        </is>
      </c>
      <c r="D3520" s="7" t="inlineStr">
        <is>
          <t>SIMILAR</t>
        </is>
      </c>
      <c r="E3520" s="7" t="inlineStr">
        <is>
          <t>C</t>
        </is>
      </c>
      <c r="F3520" s="13" t="n">
        <v>5</v>
      </c>
      <c r="G3520" s="13" t="n">
        <v>5</v>
      </c>
      <c r="H3520" s="8" t="n">
        <v>10.2</v>
      </c>
      <c r="I3520" s="8" t="n">
        <v>10.2</v>
      </c>
      <c r="J3520" s="8" t="n">
        <v>10.2</v>
      </c>
      <c r="K3520" s="8" t="n"/>
      <c r="L3520" s="8" t="n"/>
      <c r="M3520" s="8" t="n"/>
      <c r="N3520" s="8" t="n"/>
      <c r="O3520" s="8" t="n"/>
      <c r="P3520" s="15" t="n">
        <v>21.03</v>
      </c>
      <c r="Q3520" s="8" t="n"/>
      <c r="R3520" s="8" t="n"/>
      <c r="S3520" s="8" t="n"/>
      <c r="T3520" s="7" t="inlineStr">
        <is>
          <t>NAZARIA</t>
        </is>
      </c>
      <c r="U3520" s="8" t="n">
        <v>21.03</v>
      </c>
      <c r="V3520" s="14">
        <f>U3520/J3520-1</f>
        <v/>
      </c>
      <c r="W3520" s="14">
        <f>U3520/H3520-1</f>
        <v/>
      </c>
      <c r="X3520" s="16" t="inlineStr">
        <is>
          <t>ACIMA +106.2%</t>
        </is>
      </c>
      <c r="Y3520" s="7" t="inlineStr">
        <is>
          <t>NAZARIA: conferir emb.</t>
        </is>
      </c>
    </row>
    <row r="3521">
      <c r="A3521" s="7" t="n">
        <v>594241</v>
      </c>
      <c r="B3521" s="12" t="inlineStr">
        <is>
          <t>7898636191079</t>
        </is>
      </c>
      <c r="C3521" s="7" t="inlineStr">
        <is>
          <t>PV - ASEPXIA SAB LIQ ESFOLIANTE 100ML</t>
        </is>
      </c>
      <c r="D3521" s="7" t="inlineStr">
        <is>
          <t>RX - DERMO</t>
        </is>
      </c>
      <c r="E3521" s="7" t="inlineStr">
        <is>
          <t>C</t>
        </is>
      </c>
      <c r="F3521" s="13" t="n">
        <v>1</v>
      </c>
      <c r="G3521" s="13" t="n">
        <v>1</v>
      </c>
      <c r="H3521" s="8" t="n">
        <v>21.375</v>
      </c>
      <c r="I3521" s="8" t="n">
        <v>21.375</v>
      </c>
      <c r="J3521" s="8" t="n">
        <v>21.375</v>
      </c>
      <c r="K3521" s="8" t="n"/>
      <c r="L3521" s="8" t="n"/>
      <c r="M3521" s="8" t="n"/>
      <c r="N3521" s="8" t="n"/>
      <c r="O3521" s="8" t="n"/>
      <c r="P3521" s="8" t="n"/>
      <c r="Q3521" s="8" t="n"/>
      <c r="R3521" s="8" t="n"/>
      <c r="S3521" s="8" t="n"/>
      <c r="T3521" s="7" t="inlineStr">
        <is>
          <t>SEM COTAÇÃO</t>
        </is>
      </c>
      <c r="U3521" s="8" t="n"/>
      <c r="V3521" s="14" t="n"/>
      <c r="W3521" s="14" t="n"/>
      <c r="X3521" s="7" t="inlineStr"/>
      <c r="Y3521" s="7" t="inlineStr"/>
    </row>
    <row r="3522">
      <c r="A3522" s="7" t="n">
        <v>359661</v>
      </c>
      <c r="B3522" s="12" t="inlineStr">
        <is>
          <t>7897917000352</t>
        </is>
      </c>
      <c r="C3522" s="7" t="inlineStr">
        <is>
          <t>PV - BELCOMPLEX XPE FR 100ML</t>
        </is>
      </c>
      <c r="D3522" s="7" t="inlineStr">
        <is>
          <t>SIMILAR</t>
        </is>
      </c>
      <c r="E3522" s="7" t="inlineStr">
        <is>
          <t>C</t>
        </is>
      </c>
      <c r="F3522" s="13" t="n">
        <v>2</v>
      </c>
      <c r="G3522" s="13" t="n">
        <v>2</v>
      </c>
      <c r="H3522" s="8" t="n">
        <v>4.39</v>
      </c>
      <c r="I3522" s="8" t="n">
        <v>4.39</v>
      </c>
      <c r="J3522" s="8" t="n">
        <v>4.39</v>
      </c>
      <c r="K3522" s="8" t="n"/>
      <c r="L3522" s="8" t="n"/>
      <c r="M3522" s="8" t="n"/>
      <c r="N3522" s="8" t="n"/>
      <c r="O3522" s="8" t="n"/>
      <c r="P3522" s="8" t="n"/>
      <c r="Q3522" s="8" t="n"/>
      <c r="R3522" s="8" t="n"/>
      <c r="S3522" s="8" t="n"/>
      <c r="T3522" s="7" t="inlineStr">
        <is>
          <t>SEM COTAÇÃO</t>
        </is>
      </c>
      <c r="U3522" s="8" t="n"/>
      <c r="V3522" s="14" t="n"/>
      <c r="W3522" s="14" t="n"/>
      <c r="X3522" s="7" t="inlineStr"/>
      <c r="Y3522" s="7" t="inlineStr"/>
    </row>
    <row r="3523">
      <c r="A3523" s="7" t="n">
        <v>509861</v>
      </c>
      <c r="B3523" s="12" t="inlineStr">
        <is>
          <t>7896672203909</t>
        </is>
      </c>
      <c r="C3523" s="7" t="inlineStr">
        <is>
          <t>PV - BRONCHO-VAXOM 3,5MG PO LIOF CX 10 CAP</t>
        </is>
      </c>
      <c r="D3523" s="7" t="inlineStr">
        <is>
          <t>RX</t>
        </is>
      </c>
      <c r="E3523" s="7" t="inlineStr">
        <is>
          <t>C</t>
        </is>
      </c>
      <c r="F3523" s="13" t="n">
        <v>1</v>
      </c>
      <c r="G3523" s="13" t="n">
        <v>1</v>
      </c>
      <c r="H3523" s="8" t="n">
        <v>49.26</v>
      </c>
      <c r="I3523" s="8" t="n">
        <v>49.26</v>
      </c>
      <c r="J3523" s="8" t="n">
        <v>49.26</v>
      </c>
      <c r="K3523" s="8" t="n"/>
      <c r="L3523" s="8" t="n"/>
      <c r="M3523" s="8" t="n"/>
      <c r="N3523" s="8" t="n"/>
      <c r="O3523" s="8" t="n"/>
      <c r="P3523" s="15" t="n">
        <v>54.3394</v>
      </c>
      <c r="Q3523" s="8" t="n"/>
      <c r="R3523" s="8" t="n"/>
      <c r="S3523" s="8" t="n"/>
      <c r="T3523" s="7" t="inlineStr">
        <is>
          <t>NAZARIA</t>
        </is>
      </c>
      <c r="U3523" s="8" t="n">
        <v>54.3394</v>
      </c>
      <c r="V3523" s="14">
        <f>U3523/J3523-1</f>
        <v/>
      </c>
      <c r="W3523" s="14">
        <f>U3523/H3523-1</f>
        <v/>
      </c>
      <c r="X3523" s="16" t="inlineStr">
        <is>
          <t>ACIMA +10.3%</t>
        </is>
      </c>
      <c r="Y3523" s="7" t="inlineStr"/>
    </row>
    <row r="3524">
      <c r="A3524" s="7" t="n">
        <v>1423</v>
      </c>
      <c r="B3524" s="12" t="inlineStr">
        <is>
          <t>7898714762191</t>
        </is>
      </c>
      <c r="C3524" s="7" t="inlineStr">
        <is>
          <t>PV - CALMORELAX DUO CAPS REV X 60</t>
        </is>
      </c>
      <c r="D3524" s="7" t="inlineStr">
        <is>
          <t>VITAMINA E SIMILARES</t>
        </is>
      </c>
      <c r="E3524" s="7" t="inlineStr">
        <is>
          <t>C</t>
        </is>
      </c>
      <c r="F3524" s="13" t="n">
        <v>1</v>
      </c>
      <c r="G3524" s="13" t="n">
        <v>1</v>
      </c>
      <c r="H3524" s="8" t="n">
        <v>24.0867</v>
      </c>
      <c r="I3524" s="8" t="n">
        <v>24.0867</v>
      </c>
      <c r="J3524" s="8" t="n">
        <v>24.0867</v>
      </c>
      <c r="K3524" s="8" t="n"/>
      <c r="L3524" s="8" t="n"/>
      <c r="M3524" s="8" t="n"/>
      <c r="N3524" s="8" t="n"/>
      <c r="O3524" s="8" t="n"/>
      <c r="P3524" s="8" t="n"/>
      <c r="Q3524" s="8" t="n"/>
      <c r="R3524" s="8" t="n"/>
      <c r="S3524" s="8" t="n"/>
      <c r="T3524" s="7" t="inlineStr">
        <is>
          <t>SEM COTAÇÃO</t>
        </is>
      </c>
      <c r="U3524" s="8" t="n"/>
      <c r="V3524" s="14" t="n"/>
      <c r="W3524" s="14" t="n"/>
      <c r="X3524" s="7" t="inlineStr"/>
      <c r="Y3524" s="7" t="inlineStr"/>
    </row>
    <row r="3525">
      <c r="A3525" s="7" t="n">
        <v>646941</v>
      </c>
      <c r="B3525" s="12" t="inlineStr">
        <is>
          <t>7891000388792</t>
        </is>
      </c>
      <c r="C3525" s="7" t="inlineStr">
        <is>
          <t>PV - CHOC NESTLE PRESTIGIO 252G</t>
        </is>
      </c>
      <c r="D3525" s="7" t="inlineStr">
        <is>
          <t>DESATIVADO</t>
        </is>
      </c>
      <c r="E3525" s="7" t="inlineStr">
        <is>
          <t>C</t>
        </is>
      </c>
      <c r="F3525" s="13" t="n">
        <v>4</v>
      </c>
      <c r="G3525" s="13" t="n">
        <v>4</v>
      </c>
      <c r="H3525" s="8" t="n">
        <v>17.61</v>
      </c>
      <c r="I3525" s="8" t="n">
        <v>16.94</v>
      </c>
      <c r="J3525" s="8" t="n">
        <v>16.94</v>
      </c>
      <c r="K3525" s="8" t="n"/>
      <c r="L3525" s="8" t="n"/>
      <c r="M3525" s="8" t="n"/>
      <c r="N3525" s="8" t="n"/>
      <c r="O3525" s="8" t="n"/>
      <c r="P3525" s="8" t="n"/>
      <c r="Q3525" s="8" t="n"/>
      <c r="R3525" s="8" t="n"/>
      <c r="S3525" s="8" t="n"/>
      <c r="T3525" s="7" t="inlineStr">
        <is>
          <t>SEM COTAÇÃO</t>
        </is>
      </c>
      <c r="U3525" s="8" t="n"/>
      <c r="V3525" s="14" t="n"/>
      <c r="W3525" s="14" t="n"/>
      <c r="X3525" s="7" t="inlineStr"/>
      <c r="Y3525" s="7" t="inlineStr"/>
    </row>
    <row r="3526">
      <c r="A3526" s="7" t="n">
        <v>604231</v>
      </c>
      <c r="B3526" s="12" t="inlineStr">
        <is>
          <t>7898919412181</t>
        </is>
      </c>
      <c r="C3526" s="7" t="inlineStr">
        <is>
          <t>PV - CR.PEN.MONANGE LISOS 300ML</t>
        </is>
      </c>
      <c r="D3526" s="7" t="inlineStr">
        <is>
          <t>DESATIVADO</t>
        </is>
      </c>
      <c r="E3526" s="7" t="inlineStr">
        <is>
          <t>C</t>
        </is>
      </c>
      <c r="F3526" s="13" t="n">
        <v>1</v>
      </c>
      <c r="G3526" s="13" t="n">
        <v>1</v>
      </c>
      <c r="H3526" s="8" t="n">
        <v>8.4</v>
      </c>
      <c r="I3526" s="8" t="n">
        <v>8.4</v>
      </c>
      <c r="J3526" s="8" t="n">
        <v>8.4</v>
      </c>
      <c r="K3526" s="8" t="n"/>
      <c r="L3526" s="8" t="n"/>
      <c r="M3526" s="8" t="n"/>
      <c r="N3526" s="8" t="n"/>
      <c r="O3526" s="8" t="n"/>
      <c r="P3526" s="8" t="n"/>
      <c r="Q3526" s="8" t="n"/>
      <c r="R3526" s="8" t="n"/>
      <c r="S3526" s="8" t="n"/>
      <c r="T3526" s="7" t="inlineStr">
        <is>
          <t>SEM COTAÇÃO</t>
        </is>
      </c>
      <c r="U3526" s="8" t="n"/>
      <c r="V3526" s="14" t="n"/>
      <c r="W3526" s="14" t="n"/>
      <c r="X3526" s="7" t="inlineStr"/>
      <c r="Y3526" s="7" t="inlineStr"/>
    </row>
    <row r="3527">
      <c r="A3527" s="7" t="n">
        <v>642921</v>
      </c>
      <c r="B3527" s="12" t="inlineStr">
        <is>
          <t>7894913003929</t>
        </is>
      </c>
      <c r="C3527" s="7" t="inlineStr">
        <is>
          <t>PV - CYSTRAT EXOCYAN CRANBERRY 60 CAPS</t>
        </is>
      </c>
      <c r="D3527" s="7" t="inlineStr">
        <is>
          <t>VITAMINA E SIMILARES</t>
        </is>
      </c>
      <c r="E3527" s="7" t="inlineStr">
        <is>
          <t>C</t>
        </is>
      </c>
      <c r="F3527" s="13" t="n">
        <v>1</v>
      </c>
      <c r="G3527" s="13" t="n">
        <v>1</v>
      </c>
      <c r="H3527" s="8" t="n">
        <v>32.86</v>
      </c>
      <c r="I3527" s="8" t="n">
        <v>32.86</v>
      </c>
      <c r="J3527" s="8" t="n">
        <v>32.86</v>
      </c>
      <c r="K3527" s="8" t="n"/>
      <c r="L3527" s="8" t="n"/>
      <c r="M3527" s="8" t="n"/>
      <c r="N3527" s="8" t="n"/>
      <c r="O3527" s="8" t="n"/>
      <c r="P3527" s="8" t="n"/>
      <c r="Q3527" s="8" t="n"/>
      <c r="R3527" s="8" t="n"/>
      <c r="S3527" s="8" t="n"/>
      <c r="T3527" s="7" t="inlineStr">
        <is>
          <t>SEM COTAÇÃO</t>
        </is>
      </c>
      <c r="U3527" s="8" t="n"/>
      <c r="V3527" s="14" t="n"/>
      <c r="W3527" s="14" t="n"/>
      <c r="X3527" s="7" t="inlineStr"/>
      <c r="Y3527" s="7" t="inlineStr"/>
    </row>
    <row r="3528">
      <c r="A3528" s="7" t="n">
        <v>201921</v>
      </c>
      <c r="B3528" s="12" t="inlineStr">
        <is>
          <t>7896472500253</t>
        </is>
      </c>
      <c r="C3528" s="7" t="inlineStr">
        <is>
          <t>PV - DELTALAB 0,2MG LOCAO FR 100ML</t>
        </is>
      </c>
      <c r="D3528" s="7" t="inlineStr">
        <is>
          <t>SIMILAR</t>
        </is>
      </c>
      <c r="E3528" s="7" t="inlineStr">
        <is>
          <t>C</t>
        </is>
      </c>
      <c r="F3528" s="13" t="n">
        <v>1</v>
      </c>
      <c r="G3528" s="13" t="n">
        <v>1</v>
      </c>
      <c r="H3528" s="8" t="n">
        <v>5.6</v>
      </c>
      <c r="I3528" s="8" t="n">
        <v>5.6</v>
      </c>
      <c r="J3528" s="8" t="n">
        <v>5.599999999999999</v>
      </c>
      <c r="K3528" s="8" t="n">
        <v>6.88</v>
      </c>
      <c r="L3528" s="8" t="n"/>
      <c r="M3528" s="8" t="n"/>
      <c r="N3528" s="8" t="n"/>
      <c r="O3528" s="8" t="n"/>
      <c r="P3528" s="8" t="n"/>
      <c r="Q3528" s="8" t="n"/>
      <c r="R3528" s="15" t="n">
        <v>6.58</v>
      </c>
      <c r="S3528" s="8" t="n"/>
      <c r="T3528" s="7" t="inlineStr">
        <is>
          <t>BRASFARMA</t>
        </is>
      </c>
      <c r="U3528" s="8" t="n">
        <v>6.58</v>
      </c>
      <c r="V3528" s="14">
        <f>U3528/J3528-1</f>
        <v/>
      </c>
      <c r="W3528" s="14">
        <f>U3528/H3528-1</f>
        <v/>
      </c>
      <c r="X3528" s="16" t="inlineStr">
        <is>
          <t>ACIMA +17.5%</t>
        </is>
      </c>
      <c r="Y3528" s="7" t="inlineStr"/>
    </row>
    <row r="3529">
      <c r="A3529" s="7" t="n">
        <v>604451</v>
      </c>
      <c r="B3529" s="12" t="inlineStr">
        <is>
          <t>4005900647481</t>
        </is>
      </c>
      <c r="C3529" s="7" t="inlineStr">
        <is>
          <t>PV - DES.NIVEA AER.MAS.DRY FR.150M</t>
        </is>
      </c>
      <c r="D3529" s="7" t="inlineStr">
        <is>
          <t>PERF/COSME</t>
        </is>
      </c>
      <c r="E3529" s="7" t="inlineStr">
        <is>
          <t>C</t>
        </is>
      </c>
      <c r="F3529" s="13" t="n">
        <v>1</v>
      </c>
      <c r="G3529" s="13" t="n">
        <v>1</v>
      </c>
      <c r="H3529" s="8" t="n">
        <v>10.95</v>
      </c>
      <c r="I3529" s="8" t="n">
        <v>10.95</v>
      </c>
      <c r="J3529" s="8" t="n">
        <v>10.95</v>
      </c>
      <c r="K3529" s="8" t="n"/>
      <c r="L3529" s="8" t="n"/>
      <c r="M3529" s="8" t="n"/>
      <c r="N3529" s="8" t="n"/>
      <c r="O3529" s="8" t="n"/>
      <c r="P3529" s="8" t="n"/>
      <c r="Q3529" s="8" t="n"/>
      <c r="R3529" s="8" t="n"/>
      <c r="S3529" s="8" t="n"/>
      <c r="T3529" s="7" t="inlineStr">
        <is>
          <t>SEM COTAÇÃO</t>
        </is>
      </c>
      <c r="U3529" s="8" t="n"/>
      <c r="V3529" s="14" t="n"/>
      <c r="W3529" s="14" t="n"/>
      <c r="X3529" s="7" t="inlineStr"/>
      <c r="Y3529" s="7" t="inlineStr"/>
    </row>
    <row r="3530">
      <c r="A3530" s="7" t="n">
        <v>649501</v>
      </c>
      <c r="B3530" s="12" t="inlineStr">
        <is>
          <t>7897230304076</t>
        </is>
      </c>
      <c r="C3530" s="7" t="inlineStr">
        <is>
          <t>PV - HIDRABENE SERUM LUMINOUS EYES - 30ML</t>
        </is>
      </c>
      <c r="D3530" s="7" t="inlineStr">
        <is>
          <t>PERF/COSME</t>
        </is>
      </c>
      <c r="E3530" s="7" t="inlineStr">
        <is>
          <t>C</t>
        </is>
      </c>
      <c r="F3530" s="13" t="n">
        <v>1</v>
      </c>
      <c r="G3530" s="13" t="n">
        <v>1</v>
      </c>
      <c r="H3530" s="8" t="n">
        <v>53.95</v>
      </c>
      <c r="I3530" s="8" t="n">
        <v>53.95</v>
      </c>
      <c r="J3530" s="8" t="n">
        <v>53.95000000000001</v>
      </c>
      <c r="K3530" s="8" t="n"/>
      <c r="L3530" s="8" t="n"/>
      <c r="M3530" s="8" t="n"/>
      <c r="N3530" s="8" t="n"/>
      <c r="O3530" s="8" t="n"/>
      <c r="P3530" s="8" t="n"/>
      <c r="Q3530" s="8" t="n"/>
      <c r="R3530" s="8" t="n"/>
      <c r="S3530" s="8" t="n"/>
      <c r="T3530" s="7" t="inlineStr">
        <is>
          <t>SEM COTAÇÃO</t>
        </is>
      </c>
      <c r="U3530" s="8" t="n"/>
      <c r="V3530" s="14" t="n"/>
      <c r="W3530" s="14" t="n"/>
      <c r="X3530" s="7" t="inlineStr"/>
      <c r="Y3530" s="7" t="inlineStr"/>
    </row>
    <row r="3531">
      <c r="A3531" s="7" t="n">
        <v>592661</v>
      </c>
      <c r="B3531" s="12" t="inlineStr">
        <is>
          <t>7897947604353</t>
        </is>
      </c>
      <c r="C3531" s="7" t="inlineStr">
        <is>
          <t>PV - HIDRAT 3% INFANTIL LOC FR 150ML</t>
        </is>
      </c>
      <c r="D3531" s="7" t="inlineStr">
        <is>
          <t>SIMILAR</t>
        </is>
      </c>
      <c r="E3531" s="7" t="inlineStr">
        <is>
          <t>C</t>
        </is>
      </c>
      <c r="F3531" s="13" t="n">
        <v>1</v>
      </c>
      <c r="G3531" s="13" t="n">
        <v>1</v>
      </c>
      <c r="H3531" s="8" t="n"/>
      <c r="I3531" s="8" t="n"/>
      <c r="J3531" s="8" t="n"/>
      <c r="K3531" s="8" t="n"/>
      <c r="L3531" s="8" t="n"/>
      <c r="M3531" s="8" t="n"/>
      <c r="N3531" s="8" t="n"/>
      <c r="O3531" s="8" t="n"/>
      <c r="P3531" s="8" t="n"/>
      <c r="Q3531" s="8" t="n"/>
      <c r="R3531" s="8" t="n"/>
      <c r="S3531" s="8" t="n"/>
      <c r="T3531" s="7" t="inlineStr">
        <is>
          <t>SEM COTAÇÃO</t>
        </is>
      </c>
      <c r="U3531" s="8" t="n"/>
      <c r="V3531" s="14" t="n"/>
      <c r="W3531" s="14" t="n"/>
      <c r="X3531" s="7" t="inlineStr"/>
      <c r="Y3531" s="7" t="inlineStr"/>
    </row>
    <row r="3532">
      <c r="A3532" s="7" t="n">
        <v>646181</v>
      </c>
      <c r="B3532" s="12" t="inlineStr">
        <is>
          <t>7899941203211</t>
        </is>
      </c>
      <c r="C3532" s="7" t="inlineStr">
        <is>
          <t>PV - HORUS MAX TITANIUM MACA VERDE POTE 150G</t>
        </is>
      </c>
      <c r="D3532" s="7" t="inlineStr">
        <is>
          <t>SUPLEMENTO</t>
        </is>
      </c>
      <c r="E3532" s="7" t="inlineStr">
        <is>
          <t>C</t>
        </is>
      </c>
      <c r="F3532" s="13" t="n">
        <v>1</v>
      </c>
      <c r="G3532" s="13" t="n">
        <v>1</v>
      </c>
      <c r="H3532" s="8" t="n">
        <v>63.61</v>
      </c>
      <c r="I3532" s="8" t="n">
        <v>63.61</v>
      </c>
      <c r="J3532" s="8" t="n">
        <v>63.60999999999999</v>
      </c>
      <c r="K3532" s="8" t="n"/>
      <c r="L3532" s="8" t="n"/>
      <c r="M3532" s="8" t="n"/>
      <c r="N3532" s="8" t="n"/>
      <c r="O3532" s="8" t="n"/>
      <c r="P3532" s="8" t="n"/>
      <c r="Q3532" s="8" t="n"/>
      <c r="R3532" s="8" t="n"/>
      <c r="S3532" s="15" t="n">
        <v>59</v>
      </c>
      <c r="T3532" s="7" t="inlineStr">
        <is>
          <t>AT_SUPLEMENTOS</t>
        </is>
      </c>
      <c r="U3532" s="8" t="n">
        <v>59</v>
      </c>
      <c r="V3532" s="14">
        <f>U3532/J3532-1</f>
        <v/>
      </c>
      <c r="W3532" s="14">
        <f>U3532/H3532-1</f>
        <v/>
      </c>
      <c r="X3532" s="17" t="inlineStr">
        <is>
          <t>OK (≤ menor hist.)</t>
        </is>
      </c>
      <c r="Y3532" s="7" t="inlineStr"/>
    </row>
    <row r="3533">
      <c r="A3533" s="7" t="n">
        <v>68841</v>
      </c>
      <c r="B3533" s="12" t="inlineStr">
        <is>
          <t>7896004765709</t>
        </is>
      </c>
      <c r="C3533" s="7" t="inlineStr">
        <is>
          <t>PV - INALIDE 64MPV - CG SUS SPR NAS FR 120 ACION</t>
        </is>
      </c>
      <c r="D3533" s="7" t="inlineStr">
        <is>
          <t>SIMILAR</t>
        </is>
      </c>
      <c r="E3533" s="7" t="inlineStr">
        <is>
          <t>C</t>
        </is>
      </c>
      <c r="F3533" s="13" t="n">
        <v>2</v>
      </c>
      <c r="G3533" s="13" t="n">
        <v>2</v>
      </c>
      <c r="H3533" s="8" t="n">
        <v>23.98</v>
      </c>
      <c r="I3533" s="8" t="n">
        <v>23.98</v>
      </c>
      <c r="J3533" s="8" t="n">
        <v>23.98</v>
      </c>
      <c r="K3533" s="15" t="n">
        <v>20.33</v>
      </c>
      <c r="L3533" s="8" t="n"/>
      <c r="M3533" s="8" t="n"/>
      <c r="N3533" s="8" t="n">
        <v>21.71</v>
      </c>
      <c r="O3533" s="8" t="n">
        <v>24.96</v>
      </c>
      <c r="P3533" s="8" t="n"/>
      <c r="Q3533" s="8" t="n">
        <v>22.66</v>
      </c>
      <c r="R3533" s="8" t="n">
        <v>20.48</v>
      </c>
      <c r="S3533" s="8" t="n"/>
      <c r="T3533" s="7" t="inlineStr">
        <is>
          <t>DIMEC</t>
        </is>
      </c>
      <c r="U3533" s="8" t="n">
        <v>20.33</v>
      </c>
      <c r="V3533" s="14">
        <f>U3533/J3533-1</f>
        <v/>
      </c>
      <c r="W3533" s="14">
        <f>U3533/H3533-1</f>
        <v/>
      </c>
      <c r="X3533" s="17" t="inlineStr">
        <is>
          <t>OK (≤ menor hist.)</t>
        </is>
      </c>
      <c r="Y3533" s="7" t="inlineStr"/>
    </row>
    <row r="3534">
      <c r="A3534" s="7" t="n">
        <v>609331</v>
      </c>
      <c r="B3534" s="12" t="inlineStr">
        <is>
          <t>7899732100323</t>
        </is>
      </c>
      <c r="C3534" s="7" t="inlineStr">
        <is>
          <t>PV - KIMERA THERMO IRIDIUM LABS FRASCO 60 CAPS</t>
        </is>
      </c>
      <c r="D3534" s="7" t="inlineStr">
        <is>
          <t>SUPLEMENTO</t>
        </is>
      </c>
      <c r="E3534" s="7" t="inlineStr">
        <is>
          <t>C</t>
        </is>
      </c>
      <c r="F3534" s="13" t="n">
        <v>1</v>
      </c>
      <c r="G3534" s="13" t="n">
        <v>1</v>
      </c>
      <c r="H3534" s="8" t="n">
        <v>50.43</v>
      </c>
      <c r="I3534" s="8" t="n">
        <v>50.43</v>
      </c>
      <c r="J3534" s="8" t="n">
        <v>50.43</v>
      </c>
      <c r="K3534" s="8" t="n"/>
      <c r="L3534" s="8" t="n"/>
      <c r="M3534" s="8" t="n"/>
      <c r="N3534" s="8" t="n"/>
      <c r="O3534" s="8" t="n"/>
      <c r="P3534" s="8" t="n"/>
      <c r="Q3534" s="8" t="n"/>
      <c r="R3534" s="8" t="n"/>
      <c r="S3534" s="8" t="n"/>
      <c r="T3534" s="7" t="inlineStr">
        <is>
          <t>SEM COTAÇÃO</t>
        </is>
      </c>
      <c r="U3534" s="8" t="n"/>
      <c r="V3534" s="14" t="n"/>
      <c r="W3534" s="14" t="n"/>
      <c r="X3534" s="7" t="inlineStr"/>
      <c r="Y3534" s="7" t="inlineStr"/>
    </row>
    <row r="3535">
      <c r="A3535" s="7" t="n">
        <v>619551</v>
      </c>
      <c r="B3535" s="12" t="inlineStr">
        <is>
          <t>3282779340274</t>
        </is>
      </c>
      <c r="C3535" s="7" t="inlineStr">
        <is>
          <t>PV - KIT AVENE MAT PERFECT COR FPS60+CLEANANCE 40G</t>
        </is>
      </c>
      <c r="D3535" s="7" t="inlineStr">
        <is>
          <t>RX - DERMO</t>
        </is>
      </c>
      <c r="E3535" s="7" t="inlineStr">
        <is>
          <t>C</t>
        </is>
      </c>
      <c r="F3535" s="13" t="n">
        <v>1</v>
      </c>
      <c r="G3535" s="13" t="n">
        <v>1</v>
      </c>
      <c r="H3535" s="8" t="n">
        <v>77.02</v>
      </c>
      <c r="I3535" s="8" t="n">
        <v>77.02</v>
      </c>
      <c r="J3535" s="8" t="n">
        <v>77.02</v>
      </c>
      <c r="K3535" s="8" t="n"/>
      <c r="L3535" s="8" t="n"/>
      <c r="M3535" s="8" t="n"/>
      <c r="N3535" s="8" t="n"/>
      <c r="O3535" s="8" t="n"/>
      <c r="P3535" s="8" t="n"/>
      <c r="Q3535" s="8" t="n"/>
      <c r="R3535" s="8" t="n"/>
      <c r="S3535" s="8" t="n"/>
      <c r="T3535" s="7" t="inlineStr">
        <is>
          <t>SEM COTAÇÃO</t>
        </is>
      </c>
      <c r="U3535" s="8" t="n"/>
      <c r="V3535" s="14" t="n"/>
      <c r="W3535" s="14" t="n"/>
      <c r="X3535" s="7" t="inlineStr"/>
      <c r="Y3535" s="7" t="inlineStr"/>
    </row>
    <row r="3536">
      <c r="A3536" s="7" t="n">
        <v>934</v>
      </c>
      <c r="B3536" s="12" t="inlineStr">
        <is>
          <t>7897947620919</t>
        </is>
      </c>
      <c r="C3536" s="7" t="inlineStr">
        <is>
          <t>PV - LAVITAN CARBOGEL SAC 40G DPLX10 SBR LIM</t>
        </is>
      </c>
      <c r="D3536" s="7" t="inlineStr">
        <is>
          <t>SUPLEMENTO</t>
        </is>
      </c>
      <c r="E3536" s="7" t="inlineStr">
        <is>
          <t>C</t>
        </is>
      </c>
      <c r="F3536" s="13" t="n">
        <v>1</v>
      </c>
      <c r="G3536" s="13" t="n">
        <v>2</v>
      </c>
      <c r="H3536" s="8" t="n"/>
      <c r="I3536" s="8" t="n"/>
      <c r="J3536" s="8" t="n"/>
      <c r="K3536" s="8" t="n"/>
      <c r="L3536" s="8" t="n"/>
      <c r="M3536" s="8" t="n"/>
      <c r="N3536" s="8" t="n"/>
      <c r="O3536" s="8" t="n"/>
      <c r="P3536" s="8" t="n"/>
      <c r="Q3536" s="8" t="n"/>
      <c r="R3536" s="8" t="n"/>
      <c r="S3536" s="8" t="n"/>
      <c r="T3536" s="7" t="inlineStr">
        <is>
          <t>SEM COTAÇÃO</t>
        </is>
      </c>
      <c r="U3536" s="8" t="n"/>
      <c r="V3536" s="14" t="n"/>
      <c r="W3536" s="14" t="n"/>
      <c r="X3536" s="7" t="inlineStr"/>
      <c r="Y3536" s="7" t="inlineStr"/>
    </row>
    <row r="3537">
      <c r="A3537" s="7" t="n">
        <v>662871</v>
      </c>
      <c r="B3537" s="12" t="inlineStr">
        <is>
          <t>7897947620834</t>
        </is>
      </c>
      <c r="C3537" s="7" t="inlineStr">
        <is>
          <t>PV - LAVITAN CARBOGEL SAC 40G SBR CHOCOLATE</t>
        </is>
      </c>
      <c r="D3537" s="7" t="inlineStr">
        <is>
          <t>SUPLEMENTO</t>
        </is>
      </c>
      <c r="E3537" s="7" t="inlineStr">
        <is>
          <t>C</t>
        </is>
      </c>
      <c r="F3537" s="13" t="n">
        <v>3</v>
      </c>
      <c r="G3537" s="13" t="n">
        <v>5</v>
      </c>
      <c r="H3537" s="8" t="n"/>
      <c r="I3537" s="8" t="n"/>
      <c r="J3537" s="8" t="n"/>
      <c r="K3537" s="8" t="n"/>
      <c r="L3537" s="8" t="n"/>
      <c r="M3537" s="8" t="n"/>
      <c r="N3537" s="8" t="n"/>
      <c r="O3537" s="8" t="n"/>
      <c r="P3537" s="8" t="n"/>
      <c r="Q3537" s="8" t="n"/>
      <c r="R3537" s="8" t="n"/>
      <c r="S3537" s="8" t="n"/>
      <c r="T3537" s="7" t="inlineStr">
        <is>
          <t>SEM COTAÇÃO</t>
        </is>
      </c>
      <c r="U3537" s="8" t="n"/>
      <c r="V3537" s="14" t="n"/>
      <c r="W3537" s="14" t="n"/>
      <c r="X3537" s="7" t="inlineStr"/>
      <c r="Y3537" s="7" t="inlineStr"/>
    </row>
    <row r="3538">
      <c r="A3538" s="7" t="n">
        <v>634631</v>
      </c>
      <c r="B3538" s="12" t="inlineStr">
        <is>
          <t>7891721202872</t>
        </is>
      </c>
      <c r="C3538" s="7" t="inlineStr">
        <is>
          <t>PV - LEVOTIROXINA SODICA 112MCG CX 30 COMP</t>
        </is>
      </c>
      <c r="D3538" s="7" t="inlineStr">
        <is>
          <t>GENERICO</t>
        </is>
      </c>
      <c r="E3538" s="7" t="inlineStr">
        <is>
          <t>C</t>
        </is>
      </c>
      <c r="F3538" s="13" t="n">
        <v>1</v>
      </c>
      <c r="G3538" s="13" t="n">
        <v>1</v>
      </c>
      <c r="H3538" s="8" t="n">
        <v>14.33</v>
      </c>
      <c r="I3538" s="8" t="n">
        <v>12.17</v>
      </c>
      <c r="J3538" s="8" t="n">
        <v>13.24553333333333</v>
      </c>
      <c r="K3538" s="8" t="n"/>
      <c r="L3538" s="8" t="n"/>
      <c r="M3538" s="8" t="n"/>
      <c r="N3538" s="8" t="n"/>
      <c r="O3538" s="8" t="n"/>
      <c r="P3538" s="15" t="n">
        <v>15.664891</v>
      </c>
      <c r="Q3538" s="8" t="n">
        <v>15.89</v>
      </c>
      <c r="R3538" s="8" t="n"/>
      <c r="S3538" s="8" t="n"/>
      <c r="T3538" s="7" t="inlineStr">
        <is>
          <t>NAZARIA</t>
        </is>
      </c>
      <c r="U3538" s="8" t="n">
        <v>15.664891</v>
      </c>
      <c r="V3538" s="14">
        <f>U3538/J3538-1</f>
        <v/>
      </c>
      <c r="W3538" s="14">
        <f>U3538/H3538-1</f>
        <v/>
      </c>
      <c r="X3538" s="16" t="inlineStr">
        <is>
          <t>ACIMA +9.3%</t>
        </is>
      </c>
      <c r="Y3538" s="7" t="inlineStr"/>
    </row>
    <row r="3539">
      <c r="A3539" s="7" t="n">
        <v>624261</v>
      </c>
      <c r="B3539" s="12" t="inlineStr">
        <is>
          <t>7899706141062</t>
        </is>
      </c>
      <c r="C3539" s="7" t="inlineStr">
        <is>
          <t>PV - LIPIKAR LRP AOX FPS60 200ML</t>
        </is>
      </c>
      <c r="D3539" s="7" t="inlineStr">
        <is>
          <t>RX - DERMO</t>
        </is>
      </c>
      <c r="E3539" s="7" t="inlineStr">
        <is>
          <t>C</t>
        </is>
      </c>
      <c r="F3539" s="13" t="n">
        <v>1</v>
      </c>
      <c r="G3539" s="13" t="n">
        <v>1</v>
      </c>
      <c r="H3539" s="8" t="n">
        <v>124.6</v>
      </c>
      <c r="I3539" s="8" t="n">
        <v>124.6</v>
      </c>
      <c r="J3539" s="8" t="n">
        <v>124.6</v>
      </c>
      <c r="K3539" s="8" t="n"/>
      <c r="L3539" s="8" t="n"/>
      <c r="M3539" s="8" t="n"/>
      <c r="N3539" s="8" t="n"/>
      <c r="O3539" s="8" t="n"/>
      <c r="P3539" s="8" t="n"/>
      <c r="Q3539" s="8" t="n"/>
      <c r="R3539" s="8" t="n"/>
      <c r="S3539" s="8" t="n"/>
      <c r="T3539" s="7" t="inlineStr">
        <is>
          <t>SEM COTAÇÃO</t>
        </is>
      </c>
      <c r="U3539" s="8" t="n"/>
      <c r="V3539" s="14" t="n"/>
      <c r="W3539" s="14" t="n"/>
      <c r="X3539" s="7" t="inlineStr"/>
      <c r="Y3539" s="7" t="inlineStr"/>
    </row>
    <row r="3540">
      <c r="A3540" s="7" t="n">
        <v>599411</v>
      </c>
      <c r="B3540" s="12" t="inlineStr">
        <is>
          <t>7895144191263</t>
        </is>
      </c>
      <c r="C3540" s="7" t="inlineStr">
        <is>
          <t>PV - MENTOS 30 MINUTOS CLEAR BREATH 30UN</t>
        </is>
      </c>
      <c r="D3540" s="7" t="inlineStr">
        <is>
          <t>CONVENIENCIA</t>
        </is>
      </c>
      <c r="E3540" s="7" t="inlineStr">
        <is>
          <t>A</t>
        </is>
      </c>
      <c r="F3540" s="13" t="n">
        <v>2</v>
      </c>
      <c r="G3540" s="13" t="n">
        <v>13</v>
      </c>
      <c r="H3540" s="8" t="n">
        <v>10.1208</v>
      </c>
      <c r="I3540" s="8" t="n">
        <v>10.1208</v>
      </c>
      <c r="J3540" s="8" t="n">
        <v>10.1208</v>
      </c>
      <c r="K3540" s="8" t="n"/>
      <c r="L3540" s="8" t="n"/>
      <c r="M3540" s="8" t="n"/>
      <c r="N3540" s="8" t="n"/>
      <c r="O3540" s="8" t="n"/>
      <c r="P3540" s="8" t="n"/>
      <c r="Q3540" s="8" t="n"/>
      <c r="R3540" s="8" t="n"/>
      <c r="S3540" s="8" t="n"/>
      <c r="T3540" s="7" t="inlineStr">
        <is>
          <t>SEM COTAÇÃO</t>
        </is>
      </c>
      <c r="U3540" s="8" t="n"/>
      <c r="V3540" s="14" t="n"/>
      <c r="W3540" s="14" t="n"/>
      <c r="X3540" s="7" t="inlineStr"/>
      <c r="Y3540" s="7" t="inlineStr"/>
    </row>
    <row r="3541">
      <c r="A3541" s="7" t="n">
        <v>533981</v>
      </c>
      <c r="B3541" s="12" t="inlineStr">
        <is>
          <t>7896235353416</t>
        </is>
      </c>
      <c r="C3541" s="7" t="inlineStr">
        <is>
          <t>PV - MONANGE CONDICIONADOR CACHOS QUE TAL 325ML</t>
        </is>
      </c>
      <c r="D3541" s="7" t="inlineStr">
        <is>
          <t>DESATIVADO</t>
        </is>
      </c>
      <c r="E3541" s="7" t="inlineStr">
        <is>
          <t>C</t>
        </is>
      </c>
      <c r="F3541" s="13" t="n">
        <v>1</v>
      </c>
      <c r="G3541" s="13" t="n">
        <v>1</v>
      </c>
      <c r="H3541" s="8" t="n">
        <v>7.38</v>
      </c>
      <c r="I3541" s="8" t="n">
        <v>7.38</v>
      </c>
      <c r="J3541" s="8" t="n">
        <v>7.38</v>
      </c>
      <c r="K3541" s="8" t="n"/>
      <c r="L3541" s="8" t="n"/>
      <c r="M3541" s="8" t="n"/>
      <c r="N3541" s="8" t="n"/>
      <c r="O3541" s="8" t="n"/>
      <c r="P3541" s="8" t="n"/>
      <c r="Q3541" s="8" t="n"/>
      <c r="R3541" s="8" t="n"/>
      <c r="S3541" s="8" t="n"/>
      <c r="T3541" s="7" t="inlineStr">
        <is>
          <t>SEM COTAÇÃO</t>
        </is>
      </c>
      <c r="U3541" s="8" t="n"/>
      <c r="V3541" s="14" t="n"/>
      <c r="W3541" s="14" t="n"/>
      <c r="X3541" s="7" t="inlineStr"/>
      <c r="Y3541" s="7" t="inlineStr"/>
    </row>
    <row r="3542">
      <c r="A3542" s="7" t="n">
        <v>533961</v>
      </c>
      <c r="B3542" s="12" t="inlineStr">
        <is>
          <t>7896235353423</t>
        </is>
      </c>
      <c r="C3542" s="7" t="inlineStr">
        <is>
          <t>PV - MONANGE CONDICIONADOR QUIMICA SEM DRAMA 325ML</t>
        </is>
      </c>
      <c r="D3542" s="7" t="inlineStr">
        <is>
          <t>DESATIVADO</t>
        </is>
      </c>
      <c r="E3542" s="7" t="inlineStr">
        <is>
          <t>C</t>
        </is>
      </c>
      <c r="F3542" s="13" t="n">
        <v>1</v>
      </c>
      <c r="G3542" s="13" t="n">
        <v>1</v>
      </c>
      <c r="H3542" s="8" t="n">
        <v>7.38</v>
      </c>
      <c r="I3542" s="8" t="n">
        <v>7.38</v>
      </c>
      <c r="J3542" s="8" t="n">
        <v>7.38</v>
      </c>
      <c r="K3542" s="8" t="n"/>
      <c r="L3542" s="8" t="n"/>
      <c r="M3542" s="8" t="n"/>
      <c r="N3542" s="8" t="n"/>
      <c r="O3542" s="8" t="n"/>
      <c r="P3542" s="8" t="n"/>
      <c r="Q3542" s="8" t="n"/>
      <c r="R3542" s="8" t="n"/>
      <c r="S3542" s="8" t="n"/>
      <c r="T3542" s="7" t="inlineStr">
        <is>
          <t>SEM COTAÇÃO</t>
        </is>
      </c>
      <c r="U3542" s="8" t="n"/>
      <c r="V3542" s="14" t="n"/>
      <c r="W3542" s="14" t="n"/>
      <c r="X3542" s="7" t="inlineStr"/>
      <c r="Y3542" s="7" t="inlineStr"/>
    </row>
    <row r="3543">
      <c r="A3543" s="7" t="n">
        <v>533781</v>
      </c>
      <c r="B3543" s="12" t="inlineStr">
        <is>
          <t>7896235353324</t>
        </is>
      </c>
      <c r="C3543" s="7" t="inlineStr">
        <is>
          <t>PV - MONANGE SHAMPOO HIDRATA 325ML</t>
        </is>
      </c>
      <c r="D3543" s="7" t="inlineStr">
        <is>
          <t>PERF/COSME</t>
        </is>
      </c>
      <c r="E3543" s="7" t="inlineStr">
        <is>
          <t>C</t>
        </is>
      </c>
      <c r="F3543" s="13" t="n">
        <v>1</v>
      </c>
      <c r="G3543" s="13" t="n">
        <v>1</v>
      </c>
      <c r="H3543" s="8" t="n">
        <v>9.01</v>
      </c>
      <c r="I3543" s="8" t="n">
        <v>9.01</v>
      </c>
      <c r="J3543" s="8" t="n">
        <v>9.01</v>
      </c>
      <c r="K3543" s="8" t="n"/>
      <c r="L3543" s="8" t="n"/>
      <c r="M3543" s="8" t="n"/>
      <c r="N3543" s="8" t="n"/>
      <c r="O3543" s="8" t="n"/>
      <c r="P3543" s="8" t="n"/>
      <c r="Q3543" s="8" t="n"/>
      <c r="R3543" s="8" t="n"/>
      <c r="S3543" s="8" t="n"/>
      <c r="T3543" s="7" t="inlineStr">
        <is>
          <t>SEM COTAÇÃO</t>
        </is>
      </c>
      <c r="U3543" s="8" t="n"/>
      <c r="V3543" s="14" t="n"/>
      <c r="W3543" s="14" t="n"/>
      <c r="X3543" s="7" t="inlineStr"/>
      <c r="Y3543" s="7" t="inlineStr"/>
    </row>
    <row r="3544">
      <c r="A3544" s="7" t="n">
        <v>622601</v>
      </c>
      <c r="B3544" s="12" t="inlineStr">
        <is>
          <t>7897732607224</t>
        </is>
      </c>
      <c r="C3544" s="7" t="inlineStr">
        <is>
          <t>PV - MOVIMEX 30CPR</t>
        </is>
      </c>
      <c r="D3544" s="7" t="inlineStr">
        <is>
          <t>SIMILAR</t>
        </is>
      </c>
      <c r="E3544" s="7" t="inlineStr">
        <is>
          <t>B</t>
        </is>
      </c>
      <c r="F3544" s="13" t="n">
        <v>1</v>
      </c>
      <c r="G3544" s="13" t="n">
        <v>1</v>
      </c>
      <c r="H3544" s="8" t="n">
        <v>29.5117</v>
      </c>
      <c r="I3544" s="8" t="n">
        <v>29.5117</v>
      </c>
      <c r="J3544" s="8" t="n">
        <v>29.5117</v>
      </c>
      <c r="K3544" s="8" t="n"/>
      <c r="L3544" s="8" t="n"/>
      <c r="M3544" s="8" t="n"/>
      <c r="N3544" s="8" t="n"/>
      <c r="O3544" s="8" t="n"/>
      <c r="P3544" s="8" t="n">
        <v>32.8</v>
      </c>
      <c r="Q3544" s="8" t="n"/>
      <c r="R3544" s="8" t="n"/>
      <c r="S3544" s="8" t="n"/>
      <c r="T3544" s="7" t="inlineStr">
        <is>
          <t>SEM COTAÇÃO</t>
        </is>
      </c>
      <c r="U3544" s="8" t="n"/>
      <c r="V3544" s="14" t="n"/>
      <c r="W3544" s="14" t="n"/>
      <c r="X3544" s="7" t="inlineStr"/>
      <c r="Y3544" s="7" t="inlineStr">
        <is>
          <t>NAZARIA: sem estoque</t>
        </is>
      </c>
    </row>
    <row r="3545">
      <c r="A3545" s="7" t="n">
        <v>593541</v>
      </c>
      <c r="B3545" s="12" t="inlineStr">
        <is>
          <t>7891000358801</t>
        </is>
      </c>
      <c r="C3545" s="7" t="inlineStr">
        <is>
          <t>PV - NESTON 3 CEREAIS 18X360G BR</t>
        </is>
      </c>
      <c r="D3545" s="7" t="inlineStr">
        <is>
          <t>ALIMENTOS LACTEOS, DERIVADOS E SIMILARES</t>
        </is>
      </c>
      <c r="E3545" s="7" t="inlineStr">
        <is>
          <t>C</t>
        </is>
      </c>
      <c r="F3545" s="13" t="n">
        <v>1</v>
      </c>
      <c r="G3545" s="13" t="n">
        <v>1</v>
      </c>
      <c r="H3545" s="8" t="n">
        <v>12.2678</v>
      </c>
      <c r="I3545" s="8" t="n">
        <v>12.2678</v>
      </c>
      <c r="J3545" s="8" t="n">
        <v>12.2678</v>
      </c>
      <c r="K3545" s="8" t="n"/>
      <c r="L3545" s="8" t="n"/>
      <c r="M3545" s="8" t="n"/>
      <c r="N3545" s="8" t="n"/>
      <c r="O3545" s="8" t="n"/>
      <c r="P3545" s="8" t="n"/>
      <c r="Q3545" s="8" t="n"/>
      <c r="R3545" s="8" t="n"/>
      <c r="S3545" s="8" t="n"/>
      <c r="T3545" s="7" t="inlineStr">
        <is>
          <t>SEM COTAÇÃO</t>
        </is>
      </c>
      <c r="U3545" s="8" t="n"/>
      <c r="V3545" s="14" t="n"/>
      <c r="W3545" s="14" t="n"/>
      <c r="X3545" s="7" t="inlineStr"/>
      <c r="Y3545" s="7" t="inlineStr"/>
    </row>
    <row r="3546">
      <c r="A3546" s="7" t="n">
        <v>290261</v>
      </c>
      <c r="B3546" s="12" t="inlineStr">
        <is>
          <t>7894916510417</t>
        </is>
      </c>
      <c r="C3546" s="7" t="inlineStr">
        <is>
          <t>PV - OLMY HCT 20+12,5MG CX 10 COMP REV</t>
        </is>
      </c>
      <c r="D3546" s="7" t="inlineStr">
        <is>
          <t>RX</t>
        </is>
      </c>
      <c r="E3546" s="7" t="inlineStr">
        <is>
          <t>B</t>
        </is>
      </c>
      <c r="F3546" s="13" t="n">
        <v>1</v>
      </c>
      <c r="G3546" s="13" t="n">
        <v>1</v>
      </c>
      <c r="H3546" s="8" t="n">
        <v>49.1</v>
      </c>
      <c r="I3546" s="8" t="n">
        <v>49.1</v>
      </c>
      <c r="J3546" s="8" t="n">
        <v>49.1</v>
      </c>
      <c r="K3546" s="8" t="n"/>
      <c r="L3546" s="8" t="n"/>
      <c r="M3546" s="8" t="n">
        <v>51.02</v>
      </c>
      <c r="N3546" s="8" t="n"/>
      <c r="O3546" s="8" t="n"/>
      <c r="P3546" s="15" t="n">
        <v>49.1</v>
      </c>
      <c r="Q3546" s="8" t="n"/>
      <c r="R3546" s="8" t="n"/>
      <c r="S3546" s="8" t="n"/>
      <c r="T3546" s="7" t="inlineStr">
        <is>
          <t>NAZARIA</t>
        </is>
      </c>
      <c r="U3546" s="8" t="n">
        <v>49.1</v>
      </c>
      <c r="V3546" s="14">
        <f>U3546/J3546-1</f>
        <v/>
      </c>
      <c r="W3546" s="14">
        <f>U3546/H3546-1</f>
        <v/>
      </c>
      <c r="X3546" s="17" t="inlineStr">
        <is>
          <t>OK (≤ menor hist.)</t>
        </is>
      </c>
      <c r="Y3546" s="7" t="inlineStr">
        <is>
          <t>EPAN: sem estoque</t>
        </is>
      </c>
    </row>
    <row r="3547">
      <c r="A3547" s="7" t="n">
        <v>204261</v>
      </c>
      <c r="B3547" s="12" t="inlineStr">
        <is>
          <t>7897337713382</t>
        </is>
      </c>
      <c r="C3547" s="7" t="inlineStr">
        <is>
          <t>PV - PEROLA 0,075MG CX 28 COMP REV</t>
        </is>
      </c>
      <c r="D3547" s="7" t="inlineStr">
        <is>
          <t>RX</t>
        </is>
      </c>
      <c r="E3547" s="7" t="inlineStr">
        <is>
          <t>C</t>
        </is>
      </c>
      <c r="F3547" s="13" t="n">
        <v>1</v>
      </c>
      <c r="G3547" s="13" t="n">
        <v>1</v>
      </c>
      <c r="H3547" s="8" t="n">
        <v>32.905</v>
      </c>
      <c r="I3547" s="8" t="n">
        <v>32.905</v>
      </c>
      <c r="J3547" s="8" t="n">
        <v>32.905</v>
      </c>
      <c r="K3547" s="8" t="n"/>
      <c r="L3547" s="8" t="n"/>
      <c r="M3547" s="8" t="n">
        <v>36.65</v>
      </c>
      <c r="N3547" s="8" t="n"/>
      <c r="O3547" s="8" t="n"/>
      <c r="P3547" s="15" t="n">
        <v>36.7824</v>
      </c>
      <c r="Q3547" s="8" t="n"/>
      <c r="R3547" s="8" t="n"/>
      <c r="S3547" s="8" t="n"/>
      <c r="T3547" s="7" t="inlineStr">
        <is>
          <t>NAZARIA</t>
        </is>
      </c>
      <c r="U3547" s="8" t="n">
        <v>36.7824</v>
      </c>
      <c r="V3547" s="14">
        <f>U3547/J3547-1</f>
        <v/>
      </c>
      <c r="W3547" s="14">
        <f>U3547/H3547-1</f>
        <v/>
      </c>
      <c r="X3547" s="16" t="inlineStr">
        <is>
          <t>ACIMA +11.8%</t>
        </is>
      </c>
      <c r="Y3547" s="7" t="inlineStr">
        <is>
          <t>EPAN: sem estoque</t>
        </is>
      </c>
    </row>
    <row r="3548">
      <c r="A3548" s="7" t="n">
        <v>660341</v>
      </c>
      <c r="B3548" s="12" t="inlineStr">
        <is>
          <t>7891058005658</t>
        </is>
      </c>
      <c r="C3548" s="7" t="inlineStr">
        <is>
          <t>PV - PREDNISONA 5MG CX 20 COMP</t>
        </is>
      </c>
      <c r="D3548" s="7" t="inlineStr">
        <is>
          <t>GENERICO</t>
        </is>
      </c>
      <c r="E3548" s="7" t="inlineStr">
        <is>
          <t>B</t>
        </is>
      </c>
      <c r="F3548" s="13" t="n">
        <v>13</v>
      </c>
      <c r="G3548" s="13" t="n">
        <v>13</v>
      </c>
      <c r="H3548" s="8" t="n">
        <v>3.468</v>
      </c>
      <c r="I3548" s="8" t="n">
        <v>2.967</v>
      </c>
      <c r="J3548" s="8" t="n">
        <v>3.301</v>
      </c>
      <c r="K3548" s="15" t="n">
        <v>4.14</v>
      </c>
      <c r="L3548" s="8" t="n"/>
      <c r="M3548" s="8" t="n"/>
      <c r="N3548" s="8" t="n"/>
      <c r="O3548" s="8" t="n"/>
      <c r="P3548" s="8" t="n">
        <v>6.18054</v>
      </c>
      <c r="Q3548" s="8" t="n"/>
      <c r="R3548" s="8" t="n"/>
      <c r="S3548" s="8" t="n"/>
      <c r="T3548" s="7" t="inlineStr">
        <is>
          <t>DIMEC</t>
        </is>
      </c>
      <c r="U3548" s="8" t="n">
        <v>4.14</v>
      </c>
      <c r="V3548" s="14">
        <f>U3548/J3548-1</f>
        <v/>
      </c>
      <c r="W3548" s="14">
        <f>U3548/H3548-1</f>
        <v/>
      </c>
      <c r="X3548" s="16" t="inlineStr">
        <is>
          <t>ACIMA +19.4%</t>
        </is>
      </c>
      <c r="Y3548" s="7" t="inlineStr"/>
    </row>
    <row r="3549">
      <c r="A3549" s="7" t="n">
        <v>594491</v>
      </c>
      <c r="B3549" s="12" t="inlineStr">
        <is>
          <t>7891106914031</t>
        </is>
      </c>
      <c r="C3549" s="7" t="inlineStr">
        <is>
          <t>PV - PRIMOGYNA 1MG CX 28 DRG</t>
        </is>
      </c>
      <c r="D3549" s="7" t="inlineStr">
        <is>
          <t>RX</t>
        </is>
      </c>
      <c r="E3549" s="7" t="inlineStr">
        <is>
          <t>B</t>
        </is>
      </c>
      <c r="F3549" s="13" t="n">
        <v>1</v>
      </c>
      <c r="G3549" s="13" t="n">
        <v>1</v>
      </c>
      <c r="H3549" s="8" t="n">
        <v>43.04</v>
      </c>
      <c r="I3549" s="8" t="n">
        <v>38.26</v>
      </c>
      <c r="J3549" s="8" t="n">
        <v>41.44666666666667</v>
      </c>
      <c r="K3549" s="8" t="n"/>
      <c r="L3549" s="8" t="n"/>
      <c r="M3549" s="8" t="n"/>
      <c r="N3549" s="8" t="n"/>
      <c r="O3549" s="8" t="n"/>
      <c r="P3549" s="8" t="n"/>
      <c r="Q3549" s="8" t="n"/>
      <c r="R3549" s="8" t="n"/>
      <c r="S3549" s="8" t="n"/>
      <c r="T3549" s="7" t="inlineStr">
        <is>
          <t>SEM COTAÇÃO</t>
        </is>
      </c>
      <c r="U3549" s="8" t="n"/>
      <c r="V3549" s="14" t="n"/>
      <c r="W3549" s="14" t="n"/>
      <c r="X3549" s="7" t="inlineStr"/>
      <c r="Y3549" s="7" t="inlineStr"/>
    </row>
    <row r="3550">
      <c r="A3550" s="7" t="n">
        <v>446481</v>
      </c>
      <c r="B3550" s="12" t="inlineStr">
        <is>
          <t>7898158691576</t>
        </is>
      </c>
      <c r="C3550" s="7" t="inlineStr">
        <is>
          <t>PV - QUEIMALIVE 74+20G POM BG 30G</t>
        </is>
      </c>
      <c r="D3550" s="7" t="inlineStr">
        <is>
          <t>SIMILAR - ATB</t>
        </is>
      </c>
      <c r="E3550" s="7" t="inlineStr">
        <is>
          <t>C</t>
        </is>
      </c>
      <c r="F3550" s="13" t="n">
        <v>7</v>
      </c>
      <c r="G3550" s="13" t="n">
        <v>7</v>
      </c>
      <c r="H3550" s="8" t="n">
        <v>9.81</v>
      </c>
      <c r="I3550" s="8" t="n">
        <v>9.81</v>
      </c>
      <c r="J3550" s="8" t="n">
        <v>9.81</v>
      </c>
      <c r="K3550" s="8" t="n"/>
      <c r="L3550" s="8" t="n"/>
      <c r="M3550" s="8" t="n"/>
      <c r="N3550" s="8" t="n"/>
      <c r="O3550" s="8" t="n"/>
      <c r="P3550" s="8" t="n"/>
      <c r="Q3550" s="8" t="n"/>
      <c r="R3550" s="8" t="n"/>
      <c r="S3550" s="8" t="n"/>
      <c r="T3550" s="7" t="inlineStr">
        <is>
          <t>SEM COTAÇÃO</t>
        </is>
      </c>
      <c r="U3550" s="8" t="n"/>
      <c r="V3550" s="14" t="n"/>
      <c r="W3550" s="14" t="n"/>
      <c r="X3550" s="7" t="inlineStr"/>
      <c r="Y3550" s="7" t="inlineStr"/>
    </row>
    <row r="3551">
      <c r="A3551" s="7" t="n">
        <v>651661</v>
      </c>
      <c r="B3551" s="12" t="inlineStr">
        <is>
          <t>7896227690642</t>
        </is>
      </c>
      <c r="C3551" s="7" t="inlineStr">
        <is>
          <t>PV - SAB INF LIQ SNOOPY 200ML_CAMOMILA REF</t>
        </is>
      </c>
      <c r="D3551" s="7" t="inlineStr">
        <is>
          <t>BABY/KIDS</t>
        </is>
      </c>
      <c r="E3551" s="7" t="inlineStr">
        <is>
          <t>C</t>
        </is>
      </c>
      <c r="F3551" s="13" t="n">
        <v>4</v>
      </c>
      <c r="G3551" s="13" t="n">
        <v>4</v>
      </c>
      <c r="H3551" s="8" t="n">
        <v>7.99</v>
      </c>
      <c r="I3551" s="8" t="n">
        <v>7.99</v>
      </c>
      <c r="J3551" s="8" t="n">
        <v>7.989999999999999</v>
      </c>
      <c r="K3551" s="8" t="n"/>
      <c r="L3551" s="8" t="n"/>
      <c r="M3551" s="8" t="n"/>
      <c r="N3551" s="8" t="n"/>
      <c r="O3551" s="8" t="n"/>
      <c r="P3551" s="8" t="n"/>
      <c r="Q3551" s="8" t="n"/>
      <c r="R3551" s="8" t="n"/>
      <c r="S3551" s="8" t="n"/>
      <c r="T3551" s="7" t="inlineStr">
        <is>
          <t>SEM COTAÇÃO</t>
        </is>
      </c>
      <c r="U3551" s="8" t="n"/>
      <c r="V3551" s="14" t="n"/>
      <c r="W3551" s="14" t="n"/>
      <c r="X3551" s="7" t="inlineStr"/>
      <c r="Y3551" s="7" t="inlineStr"/>
    </row>
    <row r="3552">
      <c r="A3552" s="7" t="n">
        <v>590491</v>
      </c>
      <c r="B3552" s="12" t="inlineStr">
        <is>
          <t>7891024028995</t>
        </is>
      </c>
      <c r="C3552" s="7" t="inlineStr">
        <is>
          <t>PV - SAB LIQ PALM NUTRI MILK 200ML</t>
        </is>
      </c>
      <c r="D3552" s="7" t="inlineStr">
        <is>
          <t>PERF/COSME</t>
        </is>
      </c>
      <c r="E3552" s="7" t="inlineStr">
        <is>
          <t>C</t>
        </is>
      </c>
      <c r="F3552" s="13" t="n">
        <v>4</v>
      </c>
      <c r="G3552" s="13" t="n">
        <v>4</v>
      </c>
      <c r="H3552" s="8" t="n">
        <v>5.27</v>
      </c>
      <c r="I3552" s="8" t="n">
        <v>5.27</v>
      </c>
      <c r="J3552" s="8" t="n">
        <v>5.27</v>
      </c>
      <c r="K3552" s="8" t="n"/>
      <c r="L3552" s="8" t="n"/>
      <c r="M3552" s="8" t="n"/>
      <c r="N3552" s="8" t="n"/>
      <c r="O3552" s="8" t="n"/>
      <c r="P3552" s="8" t="n">
        <v>6.1</v>
      </c>
      <c r="Q3552" s="8" t="n"/>
      <c r="R3552" s="8" t="n"/>
      <c r="S3552" s="8" t="n"/>
      <c r="T3552" s="7" t="inlineStr">
        <is>
          <t>SEM COTAÇÃO</t>
        </is>
      </c>
      <c r="U3552" s="8" t="n"/>
      <c r="V3552" s="14" t="n"/>
      <c r="W3552" s="14" t="n"/>
      <c r="X3552" s="7" t="inlineStr"/>
      <c r="Y3552" s="7" t="inlineStr">
        <is>
          <t>NAZARIA: sem estoque</t>
        </is>
      </c>
    </row>
    <row r="3553">
      <c r="A3553" s="7" t="n">
        <v>604551</v>
      </c>
      <c r="B3553" s="12" t="inlineStr">
        <is>
          <t>7891010253691</t>
        </is>
      </c>
      <c r="C3553" s="7" t="inlineStr">
        <is>
          <t>PV - SAB.LIQ.JOHN.K.200ML LIMP.S.PO</t>
        </is>
      </c>
      <c r="D3553" s="7" t="inlineStr">
        <is>
          <t>PERF/COSME</t>
        </is>
      </c>
      <c r="E3553" s="7" t="inlineStr">
        <is>
          <t>B</t>
        </is>
      </c>
      <c r="F3553" s="13" t="n">
        <v>3</v>
      </c>
      <c r="G3553" s="13" t="n">
        <v>3</v>
      </c>
      <c r="H3553" s="8" t="n">
        <v>19.5333</v>
      </c>
      <c r="I3553" s="8" t="n">
        <v>19.5333</v>
      </c>
      <c r="J3553" s="8" t="n">
        <v>19.5333</v>
      </c>
      <c r="K3553" s="8" t="n"/>
      <c r="L3553" s="8" t="n"/>
      <c r="M3553" s="8" t="n"/>
      <c r="N3553" s="8" t="n"/>
      <c r="O3553" s="8" t="n"/>
      <c r="P3553" s="15" t="n">
        <v>19.5</v>
      </c>
      <c r="Q3553" s="8" t="n"/>
      <c r="R3553" s="8" t="n"/>
      <c r="S3553" s="8" t="n"/>
      <c r="T3553" s="7" t="inlineStr">
        <is>
          <t>NAZARIA</t>
        </is>
      </c>
      <c r="U3553" s="8" t="n">
        <v>19.5</v>
      </c>
      <c r="V3553" s="14">
        <f>U3553/J3553-1</f>
        <v/>
      </c>
      <c r="W3553" s="14">
        <f>U3553/H3553-1</f>
        <v/>
      </c>
      <c r="X3553" s="17" t="inlineStr">
        <is>
          <t>OK (≤ menor hist.)</t>
        </is>
      </c>
      <c r="Y3553" s="7" t="inlineStr">
        <is>
          <t>NAZARIA: estoque parcial (1 un)</t>
        </is>
      </c>
    </row>
    <row r="3554">
      <c r="A3554" s="7" t="n">
        <v>623721</v>
      </c>
      <c r="B3554" s="12" t="inlineStr">
        <is>
          <t>7899706251068</t>
        </is>
      </c>
      <c r="C3554" s="7" t="inlineStr">
        <is>
          <t>PV - SERUM FAC GARNIER ANTIAC 15ML</t>
        </is>
      </c>
      <c r="D3554" s="7" t="inlineStr">
        <is>
          <t>RX - DERMO</t>
        </is>
      </c>
      <c r="E3554" s="7" t="inlineStr">
        <is>
          <t>C</t>
        </is>
      </c>
      <c r="F3554" s="13" t="n">
        <v>1</v>
      </c>
      <c r="G3554" s="13" t="n">
        <v>1</v>
      </c>
      <c r="H3554" s="8" t="n">
        <v>49.18</v>
      </c>
      <c r="I3554" s="8" t="n">
        <v>49.18</v>
      </c>
      <c r="J3554" s="8" t="n">
        <v>49.18</v>
      </c>
      <c r="K3554" s="8" t="n"/>
      <c r="L3554" s="8" t="n"/>
      <c r="M3554" s="8" t="n"/>
      <c r="N3554" s="8" t="n"/>
      <c r="O3554" s="8" t="n"/>
      <c r="P3554" s="8" t="n"/>
      <c r="Q3554" s="8" t="n"/>
      <c r="R3554" s="8" t="n"/>
      <c r="S3554" s="8" t="n"/>
      <c r="T3554" s="7" t="inlineStr">
        <is>
          <t>SEM COTAÇÃO</t>
        </is>
      </c>
      <c r="U3554" s="8" t="n"/>
      <c r="V3554" s="14" t="n"/>
      <c r="W3554" s="14" t="n"/>
      <c r="X3554" s="7" t="inlineStr"/>
      <c r="Y3554" s="7" t="inlineStr"/>
    </row>
    <row r="3555">
      <c r="A3555" s="7" t="n">
        <v>655981</v>
      </c>
      <c r="B3555" s="12" t="inlineStr">
        <is>
          <t>7898411817583</t>
        </is>
      </c>
      <c r="C3555" s="7" t="inlineStr">
        <is>
          <t>PV - VITAMINA E 250MG 60 CAPS CX/50 - TAKE CARE</t>
        </is>
      </c>
      <c r="D3555" s="7" t="inlineStr">
        <is>
          <t>VITAMINA E SIMILARES</t>
        </is>
      </c>
      <c r="E3555" s="7" t="inlineStr">
        <is>
          <t>C</t>
        </is>
      </c>
      <c r="F3555" s="13" t="n">
        <v>2</v>
      </c>
      <c r="G3555" s="13" t="n">
        <v>2</v>
      </c>
      <c r="H3555" s="8" t="n">
        <v>16.22</v>
      </c>
      <c r="I3555" s="8" t="n">
        <v>16.22</v>
      </c>
      <c r="J3555" s="8" t="n">
        <v>16.22</v>
      </c>
      <c r="K3555" s="8" t="n"/>
      <c r="L3555" s="8" t="n"/>
      <c r="M3555" s="8" t="n"/>
      <c r="N3555" s="8" t="n"/>
      <c r="O3555" s="8" t="n"/>
      <c r="P3555" s="8" t="n"/>
      <c r="Q3555" s="8" t="n"/>
      <c r="R3555" s="8" t="n"/>
      <c r="S3555" s="8" t="n"/>
      <c r="T3555" s="7" t="inlineStr">
        <is>
          <t>SEM COTAÇÃO</t>
        </is>
      </c>
      <c r="U3555" s="8" t="n"/>
      <c r="V3555" s="14" t="n"/>
      <c r="W3555" s="14" t="n"/>
      <c r="X3555" s="7" t="inlineStr"/>
      <c r="Y3555" s="7" t="inlineStr"/>
    </row>
    <row r="3556">
      <c r="A3556" s="7" t="n">
        <v>618471</v>
      </c>
      <c r="B3556" s="12" t="inlineStr">
        <is>
          <t>7896006297840</t>
        </is>
      </c>
      <c r="C3556" s="7" t="inlineStr">
        <is>
          <t>PV - VITASUPRAZ CHOCOLIX COM EFERV X10 (AL)</t>
        </is>
      </c>
      <c r="D3556" s="7" t="inlineStr">
        <is>
          <t>DESATIVADO</t>
        </is>
      </c>
      <c r="E3556" s="7" t="inlineStr">
        <is>
          <t>C</t>
        </is>
      </c>
      <c r="F3556" s="13" t="n">
        <v>1</v>
      </c>
      <c r="G3556" s="13" t="n">
        <v>1</v>
      </c>
      <c r="H3556" s="8" t="n">
        <v>12.445</v>
      </c>
      <c r="I3556" s="8" t="n">
        <v>12.445</v>
      </c>
      <c r="J3556" s="8" t="n">
        <v>12.445</v>
      </c>
      <c r="K3556" s="8" t="n"/>
      <c r="L3556" s="8" t="n"/>
      <c r="M3556" s="8" t="n"/>
      <c r="N3556" s="8" t="n"/>
      <c r="O3556" s="8" t="n"/>
      <c r="P3556" s="8" t="n"/>
      <c r="Q3556" s="8" t="n"/>
      <c r="R3556" s="8" t="n"/>
      <c r="S3556" s="8" t="n"/>
      <c r="T3556" s="7" t="inlineStr">
        <is>
          <t>SEM COTAÇÃO</t>
        </is>
      </c>
      <c r="U3556" s="8" t="n"/>
      <c r="V3556" s="14" t="n"/>
      <c r="W3556" s="14" t="n"/>
      <c r="X3556" s="7" t="inlineStr"/>
      <c r="Y3556" s="7" t="inlineStr"/>
    </row>
    <row r="3557">
      <c r="A3557" s="7" t="n">
        <v>616811</v>
      </c>
      <c r="B3557" s="12" t="inlineStr">
        <is>
          <t>7899852022833</t>
        </is>
      </c>
      <c r="C3557" s="7" t="inlineStr">
        <is>
          <t>PV - VULT CARE CREME FAC HID UNIFORMIZAD 100G</t>
        </is>
      </c>
      <c r="D3557" s="7" t="inlineStr">
        <is>
          <t>PERF/COSME</t>
        </is>
      </c>
      <c r="E3557" s="7" t="inlineStr">
        <is>
          <t>C</t>
        </is>
      </c>
      <c r="F3557" s="13" t="n">
        <v>1</v>
      </c>
      <c r="G3557" s="13" t="n">
        <v>1</v>
      </c>
      <c r="H3557" s="8" t="n">
        <v>21.65</v>
      </c>
      <c r="I3557" s="8" t="n">
        <v>21.65</v>
      </c>
      <c r="J3557" s="8" t="n">
        <v>21.65</v>
      </c>
      <c r="K3557" s="8" t="n"/>
      <c r="L3557" s="8" t="n"/>
      <c r="M3557" s="8" t="n"/>
      <c r="N3557" s="8" t="n"/>
      <c r="O3557" s="8" t="n"/>
      <c r="P3557" s="15" t="n">
        <v>23.56</v>
      </c>
      <c r="Q3557" s="8" t="n"/>
      <c r="R3557" s="8" t="n"/>
      <c r="S3557" s="8" t="n"/>
      <c r="T3557" s="7" t="inlineStr">
        <is>
          <t>NAZARIA</t>
        </is>
      </c>
      <c r="U3557" s="8" t="n">
        <v>23.56</v>
      </c>
      <c r="V3557" s="14">
        <f>U3557/J3557-1</f>
        <v/>
      </c>
      <c r="W3557" s="14">
        <f>U3557/H3557-1</f>
        <v/>
      </c>
      <c r="X3557" s="16" t="inlineStr">
        <is>
          <t>ACIMA +8.8%</t>
        </is>
      </c>
      <c r="Y3557" s="7" t="inlineStr"/>
    </row>
    <row r="3558">
      <c r="A3558" s="7" t="n">
        <v>570561</v>
      </c>
      <c r="B3558" s="12" t="inlineStr">
        <is>
          <t>7896004741970</t>
        </is>
      </c>
      <c r="C3558" s="7" t="inlineStr">
        <is>
          <t>PV ALKAGEL 240ML SUSP MORANGO</t>
        </is>
      </c>
      <c r="D3558" s="7" t="inlineStr">
        <is>
          <t>SIMILAR</t>
        </is>
      </c>
      <c r="E3558" s="7" t="inlineStr">
        <is>
          <t>C</t>
        </is>
      </c>
      <c r="F3558" s="13" t="n">
        <v>1</v>
      </c>
      <c r="G3558" s="13" t="n">
        <v>1</v>
      </c>
      <c r="H3558" s="8" t="n">
        <v>11.42</v>
      </c>
      <c r="I3558" s="8" t="n">
        <v>11.42</v>
      </c>
      <c r="J3558" s="8" t="n">
        <v>11.42</v>
      </c>
      <c r="K3558" s="8" t="n"/>
      <c r="L3558" s="8" t="n"/>
      <c r="M3558" s="8" t="n"/>
      <c r="N3558" s="8" t="n"/>
      <c r="O3558" s="8" t="n"/>
      <c r="P3558" s="8" t="n"/>
      <c r="Q3558" s="8" t="n"/>
      <c r="R3558" s="8" t="n"/>
      <c r="S3558" s="8" t="n"/>
      <c r="T3558" s="7" t="inlineStr">
        <is>
          <t>SEM COTAÇÃO</t>
        </is>
      </c>
      <c r="U3558" s="8" t="n"/>
      <c r="V3558" s="14" t="n"/>
      <c r="W3558" s="14" t="n"/>
      <c r="X3558" s="7" t="inlineStr"/>
      <c r="Y3558" s="7" t="inlineStr"/>
    </row>
    <row r="3559">
      <c r="A3559" s="7" t="n">
        <v>642441</v>
      </c>
      <c r="B3559" s="12" t="inlineStr">
        <is>
          <t>7622210674319</t>
        </is>
      </c>
      <c r="C3559" s="7" t="inlineStr">
        <is>
          <t>PV BARRA CHOC LACTA LAKA17X80G</t>
        </is>
      </c>
      <c r="D3559" s="7" t="inlineStr">
        <is>
          <t>CHOCOLATES</t>
        </is>
      </c>
      <c r="E3559" s="7" t="inlineStr">
        <is>
          <t>B</t>
        </is>
      </c>
      <c r="F3559" s="13" t="n">
        <v>18</v>
      </c>
      <c r="G3559" s="13" t="n">
        <v>18</v>
      </c>
      <c r="H3559" s="8" t="n">
        <v>8.49</v>
      </c>
      <c r="I3559" s="8" t="n">
        <v>7.99</v>
      </c>
      <c r="J3559" s="8" t="n">
        <v>8.323333333333332</v>
      </c>
      <c r="K3559" s="8" t="n"/>
      <c r="L3559" s="8" t="n"/>
      <c r="M3559" s="8" t="n"/>
      <c r="N3559" s="8" t="n"/>
      <c r="O3559" s="8" t="n"/>
      <c r="P3559" s="8" t="n"/>
      <c r="Q3559" s="8" t="n"/>
      <c r="R3559" s="8" t="n"/>
      <c r="S3559" s="8" t="n"/>
      <c r="T3559" s="7" t="inlineStr">
        <is>
          <t>SEM COTAÇÃO</t>
        </is>
      </c>
      <c r="U3559" s="8" t="n"/>
      <c r="V3559" s="14" t="n"/>
      <c r="W3559" s="14" t="n"/>
      <c r="X3559" s="7" t="inlineStr"/>
      <c r="Y3559" s="7" t="inlineStr"/>
    </row>
    <row r="3560">
      <c r="A3560" s="7" t="n">
        <v>642391</v>
      </c>
      <c r="B3560" s="12" t="inlineStr">
        <is>
          <t>7622210528186</t>
        </is>
      </c>
      <c r="C3560" s="7" t="inlineStr">
        <is>
          <t>PV BARRA CHOC LACTA RECH SONHO VALSA 17X98G</t>
        </is>
      </c>
      <c r="D3560" s="7" t="inlineStr">
        <is>
          <t>CHOCOLATES</t>
        </is>
      </c>
      <c r="E3560" s="7" t="inlineStr">
        <is>
          <t>B</t>
        </is>
      </c>
      <c r="F3560" s="13" t="n">
        <v>7</v>
      </c>
      <c r="G3560" s="13" t="n">
        <v>7</v>
      </c>
      <c r="H3560" s="8" t="n">
        <v>8.890000000000001</v>
      </c>
      <c r="I3560" s="8" t="n">
        <v>7.99</v>
      </c>
      <c r="J3560" s="8" t="n">
        <v>8.590000000000002</v>
      </c>
      <c r="K3560" s="8" t="n"/>
      <c r="L3560" s="8" t="n"/>
      <c r="M3560" s="8" t="n"/>
      <c r="N3560" s="8" t="n"/>
      <c r="O3560" s="8" t="n"/>
      <c r="P3560" s="8" t="n"/>
      <c r="Q3560" s="8" t="n"/>
      <c r="R3560" s="8" t="n"/>
      <c r="S3560" s="8" t="n"/>
      <c r="T3560" s="7" t="inlineStr">
        <is>
          <t>SEM COTAÇÃO</t>
        </is>
      </c>
      <c r="U3560" s="8" t="n"/>
      <c r="V3560" s="14" t="n"/>
      <c r="W3560" s="14" t="n"/>
      <c r="X3560" s="7" t="inlineStr"/>
      <c r="Y3560" s="7" t="inlineStr"/>
    </row>
    <row r="3561">
      <c r="A3561" s="7" t="n">
        <v>631891</v>
      </c>
      <c r="B3561" s="12" t="inlineStr">
        <is>
          <t>7899970402807</t>
        </is>
      </c>
      <c r="C3561" s="7" t="inlineStr">
        <is>
          <t>PV BARRA HERSHEYS CHOC BRANCO 82G</t>
        </is>
      </c>
      <c r="D3561" s="7" t="inlineStr">
        <is>
          <t>CONVENIENCIA</t>
        </is>
      </c>
      <c r="E3561" s="7" t="inlineStr">
        <is>
          <t>C</t>
        </is>
      </c>
      <c r="F3561" s="13" t="n">
        <v>2</v>
      </c>
      <c r="G3561" s="13" t="n">
        <v>2</v>
      </c>
      <c r="H3561" s="8" t="n">
        <v>5.8</v>
      </c>
      <c r="I3561" s="8" t="n">
        <v>5.8</v>
      </c>
      <c r="J3561" s="8" t="n">
        <v>5.8</v>
      </c>
      <c r="K3561" s="8" t="n"/>
      <c r="L3561" s="8" t="n"/>
      <c r="M3561" s="8" t="n"/>
      <c r="N3561" s="8" t="n"/>
      <c r="O3561" s="8" t="n"/>
      <c r="P3561" s="8" t="n"/>
      <c r="Q3561" s="8" t="n"/>
      <c r="R3561" s="8" t="n"/>
      <c r="S3561" s="8" t="n"/>
      <c r="T3561" s="7" t="inlineStr">
        <is>
          <t>SEM COTAÇÃO</t>
        </is>
      </c>
      <c r="U3561" s="8" t="n"/>
      <c r="V3561" s="14" t="n"/>
      <c r="W3561" s="14" t="n"/>
      <c r="X3561" s="7" t="inlineStr"/>
      <c r="Y3561" s="7" t="inlineStr"/>
    </row>
    <row r="3562">
      <c r="A3562" s="7" t="n">
        <v>633741</v>
      </c>
      <c r="B3562" s="12" t="inlineStr">
        <is>
          <t>7896112403227</t>
        </is>
      </c>
      <c r="C3562" s="7" t="inlineStr">
        <is>
          <t>PV BETA GLUCANA DE LEVEDURA CX 3 CAP</t>
        </is>
      </c>
      <c r="D3562" s="7" t="inlineStr">
        <is>
          <t>RX - OTC</t>
        </is>
      </c>
      <c r="E3562" s="7" t="inlineStr">
        <is>
          <t>C</t>
        </is>
      </c>
      <c r="F3562" s="13" t="n">
        <v>1</v>
      </c>
      <c r="G3562" s="13" t="n">
        <v>1</v>
      </c>
      <c r="H3562" s="8" t="n">
        <v>38.5342</v>
      </c>
      <c r="I3562" s="8" t="n">
        <v>38.5342</v>
      </c>
      <c r="J3562" s="8" t="n">
        <v>38.5342</v>
      </c>
      <c r="K3562" s="8" t="n"/>
      <c r="L3562" s="8" t="n"/>
      <c r="M3562" s="8" t="n"/>
      <c r="N3562" s="8" t="n"/>
      <c r="O3562" s="8" t="n"/>
      <c r="P3562" s="8" t="n"/>
      <c r="Q3562" s="8" t="n"/>
      <c r="R3562" s="8" t="n"/>
      <c r="S3562" s="8" t="n"/>
      <c r="T3562" s="7" t="inlineStr">
        <is>
          <t>SEM COTAÇÃO</t>
        </is>
      </c>
      <c r="U3562" s="8" t="n"/>
      <c r="V3562" s="14" t="n"/>
      <c r="W3562" s="14" t="n"/>
      <c r="X3562" s="7" t="inlineStr"/>
      <c r="Y3562" s="7" t="inlineStr"/>
    </row>
    <row r="3563">
      <c r="A3563" s="7" t="n">
        <v>537701</v>
      </c>
      <c r="B3563" s="12" t="inlineStr">
        <is>
          <t>7891000241356</t>
        </is>
      </c>
      <c r="C3563" s="7" t="inlineStr">
        <is>
          <t>PV BISCOITO RECHEIO CHOCOLATE PASSATEMPO PACOTE 130G</t>
        </is>
      </c>
      <c r="D3563" s="7" t="inlineStr">
        <is>
          <t>CONVENIENCIA</t>
        </is>
      </c>
      <c r="E3563" s="7" t="inlineStr">
        <is>
          <t>C</t>
        </is>
      </c>
      <c r="F3563" s="13" t="n">
        <v>1</v>
      </c>
      <c r="G3563" s="13" t="n">
        <v>1</v>
      </c>
      <c r="H3563" s="8" t="n">
        <v>2.3393</v>
      </c>
      <c r="I3563" s="8" t="n">
        <v>2.3393</v>
      </c>
      <c r="J3563" s="8" t="n">
        <v>2.3393</v>
      </c>
      <c r="K3563" s="8" t="n"/>
      <c r="L3563" s="8" t="n"/>
      <c r="M3563" s="8" t="n"/>
      <c r="N3563" s="8" t="n"/>
      <c r="O3563" s="8" t="n"/>
      <c r="P3563" s="8" t="n"/>
      <c r="Q3563" s="8" t="n"/>
      <c r="R3563" s="8" t="n"/>
      <c r="S3563" s="8" t="n"/>
      <c r="T3563" s="7" t="inlineStr">
        <is>
          <t>SEM COTAÇÃO</t>
        </is>
      </c>
      <c r="U3563" s="8" t="n"/>
      <c r="V3563" s="14" t="n"/>
      <c r="W3563" s="14" t="n"/>
      <c r="X3563" s="7" t="inlineStr"/>
      <c r="Y3563" s="7" t="inlineStr"/>
    </row>
    <row r="3564">
      <c r="A3564" s="7" t="n">
        <v>645171</v>
      </c>
      <c r="B3564" s="12" t="inlineStr">
        <is>
          <t>17622210568592</t>
        </is>
      </c>
      <c r="C3564" s="7" t="inlineStr">
        <is>
          <t>PV BOMBOM LACTA O.BCO/S.VALSA</t>
        </is>
      </c>
      <c r="D3564" s="7" t="inlineStr">
        <is>
          <t>CHOCOLATES</t>
        </is>
      </c>
      <c r="E3564" s="7" t="inlineStr">
        <is>
          <t>C</t>
        </is>
      </c>
      <c r="F3564" s="13" t="n">
        <v>2</v>
      </c>
      <c r="G3564" s="13" t="n">
        <v>2</v>
      </c>
      <c r="H3564" s="8" t="n">
        <v>13.79</v>
      </c>
      <c r="I3564" s="8" t="n">
        <v>13.79</v>
      </c>
      <c r="J3564" s="8" t="n">
        <v>13.79</v>
      </c>
      <c r="K3564" s="8" t="n"/>
      <c r="L3564" s="8" t="n"/>
      <c r="M3564" s="8" t="n"/>
      <c r="N3564" s="8" t="n"/>
      <c r="O3564" s="8" t="n"/>
      <c r="P3564" s="8" t="n"/>
      <c r="Q3564" s="8" t="n"/>
      <c r="R3564" s="8" t="n"/>
      <c r="S3564" s="8" t="n"/>
      <c r="T3564" s="7" t="inlineStr">
        <is>
          <t>SEM COTAÇÃO</t>
        </is>
      </c>
      <c r="U3564" s="8" t="n"/>
      <c r="V3564" s="14" t="n"/>
      <c r="W3564" s="14" t="n"/>
      <c r="X3564" s="7" t="inlineStr"/>
      <c r="Y3564" s="7" t="inlineStr"/>
    </row>
    <row r="3565">
      <c r="A3565" s="7" t="n">
        <v>623411</v>
      </c>
      <c r="B3565" s="12" t="inlineStr">
        <is>
          <t>7891000376843</t>
        </is>
      </c>
      <c r="C3565" s="7" t="inlineStr">
        <is>
          <t>PV BONO BISCOITO RECHEADO CHOC 66X90G BR</t>
        </is>
      </c>
      <c r="D3565" s="7" t="inlineStr">
        <is>
          <t>CONVENIENCIA</t>
        </is>
      </c>
      <c r="E3565" s="7" t="inlineStr">
        <is>
          <t>C</t>
        </is>
      </c>
      <c r="F3565" s="13" t="n">
        <v>1</v>
      </c>
      <c r="G3565" s="13" t="n">
        <v>10</v>
      </c>
      <c r="H3565" s="8" t="n">
        <v>2.2511</v>
      </c>
      <c r="I3565" s="8" t="n">
        <v>2.2461</v>
      </c>
      <c r="J3565" s="8" t="n">
        <v>2.2461</v>
      </c>
      <c r="K3565" s="8" t="n"/>
      <c r="L3565" s="8" t="n"/>
      <c r="M3565" s="8" t="n"/>
      <c r="N3565" s="8" t="n"/>
      <c r="O3565" s="8" t="n"/>
      <c r="P3565" s="8" t="n"/>
      <c r="Q3565" s="8" t="n"/>
      <c r="R3565" s="8" t="n"/>
      <c r="S3565" s="8" t="n"/>
      <c r="T3565" s="7" t="inlineStr">
        <is>
          <t>SEM COTAÇÃO</t>
        </is>
      </c>
      <c r="U3565" s="8" t="n"/>
      <c r="V3565" s="14" t="n"/>
      <c r="W3565" s="14" t="n"/>
      <c r="X3565" s="7" t="inlineStr"/>
      <c r="Y3565" s="7" t="inlineStr"/>
    </row>
    <row r="3566">
      <c r="A3566" s="7" t="n">
        <v>640701</v>
      </c>
      <c r="B3566" s="12" t="inlineStr">
        <is>
          <t>7891000402894</t>
        </is>
      </c>
      <c r="C3566" s="7" t="inlineStr">
        <is>
          <t>PV CARIBE COOKIE 52X60G BR</t>
        </is>
      </c>
      <c r="D3566" s="7" t="inlineStr">
        <is>
          <t>DESATIVADO</t>
        </is>
      </c>
      <c r="E3566" s="7" t="inlineStr">
        <is>
          <t>C</t>
        </is>
      </c>
      <c r="F3566" s="13" t="n">
        <v>1</v>
      </c>
      <c r="G3566" s="13" t="n">
        <v>6</v>
      </c>
      <c r="H3566" s="8" t="n">
        <v>2.8079</v>
      </c>
      <c r="I3566" s="8" t="n">
        <v>2.8079</v>
      </c>
      <c r="J3566" s="8" t="n">
        <v>2.8079</v>
      </c>
      <c r="K3566" s="8" t="n"/>
      <c r="L3566" s="8" t="n"/>
      <c r="M3566" s="8" t="n"/>
      <c r="N3566" s="8" t="n"/>
      <c r="O3566" s="8" t="n"/>
      <c r="P3566" s="8" t="n"/>
      <c r="Q3566" s="8" t="n"/>
      <c r="R3566" s="8" t="n"/>
      <c r="S3566" s="8" t="n"/>
      <c r="T3566" s="7" t="inlineStr">
        <is>
          <t>SEM COTAÇÃO</t>
        </is>
      </c>
      <c r="U3566" s="8" t="n"/>
      <c r="V3566" s="14" t="n"/>
      <c r="W3566" s="14" t="n"/>
      <c r="X3566" s="7" t="inlineStr"/>
      <c r="Y3566" s="7" t="inlineStr"/>
    </row>
    <row r="3567">
      <c r="A3567" s="7" t="n">
        <v>605851</v>
      </c>
      <c r="B3567" s="12" t="inlineStr">
        <is>
          <t>7622210674357</t>
        </is>
      </c>
      <c r="C3567" s="7" t="inlineStr">
        <is>
          <t>PV CHOCOLATE LACTA LAKA OREO 80G</t>
        </is>
      </c>
      <c r="D3567" s="7" t="inlineStr">
        <is>
          <t>CONVENIENCIA</t>
        </is>
      </c>
      <c r="E3567" s="7" t="inlineStr">
        <is>
          <t>A</t>
        </is>
      </c>
      <c r="F3567" s="13" t="n">
        <v>20</v>
      </c>
      <c r="G3567" s="13" t="n">
        <v>20</v>
      </c>
      <c r="H3567" s="8" t="n">
        <v>8.49</v>
      </c>
      <c r="I3567" s="8" t="n">
        <v>7.99</v>
      </c>
      <c r="J3567" s="8" t="n">
        <v>8.323333333333332</v>
      </c>
      <c r="K3567" s="8" t="n"/>
      <c r="L3567" s="8" t="n"/>
      <c r="M3567" s="8" t="n"/>
      <c r="N3567" s="8" t="n"/>
      <c r="O3567" s="8" t="n"/>
      <c r="P3567" s="8" t="n"/>
      <c r="Q3567" s="8" t="n"/>
      <c r="R3567" s="8" t="n"/>
      <c r="S3567" s="8" t="n"/>
      <c r="T3567" s="7" t="inlineStr">
        <is>
          <t>SEM COTAÇÃO</t>
        </is>
      </c>
      <c r="U3567" s="8" t="n"/>
      <c r="V3567" s="14" t="n"/>
      <c r="W3567" s="14" t="n"/>
      <c r="X3567" s="7" t="inlineStr"/>
      <c r="Y3567" s="7" t="inlineStr"/>
    </row>
    <row r="3568">
      <c r="A3568" s="7" t="n">
        <v>626551</v>
      </c>
      <c r="B3568" s="12" t="inlineStr">
        <is>
          <t>7891000077948</t>
        </is>
      </c>
      <c r="C3568" s="7" t="inlineStr">
        <is>
          <t>PV CLASSIC WAFER 48X110G BR</t>
        </is>
      </c>
      <c r="D3568" s="7" t="inlineStr">
        <is>
          <t>CONVENIENCIA</t>
        </is>
      </c>
      <c r="E3568" s="7" t="inlineStr">
        <is>
          <t>C</t>
        </is>
      </c>
      <c r="F3568" s="13" t="n">
        <v>4</v>
      </c>
      <c r="G3568" s="13" t="n">
        <v>4</v>
      </c>
      <c r="H3568" s="8" t="n">
        <v>3.6817</v>
      </c>
      <c r="I3568" s="8" t="n">
        <v>3.6817</v>
      </c>
      <c r="J3568" s="8" t="n">
        <v>3.681700000000001</v>
      </c>
      <c r="K3568" s="8" t="n"/>
      <c r="L3568" s="8" t="n"/>
      <c r="M3568" s="8" t="n"/>
      <c r="N3568" s="8" t="n"/>
      <c r="O3568" s="8" t="n"/>
      <c r="P3568" s="8" t="n"/>
      <c r="Q3568" s="8" t="n"/>
      <c r="R3568" s="8" t="n"/>
      <c r="S3568" s="8" t="n"/>
      <c r="T3568" s="7" t="inlineStr">
        <is>
          <t>SEM COTAÇÃO</t>
        </is>
      </c>
      <c r="U3568" s="8" t="n"/>
      <c r="V3568" s="14" t="n"/>
      <c r="W3568" s="14" t="n"/>
      <c r="X3568" s="7" t="inlineStr"/>
      <c r="Y3568" s="7" t="inlineStr"/>
    </row>
    <row r="3569">
      <c r="A3569" s="7" t="n">
        <v>655631</v>
      </c>
      <c r="B3569" s="12" t="inlineStr">
        <is>
          <t>7891962074801</t>
        </is>
      </c>
      <c r="C3569" s="7" t="inlineStr">
        <is>
          <t>PV COLOMBA BAUDUCCO MINI - GOTAS 80G FLOWP</t>
        </is>
      </c>
      <c r="D3569" s="7" t="inlineStr">
        <is>
          <t>BISCOITOS/SALGADOS</t>
        </is>
      </c>
      <c r="E3569" s="7" t="inlineStr">
        <is>
          <t>C</t>
        </is>
      </c>
      <c r="F3569" s="13" t="n">
        <v>1</v>
      </c>
      <c r="G3569" s="13" t="n">
        <v>1</v>
      </c>
      <c r="H3569" s="8" t="n">
        <v>5.6867</v>
      </c>
      <c r="I3569" s="8" t="n">
        <v>5.6867</v>
      </c>
      <c r="J3569" s="8" t="n">
        <v>5.686699999999999</v>
      </c>
      <c r="K3569" s="8" t="n"/>
      <c r="L3569" s="8" t="n"/>
      <c r="M3569" s="8" t="n"/>
      <c r="N3569" s="8" t="n"/>
      <c r="O3569" s="8" t="n"/>
      <c r="P3569" s="8" t="n"/>
      <c r="Q3569" s="8" t="n"/>
      <c r="R3569" s="8" t="n"/>
      <c r="S3569" s="8" t="n"/>
      <c r="T3569" s="7" t="inlineStr">
        <is>
          <t>SEM COTAÇÃO</t>
        </is>
      </c>
      <c r="U3569" s="8" t="n"/>
      <c r="V3569" s="14" t="n"/>
      <c r="W3569" s="14" t="n"/>
      <c r="X3569" s="7" t="inlineStr"/>
      <c r="Y3569" s="7" t="inlineStr"/>
    </row>
    <row r="3570">
      <c r="A3570" s="7" t="n">
        <v>534421</v>
      </c>
      <c r="B3570" s="12" t="inlineStr">
        <is>
          <t>7891024042915</t>
        </is>
      </c>
      <c r="C3570" s="7" t="inlineStr">
        <is>
          <t>PV CONDICIONADOR PALMOLIVE DETOX ENERGIZANTE FORCE</t>
        </is>
      </c>
      <c r="D3570" s="7" t="inlineStr">
        <is>
          <t>DESATIVADO</t>
        </is>
      </c>
      <c r="E3570" s="7" t="inlineStr">
        <is>
          <t>C</t>
        </is>
      </c>
      <c r="F3570" s="13" t="n">
        <v>1</v>
      </c>
      <c r="G3570" s="13" t="n">
        <v>1</v>
      </c>
      <c r="H3570" s="8" t="n">
        <v>7.98</v>
      </c>
      <c r="I3570" s="8" t="n">
        <v>7.98</v>
      </c>
      <c r="J3570" s="8" t="n">
        <v>7.98</v>
      </c>
      <c r="K3570" s="8" t="n"/>
      <c r="L3570" s="8" t="n"/>
      <c r="M3570" s="8" t="n"/>
      <c r="N3570" s="8" t="n"/>
      <c r="O3570" s="8" t="n"/>
      <c r="P3570" s="15" t="n">
        <v>9.869999999999999</v>
      </c>
      <c r="Q3570" s="8" t="n"/>
      <c r="R3570" s="8" t="n"/>
      <c r="S3570" s="8" t="n"/>
      <c r="T3570" s="7" t="inlineStr">
        <is>
          <t>NAZARIA</t>
        </is>
      </c>
      <c r="U3570" s="8" t="n">
        <v>9.869999999999999</v>
      </c>
      <c r="V3570" s="14">
        <f>U3570/J3570-1</f>
        <v/>
      </c>
      <c r="W3570" s="14">
        <f>U3570/H3570-1</f>
        <v/>
      </c>
      <c r="X3570" s="16" t="inlineStr">
        <is>
          <t>ACIMA +23.7%</t>
        </is>
      </c>
      <c r="Y3570" s="7" t="inlineStr"/>
    </row>
    <row r="3571">
      <c r="A3571" s="7" t="n">
        <v>629291</v>
      </c>
      <c r="B3571" s="12" t="inlineStr">
        <is>
          <t>7908324402384</t>
        </is>
      </c>
      <c r="C3571" s="7" t="inlineStr">
        <is>
          <t>PV DA FRANCIS CLASSICO 150ML PRETO</t>
        </is>
      </c>
      <c r="D3571" s="7" t="inlineStr">
        <is>
          <t>PERF/COSME</t>
        </is>
      </c>
      <c r="E3571" s="7" t="inlineStr">
        <is>
          <t>C</t>
        </is>
      </c>
      <c r="F3571" s="13" t="n">
        <v>1</v>
      </c>
      <c r="G3571" s="13" t="n">
        <v>1</v>
      </c>
      <c r="H3571" s="8" t="n">
        <v>11.98</v>
      </c>
      <c r="I3571" s="8" t="n">
        <v>11.98</v>
      </c>
      <c r="J3571" s="8" t="n">
        <v>11.98</v>
      </c>
      <c r="K3571" s="8" t="n"/>
      <c r="L3571" s="8" t="n"/>
      <c r="M3571" s="8" t="n"/>
      <c r="N3571" s="8" t="n"/>
      <c r="O3571" s="8" t="n"/>
      <c r="P3571" s="8" t="n"/>
      <c r="Q3571" s="8" t="n"/>
      <c r="R3571" s="8" t="n"/>
      <c r="S3571" s="8" t="n"/>
      <c r="T3571" s="7" t="inlineStr">
        <is>
          <t>SEM COTAÇÃO</t>
        </is>
      </c>
      <c r="U3571" s="8" t="n"/>
      <c r="V3571" s="14" t="n"/>
      <c r="W3571" s="14" t="n"/>
      <c r="X3571" s="7" t="inlineStr"/>
      <c r="Y3571" s="7" t="inlineStr"/>
    </row>
    <row r="3572">
      <c r="A3572" s="7" t="n">
        <v>622311</v>
      </c>
      <c r="B3572" s="12" t="inlineStr">
        <is>
          <t>7898693156516</t>
        </is>
      </c>
      <c r="C3572" s="7" t="inlineStr">
        <is>
          <t>PV DA NUAGE FEM 90G DIVA</t>
        </is>
      </c>
      <c r="D3572" s="7" t="inlineStr">
        <is>
          <t>PERF/COSME</t>
        </is>
      </c>
      <c r="E3572" s="7" t="inlineStr">
        <is>
          <t>C</t>
        </is>
      </c>
      <c r="F3572" s="13" t="n">
        <v>1</v>
      </c>
      <c r="G3572" s="13" t="n">
        <v>1</v>
      </c>
      <c r="H3572" s="8" t="n">
        <v>6.84</v>
      </c>
      <c r="I3572" s="8" t="n">
        <v>6.84</v>
      </c>
      <c r="J3572" s="8" t="n">
        <v>6.84</v>
      </c>
      <c r="K3572" s="8" t="n"/>
      <c r="L3572" s="8" t="n"/>
      <c r="M3572" s="8" t="n"/>
      <c r="N3572" s="8" t="n"/>
      <c r="O3572" s="8" t="n"/>
      <c r="P3572" s="8" t="n"/>
      <c r="Q3572" s="8" t="n"/>
      <c r="R3572" s="8" t="n"/>
      <c r="S3572" s="8" t="n"/>
      <c r="T3572" s="7" t="inlineStr">
        <is>
          <t>SEM COTAÇÃO</t>
        </is>
      </c>
      <c r="U3572" s="8" t="n"/>
      <c r="V3572" s="14" t="n"/>
      <c r="W3572" s="14" t="n"/>
      <c r="X3572" s="7" t="inlineStr"/>
      <c r="Y3572" s="7" t="inlineStr"/>
    </row>
    <row r="3573">
      <c r="A3573" s="7" t="n">
        <v>622321</v>
      </c>
      <c r="B3573" s="12" t="inlineStr">
        <is>
          <t>7898693156523</t>
        </is>
      </c>
      <c r="C3573" s="7" t="inlineStr">
        <is>
          <t>PV DA NUAGE MASC 90G ELEGANCE</t>
        </is>
      </c>
      <c r="D3573" s="7" t="inlineStr">
        <is>
          <t>PERF/COSME</t>
        </is>
      </c>
      <c r="E3573" s="7" t="inlineStr">
        <is>
          <t>C</t>
        </is>
      </c>
      <c r="F3573" s="13" t="n">
        <v>1</v>
      </c>
      <c r="G3573" s="13" t="n">
        <v>1</v>
      </c>
      <c r="H3573" s="8" t="n">
        <v>6.84</v>
      </c>
      <c r="I3573" s="8" t="n">
        <v>6.84</v>
      </c>
      <c r="J3573" s="8" t="n">
        <v>6.84</v>
      </c>
      <c r="K3573" s="8" t="n"/>
      <c r="L3573" s="8" t="n"/>
      <c r="M3573" s="8" t="n"/>
      <c r="N3573" s="8" t="n"/>
      <c r="O3573" s="8" t="n"/>
      <c r="P3573" s="8" t="n"/>
      <c r="Q3573" s="8" t="n"/>
      <c r="R3573" s="8" t="n"/>
      <c r="S3573" s="8" t="n"/>
      <c r="T3573" s="7" t="inlineStr">
        <is>
          <t>SEM COTAÇÃO</t>
        </is>
      </c>
      <c r="U3573" s="8" t="n"/>
      <c r="V3573" s="14" t="n"/>
      <c r="W3573" s="14" t="n"/>
      <c r="X3573" s="7" t="inlineStr"/>
      <c r="Y3573" s="7" t="inlineStr"/>
    </row>
    <row r="3574">
      <c r="A3574" s="7" t="n">
        <v>622341</v>
      </c>
      <c r="B3574" s="12" t="inlineStr">
        <is>
          <t>7898693156585</t>
        </is>
      </c>
      <c r="C3574" s="7" t="inlineStr">
        <is>
          <t>PV DA NUAGE MASC 90G SPORT ACTION</t>
        </is>
      </c>
      <c r="D3574" s="7" t="inlineStr">
        <is>
          <t>PERF/COSME</t>
        </is>
      </c>
      <c r="E3574" s="7" t="inlineStr">
        <is>
          <t>C</t>
        </is>
      </c>
      <c r="F3574" s="13" t="n">
        <v>1</v>
      </c>
      <c r="G3574" s="13" t="n">
        <v>1</v>
      </c>
      <c r="H3574" s="8" t="n">
        <v>6.84</v>
      </c>
      <c r="I3574" s="8" t="n">
        <v>6.84</v>
      </c>
      <c r="J3574" s="8" t="n">
        <v>6.84</v>
      </c>
      <c r="K3574" s="8" t="n"/>
      <c r="L3574" s="8" t="n"/>
      <c r="M3574" s="8" t="n"/>
      <c r="N3574" s="8" t="n"/>
      <c r="O3574" s="8" t="n"/>
      <c r="P3574" s="8" t="n"/>
      <c r="Q3574" s="8" t="n"/>
      <c r="R3574" s="8" t="n"/>
      <c r="S3574" s="8" t="n"/>
      <c r="T3574" s="7" t="inlineStr">
        <is>
          <t>SEM COTAÇÃO</t>
        </is>
      </c>
      <c r="U3574" s="8" t="n"/>
      <c r="V3574" s="14" t="n"/>
      <c r="W3574" s="14" t="n"/>
      <c r="X3574" s="7" t="inlineStr"/>
      <c r="Y3574" s="7" t="inlineStr"/>
    </row>
    <row r="3575">
      <c r="A3575" s="7" t="n">
        <v>623231</v>
      </c>
      <c r="B3575" s="12" t="inlineStr">
        <is>
          <t>7899706197106</t>
        </is>
      </c>
      <c r="C3575" s="7" t="inlineStr">
        <is>
          <t>PV DERMO REVITALIFT HIALU GEL PREENCH 50ML</t>
        </is>
      </c>
      <c r="D3575" s="7" t="inlineStr">
        <is>
          <t>RX - DERMO</t>
        </is>
      </c>
      <c r="E3575" s="7" t="inlineStr">
        <is>
          <t>C</t>
        </is>
      </c>
      <c r="F3575" s="13" t="n">
        <v>1</v>
      </c>
      <c r="G3575" s="13" t="n">
        <v>1</v>
      </c>
      <c r="H3575" s="8" t="n"/>
      <c r="I3575" s="8" t="n"/>
      <c r="J3575" s="8" t="n"/>
      <c r="K3575" s="8" t="n"/>
      <c r="L3575" s="8" t="n"/>
      <c r="M3575" s="8" t="n"/>
      <c r="N3575" s="8" t="n"/>
      <c r="O3575" s="8" t="n"/>
      <c r="P3575" s="8" t="n"/>
      <c r="Q3575" s="8" t="n"/>
      <c r="R3575" s="8" t="n"/>
      <c r="S3575" s="8" t="n"/>
      <c r="T3575" s="7" t="inlineStr">
        <is>
          <t>SEM COTAÇÃO</t>
        </is>
      </c>
      <c r="U3575" s="8" t="n"/>
      <c r="V3575" s="14" t="n"/>
      <c r="W3575" s="14" t="n"/>
      <c r="X3575" s="7" t="inlineStr"/>
      <c r="Y3575" s="7" t="inlineStr"/>
    </row>
    <row r="3576">
      <c r="A3576" s="7" t="n">
        <v>589871</v>
      </c>
      <c r="B3576" s="12" t="inlineStr">
        <is>
          <t>7899674027481</t>
        </is>
      </c>
      <c r="C3576" s="7" t="inlineStr">
        <is>
          <t>PV DES ABOVE AER MEN E.OCEA.150M</t>
        </is>
      </c>
      <c r="D3576" s="7" t="inlineStr">
        <is>
          <t>ANTITRANSPIRANTE/DESODORANTE</t>
        </is>
      </c>
      <c r="E3576" s="7" t="inlineStr">
        <is>
          <t>C</t>
        </is>
      </c>
      <c r="F3576" s="13" t="n">
        <v>1</v>
      </c>
      <c r="G3576" s="13" t="n">
        <v>1</v>
      </c>
      <c r="H3576" s="8" t="n">
        <v>7.98</v>
      </c>
      <c r="I3576" s="8" t="n">
        <v>7.98</v>
      </c>
      <c r="J3576" s="8" t="n">
        <v>7.98</v>
      </c>
      <c r="K3576" s="8" t="n"/>
      <c r="L3576" s="8" t="n"/>
      <c r="M3576" s="8" t="n"/>
      <c r="N3576" s="8" t="n"/>
      <c r="O3576" s="8" t="n"/>
      <c r="P3576" s="8" t="n"/>
      <c r="Q3576" s="8" t="n"/>
      <c r="R3576" s="8" t="n"/>
      <c r="S3576" s="8" t="n"/>
      <c r="T3576" s="7" t="inlineStr">
        <is>
          <t>SEM COTAÇÃO</t>
        </is>
      </c>
      <c r="U3576" s="8" t="n"/>
      <c r="V3576" s="14" t="n"/>
      <c r="W3576" s="14" t="n"/>
      <c r="X3576" s="7" t="inlineStr"/>
      <c r="Y3576" s="7" t="inlineStr"/>
    </row>
    <row r="3577">
      <c r="A3577" s="7" t="n">
        <v>589881</v>
      </c>
      <c r="B3577" s="12" t="inlineStr">
        <is>
          <t>7899674023254</t>
        </is>
      </c>
      <c r="C3577" s="7" t="inlineStr">
        <is>
          <t>PV DES ABOVE AER MEN T.BOY 150ML</t>
        </is>
      </c>
      <c r="D3577" s="7" t="inlineStr">
        <is>
          <t>ANTITRANSPIRANTE/DESODORANTE</t>
        </is>
      </c>
      <c r="E3577" s="7" t="inlineStr">
        <is>
          <t>C</t>
        </is>
      </c>
      <c r="F3577" s="13" t="n">
        <v>1</v>
      </c>
      <c r="G3577" s="13" t="n">
        <v>1</v>
      </c>
      <c r="H3577" s="8" t="n">
        <v>7.98</v>
      </c>
      <c r="I3577" s="8" t="n">
        <v>7.98</v>
      </c>
      <c r="J3577" s="8" t="n">
        <v>7.98</v>
      </c>
      <c r="K3577" s="8" t="n"/>
      <c r="L3577" s="8" t="n"/>
      <c r="M3577" s="8" t="n"/>
      <c r="N3577" s="8" t="n"/>
      <c r="O3577" s="8" t="n"/>
      <c r="P3577" s="8" t="n"/>
      <c r="Q3577" s="8" t="n"/>
      <c r="R3577" s="8" t="n"/>
      <c r="S3577" s="8" t="n"/>
      <c r="T3577" s="7" t="inlineStr">
        <is>
          <t>SEM COTAÇÃO</t>
        </is>
      </c>
      <c r="U3577" s="8" t="n"/>
      <c r="V3577" s="14" t="n"/>
      <c r="W3577" s="14" t="n"/>
      <c r="X3577" s="7" t="inlineStr"/>
      <c r="Y3577" s="7" t="inlineStr"/>
    </row>
    <row r="3578">
      <c r="A3578" s="7" t="n">
        <v>618131</v>
      </c>
      <c r="B3578" s="12" t="inlineStr">
        <is>
          <t>27899674034278</t>
        </is>
      </c>
      <c r="C3578" s="7" t="inlineStr">
        <is>
          <t>PV DES ABOVE AERO ONE ENERGY MEN</t>
        </is>
      </c>
      <c r="D3578" s="7" t="inlineStr">
        <is>
          <t>PERF/COSME</t>
        </is>
      </c>
      <c r="E3578" s="7" t="inlineStr">
        <is>
          <t>C</t>
        </is>
      </c>
      <c r="F3578" s="13" t="n">
        <v>1</v>
      </c>
      <c r="G3578" s="13" t="n">
        <v>1</v>
      </c>
      <c r="H3578" s="8" t="n">
        <v>5.55</v>
      </c>
      <c r="I3578" s="8" t="n">
        <v>5.55</v>
      </c>
      <c r="J3578" s="8" t="n">
        <v>5.55</v>
      </c>
      <c r="K3578" s="8" t="n"/>
      <c r="L3578" s="8" t="n"/>
      <c r="M3578" s="8" t="n"/>
      <c r="N3578" s="8" t="n"/>
      <c r="O3578" s="8" t="n"/>
      <c r="P3578" s="8" t="n"/>
      <c r="Q3578" s="8" t="n"/>
      <c r="R3578" s="8" t="n"/>
      <c r="S3578" s="8" t="n"/>
      <c r="T3578" s="7" t="inlineStr">
        <is>
          <t>SEM COTAÇÃO</t>
        </is>
      </c>
      <c r="U3578" s="8" t="n"/>
      <c r="V3578" s="14" t="n"/>
      <c r="W3578" s="14" t="n"/>
      <c r="X3578" s="7" t="inlineStr"/>
      <c r="Y3578" s="7" t="inlineStr"/>
    </row>
    <row r="3579">
      <c r="A3579" s="7" t="n">
        <v>618141</v>
      </c>
      <c r="B3579" s="12" t="inlineStr">
        <is>
          <t>27899674034292</t>
        </is>
      </c>
      <c r="C3579" s="7" t="inlineStr">
        <is>
          <t>PV DES ABOVE AERO ONE LOVE</t>
        </is>
      </c>
      <c r="D3579" s="7" t="inlineStr">
        <is>
          <t>PERF/COSME</t>
        </is>
      </c>
      <c r="E3579" s="7" t="inlineStr">
        <is>
          <t>C</t>
        </is>
      </c>
      <c r="F3579" s="13" t="n">
        <v>1</v>
      </c>
      <c r="G3579" s="13" t="n">
        <v>1</v>
      </c>
      <c r="H3579" s="8" t="n">
        <v>5.55</v>
      </c>
      <c r="I3579" s="8" t="n">
        <v>5.55</v>
      </c>
      <c r="J3579" s="8" t="n">
        <v>5.55</v>
      </c>
      <c r="K3579" s="8" t="n"/>
      <c r="L3579" s="8" t="n"/>
      <c r="M3579" s="8" t="n"/>
      <c r="N3579" s="8" t="n"/>
      <c r="O3579" s="8" t="n"/>
      <c r="P3579" s="8" t="n"/>
      <c r="Q3579" s="8" t="n"/>
      <c r="R3579" s="8" t="n"/>
      <c r="S3579" s="8" t="n"/>
      <c r="T3579" s="7" t="inlineStr">
        <is>
          <t>SEM COTAÇÃO</t>
        </is>
      </c>
      <c r="U3579" s="8" t="n"/>
      <c r="V3579" s="14" t="n"/>
      <c r="W3579" s="14" t="n"/>
      <c r="X3579" s="7" t="inlineStr"/>
      <c r="Y3579" s="7" t="inlineStr"/>
    </row>
    <row r="3580">
      <c r="A3580" s="7" t="n">
        <v>618151</v>
      </c>
      <c r="B3580" s="12" t="inlineStr">
        <is>
          <t>27899674034308</t>
        </is>
      </c>
      <c r="C3580" s="7" t="inlineStr">
        <is>
          <t>PV DES ABOVE AERO ONE MOVING</t>
        </is>
      </c>
      <c r="D3580" s="7" t="inlineStr">
        <is>
          <t>PERF/COSME</t>
        </is>
      </c>
      <c r="E3580" s="7" t="inlineStr">
        <is>
          <t>C</t>
        </is>
      </c>
      <c r="F3580" s="13" t="n">
        <v>1</v>
      </c>
      <c r="G3580" s="13" t="n">
        <v>1</v>
      </c>
      <c r="H3580" s="8" t="n">
        <v>5.55</v>
      </c>
      <c r="I3580" s="8" t="n">
        <v>5.55</v>
      </c>
      <c r="J3580" s="8" t="n">
        <v>5.55</v>
      </c>
      <c r="K3580" s="8" t="n"/>
      <c r="L3580" s="8" t="n"/>
      <c r="M3580" s="8" t="n"/>
      <c r="N3580" s="8" t="n"/>
      <c r="O3580" s="8" t="n"/>
      <c r="P3580" s="8" t="n"/>
      <c r="Q3580" s="8" t="n"/>
      <c r="R3580" s="8" t="n"/>
      <c r="S3580" s="8" t="n"/>
      <c r="T3580" s="7" t="inlineStr">
        <is>
          <t>SEM COTAÇÃO</t>
        </is>
      </c>
      <c r="U3580" s="8" t="n"/>
      <c r="V3580" s="14" t="n"/>
      <c r="W3580" s="14" t="n"/>
      <c r="X3580" s="7" t="inlineStr"/>
      <c r="Y3580" s="7" t="inlineStr"/>
    </row>
    <row r="3581">
      <c r="A3581" s="7" t="n">
        <v>618161</v>
      </c>
      <c r="B3581" s="12" t="inlineStr">
        <is>
          <t>27899674034285</t>
        </is>
      </c>
      <c r="C3581" s="7" t="inlineStr">
        <is>
          <t>PV DES ABOVE AERO ONE PASSION</t>
        </is>
      </c>
      <c r="D3581" s="7" t="inlineStr">
        <is>
          <t>PERF/COSME</t>
        </is>
      </c>
      <c r="E3581" s="7" t="inlineStr">
        <is>
          <t>C</t>
        </is>
      </c>
      <c r="F3581" s="13" t="n">
        <v>1</v>
      </c>
      <c r="G3581" s="13" t="n">
        <v>1</v>
      </c>
      <c r="H3581" s="8" t="n">
        <v>5.55</v>
      </c>
      <c r="I3581" s="8" t="n">
        <v>5.55</v>
      </c>
      <c r="J3581" s="8" t="n">
        <v>5.55</v>
      </c>
      <c r="K3581" s="8" t="n"/>
      <c r="L3581" s="8" t="n"/>
      <c r="M3581" s="8" t="n"/>
      <c r="N3581" s="8" t="n"/>
      <c r="O3581" s="8" t="n"/>
      <c r="P3581" s="8" t="n"/>
      <c r="Q3581" s="8" t="n"/>
      <c r="R3581" s="8" t="n"/>
      <c r="S3581" s="8" t="n"/>
      <c r="T3581" s="7" t="inlineStr">
        <is>
          <t>SEM COTAÇÃO</t>
        </is>
      </c>
      <c r="U3581" s="8" t="n"/>
      <c r="V3581" s="14" t="n"/>
      <c r="W3581" s="14" t="n"/>
      <c r="X3581" s="7" t="inlineStr"/>
      <c r="Y3581" s="7" t="inlineStr"/>
    </row>
    <row r="3582">
      <c r="A3582" s="7" t="n">
        <v>589941</v>
      </c>
      <c r="B3582" s="12" t="inlineStr">
        <is>
          <t>7899674035455</t>
        </is>
      </c>
      <c r="C3582" s="7" t="inlineStr">
        <is>
          <t>PV DES ABOVE R-ON W SPORT EN 50ML</t>
        </is>
      </c>
      <c r="D3582" s="7" t="inlineStr">
        <is>
          <t>ANTITRANSPIRANTE/DESODORANTE</t>
        </is>
      </c>
      <c r="E3582" s="7" t="inlineStr">
        <is>
          <t>C</t>
        </is>
      </c>
      <c r="F3582" s="13" t="n">
        <v>1</v>
      </c>
      <c r="G3582" s="13" t="n">
        <v>1</v>
      </c>
      <c r="H3582" s="8" t="n">
        <v>5.58</v>
      </c>
      <c r="I3582" s="8" t="n">
        <v>5.58</v>
      </c>
      <c r="J3582" s="8" t="n">
        <v>5.580000000000001</v>
      </c>
      <c r="K3582" s="8" t="n"/>
      <c r="L3582" s="8" t="n"/>
      <c r="M3582" s="8" t="n"/>
      <c r="N3582" s="8" t="n"/>
      <c r="O3582" s="8" t="n"/>
      <c r="P3582" s="8" t="n"/>
      <c r="Q3582" s="8" t="n"/>
      <c r="R3582" s="8" t="n"/>
      <c r="S3582" s="8" t="n"/>
      <c r="T3582" s="7" t="inlineStr">
        <is>
          <t>SEM COTAÇÃO</t>
        </is>
      </c>
      <c r="U3582" s="8" t="n"/>
      <c r="V3582" s="14" t="n"/>
      <c r="W3582" s="14" t="n"/>
      <c r="X3582" s="7" t="inlineStr"/>
      <c r="Y3582" s="7" t="inlineStr"/>
    </row>
    <row r="3583">
      <c r="A3583" s="7" t="n">
        <v>628081</v>
      </c>
      <c r="B3583" s="12" t="inlineStr">
        <is>
          <t>7899674035417</t>
        </is>
      </c>
      <c r="C3583" s="7" t="inlineStr">
        <is>
          <t>PV DES ABOVE ROLL ON SILVER 50M</t>
        </is>
      </c>
      <c r="D3583" s="7" t="inlineStr">
        <is>
          <t>PERF/COSME</t>
        </is>
      </c>
      <c r="E3583" s="7" t="inlineStr">
        <is>
          <t>C</t>
        </is>
      </c>
      <c r="F3583" s="13" t="n">
        <v>1</v>
      </c>
      <c r="G3583" s="13" t="n">
        <v>1</v>
      </c>
      <c r="H3583" s="8" t="n">
        <v>5.58</v>
      </c>
      <c r="I3583" s="8" t="n">
        <v>5.58</v>
      </c>
      <c r="J3583" s="8" t="n">
        <v>5.580000000000001</v>
      </c>
      <c r="K3583" s="8" t="n"/>
      <c r="L3583" s="8" t="n"/>
      <c r="M3583" s="8" t="n"/>
      <c r="N3583" s="8" t="n"/>
      <c r="O3583" s="8" t="n"/>
      <c r="P3583" s="8" t="n"/>
      <c r="Q3583" s="8" t="n"/>
      <c r="R3583" s="8" t="n"/>
      <c r="S3583" s="8" t="n"/>
      <c r="T3583" s="7" t="inlineStr">
        <is>
          <t>SEM COTAÇÃO</t>
        </is>
      </c>
      <c r="U3583" s="8" t="n"/>
      <c r="V3583" s="14" t="n"/>
      <c r="W3583" s="14" t="n"/>
      <c r="X3583" s="7" t="inlineStr"/>
      <c r="Y3583" s="7" t="inlineStr"/>
    </row>
    <row r="3584">
      <c r="A3584" s="7" t="n">
        <v>582741</v>
      </c>
      <c r="B3584" s="12" t="inlineStr">
        <is>
          <t>7896235354161</t>
        </is>
      </c>
      <c r="C3584" s="7" t="inlineStr">
        <is>
          <t>PV DES. HID. MONANGE Q10 P.NO.200M</t>
        </is>
      </c>
      <c r="D3584" s="7" t="inlineStr">
        <is>
          <t>PERF/COSME</t>
        </is>
      </c>
      <c r="E3584" s="7" t="inlineStr">
        <is>
          <t>C</t>
        </is>
      </c>
      <c r="F3584" s="13" t="n">
        <v>2</v>
      </c>
      <c r="G3584" s="13" t="n">
        <v>2</v>
      </c>
      <c r="H3584" s="8" t="n">
        <v>9.449999999999999</v>
      </c>
      <c r="I3584" s="8" t="n">
        <v>9.449999999999999</v>
      </c>
      <c r="J3584" s="8" t="n">
        <v>9.449999999999999</v>
      </c>
      <c r="K3584" s="8" t="n"/>
      <c r="L3584" s="8" t="n"/>
      <c r="M3584" s="8" t="n"/>
      <c r="N3584" s="8" t="n"/>
      <c r="O3584" s="8" t="n"/>
      <c r="P3584" s="8" t="n"/>
      <c r="Q3584" s="8" t="n"/>
      <c r="R3584" s="8" t="n"/>
      <c r="S3584" s="8" t="n"/>
      <c r="T3584" s="7" t="inlineStr">
        <is>
          <t>SEM COTAÇÃO</t>
        </is>
      </c>
      <c r="U3584" s="8" t="n"/>
      <c r="V3584" s="14" t="n"/>
      <c r="W3584" s="14" t="n"/>
      <c r="X3584" s="7" t="inlineStr"/>
      <c r="Y3584" s="7" t="inlineStr"/>
    </row>
    <row r="3585">
      <c r="A3585" s="7" t="n">
        <v>604441</v>
      </c>
      <c r="B3585" s="12" t="inlineStr">
        <is>
          <t>7791969028831</t>
        </is>
      </c>
      <c r="C3585" s="7" t="inlineStr">
        <is>
          <t>PV DES.NIVEA AER.MAS.COL.KICK 15</t>
        </is>
      </c>
      <c r="D3585" s="7" t="inlineStr">
        <is>
          <t>PERF/COSME</t>
        </is>
      </c>
      <c r="E3585" s="7" t="inlineStr">
        <is>
          <t>C</t>
        </is>
      </c>
      <c r="F3585" s="13" t="n">
        <v>1</v>
      </c>
      <c r="G3585" s="13" t="n">
        <v>1</v>
      </c>
      <c r="H3585" s="8" t="n">
        <v>10.95</v>
      </c>
      <c r="I3585" s="8" t="n">
        <v>10.95</v>
      </c>
      <c r="J3585" s="8" t="n">
        <v>10.95</v>
      </c>
      <c r="K3585" s="8" t="n"/>
      <c r="L3585" s="8" t="n"/>
      <c r="M3585" s="8" t="n"/>
      <c r="N3585" s="8" t="n"/>
      <c r="O3585" s="8" t="n"/>
      <c r="P3585" s="8" t="n"/>
      <c r="Q3585" s="8" t="n"/>
      <c r="R3585" s="8" t="n"/>
      <c r="S3585" s="8" t="n"/>
      <c r="T3585" s="7" t="inlineStr">
        <is>
          <t>SEM COTAÇÃO</t>
        </is>
      </c>
      <c r="U3585" s="8" t="n"/>
      <c r="V3585" s="14" t="n"/>
      <c r="W3585" s="14" t="n"/>
      <c r="X3585" s="7" t="inlineStr"/>
      <c r="Y3585" s="7" t="inlineStr"/>
    </row>
    <row r="3586">
      <c r="A3586" s="7" t="n">
        <v>566221</v>
      </c>
      <c r="B3586" s="12" t="inlineStr">
        <is>
          <t>7899674022011</t>
        </is>
      </c>
      <c r="C3586" s="7" t="inlineStr">
        <is>
          <t>PV DESOD ABOVE AER.MEN SPORT 150ML</t>
        </is>
      </c>
      <c r="D3586" s="7" t="inlineStr">
        <is>
          <t>ANTITRANSPIRANTE/DESODORANTE</t>
        </is>
      </c>
      <c r="E3586" s="7" t="inlineStr">
        <is>
          <t>C</t>
        </is>
      </c>
      <c r="F3586" s="13" t="n">
        <v>1</v>
      </c>
      <c r="G3586" s="13" t="n">
        <v>1</v>
      </c>
      <c r="H3586" s="8" t="n">
        <v>7.98</v>
      </c>
      <c r="I3586" s="8" t="n">
        <v>7.98</v>
      </c>
      <c r="J3586" s="8" t="n">
        <v>7.98</v>
      </c>
      <c r="K3586" s="8" t="n"/>
      <c r="L3586" s="8" t="n"/>
      <c r="M3586" s="8" t="n"/>
      <c r="N3586" s="8" t="n"/>
      <c r="O3586" s="8" t="n"/>
      <c r="P3586" s="8" t="n"/>
      <c r="Q3586" s="8" t="n"/>
      <c r="R3586" s="8" t="n"/>
      <c r="S3586" s="8" t="n"/>
      <c r="T3586" s="7" t="inlineStr">
        <is>
          <t>SEM COTAÇÃO</t>
        </is>
      </c>
      <c r="U3586" s="8" t="n"/>
      <c r="V3586" s="14" t="n"/>
      <c r="W3586" s="14" t="n"/>
      <c r="X3586" s="7" t="inlineStr"/>
      <c r="Y3586" s="7" t="inlineStr"/>
    </row>
    <row r="3587">
      <c r="A3587" s="7" t="n">
        <v>551401</v>
      </c>
      <c r="B3587" s="12" t="inlineStr">
        <is>
          <t>7899674027467</t>
        </is>
      </c>
      <c r="C3587" s="7" t="inlineStr">
        <is>
          <t>PV DESOD ABOVE ELEMENTS VULCAN ACO 150ML/90G</t>
        </is>
      </c>
      <c r="D3587" s="7" t="inlineStr">
        <is>
          <t>ANTITRANSPIRANTE/DESODORANTE</t>
        </is>
      </c>
      <c r="E3587" s="7" t="inlineStr">
        <is>
          <t>C</t>
        </is>
      </c>
      <c r="F3587" s="13" t="n">
        <v>1</v>
      </c>
      <c r="G3587" s="13" t="n">
        <v>1</v>
      </c>
      <c r="H3587" s="8" t="n">
        <v>7.98</v>
      </c>
      <c r="I3587" s="8" t="n">
        <v>7.98</v>
      </c>
      <c r="J3587" s="8" t="n">
        <v>7.98</v>
      </c>
      <c r="K3587" s="8" t="n"/>
      <c r="L3587" s="8" t="n"/>
      <c r="M3587" s="8" t="n"/>
      <c r="N3587" s="8" t="n"/>
      <c r="O3587" s="8" t="n"/>
      <c r="P3587" s="8" t="n"/>
      <c r="Q3587" s="8" t="n"/>
      <c r="R3587" s="8" t="n"/>
      <c r="S3587" s="8" t="n"/>
      <c r="T3587" s="7" t="inlineStr">
        <is>
          <t>SEM COTAÇÃO</t>
        </is>
      </c>
      <c r="U3587" s="8" t="n"/>
      <c r="V3587" s="14" t="n"/>
      <c r="W3587" s="14" t="n"/>
      <c r="X3587" s="7" t="inlineStr"/>
      <c r="Y3587" s="7" t="inlineStr"/>
    </row>
    <row r="3588">
      <c r="A3588" s="7" t="n">
        <v>620951</v>
      </c>
      <c r="B3588" s="12" t="inlineStr">
        <is>
          <t>7899674039552</t>
        </is>
      </c>
      <c r="C3588" s="7" t="inlineStr">
        <is>
          <t>PV DESOD CS ABOVE EXTREME BLACK 72H 150ML/90G</t>
        </is>
      </c>
      <c r="D3588" s="7" t="inlineStr">
        <is>
          <t>ANTITRANSPIRANTE/DESODORANTE</t>
        </is>
      </c>
      <c r="E3588" s="7" t="inlineStr">
        <is>
          <t>C</t>
        </is>
      </c>
      <c r="F3588" s="13" t="n">
        <v>1</v>
      </c>
      <c r="G3588" s="13" t="n">
        <v>1</v>
      </c>
      <c r="H3588" s="8" t="n">
        <v>7.98</v>
      </c>
      <c r="I3588" s="8" t="n">
        <v>7.98</v>
      </c>
      <c r="J3588" s="8" t="n">
        <v>7.98</v>
      </c>
      <c r="K3588" s="8" t="n"/>
      <c r="L3588" s="8" t="n"/>
      <c r="M3588" s="8" t="n"/>
      <c r="N3588" s="8" t="n"/>
      <c r="O3588" s="8" t="n"/>
      <c r="P3588" s="8" t="n"/>
      <c r="Q3588" s="8" t="n"/>
      <c r="R3588" s="8" t="n"/>
      <c r="S3588" s="8" t="n"/>
      <c r="T3588" s="7" t="inlineStr">
        <is>
          <t>SEM COTAÇÃO</t>
        </is>
      </c>
      <c r="U3588" s="8" t="n"/>
      <c r="V3588" s="14" t="n"/>
      <c r="W3588" s="14" t="n"/>
      <c r="X3588" s="7" t="inlineStr"/>
      <c r="Y3588" s="7" t="inlineStr"/>
    </row>
    <row r="3589">
      <c r="A3589" s="7" t="n">
        <v>620941</v>
      </c>
      <c r="B3589" s="12" t="inlineStr">
        <is>
          <t>7899674039576</t>
        </is>
      </c>
      <c r="C3589" s="7" t="inlineStr">
        <is>
          <t>PV DESOD CS ABOVE EXTREME INVISIBLE 72H 150ML/90G</t>
        </is>
      </c>
      <c r="D3589" s="7" t="inlineStr">
        <is>
          <t>ANTITRANSPIRANTE/DESODORANTE</t>
        </is>
      </c>
      <c r="E3589" s="7" t="inlineStr">
        <is>
          <t>C</t>
        </is>
      </c>
      <c r="F3589" s="13" t="n">
        <v>1</v>
      </c>
      <c r="G3589" s="13" t="n">
        <v>1</v>
      </c>
      <c r="H3589" s="8" t="n">
        <v>7.98</v>
      </c>
      <c r="I3589" s="8" t="n">
        <v>7.98</v>
      </c>
      <c r="J3589" s="8" t="n">
        <v>7.98</v>
      </c>
      <c r="K3589" s="8" t="n"/>
      <c r="L3589" s="8" t="n"/>
      <c r="M3589" s="8" t="n"/>
      <c r="N3589" s="8" t="n"/>
      <c r="O3589" s="8" t="n"/>
      <c r="P3589" s="8" t="n"/>
      <c r="Q3589" s="8" t="n"/>
      <c r="R3589" s="8" t="n"/>
      <c r="S3589" s="8" t="n"/>
      <c r="T3589" s="7" t="inlineStr">
        <is>
          <t>SEM COTAÇÃO</t>
        </is>
      </c>
      <c r="U3589" s="8" t="n"/>
      <c r="V3589" s="14" t="n"/>
      <c r="W3589" s="14" t="n"/>
      <c r="X3589" s="7" t="inlineStr"/>
      <c r="Y3589" s="7" t="inlineStr"/>
    </row>
    <row r="3590">
      <c r="A3590" s="7" t="n">
        <v>620931</v>
      </c>
      <c r="B3590" s="12" t="inlineStr">
        <is>
          <t>7899674039569</t>
        </is>
      </c>
      <c r="C3590" s="7" t="inlineStr">
        <is>
          <t>PV DESOD CS ABOVE EXTREME MOVEMENT 72H 150ML/90G</t>
        </is>
      </c>
      <c r="D3590" s="7" t="inlineStr">
        <is>
          <t>ANTITRANSPIRANTE/DESODORANTE</t>
        </is>
      </c>
      <c r="E3590" s="7" t="inlineStr">
        <is>
          <t>C</t>
        </is>
      </c>
      <c r="F3590" s="13" t="n">
        <v>1</v>
      </c>
      <c r="G3590" s="13" t="n">
        <v>1</v>
      </c>
      <c r="H3590" s="8" t="n">
        <v>7.98</v>
      </c>
      <c r="I3590" s="8" t="n">
        <v>7.98</v>
      </c>
      <c r="J3590" s="8" t="n">
        <v>7.98</v>
      </c>
      <c r="K3590" s="8" t="n"/>
      <c r="L3590" s="8" t="n"/>
      <c r="M3590" s="8" t="n"/>
      <c r="N3590" s="8" t="n"/>
      <c r="O3590" s="8" t="n"/>
      <c r="P3590" s="8" t="n"/>
      <c r="Q3590" s="8" t="n"/>
      <c r="R3590" s="8" t="n"/>
      <c r="S3590" s="8" t="n"/>
      <c r="T3590" s="7" t="inlineStr">
        <is>
          <t>SEM COTAÇÃO</t>
        </is>
      </c>
      <c r="U3590" s="8" t="n"/>
      <c r="V3590" s="14" t="n"/>
      <c r="W3590" s="14" t="n"/>
      <c r="X3590" s="7" t="inlineStr"/>
      <c r="Y3590" s="7" t="inlineStr"/>
    </row>
    <row r="3591">
      <c r="A3591" s="7" t="n">
        <v>620921</v>
      </c>
      <c r="B3591" s="12" t="inlineStr">
        <is>
          <t>7899674039460</t>
        </is>
      </c>
      <c r="C3591" s="7" t="inlineStr">
        <is>
          <t>PV DESOD CS ABOVE EXTREME SPORT 72H 150ML/90G</t>
        </is>
      </c>
      <c r="D3591" s="7" t="inlineStr">
        <is>
          <t>ANTITRANSPIRANTE/DESODORANTE</t>
        </is>
      </c>
      <c r="E3591" s="7" t="inlineStr">
        <is>
          <t>C</t>
        </is>
      </c>
      <c r="F3591" s="13" t="n">
        <v>1</v>
      </c>
      <c r="G3591" s="13" t="n">
        <v>1</v>
      </c>
      <c r="H3591" s="8" t="n">
        <v>7.98</v>
      </c>
      <c r="I3591" s="8" t="n">
        <v>7.98</v>
      </c>
      <c r="J3591" s="8" t="n">
        <v>7.98</v>
      </c>
      <c r="K3591" s="8" t="n"/>
      <c r="L3591" s="8" t="n"/>
      <c r="M3591" s="8" t="n"/>
      <c r="N3591" s="8" t="n"/>
      <c r="O3591" s="8" t="n"/>
      <c r="P3591" s="8" t="n"/>
      <c r="Q3591" s="8" t="n"/>
      <c r="R3591" s="8" t="n"/>
      <c r="S3591" s="8" t="n"/>
      <c r="T3591" s="7" t="inlineStr">
        <is>
          <t>SEM COTAÇÃO</t>
        </is>
      </c>
      <c r="U3591" s="8" t="n"/>
      <c r="V3591" s="14" t="n"/>
      <c r="W3591" s="14" t="n"/>
      <c r="X3591" s="7" t="inlineStr"/>
      <c r="Y3591" s="7" t="inlineStr"/>
    </row>
    <row r="3592">
      <c r="A3592" s="7" t="n">
        <v>620911</v>
      </c>
      <c r="B3592" s="12" t="inlineStr">
        <is>
          <t>7899674029218</t>
        </is>
      </c>
      <c r="C3592" s="7" t="inlineStr">
        <is>
          <t>PV DESOD CS ABOVE INVISIBLE MEN 150ML/90G</t>
        </is>
      </c>
      <c r="D3592" s="7" t="inlineStr">
        <is>
          <t>ANTITRANSPIRANTE/DESODORANTE</t>
        </is>
      </c>
      <c r="E3592" s="7" t="inlineStr">
        <is>
          <t>C</t>
        </is>
      </c>
      <c r="F3592" s="13" t="n">
        <v>1</v>
      </c>
      <c r="G3592" s="13" t="n">
        <v>1</v>
      </c>
      <c r="H3592" s="8" t="n">
        <v>7.98</v>
      </c>
      <c r="I3592" s="8" t="n">
        <v>7.98</v>
      </c>
      <c r="J3592" s="8" t="n">
        <v>7.98</v>
      </c>
      <c r="K3592" s="8" t="n"/>
      <c r="L3592" s="8" t="n"/>
      <c r="M3592" s="8" t="n"/>
      <c r="N3592" s="8" t="n"/>
      <c r="O3592" s="8" t="n"/>
      <c r="P3592" s="8" t="n"/>
      <c r="Q3592" s="8" t="n"/>
      <c r="R3592" s="8" t="n"/>
      <c r="S3592" s="8" t="n"/>
      <c r="T3592" s="7" t="inlineStr">
        <is>
          <t>SEM COTAÇÃO</t>
        </is>
      </c>
      <c r="U3592" s="8" t="n"/>
      <c r="V3592" s="14" t="n"/>
      <c r="W3592" s="14" t="n"/>
      <c r="X3592" s="7" t="inlineStr"/>
      <c r="Y3592" s="7" t="inlineStr"/>
    </row>
    <row r="3593">
      <c r="A3593" s="7" t="n">
        <v>620961</v>
      </c>
      <c r="B3593" s="12" t="inlineStr">
        <is>
          <t>7899674021946</t>
        </is>
      </c>
      <c r="C3593" s="7" t="inlineStr">
        <is>
          <t>PV DESOD CS ABOVE SEM PERFUME 150ML</t>
        </is>
      </c>
      <c r="D3593" s="7" t="inlineStr">
        <is>
          <t>ANTITRANSPIRANTE/DESODORANTE</t>
        </is>
      </c>
      <c r="E3593" s="7" t="inlineStr">
        <is>
          <t>C</t>
        </is>
      </c>
      <c r="F3593" s="13" t="n">
        <v>1</v>
      </c>
      <c r="G3593" s="13" t="n">
        <v>1</v>
      </c>
      <c r="H3593" s="8" t="n">
        <v>7.98</v>
      </c>
      <c r="I3593" s="8" t="n">
        <v>7.98</v>
      </c>
      <c r="J3593" s="8" t="n">
        <v>7.98</v>
      </c>
      <c r="K3593" s="8" t="n"/>
      <c r="L3593" s="8" t="n"/>
      <c r="M3593" s="8" t="n"/>
      <c r="N3593" s="8" t="n"/>
      <c r="O3593" s="8" t="n"/>
      <c r="P3593" s="8" t="n"/>
      <c r="Q3593" s="8" t="n"/>
      <c r="R3593" s="8" t="n"/>
      <c r="S3593" s="8" t="n"/>
      <c r="T3593" s="7" t="inlineStr">
        <is>
          <t>SEM COTAÇÃO</t>
        </is>
      </c>
      <c r="U3593" s="8" t="n"/>
      <c r="V3593" s="14" t="n"/>
      <c r="W3593" s="14" t="n"/>
      <c r="X3593" s="7" t="inlineStr"/>
      <c r="Y3593" s="7" t="inlineStr"/>
    </row>
    <row r="3594">
      <c r="A3594" s="7" t="n">
        <v>578001</v>
      </c>
      <c r="B3594" s="12" t="inlineStr">
        <is>
          <t>7899674026989</t>
        </is>
      </c>
      <c r="C3594" s="7" t="inlineStr">
        <is>
          <t>PV DESOD. ABOVE AER. 150ML</t>
        </is>
      </c>
      <c r="D3594" s="7" t="inlineStr">
        <is>
          <t>ANTITRANSPIRANTE/DESODORANTE</t>
        </is>
      </c>
      <c r="E3594" s="7" t="inlineStr">
        <is>
          <t>C</t>
        </is>
      </c>
      <c r="F3594" s="13" t="n">
        <v>1</v>
      </c>
      <c r="G3594" s="13" t="n">
        <v>1</v>
      </c>
      <c r="H3594" s="8" t="n">
        <v>7.98</v>
      </c>
      <c r="I3594" s="8" t="n">
        <v>7.98</v>
      </c>
      <c r="J3594" s="8" t="n">
        <v>7.98</v>
      </c>
      <c r="K3594" s="8" t="n"/>
      <c r="L3594" s="8" t="n"/>
      <c r="M3594" s="8" t="n"/>
      <c r="N3594" s="8" t="n"/>
      <c r="O3594" s="8" t="n"/>
      <c r="P3594" s="8" t="n"/>
      <c r="Q3594" s="8" t="n"/>
      <c r="R3594" s="8" t="n"/>
      <c r="S3594" s="8" t="n"/>
      <c r="T3594" s="7" t="inlineStr">
        <is>
          <t>SEM COTAÇÃO</t>
        </is>
      </c>
      <c r="U3594" s="8" t="n"/>
      <c r="V3594" s="14" t="n"/>
      <c r="W3594" s="14" t="n"/>
      <c r="X3594" s="7" t="inlineStr"/>
      <c r="Y3594" s="7" t="inlineStr"/>
    </row>
    <row r="3595">
      <c r="A3595" s="7" t="n">
        <v>577941</v>
      </c>
      <c r="B3595" s="12" t="inlineStr">
        <is>
          <t>7899674017116</t>
        </is>
      </c>
      <c r="C3595" s="7" t="inlineStr">
        <is>
          <t>PV DESOD. ABOVE AER. LADY 150ML SPORT</t>
        </is>
      </c>
      <c r="D3595" s="7" t="inlineStr">
        <is>
          <t>PERF/COSME</t>
        </is>
      </c>
      <c r="E3595" s="7" t="inlineStr">
        <is>
          <t>C</t>
        </is>
      </c>
      <c r="F3595" s="13" t="n">
        <v>1</v>
      </c>
      <c r="G3595" s="13" t="n">
        <v>1</v>
      </c>
      <c r="H3595" s="8" t="n">
        <v>7.98</v>
      </c>
      <c r="I3595" s="8" t="n">
        <v>7.98</v>
      </c>
      <c r="J3595" s="8" t="n">
        <v>7.98</v>
      </c>
      <c r="K3595" s="8" t="n"/>
      <c r="L3595" s="8" t="n"/>
      <c r="M3595" s="8" t="n"/>
      <c r="N3595" s="8" t="n"/>
      <c r="O3595" s="8" t="n"/>
      <c r="P3595" s="8" t="n"/>
      <c r="Q3595" s="8" t="n"/>
      <c r="R3595" s="8" t="n"/>
      <c r="S3595" s="8" t="n"/>
      <c r="T3595" s="7" t="inlineStr">
        <is>
          <t>SEM COTAÇÃO</t>
        </is>
      </c>
      <c r="U3595" s="8" t="n"/>
      <c r="V3595" s="14" t="n"/>
      <c r="W3595" s="14" t="n"/>
      <c r="X3595" s="7" t="inlineStr"/>
      <c r="Y3595" s="7" t="inlineStr"/>
    </row>
    <row r="3596">
      <c r="A3596" s="7" t="n">
        <v>566301</v>
      </c>
      <c r="B3596" s="12" t="inlineStr">
        <is>
          <t>7899674017062</t>
        </is>
      </c>
      <c r="C3596" s="7" t="inlineStr">
        <is>
          <t>PV DESOD. ABOVE AER. WOM CANDY 150ML UN</t>
        </is>
      </c>
      <c r="D3596" s="7" t="inlineStr">
        <is>
          <t>ANTITRANSPIRANTE/DESODORANTE</t>
        </is>
      </c>
      <c r="E3596" s="7" t="inlineStr">
        <is>
          <t>C</t>
        </is>
      </c>
      <c r="F3596" s="13" t="n">
        <v>2</v>
      </c>
      <c r="G3596" s="13" t="n">
        <v>2</v>
      </c>
      <c r="H3596" s="8" t="n">
        <v>6.17</v>
      </c>
      <c r="I3596" s="8" t="n">
        <v>6.17</v>
      </c>
      <c r="J3596" s="8" t="n">
        <v>6.169999999999999</v>
      </c>
      <c r="K3596" s="8" t="n"/>
      <c r="L3596" s="8" t="n"/>
      <c r="M3596" s="8" t="n"/>
      <c r="N3596" s="8" t="n"/>
      <c r="O3596" s="8" t="n"/>
      <c r="P3596" s="8" t="n"/>
      <c r="Q3596" s="8" t="n"/>
      <c r="R3596" s="8" t="n"/>
      <c r="S3596" s="8" t="n"/>
      <c r="T3596" s="7" t="inlineStr">
        <is>
          <t>SEM COTAÇÃO</t>
        </is>
      </c>
      <c r="U3596" s="8" t="n"/>
      <c r="V3596" s="14" t="n"/>
      <c r="W3596" s="14" t="n"/>
      <c r="X3596" s="7" t="inlineStr"/>
      <c r="Y3596" s="7" t="inlineStr"/>
    </row>
    <row r="3597">
      <c r="A3597" s="7" t="n">
        <v>635931</v>
      </c>
      <c r="B3597" s="12" t="inlineStr">
        <is>
          <t>7896806790633</t>
        </is>
      </c>
      <c r="C3597" s="7" t="inlineStr">
        <is>
          <t>PV DSD SP LEITE ROSAS 90ML TRADICIONAL</t>
        </is>
      </c>
      <c r="D3597" s="7" t="inlineStr">
        <is>
          <t>DESATIVADO</t>
        </is>
      </c>
      <c r="E3597" s="7" t="inlineStr">
        <is>
          <t>C</t>
        </is>
      </c>
      <c r="F3597" s="13" t="n">
        <v>1</v>
      </c>
      <c r="G3597" s="13" t="n">
        <v>1</v>
      </c>
      <c r="H3597" s="8" t="n">
        <v>6.19</v>
      </c>
      <c r="I3597" s="8" t="n">
        <v>6.19</v>
      </c>
      <c r="J3597" s="8" t="n">
        <v>6.19</v>
      </c>
      <c r="K3597" s="8" t="n"/>
      <c r="L3597" s="8" t="n"/>
      <c r="M3597" s="8" t="n"/>
      <c r="N3597" s="8" t="n"/>
      <c r="O3597" s="8" t="n"/>
      <c r="P3597" s="8" t="n"/>
      <c r="Q3597" s="8" t="n"/>
      <c r="R3597" s="8" t="n"/>
      <c r="S3597" s="8" t="n"/>
      <c r="T3597" s="7" t="inlineStr">
        <is>
          <t>SEM COTAÇÃO</t>
        </is>
      </c>
      <c r="U3597" s="8" t="n"/>
      <c r="V3597" s="14" t="n"/>
      <c r="W3597" s="14" t="n"/>
      <c r="X3597" s="7" t="inlineStr"/>
      <c r="Y3597" s="7" t="inlineStr"/>
    </row>
    <row r="3598">
      <c r="A3598" s="7" t="n">
        <v>635961</v>
      </c>
      <c r="B3598" s="12" t="inlineStr">
        <is>
          <t>7891134006302</t>
        </is>
      </c>
      <c r="C3598" s="7" t="inlineStr">
        <is>
          <t>PV DSD SP SENADOR 90ML COUNTRY</t>
        </is>
      </c>
      <c r="D3598" s="7" t="inlineStr">
        <is>
          <t>DESATIVADO</t>
        </is>
      </c>
      <c r="E3598" s="7" t="inlineStr">
        <is>
          <t>C</t>
        </is>
      </c>
      <c r="F3598" s="13" t="n">
        <v>1</v>
      </c>
      <c r="G3598" s="13" t="n">
        <v>1</v>
      </c>
      <c r="H3598" s="8" t="n">
        <v>7.65</v>
      </c>
      <c r="I3598" s="8" t="n">
        <v>7.65</v>
      </c>
      <c r="J3598" s="8" t="n">
        <v>7.650000000000001</v>
      </c>
      <c r="K3598" s="8" t="n"/>
      <c r="L3598" s="8" t="n"/>
      <c r="M3598" s="8" t="n"/>
      <c r="N3598" s="8" t="n"/>
      <c r="O3598" s="8" t="n"/>
      <c r="P3598" s="8" t="n"/>
      <c r="Q3598" s="8" t="n"/>
      <c r="R3598" s="8" t="n"/>
      <c r="S3598" s="8" t="n"/>
      <c r="T3598" s="7" t="inlineStr">
        <is>
          <t>SEM COTAÇÃO</t>
        </is>
      </c>
      <c r="U3598" s="8" t="n"/>
      <c r="V3598" s="14" t="n"/>
      <c r="W3598" s="14" t="n"/>
      <c r="X3598" s="7" t="inlineStr"/>
      <c r="Y3598" s="7" t="inlineStr"/>
    </row>
    <row r="3599">
      <c r="A3599" s="7" t="n">
        <v>607381</v>
      </c>
      <c r="B3599" s="12" t="inlineStr">
        <is>
          <t>7896058500684</t>
        </is>
      </c>
      <c r="C3599" s="7" t="inlineStr">
        <is>
          <t>PV FRUIT SNACKS HIPNOSE MORANGO JUBES 48G</t>
        </is>
      </c>
      <c r="D3599" s="7" t="inlineStr">
        <is>
          <t>DESATIVADO</t>
        </is>
      </c>
      <c r="E3599" s="7" t="inlineStr">
        <is>
          <t>C</t>
        </is>
      </c>
      <c r="F3599" s="13" t="n">
        <v>1</v>
      </c>
      <c r="G3599" s="13" t="n">
        <v>11</v>
      </c>
      <c r="H3599" s="8" t="n">
        <v>1.676</v>
      </c>
      <c r="I3599" s="8" t="n">
        <v>1.676</v>
      </c>
      <c r="J3599" s="8" t="n">
        <v>1.676</v>
      </c>
      <c r="K3599" s="8" t="n"/>
      <c r="L3599" s="8" t="n"/>
      <c r="M3599" s="8" t="n"/>
      <c r="N3599" s="8" t="n"/>
      <c r="O3599" s="8" t="n"/>
      <c r="P3599" s="8" t="n"/>
      <c r="Q3599" s="8" t="n"/>
      <c r="R3599" s="8" t="n"/>
      <c r="S3599" s="8" t="n"/>
      <c r="T3599" s="7" t="inlineStr">
        <is>
          <t>SEM COTAÇÃO</t>
        </is>
      </c>
      <c r="U3599" s="8" t="n"/>
      <c r="V3599" s="14" t="n"/>
      <c r="W3599" s="14" t="n"/>
      <c r="X3599" s="7" t="inlineStr"/>
      <c r="Y3599" s="7" t="inlineStr"/>
    </row>
    <row r="3600">
      <c r="A3600" s="7" t="n">
        <v>1753</v>
      </c>
      <c r="B3600" s="12" t="inlineStr">
        <is>
          <t>7891000372548</t>
        </is>
      </c>
      <c r="C3600" s="7" t="inlineStr">
        <is>
          <t>PV GALAK WAFER 110G</t>
        </is>
      </c>
      <c r="D3600" s="7" t="inlineStr">
        <is>
          <t>CONVENIENCIA</t>
        </is>
      </c>
      <c r="E3600" s="7" t="inlineStr">
        <is>
          <t>C</t>
        </is>
      </c>
      <c r="F3600" s="13" t="n">
        <v>1</v>
      </c>
      <c r="G3600" s="13" t="n">
        <v>1</v>
      </c>
      <c r="H3600" s="8" t="n">
        <v>3.6817</v>
      </c>
      <c r="I3600" s="8" t="n">
        <v>3.6817</v>
      </c>
      <c r="J3600" s="8" t="n">
        <v>3.681700000000001</v>
      </c>
      <c r="K3600" s="8" t="n"/>
      <c r="L3600" s="8" t="n"/>
      <c r="M3600" s="8" t="n"/>
      <c r="N3600" s="8" t="n"/>
      <c r="O3600" s="8" t="n"/>
      <c r="P3600" s="8" t="n"/>
      <c r="Q3600" s="8" t="n"/>
      <c r="R3600" s="8" t="n"/>
      <c r="S3600" s="8" t="n"/>
      <c r="T3600" s="7" t="inlineStr">
        <is>
          <t>SEM COTAÇÃO</t>
        </is>
      </c>
      <c r="U3600" s="8" t="n"/>
      <c r="V3600" s="14" t="n"/>
      <c r="W3600" s="14" t="n"/>
      <c r="X3600" s="7" t="inlineStr"/>
      <c r="Y3600" s="7" t="inlineStr"/>
    </row>
    <row r="3601">
      <c r="A3601" s="7" t="n">
        <v>649191</v>
      </c>
      <c r="B3601" s="12" t="inlineStr">
        <is>
          <t>17891000402938</t>
        </is>
      </c>
      <c r="C3601" s="7" t="inlineStr">
        <is>
          <t>PV GAROTO CHOCOBISCUIT CHOC AOLEI</t>
        </is>
      </c>
      <c r="D3601" s="7" t="inlineStr">
        <is>
          <t>CHOCOLATES</t>
        </is>
      </c>
      <c r="E3601" s="7" t="inlineStr">
        <is>
          <t>C</t>
        </is>
      </c>
      <c r="F3601" s="13" t="n">
        <v>11</v>
      </c>
      <c r="G3601" s="13" t="n">
        <v>11</v>
      </c>
      <c r="H3601" s="8" t="n">
        <v>5.9947</v>
      </c>
      <c r="I3601" s="8" t="n">
        <v>5.9345</v>
      </c>
      <c r="J3601" s="8" t="n">
        <v>5.974633333333333</v>
      </c>
      <c r="K3601" s="8" t="n"/>
      <c r="L3601" s="8" t="n"/>
      <c r="M3601" s="8" t="n"/>
      <c r="N3601" s="8" t="n"/>
      <c r="O3601" s="8" t="n"/>
      <c r="P3601" s="8" t="n"/>
      <c r="Q3601" s="8" t="n"/>
      <c r="R3601" s="8" t="n"/>
      <c r="S3601" s="8" t="n"/>
      <c r="T3601" s="7" t="inlineStr">
        <is>
          <t>SEM COTAÇÃO</t>
        </is>
      </c>
      <c r="U3601" s="8" t="n"/>
      <c r="V3601" s="14" t="n"/>
      <c r="W3601" s="14" t="n"/>
      <c r="X3601" s="7" t="inlineStr"/>
      <c r="Y3601" s="7" t="inlineStr"/>
    </row>
    <row r="3602">
      <c r="A3602" s="7" t="n">
        <v>645841</v>
      </c>
      <c r="B3602" s="12" t="inlineStr">
        <is>
          <t>7891000409640</t>
        </is>
      </c>
      <c r="C3602" s="7" t="inlineStr">
        <is>
          <t>PV GAROTO CHOCOTRIO PRESTIGIO 90G</t>
        </is>
      </c>
      <c r="D3602" s="7" t="inlineStr">
        <is>
          <t>CONVENIENCIA</t>
        </is>
      </c>
      <c r="E3602" s="7" t="inlineStr">
        <is>
          <t>C</t>
        </is>
      </c>
      <c r="F3602" s="13" t="n">
        <v>1</v>
      </c>
      <c r="G3602" s="13" t="n">
        <v>3</v>
      </c>
      <c r="H3602" s="8" t="n">
        <v>6.4029</v>
      </c>
      <c r="I3602" s="8" t="n">
        <v>6.4029</v>
      </c>
      <c r="J3602" s="8" t="n">
        <v>6.4029</v>
      </c>
      <c r="K3602" s="8" t="n"/>
      <c r="L3602" s="8" t="n"/>
      <c r="M3602" s="8" t="n"/>
      <c r="N3602" s="8" t="n"/>
      <c r="O3602" s="8" t="n"/>
      <c r="P3602" s="8" t="n"/>
      <c r="Q3602" s="8" t="n"/>
      <c r="R3602" s="8" t="n"/>
      <c r="S3602" s="8" t="n"/>
      <c r="T3602" s="7" t="inlineStr">
        <is>
          <t>SEM COTAÇÃO</t>
        </is>
      </c>
      <c r="U3602" s="8" t="n"/>
      <c r="V3602" s="14" t="n"/>
      <c r="W3602" s="14" t="n"/>
      <c r="X3602" s="7" t="inlineStr"/>
      <c r="Y3602" s="7" t="inlineStr"/>
    </row>
    <row r="3603">
      <c r="A3603" s="7" t="n">
        <v>640691</v>
      </c>
      <c r="B3603" s="12" t="inlineStr">
        <is>
          <t>7891000402856</t>
        </is>
      </c>
      <c r="C3603" s="7" t="inlineStr">
        <is>
          <t>PV GAROTO CROCANTE COOKIE 52X60G BR</t>
        </is>
      </c>
      <c r="D3603" s="7" t="inlineStr">
        <is>
          <t>CHOCOLATES</t>
        </is>
      </c>
      <c r="E3603" s="7" t="inlineStr">
        <is>
          <t>B</t>
        </is>
      </c>
      <c r="F3603" s="13" t="n">
        <v>1</v>
      </c>
      <c r="G3603" s="13" t="n">
        <v>17</v>
      </c>
      <c r="H3603" s="8" t="n">
        <v>2.5349</v>
      </c>
      <c r="I3603" s="8" t="n">
        <v>2.5349</v>
      </c>
      <c r="J3603" s="8" t="n">
        <v>2.5349</v>
      </c>
      <c r="K3603" s="8" t="n"/>
      <c r="L3603" s="8" t="n"/>
      <c r="M3603" s="8" t="n"/>
      <c r="N3603" s="8" t="n"/>
      <c r="O3603" s="8" t="n"/>
      <c r="P3603" s="8" t="n"/>
      <c r="Q3603" s="8" t="n"/>
      <c r="R3603" s="8" t="n"/>
      <c r="S3603" s="8" t="n"/>
      <c r="T3603" s="7" t="inlineStr">
        <is>
          <t>SEM COTAÇÃO</t>
        </is>
      </c>
      <c r="U3603" s="8" t="n"/>
      <c r="V3603" s="14" t="n"/>
      <c r="W3603" s="14" t="n"/>
      <c r="X3603" s="7" t="inlineStr"/>
      <c r="Y3603" s="7" t="inlineStr"/>
    </row>
    <row r="3604">
      <c r="A3604" s="7" t="n">
        <v>656381</v>
      </c>
      <c r="B3604" s="12" t="inlineStr">
        <is>
          <t>7908324403862</t>
        </is>
      </c>
      <c r="C3604" s="7" t="inlineStr">
        <is>
          <t>PV HYDRATTA DES AERO FEM. BEAUTY  ROSA 150ML</t>
        </is>
      </c>
      <c r="D3604" s="7" t="inlineStr">
        <is>
          <t>ANTITRANSPIRANTE/DESODORANTE</t>
        </is>
      </c>
      <c r="E3604" s="7" t="inlineStr">
        <is>
          <t>C</t>
        </is>
      </c>
      <c r="F3604" s="13" t="n">
        <v>2</v>
      </c>
      <c r="G3604" s="13" t="n">
        <v>2</v>
      </c>
      <c r="H3604" s="8" t="n">
        <v>5.55</v>
      </c>
      <c r="I3604" s="8" t="n">
        <v>5.55</v>
      </c>
      <c r="J3604" s="8" t="n">
        <v>5.55</v>
      </c>
      <c r="K3604" s="8" t="n"/>
      <c r="L3604" s="8" t="n"/>
      <c r="M3604" s="8" t="n"/>
      <c r="N3604" s="8" t="n"/>
      <c r="O3604" s="8" t="n"/>
      <c r="P3604" s="8" t="n"/>
      <c r="Q3604" s="8" t="n"/>
      <c r="R3604" s="8" t="n"/>
      <c r="S3604" s="8" t="n"/>
      <c r="T3604" s="7" t="inlineStr">
        <is>
          <t>SEM COTAÇÃO</t>
        </is>
      </c>
      <c r="U3604" s="8" t="n"/>
      <c r="V3604" s="14" t="n"/>
      <c r="W3604" s="14" t="n"/>
      <c r="X3604" s="7" t="inlineStr"/>
      <c r="Y3604" s="7" t="inlineStr"/>
    </row>
    <row r="3605">
      <c r="A3605" s="7" t="n">
        <v>1353</v>
      </c>
      <c r="B3605" s="12" t="inlineStr">
        <is>
          <t>7898714761477</t>
        </is>
      </c>
      <c r="C3605" s="7" t="inlineStr">
        <is>
          <t>PV K2+D3 CAPS REV X 30</t>
        </is>
      </c>
      <c r="D3605" s="7" t="inlineStr">
        <is>
          <t>VITAMINA E SIMILARES</t>
        </is>
      </c>
      <c r="E3605" s="7" t="inlineStr">
        <is>
          <t>C</t>
        </is>
      </c>
      <c r="F3605" s="13" t="n">
        <v>1</v>
      </c>
      <c r="G3605" s="13" t="n">
        <v>1</v>
      </c>
      <c r="H3605" s="8" t="n">
        <v>41.8867</v>
      </c>
      <c r="I3605" s="8" t="n">
        <v>41.8867</v>
      </c>
      <c r="J3605" s="8" t="n">
        <v>41.8867</v>
      </c>
      <c r="K3605" s="15" t="n">
        <v>20.61</v>
      </c>
      <c r="L3605" s="8" t="n"/>
      <c r="M3605" s="8" t="n"/>
      <c r="N3605" s="8" t="n"/>
      <c r="O3605" s="8" t="n"/>
      <c r="P3605" s="8" t="n"/>
      <c r="Q3605" s="8" t="n"/>
      <c r="R3605" s="8" t="n"/>
      <c r="S3605" s="8" t="n"/>
      <c r="T3605" s="7" t="inlineStr">
        <is>
          <t>DIMEC</t>
        </is>
      </c>
      <c r="U3605" s="8" t="n">
        <v>20.61</v>
      </c>
      <c r="V3605" s="14">
        <f>U3605/J3605-1</f>
        <v/>
      </c>
      <c r="W3605" s="14">
        <f>U3605/H3605-1</f>
        <v/>
      </c>
      <c r="X3605" s="17" t="inlineStr">
        <is>
          <t>OK (≤ menor hist.)</t>
        </is>
      </c>
      <c r="Y3605" s="7" t="inlineStr">
        <is>
          <t>DIMEC: conferir emb.</t>
        </is>
      </c>
    </row>
    <row r="3606">
      <c r="A3606" s="7" t="n">
        <v>546021</v>
      </c>
      <c r="B3606" s="12" t="inlineStr">
        <is>
          <t>7897947605053</t>
        </is>
      </c>
      <c r="C3606" s="7" t="inlineStr">
        <is>
          <t>PV LAVITAN KIDS LARANJA, UVA E LIMÃO CIMED CAIXA 60 COMP MAST</t>
        </is>
      </c>
      <c r="D3606" s="7" t="inlineStr">
        <is>
          <t>VITAMINA E SIMILARES</t>
        </is>
      </c>
      <c r="E3606" s="7" t="inlineStr">
        <is>
          <t>C</t>
        </is>
      </c>
      <c r="F3606" s="13" t="n">
        <v>6</v>
      </c>
      <c r="G3606" s="13" t="n">
        <v>6</v>
      </c>
      <c r="H3606" s="8" t="n">
        <v>12.99</v>
      </c>
      <c r="I3606" s="8" t="n">
        <v>12.99</v>
      </c>
      <c r="J3606" s="8" t="n">
        <v>12.99</v>
      </c>
      <c r="K3606" s="8" t="n"/>
      <c r="L3606" s="8" t="n"/>
      <c r="M3606" s="8" t="n"/>
      <c r="N3606" s="8" t="n"/>
      <c r="O3606" s="8" t="n"/>
      <c r="P3606" s="15" t="n">
        <v>21.22</v>
      </c>
      <c r="Q3606" s="8" t="n"/>
      <c r="R3606" s="8" t="n"/>
      <c r="S3606" s="8" t="n"/>
      <c r="T3606" s="7" t="inlineStr">
        <is>
          <t>NAZARIA</t>
        </is>
      </c>
      <c r="U3606" s="8" t="n">
        <v>21.22</v>
      </c>
      <c r="V3606" s="14">
        <f>U3606/J3606-1</f>
        <v/>
      </c>
      <c r="W3606" s="14">
        <f>U3606/H3606-1</f>
        <v/>
      </c>
      <c r="X3606" s="16" t="inlineStr">
        <is>
          <t>ACIMA +63.4%</t>
        </is>
      </c>
      <c r="Y3606" s="7" t="inlineStr"/>
    </row>
    <row r="3607">
      <c r="A3607" s="7" t="n">
        <v>600411</v>
      </c>
      <c r="B3607" s="12" t="inlineStr">
        <is>
          <t>7896423419276</t>
        </is>
      </c>
      <c r="C3607" s="7" t="inlineStr">
        <is>
          <t>PV M&amp;M'S TUBO CHOC 30G DP</t>
        </is>
      </c>
      <c r="D3607" s="7" t="inlineStr">
        <is>
          <t>CONVENIENCIA</t>
        </is>
      </c>
      <c r="E3607" s="7" t="inlineStr">
        <is>
          <t>A</t>
        </is>
      </c>
      <c r="F3607" s="13" t="n">
        <v>23</v>
      </c>
      <c r="G3607" s="13" t="n">
        <v>23</v>
      </c>
      <c r="H3607" s="8" t="n">
        <v>3.3633</v>
      </c>
      <c r="I3607" s="8" t="n">
        <v>3.36</v>
      </c>
      <c r="J3607" s="8" t="n">
        <v>3.3611</v>
      </c>
      <c r="K3607" s="8" t="n"/>
      <c r="L3607" s="8" t="n"/>
      <c r="M3607" s="8" t="n"/>
      <c r="N3607" s="8" t="n"/>
      <c r="O3607" s="8" t="n"/>
      <c r="P3607" s="8" t="n"/>
      <c r="Q3607" s="8" t="n"/>
      <c r="R3607" s="8" t="n"/>
      <c r="S3607" s="8" t="n"/>
      <c r="T3607" s="7" t="inlineStr">
        <is>
          <t>SEM COTAÇÃO</t>
        </is>
      </c>
      <c r="U3607" s="8" t="n"/>
      <c r="V3607" s="14" t="n"/>
      <c r="W3607" s="14" t="n"/>
      <c r="X3607" s="7" t="inlineStr"/>
      <c r="Y3607" s="7" t="inlineStr"/>
    </row>
    <row r="3608">
      <c r="A3608" s="7" t="n">
        <v>645871</v>
      </c>
      <c r="B3608" s="12" t="inlineStr">
        <is>
          <t>7895144404172</t>
        </is>
      </c>
      <c r="C3608" s="7" t="inlineStr">
        <is>
          <t>PV MENTOS KISS SOUR LIMAO VIT C</t>
        </is>
      </c>
      <c r="D3608" s="7" t="inlineStr">
        <is>
          <t>CONVENIENCIA</t>
        </is>
      </c>
      <c r="E3608" s="7" t="inlineStr">
        <is>
          <t>C</t>
        </is>
      </c>
      <c r="F3608" s="13" t="n">
        <v>1</v>
      </c>
      <c r="G3608" s="13" t="n">
        <v>2</v>
      </c>
      <c r="H3608" s="8" t="n">
        <v>10.7917</v>
      </c>
      <c r="I3608" s="8" t="n">
        <v>10.7917</v>
      </c>
      <c r="J3608" s="8" t="n">
        <v>10.7917</v>
      </c>
      <c r="K3608" s="8" t="n"/>
      <c r="L3608" s="8" t="n"/>
      <c r="M3608" s="8" t="n"/>
      <c r="N3608" s="8" t="n"/>
      <c r="O3608" s="8" t="n"/>
      <c r="P3608" s="8" t="n"/>
      <c r="Q3608" s="8" t="n"/>
      <c r="R3608" s="8" t="n"/>
      <c r="S3608" s="8" t="n"/>
      <c r="T3608" s="7" t="inlineStr">
        <is>
          <t>SEM COTAÇÃO</t>
        </is>
      </c>
      <c r="U3608" s="8" t="n"/>
      <c r="V3608" s="14" t="n"/>
      <c r="W3608" s="14" t="n"/>
      <c r="X3608" s="7" t="inlineStr"/>
      <c r="Y3608" s="7" t="inlineStr"/>
    </row>
    <row r="3609">
      <c r="A3609" s="7" t="n">
        <v>533941</v>
      </c>
      <c r="B3609" s="12" t="inlineStr">
        <is>
          <t>7896235353447</t>
        </is>
      </c>
      <c r="C3609" s="7" t="inlineStr">
        <is>
          <t>PV MONANGE CONDICIONADOR BOOST DE CRESCIMENTO 325ML</t>
        </is>
      </c>
      <c r="D3609" s="7" t="inlineStr">
        <is>
          <t>PERF/COSME</t>
        </is>
      </c>
      <c r="E3609" s="7" t="inlineStr">
        <is>
          <t>C</t>
        </is>
      </c>
      <c r="F3609" s="13" t="n">
        <v>1</v>
      </c>
      <c r="G3609" s="13" t="n">
        <v>1</v>
      </c>
      <c r="H3609" s="8" t="n">
        <v>7.38</v>
      </c>
      <c r="I3609" s="8" t="n">
        <v>7.38</v>
      </c>
      <c r="J3609" s="8" t="n">
        <v>7.38</v>
      </c>
      <c r="K3609" s="8" t="n"/>
      <c r="L3609" s="8" t="n"/>
      <c r="M3609" s="8" t="n"/>
      <c r="N3609" s="8" t="n"/>
      <c r="O3609" s="8" t="n"/>
      <c r="P3609" s="8" t="n"/>
      <c r="Q3609" s="8" t="n"/>
      <c r="R3609" s="8" t="n"/>
      <c r="S3609" s="8" t="n"/>
      <c r="T3609" s="7" t="inlineStr">
        <is>
          <t>SEM COTAÇÃO</t>
        </is>
      </c>
      <c r="U3609" s="8" t="n"/>
      <c r="V3609" s="14" t="n"/>
      <c r="W3609" s="14" t="n"/>
      <c r="X3609" s="7" t="inlineStr"/>
      <c r="Y3609" s="7" t="inlineStr"/>
    </row>
    <row r="3610">
      <c r="A3610" s="7" t="n">
        <v>584141</v>
      </c>
      <c r="B3610" s="12" t="inlineStr">
        <is>
          <t>7891000319505</t>
        </is>
      </c>
      <c r="C3610" s="7" t="inlineStr">
        <is>
          <t>PV MUCILON MULTICEREAIS SACHET 180G BR</t>
        </is>
      </c>
      <c r="D3610" s="7" t="inlineStr">
        <is>
          <t>ALIMENTOS LACTEOS, DERIVADOS E SIMILARES</t>
        </is>
      </c>
      <c r="E3610" s="7" t="inlineStr">
        <is>
          <t>A</t>
        </is>
      </c>
      <c r="F3610" s="13" t="n">
        <v>1</v>
      </c>
      <c r="G3610" s="13" t="n">
        <v>4</v>
      </c>
      <c r="H3610" s="8" t="n">
        <v>6.2967</v>
      </c>
      <c r="I3610" s="8" t="n">
        <v>5.785</v>
      </c>
      <c r="J3610" s="8" t="n">
        <v>5.84</v>
      </c>
      <c r="K3610" s="8" t="n"/>
      <c r="L3610" s="8" t="n"/>
      <c r="M3610" s="8" t="n"/>
      <c r="N3610" s="8" t="n"/>
      <c r="O3610" s="8" t="n"/>
      <c r="P3610" s="15" t="n">
        <v>6.64</v>
      </c>
      <c r="Q3610" s="8" t="n"/>
      <c r="R3610" s="8" t="n"/>
      <c r="S3610" s="8" t="n"/>
      <c r="T3610" s="7" t="inlineStr">
        <is>
          <t>NAZARIA</t>
        </is>
      </c>
      <c r="U3610" s="8" t="n">
        <v>6.64</v>
      </c>
      <c r="V3610" s="14">
        <f>U3610/J3610-1</f>
        <v/>
      </c>
      <c r="W3610" s="14">
        <f>U3610/H3610-1</f>
        <v/>
      </c>
      <c r="X3610" s="16" t="inlineStr">
        <is>
          <t>ACIMA +5.5%</t>
        </is>
      </c>
      <c r="Y3610" s="7" t="inlineStr">
        <is>
          <t>NAZARIA: preços divergentes entre EANs (usado menor)</t>
        </is>
      </c>
    </row>
    <row r="3611">
      <c r="A3611" s="7" t="n">
        <v>642371</v>
      </c>
      <c r="B3611" s="12" t="inlineStr">
        <is>
          <t>7891000364253</t>
        </is>
      </c>
      <c r="C3611" s="7" t="inlineStr">
        <is>
          <t>PV NESCAU WAFER CHOCOLATE 48X110G BR</t>
        </is>
      </c>
      <c r="D3611" s="7" t="inlineStr">
        <is>
          <t>BISCOITOS/SALGADOS</t>
        </is>
      </c>
      <c r="E3611" s="7" t="inlineStr">
        <is>
          <t>C</t>
        </is>
      </c>
      <c r="F3611" s="13" t="n">
        <v>11</v>
      </c>
      <c r="G3611" s="13" t="n">
        <v>11</v>
      </c>
      <c r="H3611" s="8" t="n">
        <v>3.6817</v>
      </c>
      <c r="I3611" s="8" t="n">
        <v>3.6817</v>
      </c>
      <c r="J3611" s="8" t="n">
        <v>3.681700000000001</v>
      </c>
      <c r="K3611" s="8" t="n"/>
      <c r="L3611" s="8" t="n"/>
      <c r="M3611" s="8" t="n"/>
      <c r="N3611" s="8" t="n"/>
      <c r="O3611" s="8" t="n"/>
      <c r="P3611" s="8" t="n"/>
      <c r="Q3611" s="8" t="n"/>
      <c r="R3611" s="8" t="n"/>
      <c r="S3611" s="8" t="n"/>
      <c r="T3611" s="7" t="inlineStr">
        <is>
          <t>SEM COTAÇÃO</t>
        </is>
      </c>
      <c r="U3611" s="8" t="n"/>
      <c r="V3611" s="14" t="n"/>
      <c r="W3611" s="14" t="n"/>
      <c r="X3611" s="7" t="inlineStr"/>
      <c r="Y3611" s="7" t="inlineStr"/>
    </row>
    <row r="3612">
      <c r="A3612" s="7" t="n">
        <v>17761</v>
      </c>
      <c r="B3612" s="12" t="inlineStr">
        <is>
          <t>7896512904089</t>
        </is>
      </c>
      <c r="C3612" s="7" t="inlineStr">
        <is>
          <t>PV POLVILHO ANTISSEPTICO 3,0+0,352+17,602+11,735G PO TOP FR 100G</t>
        </is>
      </c>
      <c r="D3612" s="7" t="inlineStr">
        <is>
          <t>PERF/COSME</t>
        </is>
      </c>
      <c r="E3612" s="7" t="inlineStr">
        <is>
          <t>C</t>
        </is>
      </c>
      <c r="F3612" s="13" t="n">
        <v>3</v>
      </c>
      <c r="G3612" s="13" t="n">
        <v>3</v>
      </c>
      <c r="H3612" s="8" t="n">
        <v>9.859999999999999</v>
      </c>
      <c r="I3612" s="8" t="n">
        <v>9.859999999999999</v>
      </c>
      <c r="J3612" s="8" t="n">
        <v>9.859999999999999</v>
      </c>
      <c r="K3612" s="8" t="n"/>
      <c r="L3612" s="8" t="n"/>
      <c r="M3612" s="8" t="n"/>
      <c r="N3612" s="8" t="n"/>
      <c r="O3612" s="8" t="n"/>
      <c r="P3612" s="15" t="n">
        <v>12.88</v>
      </c>
      <c r="Q3612" s="8" t="n"/>
      <c r="R3612" s="8" t="n"/>
      <c r="S3612" s="8" t="n"/>
      <c r="T3612" s="7" t="inlineStr">
        <is>
          <t>NAZARIA</t>
        </is>
      </c>
      <c r="U3612" s="8" t="n">
        <v>12.88</v>
      </c>
      <c r="V3612" s="14">
        <f>U3612/J3612-1</f>
        <v/>
      </c>
      <c r="W3612" s="14">
        <f>U3612/H3612-1</f>
        <v/>
      </c>
      <c r="X3612" s="16" t="inlineStr">
        <is>
          <t>ACIMA +30.6%</t>
        </is>
      </c>
      <c r="Y3612" s="7" t="inlineStr"/>
    </row>
    <row r="3613">
      <c r="A3613" s="7" t="n">
        <v>17801</v>
      </c>
      <c r="B3613" s="12" t="inlineStr">
        <is>
          <t>7896512904324</t>
        </is>
      </c>
      <c r="C3613" s="7" t="inlineStr">
        <is>
          <t>PV POLVILHO ANTISSEPTICO FRESH 3,0+0,352+17,602+11,735G PO TOP FR 100G</t>
        </is>
      </c>
      <c r="D3613" s="7" t="inlineStr">
        <is>
          <t>DESATIVADO</t>
        </is>
      </c>
      <c r="E3613" s="7" t="inlineStr">
        <is>
          <t>C</t>
        </is>
      </c>
      <c r="F3613" s="13" t="n">
        <v>2</v>
      </c>
      <c r="G3613" s="13" t="n">
        <v>2</v>
      </c>
      <c r="H3613" s="8" t="n">
        <v>10.72</v>
      </c>
      <c r="I3613" s="8" t="n">
        <v>10.72</v>
      </c>
      <c r="J3613" s="8" t="n">
        <v>10.72</v>
      </c>
      <c r="K3613" s="8" t="n"/>
      <c r="L3613" s="8" t="n"/>
      <c r="M3613" s="8" t="n"/>
      <c r="N3613" s="8" t="n"/>
      <c r="O3613" s="8" t="n"/>
      <c r="P3613" s="15" t="n">
        <v>12.88</v>
      </c>
      <c r="Q3613" s="8" t="n"/>
      <c r="R3613" s="8" t="n"/>
      <c r="S3613" s="8" t="n"/>
      <c r="T3613" s="7" t="inlineStr">
        <is>
          <t>NAZARIA</t>
        </is>
      </c>
      <c r="U3613" s="8" t="n">
        <v>12.88</v>
      </c>
      <c r="V3613" s="14">
        <f>U3613/J3613-1</f>
        <v/>
      </c>
      <c r="W3613" s="14">
        <f>U3613/H3613-1</f>
        <v/>
      </c>
      <c r="X3613" s="16" t="inlineStr">
        <is>
          <t>ACIMA +20.1%</t>
        </is>
      </c>
      <c r="Y3613" s="7" t="inlineStr"/>
    </row>
    <row r="3614">
      <c r="A3614" s="7" t="n">
        <v>652671</v>
      </c>
      <c r="B3614" s="12" t="inlineStr">
        <is>
          <t>7898211384179</t>
        </is>
      </c>
      <c r="C3614" s="7" t="inlineStr">
        <is>
          <t>PV POMADA FIXED CERA CAP MODELADORA 120G 12X120G</t>
        </is>
      </c>
      <c r="D3614" s="7" t="inlineStr">
        <is>
          <t>COND/SHAM/CREM/SIMILARES</t>
        </is>
      </c>
      <c r="E3614" s="7" t="inlineStr">
        <is>
          <t>C</t>
        </is>
      </c>
      <c r="F3614" s="13" t="n">
        <v>1</v>
      </c>
      <c r="G3614" s="13" t="n">
        <v>1</v>
      </c>
      <c r="H3614" s="8" t="n">
        <v>16.86</v>
      </c>
      <c r="I3614" s="8" t="n">
        <v>16.86</v>
      </c>
      <c r="J3614" s="8" t="n">
        <v>16.86</v>
      </c>
      <c r="K3614" s="8" t="n"/>
      <c r="L3614" s="8" t="n"/>
      <c r="M3614" s="8" t="n"/>
      <c r="N3614" s="8" t="n"/>
      <c r="O3614" s="8" t="n"/>
      <c r="P3614" s="8" t="n"/>
      <c r="Q3614" s="8" t="n"/>
      <c r="R3614" s="8" t="n"/>
      <c r="S3614" s="8" t="n"/>
      <c r="T3614" s="7" t="inlineStr">
        <is>
          <t>SEM COTAÇÃO</t>
        </is>
      </c>
      <c r="U3614" s="8" t="n"/>
      <c r="V3614" s="14" t="n"/>
      <c r="W3614" s="14" t="n"/>
      <c r="X3614" s="7" t="inlineStr"/>
      <c r="Y3614" s="7" t="inlineStr"/>
    </row>
    <row r="3615">
      <c r="A3615" s="7" t="n">
        <v>624001</v>
      </c>
      <c r="B3615" s="12" t="inlineStr">
        <is>
          <t>7891024023976</t>
        </is>
      </c>
      <c r="C3615" s="7" t="inlineStr">
        <is>
          <t>PV SAB LIQ PROTEX INTIMO FRESH EQUILIB 200ML</t>
        </is>
      </c>
      <c r="D3615" s="7" t="inlineStr">
        <is>
          <t>PERF/COSME</t>
        </is>
      </c>
      <c r="E3615" s="7" t="inlineStr">
        <is>
          <t>C</t>
        </is>
      </c>
      <c r="F3615" s="13" t="n">
        <v>1</v>
      </c>
      <c r="G3615" s="13" t="n">
        <v>1</v>
      </c>
      <c r="H3615" s="8" t="n">
        <v>15.28</v>
      </c>
      <c r="I3615" s="8" t="n">
        <v>15.28</v>
      </c>
      <c r="J3615" s="8" t="n">
        <v>15.28</v>
      </c>
      <c r="K3615" s="8" t="n"/>
      <c r="L3615" s="8" t="n"/>
      <c r="M3615" s="8" t="n"/>
      <c r="N3615" s="8" t="n"/>
      <c r="O3615" s="8" t="n"/>
      <c r="P3615" s="8" t="n"/>
      <c r="Q3615" s="8" t="n"/>
      <c r="R3615" s="8" t="n"/>
      <c r="S3615" s="8" t="n"/>
      <c r="T3615" s="7" t="inlineStr">
        <is>
          <t>SEM COTAÇÃO</t>
        </is>
      </c>
      <c r="U3615" s="8" t="n"/>
      <c r="V3615" s="14" t="n"/>
      <c r="W3615" s="14" t="n"/>
      <c r="X3615" s="7" t="inlineStr"/>
      <c r="Y3615" s="7" t="inlineStr"/>
    </row>
    <row r="3616">
      <c r="A3616" s="7" t="n">
        <v>552001</v>
      </c>
      <c r="B3616" s="12" t="inlineStr">
        <is>
          <t>7896012800669</t>
        </is>
      </c>
      <c r="C3616" s="7" t="inlineStr">
        <is>
          <t>PV SHAMPOO INFANTIL SUAVE POM POM FRASCO 200ML</t>
        </is>
      </c>
      <c r="D3616" s="7" t="inlineStr">
        <is>
          <t>BABY/KIDS</t>
        </is>
      </c>
      <c r="E3616" s="7" t="inlineStr">
        <is>
          <t>C</t>
        </is>
      </c>
      <c r="F3616" s="13" t="n">
        <v>2</v>
      </c>
      <c r="G3616" s="13" t="n">
        <v>2</v>
      </c>
      <c r="H3616" s="8" t="n">
        <v>6.92</v>
      </c>
      <c r="I3616" s="8" t="n">
        <v>6.92</v>
      </c>
      <c r="J3616" s="8" t="n">
        <v>6.919999999999999</v>
      </c>
      <c r="K3616" s="8" t="n"/>
      <c r="L3616" s="8" t="n"/>
      <c r="M3616" s="8" t="n"/>
      <c r="N3616" s="8" t="n"/>
      <c r="O3616" s="8" t="n"/>
      <c r="P3616" s="8" t="n"/>
      <c r="Q3616" s="8" t="n"/>
      <c r="R3616" s="8" t="n"/>
      <c r="S3616" s="8" t="n"/>
      <c r="T3616" s="7" t="inlineStr">
        <is>
          <t>SEM COTAÇÃO</t>
        </is>
      </c>
      <c r="U3616" s="8" t="n"/>
      <c r="V3616" s="14" t="n"/>
      <c r="W3616" s="14" t="n"/>
      <c r="X3616" s="7" t="inlineStr"/>
      <c r="Y3616" s="7" t="inlineStr"/>
    </row>
    <row r="3617">
      <c r="A3617" s="7" t="n">
        <v>581841</v>
      </c>
      <c r="B3617" s="12" t="inlineStr">
        <is>
          <t>7898132980603</t>
        </is>
      </c>
      <c r="C3617" s="7" t="inlineStr">
        <is>
          <t>PV SHAMPOO MAIS LISO 350ML</t>
        </is>
      </c>
      <c r="D3617" s="7" t="inlineStr">
        <is>
          <t>PERF/COSME</t>
        </is>
      </c>
      <c r="E3617" s="7" t="inlineStr">
        <is>
          <t>C</t>
        </is>
      </c>
      <c r="F3617" s="13" t="n">
        <v>1</v>
      </c>
      <c r="G3617" s="13" t="n">
        <v>1</v>
      </c>
      <c r="H3617" s="8" t="n">
        <v>33.83</v>
      </c>
      <c r="I3617" s="8" t="n">
        <v>33.83</v>
      </c>
      <c r="J3617" s="8" t="n">
        <v>33.83</v>
      </c>
      <c r="K3617" s="8" t="n"/>
      <c r="L3617" s="8" t="n"/>
      <c r="M3617" s="8" t="n"/>
      <c r="N3617" s="8" t="n"/>
      <c r="O3617" s="8" t="n"/>
      <c r="P3617" s="8" t="n"/>
      <c r="Q3617" s="8" t="n"/>
      <c r="R3617" s="8" t="n"/>
      <c r="S3617" s="8" t="n"/>
      <c r="T3617" s="7" t="inlineStr">
        <is>
          <t>SEM COTAÇÃO</t>
        </is>
      </c>
      <c r="U3617" s="8" t="n"/>
      <c r="V3617" s="14" t="n"/>
      <c r="W3617" s="14" t="n"/>
      <c r="X3617" s="7" t="inlineStr"/>
      <c r="Y3617" s="7" t="inlineStr"/>
    </row>
    <row r="3618">
      <c r="A3618" s="7" t="n">
        <v>581921</v>
      </c>
      <c r="B3618" s="12" t="inlineStr">
        <is>
          <t>7898132980726</t>
        </is>
      </c>
      <c r="C3618" s="7" t="inlineStr">
        <is>
          <t>PV SHAMPOO UMECTANTE OLEO COCO 250ML</t>
        </is>
      </c>
      <c r="D3618" s="7" t="inlineStr">
        <is>
          <t>PERF/COSME</t>
        </is>
      </c>
      <c r="E3618" s="7" t="inlineStr">
        <is>
          <t>C</t>
        </is>
      </c>
      <c r="F3618" s="13" t="n">
        <v>2</v>
      </c>
      <c r="G3618" s="13" t="n">
        <v>2</v>
      </c>
      <c r="H3618" s="8" t="n">
        <v>25.34</v>
      </c>
      <c r="I3618" s="8" t="n">
        <v>25.34</v>
      </c>
      <c r="J3618" s="8" t="n">
        <v>25.34</v>
      </c>
      <c r="K3618" s="8" t="n"/>
      <c r="L3618" s="8" t="n"/>
      <c r="M3618" s="8" t="n"/>
      <c r="N3618" s="8" t="n"/>
      <c r="O3618" s="8" t="n"/>
      <c r="P3618" s="8" t="n"/>
      <c r="Q3618" s="8" t="n"/>
      <c r="R3618" s="8" t="n"/>
      <c r="S3618" s="8" t="n"/>
      <c r="T3618" s="7" t="inlineStr">
        <is>
          <t>SEM COTAÇÃO</t>
        </is>
      </c>
      <c r="U3618" s="8" t="n"/>
      <c r="V3618" s="14" t="n"/>
      <c r="W3618" s="14" t="n"/>
      <c r="X3618" s="7" t="inlineStr"/>
      <c r="Y3618" s="7" t="inlineStr"/>
    </row>
    <row r="3619">
      <c r="A3619" s="7" t="n">
        <v>640681</v>
      </c>
      <c r="B3619" s="12" t="inlineStr"/>
      <c r="C3619" s="7" t="inlineStr">
        <is>
          <t>PV TALENTO AMENDOA AMENDOIM AVL 75G</t>
        </is>
      </c>
      <c r="D3619" s="7" t="inlineStr">
        <is>
          <t>CHOCOLATES</t>
        </is>
      </c>
      <c r="E3619" s="7" t="inlineStr">
        <is>
          <t>B</t>
        </is>
      </c>
      <c r="F3619" s="13" t="n">
        <v>1</v>
      </c>
      <c r="G3619" s="13" t="n">
        <v>3</v>
      </c>
      <c r="H3619" s="8" t="n">
        <v>7.548</v>
      </c>
      <c r="I3619" s="8" t="n">
        <v>7.548</v>
      </c>
      <c r="J3619" s="8" t="n">
        <v>7.547999999999999</v>
      </c>
      <c r="K3619" s="8" t="n"/>
      <c r="L3619" s="8" t="n"/>
      <c r="M3619" s="8" t="n"/>
      <c r="N3619" s="8" t="n"/>
      <c r="O3619" s="8" t="n"/>
      <c r="P3619" s="8" t="n"/>
      <c r="Q3619" s="8" t="n"/>
      <c r="R3619" s="8" t="n"/>
      <c r="S3619" s="8" t="n"/>
      <c r="T3619" s="7" t="inlineStr">
        <is>
          <t>SEM COTAÇÃO</t>
        </is>
      </c>
      <c r="U3619" s="8" t="n"/>
      <c r="V3619" s="14" t="n"/>
      <c r="W3619" s="14" t="n"/>
      <c r="X3619" s="7" t="inlineStr"/>
      <c r="Y3619" s="7" t="inlineStr"/>
    </row>
    <row r="3620">
      <c r="A3620" s="7" t="n">
        <v>652031</v>
      </c>
      <c r="B3620" s="12" t="inlineStr">
        <is>
          <t>7896094211438</t>
        </is>
      </c>
      <c r="C3620" s="7" t="inlineStr">
        <is>
          <t>PV UMIDITA CALM CR 45G</t>
        </is>
      </c>
      <c r="D3620" s="7" t="inlineStr">
        <is>
          <t>RX - DERMO</t>
        </is>
      </c>
      <c r="E3620" s="7" t="inlineStr">
        <is>
          <t>C</t>
        </is>
      </c>
      <c r="F3620" s="13" t="n">
        <v>1</v>
      </c>
      <c r="G3620" s="13" t="n">
        <v>1</v>
      </c>
      <c r="H3620" s="8" t="n">
        <v>44.53</v>
      </c>
      <c r="I3620" s="8" t="n">
        <v>44.53</v>
      </c>
      <c r="J3620" s="8" t="n">
        <v>44.53</v>
      </c>
      <c r="K3620" s="8" t="n"/>
      <c r="L3620" s="8" t="n"/>
      <c r="M3620" s="8" t="n"/>
      <c r="N3620" s="8" t="n"/>
      <c r="O3620" s="8" t="n"/>
      <c r="P3620" s="8" t="n"/>
      <c r="Q3620" s="8" t="n"/>
      <c r="R3620" s="8" t="n"/>
      <c r="S3620" s="8" t="n"/>
      <c r="T3620" s="7" t="inlineStr">
        <is>
          <t>SEM COTAÇÃO</t>
        </is>
      </c>
      <c r="U3620" s="8" t="n"/>
      <c r="V3620" s="14" t="n"/>
      <c r="W3620" s="14" t="n"/>
      <c r="X3620" s="7" t="inlineStr"/>
      <c r="Y3620" s="7" t="inlineStr"/>
    </row>
    <row r="3621">
      <c r="A3621" s="7" t="n">
        <v>477141</v>
      </c>
      <c r="B3621" s="12" t="inlineStr">
        <is>
          <t>8902220112278</t>
        </is>
      </c>
      <c r="C3621" s="7" t="inlineStr">
        <is>
          <t>PV VALSARTANA+HIDROCLOROTIAZIDA 160+25MG CX 30 COMP REV</t>
        </is>
      </c>
      <c r="D3621" s="7" t="inlineStr">
        <is>
          <t>GENERICO</t>
        </is>
      </c>
      <c r="E3621" s="7" t="inlineStr">
        <is>
          <t>C</t>
        </is>
      </c>
      <c r="F3621" s="13" t="n">
        <v>4</v>
      </c>
      <c r="G3621" s="13" t="n">
        <v>4</v>
      </c>
      <c r="H3621" s="8" t="n">
        <v>44.9562</v>
      </c>
      <c r="I3621" s="8" t="n">
        <v>44.9562</v>
      </c>
      <c r="J3621" s="8" t="n">
        <v>44.9562</v>
      </c>
      <c r="K3621" s="8" t="n"/>
      <c r="L3621" s="8" t="n"/>
      <c r="M3621" s="8" t="n"/>
      <c r="N3621" s="8" t="n"/>
      <c r="O3621" s="8" t="n"/>
      <c r="P3621" s="8" t="n"/>
      <c r="Q3621" s="8" t="n"/>
      <c r="R3621" s="8" t="n"/>
      <c r="S3621" s="8" t="n"/>
      <c r="T3621" s="7" t="inlineStr">
        <is>
          <t>SEM COTAÇÃO</t>
        </is>
      </c>
      <c r="U3621" s="8" t="n"/>
      <c r="V3621" s="14" t="n"/>
      <c r="W3621" s="14" t="n"/>
      <c r="X3621" s="7" t="inlineStr"/>
      <c r="Y3621" s="7" t="inlineStr"/>
    </row>
    <row r="3622">
      <c r="A3622" s="7" t="n">
        <v>646471</v>
      </c>
      <c r="B3622" s="12" t="inlineStr">
        <is>
          <t>7899852018317</t>
        </is>
      </c>
      <c r="C3622" s="7" t="inlineStr">
        <is>
          <t>PV VULT MAKE BATOM HIDRA LIPS AMEIXA 3,6G</t>
        </is>
      </c>
      <c r="D3622" s="7" t="inlineStr">
        <is>
          <t>PERF/COSME</t>
        </is>
      </c>
      <c r="E3622" s="7" t="inlineStr">
        <is>
          <t>C</t>
        </is>
      </c>
      <c r="F3622" s="13" t="n">
        <v>1</v>
      </c>
      <c r="G3622" s="13" t="n">
        <v>1</v>
      </c>
      <c r="H3622" s="8" t="n">
        <v>13.54</v>
      </c>
      <c r="I3622" s="8" t="n">
        <v>13.54</v>
      </c>
      <c r="J3622" s="8" t="n">
        <v>13.54</v>
      </c>
      <c r="K3622" s="8" t="n"/>
      <c r="L3622" s="8" t="n"/>
      <c r="M3622" s="8" t="n"/>
      <c r="N3622" s="8" t="n"/>
      <c r="O3622" s="8" t="n"/>
      <c r="P3622" s="8" t="n"/>
      <c r="Q3622" s="8" t="n"/>
      <c r="R3622" s="8" t="n"/>
      <c r="S3622" s="8" t="n"/>
      <c r="T3622" s="7" t="inlineStr">
        <is>
          <t>SEM COTAÇÃO</t>
        </is>
      </c>
      <c r="U3622" s="8" t="n"/>
      <c r="V3622" s="14" t="n"/>
      <c r="W3622" s="14" t="n"/>
      <c r="X3622" s="7" t="inlineStr"/>
      <c r="Y3622" s="7" t="inlineStr"/>
    </row>
    <row r="3623">
      <c r="A3623" s="7" t="n">
        <v>614221</v>
      </c>
      <c r="B3623" s="12" t="inlineStr">
        <is>
          <t>7899852003474</t>
        </is>
      </c>
      <c r="C3623" s="7" t="inlineStr">
        <is>
          <t>PV VULT NAILS ESM 5FR CINEMA 042 8ML</t>
        </is>
      </c>
      <c r="D3623" s="7" t="inlineStr">
        <is>
          <t>PERF/COSME</t>
        </is>
      </c>
      <c r="E3623" s="7" t="inlineStr">
        <is>
          <t>C</t>
        </is>
      </c>
      <c r="F3623" s="13" t="n">
        <v>1</v>
      </c>
      <c r="G3623" s="13" t="n">
        <v>1</v>
      </c>
      <c r="H3623" s="8" t="n">
        <v>6.89</v>
      </c>
      <c r="I3623" s="8" t="n">
        <v>6.89</v>
      </c>
      <c r="J3623" s="8" t="n">
        <v>6.89</v>
      </c>
      <c r="K3623" s="8" t="n"/>
      <c r="L3623" s="8" t="n"/>
      <c r="M3623" s="8" t="n"/>
      <c r="N3623" s="8" t="n"/>
      <c r="O3623" s="8" t="n"/>
      <c r="P3623" s="8" t="n"/>
      <c r="Q3623" s="8" t="n"/>
      <c r="R3623" s="8" t="n"/>
      <c r="S3623" s="8" t="n"/>
      <c r="T3623" s="7" t="inlineStr">
        <is>
          <t>SEM COTAÇÃO</t>
        </is>
      </c>
      <c r="U3623" s="8" t="n"/>
      <c r="V3623" s="14" t="n"/>
      <c r="W3623" s="14" t="n"/>
      <c r="X3623" s="7" t="inlineStr"/>
      <c r="Y3623" s="7" t="inlineStr"/>
    </row>
    <row r="3624">
      <c r="A3624" s="7" t="n">
        <v>608461</v>
      </c>
      <c r="B3624" s="12" t="inlineStr">
        <is>
          <t>7899852019987</t>
        </is>
      </c>
      <c r="C3624" s="7" t="inlineStr">
        <is>
          <t>PV VULT NAILS ESM 5FR HASHT LOOKDIA 8ML M6</t>
        </is>
      </c>
      <c r="D3624" s="7" t="inlineStr">
        <is>
          <t>PERF/COSME</t>
        </is>
      </c>
      <c r="E3624" s="7" t="inlineStr">
        <is>
          <t>C</t>
        </is>
      </c>
      <c r="F3624" s="13" t="n">
        <v>1</v>
      </c>
      <c r="G3624" s="13" t="n">
        <v>1</v>
      </c>
      <c r="H3624" s="8" t="n">
        <v>6.35</v>
      </c>
      <c r="I3624" s="8" t="n">
        <v>6.35</v>
      </c>
      <c r="J3624" s="8" t="n">
        <v>6.349999999999999</v>
      </c>
      <c r="K3624" s="8" t="n"/>
      <c r="L3624" s="8" t="n"/>
      <c r="M3624" s="8" t="n"/>
      <c r="N3624" s="8" t="n"/>
      <c r="O3624" s="8" t="n"/>
      <c r="P3624" s="8" t="n"/>
      <c r="Q3624" s="8" t="n"/>
      <c r="R3624" s="8" t="n"/>
      <c r="S3624" s="8" t="n"/>
      <c r="T3624" s="7" t="inlineStr">
        <is>
          <t>SEM COTAÇÃO</t>
        </is>
      </c>
      <c r="U3624" s="8" t="n"/>
      <c r="V3624" s="14" t="n"/>
      <c r="W3624" s="14" t="n"/>
      <c r="X3624" s="7" t="inlineStr"/>
      <c r="Y3624" s="7" t="inlineStr"/>
    </row>
    <row r="3625">
      <c r="A3625" s="7" t="n">
        <v>608311</v>
      </c>
      <c r="B3625" s="12" t="inlineStr">
        <is>
          <t>7899852021119</t>
        </is>
      </c>
      <c r="C3625" s="7" t="inlineStr">
        <is>
          <t>PV VULT NAILS ESM 5FR SOLEIL CEU AZU 8ML M6</t>
        </is>
      </c>
      <c r="D3625" s="7" t="inlineStr">
        <is>
          <t>PERF/COSME</t>
        </is>
      </c>
      <c r="E3625" s="7" t="inlineStr">
        <is>
          <t>C</t>
        </is>
      </c>
      <c r="F3625" s="13" t="n">
        <v>1</v>
      </c>
      <c r="G3625" s="13" t="n">
        <v>1</v>
      </c>
      <c r="H3625" s="8" t="n">
        <v>6.35</v>
      </c>
      <c r="I3625" s="8" t="n">
        <v>6.35</v>
      </c>
      <c r="J3625" s="8" t="n">
        <v>6.349999999999999</v>
      </c>
      <c r="K3625" s="8" t="n"/>
      <c r="L3625" s="8" t="n"/>
      <c r="M3625" s="8" t="n"/>
      <c r="N3625" s="8" t="n"/>
      <c r="O3625" s="8" t="n"/>
      <c r="P3625" s="8" t="n"/>
      <c r="Q3625" s="8" t="n"/>
      <c r="R3625" s="8" t="n"/>
      <c r="S3625" s="8" t="n"/>
      <c r="T3625" s="7" t="inlineStr">
        <is>
          <t>SEM COTAÇÃO</t>
        </is>
      </c>
      <c r="U3625" s="8" t="n"/>
      <c r="V3625" s="14" t="n"/>
      <c r="W3625" s="14" t="n"/>
      <c r="X3625" s="7" t="inlineStr"/>
      <c r="Y3625" s="7" t="inlineStr"/>
    </row>
    <row r="3626">
      <c r="A3626" s="7" t="n">
        <v>593571</v>
      </c>
      <c r="B3626" s="12" t="inlineStr">
        <is>
          <t>7891025122067</t>
        </is>
      </c>
      <c r="C3626" s="7" t="inlineStr">
        <is>
          <t>PV YOPRO UHT MORANGO 15G PROTEIN 250ML</t>
        </is>
      </c>
      <c r="D3626" s="7" t="inlineStr">
        <is>
          <t>BEBIDAS GERAL</t>
        </is>
      </c>
      <c r="E3626" s="7" t="inlineStr">
        <is>
          <t>C</t>
        </is>
      </c>
      <c r="F3626" s="13" t="n">
        <v>3</v>
      </c>
      <c r="G3626" s="13" t="n">
        <v>3</v>
      </c>
      <c r="H3626" s="8" t="n">
        <v>6.5817</v>
      </c>
      <c r="I3626" s="8" t="n">
        <v>6.5817</v>
      </c>
      <c r="J3626" s="8" t="n">
        <v>6.581700000000001</v>
      </c>
      <c r="K3626" s="8" t="n"/>
      <c r="L3626" s="8" t="n"/>
      <c r="M3626" s="8" t="n"/>
      <c r="N3626" s="8" t="n"/>
      <c r="O3626" s="8" t="n"/>
      <c r="P3626" s="8" t="n"/>
      <c r="Q3626" s="8" t="n"/>
      <c r="R3626" s="8" t="n"/>
      <c r="S3626" s="8" t="n"/>
      <c r="T3626" s="7" t="inlineStr">
        <is>
          <t>SEM COTAÇÃO</t>
        </is>
      </c>
      <c r="U3626" s="8" t="n"/>
      <c r="V3626" s="14" t="n"/>
      <c r="W3626" s="14" t="n"/>
      <c r="X3626" s="7" t="inlineStr"/>
      <c r="Y3626" s="7" t="inlineStr"/>
    </row>
    <row r="3627">
      <c r="A3627" s="7" t="n">
        <v>374221</v>
      </c>
      <c r="B3627" s="12" t="inlineStr"/>
      <c r="C3627" s="7" t="inlineStr">
        <is>
          <t>PV- OLMECOR 40MG CX 30 COMP REV</t>
        </is>
      </c>
      <c r="D3627" s="7" t="inlineStr">
        <is>
          <t>RX</t>
        </is>
      </c>
      <c r="E3627" s="7" t="inlineStr">
        <is>
          <t>A</t>
        </is>
      </c>
      <c r="F3627" s="13" t="n">
        <v>1</v>
      </c>
      <c r="G3627" s="13" t="n">
        <v>1</v>
      </c>
      <c r="H3627" s="8" t="n">
        <v>43.2525</v>
      </c>
      <c r="I3627" s="8" t="n">
        <v>38.84</v>
      </c>
      <c r="J3627" s="8" t="n">
        <v>40.73266666666667</v>
      </c>
      <c r="K3627" s="8" t="n"/>
      <c r="L3627" s="8" t="n"/>
      <c r="M3627" s="8" t="n"/>
      <c r="N3627" s="8" t="n"/>
      <c r="O3627" s="8" t="n"/>
      <c r="P3627" s="8" t="n"/>
      <c r="Q3627" s="8" t="n"/>
      <c r="R3627" s="8" t="n"/>
      <c r="S3627" s="8" t="n"/>
      <c r="T3627" s="7" t="inlineStr">
        <is>
          <t>SEM COTAÇÃO</t>
        </is>
      </c>
      <c r="U3627" s="8" t="n"/>
      <c r="V3627" s="14" t="n"/>
      <c r="W3627" s="14" t="n"/>
      <c r="X3627" s="7" t="inlineStr"/>
      <c r="Y3627" s="7" t="inlineStr"/>
    </row>
    <row r="3628">
      <c r="A3628" s="7" t="n">
        <v>204241</v>
      </c>
      <c r="B3628" s="12" t="inlineStr">
        <is>
          <t>7897337713399</t>
        </is>
      </c>
      <c r="C3628" s="7" t="inlineStr">
        <is>
          <t>PV- PEROLA 0,075MG (CARTELA) C/28CP</t>
        </is>
      </c>
      <c r="D3628" s="7" t="inlineStr">
        <is>
          <t>RX</t>
        </is>
      </c>
      <c r="E3628" s="7" t="inlineStr">
        <is>
          <t>C</t>
        </is>
      </c>
      <c r="F3628" s="13" t="n">
        <v>1</v>
      </c>
      <c r="G3628" s="13" t="n">
        <v>1</v>
      </c>
      <c r="H3628" s="8" t="n">
        <v>86.43000000000001</v>
      </c>
      <c r="I3628" s="8" t="n">
        <v>86.43000000000001</v>
      </c>
      <c r="J3628" s="8" t="n">
        <v>86.43000000000001</v>
      </c>
      <c r="K3628" s="8" t="n"/>
      <c r="L3628" s="8" t="n"/>
      <c r="M3628" s="8" t="n"/>
      <c r="N3628" s="8" t="n"/>
      <c r="O3628" s="8" t="n"/>
      <c r="P3628" s="15" t="n">
        <v>96.61199999999999</v>
      </c>
      <c r="Q3628" s="8" t="n"/>
      <c r="R3628" s="8" t="n"/>
      <c r="S3628" s="8" t="n"/>
      <c r="T3628" s="7" t="inlineStr">
        <is>
          <t>NAZARIA</t>
        </is>
      </c>
      <c r="U3628" s="8" t="n">
        <v>96.61199999999999</v>
      </c>
      <c r="V3628" s="14">
        <f>U3628/J3628-1</f>
        <v/>
      </c>
      <c r="W3628" s="14">
        <f>U3628/H3628-1</f>
        <v/>
      </c>
      <c r="X3628" s="16" t="inlineStr">
        <is>
          <t>ACIMA +11.8%</t>
        </is>
      </c>
      <c r="Y3628" s="7" t="inlineStr"/>
    </row>
    <row r="3629">
      <c r="A3629" s="7" t="n">
        <v>492781</v>
      </c>
      <c r="B3629" s="12" t="inlineStr">
        <is>
          <t>7896004778341</t>
        </is>
      </c>
      <c r="C3629" s="7" t="inlineStr">
        <is>
          <t>PVV - ALLOVITA 50MG/ML SOL CAPI 3 FR 50ML(UNIDADE)</t>
        </is>
      </c>
      <c r="D3629" s="7" t="inlineStr">
        <is>
          <t>SIMILAR</t>
        </is>
      </c>
      <c r="E3629" s="7" t="inlineStr">
        <is>
          <t>C</t>
        </is>
      </c>
      <c r="F3629" s="13" t="n">
        <v>2</v>
      </c>
      <c r="G3629" s="13" t="n">
        <v>2</v>
      </c>
      <c r="H3629" s="8" t="n">
        <v>47.24</v>
      </c>
      <c r="I3629" s="8" t="n">
        <v>47.24</v>
      </c>
      <c r="J3629" s="8" t="n">
        <v>47.24</v>
      </c>
      <c r="K3629" s="8" t="n"/>
      <c r="L3629" s="8" t="n"/>
      <c r="M3629" s="8" t="n"/>
      <c r="N3629" s="8" t="n">
        <v>81.64</v>
      </c>
      <c r="O3629" s="8" t="n"/>
      <c r="P3629" s="8" t="n"/>
      <c r="Q3629" s="15" t="n">
        <v>78.77</v>
      </c>
      <c r="R3629" s="8" t="n"/>
      <c r="S3629" s="8" t="n"/>
      <c r="T3629" s="7" t="inlineStr">
        <is>
          <t>MEDCENTRO</t>
        </is>
      </c>
      <c r="U3629" s="8" t="n">
        <v>78.77</v>
      </c>
      <c r="V3629" s="14">
        <f>U3629/J3629-1</f>
        <v/>
      </c>
      <c r="W3629" s="14">
        <f>U3629/H3629-1</f>
        <v/>
      </c>
      <c r="X3629" s="16" t="inlineStr">
        <is>
          <t>ACIMA +66.7%</t>
        </is>
      </c>
      <c r="Y3629" s="7" t="inlineStr"/>
    </row>
    <row r="3630">
      <c r="A3630" s="7" t="n">
        <v>70701</v>
      </c>
      <c r="B3630" s="12" t="inlineStr">
        <is>
          <t>7897917001380</t>
        </is>
      </c>
      <c r="C3630" s="7" t="inlineStr">
        <is>
          <t>PVV - BELSPAN 333,4+6,67MG SOL OR FR GTS 20ML</t>
        </is>
      </c>
      <c r="D3630" s="7" t="inlineStr">
        <is>
          <t>SIMILAR</t>
        </is>
      </c>
      <c r="E3630" s="7" t="inlineStr">
        <is>
          <t>C</t>
        </is>
      </c>
      <c r="F3630" s="13" t="n">
        <v>2</v>
      </c>
      <c r="G3630" s="13" t="n">
        <v>2</v>
      </c>
      <c r="H3630" s="8" t="n">
        <v>6.15</v>
      </c>
      <c r="I3630" s="8" t="n">
        <v>6.15</v>
      </c>
      <c r="J3630" s="8" t="n">
        <v>6.150000000000001</v>
      </c>
      <c r="K3630" s="8" t="n"/>
      <c r="L3630" s="8" t="n"/>
      <c r="M3630" s="8" t="n"/>
      <c r="N3630" s="15" t="n">
        <v>8.449999999999999</v>
      </c>
      <c r="O3630" s="8" t="n"/>
      <c r="P3630" s="8" t="n"/>
      <c r="Q3630" s="8" t="n"/>
      <c r="R3630" s="8" t="n"/>
      <c r="S3630" s="8" t="n"/>
      <c r="T3630" s="7" t="inlineStr">
        <is>
          <t>CENTROFARMA</t>
        </is>
      </c>
      <c r="U3630" s="8" t="n">
        <v>8.449999999999999</v>
      </c>
      <c r="V3630" s="14">
        <f>U3630/J3630-1</f>
        <v/>
      </c>
      <c r="W3630" s="14">
        <f>U3630/H3630-1</f>
        <v/>
      </c>
      <c r="X3630" s="16" t="inlineStr">
        <is>
          <t>ACIMA +37.4%</t>
        </is>
      </c>
      <c r="Y3630" s="7" t="inlineStr"/>
    </row>
    <row r="3631">
      <c r="A3631" s="7" t="n">
        <v>3363</v>
      </c>
      <c r="B3631" s="12" t="inlineStr">
        <is>
          <t>7898161187103</t>
        </is>
      </c>
      <c r="C3631" s="7" t="inlineStr">
        <is>
          <t>PVV - COLIFLAX MULHER 10 UN - SACHES 20G</t>
        </is>
      </c>
      <c r="D3631" s="7" t="inlineStr">
        <is>
          <t>SIMILAR</t>
        </is>
      </c>
      <c r="E3631" s="7" t="inlineStr">
        <is>
          <t>C</t>
        </is>
      </c>
      <c r="F3631" s="13" t="n">
        <v>1</v>
      </c>
      <c r="G3631" s="13" t="n">
        <v>1</v>
      </c>
      <c r="H3631" s="8" t="n">
        <v>20.99</v>
      </c>
      <c r="I3631" s="8" t="n">
        <v>20.99</v>
      </c>
      <c r="J3631" s="8" t="n">
        <v>20.99</v>
      </c>
      <c r="K3631" s="8" t="n"/>
      <c r="L3631" s="8" t="n"/>
      <c r="M3631" s="8" t="n"/>
      <c r="N3631" s="8" t="n"/>
      <c r="O3631" s="8" t="n"/>
      <c r="P3631" s="8" t="n"/>
      <c r="Q3631" s="8" t="n"/>
      <c r="R3631" s="8" t="n"/>
      <c r="S3631" s="8" t="n"/>
      <c r="T3631" s="7" t="inlineStr">
        <is>
          <t>SEM COTAÇÃO</t>
        </is>
      </c>
      <c r="U3631" s="8" t="n"/>
      <c r="V3631" s="14" t="n"/>
      <c r="W3631" s="14" t="n"/>
      <c r="X3631" s="7" t="inlineStr"/>
      <c r="Y3631" s="7" t="inlineStr"/>
    </row>
    <row r="3632">
      <c r="A3632" s="7" t="n">
        <v>649771</v>
      </c>
      <c r="B3632" s="12" t="inlineStr">
        <is>
          <t>7896676440492</t>
        </is>
      </c>
      <c r="C3632" s="7" t="inlineStr">
        <is>
          <t>PVV - CUTISANOL BABY CREME 120G-DEMAIS PROD</t>
        </is>
      </c>
      <c r="D3632" s="7" t="inlineStr">
        <is>
          <t>RX - DERMO</t>
        </is>
      </c>
      <c r="E3632" s="7" t="inlineStr">
        <is>
          <t>C</t>
        </is>
      </c>
      <c r="F3632" s="13" t="n">
        <v>1</v>
      </c>
      <c r="G3632" s="13" t="n">
        <v>1</v>
      </c>
      <c r="H3632" s="8" t="n">
        <v>33.0067</v>
      </c>
      <c r="I3632" s="8" t="n">
        <v>33.0067</v>
      </c>
      <c r="J3632" s="8" t="n">
        <v>33.0067</v>
      </c>
      <c r="K3632" s="8" t="n"/>
      <c r="L3632" s="8" t="n"/>
      <c r="M3632" s="15" t="n">
        <v>41.78</v>
      </c>
      <c r="N3632" s="8" t="n"/>
      <c r="O3632" s="8" t="n"/>
      <c r="P3632" s="8" t="n">
        <v>49.27</v>
      </c>
      <c r="Q3632" s="8" t="n"/>
      <c r="R3632" s="8" t="n"/>
      <c r="S3632" s="8" t="n"/>
      <c r="T3632" s="7" t="inlineStr">
        <is>
          <t>EPAN</t>
        </is>
      </c>
      <c r="U3632" s="8" t="n">
        <v>41.78</v>
      </c>
      <c r="V3632" s="14">
        <f>U3632/J3632-1</f>
        <v/>
      </c>
      <c r="W3632" s="14">
        <f>U3632/H3632-1</f>
        <v/>
      </c>
      <c r="X3632" s="16" t="inlineStr">
        <is>
          <t>ACIMA +26.6%</t>
        </is>
      </c>
      <c r="Y3632" s="7" t="inlineStr"/>
    </row>
    <row r="3633">
      <c r="A3633" s="7" t="n">
        <v>514881</v>
      </c>
      <c r="B3633" s="12" t="inlineStr">
        <is>
          <t>7891317010478</t>
        </is>
      </c>
      <c r="C3633" s="7" t="inlineStr">
        <is>
          <t>PVV - EBASTEL 10MG CX 30 COMP REV</t>
        </is>
      </c>
      <c r="D3633" s="7" t="inlineStr">
        <is>
          <t>RX</t>
        </is>
      </c>
      <c r="E3633" s="7" t="inlineStr">
        <is>
          <t>B</t>
        </is>
      </c>
      <c r="F3633" s="13" t="n">
        <v>1</v>
      </c>
      <c r="G3633" s="13" t="n">
        <v>1</v>
      </c>
      <c r="H3633" s="8" t="n">
        <v>51.51</v>
      </c>
      <c r="I3633" s="8" t="n">
        <v>51.51</v>
      </c>
      <c r="J3633" s="8" t="n">
        <v>51.51</v>
      </c>
      <c r="K3633" s="8" t="n"/>
      <c r="L3633" s="8" t="n"/>
      <c r="M3633" s="8" t="n"/>
      <c r="N3633" s="8" t="n"/>
      <c r="O3633" s="8" t="n"/>
      <c r="P3633" s="8" t="n"/>
      <c r="Q3633" s="8" t="n"/>
      <c r="R3633" s="8" t="n"/>
      <c r="S3633" s="8" t="n"/>
      <c r="T3633" s="7" t="inlineStr">
        <is>
          <t>SEM COTAÇÃO</t>
        </is>
      </c>
      <c r="U3633" s="8" t="n"/>
      <c r="V3633" s="14" t="n"/>
      <c r="W3633" s="14" t="n"/>
      <c r="X3633" s="7" t="inlineStr"/>
      <c r="Y3633" s="7" t="inlineStr"/>
    </row>
    <row r="3634">
      <c r="A3634" s="7" t="n">
        <v>651791</v>
      </c>
      <c r="B3634" s="12" t="inlineStr">
        <is>
          <t>7899706239431</t>
        </is>
      </c>
      <c r="C3634" s="7" t="inlineStr">
        <is>
          <t>PVV - ESM COLORAMA LARANJA NERVOSO 6UN-DEMAIS PROD</t>
        </is>
      </c>
      <c r="D3634" s="7" t="inlineStr">
        <is>
          <t>PERF/COSME</t>
        </is>
      </c>
      <c r="E3634" s="7" t="inlineStr">
        <is>
          <t>C</t>
        </is>
      </c>
      <c r="F3634" s="13" t="n">
        <v>1</v>
      </c>
      <c r="G3634" s="13" t="n">
        <v>1</v>
      </c>
      <c r="H3634" s="8" t="n">
        <v>5.0917</v>
      </c>
      <c r="I3634" s="8" t="n">
        <v>5.0917</v>
      </c>
      <c r="J3634" s="8" t="n">
        <v>5.0917</v>
      </c>
      <c r="K3634" s="8" t="n"/>
      <c r="L3634" s="8" t="n"/>
      <c r="M3634" s="8" t="n"/>
      <c r="N3634" s="8" t="n"/>
      <c r="O3634" s="8" t="n"/>
      <c r="P3634" s="8" t="n"/>
      <c r="Q3634" s="8" t="n"/>
      <c r="R3634" s="8" t="n"/>
      <c r="S3634" s="8" t="n"/>
      <c r="T3634" s="7" t="inlineStr">
        <is>
          <t>SEM COTAÇÃO</t>
        </is>
      </c>
      <c r="U3634" s="8" t="n"/>
      <c r="V3634" s="14" t="n"/>
      <c r="W3634" s="14" t="n"/>
      <c r="X3634" s="7" t="inlineStr"/>
      <c r="Y3634" s="7" t="inlineStr"/>
    </row>
    <row r="3635">
      <c r="A3635" s="7" t="n">
        <v>234601</v>
      </c>
      <c r="B3635" s="12" t="inlineStr">
        <is>
          <t>7896206425906</t>
        </is>
      </c>
      <c r="C3635" s="7" t="inlineStr">
        <is>
          <t>PVV - ESOMEPRAZOL MAGNESIO TRIIDRATADO 40MG CX 28 COMP REV</t>
        </is>
      </c>
      <c r="D3635" s="7" t="inlineStr">
        <is>
          <t>GENERICO</t>
        </is>
      </c>
      <c r="E3635" s="7" t="inlineStr">
        <is>
          <t>C</t>
        </is>
      </c>
      <c r="F3635" s="13" t="n">
        <v>3</v>
      </c>
      <c r="G3635" s="13" t="n">
        <v>3</v>
      </c>
      <c r="H3635" s="8" t="n">
        <v>37.7017</v>
      </c>
      <c r="I3635" s="8" t="n">
        <v>37.7017</v>
      </c>
      <c r="J3635" s="8" t="n">
        <v>37.7017</v>
      </c>
      <c r="K3635" s="8" t="n"/>
      <c r="L3635" s="8" t="n"/>
      <c r="M3635" s="8" t="n"/>
      <c r="N3635" s="8" t="n"/>
      <c r="O3635" s="8" t="n"/>
      <c r="P3635" s="15" t="n">
        <v>123.32</v>
      </c>
      <c r="Q3635" s="8" t="n"/>
      <c r="R3635" s="8" t="n"/>
      <c r="S3635" s="8" t="n"/>
      <c r="T3635" s="7" t="inlineStr">
        <is>
          <t>NAZARIA</t>
        </is>
      </c>
      <c r="U3635" s="8" t="n">
        <v>123.32</v>
      </c>
      <c r="V3635" s="14">
        <f>U3635/J3635-1</f>
        <v/>
      </c>
      <c r="W3635" s="14">
        <f>U3635/H3635-1</f>
        <v/>
      </c>
      <c r="X3635" s="16" t="inlineStr">
        <is>
          <t>ACIMA +227.1%</t>
        </is>
      </c>
      <c r="Y3635" s="7" t="inlineStr">
        <is>
          <t>NAZARIA: conferir emb.</t>
        </is>
      </c>
    </row>
    <row r="3636">
      <c r="A3636" s="7" t="n">
        <v>654181</v>
      </c>
      <c r="B3636" s="12" t="inlineStr">
        <is>
          <t>7896112409625</t>
        </is>
      </c>
      <c r="C3636" s="7" t="inlineStr">
        <is>
          <t>PVV - FLY GOTAS 150MG LAR 15ML</t>
        </is>
      </c>
      <c r="D3636" s="7" t="inlineStr">
        <is>
          <t>RX - OTC</t>
        </is>
      </c>
      <c r="E3636" s="7" t="inlineStr">
        <is>
          <t>C</t>
        </is>
      </c>
      <c r="F3636" s="13" t="n">
        <v>1</v>
      </c>
      <c r="G3636" s="13" t="n">
        <v>1</v>
      </c>
      <c r="H3636" s="8" t="n">
        <v>28.935</v>
      </c>
      <c r="I3636" s="8" t="n">
        <v>28.935</v>
      </c>
      <c r="J3636" s="8" t="n">
        <v>28.935</v>
      </c>
      <c r="K3636" s="8" t="n"/>
      <c r="L3636" s="8" t="n"/>
      <c r="M3636" s="15" t="n">
        <v>18.32</v>
      </c>
      <c r="N3636" s="8" t="n"/>
      <c r="O3636" s="8" t="n"/>
      <c r="P3636" s="8" t="n">
        <v>20.3252</v>
      </c>
      <c r="Q3636" s="8" t="n"/>
      <c r="R3636" s="8" t="n"/>
      <c r="S3636" s="8" t="n"/>
      <c r="T3636" s="7" t="inlineStr">
        <is>
          <t>EPAN</t>
        </is>
      </c>
      <c r="U3636" s="8" t="n">
        <v>18.32</v>
      </c>
      <c r="V3636" s="14">
        <f>U3636/J3636-1</f>
        <v/>
      </c>
      <c r="W3636" s="14">
        <f>U3636/H3636-1</f>
        <v/>
      </c>
      <c r="X3636" s="17" t="inlineStr">
        <is>
          <t>OK (≤ menor hist.)</t>
        </is>
      </c>
      <c r="Y3636" s="7" t="inlineStr"/>
    </row>
    <row r="3637">
      <c r="A3637" s="7" t="n">
        <v>662901</v>
      </c>
      <c r="B3637" s="12" t="inlineStr">
        <is>
          <t>7897947619548</t>
        </is>
      </c>
      <c r="C3637" s="7" t="inlineStr">
        <is>
          <t>PVV - LAVITAN OMEGA COMPLEX CAP GEL PT X 30 SF</t>
        </is>
      </c>
      <c r="D3637" s="7" t="inlineStr">
        <is>
          <t>SIMILAR</t>
        </is>
      </c>
      <c r="E3637" s="7" t="inlineStr">
        <is>
          <t>C</t>
        </is>
      </c>
      <c r="F3637" s="13" t="n">
        <v>1</v>
      </c>
      <c r="G3637" s="13" t="n">
        <v>1</v>
      </c>
      <c r="H3637" s="8" t="n"/>
      <c r="I3637" s="8" t="n"/>
      <c r="J3637" s="8" t="n"/>
      <c r="K3637" s="8" t="n"/>
      <c r="L3637" s="8" t="n"/>
      <c r="M3637" s="8" t="n"/>
      <c r="N3637" s="8" t="n"/>
      <c r="O3637" s="8" t="n"/>
      <c r="P3637" s="15" t="n">
        <v>50.46</v>
      </c>
      <c r="Q3637" s="8" t="n"/>
      <c r="R3637" s="8" t="n"/>
      <c r="S3637" s="8" t="n"/>
      <c r="T3637" s="7" t="inlineStr">
        <is>
          <t>NAZARIA</t>
        </is>
      </c>
      <c r="U3637" s="8" t="n">
        <v>50.46</v>
      </c>
      <c r="V3637" s="14" t="n"/>
      <c r="W3637" s="14" t="n"/>
      <c r="X3637" s="7" t="inlineStr">
        <is>
          <t>SEM HISTÓRICO</t>
        </is>
      </c>
      <c r="Y3637" s="7" t="inlineStr"/>
    </row>
    <row r="3638">
      <c r="A3638" s="7" t="n">
        <v>428321</v>
      </c>
      <c r="B3638" s="12" t="inlineStr">
        <is>
          <t>7895296096034</t>
        </is>
      </c>
      <c r="C3638" s="7" t="inlineStr">
        <is>
          <t>PVV - ROSUVASTATINA CALCICA 10MG CX 30 COMP REV</t>
        </is>
      </c>
      <c r="D3638" s="7" t="inlineStr">
        <is>
          <t>GENERICO</t>
        </is>
      </c>
      <c r="E3638" s="7" t="inlineStr">
        <is>
          <t>B</t>
        </is>
      </c>
      <c r="F3638" s="13" t="n">
        <v>3</v>
      </c>
      <c r="G3638" s="13" t="n">
        <v>3</v>
      </c>
      <c r="H3638" s="8" t="n">
        <v>7.9862</v>
      </c>
      <c r="I3638" s="8" t="n">
        <v>7.9862</v>
      </c>
      <c r="J3638" s="8" t="n">
        <v>7.9862</v>
      </c>
      <c r="K3638" s="8" t="n"/>
      <c r="L3638" s="8" t="n">
        <v>6.79</v>
      </c>
      <c r="M3638" s="8" t="n"/>
      <c r="N3638" s="8" t="n"/>
      <c r="O3638" s="8" t="n"/>
      <c r="P3638" s="8" t="n"/>
      <c r="Q3638" s="15" t="n">
        <v>6.69</v>
      </c>
      <c r="R3638" s="8" t="n"/>
      <c r="S3638" s="8" t="n"/>
      <c r="T3638" s="7" t="inlineStr">
        <is>
          <t>MEDCENTRO</t>
        </is>
      </c>
      <c r="U3638" s="8" t="n">
        <v>6.69</v>
      </c>
      <c r="V3638" s="14">
        <f>U3638/J3638-1</f>
        <v/>
      </c>
      <c r="W3638" s="14">
        <f>U3638/H3638-1</f>
        <v/>
      </c>
      <c r="X3638" s="17" t="inlineStr">
        <is>
          <t>OK (≤ menor hist.)</t>
        </is>
      </c>
      <c r="Y3638" s="7" t="inlineStr"/>
    </row>
    <row r="3639">
      <c r="A3639" s="7" t="n">
        <v>161321</v>
      </c>
      <c r="B3639" s="12" t="inlineStr">
        <is>
          <t>7898014560176</t>
        </is>
      </c>
      <c r="C3639" s="7" t="inlineStr">
        <is>
          <t>PVV - SORINAN SOL NAS CT FR PLAS OPC X 30 ML</t>
        </is>
      </c>
      <c r="D3639" s="7" t="inlineStr">
        <is>
          <t>SIMILAR</t>
        </is>
      </c>
      <c r="E3639" s="7" t="inlineStr">
        <is>
          <t>B</t>
        </is>
      </c>
      <c r="F3639" s="13" t="n">
        <v>15</v>
      </c>
      <c r="G3639" s="13" t="n">
        <v>15</v>
      </c>
      <c r="H3639" s="8" t="n">
        <v>0.99</v>
      </c>
      <c r="I3639" s="8" t="n">
        <v>0.99</v>
      </c>
      <c r="J3639" s="8" t="n">
        <v>0.9899999999999999</v>
      </c>
      <c r="K3639" s="8" t="n"/>
      <c r="L3639" s="8" t="n"/>
      <c r="M3639" s="8" t="n"/>
      <c r="N3639" s="8" t="n"/>
      <c r="O3639" s="8" t="n"/>
      <c r="P3639" s="8" t="n"/>
      <c r="Q3639" s="8" t="n"/>
      <c r="R3639" s="8" t="n"/>
      <c r="S3639" s="8" t="n"/>
      <c r="T3639" s="7" t="inlineStr">
        <is>
          <t>SEM COTAÇÃO</t>
        </is>
      </c>
      <c r="U3639" s="8" t="n"/>
      <c r="V3639" s="14" t="n"/>
      <c r="W3639" s="14" t="n"/>
      <c r="X3639" s="7" t="inlineStr"/>
      <c r="Y3639" s="7" t="inlineStr"/>
    </row>
    <row r="3640">
      <c r="A3640" s="7" t="n">
        <v>659171</v>
      </c>
      <c r="B3640" s="12" t="inlineStr">
        <is>
          <t>7898917295946</t>
        </is>
      </c>
      <c r="C3640" s="7" t="inlineStr">
        <is>
          <t>PVV - TAURATO DE MAGNESIO 620MG 60 CAPS CX/48 - UNILIFE</t>
        </is>
      </c>
      <c r="D3640" s="7" t="inlineStr">
        <is>
          <t>VITAMINA E SIMILARES</t>
        </is>
      </c>
      <c r="E3640" s="7" t="inlineStr">
        <is>
          <t>C</t>
        </is>
      </c>
      <c r="F3640" s="13" t="n">
        <v>1</v>
      </c>
      <c r="G3640" s="13" t="n">
        <v>1</v>
      </c>
      <c r="H3640" s="8" t="n">
        <v>35.28</v>
      </c>
      <c r="I3640" s="8" t="n">
        <v>35.28</v>
      </c>
      <c r="J3640" s="8" t="n">
        <v>35.28</v>
      </c>
      <c r="K3640" s="8" t="n"/>
      <c r="L3640" s="8" t="n"/>
      <c r="M3640" s="8" t="n"/>
      <c r="N3640" s="8" t="n"/>
      <c r="O3640" s="8" t="n"/>
      <c r="P3640" s="8" t="n"/>
      <c r="Q3640" s="8" t="n"/>
      <c r="R3640" s="8" t="n"/>
      <c r="S3640" s="8" t="n"/>
      <c r="T3640" s="7" t="inlineStr">
        <is>
          <t>SEM COTAÇÃO</t>
        </is>
      </c>
      <c r="U3640" s="8" t="n"/>
      <c r="V3640" s="14" t="n"/>
      <c r="W3640" s="14" t="n"/>
      <c r="X3640" s="7" t="inlineStr"/>
      <c r="Y3640" s="7" t="inlineStr"/>
    </row>
    <row r="3641">
      <c r="A3641" s="7" t="n">
        <v>578761</v>
      </c>
      <c r="B3641" s="12" t="inlineStr"/>
      <c r="C3641" s="7" t="inlineStr">
        <is>
          <t>PVV - TERMOMETRO DIGITAL CLINICO TH1027</t>
        </is>
      </c>
      <c r="D3641" s="7" t="inlineStr">
        <is>
          <t>RX - OTC</t>
        </is>
      </c>
      <c r="E3641" s="7" t="inlineStr">
        <is>
          <t>A</t>
        </is>
      </c>
      <c r="F3641" s="13" t="n">
        <v>15</v>
      </c>
      <c r="G3641" s="13" t="n">
        <v>15</v>
      </c>
      <c r="H3641" s="8" t="n">
        <v>8.082000000000001</v>
      </c>
      <c r="I3641" s="8" t="n">
        <v>8.08</v>
      </c>
      <c r="J3641" s="8" t="n">
        <v>8.08</v>
      </c>
      <c r="K3641" s="8" t="n"/>
      <c r="L3641" s="8" t="n"/>
      <c r="M3641" s="8" t="n"/>
      <c r="N3641" s="8" t="n"/>
      <c r="O3641" s="8" t="n"/>
      <c r="P3641" s="8" t="n"/>
      <c r="Q3641" s="8" t="n"/>
      <c r="R3641" s="8" t="n"/>
      <c r="S3641" s="8" t="n"/>
      <c r="T3641" s="7" t="inlineStr">
        <is>
          <t>SEM COTAÇÃO</t>
        </is>
      </c>
      <c r="U3641" s="8" t="n"/>
      <c r="V3641" s="14" t="n"/>
      <c r="W3641" s="14" t="n"/>
      <c r="X3641" s="7" t="inlineStr"/>
      <c r="Y3641" s="7" t="inlineStr"/>
    </row>
    <row r="3642">
      <c r="A3642" s="7" t="n">
        <v>647251</v>
      </c>
      <c r="B3642" s="12" t="inlineStr">
        <is>
          <t>7896023716430</t>
        </is>
      </c>
      <c r="C3642" s="7" t="inlineStr">
        <is>
          <t>PVV - VITAMINA C 1G C/30 CPR</t>
        </is>
      </c>
      <c r="D3642" s="7" t="inlineStr">
        <is>
          <t>VITAMINA E SIMILARES</t>
        </is>
      </c>
      <c r="E3642" s="7" t="inlineStr">
        <is>
          <t>C</t>
        </is>
      </c>
      <c r="F3642" s="13" t="n">
        <v>1</v>
      </c>
      <c r="G3642" s="13" t="n">
        <v>1</v>
      </c>
      <c r="H3642" s="8" t="n">
        <v>24.6</v>
      </c>
      <c r="I3642" s="8" t="n">
        <v>24.6</v>
      </c>
      <c r="J3642" s="8" t="n">
        <v>24.6</v>
      </c>
      <c r="K3642" s="8" t="n"/>
      <c r="L3642" s="8" t="n"/>
      <c r="M3642" s="8" t="n"/>
      <c r="N3642" s="15" t="n">
        <v>32.49</v>
      </c>
      <c r="O3642" s="8" t="n"/>
      <c r="P3642" s="8" t="n"/>
      <c r="Q3642" s="8" t="n"/>
      <c r="R3642" s="8" t="n"/>
      <c r="S3642" s="8" t="n"/>
      <c r="T3642" s="7" t="inlineStr">
        <is>
          <t>CENTROFARMA</t>
        </is>
      </c>
      <c r="U3642" s="8" t="n">
        <v>32.49</v>
      </c>
      <c r="V3642" s="14">
        <f>U3642/J3642-1</f>
        <v/>
      </c>
      <c r="W3642" s="14">
        <f>U3642/H3642-1</f>
        <v/>
      </c>
      <c r="X3642" s="16" t="inlineStr">
        <is>
          <t>ACIMA +32.1%</t>
        </is>
      </c>
      <c r="Y3642" s="7" t="inlineStr"/>
    </row>
    <row r="3643">
      <c r="A3643" s="7" t="n">
        <v>146041</v>
      </c>
      <c r="B3643" s="12" t="inlineStr"/>
      <c r="C3643" s="7" t="inlineStr">
        <is>
          <t>PYRIDIUM 100MG CX 25 COMP REV</t>
        </is>
      </c>
      <c r="D3643" s="7" t="inlineStr">
        <is>
          <t>RX - OTC</t>
        </is>
      </c>
      <c r="E3643" s="7" t="inlineStr">
        <is>
          <t>A</t>
        </is>
      </c>
      <c r="F3643" s="13" t="n">
        <v>5</v>
      </c>
      <c r="G3643" s="13" t="n">
        <v>5</v>
      </c>
      <c r="H3643" s="8" t="n">
        <v>20.171</v>
      </c>
      <c r="I3643" s="8" t="n">
        <v>15.5345</v>
      </c>
      <c r="J3643" s="8" t="n">
        <v>17.9174</v>
      </c>
      <c r="K3643" s="8" t="n"/>
      <c r="L3643" s="8" t="n"/>
      <c r="M3643" s="8" t="n"/>
      <c r="N3643" s="8" t="n"/>
      <c r="O3643" s="8" t="n"/>
      <c r="P3643" s="8" t="n"/>
      <c r="Q3643" s="8" t="n"/>
      <c r="R3643" s="8" t="n"/>
      <c r="S3643" s="8" t="n"/>
      <c r="T3643" s="7" t="inlineStr">
        <is>
          <t>SEM COTAÇÃO</t>
        </is>
      </c>
      <c r="U3643" s="8" t="n"/>
      <c r="V3643" s="14" t="n"/>
      <c r="W3643" s="14" t="n"/>
      <c r="X3643" s="7" t="inlineStr"/>
      <c r="Y3643" s="7" t="inlineStr"/>
    </row>
    <row r="3644">
      <c r="A3644" s="7" t="n">
        <v>146061</v>
      </c>
      <c r="B3644" s="12" t="inlineStr">
        <is>
          <t>7892953001387</t>
        </is>
      </c>
      <c r="C3644" s="7" t="inlineStr">
        <is>
          <t>PYRIDIUM 200MG CX 18 COMP REV</t>
        </is>
      </c>
      <c r="D3644" s="7" t="inlineStr">
        <is>
          <t>RX - OTC</t>
        </is>
      </c>
      <c r="E3644" s="7" t="inlineStr">
        <is>
          <t>A</t>
        </is>
      </c>
      <c r="F3644" s="13" t="n">
        <v>11</v>
      </c>
      <c r="G3644" s="13" t="n">
        <v>11</v>
      </c>
      <c r="H3644" s="8" t="n">
        <v>24.21</v>
      </c>
      <c r="I3644" s="8" t="n">
        <v>19.4555</v>
      </c>
      <c r="J3644" s="8" t="n">
        <v>21.7796</v>
      </c>
      <c r="K3644" s="8" t="n"/>
      <c r="L3644" s="8" t="n"/>
      <c r="M3644" s="8" t="n">
        <v>25.56</v>
      </c>
      <c r="N3644" s="8" t="n"/>
      <c r="O3644" s="15" t="n">
        <v>25.46</v>
      </c>
      <c r="P3644" s="8" t="n">
        <v>26.5482</v>
      </c>
      <c r="Q3644" s="8" t="n"/>
      <c r="R3644" s="8" t="n"/>
      <c r="S3644" s="8" t="n"/>
      <c r="T3644" s="7" t="inlineStr">
        <is>
          <t>TAPAJOS</t>
        </is>
      </c>
      <c r="U3644" s="8" t="n">
        <v>25.46</v>
      </c>
      <c r="V3644" s="14">
        <f>U3644/J3644-1</f>
        <v/>
      </c>
      <c r="W3644" s="14">
        <f>U3644/H3644-1</f>
        <v/>
      </c>
      <c r="X3644" s="16" t="inlineStr">
        <is>
          <t>ACIMA +5.2%</t>
        </is>
      </c>
      <c r="Y3644" s="7" t="inlineStr"/>
    </row>
    <row r="3645">
      <c r="A3645" s="7" t="n">
        <v>485721</v>
      </c>
      <c r="B3645" s="12" t="inlineStr">
        <is>
          <t>7908020502722</t>
        </is>
      </c>
      <c r="C3645" s="7" t="inlineStr">
        <is>
          <t>PYVERM 100MG CX 6 COMP REV</t>
        </is>
      </c>
      <c r="D3645" s="7" t="inlineStr">
        <is>
          <t>RX</t>
        </is>
      </c>
      <c r="E3645" s="7" t="inlineStr">
        <is>
          <t>C</t>
        </is>
      </c>
      <c r="F3645" s="13" t="n">
        <v>1</v>
      </c>
      <c r="G3645" s="13" t="n">
        <v>1</v>
      </c>
      <c r="H3645" s="8" t="n">
        <v>24.08</v>
      </c>
      <c r="I3645" s="8" t="n">
        <v>24.08</v>
      </c>
      <c r="J3645" s="8" t="n">
        <v>24.08</v>
      </c>
      <c r="K3645" s="8" t="n"/>
      <c r="L3645" s="8" t="n"/>
      <c r="M3645" s="8" t="n"/>
      <c r="N3645" s="8" t="n"/>
      <c r="O3645" s="8" t="n"/>
      <c r="P3645" s="8" t="n"/>
      <c r="Q3645" s="8" t="n"/>
      <c r="R3645" s="8" t="n"/>
      <c r="S3645" s="8" t="n"/>
      <c r="T3645" s="7" t="inlineStr">
        <is>
          <t>SEM COTAÇÃO</t>
        </is>
      </c>
      <c r="U3645" s="8" t="n"/>
      <c r="V3645" s="14" t="n"/>
      <c r="W3645" s="14" t="n"/>
      <c r="X3645" s="7" t="inlineStr"/>
      <c r="Y3645" s="7" t="inlineStr"/>
    </row>
    <row r="3646">
      <c r="A3646" s="7" t="n">
        <v>658161</v>
      </c>
      <c r="B3646" s="12" t="inlineStr">
        <is>
          <t>7898638348730</t>
        </is>
      </c>
      <c r="C3646" s="7" t="inlineStr">
        <is>
          <t>Q+VITTA AZ 500MG 60CP</t>
        </is>
      </c>
      <c r="D3646" s="7" t="inlineStr">
        <is>
          <t>RX</t>
        </is>
      </c>
      <c r="E3646" s="7" t="inlineStr">
        <is>
          <t>C</t>
        </is>
      </c>
      <c r="F3646" s="13" t="n">
        <v>1</v>
      </c>
      <c r="G3646" s="13" t="n">
        <v>1</v>
      </c>
      <c r="H3646" s="8" t="n">
        <v>13.59</v>
      </c>
      <c r="I3646" s="8" t="n">
        <v>13.59</v>
      </c>
      <c r="J3646" s="8" t="n">
        <v>13.59</v>
      </c>
      <c r="K3646" s="8" t="n"/>
      <c r="L3646" s="8" t="n"/>
      <c r="M3646" s="8" t="n"/>
      <c r="N3646" s="8" t="n"/>
      <c r="O3646" s="8" t="n"/>
      <c r="P3646" s="8" t="n"/>
      <c r="Q3646" s="8" t="n"/>
      <c r="R3646" s="8" t="n"/>
      <c r="S3646" s="8" t="n"/>
      <c r="T3646" s="7" t="inlineStr">
        <is>
          <t>SEM COTAÇÃO</t>
        </is>
      </c>
      <c r="U3646" s="8" t="n"/>
      <c r="V3646" s="14" t="n"/>
      <c r="W3646" s="14" t="n"/>
      <c r="X3646" s="7" t="inlineStr"/>
      <c r="Y3646" s="7" t="inlineStr"/>
    </row>
    <row r="3647">
      <c r="A3647" s="7" t="n">
        <v>657991</v>
      </c>
      <c r="B3647" s="12" t="inlineStr">
        <is>
          <t>7898638348747</t>
        </is>
      </c>
      <c r="C3647" s="7" t="inlineStr">
        <is>
          <t>Q+VITTA AZ HOMEM 500MG 60CPS</t>
        </is>
      </c>
      <c r="D3647" s="7" t="inlineStr">
        <is>
          <t>RX</t>
        </is>
      </c>
      <c r="E3647" s="7" t="inlineStr">
        <is>
          <t>C</t>
        </is>
      </c>
      <c r="F3647" s="13" t="n">
        <v>2</v>
      </c>
      <c r="G3647" s="13" t="n">
        <v>2</v>
      </c>
      <c r="H3647" s="8" t="n">
        <v>14.9867</v>
      </c>
      <c r="I3647" s="8" t="n">
        <v>14.9867</v>
      </c>
      <c r="J3647" s="8" t="n">
        <v>14.9867</v>
      </c>
      <c r="K3647" s="8" t="n"/>
      <c r="L3647" s="8" t="n"/>
      <c r="M3647" s="8" t="n"/>
      <c r="N3647" s="8" t="n"/>
      <c r="O3647" s="8" t="n"/>
      <c r="P3647" s="8" t="n"/>
      <c r="Q3647" s="8" t="n"/>
      <c r="R3647" s="8" t="n"/>
      <c r="S3647" s="8" t="n"/>
      <c r="T3647" s="7" t="inlineStr">
        <is>
          <t>SEM COTAÇÃO</t>
        </is>
      </c>
      <c r="U3647" s="8" t="n"/>
      <c r="V3647" s="14" t="n"/>
      <c r="W3647" s="14" t="n"/>
      <c r="X3647" s="7" t="inlineStr"/>
      <c r="Y3647" s="7" t="inlineStr"/>
    </row>
    <row r="3648">
      <c r="A3648" s="7" t="n">
        <v>650281</v>
      </c>
      <c r="B3648" s="12" t="inlineStr">
        <is>
          <t>7898638348754</t>
        </is>
      </c>
      <c r="C3648" s="7" t="inlineStr">
        <is>
          <t>Q+VITTA AZ MULHER 500MG 60CPS</t>
        </is>
      </c>
      <c r="D3648" s="7" t="inlineStr">
        <is>
          <t>RX</t>
        </is>
      </c>
      <c r="E3648" s="7" t="inlineStr">
        <is>
          <t>C</t>
        </is>
      </c>
      <c r="F3648" s="13" t="n">
        <v>2</v>
      </c>
      <c r="G3648" s="13" t="n">
        <v>2</v>
      </c>
      <c r="H3648" s="8" t="n">
        <v>14.9867</v>
      </c>
      <c r="I3648" s="8" t="n">
        <v>14.9867</v>
      </c>
      <c r="J3648" s="8" t="n">
        <v>14.9867</v>
      </c>
      <c r="K3648" s="8" t="n"/>
      <c r="L3648" s="8" t="n"/>
      <c r="M3648" s="8" t="n"/>
      <c r="N3648" s="8" t="n"/>
      <c r="O3648" s="8" t="n"/>
      <c r="P3648" s="8" t="n"/>
      <c r="Q3648" s="8" t="n"/>
      <c r="R3648" s="8" t="n"/>
      <c r="S3648" s="8" t="n"/>
      <c r="T3648" s="7" t="inlineStr">
        <is>
          <t>SEM COTAÇÃO</t>
        </is>
      </c>
      <c r="U3648" s="8" t="n"/>
      <c r="V3648" s="14" t="n"/>
      <c r="W3648" s="14" t="n"/>
      <c r="X3648" s="7" t="inlineStr"/>
      <c r="Y3648" s="7" t="inlineStr"/>
    </row>
    <row r="3649">
      <c r="A3649" s="7" t="n">
        <v>657981</v>
      </c>
      <c r="B3649" s="12" t="inlineStr">
        <is>
          <t>7898638348785</t>
        </is>
      </c>
      <c r="C3649" s="7" t="inlineStr">
        <is>
          <t>Q+VITTA CALCIO MDK 500MG 60CAPS</t>
        </is>
      </c>
      <c r="D3649" s="7" t="inlineStr">
        <is>
          <t>RX</t>
        </is>
      </c>
      <c r="E3649" s="7" t="inlineStr">
        <is>
          <t>C</t>
        </is>
      </c>
      <c r="F3649" s="13" t="n">
        <v>2</v>
      </c>
      <c r="G3649" s="13" t="n">
        <v>2</v>
      </c>
      <c r="H3649" s="8" t="n">
        <v>21.1917</v>
      </c>
      <c r="I3649" s="8" t="n">
        <v>21.1917</v>
      </c>
      <c r="J3649" s="8" t="n">
        <v>21.1917</v>
      </c>
      <c r="K3649" s="8" t="n"/>
      <c r="L3649" s="8" t="n"/>
      <c r="M3649" s="8" t="n"/>
      <c r="N3649" s="8" t="n"/>
      <c r="O3649" s="8" t="n"/>
      <c r="P3649" s="8" t="n"/>
      <c r="Q3649" s="8" t="n"/>
      <c r="R3649" s="8" t="n"/>
      <c r="S3649" s="8" t="n"/>
      <c r="T3649" s="7" t="inlineStr">
        <is>
          <t>SEM COTAÇÃO</t>
        </is>
      </c>
      <c r="U3649" s="8" t="n"/>
      <c r="V3649" s="14" t="n"/>
      <c r="W3649" s="14" t="n"/>
      <c r="X3649" s="7" t="inlineStr"/>
      <c r="Y3649" s="7" t="inlineStr"/>
    </row>
    <row r="3650">
      <c r="A3650" s="7" t="n">
        <v>622411</v>
      </c>
      <c r="B3650" s="12" t="inlineStr">
        <is>
          <t>7898582291854</t>
        </is>
      </c>
      <c r="C3650" s="7" t="inlineStr">
        <is>
          <t>QUEIMADOL POMADA 30G</t>
        </is>
      </c>
      <c r="D3650" s="7" t="inlineStr">
        <is>
          <t>SIMILAR</t>
        </is>
      </c>
      <c r="E3650" s="7" t="inlineStr">
        <is>
          <t>C</t>
        </is>
      </c>
      <c r="F3650" s="13" t="n">
        <v>3</v>
      </c>
      <c r="G3650" s="13" t="n">
        <v>3</v>
      </c>
      <c r="H3650" s="8" t="n">
        <v>11.52</v>
      </c>
      <c r="I3650" s="8" t="n">
        <v>11.52</v>
      </c>
      <c r="J3650" s="8" t="n">
        <v>11.52</v>
      </c>
      <c r="K3650" s="15" t="n">
        <v>12.34</v>
      </c>
      <c r="L3650" s="8" t="n"/>
      <c r="M3650" s="8" t="n"/>
      <c r="N3650" s="8" t="n">
        <v>13.09</v>
      </c>
      <c r="O3650" s="8" t="n"/>
      <c r="P3650" s="8" t="n"/>
      <c r="Q3650" s="8" t="n">
        <v>14.74</v>
      </c>
      <c r="R3650" s="8" t="n"/>
      <c r="S3650" s="8" t="n"/>
      <c r="T3650" s="7" t="inlineStr">
        <is>
          <t>DIMEC</t>
        </is>
      </c>
      <c r="U3650" s="8" t="n">
        <v>12.34</v>
      </c>
      <c r="V3650" s="14">
        <f>U3650/J3650-1</f>
        <v/>
      </c>
      <c r="W3650" s="14">
        <f>U3650/H3650-1</f>
        <v/>
      </c>
      <c r="X3650" s="16" t="inlineStr">
        <is>
          <t>ACIMA +7.1%</t>
        </is>
      </c>
      <c r="Y3650" s="7" t="inlineStr"/>
    </row>
    <row r="3651">
      <c r="A3651" s="7" t="n">
        <v>624651</v>
      </c>
      <c r="B3651" s="12" t="inlineStr">
        <is>
          <t>7898212282887</t>
        </is>
      </c>
      <c r="C3651" s="7" t="inlineStr">
        <is>
          <t>RAAVI ARGILA BRANCA 400G</t>
        </is>
      </c>
      <c r="D3651" s="7" t="inlineStr">
        <is>
          <t>PERF/COSME</t>
        </is>
      </c>
      <c r="E3651" s="7" t="inlineStr">
        <is>
          <t>C</t>
        </is>
      </c>
      <c r="F3651" s="13" t="n">
        <v>1</v>
      </c>
      <c r="G3651" s="13" t="n">
        <v>1</v>
      </c>
      <c r="H3651" s="8" t="n">
        <v>24.06</v>
      </c>
      <c r="I3651" s="8" t="n">
        <v>24.06</v>
      </c>
      <c r="J3651" s="8" t="n">
        <v>24.06</v>
      </c>
      <c r="K3651" s="8" t="n"/>
      <c r="L3651" s="8" t="n"/>
      <c r="M3651" s="8" t="n"/>
      <c r="N3651" s="8" t="n"/>
      <c r="O3651" s="8" t="n"/>
      <c r="P3651" s="8" t="n"/>
      <c r="Q3651" s="8" t="n"/>
      <c r="R3651" s="8" t="n"/>
      <c r="S3651" s="8" t="n"/>
      <c r="T3651" s="7" t="inlineStr">
        <is>
          <t>SEM COTAÇÃO</t>
        </is>
      </c>
      <c r="U3651" s="8" t="n"/>
      <c r="V3651" s="14" t="n"/>
      <c r="W3651" s="14" t="n"/>
      <c r="X3651" s="7" t="inlineStr"/>
      <c r="Y3651" s="7" t="inlineStr"/>
    </row>
    <row r="3652">
      <c r="A3652" s="7" t="n">
        <v>624671</v>
      </c>
      <c r="B3652" s="12" t="inlineStr">
        <is>
          <t>7898212282900</t>
        </is>
      </c>
      <c r="C3652" s="7" t="inlineStr">
        <is>
          <t>RAAVI ARGILA PRETA 400G - G-3-2</t>
        </is>
      </c>
      <c r="D3652" s="7" t="inlineStr">
        <is>
          <t>PERF/COSME</t>
        </is>
      </c>
      <c r="E3652" s="7" t="inlineStr">
        <is>
          <t>C</t>
        </is>
      </c>
      <c r="F3652" s="13" t="n">
        <v>1</v>
      </c>
      <c r="G3652" s="13" t="n">
        <v>1</v>
      </c>
      <c r="H3652" s="8" t="n">
        <v>24.06</v>
      </c>
      <c r="I3652" s="8" t="n">
        <v>24.06</v>
      </c>
      <c r="J3652" s="8" t="n">
        <v>24.06</v>
      </c>
      <c r="K3652" s="8" t="n"/>
      <c r="L3652" s="8" t="n"/>
      <c r="M3652" s="8" t="n"/>
      <c r="N3652" s="8" t="n"/>
      <c r="O3652" s="8" t="n"/>
      <c r="P3652" s="8" t="n"/>
      <c r="Q3652" s="8" t="n"/>
      <c r="R3652" s="8" t="n"/>
      <c r="S3652" s="8" t="n"/>
      <c r="T3652" s="7" t="inlineStr">
        <is>
          <t>SEM COTAÇÃO</t>
        </is>
      </c>
      <c r="U3652" s="8" t="n"/>
      <c r="V3652" s="14" t="n"/>
      <c r="W3652" s="14" t="n"/>
      <c r="X3652" s="7" t="inlineStr"/>
      <c r="Y3652" s="7" t="inlineStr"/>
    </row>
    <row r="3653">
      <c r="A3653" s="7" t="n">
        <v>624931</v>
      </c>
      <c r="B3653" s="12" t="inlineStr">
        <is>
          <t>7898212287783</t>
        </is>
      </c>
      <c r="C3653" s="7" t="inlineStr">
        <is>
          <t>RAAVI CREME ESFOLIANTE 200G</t>
        </is>
      </c>
      <c r="D3653" s="7" t="inlineStr">
        <is>
          <t>PERF/COSME</t>
        </is>
      </c>
      <c r="E3653" s="7" t="inlineStr">
        <is>
          <t>C</t>
        </is>
      </c>
      <c r="F3653" s="13" t="n">
        <v>1</v>
      </c>
      <c r="G3653" s="13" t="n">
        <v>1</v>
      </c>
      <c r="H3653" s="8" t="n">
        <v>21.82</v>
      </c>
      <c r="I3653" s="8" t="n">
        <v>21.82</v>
      </c>
      <c r="J3653" s="8" t="n">
        <v>21.82</v>
      </c>
      <c r="K3653" s="8" t="n"/>
      <c r="L3653" s="8" t="n"/>
      <c r="M3653" s="8" t="n"/>
      <c r="N3653" s="8" t="n"/>
      <c r="O3653" s="8" t="n"/>
      <c r="P3653" s="8" t="n"/>
      <c r="Q3653" s="8" t="n"/>
      <c r="R3653" s="8" t="n"/>
      <c r="S3653" s="8" t="n"/>
      <c r="T3653" s="7" t="inlineStr">
        <is>
          <t>SEM COTAÇÃO</t>
        </is>
      </c>
      <c r="U3653" s="8" t="n"/>
      <c r="V3653" s="14" t="n"/>
      <c r="W3653" s="14" t="n"/>
      <c r="X3653" s="7" t="inlineStr"/>
      <c r="Y3653" s="7" t="inlineStr"/>
    </row>
    <row r="3654">
      <c r="A3654" s="7" t="n">
        <v>2993</v>
      </c>
      <c r="B3654" s="12" t="inlineStr">
        <is>
          <t>7899620914193</t>
        </is>
      </c>
      <c r="C3654" s="7" t="inlineStr">
        <is>
          <t>RARIVIT D 2.000 UI C/30 CPR</t>
        </is>
      </c>
      <c r="D3654" s="7" t="inlineStr">
        <is>
          <t>SIMILAR</t>
        </is>
      </c>
      <c r="E3654" s="7" t="inlineStr">
        <is>
          <t>C</t>
        </is>
      </c>
      <c r="F3654" s="13" t="n">
        <v>2</v>
      </c>
      <c r="G3654" s="13" t="n">
        <v>2</v>
      </c>
      <c r="H3654" s="8" t="n">
        <v>5.19</v>
      </c>
      <c r="I3654" s="8" t="n">
        <v>5.19</v>
      </c>
      <c r="J3654" s="8" t="n">
        <v>5.19</v>
      </c>
      <c r="K3654" s="8" t="n"/>
      <c r="L3654" s="8" t="n"/>
      <c r="M3654" s="8" t="n"/>
      <c r="N3654" s="8" t="n"/>
      <c r="O3654" s="8" t="n"/>
      <c r="P3654" s="8" t="n"/>
      <c r="Q3654" s="8" t="n"/>
      <c r="R3654" s="8" t="n"/>
      <c r="S3654" s="8" t="n"/>
      <c r="T3654" s="7" t="inlineStr">
        <is>
          <t>SEM COTAÇÃO</t>
        </is>
      </c>
      <c r="U3654" s="8" t="n"/>
      <c r="V3654" s="14" t="n"/>
      <c r="W3654" s="14" t="n"/>
      <c r="X3654" s="7" t="inlineStr"/>
      <c r="Y3654" s="7" t="inlineStr"/>
    </row>
    <row r="3655">
      <c r="A3655" s="7" t="n">
        <v>652501</v>
      </c>
      <c r="B3655" s="12" t="inlineStr">
        <is>
          <t>7622210570086</t>
        </is>
      </c>
      <c r="C3655" s="7" t="inlineStr">
        <is>
          <t>RECH SONHO VALSA</t>
        </is>
      </c>
      <c r="D3655" s="7" t="inlineStr">
        <is>
          <t>CHOCOLATES</t>
        </is>
      </c>
      <c r="E3655" s="7" t="inlineStr">
        <is>
          <t>B</t>
        </is>
      </c>
      <c r="F3655" s="13" t="n">
        <v>23</v>
      </c>
      <c r="G3655" s="13" t="n">
        <v>23</v>
      </c>
      <c r="H3655" s="8" t="n">
        <v>2.09</v>
      </c>
      <c r="I3655" s="8" t="n">
        <v>2.09</v>
      </c>
      <c r="J3655" s="8" t="n">
        <v>2.09</v>
      </c>
      <c r="K3655" s="8" t="n"/>
      <c r="L3655" s="8" t="n"/>
      <c r="M3655" s="8" t="n"/>
      <c r="N3655" s="8" t="n"/>
      <c r="O3655" s="8" t="n"/>
      <c r="P3655" s="8" t="n"/>
      <c r="Q3655" s="8" t="n"/>
      <c r="R3655" s="8" t="n"/>
      <c r="S3655" s="8" t="n"/>
      <c r="T3655" s="7" t="inlineStr">
        <is>
          <t>SEM COTAÇÃO</t>
        </is>
      </c>
      <c r="U3655" s="8" t="n"/>
      <c r="V3655" s="14" t="n"/>
      <c r="W3655" s="14" t="n"/>
      <c r="X3655" s="7" t="inlineStr"/>
      <c r="Y3655" s="7" t="inlineStr"/>
    </row>
    <row r="3656">
      <c r="A3656" s="7" t="n">
        <v>804</v>
      </c>
      <c r="B3656" s="12" t="inlineStr">
        <is>
          <t>9002490209346</t>
        </is>
      </c>
      <c r="C3656" s="7" t="inlineStr">
        <is>
          <t>RED BULL 355ML</t>
        </is>
      </c>
      <c r="D3656" s="7" t="inlineStr">
        <is>
          <t>BEBIDAS GERAL</t>
        </is>
      </c>
      <c r="E3656" s="7" t="inlineStr">
        <is>
          <t>C</t>
        </is>
      </c>
      <c r="F3656" s="13" t="n">
        <v>2</v>
      </c>
      <c r="G3656" s="13" t="n">
        <v>2</v>
      </c>
      <c r="H3656" s="8" t="n">
        <v>10</v>
      </c>
      <c r="I3656" s="8" t="n">
        <v>10</v>
      </c>
      <c r="J3656" s="8" t="n">
        <v>10</v>
      </c>
      <c r="K3656" s="8" t="n"/>
      <c r="L3656" s="8" t="n"/>
      <c r="M3656" s="8" t="n"/>
      <c r="N3656" s="8" t="n"/>
      <c r="O3656" s="8" t="n"/>
      <c r="P3656" s="8" t="n"/>
      <c r="Q3656" s="8" t="n"/>
      <c r="R3656" s="8" t="n"/>
      <c r="S3656" s="8" t="n"/>
      <c r="T3656" s="7" t="inlineStr">
        <is>
          <t>SEM COTAÇÃO</t>
        </is>
      </c>
      <c r="U3656" s="8" t="n"/>
      <c r="V3656" s="14" t="n"/>
      <c r="W3656" s="14" t="n"/>
      <c r="X3656" s="7" t="inlineStr"/>
      <c r="Y3656" s="7" t="inlineStr"/>
    </row>
    <row r="3657">
      <c r="A3657" s="7" t="n">
        <v>583661</v>
      </c>
      <c r="B3657" s="12" t="inlineStr">
        <is>
          <t>611269991000</t>
        </is>
      </c>
      <c r="C3657" s="7" t="inlineStr">
        <is>
          <t>RED BULL ENERGY 250ML</t>
        </is>
      </c>
      <c r="D3657" s="7" t="inlineStr">
        <is>
          <t>BEBIDAS GERAL</t>
        </is>
      </c>
      <c r="E3657" s="7" t="inlineStr">
        <is>
          <t>A</t>
        </is>
      </c>
      <c r="F3657" s="13" t="n">
        <v>55</v>
      </c>
      <c r="G3657" s="13" t="n">
        <v>55</v>
      </c>
      <c r="H3657" s="8" t="n">
        <v>7.95</v>
      </c>
      <c r="I3657" s="8" t="n">
        <v>7.95</v>
      </c>
      <c r="J3657" s="8" t="n">
        <v>7.95</v>
      </c>
      <c r="K3657" s="8" t="n"/>
      <c r="L3657" s="8" t="n"/>
      <c r="M3657" s="8" t="n"/>
      <c r="N3657" s="8" t="n"/>
      <c r="O3657" s="8" t="n"/>
      <c r="P3657" s="8" t="n"/>
      <c r="Q3657" s="8" t="n"/>
      <c r="R3657" s="8" t="n"/>
      <c r="S3657" s="8" t="n"/>
      <c r="T3657" s="7" t="inlineStr">
        <is>
          <t>SEM COTAÇÃO</t>
        </is>
      </c>
      <c r="U3657" s="8" t="n"/>
      <c r="V3657" s="14" t="n"/>
      <c r="W3657" s="14" t="n"/>
      <c r="X3657" s="7" t="inlineStr"/>
      <c r="Y3657" s="7" t="inlineStr"/>
    </row>
    <row r="3658">
      <c r="A3658" s="7" t="n">
        <v>723</v>
      </c>
      <c r="B3658" s="12" t="inlineStr"/>
      <c r="C3658" s="7" t="inlineStr">
        <is>
          <t>RED BULL ENERGY 355ML</t>
        </is>
      </c>
      <c r="D3658" s="7" t="inlineStr">
        <is>
          <t>BEBIDAS GERAL</t>
        </is>
      </c>
      <c r="E3658" s="7" t="inlineStr">
        <is>
          <t>B</t>
        </is>
      </c>
      <c r="F3658" s="13" t="n">
        <v>1</v>
      </c>
      <c r="G3658" s="13" t="n">
        <v>3</v>
      </c>
      <c r="H3658" s="8" t="n">
        <v>11.17</v>
      </c>
      <c r="I3658" s="8" t="n">
        <v>11.17</v>
      </c>
      <c r="J3658" s="8" t="n">
        <v>11.17</v>
      </c>
      <c r="K3658" s="8" t="n"/>
      <c r="L3658" s="8" t="n"/>
      <c r="M3658" s="8" t="n"/>
      <c r="N3658" s="8" t="n"/>
      <c r="O3658" s="8" t="n"/>
      <c r="P3658" s="8" t="n"/>
      <c r="Q3658" s="8" t="n"/>
      <c r="R3658" s="8" t="n"/>
      <c r="S3658" s="8" t="n"/>
      <c r="T3658" s="7" t="inlineStr">
        <is>
          <t>SEM COTAÇÃO</t>
        </is>
      </c>
      <c r="U3658" s="8" t="n"/>
      <c r="V3658" s="14" t="n"/>
      <c r="W3658" s="14" t="n"/>
      <c r="X3658" s="7" t="inlineStr"/>
      <c r="Y3658" s="7" t="inlineStr"/>
    </row>
    <row r="3659">
      <c r="A3659" s="7" t="n">
        <v>587121</v>
      </c>
      <c r="B3659" s="12" t="inlineStr">
        <is>
          <t>9002490229160</t>
        </is>
      </c>
      <c r="C3659" s="7" t="inlineStr">
        <is>
          <t>RED BULL ENERGY DRINKS THE TROPICAL EDITION DRINK 250ML</t>
        </is>
      </c>
      <c r="D3659" s="7" t="inlineStr">
        <is>
          <t>BEBIDAS GERAL</t>
        </is>
      </c>
      <c r="E3659" s="7" t="inlineStr">
        <is>
          <t>B</t>
        </is>
      </c>
      <c r="F3659" s="13" t="n">
        <v>1</v>
      </c>
      <c r="G3659" s="13" t="n">
        <v>2</v>
      </c>
      <c r="H3659" s="8" t="n">
        <v>7.95</v>
      </c>
      <c r="I3659" s="8" t="n">
        <v>7.95</v>
      </c>
      <c r="J3659" s="8" t="n">
        <v>7.95</v>
      </c>
      <c r="K3659" s="8" t="n"/>
      <c r="L3659" s="8" t="n"/>
      <c r="M3659" s="8" t="n"/>
      <c r="N3659" s="8" t="n"/>
      <c r="O3659" s="8" t="n"/>
      <c r="P3659" s="8" t="n"/>
      <c r="Q3659" s="8" t="n"/>
      <c r="R3659" s="8" t="n"/>
      <c r="S3659" s="8" t="n"/>
      <c r="T3659" s="7" t="inlineStr">
        <is>
          <t>SEM COTAÇÃO</t>
        </is>
      </c>
      <c r="U3659" s="8" t="n"/>
      <c r="V3659" s="14" t="n"/>
      <c r="W3659" s="14" t="n"/>
      <c r="X3659" s="7" t="inlineStr"/>
      <c r="Y3659" s="7" t="inlineStr"/>
    </row>
    <row r="3660">
      <c r="A3660" s="7" t="n">
        <v>635541</v>
      </c>
      <c r="B3660" s="12" t="inlineStr">
        <is>
          <t>9002490247379</t>
        </is>
      </c>
      <c r="C3660" s="7" t="inlineStr">
        <is>
          <t>RED BULL MELANCIA EDITION  250ML</t>
        </is>
      </c>
      <c r="D3660" s="7" t="inlineStr">
        <is>
          <t>BEBIDAS GERAL</t>
        </is>
      </c>
      <c r="E3660" s="7" t="inlineStr">
        <is>
          <t>C</t>
        </is>
      </c>
      <c r="F3660" s="13" t="n">
        <v>1</v>
      </c>
      <c r="G3660" s="13" t="n">
        <v>1</v>
      </c>
      <c r="H3660" s="8" t="n">
        <v>7.59</v>
      </c>
      <c r="I3660" s="8" t="n">
        <v>7.59</v>
      </c>
      <c r="J3660" s="8" t="n">
        <v>7.59</v>
      </c>
      <c r="K3660" s="8" t="n"/>
      <c r="L3660" s="8" t="n"/>
      <c r="M3660" s="8" t="n"/>
      <c r="N3660" s="8" t="n"/>
      <c r="O3660" s="8" t="n"/>
      <c r="P3660" s="8" t="n"/>
      <c r="Q3660" s="8" t="n"/>
      <c r="R3660" s="8" t="n"/>
      <c r="S3660" s="8" t="n"/>
      <c r="T3660" s="7" t="inlineStr">
        <is>
          <t>SEM COTAÇÃO</t>
        </is>
      </c>
      <c r="U3660" s="8" t="n"/>
      <c r="V3660" s="14" t="n"/>
      <c r="W3660" s="14" t="n"/>
      <c r="X3660" s="7" t="inlineStr"/>
      <c r="Y3660" s="7" t="inlineStr"/>
    </row>
    <row r="3661">
      <c r="A3661" s="7" t="n">
        <v>733</v>
      </c>
      <c r="B3661" s="12" t="inlineStr">
        <is>
          <t>611269101713</t>
        </is>
      </c>
      <c r="C3661" s="7" t="inlineStr">
        <is>
          <t>RED BULL SEM ACUCAR 250ML</t>
        </is>
      </c>
      <c r="D3661" s="7" t="inlineStr">
        <is>
          <t>BEBIDAS GERAL</t>
        </is>
      </c>
      <c r="E3661" s="7" t="inlineStr">
        <is>
          <t>A</t>
        </is>
      </c>
      <c r="F3661" s="13" t="n">
        <v>2</v>
      </c>
      <c r="G3661" s="13" t="n">
        <v>5</v>
      </c>
      <c r="H3661" s="8" t="n">
        <v>7.79</v>
      </c>
      <c r="I3661" s="8" t="n">
        <v>7.79</v>
      </c>
      <c r="J3661" s="8" t="n">
        <v>7.79</v>
      </c>
      <c r="K3661" s="8" t="n"/>
      <c r="L3661" s="8" t="n"/>
      <c r="M3661" s="8" t="n"/>
      <c r="N3661" s="8" t="n"/>
      <c r="O3661" s="8" t="n"/>
      <c r="P3661" s="8" t="n"/>
      <c r="Q3661" s="8" t="n"/>
      <c r="R3661" s="8" t="n"/>
      <c r="S3661" s="8" t="n"/>
      <c r="T3661" s="7" t="inlineStr">
        <is>
          <t>SEM COTAÇÃO</t>
        </is>
      </c>
      <c r="U3661" s="8" t="n"/>
      <c r="V3661" s="14" t="n"/>
      <c r="W3661" s="14" t="n"/>
      <c r="X3661" s="7" t="inlineStr"/>
      <c r="Y3661" s="7" t="inlineStr"/>
    </row>
    <row r="3662">
      <c r="A3662" s="7" t="n">
        <v>671651</v>
      </c>
      <c r="B3662" s="12" t="inlineStr">
        <is>
          <t>9002490283063</t>
        </is>
      </c>
      <c r="C3662" s="7" t="inlineStr">
        <is>
          <t>RED BULL ZERO 250ML CX 24X250ML QTD. 1.00 CX</t>
        </is>
      </c>
      <c r="D3662" s="7" t="inlineStr">
        <is>
          <t>BEBIDAS GERAL</t>
        </is>
      </c>
      <c r="E3662" s="7" t="inlineStr">
        <is>
          <t>B</t>
        </is>
      </c>
      <c r="F3662" s="13" t="n">
        <v>1</v>
      </c>
      <c r="G3662" s="13" t="n">
        <v>4</v>
      </c>
      <c r="H3662" s="8" t="n">
        <v>7.95</v>
      </c>
      <c r="I3662" s="8" t="n">
        <v>7.95</v>
      </c>
      <c r="J3662" s="8" t="n">
        <v>7.95</v>
      </c>
      <c r="K3662" s="8" t="n"/>
      <c r="L3662" s="8" t="n"/>
      <c r="M3662" s="8" t="n"/>
      <c r="N3662" s="8" t="n"/>
      <c r="O3662" s="8" t="n"/>
      <c r="P3662" s="8" t="n"/>
      <c r="Q3662" s="8" t="n"/>
      <c r="R3662" s="8" t="n"/>
      <c r="S3662" s="8" t="n"/>
      <c r="T3662" s="7" t="inlineStr">
        <is>
          <t>SEM COTAÇÃO</t>
        </is>
      </c>
      <c r="U3662" s="8" t="n"/>
      <c r="V3662" s="14" t="n"/>
      <c r="W3662" s="14" t="n"/>
      <c r="X3662" s="7" t="inlineStr"/>
      <c r="Y3662" s="7" t="inlineStr"/>
    </row>
    <row r="3663">
      <c r="A3663" s="7" t="n">
        <v>622891</v>
      </c>
      <c r="B3663" s="12" t="inlineStr">
        <is>
          <t>7891106908535</t>
        </is>
      </c>
      <c r="C3663" s="7" t="inlineStr">
        <is>
          <t>REDOXITOS LARANJA 25 UNIDADES-DEMAIS PROD</t>
        </is>
      </c>
      <c r="D3663" s="7" t="inlineStr">
        <is>
          <t>RX - OTC</t>
        </is>
      </c>
      <c r="E3663" s="7" t="inlineStr">
        <is>
          <t>C</t>
        </is>
      </c>
      <c r="F3663" s="13" t="n">
        <v>2</v>
      </c>
      <c r="G3663" s="13" t="n">
        <v>2</v>
      </c>
      <c r="H3663" s="8" t="n">
        <v>16.18</v>
      </c>
      <c r="I3663" s="8" t="n">
        <v>14.7067</v>
      </c>
      <c r="J3663" s="8" t="n">
        <v>15.63223333333333</v>
      </c>
      <c r="K3663" s="8" t="n"/>
      <c r="L3663" s="8" t="n"/>
      <c r="M3663" s="8" t="n"/>
      <c r="N3663" s="8" t="n"/>
      <c r="O3663" s="8" t="n"/>
      <c r="P3663" s="15" t="n">
        <v>16.393</v>
      </c>
      <c r="Q3663" s="8" t="n"/>
      <c r="R3663" s="8" t="n"/>
      <c r="S3663" s="8" t="n"/>
      <c r="T3663" s="7" t="inlineStr">
        <is>
          <t>NAZARIA</t>
        </is>
      </c>
      <c r="U3663" s="8" t="n">
        <v>16.393</v>
      </c>
      <c r="V3663" s="14">
        <f>U3663/J3663-1</f>
        <v/>
      </c>
      <c r="W3663" s="14">
        <f>U3663/H3663-1</f>
        <v/>
      </c>
      <c r="X3663" s="16" t="inlineStr">
        <is>
          <t>ACIMA +1.3%</t>
        </is>
      </c>
      <c r="Y3663" s="7" t="inlineStr"/>
    </row>
    <row r="3664">
      <c r="A3664" s="7" t="n">
        <v>14581</v>
      </c>
      <c r="B3664" s="12" t="inlineStr">
        <is>
          <t>7891106006279</t>
        </is>
      </c>
      <c r="C3664" s="7" t="inlineStr">
        <is>
          <t>REDOXON 1G TB 10 COMP EFEV SB LARANJA</t>
        </is>
      </c>
      <c r="D3664" s="7" t="inlineStr">
        <is>
          <t>RX - OTC</t>
        </is>
      </c>
      <c r="E3664" s="7" t="inlineStr">
        <is>
          <t>A</t>
        </is>
      </c>
      <c r="F3664" s="13" t="n">
        <v>4</v>
      </c>
      <c r="G3664" s="13" t="n">
        <v>4</v>
      </c>
      <c r="H3664" s="8" t="n">
        <v>13.47</v>
      </c>
      <c r="I3664" s="8" t="n">
        <v>13.47</v>
      </c>
      <c r="J3664" s="8" t="n">
        <v>13.47</v>
      </c>
      <c r="K3664" s="8" t="n"/>
      <c r="L3664" s="8" t="n"/>
      <c r="M3664" s="8" t="n"/>
      <c r="N3664" s="8" t="n"/>
      <c r="O3664" s="15" t="n">
        <v>13.47</v>
      </c>
      <c r="P3664" s="8" t="n">
        <v>19.0896</v>
      </c>
      <c r="Q3664" s="8" t="n"/>
      <c r="R3664" s="8" t="n"/>
      <c r="S3664" s="8" t="n"/>
      <c r="T3664" s="7" t="inlineStr">
        <is>
          <t>TAPAJOS</t>
        </is>
      </c>
      <c r="U3664" s="8" t="n">
        <v>13.47</v>
      </c>
      <c r="V3664" s="14">
        <f>U3664/J3664-1</f>
        <v/>
      </c>
      <c r="W3664" s="14">
        <f>U3664/H3664-1</f>
        <v/>
      </c>
      <c r="X3664" s="17" t="inlineStr">
        <is>
          <t>OK (≤ menor hist.)</t>
        </is>
      </c>
      <c r="Y3664" s="7" t="inlineStr"/>
    </row>
    <row r="3665">
      <c r="A3665" s="7" t="n">
        <v>14601</v>
      </c>
      <c r="B3665" s="12" t="inlineStr"/>
      <c r="C3665" s="7" t="inlineStr">
        <is>
          <t>REDOXON 200MG/ML SOL ORAL FR GTS 20ML</t>
        </is>
      </c>
      <c r="D3665" s="7" t="inlineStr">
        <is>
          <t>RX - OTC</t>
        </is>
      </c>
      <c r="E3665" s="7" t="inlineStr">
        <is>
          <t>A</t>
        </is>
      </c>
      <c r="F3665" s="13" t="n">
        <v>52</v>
      </c>
      <c r="G3665" s="13" t="n">
        <v>52</v>
      </c>
      <c r="H3665" s="8" t="n">
        <v>17.1093</v>
      </c>
      <c r="I3665" s="8" t="n">
        <v>13.572</v>
      </c>
      <c r="J3665" s="8" t="n">
        <v>15.86216666666667</v>
      </c>
      <c r="K3665" s="8" t="n"/>
      <c r="L3665" s="8" t="n"/>
      <c r="M3665" s="8" t="n"/>
      <c r="N3665" s="8" t="n"/>
      <c r="O3665" s="8" t="n"/>
      <c r="P3665" s="8" t="n"/>
      <c r="Q3665" s="8" t="n"/>
      <c r="R3665" s="8" t="n"/>
      <c r="S3665" s="8" t="n"/>
      <c r="T3665" s="7" t="inlineStr">
        <is>
          <t>SEM COTAÇÃO</t>
        </is>
      </c>
      <c r="U3665" s="8" t="n"/>
      <c r="V3665" s="14" t="n"/>
      <c r="W3665" s="14" t="n"/>
      <c r="X3665" s="7" t="inlineStr"/>
      <c r="Y3665" s="7" t="inlineStr"/>
    </row>
    <row r="3666">
      <c r="A3666" s="7" t="n">
        <v>565941</v>
      </c>
      <c r="B3666" s="12" t="inlineStr">
        <is>
          <t>7891106912655</t>
        </is>
      </c>
      <c r="C3666" s="7" t="inlineStr">
        <is>
          <t>REDOXON TRIPLA ACAO 10CP EFERV</t>
        </is>
      </c>
      <c r="D3666" s="7" t="inlineStr">
        <is>
          <t>RX - OTC</t>
        </is>
      </c>
      <c r="E3666" s="7" t="inlineStr">
        <is>
          <t>A</t>
        </is>
      </c>
      <c r="F3666" s="13" t="n">
        <v>10</v>
      </c>
      <c r="G3666" s="13" t="n">
        <v>10</v>
      </c>
      <c r="H3666" s="8" t="n">
        <v>14.155</v>
      </c>
      <c r="I3666" s="8" t="n">
        <v>11.2925</v>
      </c>
      <c r="J3666" s="8" t="n">
        <v>13.1425</v>
      </c>
      <c r="K3666" s="8" t="n"/>
      <c r="L3666" s="8" t="n"/>
      <c r="M3666" s="15" t="n">
        <v>13.55</v>
      </c>
      <c r="N3666" s="8" t="n"/>
      <c r="O3666" s="8" t="n">
        <v>14.57</v>
      </c>
      <c r="P3666" s="8" t="n">
        <v>17.7607</v>
      </c>
      <c r="Q3666" s="8" t="n"/>
      <c r="R3666" s="8" t="n"/>
      <c r="S3666" s="8" t="n"/>
      <c r="T3666" s="7" t="inlineStr">
        <is>
          <t>EPAN</t>
        </is>
      </c>
      <c r="U3666" s="8" t="n">
        <v>13.55</v>
      </c>
      <c r="V3666" s="14">
        <f>U3666/J3666-1</f>
        <v/>
      </c>
      <c r="W3666" s="14">
        <f>U3666/H3666-1</f>
        <v/>
      </c>
      <c r="X3666" s="17" t="inlineStr">
        <is>
          <t>OK (≤ últ. compra)</t>
        </is>
      </c>
      <c r="Y3666" s="7" t="inlineStr"/>
    </row>
    <row r="3667">
      <c r="A3667" s="7" t="n">
        <v>555441</v>
      </c>
      <c r="B3667" s="12" t="inlineStr">
        <is>
          <t>7897947604803</t>
        </is>
      </c>
      <c r="C3667" s="7" t="inlineStr">
        <is>
          <t>REDUBIO QUITOSANA 500MG CAP 60CP</t>
        </is>
      </c>
      <c r="D3667" s="7" t="inlineStr">
        <is>
          <t>VITAMINA E SIMILARES</t>
        </is>
      </c>
      <c r="E3667" s="7" t="inlineStr">
        <is>
          <t>C</t>
        </is>
      </c>
      <c r="F3667" s="13" t="n">
        <v>1</v>
      </c>
      <c r="G3667" s="13" t="n">
        <v>1</v>
      </c>
      <c r="H3667" s="8" t="n"/>
      <c r="I3667" s="8" t="n"/>
      <c r="J3667" s="8" t="n"/>
      <c r="K3667" s="8" t="n"/>
      <c r="L3667" s="8" t="n"/>
      <c r="M3667" s="8" t="n"/>
      <c r="N3667" s="8" t="n"/>
      <c r="O3667" s="8" t="n"/>
      <c r="P3667" s="8" t="n"/>
      <c r="Q3667" s="8" t="n"/>
      <c r="R3667" s="8" t="n"/>
      <c r="S3667" s="8" t="n"/>
      <c r="T3667" s="7" t="inlineStr">
        <is>
          <t>SEM COTAÇÃO</t>
        </is>
      </c>
      <c r="U3667" s="8" t="n"/>
      <c r="V3667" s="14" t="n"/>
      <c r="W3667" s="14" t="n"/>
      <c r="X3667" s="7" t="inlineStr"/>
      <c r="Y3667" s="7" t="inlineStr"/>
    </row>
    <row r="3668">
      <c r="A3668" s="7" t="n">
        <v>643331</v>
      </c>
      <c r="B3668" s="12" t="inlineStr">
        <is>
          <t>7899941202016</t>
        </is>
      </c>
      <c r="C3668" s="7" t="inlineStr">
        <is>
          <t>REFIL 100% WHEY MAX TITANIUM BAUNILHA 900G</t>
        </is>
      </c>
      <c r="D3668" s="7" t="inlineStr">
        <is>
          <t>SUPLEMENTO</t>
        </is>
      </c>
      <c r="E3668" s="7" t="inlineStr">
        <is>
          <t>C</t>
        </is>
      </c>
      <c r="F3668" s="13" t="n">
        <v>1</v>
      </c>
      <c r="G3668" s="13" t="n">
        <v>1</v>
      </c>
      <c r="H3668" s="8" t="n">
        <v>117.03</v>
      </c>
      <c r="I3668" s="8" t="n">
        <v>101.11</v>
      </c>
      <c r="J3668" s="8" t="n">
        <v>111.7233333333333</v>
      </c>
      <c r="K3668" s="8" t="n"/>
      <c r="L3668" s="8" t="n"/>
      <c r="M3668" s="8" t="n"/>
      <c r="N3668" s="8" t="n">
        <v>145.73</v>
      </c>
      <c r="O3668" s="8" t="n"/>
      <c r="P3668" s="8" t="n"/>
      <c r="Q3668" s="8" t="n"/>
      <c r="R3668" s="8" t="n"/>
      <c r="S3668" s="15" t="n">
        <v>139</v>
      </c>
      <c r="T3668" s="7" t="inlineStr">
        <is>
          <t>AT_SUPLEMENTOS</t>
        </is>
      </c>
      <c r="U3668" s="8" t="n">
        <v>139</v>
      </c>
      <c r="V3668" s="14">
        <f>U3668/J3668-1</f>
        <v/>
      </c>
      <c r="W3668" s="14">
        <f>U3668/H3668-1</f>
        <v/>
      </c>
      <c r="X3668" s="16" t="inlineStr">
        <is>
          <t>ACIMA +18.8%</t>
        </is>
      </c>
      <c r="Y3668" s="7" t="inlineStr"/>
    </row>
    <row r="3669">
      <c r="A3669" s="7" t="n">
        <v>609371</v>
      </c>
      <c r="B3669" s="12" t="inlineStr">
        <is>
          <t>7899941201729</t>
        </is>
      </c>
      <c r="C3669" s="7" t="inlineStr">
        <is>
          <t>REFIL 100% WHEY MAX TITANIUM CHOCOLATE 900G</t>
        </is>
      </c>
      <c r="D3669" s="7" t="inlineStr">
        <is>
          <t>SUPLEMENTO</t>
        </is>
      </c>
      <c r="E3669" s="7" t="inlineStr">
        <is>
          <t>A</t>
        </is>
      </c>
      <c r="F3669" s="13" t="n">
        <v>1</v>
      </c>
      <c r="G3669" s="13" t="n">
        <v>1</v>
      </c>
      <c r="H3669" s="8" t="n">
        <v>125.03</v>
      </c>
      <c r="I3669" s="8" t="n">
        <v>117.03</v>
      </c>
      <c r="J3669" s="8" t="n">
        <v>119.6966666666667</v>
      </c>
      <c r="K3669" s="8" t="n"/>
      <c r="L3669" s="8" t="n"/>
      <c r="M3669" s="8" t="n"/>
      <c r="N3669" s="8" t="n">
        <v>167.09</v>
      </c>
      <c r="O3669" s="8" t="n"/>
      <c r="P3669" s="8" t="n">
        <v>197.05</v>
      </c>
      <c r="Q3669" s="8" t="n"/>
      <c r="R3669" s="8" t="n"/>
      <c r="S3669" s="15" t="n">
        <v>139</v>
      </c>
      <c r="T3669" s="7" t="inlineStr">
        <is>
          <t>AT_SUPLEMENTOS</t>
        </is>
      </c>
      <c r="U3669" s="8" t="n">
        <v>139</v>
      </c>
      <c r="V3669" s="14">
        <f>U3669/J3669-1</f>
        <v/>
      </c>
      <c r="W3669" s="14">
        <f>U3669/H3669-1</f>
        <v/>
      </c>
      <c r="X3669" s="16" t="inlineStr">
        <is>
          <t>ACIMA +11.2%</t>
        </is>
      </c>
      <c r="Y3669" s="7" t="inlineStr"/>
    </row>
    <row r="3670">
      <c r="A3670" s="7" t="n">
        <v>618891</v>
      </c>
      <c r="B3670" s="12" t="inlineStr">
        <is>
          <t>7899941202023</t>
        </is>
      </c>
      <c r="C3670" s="7" t="inlineStr">
        <is>
          <t>REFIL 100% WHEY MAX TITANIUM COOKIES E CREAM 900G</t>
        </is>
      </c>
      <c r="D3670" s="7" t="inlineStr">
        <is>
          <t>SUPLEMENTO</t>
        </is>
      </c>
      <c r="E3670" s="7" t="inlineStr">
        <is>
          <t>B</t>
        </is>
      </c>
      <c r="F3670" s="13" t="n">
        <v>1</v>
      </c>
      <c r="G3670" s="13" t="n">
        <v>1</v>
      </c>
      <c r="H3670" s="8" t="n">
        <v>127.93</v>
      </c>
      <c r="I3670" s="8" t="n">
        <v>101.11</v>
      </c>
      <c r="J3670" s="8" t="n">
        <v>115.3566666666667</v>
      </c>
      <c r="K3670" s="8" t="n"/>
      <c r="L3670" s="8" t="n"/>
      <c r="M3670" s="8" t="n"/>
      <c r="N3670" s="8" t="n">
        <v>169.8</v>
      </c>
      <c r="O3670" s="8" t="n"/>
      <c r="P3670" s="8" t="n">
        <v>197.05</v>
      </c>
      <c r="Q3670" s="8" t="n"/>
      <c r="R3670" s="8" t="n"/>
      <c r="S3670" s="15" t="n">
        <v>139</v>
      </c>
      <c r="T3670" s="7" t="inlineStr">
        <is>
          <t>AT_SUPLEMENTOS</t>
        </is>
      </c>
      <c r="U3670" s="8" t="n">
        <v>139</v>
      </c>
      <c r="V3670" s="14">
        <f>U3670/J3670-1</f>
        <v/>
      </c>
      <c r="W3670" s="14">
        <f>U3670/H3670-1</f>
        <v/>
      </c>
      <c r="X3670" s="16" t="inlineStr">
        <is>
          <t>ACIMA +8.7%</t>
        </is>
      </c>
      <c r="Y3670" s="7" t="inlineStr">
        <is>
          <t>NAZARIA: sem estoque</t>
        </is>
      </c>
    </row>
    <row r="3671">
      <c r="A3671" s="7" t="n">
        <v>643321</v>
      </c>
      <c r="B3671" s="12" t="inlineStr">
        <is>
          <t>7899941201712</t>
        </is>
      </c>
      <c r="C3671" s="7" t="inlineStr">
        <is>
          <t>REFIL 100% WHEY MAX TITANIUM MORANGO  900G</t>
        </is>
      </c>
      <c r="D3671" s="7" t="inlineStr">
        <is>
          <t>SUPLEMENTO</t>
        </is>
      </c>
      <c r="E3671" s="7" t="inlineStr">
        <is>
          <t>A</t>
        </is>
      </c>
      <c r="F3671" s="13" t="n">
        <v>2</v>
      </c>
      <c r="G3671" s="13" t="n">
        <v>2</v>
      </c>
      <c r="H3671" s="8" t="n">
        <v>127.93</v>
      </c>
      <c r="I3671" s="8" t="n">
        <v>101.11</v>
      </c>
      <c r="J3671" s="8" t="n">
        <v>115.3566666666667</v>
      </c>
      <c r="K3671" s="8" t="n"/>
      <c r="L3671" s="8" t="n"/>
      <c r="M3671" s="8" t="n"/>
      <c r="N3671" s="8" t="n">
        <v>177.22</v>
      </c>
      <c r="O3671" s="8" t="n"/>
      <c r="P3671" s="8" t="n"/>
      <c r="Q3671" s="8" t="n"/>
      <c r="R3671" s="8" t="n"/>
      <c r="S3671" s="15" t="n">
        <v>139</v>
      </c>
      <c r="T3671" s="7" t="inlineStr">
        <is>
          <t>AT_SUPLEMENTOS</t>
        </is>
      </c>
      <c r="U3671" s="8" t="n">
        <v>139</v>
      </c>
      <c r="V3671" s="14">
        <f>U3671/J3671-1</f>
        <v/>
      </c>
      <c r="W3671" s="14">
        <f>U3671/H3671-1</f>
        <v/>
      </c>
      <c r="X3671" s="16" t="inlineStr">
        <is>
          <t>ACIMA +8.7%</t>
        </is>
      </c>
      <c r="Y3671" s="7" t="inlineStr"/>
    </row>
    <row r="3672">
      <c r="A3672" s="7" t="n">
        <v>635411</v>
      </c>
      <c r="B3672" s="12" t="inlineStr">
        <is>
          <t>7896311775439</t>
        </is>
      </c>
      <c r="C3672" s="7" t="inlineStr">
        <is>
          <t>REFIL CREAMASS INTEGRALMEDICA CHOCOLATE 3KG</t>
        </is>
      </c>
      <c r="D3672" s="7" t="inlineStr">
        <is>
          <t>SUPLEMENTO</t>
        </is>
      </c>
      <c r="E3672" s="7" t="inlineStr">
        <is>
          <t>A</t>
        </is>
      </c>
      <c r="F3672" s="13" t="n">
        <v>1</v>
      </c>
      <c r="G3672" s="13" t="n">
        <v>1</v>
      </c>
      <c r="H3672" s="8" t="n">
        <v>106.26</v>
      </c>
      <c r="I3672" s="8" t="n">
        <v>79.20999999999999</v>
      </c>
      <c r="J3672" s="8" t="n">
        <v>89.10666666666667</v>
      </c>
      <c r="K3672" s="8" t="n"/>
      <c r="L3672" s="8" t="n"/>
      <c r="M3672" s="8" t="n"/>
      <c r="N3672" s="8" t="n"/>
      <c r="O3672" s="8" t="n"/>
      <c r="P3672" s="8" t="n"/>
      <c r="Q3672" s="8" t="n"/>
      <c r="R3672" s="8" t="n"/>
      <c r="S3672" s="15" t="n">
        <v>106</v>
      </c>
      <c r="T3672" s="7" t="inlineStr">
        <is>
          <t>AT_SUPLEMENTOS</t>
        </is>
      </c>
      <c r="U3672" s="8" t="n">
        <v>106</v>
      </c>
      <c r="V3672" s="14">
        <f>U3672/J3672-1</f>
        <v/>
      </c>
      <c r="W3672" s="14">
        <f>U3672/H3672-1</f>
        <v/>
      </c>
      <c r="X3672" s="17" t="inlineStr">
        <is>
          <t>OK (≤ últ. compra)</t>
        </is>
      </c>
      <c r="Y3672" s="7" t="inlineStr"/>
    </row>
    <row r="3673">
      <c r="A3673" s="7" t="n">
        <v>661441</v>
      </c>
      <c r="B3673" s="12" t="inlineStr">
        <is>
          <t>7899598027420</t>
        </is>
      </c>
      <c r="C3673" s="7" t="inlineStr">
        <is>
          <t>REFIL CREATINA FTW 1KG</t>
        </is>
      </c>
      <c r="D3673" s="7" t="inlineStr">
        <is>
          <t>SUPLEMENTO</t>
        </is>
      </c>
      <c r="E3673" s="7" t="inlineStr">
        <is>
          <t>C</t>
        </is>
      </c>
      <c r="F3673" s="13" t="n">
        <v>1</v>
      </c>
      <c r="G3673" s="13" t="n">
        <v>1</v>
      </c>
      <c r="H3673" s="8" t="n">
        <v>113.16</v>
      </c>
      <c r="I3673" s="8" t="n">
        <v>113.16</v>
      </c>
      <c r="J3673" s="8" t="n">
        <v>113.16</v>
      </c>
      <c r="K3673" s="8" t="n"/>
      <c r="L3673" s="8" t="n"/>
      <c r="M3673" s="8" t="n"/>
      <c r="N3673" s="8" t="n"/>
      <c r="O3673" s="8" t="n"/>
      <c r="P3673" s="8" t="n"/>
      <c r="Q3673" s="8" t="n"/>
      <c r="R3673" s="8" t="n"/>
      <c r="S3673" s="15" t="n">
        <v>142</v>
      </c>
      <c r="T3673" s="7" t="inlineStr">
        <is>
          <t>AT_SUPLEMENTOS</t>
        </is>
      </c>
      <c r="U3673" s="8" t="n">
        <v>142</v>
      </c>
      <c r="V3673" s="14">
        <f>U3673/J3673-1</f>
        <v/>
      </c>
      <c r="W3673" s="14">
        <f>U3673/H3673-1</f>
        <v/>
      </c>
      <c r="X3673" s="16" t="inlineStr">
        <is>
          <t>ACIMA +25.5%</t>
        </is>
      </c>
      <c r="Y3673" s="7" t="inlineStr"/>
    </row>
    <row r="3674">
      <c r="A3674" s="7" t="n">
        <v>673221</v>
      </c>
      <c r="B3674" s="12" t="inlineStr">
        <is>
          <t>7898708739987</t>
        </is>
      </c>
      <c r="C3674" s="7" t="inlineStr">
        <is>
          <t>REFIL CREATINE TURBO BLACKSKULL 300G</t>
        </is>
      </c>
      <c r="D3674" s="7" t="inlineStr">
        <is>
          <t>SUPLEMENTO</t>
        </is>
      </c>
      <c r="E3674" s="7" t="inlineStr">
        <is>
          <t>C</t>
        </is>
      </c>
      <c r="F3674" s="13" t="n">
        <v>1</v>
      </c>
      <c r="G3674" s="13" t="n">
        <v>1</v>
      </c>
      <c r="H3674" s="8" t="n">
        <v>32.63</v>
      </c>
      <c r="I3674" s="8" t="n">
        <v>32.63</v>
      </c>
      <c r="J3674" s="8" t="n">
        <v>32.63</v>
      </c>
      <c r="K3674" s="8" t="n"/>
      <c r="L3674" s="8" t="n"/>
      <c r="M3674" s="8" t="n"/>
      <c r="N3674" s="8" t="n"/>
      <c r="O3674" s="8" t="n"/>
      <c r="P3674" s="8" t="n"/>
      <c r="Q3674" s="8" t="n"/>
      <c r="R3674" s="8" t="n"/>
      <c r="S3674" s="15" t="n">
        <v>36</v>
      </c>
      <c r="T3674" s="7" t="inlineStr">
        <is>
          <t>AT_SUPLEMENTOS</t>
        </is>
      </c>
      <c r="U3674" s="8" t="n">
        <v>36</v>
      </c>
      <c r="V3674" s="14">
        <f>U3674/J3674-1</f>
        <v/>
      </c>
      <c r="W3674" s="14">
        <f>U3674/H3674-1</f>
        <v/>
      </c>
      <c r="X3674" s="16" t="inlineStr">
        <is>
          <t>ACIMA +10.3%</t>
        </is>
      </c>
      <c r="Y3674" s="7" t="inlineStr"/>
    </row>
    <row r="3675">
      <c r="A3675" s="7" t="n">
        <v>661501</v>
      </c>
      <c r="B3675" s="12" t="inlineStr">
        <is>
          <t>7898626448343</t>
        </is>
      </c>
      <c r="C3675" s="7" t="inlineStr">
        <is>
          <t>REFIL ISOLATE PROTEIN MIX PROFIT BAUNILHA 900G</t>
        </is>
      </c>
      <c r="D3675" s="7" t="inlineStr">
        <is>
          <t>SUPLEMENTO</t>
        </is>
      </c>
      <c r="E3675" s="7" t="inlineStr">
        <is>
          <t>B</t>
        </is>
      </c>
      <c r="F3675" s="13" t="n">
        <v>1</v>
      </c>
      <c r="G3675" s="13" t="n">
        <v>1</v>
      </c>
      <c r="H3675" s="8" t="n">
        <v>71.40000000000001</v>
      </c>
      <c r="I3675" s="8" t="n">
        <v>71.40000000000001</v>
      </c>
      <c r="J3675" s="8" t="n">
        <v>71.40000000000001</v>
      </c>
      <c r="K3675" s="8" t="n"/>
      <c r="L3675" s="8" t="n"/>
      <c r="M3675" s="8" t="n"/>
      <c r="N3675" s="8" t="n"/>
      <c r="O3675" s="8" t="n"/>
      <c r="P3675" s="8" t="n"/>
      <c r="Q3675" s="8" t="n"/>
      <c r="R3675" s="8" t="n"/>
      <c r="S3675" s="15" t="n">
        <v>71</v>
      </c>
      <c r="T3675" s="7" t="inlineStr">
        <is>
          <t>AT_SUPLEMENTOS</t>
        </is>
      </c>
      <c r="U3675" s="8" t="n">
        <v>71</v>
      </c>
      <c r="V3675" s="14">
        <f>U3675/J3675-1</f>
        <v/>
      </c>
      <c r="W3675" s="14">
        <f>U3675/H3675-1</f>
        <v/>
      </c>
      <c r="X3675" s="17" t="inlineStr">
        <is>
          <t>OK (≤ menor hist.)</t>
        </is>
      </c>
      <c r="Y3675" s="7" t="inlineStr"/>
    </row>
    <row r="3676">
      <c r="A3676" s="7" t="n">
        <v>630411</v>
      </c>
      <c r="B3676" s="12" t="inlineStr">
        <is>
          <t>7898938200660</t>
        </is>
      </c>
      <c r="C3676" s="7" t="inlineStr">
        <is>
          <t>REFIL ISOLATE PROTEIN MIX PROFIT BAUNILHA 900G</t>
        </is>
      </c>
      <c r="D3676" s="7" t="inlineStr">
        <is>
          <t>SUPLEMENTO</t>
        </is>
      </c>
      <c r="E3676" s="7" t="inlineStr">
        <is>
          <t>C</t>
        </is>
      </c>
      <c r="F3676" s="13" t="n">
        <v>1</v>
      </c>
      <c r="G3676" s="13" t="n">
        <v>1</v>
      </c>
      <c r="H3676" s="8" t="n">
        <v>58.81</v>
      </c>
      <c r="I3676" s="8" t="n">
        <v>58.81</v>
      </c>
      <c r="J3676" s="8" t="n">
        <v>58.81</v>
      </c>
      <c r="K3676" s="8" t="n"/>
      <c r="L3676" s="8" t="n"/>
      <c r="M3676" s="8" t="n"/>
      <c r="N3676" s="8" t="n"/>
      <c r="O3676" s="8" t="n"/>
      <c r="P3676" s="8" t="n"/>
      <c r="Q3676" s="8" t="n"/>
      <c r="R3676" s="8" t="n"/>
      <c r="S3676" s="15" t="n">
        <v>71</v>
      </c>
      <c r="T3676" s="7" t="inlineStr">
        <is>
          <t>AT_SUPLEMENTOS</t>
        </is>
      </c>
      <c r="U3676" s="8" t="n">
        <v>71</v>
      </c>
      <c r="V3676" s="14">
        <f>U3676/J3676-1</f>
        <v/>
      </c>
      <c r="W3676" s="14">
        <f>U3676/H3676-1</f>
        <v/>
      </c>
      <c r="X3676" s="16" t="inlineStr">
        <is>
          <t>ACIMA +20.7%</t>
        </is>
      </c>
      <c r="Y3676" s="7" t="inlineStr"/>
    </row>
    <row r="3677">
      <c r="A3677" s="7" t="n">
        <v>30003</v>
      </c>
      <c r="B3677" s="12" t="inlineStr">
        <is>
          <t>7896311778072</t>
        </is>
      </c>
      <c r="C3677" s="7" t="inlineStr">
        <is>
          <t>REFIL NUTRIWHEY INTEGRAL MORANGO 1,2KG</t>
        </is>
      </c>
      <c r="D3677" s="7" t="inlineStr">
        <is>
          <t>SUPLEMENTO</t>
        </is>
      </c>
      <c r="E3677" s="7" t="inlineStr">
        <is>
          <t>B</t>
        </is>
      </c>
      <c r="F3677" s="13" t="n">
        <v>3</v>
      </c>
      <c r="G3677" s="13" t="n">
        <v>3</v>
      </c>
      <c r="H3677" s="8" t="n">
        <v>85.67</v>
      </c>
      <c r="I3677" s="8" t="n">
        <v>85.67</v>
      </c>
      <c r="J3677" s="8" t="n">
        <v>85.67</v>
      </c>
      <c r="K3677" s="8" t="n"/>
      <c r="L3677" s="8" t="n"/>
      <c r="M3677" s="8" t="n"/>
      <c r="N3677" s="8" t="n"/>
      <c r="O3677" s="8" t="n"/>
      <c r="P3677" s="8" t="n"/>
      <c r="Q3677" s="8" t="n"/>
      <c r="R3677" s="8" t="n"/>
      <c r="S3677" s="15" t="n">
        <v>85</v>
      </c>
      <c r="T3677" s="7" t="inlineStr">
        <is>
          <t>AT_SUPLEMENTOS</t>
        </is>
      </c>
      <c r="U3677" s="8" t="n">
        <v>85</v>
      </c>
      <c r="V3677" s="14">
        <f>U3677/J3677-1</f>
        <v/>
      </c>
      <c r="W3677" s="14">
        <f>U3677/H3677-1</f>
        <v/>
      </c>
      <c r="X3677" s="17" t="inlineStr">
        <is>
          <t>OK (≤ menor hist.)</t>
        </is>
      </c>
      <c r="Y3677" s="7" t="inlineStr"/>
    </row>
    <row r="3678">
      <c r="A3678" s="7" t="n">
        <v>597521</v>
      </c>
      <c r="B3678" s="12" t="inlineStr">
        <is>
          <t>7896311709489</t>
        </is>
      </c>
      <c r="C3678" s="7" t="inlineStr">
        <is>
          <t>REFIL NUTRIWHEY INTEGRALMEDICA BAUNILHA 907G</t>
        </is>
      </c>
      <c r="D3678" s="7" t="inlineStr">
        <is>
          <t>SUPLEMENTO</t>
        </is>
      </c>
      <c r="E3678" s="7" t="inlineStr">
        <is>
          <t>B</t>
        </is>
      </c>
      <c r="F3678" s="13" t="n">
        <v>1</v>
      </c>
      <c r="G3678" s="13" t="n">
        <v>1</v>
      </c>
      <c r="H3678" s="8" t="n">
        <v>60.74</v>
      </c>
      <c r="I3678" s="8" t="n">
        <v>54.99</v>
      </c>
      <c r="J3678" s="8" t="n">
        <v>58.82333333333333</v>
      </c>
      <c r="K3678" s="8" t="n"/>
      <c r="L3678" s="8" t="n"/>
      <c r="M3678" s="8" t="n"/>
      <c r="N3678" s="8" t="n"/>
      <c r="O3678" s="8" t="n"/>
      <c r="P3678" s="8" t="n"/>
      <c r="Q3678" s="8" t="n"/>
      <c r="R3678" s="8" t="n"/>
      <c r="S3678" s="8" t="n"/>
      <c r="T3678" s="7" t="inlineStr">
        <is>
          <t>SEM COTAÇÃO</t>
        </is>
      </c>
      <c r="U3678" s="8" t="n"/>
      <c r="V3678" s="14" t="n"/>
      <c r="W3678" s="14" t="n"/>
      <c r="X3678" s="7" t="inlineStr"/>
      <c r="Y3678" s="7" t="inlineStr"/>
    </row>
    <row r="3679">
      <c r="A3679" s="7" t="n">
        <v>597531</v>
      </c>
      <c r="B3679" s="12" t="inlineStr">
        <is>
          <t>7896311709502</t>
        </is>
      </c>
      <c r="C3679" s="7" t="inlineStr">
        <is>
          <t>REFIL NUTRIWHEY INTEGRALMEDICA CHOCOLATE 907G</t>
        </is>
      </c>
      <c r="D3679" s="7" t="inlineStr">
        <is>
          <t>SUPLEMENTO</t>
        </is>
      </c>
      <c r="E3679" s="7" t="inlineStr">
        <is>
          <t>C</t>
        </is>
      </c>
      <c r="F3679" s="13" t="n">
        <v>1</v>
      </c>
      <c r="G3679" s="13" t="n">
        <v>1</v>
      </c>
      <c r="H3679" s="8" t="n">
        <v>54.99</v>
      </c>
      <c r="I3679" s="8" t="n">
        <v>54.99</v>
      </c>
      <c r="J3679" s="8" t="n">
        <v>54.99</v>
      </c>
      <c r="K3679" s="8" t="n"/>
      <c r="L3679" s="8" t="n"/>
      <c r="M3679" s="8" t="n"/>
      <c r="N3679" s="8" t="n"/>
      <c r="O3679" s="8" t="n"/>
      <c r="P3679" s="8" t="n"/>
      <c r="Q3679" s="8" t="n"/>
      <c r="R3679" s="8" t="n"/>
      <c r="S3679" s="8" t="n"/>
      <c r="T3679" s="7" t="inlineStr">
        <is>
          <t>SEM COTAÇÃO</t>
        </is>
      </c>
      <c r="U3679" s="8" t="n"/>
      <c r="V3679" s="14" t="n"/>
      <c r="W3679" s="14" t="n"/>
      <c r="X3679" s="7" t="inlineStr"/>
      <c r="Y3679" s="7" t="inlineStr"/>
    </row>
    <row r="3680">
      <c r="A3680" s="7" t="n">
        <v>601991</v>
      </c>
      <c r="B3680" s="12" t="inlineStr">
        <is>
          <t>7896311709496</t>
        </is>
      </c>
      <c r="C3680" s="7" t="inlineStr">
        <is>
          <t>REFIL NUTRIWHEY INTEGRALMEDICA MORANGO 907G</t>
        </is>
      </c>
      <c r="D3680" s="7" t="inlineStr">
        <is>
          <t>SUPLEMENTO</t>
        </is>
      </c>
      <c r="E3680" s="7" t="inlineStr">
        <is>
          <t>B</t>
        </is>
      </c>
      <c r="F3680" s="13" t="n">
        <v>1</v>
      </c>
      <c r="G3680" s="13" t="n">
        <v>1</v>
      </c>
      <c r="H3680" s="8" t="n">
        <v>60.74</v>
      </c>
      <c r="I3680" s="8" t="n">
        <v>54.99</v>
      </c>
      <c r="J3680" s="8" t="n">
        <v>58.82333333333333</v>
      </c>
      <c r="K3680" s="8" t="n"/>
      <c r="L3680" s="8" t="n"/>
      <c r="M3680" s="8" t="n"/>
      <c r="N3680" s="8" t="n"/>
      <c r="O3680" s="8" t="n"/>
      <c r="P3680" s="8" t="n"/>
      <c r="Q3680" s="8" t="n"/>
      <c r="R3680" s="8" t="n"/>
      <c r="S3680" s="8" t="n"/>
      <c r="T3680" s="7" t="inlineStr">
        <is>
          <t>SEM COTAÇÃO</t>
        </is>
      </c>
      <c r="U3680" s="8" t="n"/>
      <c r="V3680" s="14" t="n"/>
      <c r="W3680" s="14" t="n"/>
      <c r="X3680" s="7" t="inlineStr"/>
      <c r="Y3680" s="7" t="inlineStr"/>
    </row>
    <row r="3681">
      <c r="A3681" s="7" t="n">
        <v>650771</v>
      </c>
      <c r="B3681" s="12" t="inlineStr">
        <is>
          <t>7898378621537</t>
        </is>
      </c>
      <c r="C3681" s="7" t="inlineStr">
        <is>
          <t>REFIL ROLL ON NEGRA 100GR - NEEZ</t>
        </is>
      </c>
      <c r="D3681" s="7" t="inlineStr">
        <is>
          <t>FITOTERAPICO</t>
        </is>
      </c>
      <c r="E3681" s="7" t="inlineStr">
        <is>
          <t>C</t>
        </is>
      </c>
      <c r="F3681" s="13" t="n">
        <v>1</v>
      </c>
      <c r="G3681" s="13" t="n">
        <v>1</v>
      </c>
      <c r="H3681" s="8" t="n">
        <v>9.34</v>
      </c>
      <c r="I3681" s="8" t="n">
        <v>9.34</v>
      </c>
      <c r="J3681" s="8" t="n">
        <v>9.34</v>
      </c>
      <c r="K3681" s="8" t="n"/>
      <c r="L3681" s="8" t="n"/>
      <c r="M3681" s="8" t="n"/>
      <c r="N3681" s="8" t="n"/>
      <c r="O3681" s="8" t="n"/>
      <c r="P3681" s="8" t="n"/>
      <c r="Q3681" s="8" t="n"/>
      <c r="R3681" s="8" t="n"/>
      <c r="S3681" s="8" t="n"/>
      <c r="T3681" s="7" t="inlineStr">
        <is>
          <t>SEM COTAÇÃO</t>
        </is>
      </c>
      <c r="U3681" s="8" t="n"/>
      <c r="V3681" s="14" t="n"/>
      <c r="W3681" s="14" t="n"/>
      <c r="X3681" s="7" t="inlineStr"/>
      <c r="Y3681" s="7" t="inlineStr"/>
    </row>
    <row r="3682">
      <c r="A3682" s="7" t="n">
        <v>672971</v>
      </c>
      <c r="B3682" s="12" t="inlineStr">
        <is>
          <t>7896311761722</t>
        </is>
      </c>
      <c r="C3682" s="7" t="inlineStr">
        <is>
          <t>REFIL WHEY 100% CHOCO 900G</t>
        </is>
      </c>
      <c r="D3682" s="7" t="inlineStr">
        <is>
          <t>SUPLEMENTO</t>
        </is>
      </c>
      <c r="E3682" s="7" t="inlineStr">
        <is>
          <t>A</t>
        </is>
      </c>
      <c r="F3682" s="13" t="n">
        <v>1</v>
      </c>
      <c r="G3682" s="13" t="n">
        <v>1</v>
      </c>
      <c r="H3682" s="8" t="n">
        <v>126.46</v>
      </c>
      <c r="I3682" s="8" t="n">
        <v>118.71</v>
      </c>
      <c r="J3682" s="8" t="n">
        <v>123.8766666666667</v>
      </c>
      <c r="K3682" s="8" t="n"/>
      <c r="L3682" s="8" t="n"/>
      <c r="M3682" s="8" t="n"/>
      <c r="N3682" s="8" t="n"/>
      <c r="O3682" s="8" t="n"/>
      <c r="P3682" s="8" t="n"/>
      <c r="Q3682" s="8" t="n"/>
      <c r="R3682" s="8" t="n"/>
      <c r="S3682" s="15" t="n">
        <v>158</v>
      </c>
      <c r="T3682" s="7" t="inlineStr">
        <is>
          <t>AT_SUPLEMENTOS</t>
        </is>
      </c>
      <c r="U3682" s="8" t="n">
        <v>158</v>
      </c>
      <c r="V3682" s="14">
        <f>U3682/J3682-1</f>
        <v/>
      </c>
      <c r="W3682" s="14">
        <f>U3682/H3682-1</f>
        <v/>
      </c>
      <c r="X3682" s="16" t="inlineStr">
        <is>
          <t>ACIMA +24.9%</t>
        </is>
      </c>
      <c r="Y3682" s="7" t="inlineStr"/>
    </row>
    <row r="3683">
      <c r="A3683" s="7" t="n">
        <v>597491</v>
      </c>
      <c r="B3683" s="12" t="inlineStr">
        <is>
          <t>7896311761708</t>
        </is>
      </c>
      <c r="C3683" s="7" t="inlineStr">
        <is>
          <t>REFIL WHEY 100% INTEGRALMEDICA BAUNILHA 907G</t>
        </is>
      </c>
      <c r="D3683" s="7" t="inlineStr">
        <is>
          <t>SUPLEMENTO</t>
        </is>
      </c>
      <c r="E3683" s="7" t="inlineStr">
        <is>
          <t>A</t>
        </is>
      </c>
      <c r="F3683" s="13" t="n">
        <v>1</v>
      </c>
      <c r="G3683" s="13" t="n">
        <v>1</v>
      </c>
      <c r="H3683" s="8" t="n">
        <v>136.08</v>
      </c>
      <c r="I3683" s="8" t="n">
        <v>118.71</v>
      </c>
      <c r="J3683" s="8" t="n">
        <v>127.0833333333333</v>
      </c>
      <c r="K3683" s="8" t="n"/>
      <c r="L3683" s="8" t="n"/>
      <c r="M3683" s="8" t="n"/>
      <c r="N3683" s="8" t="n"/>
      <c r="O3683" s="8" t="n"/>
      <c r="P3683" s="8" t="n"/>
      <c r="Q3683" s="8" t="n"/>
      <c r="R3683" s="8" t="n"/>
      <c r="S3683" s="15" t="n">
        <v>158</v>
      </c>
      <c r="T3683" s="7" t="inlineStr">
        <is>
          <t>AT_SUPLEMENTOS</t>
        </is>
      </c>
      <c r="U3683" s="8" t="n">
        <v>158</v>
      </c>
      <c r="V3683" s="14">
        <f>U3683/J3683-1</f>
        <v/>
      </c>
      <c r="W3683" s="14">
        <f>U3683/H3683-1</f>
        <v/>
      </c>
      <c r="X3683" s="16" t="inlineStr">
        <is>
          <t>ACIMA +16.1%</t>
        </is>
      </c>
      <c r="Y3683" s="7" t="inlineStr"/>
    </row>
    <row r="3684">
      <c r="A3684" s="7" t="n">
        <v>597481</v>
      </c>
      <c r="B3684" s="12" t="inlineStr">
        <is>
          <t>7896311767397</t>
        </is>
      </c>
      <c r="C3684" s="7" t="inlineStr">
        <is>
          <t>REFIL WHEY 100% INTEGRALMEDICA COOKIES 907G</t>
        </is>
      </c>
      <c r="D3684" s="7" t="inlineStr">
        <is>
          <t>SUPLEMENTO</t>
        </is>
      </c>
      <c r="E3684" s="7" t="inlineStr">
        <is>
          <t>A</t>
        </is>
      </c>
      <c r="F3684" s="13" t="n">
        <v>1</v>
      </c>
      <c r="G3684" s="13" t="n">
        <v>1</v>
      </c>
      <c r="H3684" s="8" t="n">
        <v>136.08</v>
      </c>
      <c r="I3684" s="8" t="n">
        <v>118.71</v>
      </c>
      <c r="J3684" s="8" t="n">
        <v>127.0833333333333</v>
      </c>
      <c r="K3684" s="8" t="n"/>
      <c r="L3684" s="8" t="n"/>
      <c r="M3684" s="8" t="n"/>
      <c r="N3684" s="8" t="n"/>
      <c r="O3684" s="8" t="n"/>
      <c r="P3684" s="8" t="n"/>
      <c r="Q3684" s="8" t="n"/>
      <c r="R3684" s="8" t="n"/>
      <c r="S3684" s="15" t="n">
        <v>158</v>
      </c>
      <c r="T3684" s="7" t="inlineStr">
        <is>
          <t>AT_SUPLEMENTOS</t>
        </is>
      </c>
      <c r="U3684" s="8" t="n">
        <v>158</v>
      </c>
      <c r="V3684" s="14">
        <f>U3684/J3684-1</f>
        <v/>
      </c>
      <c r="W3684" s="14">
        <f>U3684/H3684-1</f>
        <v/>
      </c>
      <c r="X3684" s="16" t="inlineStr">
        <is>
          <t>ACIMA +16.1%</t>
        </is>
      </c>
      <c r="Y3684" s="7" t="inlineStr"/>
    </row>
    <row r="3685">
      <c r="A3685" s="7" t="n">
        <v>638351</v>
      </c>
      <c r="B3685" s="12" t="inlineStr">
        <is>
          <t>7896311761715</t>
        </is>
      </c>
      <c r="C3685" s="7" t="inlineStr">
        <is>
          <t>REFIL WHEY 100% INTEGRALMEDICA MORANGO 907G</t>
        </is>
      </c>
      <c r="D3685" s="7" t="inlineStr">
        <is>
          <t>SUPLEMENTO</t>
        </is>
      </c>
      <c r="E3685" s="7" t="inlineStr">
        <is>
          <t>C</t>
        </is>
      </c>
      <c r="F3685" s="13" t="n">
        <v>1</v>
      </c>
      <c r="G3685" s="13" t="n">
        <v>1</v>
      </c>
      <c r="H3685" s="8" t="n">
        <v>126.46</v>
      </c>
      <c r="I3685" s="8" t="n">
        <v>119.54</v>
      </c>
      <c r="J3685" s="8" t="n">
        <v>124.1533333333333</v>
      </c>
      <c r="K3685" s="8" t="n"/>
      <c r="L3685" s="8" t="n"/>
      <c r="M3685" s="8" t="n"/>
      <c r="N3685" s="8" t="n"/>
      <c r="O3685" s="8" t="n"/>
      <c r="P3685" s="8" t="n"/>
      <c r="Q3685" s="8" t="n"/>
      <c r="R3685" s="8" t="n"/>
      <c r="S3685" s="15" t="n">
        <v>158</v>
      </c>
      <c r="T3685" s="7" t="inlineStr">
        <is>
          <t>AT_SUPLEMENTOS</t>
        </is>
      </c>
      <c r="U3685" s="8" t="n">
        <v>158</v>
      </c>
      <c r="V3685" s="14">
        <f>U3685/J3685-1</f>
        <v/>
      </c>
      <c r="W3685" s="14">
        <f>U3685/H3685-1</f>
        <v/>
      </c>
      <c r="X3685" s="16" t="inlineStr">
        <is>
          <t>ACIMA +24.9%</t>
        </is>
      </c>
      <c r="Y3685" s="7" t="inlineStr"/>
    </row>
    <row r="3686">
      <c r="A3686" s="7" t="n">
        <v>635371</v>
      </c>
      <c r="B3686" s="12" t="inlineStr">
        <is>
          <t>7898963783558</t>
        </is>
      </c>
      <c r="C3686" s="7" t="inlineStr">
        <is>
          <t>REFIL WHEY CONCENTRADO CANIBALINC GODS COOKIES 900G</t>
        </is>
      </c>
      <c r="D3686" s="7" t="inlineStr">
        <is>
          <t>SUPLEMENTO</t>
        </is>
      </c>
      <c r="E3686" s="7" t="inlineStr">
        <is>
          <t>C</t>
        </is>
      </c>
      <c r="F3686" s="13" t="n">
        <v>1</v>
      </c>
      <c r="G3686" s="13" t="n">
        <v>1</v>
      </c>
      <c r="H3686" s="8" t="n">
        <v>91.91</v>
      </c>
      <c r="I3686" s="8" t="n">
        <v>91.91</v>
      </c>
      <c r="J3686" s="8" t="n">
        <v>91.91000000000001</v>
      </c>
      <c r="K3686" s="8" t="n"/>
      <c r="L3686" s="8" t="n"/>
      <c r="M3686" s="8" t="n"/>
      <c r="N3686" s="8" t="n"/>
      <c r="O3686" s="8" t="n"/>
      <c r="P3686" s="8" t="n"/>
      <c r="Q3686" s="8" t="n"/>
      <c r="R3686" s="8" t="n"/>
      <c r="S3686" s="8" t="n"/>
      <c r="T3686" s="7" t="inlineStr">
        <is>
          <t>SEM COTAÇÃO</t>
        </is>
      </c>
      <c r="U3686" s="8" t="n"/>
      <c r="V3686" s="14" t="n"/>
      <c r="W3686" s="14" t="n"/>
      <c r="X3686" s="7" t="inlineStr"/>
      <c r="Y3686" s="7" t="inlineStr"/>
    </row>
    <row r="3687">
      <c r="A3687" s="7" t="n">
        <v>3093</v>
      </c>
      <c r="B3687" s="12" t="inlineStr">
        <is>
          <t>7894900027013</t>
        </is>
      </c>
      <c r="C3687" s="7" t="inlineStr">
        <is>
          <t>REFRIG COCA COLA 2LT</t>
        </is>
      </c>
      <c r="D3687" s="7" t="inlineStr">
        <is>
          <t>BEBIDAS GERAL</t>
        </is>
      </c>
      <c r="E3687" s="7" t="inlineStr">
        <is>
          <t>A</t>
        </is>
      </c>
      <c r="F3687" s="13" t="n">
        <v>21</v>
      </c>
      <c r="G3687" s="13" t="n">
        <v>21</v>
      </c>
      <c r="H3687" s="8" t="n">
        <v>9.228300000000001</v>
      </c>
      <c r="I3687" s="8" t="n">
        <v>8.318300000000001</v>
      </c>
      <c r="J3687" s="8" t="n">
        <v>8.8947</v>
      </c>
      <c r="K3687" s="8" t="n"/>
      <c r="L3687" s="8" t="n"/>
      <c r="M3687" s="8" t="n"/>
      <c r="N3687" s="8" t="n"/>
      <c r="O3687" s="8" t="n"/>
      <c r="P3687" s="8" t="n"/>
      <c r="Q3687" s="8" t="n"/>
      <c r="R3687" s="8" t="n"/>
      <c r="S3687" s="8" t="n"/>
      <c r="T3687" s="7" t="inlineStr">
        <is>
          <t>SEM COTAÇÃO</t>
        </is>
      </c>
      <c r="U3687" s="8" t="n"/>
      <c r="V3687" s="14" t="n"/>
      <c r="W3687" s="14" t="n"/>
      <c r="X3687" s="7" t="inlineStr"/>
      <c r="Y3687" s="7" t="inlineStr"/>
    </row>
    <row r="3688">
      <c r="A3688" s="7" t="n">
        <v>644431</v>
      </c>
      <c r="B3688" s="12" t="inlineStr"/>
      <c r="C3688" s="7" t="inlineStr">
        <is>
          <t>REFRIG COCA COLA 2LT ZERO</t>
        </is>
      </c>
      <c r="D3688" s="7" t="inlineStr">
        <is>
          <t>BEBIDAS GERAL</t>
        </is>
      </c>
      <c r="E3688" s="7" t="inlineStr">
        <is>
          <t>A</t>
        </is>
      </c>
      <c r="F3688" s="13" t="n">
        <v>14</v>
      </c>
      <c r="G3688" s="13" t="n">
        <v>14</v>
      </c>
      <c r="H3688" s="8" t="n">
        <v>8.888299999999999</v>
      </c>
      <c r="I3688" s="8" t="n">
        <v>7.6817</v>
      </c>
      <c r="J3688" s="8" t="n">
        <v>8.340566666666666</v>
      </c>
      <c r="K3688" s="8" t="n"/>
      <c r="L3688" s="8" t="n"/>
      <c r="M3688" s="8" t="n"/>
      <c r="N3688" s="8" t="n"/>
      <c r="O3688" s="8" t="n"/>
      <c r="P3688" s="8" t="n"/>
      <c r="Q3688" s="8" t="n"/>
      <c r="R3688" s="8" t="n"/>
      <c r="S3688" s="8" t="n"/>
      <c r="T3688" s="7" t="inlineStr">
        <is>
          <t>SEM COTAÇÃO</t>
        </is>
      </c>
      <c r="U3688" s="8" t="n"/>
      <c r="V3688" s="14" t="n"/>
      <c r="W3688" s="14" t="n"/>
      <c r="X3688" s="7" t="inlineStr"/>
      <c r="Y3688" s="7" t="inlineStr"/>
    </row>
    <row r="3689">
      <c r="A3689" s="7" t="n">
        <v>953</v>
      </c>
      <c r="B3689" s="12" t="inlineStr">
        <is>
          <t>7894900011609</t>
        </is>
      </c>
      <c r="C3689" s="7" t="inlineStr">
        <is>
          <t>REFRIG COCA COLA 600ML</t>
        </is>
      </c>
      <c r="D3689" s="7" t="inlineStr">
        <is>
          <t>BEBIDAS GERAL</t>
        </is>
      </c>
      <c r="E3689" s="7" t="inlineStr">
        <is>
          <t>B</t>
        </is>
      </c>
      <c r="F3689" s="13" t="n">
        <v>15</v>
      </c>
      <c r="G3689" s="13" t="n">
        <v>15</v>
      </c>
      <c r="H3689" s="8" t="n">
        <v>4.1586</v>
      </c>
      <c r="I3689" s="8" t="n">
        <v>3.1338</v>
      </c>
      <c r="J3689" s="8" t="n">
        <v>3.678166666666667</v>
      </c>
      <c r="K3689" s="8" t="n"/>
      <c r="L3689" s="8" t="n"/>
      <c r="M3689" s="8" t="n"/>
      <c r="N3689" s="8" t="n"/>
      <c r="O3689" s="8" t="n"/>
      <c r="P3689" s="8" t="n"/>
      <c r="Q3689" s="8" t="n"/>
      <c r="R3689" s="8" t="n"/>
      <c r="S3689" s="8" t="n"/>
      <c r="T3689" s="7" t="inlineStr">
        <is>
          <t>SEM COTAÇÃO</t>
        </is>
      </c>
      <c r="U3689" s="8" t="n"/>
      <c r="V3689" s="14" t="n"/>
      <c r="W3689" s="14" t="n"/>
      <c r="X3689" s="7" t="inlineStr"/>
      <c r="Y3689" s="7" t="inlineStr"/>
    </row>
    <row r="3690">
      <c r="A3690" s="7" t="n">
        <v>3123</v>
      </c>
      <c r="B3690" s="12" t="inlineStr"/>
      <c r="C3690" s="7" t="inlineStr">
        <is>
          <t>REFRIG FANTA UVA 2LT</t>
        </is>
      </c>
      <c r="D3690" s="7" t="inlineStr">
        <is>
          <t>BEBIDAS GERAL</t>
        </is>
      </c>
      <c r="E3690" s="7" t="inlineStr">
        <is>
          <t>B</t>
        </is>
      </c>
      <c r="F3690" s="13" t="n">
        <v>6</v>
      </c>
      <c r="G3690" s="13" t="n">
        <v>6</v>
      </c>
      <c r="H3690" s="8" t="n">
        <v>7.625</v>
      </c>
      <c r="I3690" s="8" t="n">
        <v>7.625</v>
      </c>
      <c r="J3690" s="8" t="n">
        <v>7.625</v>
      </c>
      <c r="K3690" s="8" t="n"/>
      <c r="L3690" s="8" t="n"/>
      <c r="M3690" s="8" t="n"/>
      <c r="N3690" s="8" t="n"/>
      <c r="O3690" s="8" t="n"/>
      <c r="P3690" s="8" t="n"/>
      <c r="Q3690" s="8" t="n"/>
      <c r="R3690" s="8" t="n"/>
      <c r="S3690" s="8" t="n"/>
      <c r="T3690" s="7" t="inlineStr">
        <is>
          <t>SEM COTAÇÃO</t>
        </is>
      </c>
      <c r="U3690" s="8" t="n"/>
      <c r="V3690" s="14" t="n"/>
      <c r="W3690" s="14" t="n"/>
      <c r="X3690" s="7" t="inlineStr"/>
      <c r="Y3690" s="7" t="inlineStr"/>
    </row>
    <row r="3691">
      <c r="A3691" s="7" t="n">
        <v>607391</v>
      </c>
      <c r="B3691" s="12" t="inlineStr">
        <is>
          <t>7896058500646</t>
        </is>
      </c>
      <c r="C3691" s="7" t="inlineStr">
        <is>
          <t>REGALIZ FLOR DORI 60G UN</t>
        </is>
      </c>
      <c r="D3691" s="7" t="inlineStr">
        <is>
          <t>CONVENIENCIA</t>
        </is>
      </c>
      <c r="E3691" s="7" t="inlineStr">
        <is>
          <t>B</t>
        </is>
      </c>
      <c r="F3691" s="13" t="n">
        <v>4</v>
      </c>
      <c r="G3691" s="13" t="n">
        <v>4</v>
      </c>
      <c r="H3691" s="8" t="n">
        <v>3.15</v>
      </c>
      <c r="I3691" s="8" t="n">
        <v>3.15</v>
      </c>
      <c r="J3691" s="8" t="n">
        <v>3.15</v>
      </c>
      <c r="K3691" s="8" t="n"/>
      <c r="L3691" s="8" t="n"/>
      <c r="M3691" s="8" t="n"/>
      <c r="N3691" s="8" t="n"/>
      <c r="O3691" s="8" t="n"/>
      <c r="P3691" s="8" t="n"/>
      <c r="Q3691" s="8" t="n"/>
      <c r="R3691" s="8" t="n"/>
      <c r="S3691" s="8" t="n"/>
      <c r="T3691" s="7" t="inlineStr">
        <is>
          <t>SEM COTAÇÃO</t>
        </is>
      </c>
      <c r="U3691" s="8" t="n"/>
      <c r="V3691" s="14" t="n"/>
      <c r="W3691" s="14" t="n"/>
      <c r="X3691" s="7" t="inlineStr"/>
      <c r="Y3691" s="7" t="inlineStr"/>
    </row>
    <row r="3692">
      <c r="A3692" s="7" t="n">
        <v>599711</v>
      </c>
      <c r="B3692" s="12" t="inlineStr"/>
      <c r="C3692" s="7" t="inlineStr">
        <is>
          <t>REGALIZ TIJOLO DORI 60G</t>
        </is>
      </c>
      <c r="D3692" s="7" t="inlineStr">
        <is>
          <t>CONVENIENCIA</t>
        </is>
      </c>
      <c r="E3692" s="7" t="inlineStr">
        <is>
          <t>B</t>
        </is>
      </c>
      <c r="F3692" s="13" t="n">
        <v>2</v>
      </c>
      <c r="G3692" s="13" t="n">
        <v>2</v>
      </c>
      <c r="H3692" s="8" t="n">
        <v>3.15</v>
      </c>
      <c r="I3692" s="8" t="n">
        <v>3.15</v>
      </c>
      <c r="J3692" s="8" t="n">
        <v>3.15</v>
      </c>
      <c r="K3692" s="8" t="n"/>
      <c r="L3692" s="8" t="n"/>
      <c r="M3692" s="8" t="n"/>
      <c r="N3692" s="8" t="n"/>
      <c r="O3692" s="8" t="n"/>
      <c r="P3692" s="8" t="n"/>
      <c r="Q3692" s="8" t="n"/>
      <c r="R3692" s="8" t="n"/>
      <c r="S3692" s="8" t="n"/>
      <c r="T3692" s="7" t="inlineStr">
        <is>
          <t>SEM COTAÇÃO</t>
        </is>
      </c>
      <c r="U3692" s="8" t="n"/>
      <c r="V3692" s="14" t="n"/>
      <c r="W3692" s="14" t="n"/>
      <c r="X3692" s="7" t="inlineStr"/>
      <c r="Y3692" s="7" t="inlineStr"/>
    </row>
    <row r="3693">
      <c r="A3693" s="7" t="n">
        <v>646141</v>
      </c>
      <c r="B3693" s="12" t="inlineStr">
        <is>
          <t>7898610076330</t>
        </is>
      </c>
      <c r="C3693" s="7" t="inlineStr">
        <is>
          <t>REGARV ATIVADOR CACHO 500G TOD PO COWASH</t>
        </is>
      </c>
      <c r="D3693" s="7" t="inlineStr">
        <is>
          <t>COND/SHAM/CREM/SIMILARES</t>
        </is>
      </c>
      <c r="E3693" s="7" t="inlineStr">
        <is>
          <t>C</t>
        </is>
      </c>
      <c r="F3693" s="13" t="n">
        <v>1</v>
      </c>
      <c r="G3693" s="13" t="n">
        <v>1</v>
      </c>
      <c r="H3693" s="8" t="n">
        <v>20.43</v>
      </c>
      <c r="I3693" s="8" t="n">
        <v>20.43</v>
      </c>
      <c r="J3693" s="8" t="n">
        <v>20.43</v>
      </c>
      <c r="K3693" s="8" t="n"/>
      <c r="L3693" s="8" t="n"/>
      <c r="M3693" s="8" t="n"/>
      <c r="N3693" s="8" t="n"/>
      <c r="O3693" s="8" t="n"/>
      <c r="P3693" s="8" t="n"/>
      <c r="Q3693" s="8" t="n"/>
      <c r="R3693" s="8" t="n"/>
      <c r="S3693" s="8" t="n"/>
      <c r="T3693" s="7" t="inlineStr">
        <is>
          <t>SEM COTAÇÃO</t>
        </is>
      </c>
      <c r="U3693" s="8" t="n"/>
      <c r="V3693" s="14" t="n"/>
      <c r="W3693" s="14" t="n"/>
      <c r="X3693" s="7" t="inlineStr"/>
      <c r="Y3693" s="7" t="inlineStr"/>
    </row>
    <row r="3694">
      <c r="A3694" s="7" t="n">
        <v>629401</v>
      </c>
      <c r="B3694" s="12" t="inlineStr">
        <is>
          <t>7898610079324</t>
        </is>
      </c>
      <c r="C3694" s="7" t="inlineStr">
        <is>
          <t>REGARV CCT 1KG 2EM1 DONA ROSA MOSQUETA</t>
        </is>
      </c>
      <c r="D3694" s="7" t="inlineStr">
        <is>
          <t>PERF/COSME</t>
        </is>
      </c>
      <c r="E3694" s="7" t="inlineStr">
        <is>
          <t>C</t>
        </is>
      </c>
      <c r="F3694" s="13" t="n">
        <v>1</v>
      </c>
      <c r="G3694" s="13" t="n">
        <v>1</v>
      </c>
      <c r="H3694" s="8" t="n">
        <v>11.88</v>
      </c>
      <c r="I3694" s="8" t="n">
        <v>11.88</v>
      </c>
      <c r="J3694" s="8" t="n">
        <v>11.88</v>
      </c>
      <c r="K3694" s="8" t="n"/>
      <c r="L3694" s="8" t="n"/>
      <c r="M3694" s="8" t="n"/>
      <c r="N3694" s="8" t="n"/>
      <c r="O3694" s="8" t="n"/>
      <c r="P3694" s="8" t="n"/>
      <c r="Q3694" s="8" t="n"/>
      <c r="R3694" s="8" t="n"/>
      <c r="S3694" s="8" t="n"/>
      <c r="T3694" s="7" t="inlineStr">
        <is>
          <t>SEM COTAÇÃO</t>
        </is>
      </c>
      <c r="U3694" s="8" t="n"/>
      <c r="V3694" s="14" t="n"/>
      <c r="W3694" s="14" t="n"/>
      <c r="X3694" s="7" t="inlineStr"/>
      <c r="Y3694" s="7" t="inlineStr"/>
    </row>
    <row r="3695">
      <c r="A3695" s="7" t="n">
        <v>611341</v>
      </c>
      <c r="B3695" s="12" t="inlineStr">
        <is>
          <t>7898610078334</t>
        </is>
      </c>
      <c r="C3695" s="7" t="inlineStr">
        <is>
          <t>REGARV CCT 1KG AMIDO DE MILHOES</t>
        </is>
      </c>
      <c r="D3695" s="7" t="inlineStr">
        <is>
          <t>PERF/COSME</t>
        </is>
      </c>
      <c r="E3695" s="7" t="inlineStr">
        <is>
          <t>C</t>
        </is>
      </c>
      <c r="F3695" s="13" t="n">
        <v>1</v>
      </c>
      <c r="G3695" s="13" t="n">
        <v>1</v>
      </c>
      <c r="H3695" s="8" t="n">
        <v>11.88</v>
      </c>
      <c r="I3695" s="8" t="n">
        <v>11.88</v>
      </c>
      <c r="J3695" s="8" t="n">
        <v>11.88</v>
      </c>
      <c r="K3695" s="8" t="n"/>
      <c r="L3695" s="8" t="n"/>
      <c r="M3695" s="8" t="n"/>
      <c r="N3695" s="8" t="n"/>
      <c r="O3695" s="8" t="n"/>
      <c r="P3695" s="8" t="n"/>
      <c r="Q3695" s="8" t="n"/>
      <c r="R3695" s="8" t="n"/>
      <c r="S3695" s="8" t="n"/>
      <c r="T3695" s="7" t="inlineStr">
        <is>
          <t>SEM COTAÇÃO</t>
        </is>
      </c>
      <c r="U3695" s="8" t="n"/>
      <c r="V3695" s="14" t="n"/>
      <c r="W3695" s="14" t="n"/>
      <c r="X3695" s="7" t="inlineStr"/>
      <c r="Y3695" s="7" t="inlineStr"/>
    </row>
    <row r="3696">
      <c r="A3696" s="7" t="n">
        <v>608341</v>
      </c>
      <c r="B3696" s="12" t="inlineStr">
        <is>
          <t>7898610078365</t>
        </is>
      </c>
      <c r="C3696" s="7" t="inlineStr">
        <is>
          <t>REGARV CCT 1KG CAPRICHOSA BABOSA</t>
        </is>
      </c>
      <c r="D3696" s="7" t="inlineStr">
        <is>
          <t>PERF/COSME</t>
        </is>
      </c>
      <c r="E3696" s="7" t="inlineStr">
        <is>
          <t>C</t>
        </is>
      </c>
      <c r="F3696" s="13" t="n">
        <v>1</v>
      </c>
      <c r="G3696" s="13" t="n">
        <v>1</v>
      </c>
      <c r="H3696" s="8" t="n">
        <v>10.08</v>
      </c>
      <c r="I3696" s="8" t="n">
        <v>10.08</v>
      </c>
      <c r="J3696" s="8" t="n">
        <v>10.08</v>
      </c>
      <c r="K3696" s="8" t="n"/>
      <c r="L3696" s="8" t="n"/>
      <c r="M3696" s="8" t="n"/>
      <c r="N3696" s="8" t="n"/>
      <c r="O3696" s="8" t="n"/>
      <c r="P3696" s="8" t="n"/>
      <c r="Q3696" s="8" t="n"/>
      <c r="R3696" s="8" t="n"/>
      <c r="S3696" s="8" t="n"/>
      <c r="T3696" s="7" t="inlineStr">
        <is>
          <t>SEM COTAÇÃO</t>
        </is>
      </c>
      <c r="U3696" s="8" t="n"/>
      <c r="V3696" s="14" t="n"/>
      <c r="W3696" s="14" t="n"/>
      <c r="X3696" s="7" t="inlineStr"/>
      <c r="Y3696" s="7" t="inlineStr"/>
    </row>
    <row r="3697">
      <c r="A3697" s="7" t="n">
        <v>608351</v>
      </c>
      <c r="B3697" s="12" t="inlineStr">
        <is>
          <t>7898610078327</t>
        </is>
      </c>
      <c r="C3697" s="7" t="inlineStr">
        <is>
          <t>REGARV CCT 1KG FABULOSOS ONDULADOS</t>
        </is>
      </c>
      <c r="D3697" s="7" t="inlineStr">
        <is>
          <t>PERF/COSME</t>
        </is>
      </c>
      <c r="E3697" s="7" t="inlineStr">
        <is>
          <t>C</t>
        </is>
      </c>
      <c r="F3697" s="13" t="n">
        <v>1</v>
      </c>
      <c r="G3697" s="13" t="n">
        <v>1</v>
      </c>
      <c r="H3697" s="8" t="n">
        <v>11.88</v>
      </c>
      <c r="I3697" s="8" t="n">
        <v>11.88</v>
      </c>
      <c r="J3697" s="8" t="n">
        <v>11.88</v>
      </c>
      <c r="K3697" s="8" t="n"/>
      <c r="L3697" s="8" t="n"/>
      <c r="M3697" s="8" t="n"/>
      <c r="N3697" s="8" t="n"/>
      <c r="O3697" s="8" t="n"/>
      <c r="P3697" s="8" t="n"/>
      <c r="Q3697" s="8" t="n"/>
      <c r="R3697" s="8" t="n"/>
      <c r="S3697" s="8" t="n"/>
      <c r="T3697" s="7" t="inlineStr">
        <is>
          <t>SEM COTAÇÃO</t>
        </is>
      </c>
      <c r="U3697" s="8" t="n"/>
      <c r="V3697" s="14" t="n"/>
      <c r="W3697" s="14" t="n"/>
      <c r="X3697" s="7" t="inlineStr"/>
      <c r="Y3697" s="7" t="inlineStr"/>
    </row>
    <row r="3698">
      <c r="A3698" s="7" t="n">
        <v>629351</v>
      </c>
      <c r="B3698" s="12" t="inlineStr">
        <is>
          <t>7898610078396</t>
        </is>
      </c>
      <c r="C3698" s="7" t="inlineStr">
        <is>
          <t>REGARV CCT 1KG LISO DE ARRASAR</t>
        </is>
      </c>
      <c r="D3698" s="7" t="inlineStr">
        <is>
          <t>PERF/COSME</t>
        </is>
      </c>
      <c r="E3698" s="7" t="inlineStr">
        <is>
          <t>C</t>
        </is>
      </c>
      <c r="F3698" s="13" t="n">
        <v>1</v>
      </c>
      <c r="G3698" s="13" t="n">
        <v>1</v>
      </c>
      <c r="H3698" s="8" t="n">
        <v>11.88</v>
      </c>
      <c r="I3698" s="8" t="n">
        <v>11.88</v>
      </c>
      <c r="J3698" s="8" t="n">
        <v>11.88</v>
      </c>
      <c r="K3698" s="8" t="n"/>
      <c r="L3698" s="8" t="n"/>
      <c r="M3698" s="8" t="n"/>
      <c r="N3698" s="8" t="n"/>
      <c r="O3698" s="8" t="n"/>
      <c r="P3698" s="8" t="n"/>
      <c r="Q3698" s="8" t="n"/>
      <c r="R3698" s="8" t="n"/>
      <c r="S3698" s="8" t="n"/>
      <c r="T3698" s="7" t="inlineStr">
        <is>
          <t>SEM COTAÇÃO</t>
        </is>
      </c>
      <c r="U3698" s="8" t="n"/>
      <c r="V3698" s="14" t="n"/>
      <c r="W3698" s="14" t="n"/>
      <c r="X3698" s="7" t="inlineStr"/>
      <c r="Y3698" s="7" t="inlineStr"/>
    </row>
    <row r="3699">
      <c r="A3699" s="7" t="n">
        <v>616721</v>
      </c>
      <c r="B3699" s="12" t="inlineStr">
        <is>
          <t>7898610078303</t>
        </is>
      </c>
      <c r="C3699" s="7" t="inlineStr">
        <is>
          <t>REGARV CCT 1KG ME CACHEIA MUITO MAIS</t>
        </is>
      </c>
      <c r="D3699" s="7" t="inlineStr">
        <is>
          <t>PERF/COSME</t>
        </is>
      </c>
      <c r="E3699" s="7" t="inlineStr">
        <is>
          <t>C</t>
        </is>
      </c>
      <c r="F3699" s="13" t="n">
        <v>1</v>
      </c>
      <c r="G3699" s="13" t="n">
        <v>1</v>
      </c>
      <c r="H3699" s="8" t="n">
        <v>11.88</v>
      </c>
      <c r="I3699" s="8" t="n">
        <v>11.88</v>
      </c>
      <c r="J3699" s="8" t="n">
        <v>11.88</v>
      </c>
      <c r="K3699" s="8" t="n"/>
      <c r="L3699" s="8" t="n"/>
      <c r="M3699" s="8" t="n"/>
      <c r="N3699" s="8" t="n"/>
      <c r="O3699" s="8" t="n"/>
      <c r="P3699" s="8" t="n"/>
      <c r="Q3699" s="8" t="n"/>
      <c r="R3699" s="8" t="n"/>
      <c r="S3699" s="8" t="n"/>
      <c r="T3699" s="7" t="inlineStr">
        <is>
          <t>SEM COTAÇÃO</t>
        </is>
      </c>
      <c r="U3699" s="8" t="n"/>
      <c r="V3699" s="14" t="n"/>
      <c r="W3699" s="14" t="n"/>
      <c r="X3699" s="7" t="inlineStr"/>
      <c r="Y3699" s="7" t="inlineStr"/>
    </row>
    <row r="3700">
      <c r="A3700" s="7" t="n">
        <v>616731</v>
      </c>
      <c r="B3700" s="12" t="inlineStr">
        <is>
          <t>7898610078310</t>
        </is>
      </c>
      <c r="C3700" s="7" t="inlineStr">
        <is>
          <t>REGARV CCT 1KG SANTO POTAO</t>
        </is>
      </c>
      <c r="D3700" s="7" t="inlineStr">
        <is>
          <t>PERF/COSME</t>
        </is>
      </c>
      <c r="E3700" s="7" t="inlineStr">
        <is>
          <t>C</t>
        </is>
      </c>
      <c r="F3700" s="13" t="n">
        <v>1</v>
      </c>
      <c r="G3700" s="13" t="n">
        <v>1</v>
      </c>
      <c r="H3700" s="8" t="n">
        <v>11.88</v>
      </c>
      <c r="I3700" s="8" t="n">
        <v>11.88</v>
      </c>
      <c r="J3700" s="8" t="n">
        <v>11.88</v>
      </c>
      <c r="K3700" s="8" t="n"/>
      <c r="L3700" s="8" t="n"/>
      <c r="M3700" s="8" t="n"/>
      <c r="N3700" s="8" t="n"/>
      <c r="O3700" s="8" t="n"/>
      <c r="P3700" s="8" t="n"/>
      <c r="Q3700" s="8" t="n"/>
      <c r="R3700" s="8" t="n"/>
      <c r="S3700" s="8" t="n"/>
      <c r="T3700" s="7" t="inlineStr">
        <is>
          <t>SEM COTAÇÃO</t>
        </is>
      </c>
      <c r="U3700" s="8" t="n"/>
      <c r="V3700" s="14" t="n"/>
      <c r="W3700" s="14" t="n"/>
      <c r="X3700" s="7" t="inlineStr"/>
      <c r="Y3700" s="7" t="inlineStr"/>
    </row>
    <row r="3701">
      <c r="A3701" s="7" t="n">
        <v>114041</v>
      </c>
      <c r="B3701" s="12" t="inlineStr">
        <is>
          <t>7896676432886</t>
        </is>
      </c>
      <c r="C3701" s="7" t="inlineStr">
        <is>
          <t>REGENCEL 10000UI+25/5/5MG POM OFT 3,5G</t>
        </is>
      </c>
      <c r="D3701" s="7" t="inlineStr">
        <is>
          <t>RX - SIMILAR - ATB</t>
        </is>
      </c>
      <c r="E3701" s="7" t="inlineStr">
        <is>
          <t>B</t>
        </is>
      </c>
      <c r="F3701" s="13" t="n">
        <v>2</v>
      </c>
      <c r="G3701" s="13" t="n">
        <v>2</v>
      </c>
      <c r="H3701" s="8" t="n">
        <v>13.54</v>
      </c>
      <c r="I3701" s="8" t="n">
        <v>11.94</v>
      </c>
      <c r="J3701" s="8" t="n">
        <v>12.56333333333333</v>
      </c>
      <c r="K3701" s="8" t="n"/>
      <c r="L3701" s="8" t="n"/>
      <c r="M3701" s="8" t="n">
        <v>13.54</v>
      </c>
      <c r="N3701" s="8" t="n"/>
      <c r="O3701" s="15" t="n">
        <v>12.9</v>
      </c>
      <c r="P3701" s="8" t="n">
        <v>13.72</v>
      </c>
      <c r="Q3701" s="8" t="n"/>
      <c r="R3701" s="8" t="n"/>
      <c r="S3701" s="8" t="n"/>
      <c r="T3701" s="7" t="inlineStr">
        <is>
          <t>TAPAJOS</t>
        </is>
      </c>
      <c r="U3701" s="8" t="n">
        <v>12.9</v>
      </c>
      <c r="V3701" s="14">
        <f>U3701/J3701-1</f>
        <v/>
      </c>
      <c r="W3701" s="14">
        <f>U3701/H3701-1</f>
        <v/>
      </c>
      <c r="X3701" s="17" t="inlineStr">
        <is>
          <t>OK (≤ últ. compra)</t>
        </is>
      </c>
      <c r="Y3701" s="7" t="inlineStr"/>
    </row>
    <row r="3702">
      <c r="A3702" s="7" t="n">
        <v>5603</v>
      </c>
      <c r="B3702" s="12" t="inlineStr">
        <is>
          <t>7898767761684</t>
        </is>
      </c>
      <c r="C3702" s="7" t="inlineStr">
        <is>
          <t>REHIDRAX PO C/04 ENVE AGUA DE COCO</t>
        </is>
      </c>
      <c r="D3702" s="7" t="inlineStr">
        <is>
          <t>VITAMINA E SIMILARES</t>
        </is>
      </c>
      <c r="E3702" s="7" t="inlineStr">
        <is>
          <t>C</t>
        </is>
      </c>
      <c r="F3702" s="13" t="n">
        <v>1</v>
      </c>
      <c r="G3702" s="13" t="n">
        <v>1</v>
      </c>
      <c r="H3702" s="8" t="n">
        <v>8.07</v>
      </c>
      <c r="I3702" s="8" t="n">
        <v>8.07</v>
      </c>
      <c r="J3702" s="8" t="n">
        <v>8.07</v>
      </c>
      <c r="K3702" s="15" t="n">
        <v>8.76</v>
      </c>
      <c r="L3702" s="8" t="n"/>
      <c r="M3702" s="8" t="n"/>
      <c r="N3702" s="8" t="n"/>
      <c r="O3702" s="8" t="n"/>
      <c r="P3702" s="8" t="n"/>
      <c r="Q3702" s="8" t="n"/>
      <c r="R3702" s="8" t="n"/>
      <c r="S3702" s="8" t="n"/>
      <c r="T3702" s="7" t="inlineStr">
        <is>
          <t>DIMEC</t>
        </is>
      </c>
      <c r="U3702" s="8" t="n">
        <v>8.76</v>
      </c>
      <c r="V3702" s="14">
        <f>U3702/J3702-1</f>
        <v/>
      </c>
      <c r="W3702" s="14">
        <f>U3702/H3702-1</f>
        <v/>
      </c>
      <c r="X3702" s="16" t="inlineStr">
        <is>
          <t>ACIMA +8.6%</t>
        </is>
      </c>
      <c r="Y3702" s="7" t="inlineStr"/>
    </row>
    <row r="3703">
      <c r="A3703" s="7" t="n">
        <v>5903</v>
      </c>
      <c r="B3703" s="12" t="inlineStr">
        <is>
          <t>7898767761707</t>
        </is>
      </c>
      <c r="C3703" s="7" t="inlineStr">
        <is>
          <t>REHIDRAX PO C/04 ENVE LARANJA</t>
        </is>
      </c>
      <c r="D3703" s="7" t="inlineStr">
        <is>
          <t>VITAMINA E SIMILARES</t>
        </is>
      </c>
      <c r="E3703" s="7" t="inlineStr">
        <is>
          <t>C</t>
        </is>
      </c>
      <c r="F3703" s="13" t="n">
        <v>1</v>
      </c>
      <c r="G3703" s="13" t="n">
        <v>1</v>
      </c>
      <c r="H3703" s="8" t="n">
        <v>8.07</v>
      </c>
      <c r="I3703" s="8" t="n">
        <v>8.07</v>
      </c>
      <c r="J3703" s="8" t="n">
        <v>8.07</v>
      </c>
      <c r="K3703" s="15" t="n">
        <v>8.76</v>
      </c>
      <c r="L3703" s="8" t="n"/>
      <c r="M3703" s="8" t="n"/>
      <c r="N3703" s="8" t="n"/>
      <c r="O3703" s="8" t="n"/>
      <c r="P3703" s="8" t="n"/>
      <c r="Q3703" s="8" t="n"/>
      <c r="R3703" s="8" t="n"/>
      <c r="S3703" s="8" t="n"/>
      <c r="T3703" s="7" t="inlineStr">
        <is>
          <t>DIMEC</t>
        </is>
      </c>
      <c r="U3703" s="8" t="n">
        <v>8.76</v>
      </c>
      <c r="V3703" s="14">
        <f>U3703/J3703-1</f>
        <v/>
      </c>
      <c r="W3703" s="14">
        <f>U3703/H3703-1</f>
        <v/>
      </c>
      <c r="X3703" s="16" t="inlineStr">
        <is>
          <t>ACIMA +8.6%</t>
        </is>
      </c>
      <c r="Y3703" s="7" t="inlineStr"/>
    </row>
    <row r="3704">
      <c r="A3704" s="7" t="n">
        <v>6203</v>
      </c>
      <c r="B3704" s="12" t="inlineStr">
        <is>
          <t>7898767761691</t>
        </is>
      </c>
      <c r="C3704" s="7" t="inlineStr">
        <is>
          <t>REHIDRAX PO C/04 ENVE NATURAL</t>
        </is>
      </c>
      <c r="D3704" s="7" t="inlineStr">
        <is>
          <t>VITAMINA E SIMILARES</t>
        </is>
      </c>
      <c r="E3704" s="7" t="inlineStr">
        <is>
          <t>C</t>
        </is>
      </c>
      <c r="F3704" s="13" t="n">
        <v>1</v>
      </c>
      <c r="G3704" s="13" t="n">
        <v>1</v>
      </c>
      <c r="H3704" s="8" t="n">
        <v>8.07</v>
      </c>
      <c r="I3704" s="8" t="n">
        <v>8.07</v>
      </c>
      <c r="J3704" s="8" t="n">
        <v>8.07</v>
      </c>
      <c r="K3704" s="8" t="n"/>
      <c r="L3704" s="8" t="n"/>
      <c r="M3704" s="8" t="n"/>
      <c r="N3704" s="8" t="n"/>
      <c r="O3704" s="8" t="n"/>
      <c r="P3704" s="8" t="n"/>
      <c r="Q3704" s="8" t="n"/>
      <c r="R3704" s="8" t="n"/>
      <c r="S3704" s="8" t="n"/>
      <c r="T3704" s="7" t="inlineStr">
        <is>
          <t>SEM COTAÇÃO</t>
        </is>
      </c>
      <c r="U3704" s="8" t="n"/>
      <c r="V3704" s="14" t="n"/>
      <c r="W3704" s="14" t="n"/>
      <c r="X3704" s="7" t="inlineStr"/>
      <c r="Y3704" s="7" t="inlineStr"/>
    </row>
    <row r="3705">
      <c r="A3705" s="7" t="n">
        <v>5803</v>
      </c>
      <c r="B3705" s="12" t="inlineStr">
        <is>
          <t>7898767761714</t>
        </is>
      </c>
      <c r="C3705" s="7" t="inlineStr">
        <is>
          <t>REHIDRAX PO C/04 ENVE UVA</t>
        </is>
      </c>
      <c r="D3705" s="7" t="inlineStr">
        <is>
          <t>VITAMINA E SIMILARES</t>
        </is>
      </c>
      <c r="E3705" s="7" t="inlineStr">
        <is>
          <t>C</t>
        </is>
      </c>
      <c r="F3705" s="13" t="n">
        <v>1</v>
      </c>
      <c r="G3705" s="13" t="n">
        <v>1</v>
      </c>
      <c r="H3705" s="8" t="n">
        <v>8.039999999999999</v>
      </c>
      <c r="I3705" s="8" t="n">
        <v>8.039999999999999</v>
      </c>
      <c r="J3705" s="8" t="n">
        <v>8.039999999999999</v>
      </c>
      <c r="K3705" s="8" t="n"/>
      <c r="L3705" s="8" t="n"/>
      <c r="M3705" s="8" t="n"/>
      <c r="N3705" s="8" t="n"/>
      <c r="O3705" s="8" t="n"/>
      <c r="P3705" s="8" t="n"/>
      <c r="Q3705" s="8" t="n"/>
      <c r="R3705" s="8" t="n"/>
      <c r="S3705" s="8" t="n"/>
      <c r="T3705" s="7" t="inlineStr">
        <is>
          <t>SEM COTAÇÃO</t>
        </is>
      </c>
      <c r="U3705" s="8" t="n"/>
      <c r="V3705" s="14" t="n"/>
      <c r="W3705" s="14" t="n"/>
      <c r="X3705" s="7" t="inlineStr"/>
      <c r="Y3705" s="7" t="inlineStr"/>
    </row>
    <row r="3706">
      <c r="A3706" s="7" t="n">
        <v>598301</v>
      </c>
      <c r="B3706" s="12" t="inlineStr"/>
      <c r="C3706" s="7" t="inlineStr">
        <is>
          <t>REMOV ESM FARMAX 100ML S/ACET UVA</t>
        </is>
      </c>
      <c r="D3706" s="7" t="inlineStr">
        <is>
          <t>PERF/COSME</t>
        </is>
      </c>
      <c r="E3706" s="7" t="inlineStr">
        <is>
          <t>B</t>
        </is>
      </c>
      <c r="F3706" s="13" t="n">
        <v>1</v>
      </c>
      <c r="G3706" s="13" t="n">
        <v>1</v>
      </c>
      <c r="H3706" s="8" t="n">
        <v>3.71</v>
      </c>
      <c r="I3706" s="8" t="n">
        <v>3.28</v>
      </c>
      <c r="J3706" s="8" t="n">
        <v>3.566666666666666</v>
      </c>
      <c r="K3706" s="8" t="n"/>
      <c r="L3706" s="8" t="n"/>
      <c r="M3706" s="8" t="n"/>
      <c r="N3706" s="8" t="n"/>
      <c r="O3706" s="8" t="n"/>
      <c r="P3706" s="8" t="n"/>
      <c r="Q3706" s="8" t="n"/>
      <c r="R3706" s="8" t="n"/>
      <c r="S3706" s="8" t="n"/>
      <c r="T3706" s="7" t="inlineStr">
        <is>
          <t>SEM COTAÇÃO</t>
        </is>
      </c>
      <c r="U3706" s="8" t="n"/>
      <c r="V3706" s="14" t="n"/>
      <c r="W3706" s="14" t="n"/>
      <c r="X3706" s="7" t="inlineStr"/>
      <c r="Y3706" s="7" t="inlineStr"/>
    </row>
    <row r="3707">
      <c r="A3707" s="7" t="n">
        <v>598361</v>
      </c>
      <c r="B3707" s="12" t="inlineStr">
        <is>
          <t>7896902201255</t>
        </is>
      </c>
      <c r="C3707" s="7" t="inlineStr">
        <is>
          <t>REMOV ESM FARMAX 100ML S/ACET VITAM</t>
        </is>
      </c>
      <c r="D3707" s="7" t="inlineStr">
        <is>
          <t>PERF/COSME</t>
        </is>
      </c>
      <c r="E3707" s="7" t="inlineStr">
        <is>
          <t>C</t>
        </is>
      </c>
      <c r="F3707" s="13" t="n">
        <v>3</v>
      </c>
      <c r="G3707" s="13" t="n">
        <v>3</v>
      </c>
      <c r="H3707" s="8" t="n">
        <v>4.56</v>
      </c>
      <c r="I3707" s="8" t="n">
        <v>4.56</v>
      </c>
      <c r="J3707" s="8" t="n">
        <v>4.56</v>
      </c>
      <c r="K3707" s="8" t="n"/>
      <c r="L3707" s="8" t="n"/>
      <c r="M3707" s="8" t="n"/>
      <c r="N3707" s="8" t="n"/>
      <c r="O3707" s="8" t="n"/>
      <c r="P3707" s="15" t="n">
        <v>3.79</v>
      </c>
      <c r="Q3707" s="8" t="n"/>
      <c r="R3707" s="8" t="n"/>
      <c r="S3707" s="8" t="n"/>
      <c r="T3707" s="7" t="inlineStr">
        <is>
          <t>NAZARIA</t>
        </is>
      </c>
      <c r="U3707" s="8" t="n">
        <v>3.79</v>
      </c>
      <c r="V3707" s="14">
        <f>U3707/J3707-1</f>
        <v/>
      </c>
      <c r="W3707" s="14">
        <f>U3707/H3707-1</f>
        <v/>
      </c>
      <c r="X3707" s="17" t="inlineStr">
        <is>
          <t>OK (≤ menor hist.)</t>
        </is>
      </c>
      <c r="Y3707" s="7" t="inlineStr"/>
    </row>
    <row r="3708">
      <c r="A3708" s="7" t="n">
        <v>4223</v>
      </c>
      <c r="B3708" s="12" t="inlineStr">
        <is>
          <t>7896221806988</t>
        </is>
      </c>
      <c r="C3708" s="7" t="inlineStr">
        <is>
          <t>REMOVEDOR ACETONA MARCIA 100ML</t>
        </is>
      </c>
      <c r="D3708" s="7" t="inlineStr">
        <is>
          <t>PERF/COSME</t>
        </is>
      </c>
      <c r="E3708" s="7" t="inlineStr">
        <is>
          <t>C</t>
        </is>
      </c>
      <c r="F3708" s="13" t="n">
        <v>10</v>
      </c>
      <c r="G3708" s="13" t="n">
        <v>10</v>
      </c>
      <c r="H3708" s="8" t="n">
        <v>2.38</v>
      </c>
      <c r="I3708" s="8" t="n">
        <v>2.38</v>
      </c>
      <c r="J3708" s="8" t="n">
        <v>2.38</v>
      </c>
      <c r="K3708" s="8" t="n"/>
      <c r="L3708" s="8" t="n"/>
      <c r="M3708" s="8" t="n"/>
      <c r="N3708" s="8" t="n"/>
      <c r="O3708" s="8" t="n"/>
      <c r="P3708" s="8" t="n"/>
      <c r="Q3708" s="8" t="n"/>
      <c r="R3708" s="8" t="n"/>
      <c r="S3708" s="8" t="n"/>
      <c r="T3708" s="7" t="inlineStr">
        <is>
          <t>SEM COTAÇÃO</t>
        </is>
      </c>
      <c r="U3708" s="8" t="n"/>
      <c r="V3708" s="14" t="n"/>
      <c r="W3708" s="14" t="n"/>
      <c r="X3708" s="7" t="inlineStr"/>
      <c r="Y3708" s="7" t="inlineStr"/>
    </row>
    <row r="3709">
      <c r="A3709" s="7" t="n">
        <v>612781</v>
      </c>
      <c r="B3709" s="12" t="inlineStr">
        <is>
          <t>7897161360059</t>
        </is>
      </c>
      <c r="C3709" s="7" t="inlineStr">
        <is>
          <t>REMOVEDOR COM ACETONA ALYNE 100ML</t>
        </is>
      </c>
      <c r="D3709" s="7" t="inlineStr">
        <is>
          <t>PERF/COSME</t>
        </is>
      </c>
      <c r="E3709" s="7" t="inlineStr">
        <is>
          <t>B</t>
        </is>
      </c>
      <c r="F3709" s="13" t="n">
        <v>4</v>
      </c>
      <c r="G3709" s="13" t="n">
        <v>4</v>
      </c>
      <c r="H3709" s="8" t="n">
        <v>3.95</v>
      </c>
      <c r="I3709" s="8" t="n">
        <v>3.95</v>
      </c>
      <c r="J3709" s="8" t="n">
        <v>3.950000000000001</v>
      </c>
      <c r="K3709" s="8" t="n"/>
      <c r="L3709" s="8" t="n"/>
      <c r="M3709" s="8" t="n"/>
      <c r="N3709" s="8" t="n"/>
      <c r="O3709" s="8" t="n"/>
      <c r="P3709" s="8" t="n"/>
      <c r="Q3709" s="8" t="n"/>
      <c r="R3709" s="8" t="n"/>
      <c r="S3709" s="8" t="n"/>
      <c r="T3709" s="7" t="inlineStr">
        <is>
          <t>SEM COTAÇÃO</t>
        </is>
      </c>
      <c r="U3709" s="8" t="n"/>
      <c r="V3709" s="14" t="n"/>
      <c r="W3709" s="14" t="n"/>
      <c r="X3709" s="7" t="inlineStr"/>
      <c r="Y3709" s="7" t="inlineStr"/>
    </row>
    <row r="3710">
      <c r="A3710" s="7" t="n">
        <v>664401</v>
      </c>
      <c r="B3710" s="12" t="inlineStr">
        <is>
          <t>7899420508370</t>
        </is>
      </c>
      <c r="C3710" s="7" t="inlineStr">
        <is>
          <t>RENOVI B PLUS 5+100+100+4,3MG SOL INJ 3 DOSES AMP</t>
        </is>
      </c>
      <c r="D3710" s="7" t="inlineStr">
        <is>
          <t>RX</t>
        </is>
      </c>
      <c r="E3710" s="7" t="inlineStr">
        <is>
          <t>C</t>
        </is>
      </c>
      <c r="F3710" s="13" t="n">
        <v>1</v>
      </c>
      <c r="G3710" s="13" t="n">
        <v>1</v>
      </c>
      <c r="H3710" s="8" t="n">
        <v>37.9567</v>
      </c>
      <c r="I3710" s="8" t="n">
        <v>37.9567</v>
      </c>
      <c r="J3710" s="8" t="n">
        <v>37.9567</v>
      </c>
      <c r="K3710" s="8" t="n"/>
      <c r="L3710" s="8" t="n"/>
      <c r="M3710" s="8" t="n"/>
      <c r="N3710" s="8" t="n"/>
      <c r="O3710" s="8" t="n"/>
      <c r="P3710" s="15" t="n">
        <v>40.55240000000001</v>
      </c>
      <c r="Q3710" s="8" t="n"/>
      <c r="R3710" s="8" t="n"/>
      <c r="S3710" s="8" t="n"/>
      <c r="T3710" s="7" t="inlineStr">
        <is>
          <t>NAZARIA</t>
        </is>
      </c>
      <c r="U3710" s="8" t="n">
        <v>40.55240000000001</v>
      </c>
      <c r="V3710" s="14">
        <f>U3710/J3710-1</f>
        <v/>
      </c>
      <c r="W3710" s="14">
        <f>U3710/H3710-1</f>
        <v/>
      </c>
      <c r="X3710" s="16" t="inlineStr">
        <is>
          <t>ACIMA +6.8%</t>
        </is>
      </c>
      <c r="Y3710" s="7" t="inlineStr"/>
    </row>
    <row r="3711">
      <c r="A3711" s="7" t="n">
        <v>647811</v>
      </c>
      <c r="B3711" s="12" t="inlineStr"/>
      <c r="C3711" s="7" t="inlineStr">
        <is>
          <t>RENU FRESH SOLUCAO 60ML-DEMAIS PROD</t>
        </is>
      </c>
      <c r="D3711" s="7" t="inlineStr">
        <is>
          <t>RX - OTC</t>
        </is>
      </c>
      <c r="E3711" s="7" t="inlineStr">
        <is>
          <t>A</t>
        </is>
      </c>
      <c r="F3711" s="13" t="n">
        <v>1</v>
      </c>
      <c r="G3711" s="13" t="n">
        <v>1</v>
      </c>
      <c r="H3711" s="8" t="n">
        <v>22.2</v>
      </c>
      <c r="I3711" s="8" t="n">
        <v>19.3111</v>
      </c>
      <c r="J3711" s="8" t="n">
        <v>21.23703333333333</v>
      </c>
      <c r="K3711" s="8" t="n"/>
      <c r="L3711" s="8" t="n"/>
      <c r="M3711" s="8" t="n"/>
      <c r="N3711" s="8" t="n"/>
      <c r="O3711" s="8" t="n"/>
      <c r="P3711" s="8" t="n"/>
      <c r="Q3711" s="8" t="n"/>
      <c r="R3711" s="8" t="n"/>
      <c r="S3711" s="8" t="n"/>
      <c r="T3711" s="7" t="inlineStr">
        <is>
          <t>SEM COTAÇÃO</t>
        </is>
      </c>
      <c r="U3711" s="8" t="n"/>
      <c r="V3711" s="14" t="n"/>
      <c r="W3711" s="14" t="n"/>
      <c r="X3711" s="7" t="inlineStr"/>
      <c r="Y3711" s="7" t="inlineStr"/>
    </row>
    <row r="3712">
      <c r="A3712" s="7" t="n">
        <v>553</v>
      </c>
      <c r="B3712" s="12" t="inlineStr">
        <is>
          <t>310119033227</t>
        </is>
      </c>
      <c r="C3712" s="7" t="inlineStr">
        <is>
          <t>RENU PLUS SOL MULTI-USO S/ FRICCAO FR 120ML (+12% IPI)</t>
        </is>
      </c>
      <c r="D3712" s="7" t="inlineStr">
        <is>
          <t>RX - OTC</t>
        </is>
      </c>
      <c r="E3712" s="7" t="inlineStr">
        <is>
          <t>B</t>
        </is>
      </c>
      <c r="F3712" s="13" t="n">
        <v>1</v>
      </c>
      <c r="G3712" s="13" t="n">
        <v>1</v>
      </c>
      <c r="H3712" s="8" t="n">
        <v>37.74</v>
      </c>
      <c r="I3712" s="8" t="n">
        <v>31.97</v>
      </c>
      <c r="J3712" s="8" t="n">
        <v>35.81666666666667</v>
      </c>
      <c r="K3712" s="8" t="n"/>
      <c r="L3712" s="8" t="n"/>
      <c r="M3712" s="15" t="n">
        <v>34.72</v>
      </c>
      <c r="N3712" s="8" t="n"/>
      <c r="O3712" s="8" t="n"/>
      <c r="P3712" s="8" t="n">
        <v>43.41</v>
      </c>
      <c r="Q3712" s="8" t="n"/>
      <c r="R3712" s="8" t="n"/>
      <c r="S3712" s="8" t="n"/>
      <c r="T3712" s="7" t="inlineStr">
        <is>
          <t>EPAN</t>
        </is>
      </c>
      <c r="U3712" s="8" t="n">
        <v>34.72</v>
      </c>
      <c r="V3712" s="14">
        <f>U3712/J3712-1</f>
        <v/>
      </c>
      <c r="W3712" s="14">
        <f>U3712/H3712-1</f>
        <v/>
      </c>
      <c r="X3712" s="17" t="inlineStr">
        <is>
          <t>OK (≤ últ. compra)</t>
        </is>
      </c>
      <c r="Y3712" s="7" t="inlineStr"/>
    </row>
    <row r="3713">
      <c r="A3713" s="7" t="n">
        <v>544681</v>
      </c>
      <c r="B3713" s="12" t="inlineStr">
        <is>
          <t>7894650079423</t>
        </is>
      </c>
      <c r="C3713" s="7" t="inlineStr">
        <is>
          <t>REP OFF FAMILY LOCAO 100ML</t>
        </is>
      </c>
      <c r="D3713" s="7" t="inlineStr">
        <is>
          <t>PERF/COSME</t>
        </is>
      </c>
      <c r="E3713" s="7" t="inlineStr">
        <is>
          <t>C</t>
        </is>
      </c>
      <c r="F3713" s="13" t="n">
        <v>2</v>
      </c>
      <c r="G3713" s="13" t="n">
        <v>2</v>
      </c>
      <c r="H3713" s="8" t="n">
        <v>16.21</v>
      </c>
      <c r="I3713" s="8" t="n">
        <v>16.21</v>
      </c>
      <c r="J3713" s="8" t="n">
        <v>16.21</v>
      </c>
      <c r="K3713" s="8" t="n"/>
      <c r="L3713" s="8" t="n"/>
      <c r="M3713" s="8" t="n"/>
      <c r="N3713" s="8" t="n"/>
      <c r="O3713" s="8" t="n"/>
      <c r="P3713" s="8" t="n"/>
      <c r="Q3713" s="8" t="n"/>
      <c r="R3713" s="8" t="n"/>
      <c r="S3713" s="8" t="n"/>
      <c r="T3713" s="7" t="inlineStr">
        <is>
          <t>SEM COTAÇÃO</t>
        </is>
      </c>
      <c r="U3713" s="8" t="n"/>
      <c r="V3713" s="14" t="n"/>
      <c r="W3713" s="14" t="n"/>
      <c r="X3713" s="7" t="inlineStr"/>
      <c r="Y3713" s="7" t="inlineStr"/>
    </row>
    <row r="3714">
      <c r="A3714" s="7" t="n">
        <v>607761</v>
      </c>
      <c r="B3714" s="12" t="inlineStr">
        <is>
          <t>7894650009567</t>
        </is>
      </c>
      <c r="C3714" s="7" t="inlineStr">
        <is>
          <t>REP OFF FAMILY SPRAY 170ML</t>
        </is>
      </c>
      <c r="D3714" s="7" t="inlineStr">
        <is>
          <t>PERF/COSME</t>
        </is>
      </c>
      <c r="E3714" s="7" t="inlineStr">
        <is>
          <t>C</t>
        </is>
      </c>
      <c r="F3714" s="13" t="n">
        <v>2</v>
      </c>
      <c r="G3714" s="13" t="n">
        <v>2</v>
      </c>
      <c r="H3714" s="8" t="n">
        <v>18.38</v>
      </c>
      <c r="I3714" s="8" t="n">
        <v>18.38</v>
      </c>
      <c r="J3714" s="8" t="n">
        <v>18.38</v>
      </c>
      <c r="K3714" s="8" t="n"/>
      <c r="L3714" s="8" t="n"/>
      <c r="M3714" s="8" t="n"/>
      <c r="N3714" s="8" t="n"/>
      <c r="O3714" s="8" t="n"/>
      <c r="P3714" s="15" t="n">
        <v>17.2</v>
      </c>
      <c r="Q3714" s="8" t="n"/>
      <c r="R3714" s="8" t="n"/>
      <c r="S3714" s="8" t="n"/>
      <c r="T3714" s="7" t="inlineStr">
        <is>
          <t>NAZARIA</t>
        </is>
      </c>
      <c r="U3714" s="8" t="n">
        <v>17.2</v>
      </c>
      <c r="V3714" s="14">
        <f>U3714/J3714-1</f>
        <v/>
      </c>
      <c r="W3714" s="14">
        <f>U3714/H3714-1</f>
        <v/>
      </c>
      <c r="X3714" s="17" t="inlineStr">
        <is>
          <t>OK (≤ menor hist.)</t>
        </is>
      </c>
      <c r="Y3714" s="7" t="inlineStr"/>
    </row>
    <row r="3715">
      <c r="A3715" s="7" t="n">
        <v>544781</v>
      </c>
      <c r="B3715" s="12" t="inlineStr">
        <is>
          <t>7894650005712</t>
        </is>
      </c>
      <c r="C3715" s="7" t="inlineStr">
        <is>
          <t>REP OFF KIDS LOCAO 117ML</t>
        </is>
      </c>
      <c r="D3715" s="7" t="inlineStr">
        <is>
          <t>PERF/COSME</t>
        </is>
      </c>
      <c r="E3715" s="7" t="inlineStr">
        <is>
          <t>C</t>
        </is>
      </c>
      <c r="F3715" s="13" t="n">
        <v>3</v>
      </c>
      <c r="G3715" s="13" t="n">
        <v>3</v>
      </c>
      <c r="H3715" s="8" t="n">
        <v>20.92</v>
      </c>
      <c r="I3715" s="8" t="n">
        <v>20.92</v>
      </c>
      <c r="J3715" s="8" t="n">
        <v>20.92</v>
      </c>
      <c r="K3715" s="8" t="n"/>
      <c r="L3715" s="8" t="n"/>
      <c r="M3715" s="8" t="n"/>
      <c r="N3715" s="8" t="n"/>
      <c r="O3715" s="8" t="n"/>
      <c r="P3715" s="15" t="n">
        <v>19.84</v>
      </c>
      <c r="Q3715" s="8" t="n"/>
      <c r="R3715" s="8" t="n"/>
      <c r="S3715" s="8" t="n"/>
      <c r="T3715" s="7" t="inlineStr">
        <is>
          <t>NAZARIA</t>
        </is>
      </c>
      <c r="U3715" s="8" t="n">
        <v>19.84</v>
      </c>
      <c r="V3715" s="14">
        <f>U3715/J3715-1</f>
        <v/>
      </c>
      <c r="W3715" s="14">
        <f>U3715/H3715-1</f>
        <v/>
      </c>
      <c r="X3715" s="17" t="inlineStr">
        <is>
          <t>OK (≤ menor hist.)</t>
        </is>
      </c>
      <c r="Y3715" s="7" t="inlineStr"/>
    </row>
    <row r="3716">
      <c r="A3716" s="7" t="n">
        <v>551901</v>
      </c>
      <c r="B3716" s="12" t="inlineStr">
        <is>
          <t>7898211382632</t>
        </is>
      </c>
      <c r="C3716" s="7" t="inlineStr">
        <is>
          <t>REP PONTAS FIXED BAB</t>
        </is>
      </c>
      <c r="D3716" s="7" t="inlineStr">
        <is>
          <t>PERF/COSME</t>
        </is>
      </c>
      <c r="E3716" s="7" t="inlineStr">
        <is>
          <t>C</t>
        </is>
      </c>
      <c r="F3716" s="13" t="n">
        <v>3</v>
      </c>
      <c r="G3716" s="13" t="n">
        <v>3</v>
      </c>
      <c r="H3716" s="8" t="n">
        <v>5.59</v>
      </c>
      <c r="I3716" s="8" t="n">
        <v>5.59</v>
      </c>
      <c r="J3716" s="8" t="n">
        <v>5.59</v>
      </c>
      <c r="K3716" s="8" t="n"/>
      <c r="L3716" s="8" t="n"/>
      <c r="M3716" s="8" t="n"/>
      <c r="N3716" s="8" t="n"/>
      <c r="O3716" s="8" t="n"/>
      <c r="P3716" s="8" t="n"/>
      <c r="Q3716" s="8" t="n"/>
      <c r="R3716" s="8" t="n"/>
      <c r="S3716" s="8" t="n"/>
      <c r="T3716" s="7" t="inlineStr">
        <is>
          <t>SEM COTAÇÃO</t>
        </is>
      </c>
      <c r="U3716" s="8" t="n"/>
      <c r="V3716" s="14" t="n"/>
      <c r="W3716" s="14" t="n"/>
      <c r="X3716" s="7" t="inlineStr"/>
      <c r="Y3716" s="7" t="inlineStr"/>
    </row>
    <row r="3717">
      <c r="A3717" s="7" t="n">
        <v>598691</v>
      </c>
      <c r="B3717" s="12" t="inlineStr">
        <is>
          <t>7898211380515</t>
        </is>
      </c>
      <c r="C3717" s="7" t="inlineStr">
        <is>
          <t>REP. DE PONTAS COND CERAMIDAS 30ML</t>
        </is>
      </c>
      <c r="D3717" s="7" t="inlineStr">
        <is>
          <t>PERF/COSME</t>
        </is>
      </c>
      <c r="E3717" s="7" t="inlineStr">
        <is>
          <t>C</t>
        </is>
      </c>
      <c r="F3717" s="13" t="n">
        <v>1</v>
      </c>
      <c r="G3717" s="13" t="n">
        <v>1</v>
      </c>
      <c r="H3717" s="8" t="n">
        <v>5.94</v>
      </c>
      <c r="I3717" s="8" t="n">
        <v>5.94</v>
      </c>
      <c r="J3717" s="8" t="n">
        <v>5.94</v>
      </c>
      <c r="K3717" s="8" t="n"/>
      <c r="L3717" s="8" t="n"/>
      <c r="M3717" s="8" t="n"/>
      <c r="N3717" s="8" t="n"/>
      <c r="O3717" s="8" t="n"/>
      <c r="P3717" s="8" t="n"/>
      <c r="Q3717" s="8" t="n"/>
      <c r="R3717" s="8" t="n"/>
      <c r="S3717" s="8" t="n"/>
      <c r="T3717" s="7" t="inlineStr">
        <is>
          <t>SEM COTAÇÃO</t>
        </is>
      </c>
      <c r="U3717" s="8" t="n"/>
      <c r="V3717" s="14" t="n"/>
      <c r="W3717" s="14" t="n"/>
      <c r="X3717" s="7" t="inlineStr"/>
      <c r="Y3717" s="7" t="inlineStr"/>
    </row>
    <row r="3718">
      <c r="A3718" s="7" t="n">
        <v>658221</v>
      </c>
      <c r="B3718" s="12" t="inlineStr">
        <is>
          <t>7898132989958</t>
        </is>
      </c>
      <c r="C3718" s="7" t="inlineStr">
        <is>
          <t>REPARADOR DE PONTAS +NUTRICAO 55ML</t>
        </is>
      </c>
      <c r="D3718" s="7" t="inlineStr">
        <is>
          <t>COND/SHAM/CREM/SIMILARES</t>
        </is>
      </c>
      <c r="E3718" s="7" t="inlineStr">
        <is>
          <t>C</t>
        </is>
      </c>
      <c r="F3718" s="13" t="n">
        <v>1</v>
      </c>
      <c r="G3718" s="13" t="n">
        <v>1</v>
      </c>
      <c r="H3718" s="8" t="n">
        <v>32.24</v>
      </c>
      <c r="I3718" s="8" t="n">
        <v>32.24</v>
      </c>
      <c r="J3718" s="8" t="n">
        <v>32.24</v>
      </c>
      <c r="K3718" s="8" t="n"/>
      <c r="L3718" s="8" t="n"/>
      <c r="M3718" s="8" t="n"/>
      <c r="N3718" s="8" t="n"/>
      <c r="O3718" s="8" t="n"/>
      <c r="P3718" s="8" t="n"/>
      <c r="Q3718" s="8" t="n"/>
      <c r="R3718" s="8" t="n"/>
      <c r="S3718" s="8" t="n"/>
      <c r="T3718" s="7" t="inlineStr">
        <is>
          <t>SEM COTAÇÃO</t>
        </is>
      </c>
      <c r="U3718" s="8" t="n"/>
      <c r="V3718" s="14" t="n"/>
      <c r="W3718" s="14" t="n"/>
      <c r="X3718" s="7" t="inlineStr"/>
      <c r="Y3718" s="7" t="inlineStr"/>
    </row>
    <row r="3719">
      <c r="A3719" s="7" t="n">
        <v>641441</v>
      </c>
      <c r="B3719" s="12" t="inlineStr">
        <is>
          <t>7898610375051</t>
        </is>
      </c>
      <c r="C3719" s="7" t="inlineStr">
        <is>
          <t>REPARADOR DE PONTAS MANDIOCA 35ML</t>
        </is>
      </c>
      <c r="D3719" s="7" t="inlineStr">
        <is>
          <t>COND/SHAM/CREM/SIMILARES</t>
        </is>
      </c>
      <c r="E3719" s="7" t="inlineStr">
        <is>
          <t>A</t>
        </is>
      </c>
      <c r="F3719" s="13" t="n">
        <v>1</v>
      </c>
      <c r="G3719" s="13" t="n">
        <v>1</v>
      </c>
      <c r="H3719" s="8" t="n">
        <v>24.6</v>
      </c>
      <c r="I3719" s="8" t="n">
        <v>24.6</v>
      </c>
      <c r="J3719" s="8" t="n">
        <v>24.6</v>
      </c>
      <c r="K3719" s="8" t="n"/>
      <c r="L3719" s="8" t="n"/>
      <c r="M3719" s="8" t="n"/>
      <c r="N3719" s="8" t="n"/>
      <c r="O3719" s="8" t="n"/>
      <c r="P3719" s="8" t="n"/>
      <c r="Q3719" s="8" t="n"/>
      <c r="R3719" s="8" t="n"/>
      <c r="S3719" s="8" t="n"/>
      <c r="T3719" s="7" t="inlineStr">
        <is>
          <t>SEM COTAÇÃO</t>
        </is>
      </c>
      <c r="U3719" s="8" t="n"/>
      <c r="V3719" s="14" t="n"/>
      <c r="W3719" s="14" t="n"/>
      <c r="X3719" s="7" t="inlineStr"/>
      <c r="Y3719" s="7" t="inlineStr"/>
    </row>
    <row r="3720">
      <c r="A3720" s="7" t="n">
        <v>562261</v>
      </c>
      <c r="B3720" s="12" t="inlineStr">
        <is>
          <t>7898211380362</t>
        </is>
      </c>
      <c r="C3720" s="7" t="inlineStr">
        <is>
          <t>REPARADOR PONTAS FIXED FILTRO SOLAR 30ML</t>
        </is>
      </c>
      <c r="D3720" s="7" t="inlineStr">
        <is>
          <t>PERF/COSME</t>
        </is>
      </c>
      <c r="E3720" s="7" t="inlineStr">
        <is>
          <t>B</t>
        </is>
      </c>
      <c r="F3720" s="13" t="n">
        <v>1</v>
      </c>
      <c r="G3720" s="13" t="n">
        <v>1</v>
      </c>
      <c r="H3720" s="8" t="n">
        <v>7.47</v>
      </c>
      <c r="I3720" s="8" t="n">
        <v>7.47</v>
      </c>
      <c r="J3720" s="8" t="n">
        <v>7.47</v>
      </c>
      <c r="K3720" s="8" t="n"/>
      <c r="L3720" s="8" t="n"/>
      <c r="M3720" s="8" t="n"/>
      <c r="N3720" s="8" t="n"/>
      <c r="O3720" s="8" t="n"/>
      <c r="P3720" s="8" t="n"/>
      <c r="Q3720" s="8" t="n"/>
      <c r="R3720" s="8" t="n"/>
      <c r="S3720" s="8" t="n"/>
      <c r="T3720" s="7" t="inlineStr">
        <is>
          <t>SEM COTAÇÃO</t>
        </is>
      </c>
      <c r="U3720" s="8" t="n"/>
      <c r="V3720" s="14" t="n"/>
      <c r="W3720" s="14" t="n"/>
      <c r="X3720" s="7" t="inlineStr"/>
      <c r="Y3720" s="7" t="inlineStr"/>
    </row>
    <row r="3721">
      <c r="A3721" s="7" t="n">
        <v>567901</v>
      </c>
      <c r="B3721" s="12" t="inlineStr">
        <is>
          <t>7898211381604</t>
        </is>
      </c>
      <c r="C3721" s="7" t="inlineStr">
        <is>
          <t>REPARADOR PONTAS FIXED OLEO DE ARGAN 30ML</t>
        </is>
      </c>
      <c r="D3721" s="7" t="inlineStr">
        <is>
          <t>PERF/COSME</t>
        </is>
      </c>
      <c r="E3721" s="7" t="inlineStr">
        <is>
          <t>B</t>
        </is>
      </c>
      <c r="F3721" s="13" t="n">
        <v>3</v>
      </c>
      <c r="G3721" s="13" t="n">
        <v>3</v>
      </c>
      <c r="H3721" s="8" t="n">
        <v>7.47</v>
      </c>
      <c r="I3721" s="8" t="n">
        <v>7.47</v>
      </c>
      <c r="J3721" s="8" t="n">
        <v>7.47</v>
      </c>
      <c r="K3721" s="8" t="n"/>
      <c r="L3721" s="8" t="n"/>
      <c r="M3721" s="8" t="n"/>
      <c r="N3721" s="8" t="n"/>
      <c r="O3721" s="8" t="n"/>
      <c r="P3721" s="8" t="n"/>
      <c r="Q3721" s="8" t="n"/>
      <c r="R3721" s="8" t="n"/>
      <c r="S3721" s="8" t="n"/>
      <c r="T3721" s="7" t="inlineStr">
        <is>
          <t>SEM COTAÇÃO</t>
        </is>
      </c>
      <c r="U3721" s="8" t="n"/>
      <c r="V3721" s="14" t="n"/>
      <c r="W3721" s="14" t="n"/>
      <c r="X3721" s="7" t="inlineStr"/>
      <c r="Y3721" s="7" t="inlineStr"/>
    </row>
    <row r="3722">
      <c r="A3722" s="7" t="n">
        <v>567861</v>
      </c>
      <c r="B3722" s="12" t="inlineStr">
        <is>
          <t>7898211380850</t>
        </is>
      </c>
      <c r="C3722" s="7" t="inlineStr">
        <is>
          <t>REPARADOR PONTAS FIXED QUERATINA 30ML</t>
        </is>
      </c>
      <c r="D3722" s="7" t="inlineStr">
        <is>
          <t>PERF/COSME</t>
        </is>
      </c>
      <c r="E3722" s="7" t="inlineStr">
        <is>
          <t>B</t>
        </is>
      </c>
      <c r="F3722" s="13" t="n">
        <v>1</v>
      </c>
      <c r="G3722" s="13" t="n">
        <v>1</v>
      </c>
      <c r="H3722" s="8" t="n">
        <v>7.47</v>
      </c>
      <c r="I3722" s="8" t="n">
        <v>7.47</v>
      </c>
      <c r="J3722" s="8" t="n">
        <v>7.47</v>
      </c>
      <c r="K3722" s="8" t="n"/>
      <c r="L3722" s="8" t="n"/>
      <c r="M3722" s="8" t="n"/>
      <c r="N3722" s="8" t="n"/>
      <c r="O3722" s="8" t="n"/>
      <c r="P3722" s="8" t="n"/>
      <c r="Q3722" s="8" t="n"/>
      <c r="R3722" s="8" t="n"/>
      <c r="S3722" s="8" t="n"/>
      <c r="T3722" s="7" t="inlineStr">
        <is>
          <t>SEM COTAÇÃO</t>
        </is>
      </c>
      <c r="U3722" s="8" t="n"/>
      <c r="V3722" s="14" t="n"/>
      <c r="W3722" s="14" t="n"/>
      <c r="X3722" s="7" t="inlineStr"/>
      <c r="Y3722" s="7" t="inlineStr"/>
    </row>
    <row r="3723">
      <c r="A3723" s="7" t="n">
        <v>431061</v>
      </c>
      <c r="B3723" s="12" t="inlineStr">
        <is>
          <t>7898560661563</t>
        </is>
      </c>
      <c r="C3723" s="7" t="inlineStr">
        <is>
          <t>REPARIL 10+50MG/G GEL BG 30G</t>
        </is>
      </c>
      <c r="D3723" s="7" t="inlineStr">
        <is>
          <t>RX - OTC</t>
        </is>
      </c>
      <c r="E3723" s="7" t="inlineStr">
        <is>
          <t>A</t>
        </is>
      </c>
      <c r="F3723" s="13" t="n">
        <v>5</v>
      </c>
      <c r="G3723" s="13" t="n">
        <v>5</v>
      </c>
      <c r="H3723" s="8" t="n">
        <v>32.3</v>
      </c>
      <c r="I3723" s="8" t="n">
        <v>27.27</v>
      </c>
      <c r="J3723" s="8" t="n">
        <v>29.5525</v>
      </c>
      <c r="K3723" s="8" t="n"/>
      <c r="L3723" s="8" t="n"/>
      <c r="M3723" s="8" t="n"/>
      <c r="N3723" s="8" t="n"/>
      <c r="O3723" s="8" t="n"/>
      <c r="P3723" s="8" t="n">
        <v>32.3301</v>
      </c>
      <c r="Q3723" s="8" t="n"/>
      <c r="R3723" s="8" t="n"/>
      <c r="S3723" s="8" t="n"/>
      <c r="T3723" s="7" t="inlineStr">
        <is>
          <t>SEM COTAÇÃO</t>
        </is>
      </c>
      <c r="U3723" s="8" t="n"/>
      <c r="V3723" s="14" t="n"/>
      <c r="W3723" s="14" t="n"/>
      <c r="X3723" s="7" t="inlineStr"/>
      <c r="Y3723" s="7" t="inlineStr">
        <is>
          <t>NAZARIA: sem estoque</t>
        </is>
      </c>
    </row>
    <row r="3724">
      <c r="A3724" s="7" t="n">
        <v>1603</v>
      </c>
      <c r="B3724" s="12" t="inlineStr">
        <is>
          <t>7891010913908</t>
        </is>
      </c>
      <c r="C3724" s="7" t="inlineStr">
        <is>
          <t>REPEL J&amp;J BABY ANTI MOSQ 200ML-DEMAIS PROD</t>
        </is>
      </c>
      <c r="D3724" s="7" t="inlineStr">
        <is>
          <t>PERF/COSME</t>
        </is>
      </c>
      <c r="E3724" s="7" t="inlineStr">
        <is>
          <t>C</t>
        </is>
      </c>
      <c r="F3724" s="13" t="n">
        <v>1</v>
      </c>
      <c r="G3724" s="13" t="n">
        <v>1</v>
      </c>
      <c r="H3724" s="8" t="n">
        <v>50.15</v>
      </c>
      <c r="I3724" s="8" t="n">
        <v>50.15</v>
      </c>
      <c r="J3724" s="8" t="n">
        <v>50.15</v>
      </c>
      <c r="K3724" s="8" t="n"/>
      <c r="L3724" s="8" t="n"/>
      <c r="M3724" s="8" t="n"/>
      <c r="N3724" s="8" t="n"/>
      <c r="O3724" s="8" t="n"/>
      <c r="P3724" s="15" t="n">
        <v>66.73</v>
      </c>
      <c r="Q3724" s="8" t="n"/>
      <c r="R3724" s="8" t="n"/>
      <c r="S3724" s="8" t="n"/>
      <c r="T3724" s="7" t="inlineStr">
        <is>
          <t>NAZARIA</t>
        </is>
      </c>
      <c r="U3724" s="8" t="n">
        <v>66.73</v>
      </c>
      <c r="V3724" s="14">
        <f>U3724/J3724-1</f>
        <v/>
      </c>
      <c r="W3724" s="14">
        <f>U3724/H3724-1</f>
        <v/>
      </c>
      <c r="X3724" s="16" t="inlineStr">
        <is>
          <t>ACIMA +33.1%</t>
        </is>
      </c>
      <c r="Y3724" s="7" t="inlineStr"/>
    </row>
    <row r="3725">
      <c r="A3725" s="7" t="n">
        <v>590231</v>
      </c>
      <c r="B3725" s="12" t="inlineStr">
        <is>
          <t>7894650940006</t>
        </is>
      </c>
      <c r="C3725" s="7" t="inlineStr">
        <is>
          <t>REPEL OFF LOCAO 200ML OF</t>
        </is>
      </c>
      <c r="D3725" s="7" t="inlineStr">
        <is>
          <t>PERF/COSME</t>
        </is>
      </c>
      <c r="E3725" s="7" t="inlineStr">
        <is>
          <t>B</t>
        </is>
      </c>
      <c r="F3725" s="13" t="n">
        <v>4</v>
      </c>
      <c r="G3725" s="13" t="n">
        <v>4</v>
      </c>
      <c r="H3725" s="8" t="n">
        <v>19.9</v>
      </c>
      <c r="I3725" s="8" t="n">
        <v>19.9</v>
      </c>
      <c r="J3725" s="8" t="n">
        <v>19.9</v>
      </c>
      <c r="K3725" s="8" t="n"/>
      <c r="L3725" s="8" t="n"/>
      <c r="M3725" s="8" t="n"/>
      <c r="N3725" s="8" t="n"/>
      <c r="O3725" s="8" t="n"/>
      <c r="P3725" s="15" t="n">
        <v>17.09</v>
      </c>
      <c r="Q3725" s="8" t="n"/>
      <c r="R3725" s="8" t="n"/>
      <c r="S3725" s="8" t="n"/>
      <c r="T3725" s="7" t="inlineStr">
        <is>
          <t>NAZARIA</t>
        </is>
      </c>
      <c r="U3725" s="8" t="n">
        <v>17.09</v>
      </c>
      <c r="V3725" s="14">
        <f>U3725/J3725-1</f>
        <v/>
      </c>
      <c r="W3725" s="14">
        <f>U3725/H3725-1</f>
        <v/>
      </c>
      <c r="X3725" s="17" t="inlineStr">
        <is>
          <t>OK (≤ menor hist.)</t>
        </is>
      </c>
      <c r="Y3725" s="7" t="inlineStr"/>
    </row>
    <row r="3726">
      <c r="A3726" s="7" t="n">
        <v>590241</v>
      </c>
      <c r="B3726" s="12" t="inlineStr">
        <is>
          <t>7894650013380</t>
        </is>
      </c>
      <c r="C3726" s="7" t="inlineStr">
        <is>
          <t>REPEL OFF LOCAO BABY 117ML</t>
        </is>
      </c>
      <c r="D3726" s="7" t="inlineStr">
        <is>
          <t>PERF/COSME</t>
        </is>
      </c>
      <c r="E3726" s="7" t="inlineStr">
        <is>
          <t>C</t>
        </is>
      </c>
      <c r="F3726" s="13" t="n">
        <v>1</v>
      </c>
      <c r="G3726" s="13" t="n">
        <v>1</v>
      </c>
      <c r="H3726" s="8" t="n">
        <v>25.34</v>
      </c>
      <c r="I3726" s="8" t="n">
        <v>25.34</v>
      </c>
      <c r="J3726" s="8" t="n">
        <v>25.34</v>
      </c>
      <c r="K3726" s="8" t="n"/>
      <c r="L3726" s="8" t="n"/>
      <c r="M3726" s="8" t="n"/>
      <c r="N3726" s="8" t="n"/>
      <c r="O3726" s="8" t="n"/>
      <c r="P3726" s="15" t="n">
        <v>27.22</v>
      </c>
      <c r="Q3726" s="8" t="n"/>
      <c r="R3726" s="8" t="n"/>
      <c r="S3726" s="8" t="n"/>
      <c r="T3726" s="7" t="inlineStr">
        <is>
          <t>NAZARIA</t>
        </is>
      </c>
      <c r="U3726" s="8" t="n">
        <v>27.22</v>
      </c>
      <c r="V3726" s="14">
        <f>U3726/J3726-1</f>
        <v/>
      </c>
      <c r="W3726" s="14">
        <f>U3726/H3726-1</f>
        <v/>
      </c>
      <c r="X3726" s="16" t="inlineStr">
        <is>
          <t>ACIMA +7.4%</t>
        </is>
      </c>
      <c r="Y3726" s="7" t="inlineStr"/>
    </row>
    <row r="3727">
      <c r="A3727" s="7" t="n">
        <v>2193</v>
      </c>
      <c r="B3727" s="12" t="inlineStr">
        <is>
          <t>7896902212497</t>
        </is>
      </c>
      <c r="C3727" s="7" t="inlineStr">
        <is>
          <t>REPELENTE BABY FARMAX MOSKITOFF 100ML</t>
        </is>
      </c>
      <c r="D3727" s="7" t="inlineStr">
        <is>
          <t>PERF/COSME</t>
        </is>
      </c>
      <c r="E3727" s="7" t="inlineStr">
        <is>
          <t>C</t>
        </is>
      </c>
      <c r="F3727" s="13" t="n">
        <v>1</v>
      </c>
      <c r="G3727" s="13" t="n">
        <v>1</v>
      </c>
      <c r="H3727" s="8" t="n">
        <v>20.39</v>
      </c>
      <c r="I3727" s="8" t="n">
        <v>20.39</v>
      </c>
      <c r="J3727" s="8" t="n">
        <v>20.39</v>
      </c>
      <c r="K3727" s="8" t="n">
        <v>16.97</v>
      </c>
      <c r="L3727" s="8" t="n">
        <v>99999999</v>
      </c>
      <c r="M3727" s="8" t="n"/>
      <c r="N3727" s="15" t="n">
        <v>16.83</v>
      </c>
      <c r="O3727" s="8" t="n"/>
      <c r="P3727" s="8" t="n"/>
      <c r="Q3727" s="8" t="n"/>
      <c r="R3727" s="8" t="n"/>
      <c r="S3727" s="8" t="n"/>
      <c r="T3727" s="7" t="inlineStr">
        <is>
          <t>CENTROFARMA</t>
        </is>
      </c>
      <c r="U3727" s="8" t="n">
        <v>16.83</v>
      </c>
      <c r="V3727" s="14">
        <f>U3727/J3727-1</f>
        <v/>
      </c>
      <c r="W3727" s="14">
        <f>U3727/H3727-1</f>
        <v/>
      </c>
      <c r="X3727" s="17" t="inlineStr">
        <is>
          <t>OK (≤ menor hist.)</t>
        </is>
      </c>
      <c r="Y3727" s="7" t="inlineStr">
        <is>
          <t>PLUSFARMA: conferir emb.</t>
        </is>
      </c>
    </row>
    <row r="3728">
      <c r="A3728" s="7" t="n">
        <v>557541</v>
      </c>
      <c r="B3728" s="12" t="inlineStr">
        <is>
          <t>7894650937679</t>
        </is>
      </c>
      <c r="C3728" s="7" t="inlineStr">
        <is>
          <t>REPELENTE OFF FAMILY 100ML</t>
        </is>
      </c>
      <c r="D3728" s="7" t="inlineStr">
        <is>
          <t>PERF/COSME</t>
        </is>
      </c>
      <c r="E3728" s="7" t="inlineStr">
        <is>
          <t>C</t>
        </is>
      </c>
      <c r="F3728" s="13" t="n">
        <v>2</v>
      </c>
      <c r="G3728" s="13" t="n">
        <v>2</v>
      </c>
      <c r="H3728" s="8" t="n">
        <v>18.85</v>
      </c>
      <c r="I3728" s="8" t="n">
        <v>18.85</v>
      </c>
      <c r="J3728" s="8" t="n">
        <v>18.85</v>
      </c>
      <c r="K3728" s="8" t="n"/>
      <c r="L3728" s="8" t="n"/>
      <c r="M3728" s="8" t="n"/>
      <c r="N3728" s="8" t="n"/>
      <c r="O3728" s="8" t="n"/>
      <c r="P3728" s="8" t="n"/>
      <c r="Q3728" s="8" t="n"/>
      <c r="R3728" s="8" t="n"/>
      <c r="S3728" s="8" t="n"/>
      <c r="T3728" s="7" t="inlineStr">
        <is>
          <t>SEM COTAÇÃO</t>
        </is>
      </c>
      <c r="U3728" s="8" t="n"/>
      <c r="V3728" s="14" t="n"/>
      <c r="W3728" s="14" t="n"/>
      <c r="X3728" s="7" t="inlineStr"/>
      <c r="Y3728" s="7" t="inlineStr"/>
    </row>
    <row r="3729">
      <c r="A3729" s="7" t="n">
        <v>3793</v>
      </c>
      <c r="B3729" s="12" t="inlineStr">
        <is>
          <t>7898719040638</t>
        </is>
      </c>
      <c r="C3729" s="7" t="inlineStr">
        <is>
          <t>REPELENTE REP INSETOS FAMILY 100ML SPRAY</t>
        </is>
      </c>
      <c r="D3729" s="7" t="inlineStr">
        <is>
          <t>PERF/COSME</t>
        </is>
      </c>
      <c r="E3729" s="7" t="inlineStr">
        <is>
          <t>C</t>
        </is>
      </c>
      <c r="F3729" s="13" t="n">
        <v>2</v>
      </c>
      <c r="G3729" s="13" t="n">
        <v>2</v>
      </c>
      <c r="H3729" s="8" t="n">
        <v>8.99</v>
      </c>
      <c r="I3729" s="8" t="n">
        <v>8.99</v>
      </c>
      <c r="J3729" s="8" t="n">
        <v>8.99</v>
      </c>
      <c r="K3729" s="8" t="n"/>
      <c r="L3729" s="8" t="n"/>
      <c r="M3729" s="8" t="n"/>
      <c r="N3729" s="8" t="n"/>
      <c r="O3729" s="8" t="n"/>
      <c r="P3729" s="8" t="n"/>
      <c r="Q3729" s="8" t="n"/>
      <c r="R3729" s="8" t="n"/>
      <c r="S3729" s="8" t="n"/>
      <c r="T3729" s="7" t="inlineStr">
        <is>
          <t>SEM COTAÇÃO</t>
        </is>
      </c>
      <c r="U3729" s="8" t="n"/>
      <c r="V3729" s="14" t="n"/>
      <c r="W3729" s="14" t="n"/>
      <c r="X3729" s="7" t="inlineStr"/>
      <c r="Y3729" s="7" t="inlineStr"/>
    </row>
    <row r="3730">
      <c r="A3730" s="7" t="n">
        <v>315381</v>
      </c>
      <c r="B3730" s="12" t="inlineStr">
        <is>
          <t>7896004715247</t>
        </is>
      </c>
      <c r="C3730" s="7" t="inlineStr">
        <is>
          <t>REPOFLOR 100MG FR 12 CAP</t>
        </is>
      </c>
      <c r="D3730" s="7" t="inlineStr">
        <is>
          <t>SIMILAR</t>
        </is>
      </c>
      <c r="E3730" s="7" t="inlineStr">
        <is>
          <t>A</t>
        </is>
      </c>
      <c r="F3730" s="13" t="n">
        <v>7</v>
      </c>
      <c r="G3730" s="13" t="n">
        <v>7</v>
      </c>
      <c r="H3730" s="8" t="n">
        <v>22.17</v>
      </c>
      <c r="I3730" s="8" t="n">
        <v>14.55</v>
      </c>
      <c r="J3730" s="8" t="n">
        <v>19.62906666666667</v>
      </c>
      <c r="K3730" s="8" t="n"/>
      <c r="L3730" s="8" t="n"/>
      <c r="M3730" s="8" t="n"/>
      <c r="N3730" s="15" t="n">
        <v>24.67</v>
      </c>
      <c r="O3730" s="8" t="n"/>
      <c r="P3730" s="8" t="n">
        <v>33.27</v>
      </c>
      <c r="Q3730" s="8" t="n"/>
      <c r="R3730" s="8" t="n"/>
      <c r="S3730" s="8" t="n"/>
      <c r="T3730" s="7" t="inlineStr">
        <is>
          <t>CENTROFARMA</t>
        </is>
      </c>
      <c r="U3730" s="8" t="n">
        <v>24.67</v>
      </c>
      <c r="V3730" s="14">
        <f>U3730/J3730-1</f>
        <v/>
      </c>
      <c r="W3730" s="14">
        <f>U3730/H3730-1</f>
        <v/>
      </c>
      <c r="X3730" s="16" t="inlineStr">
        <is>
          <t>ACIMA +11.3%</t>
        </is>
      </c>
      <c r="Y3730" s="7" t="inlineStr"/>
    </row>
    <row r="3731">
      <c r="A3731" s="7" t="n">
        <v>315361</v>
      </c>
      <c r="B3731" s="12" t="inlineStr">
        <is>
          <t>7896004720838</t>
        </is>
      </c>
      <c r="C3731" s="7" t="inlineStr">
        <is>
          <t>REPOFLOR 200MG FR 6 CAP</t>
        </is>
      </c>
      <c r="D3731" s="7" t="inlineStr">
        <is>
          <t>SIMILAR</t>
        </is>
      </c>
      <c r="E3731" s="7" t="inlineStr">
        <is>
          <t>A</t>
        </is>
      </c>
      <c r="F3731" s="13" t="n">
        <v>17</v>
      </c>
      <c r="G3731" s="13" t="n">
        <v>17</v>
      </c>
      <c r="H3731" s="8" t="n">
        <v>21.536</v>
      </c>
      <c r="I3731" s="8" t="n">
        <v>14.14</v>
      </c>
      <c r="J3731" s="8" t="n">
        <v>19.07066666666667</v>
      </c>
      <c r="K3731" s="8" t="n"/>
      <c r="L3731" s="8" t="n"/>
      <c r="M3731" s="8" t="n"/>
      <c r="N3731" s="8" t="n">
        <v>25.07</v>
      </c>
      <c r="O3731" s="8" t="n"/>
      <c r="P3731" s="8" t="n">
        <v>33.27</v>
      </c>
      <c r="Q3731" s="8" t="n"/>
      <c r="R3731" s="15" t="n">
        <v>23.64</v>
      </c>
      <c r="S3731" s="8" t="n"/>
      <c r="T3731" s="7" t="inlineStr">
        <is>
          <t>BRASFARMA</t>
        </is>
      </c>
      <c r="U3731" s="8" t="n">
        <v>23.64</v>
      </c>
      <c r="V3731" s="14">
        <f>U3731/J3731-1</f>
        <v/>
      </c>
      <c r="W3731" s="14">
        <f>U3731/H3731-1</f>
        <v/>
      </c>
      <c r="X3731" s="16" t="inlineStr">
        <is>
          <t>ACIMA +9.8%</t>
        </is>
      </c>
      <c r="Y3731" s="7" t="inlineStr">
        <is>
          <t>NAZARIA: sem estoque</t>
        </is>
      </c>
    </row>
    <row r="3732">
      <c r="A3732" s="7" t="n">
        <v>315401</v>
      </c>
      <c r="B3732" s="12" t="inlineStr">
        <is>
          <t>7896004715230</t>
        </is>
      </c>
      <c r="C3732" s="7" t="inlineStr">
        <is>
          <t>REPOFLOR 200MG PO ORAL CX 4 SACHET</t>
        </is>
      </c>
      <c r="D3732" s="7" t="inlineStr">
        <is>
          <t>SIMILAR</t>
        </is>
      </c>
      <c r="E3732" s="7" t="inlineStr">
        <is>
          <t>A</t>
        </is>
      </c>
      <c r="F3732" s="13" t="n">
        <v>15</v>
      </c>
      <c r="G3732" s="13" t="n">
        <v>15</v>
      </c>
      <c r="H3732" s="8" t="n">
        <v>15.05</v>
      </c>
      <c r="I3732" s="8" t="n">
        <v>10.27</v>
      </c>
      <c r="J3732" s="8" t="n">
        <v>13.45666666666667</v>
      </c>
      <c r="K3732" s="8" t="n"/>
      <c r="L3732" s="8" t="n"/>
      <c r="M3732" s="8" t="n"/>
      <c r="N3732" s="8" t="n"/>
      <c r="O3732" s="8" t="n"/>
      <c r="P3732" s="8" t="n"/>
      <c r="Q3732" s="8" t="n"/>
      <c r="R3732" s="8" t="n"/>
      <c r="S3732" s="8" t="n"/>
      <c r="T3732" s="7" t="inlineStr">
        <is>
          <t>SEM COTAÇÃO</t>
        </is>
      </c>
      <c r="U3732" s="8" t="n"/>
      <c r="V3732" s="14" t="n"/>
      <c r="W3732" s="14" t="n"/>
      <c r="X3732" s="7" t="inlineStr"/>
      <c r="Y3732" s="7" t="inlineStr"/>
    </row>
    <row r="3733">
      <c r="A3733" s="7" t="n">
        <v>666461</v>
      </c>
      <c r="B3733" s="12" t="inlineStr">
        <is>
          <t>7894916325899</t>
        </is>
      </c>
      <c r="C3733" s="7" t="inlineStr">
        <is>
          <t>REPOFLOR 250/250MG CX 6 SACHES</t>
        </is>
      </c>
      <c r="D3733" s="7" t="inlineStr">
        <is>
          <t>SIMILAR</t>
        </is>
      </c>
      <c r="E3733" s="7" t="inlineStr">
        <is>
          <t>C</t>
        </is>
      </c>
      <c r="F3733" s="13" t="n">
        <v>1</v>
      </c>
      <c r="G3733" s="13" t="n">
        <v>1</v>
      </c>
      <c r="H3733" s="8" t="n">
        <v>20.61</v>
      </c>
      <c r="I3733" s="8" t="n">
        <v>14.57</v>
      </c>
      <c r="J3733" s="8" t="n">
        <v>14.57</v>
      </c>
      <c r="K3733" s="8" t="n"/>
      <c r="L3733" s="8" t="n"/>
      <c r="M3733" s="8" t="n"/>
      <c r="N3733" s="8" t="n"/>
      <c r="O3733" s="8" t="n"/>
      <c r="P3733" s="8" t="n">
        <v>35.22</v>
      </c>
      <c r="Q3733" s="15" t="n">
        <v>23.25</v>
      </c>
      <c r="R3733" s="8" t="n"/>
      <c r="S3733" s="8" t="n"/>
      <c r="T3733" s="7" t="inlineStr">
        <is>
          <t>MEDCENTRO</t>
        </is>
      </c>
      <c r="U3733" s="8" t="n">
        <v>23.25</v>
      </c>
      <c r="V3733" s="14">
        <f>U3733/J3733-1</f>
        <v/>
      </c>
      <c r="W3733" s="14">
        <f>U3733/H3733-1</f>
        <v/>
      </c>
      <c r="X3733" s="16" t="inlineStr">
        <is>
          <t>ACIMA +12.8%</t>
        </is>
      </c>
      <c r="Y3733" s="7" t="inlineStr">
        <is>
          <t>NAZARIA: sem estoque</t>
        </is>
      </c>
    </row>
    <row r="3734">
      <c r="A3734" s="7" t="n">
        <v>662471</v>
      </c>
      <c r="B3734" s="12" t="inlineStr">
        <is>
          <t>7894916325882</t>
        </is>
      </c>
      <c r="C3734" s="7" t="inlineStr">
        <is>
          <t>REPOFLOR 250/250MG FR CAP</t>
        </is>
      </c>
      <c r="D3734" s="7" t="inlineStr">
        <is>
          <t>SIMILAR</t>
        </is>
      </c>
      <c r="E3734" s="7" t="inlineStr">
        <is>
          <t>B</t>
        </is>
      </c>
      <c r="F3734" s="13" t="n">
        <v>1</v>
      </c>
      <c r="G3734" s="13" t="n">
        <v>1</v>
      </c>
      <c r="H3734" s="8" t="n">
        <v>22.13</v>
      </c>
      <c r="I3734" s="8" t="n">
        <v>22.13</v>
      </c>
      <c r="J3734" s="8" t="n">
        <v>22.13</v>
      </c>
      <c r="K3734" s="8" t="n"/>
      <c r="L3734" s="8" t="n"/>
      <c r="M3734" s="8" t="n"/>
      <c r="N3734" s="8" t="n"/>
      <c r="O3734" s="8" t="n"/>
      <c r="P3734" s="15" t="n">
        <v>35.22</v>
      </c>
      <c r="Q3734" s="8" t="n"/>
      <c r="R3734" s="8" t="n"/>
      <c r="S3734" s="8" t="n"/>
      <c r="T3734" s="7" t="inlineStr">
        <is>
          <t>NAZARIA</t>
        </is>
      </c>
      <c r="U3734" s="8" t="n">
        <v>35.22</v>
      </c>
      <c r="V3734" s="14">
        <f>U3734/J3734-1</f>
        <v/>
      </c>
      <c r="W3734" s="14">
        <f>U3734/H3734-1</f>
        <v/>
      </c>
      <c r="X3734" s="16" t="inlineStr">
        <is>
          <t>ACIMA +59.2%</t>
        </is>
      </c>
      <c r="Y3734" s="7" t="inlineStr"/>
    </row>
    <row r="3735">
      <c r="A3735" s="7" t="n">
        <v>624511</v>
      </c>
      <c r="B3735" s="12" t="inlineStr">
        <is>
          <t>7896004769943</t>
        </is>
      </c>
      <c r="C3735" s="7" t="inlineStr">
        <is>
          <t>REPOFLOR 250MG CX 10 SACHES</t>
        </is>
      </c>
      <c r="D3735" s="7" t="inlineStr">
        <is>
          <t>RX</t>
        </is>
      </c>
      <c r="E3735" s="7" t="inlineStr">
        <is>
          <t>B</t>
        </is>
      </c>
      <c r="F3735" s="13" t="n">
        <v>1</v>
      </c>
      <c r="G3735" s="13" t="n">
        <v>1</v>
      </c>
      <c r="H3735" s="8" t="n">
        <v>33.23</v>
      </c>
      <c r="I3735" s="8" t="n">
        <v>29.22</v>
      </c>
      <c r="J3735" s="8" t="n">
        <v>30.55666666666666</v>
      </c>
      <c r="K3735" s="8" t="n"/>
      <c r="L3735" s="8" t="n"/>
      <c r="M3735" s="8" t="n"/>
      <c r="N3735" s="8" t="n">
        <v>35.1</v>
      </c>
      <c r="O3735" s="8" t="n">
        <v>33.23</v>
      </c>
      <c r="P3735" s="8" t="n">
        <v>48.11</v>
      </c>
      <c r="Q3735" s="15" t="n">
        <v>26.83</v>
      </c>
      <c r="R3735" s="8" t="n"/>
      <c r="S3735" s="8" t="n"/>
      <c r="T3735" s="7" t="inlineStr">
        <is>
          <t>MEDCENTRO</t>
        </is>
      </c>
      <c r="U3735" s="8" t="n">
        <v>26.83</v>
      </c>
      <c r="V3735" s="14">
        <f>U3735/J3735-1</f>
        <v/>
      </c>
      <c r="W3735" s="14">
        <f>U3735/H3735-1</f>
        <v/>
      </c>
      <c r="X3735" s="17" t="inlineStr">
        <is>
          <t>OK (≤ menor hist.)</t>
        </is>
      </c>
      <c r="Y3735" s="7" t="inlineStr"/>
    </row>
    <row r="3736">
      <c r="A3736" s="7" t="n">
        <v>4701</v>
      </c>
      <c r="B3736" s="12" t="inlineStr">
        <is>
          <t>7896004703954</t>
        </is>
      </c>
      <c r="C3736" s="7" t="inlineStr">
        <is>
          <t>REPOPIL 35 2+0,035MG CX 21 COMP REV</t>
        </is>
      </c>
      <c r="D3736" s="7" t="inlineStr">
        <is>
          <t>SIMILAR</t>
        </is>
      </c>
      <c r="E3736" s="7" t="inlineStr">
        <is>
          <t>A</t>
        </is>
      </c>
      <c r="F3736" s="13" t="n">
        <v>8</v>
      </c>
      <c r="G3736" s="13" t="n">
        <v>8</v>
      </c>
      <c r="H3736" s="8" t="n">
        <v>8.869999999999999</v>
      </c>
      <c r="I3736" s="8" t="n">
        <v>8.869999999999999</v>
      </c>
      <c r="J3736" s="8" t="n">
        <v>8.869999999999999</v>
      </c>
      <c r="K3736" s="15" t="n">
        <v>9.41</v>
      </c>
      <c r="L3736" s="8" t="n"/>
      <c r="M3736" s="8" t="n"/>
      <c r="N3736" s="8" t="n"/>
      <c r="O3736" s="8" t="n"/>
      <c r="P3736" s="8" t="n">
        <v>21.26</v>
      </c>
      <c r="Q3736" s="8" t="n">
        <v>10.29</v>
      </c>
      <c r="R3736" s="8" t="n">
        <v>9.449999999999999</v>
      </c>
      <c r="S3736" s="8" t="n"/>
      <c r="T3736" s="7" t="inlineStr">
        <is>
          <t>DIMEC</t>
        </is>
      </c>
      <c r="U3736" s="8" t="n">
        <v>9.41</v>
      </c>
      <c r="V3736" s="14">
        <f>U3736/J3736-1</f>
        <v/>
      </c>
      <c r="W3736" s="14">
        <f>U3736/H3736-1</f>
        <v/>
      </c>
      <c r="X3736" s="16" t="inlineStr">
        <is>
          <t>ACIMA +6.1%</t>
        </is>
      </c>
      <c r="Y3736" s="7" t="inlineStr">
        <is>
          <t>NAZARIA: conferir emb.</t>
        </is>
      </c>
    </row>
    <row r="3737">
      <c r="A3737" s="7" t="n">
        <v>330061</v>
      </c>
      <c r="B3737" s="12" t="inlineStr">
        <is>
          <t>7896331703931</t>
        </is>
      </c>
      <c r="C3737" s="7" t="inlineStr">
        <is>
          <t>RESFENOL PO 400+4+4MG/G PO SOL CX 50 SACH X 5G</t>
        </is>
      </c>
      <c r="D3737" s="7" t="inlineStr">
        <is>
          <t>SIMILAR</t>
        </is>
      </c>
      <c r="E3737" s="7" t="inlineStr">
        <is>
          <t>C</t>
        </is>
      </c>
      <c r="F3737" s="13" t="n">
        <v>1</v>
      </c>
      <c r="G3737" s="13" t="n">
        <v>17</v>
      </c>
      <c r="H3737" s="8" t="n">
        <v>1.2956</v>
      </c>
      <c r="I3737" s="8" t="n">
        <v>1.2956</v>
      </c>
      <c r="J3737" s="8" t="n">
        <v>1.2956</v>
      </c>
      <c r="K3737" s="8" t="n"/>
      <c r="L3737" s="8" t="n"/>
      <c r="M3737" s="8" t="n"/>
      <c r="N3737" s="8" t="n"/>
      <c r="O3737" s="8" t="n"/>
      <c r="P3737" s="8" t="n"/>
      <c r="Q3737" s="8" t="n"/>
      <c r="R3737" s="8" t="n"/>
      <c r="S3737" s="8" t="n"/>
      <c r="T3737" s="7" t="inlineStr">
        <is>
          <t>SEM COTAÇÃO</t>
        </is>
      </c>
      <c r="U3737" s="8" t="n"/>
      <c r="V3737" s="14" t="n"/>
      <c r="W3737" s="14" t="n"/>
      <c r="X3737" s="7" t="inlineStr"/>
      <c r="Y3737" s="7" t="inlineStr"/>
    </row>
    <row r="3738">
      <c r="A3738" s="7" t="n">
        <v>654801</v>
      </c>
      <c r="B3738" s="12" t="inlineStr">
        <is>
          <t>7896699032360</t>
        </is>
      </c>
      <c r="C3738" s="7" t="inlineStr">
        <is>
          <t>RESPIREBEM (ASP NASAL SUCCAO) LOLLY</t>
        </is>
      </c>
      <c r="D3738" s="7" t="inlineStr">
        <is>
          <t>BABY/KIDS</t>
        </is>
      </c>
      <c r="E3738" s="7" t="inlineStr">
        <is>
          <t>A</t>
        </is>
      </c>
      <c r="F3738" s="13" t="n">
        <v>5</v>
      </c>
      <c r="G3738" s="13" t="n">
        <v>5</v>
      </c>
      <c r="H3738" s="8" t="n">
        <v>25.49</v>
      </c>
      <c r="I3738" s="8" t="n">
        <v>24.24</v>
      </c>
      <c r="J3738" s="8" t="n">
        <v>25.07333333333333</v>
      </c>
      <c r="K3738" s="8" t="n"/>
      <c r="L3738" s="8" t="n"/>
      <c r="M3738" s="8" t="n"/>
      <c r="N3738" s="8" t="n"/>
      <c r="O3738" s="8" t="n"/>
      <c r="P3738" s="8" t="n"/>
      <c r="Q3738" s="8" t="n"/>
      <c r="R3738" s="8" t="n"/>
      <c r="S3738" s="8" t="n"/>
      <c r="T3738" s="7" t="inlineStr">
        <is>
          <t>SEM COTAÇÃO</t>
        </is>
      </c>
      <c r="U3738" s="8" t="n"/>
      <c r="V3738" s="14" t="n"/>
      <c r="W3738" s="14" t="n"/>
      <c r="X3738" s="7" t="inlineStr"/>
      <c r="Y3738" s="7" t="inlineStr"/>
    </row>
    <row r="3739">
      <c r="A3739" s="7" t="n">
        <v>619441</v>
      </c>
      <c r="B3739" s="12" t="inlineStr">
        <is>
          <t>7897947617483</t>
        </is>
      </c>
      <c r="C3739" s="7" t="inlineStr">
        <is>
          <t>RESSALIV SOL   FLAC 10ML SBR ABACAXI</t>
        </is>
      </c>
      <c r="D3739" s="7" t="inlineStr">
        <is>
          <t>SIMILAR</t>
        </is>
      </c>
      <c r="E3739" s="7" t="inlineStr">
        <is>
          <t>A</t>
        </is>
      </c>
      <c r="F3739" s="13" t="n">
        <v>2</v>
      </c>
      <c r="G3739" s="13" t="n">
        <v>95</v>
      </c>
      <c r="H3739" s="8" t="n">
        <v>0.4998</v>
      </c>
      <c r="I3739" s="8" t="n">
        <v>0.4998</v>
      </c>
      <c r="J3739" s="8" t="n">
        <v>0.4998</v>
      </c>
      <c r="K3739" s="8" t="n"/>
      <c r="L3739" s="8" t="n"/>
      <c r="M3739" s="8" t="n"/>
      <c r="N3739" s="8" t="n"/>
      <c r="O3739" s="8" t="n"/>
      <c r="P3739" s="15" t="n">
        <v>34.51</v>
      </c>
      <c r="Q3739" s="8" t="n"/>
      <c r="R3739" s="8" t="n"/>
      <c r="S3739" s="8" t="n"/>
      <c r="T3739" s="7" t="inlineStr">
        <is>
          <t>NAZARIA</t>
        </is>
      </c>
      <c r="U3739" s="8" t="n">
        <v>34.51</v>
      </c>
      <c r="V3739" s="14">
        <f>U3739/J3739-1</f>
        <v/>
      </c>
      <c r="W3739" s="14">
        <f>U3739/H3739-1</f>
        <v/>
      </c>
      <c r="X3739" s="16" t="inlineStr">
        <is>
          <t>ACIMA +6804.8%</t>
        </is>
      </c>
      <c r="Y3739" s="7" t="inlineStr">
        <is>
          <t>NAZARIA: conferir emb.</t>
        </is>
      </c>
    </row>
    <row r="3740">
      <c r="A3740" s="7" t="n">
        <v>29703</v>
      </c>
      <c r="B3740" s="12" t="inlineStr">
        <is>
          <t>7898626449623</t>
        </is>
      </c>
      <c r="C3740" s="7" t="inlineStr">
        <is>
          <t>RF ISOLATE PROTEIN MIX PROFIT LEITE 900G</t>
        </is>
      </c>
      <c r="D3740" s="7" t="inlineStr">
        <is>
          <t>SUPLEMENTO</t>
        </is>
      </c>
      <c r="E3740" s="7" t="inlineStr">
        <is>
          <t>B</t>
        </is>
      </c>
      <c r="F3740" s="13" t="n">
        <v>2</v>
      </c>
      <c r="G3740" s="13" t="n">
        <v>2</v>
      </c>
      <c r="H3740" s="8" t="n">
        <v>71.40000000000001</v>
      </c>
      <c r="I3740" s="8" t="n">
        <v>71.40000000000001</v>
      </c>
      <c r="J3740" s="8" t="n">
        <v>71.40000000000001</v>
      </c>
      <c r="K3740" s="8" t="n"/>
      <c r="L3740" s="8" t="n"/>
      <c r="M3740" s="8" t="n"/>
      <c r="N3740" s="8" t="n"/>
      <c r="O3740" s="8" t="n"/>
      <c r="P3740" s="8" t="n"/>
      <c r="Q3740" s="8" t="n"/>
      <c r="R3740" s="8" t="n"/>
      <c r="S3740" s="15" t="n">
        <v>71</v>
      </c>
      <c r="T3740" s="7" t="inlineStr">
        <is>
          <t>AT_SUPLEMENTOS</t>
        </is>
      </c>
      <c r="U3740" s="8" t="n">
        <v>71</v>
      </c>
      <c r="V3740" s="14">
        <f>U3740/J3740-1</f>
        <v/>
      </c>
      <c r="W3740" s="14">
        <f>U3740/H3740-1</f>
        <v/>
      </c>
      <c r="X3740" s="17" t="inlineStr">
        <is>
          <t>OK (≤ menor hist.)</t>
        </is>
      </c>
      <c r="Y3740" s="7" t="inlineStr"/>
    </row>
    <row r="3741">
      <c r="A3741" s="7" t="n">
        <v>644301</v>
      </c>
      <c r="B3741" s="12" t="inlineStr">
        <is>
          <t>7897230303321</t>
        </is>
      </c>
      <c r="C3741" s="7" t="inlineStr">
        <is>
          <t>RICOSOL PROTETOR SOLAR FACIAL FPS 50 - 50 G</t>
        </is>
      </c>
      <c r="D3741" s="7" t="inlineStr">
        <is>
          <t>PERF/COSME</t>
        </is>
      </c>
      <c r="E3741" s="7" t="inlineStr">
        <is>
          <t>C</t>
        </is>
      </c>
      <c r="F3741" s="13" t="n">
        <v>1</v>
      </c>
      <c r="G3741" s="13" t="n">
        <v>1</v>
      </c>
      <c r="H3741" s="8" t="n">
        <v>21.15</v>
      </c>
      <c r="I3741" s="8" t="n">
        <v>21.15</v>
      </c>
      <c r="J3741" s="8" t="n">
        <v>21.15</v>
      </c>
      <c r="K3741" s="8" t="n"/>
      <c r="L3741" s="8" t="n"/>
      <c r="M3741" s="8" t="n"/>
      <c r="N3741" s="8" t="n"/>
      <c r="O3741" s="8" t="n"/>
      <c r="P3741" s="8" t="n"/>
      <c r="Q3741" s="8" t="n"/>
      <c r="R3741" s="8" t="n"/>
      <c r="S3741" s="8" t="n"/>
      <c r="T3741" s="7" t="inlineStr">
        <is>
          <t>SEM COTAÇÃO</t>
        </is>
      </c>
      <c r="U3741" s="8" t="n"/>
      <c r="V3741" s="14" t="n"/>
      <c r="W3741" s="14" t="n"/>
      <c r="X3741" s="7" t="inlineStr"/>
      <c r="Y3741" s="7" t="inlineStr"/>
    </row>
    <row r="3742">
      <c r="A3742" s="7" t="n">
        <v>644311</v>
      </c>
      <c r="B3742" s="12" t="inlineStr">
        <is>
          <t>7897230303338</t>
        </is>
      </c>
      <c r="C3742" s="7" t="inlineStr">
        <is>
          <t>RICOSOL PROTETOR SOLAR FACIAL FPS 70 - 50 G</t>
        </is>
      </c>
      <c r="D3742" s="7" t="inlineStr">
        <is>
          <t>PERF/COSME</t>
        </is>
      </c>
      <c r="E3742" s="7" t="inlineStr">
        <is>
          <t>C</t>
        </is>
      </c>
      <c r="F3742" s="13" t="n">
        <v>1</v>
      </c>
      <c r="G3742" s="13" t="n">
        <v>1</v>
      </c>
      <c r="H3742" s="8" t="n">
        <v>24.9933</v>
      </c>
      <c r="I3742" s="8" t="n">
        <v>24.9933</v>
      </c>
      <c r="J3742" s="8" t="n">
        <v>24.9933</v>
      </c>
      <c r="K3742" s="8" t="n"/>
      <c r="L3742" s="8" t="n"/>
      <c r="M3742" s="8" t="n"/>
      <c r="N3742" s="8" t="n"/>
      <c r="O3742" s="8" t="n"/>
      <c r="P3742" s="8" t="n"/>
      <c r="Q3742" s="8" t="n"/>
      <c r="R3742" s="8" t="n"/>
      <c r="S3742" s="8" t="n"/>
      <c r="T3742" s="7" t="inlineStr">
        <is>
          <t>SEM COTAÇÃO</t>
        </is>
      </c>
      <c r="U3742" s="8" t="n"/>
      <c r="V3742" s="14" t="n"/>
      <c r="W3742" s="14" t="n"/>
      <c r="X3742" s="7" t="inlineStr"/>
      <c r="Y3742" s="7" t="inlineStr"/>
    </row>
    <row r="3743">
      <c r="A3743" s="7" t="n">
        <v>662641</v>
      </c>
      <c r="B3743" s="12" t="inlineStr">
        <is>
          <t>7897230303260</t>
        </is>
      </c>
      <c r="C3743" s="7" t="inlineStr">
        <is>
          <t>RICOSOL PROTETOR SOLAR FPS 70 - 100 G</t>
        </is>
      </c>
      <c r="D3743" s="7" t="inlineStr">
        <is>
          <t>DERMOCOSMETICOS/COSMETICOS</t>
        </is>
      </c>
      <c r="E3743" s="7" t="inlineStr">
        <is>
          <t>C</t>
        </is>
      </c>
      <c r="F3743" s="13" t="n">
        <v>2</v>
      </c>
      <c r="G3743" s="13" t="n">
        <v>2</v>
      </c>
      <c r="H3743" s="8" t="n">
        <v>18.5983</v>
      </c>
      <c r="I3743" s="8" t="n">
        <v>18.5983</v>
      </c>
      <c r="J3743" s="8" t="n">
        <v>18.5983</v>
      </c>
      <c r="K3743" s="8" t="n"/>
      <c r="L3743" s="8" t="n"/>
      <c r="M3743" s="8" t="n"/>
      <c r="N3743" s="8" t="n"/>
      <c r="O3743" s="8" t="n"/>
      <c r="P3743" s="8" t="n"/>
      <c r="Q3743" s="8" t="n"/>
      <c r="R3743" s="8" t="n"/>
      <c r="S3743" s="8" t="n"/>
      <c r="T3743" s="7" t="inlineStr">
        <is>
          <t>SEM COTAÇÃO</t>
        </is>
      </c>
      <c r="U3743" s="8" t="n"/>
      <c r="V3743" s="14" t="n"/>
      <c r="W3743" s="14" t="n"/>
      <c r="X3743" s="7" t="inlineStr"/>
      <c r="Y3743" s="7" t="inlineStr"/>
    </row>
    <row r="3744">
      <c r="A3744" s="7" t="n">
        <v>662631</v>
      </c>
      <c r="B3744" s="12" t="inlineStr">
        <is>
          <t>7897230305226</t>
        </is>
      </c>
      <c r="C3744" s="7" t="inlineStr">
        <is>
          <t>RICOSOL PROTETOR SOLAR KIDS FPS 99 - 100 G</t>
        </is>
      </c>
      <c r="D3744" s="7" t="inlineStr">
        <is>
          <t>DERMOCOSMETICOS/COSMETICOS</t>
        </is>
      </c>
      <c r="E3744" s="7" t="inlineStr">
        <is>
          <t>C</t>
        </is>
      </c>
      <c r="F3744" s="13" t="n">
        <v>2</v>
      </c>
      <c r="G3744" s="13" t="n">
        <v>2</v>
      </c>
      <c r="H3744" s="8" t="n">
        <v>25.4956</v>
      </c>
      <c r="I3744" s="8" t="n">
        <v>25.4956</v>
      </c>
      <c r="J3744" s="8" t="n">
        <v>25.4956</v>
      </c>
      <c r="K3744" s="8" t="n"/>
      <c r="L3744" s="8" t="n"/>
      <c r="M3744" s="8" t="n"/>
      <c r="N3744" s="8" t="n"/>
      <c r="O3744" s="8" t="n"/>
      <c r="P3744" s="8" t="n"/>
      <c r="Q3744" s="8" t="n"/>
      <c r="R3744" s="8" t="n"/>
      <c r="S3744" s="8" t="n"/>
      <c r="T3744" s="7" t="inlineStr">
        <is>
          <t>SEM COTAÇÃO</t>
        </is>
      </c>
      <c r="U3744" s="8" t="n"/>
      <c r="V3744" s="14" t="n"/>
      <c r="W3744" s="14" t="n"/>
      <c r="X3744" s="7" t="inlineStr"/>
      <c r="Y3744" s="7" t="inlineStr"/>
    </row>
    <row r="3745">
      <c r="A3745" s="7" t="n">
        <v>419001</v>
      </c>
      <c r="B3745" s="12" t="inlineStr">
        <is>
          <t>7898569763916</t>
        </is>
      </c>
      <c r="C3745" s="7" t="inlineStr">
        <is>
          <t>RISEDRONATO SODICO 150MG CX 1 COMP REV</t>
        </is>
      </c>
      <c r="D3745" s="7" t="inlineStr">
        <is>
          <t>GENERICO</t>
        </is>
      </c>
      <c r="E3745" s="7" t="inlineStr">
        <is>
          <t>C</t>
        </is>
      </c>
      <c r="F3745" s="13" t="n">
        <v>1</v>
      </c>
      <c r="G3745" s="13" t="n">
        <v>1</v>
      </c>
      <c r="H3745" s="8" t="n">
        <v>18.43</v>
      </c>
      <c r="I3745" s="8" t="n">
        <v>13.5</v>
      </c>
      <c r="J3745" s="8" t="n">
        <v>13.5</v>
      </c>
      <c r="K3745" s="15" t="n">
        <v>9.99</v>
      </c>
      <c r="L3745" s="8" t="n">
        <v>22.29</v>
      </c>
      <c r="M3745" s="8" t="n"/>
      <c r="N3745" s="8" t="n"/>
      <c r="O3745" s="8" t="n"/>
      <c r="P3745" s="8" t="n">
        <v>26.662339</v>
      </c>
      <c r="Q3745" s="8" t="n">
        <v>24.62</v>
      </c>
      <c r="R3745" s="8" t="n"/>
      <c r="S3745" s="8" t="n"/>
      <c r="T3745" s="7" t="inlineStr">
        <is>
          <t>DIMEC</t>
        </is>
      </c>
      <c r="U3745" s="8" t="n">
        <v>9.99</v>
      </c>
      <c r="V3745" s="14">
        <f>U3745/J3745-1</f>
        <v/>
      </c>
      <c r="W3745" s="14">
        <f>U3745/H3745-1</f>
        <v/>
      </c>
      <c r="X3745" s="17" t="inlineStr">
        <is>
          <t>OK (≤ menor hist.)</t>
        </is>
      </c>
      <c r="Y3745" s="7" t="inlineStr"/>
    </row>
    <row r="3746">
      <c r="A3746" s="7" t="n">
        <v>696001</v>
      </c>
      <c r="B3746" s="12" t="inlineStr">
        <is>
          <t>0609963220526</t>
        </is>
      </c>
      <c r="C3746" s="7" t="inlineStr">
        <is>
          <t>RN-0,3 SERUM RETINOL 0,3%+VIT E 30ML</t>
        </is>
      </c>
      <c r="D3746" s="7" t="inlineStr">
        <is>
          <t>PERF/COSME</t>
        </is>
      </c>
      <c r="E3746" s="7" t="inlineStr">
        <is>
          <t>B</t>
        </is>
      </c>
      <c r="F3746" s="13" t="n">
        <v>1</v>
      </c>
      <c r="G3746" s="13" t="n">
        <v>1</v>
      </c>
      <c r="H3746" s="8" t="n">
        <v>49.48</v>
      </c>
      <c r="I3746" s="8" t="n">
        <v>49.48</v>
      </c>
      <c r="J3746" s="8" t="n">
        <v>49.48</v>
      </c>
      <c r="K3746" s="8" t="n"/>
      <c r="L3746" s="8" t="n"/>
      <c r="M3746" s="8" t="n"/>
      <c r="N3746" s="8" t="n"/>
      <c r="O3746" s="8" t="n"/>
      <c r="P3746" s="15" t="n">
        <v>57.52</v>
      </c>
      <c r="Q3746" s="8" t="n"/>
      <c r="R3746" s="8" t="n"/>
      <c r="S3746" s="8" t="n"/>
      <c r="T3746" s="7" t="inlineStr">
        <is>
          <t>NAZARIA</t>
        </is>
      </c>
      <c r="U3746" s="8" t="n">
        <v>57.52</v>
      </c>
      <c r="V3746" s="14">
        <f>U3746/J3746-1</f>
        <v/>
      </c>
      <c r="W3746" s="14">
        <f>U3746/H3746-1</f>
        <v/>
      </c>
      <c r="X3746" s="16" t="inlineStr">
        <is>
          <t>ACIMA +16.2%</t>
        </is>
      </c>
      <c r="Y3746" s="7" t="inlineStr"/>
    </row>
    <row r="3747">
      <c r="A3747" s="7" t="n">
        <v>3353</v>
      </c>
      <c r="B3747" s="12" t="inlineStr">
        <is>
          <t>7898719041192</t>
        </is>
      </c>
      <c r="C3747" s="7" t="inlineStr">
        <is>
          <t>ROSA MOSQUETA 100ML</t>
        </is>
      </c>
      <c r="D3747" s="7" t="inlineStr">
        <is>
          <t>SIMILAR</t>
        </is>
      </c>
      <c r="E3747" s="7" t="inlineStr">
        <is>
          <t>C</t>
        </is>
      </c>
      <c r="F3747" s="13" t="n">
        <v>2</v>
      </c>
      <c r="G3747" s="13" t="n">
        <v>2</v>
      </c>
      <c r="H3747" s="8" t="n">
        <v>6.21</v>
      </c>
      <c r="I3747" s="8" t="n">
        <v>6.21</v>
      </c>
      <c r="J3747" s="8" t="n">
        <v>6.21</v>
      </c>
      <c r="K3747" s="8" t="n"/>
      <c r="L3747" s="8" t="n"/>
      <c r="M3747" s="8" t="n"/>
      <c r="N3747" s="8" t="n"/>
      <c r="O3747" s="8" t="n"/>
      <c r="P3747" s="8" t="n"/>
      <c r="Q3747" s="8" t="n"/>
      <c r="R3747" s="8" t="n"/>
      <c r="S3747" s="8" t="n"/>
      <c r="T3747" s="7" t="inlineStr">
        <is>
          <t>SEM COTAÇÃO</t>
        </is>
      </c>
      <c r="U3747" s="8" t="n"/>
      <c r="V3747" s="14" t="n"/>
      <c r="W3747" s="14" t="n"/>
      <c r="X3747" s="7" t="inlineStr"/>
      <c r="Y3747" s="7" t="inlineStr"/>
    </row>
    <row r="3748">
      <c r="A3748" s="7" t="n">
        <v>644131</v>
      </c>
      <c r="B3748" s="12" t="inlineStr">
        <is>
          <t>618341054462</t>
        </is>
      </c>
      <c r="C3748" s="7" t="inlineStr">
        <is>
          <t>ROSA SELVAGEM DESODORANTE ANTIT. 85ML</t>
        </is>
      </c>
      <c r="D3748" s="7" t="inlineStr">
        <is>
          <t>DERMOCOSMETICOS/COSMETICOS</t>
        </is>
      </c>
      <c r="E3748" s="7" t="inlineStr">
        <is>
          <t>A</t>
        </is>
      </c>
      <c r="F3748" s="13" t="n">
        <v>10</v>
      </c>
      <c r="G3748" s="13" t="n">
        <v>10</v>
      </c>
      <c r="H3748" s="8" t="n">
        <v>16.3</v>
      </c>
      <c r="I3748" s="8" t="n">
        <v>16.3</v>
      </c>
      <c r="J3748" s="8" t="n">
        <v>16.3</v>
      </c>
      <c r="K3748" s="8" t="n"/>
      <c r="L3748" s="8" t="n"/>
      <c r="M3748" s="8" t="n"/>
      <c r="N3748" s="8" t="n"/>
      <c r="O3748" s="8" t="n"/>
      <c r="P3748" s="8" t="n"/>
      <c r="Q3748" s="8" t="n"/>
      <c r="R3748" s="8" t="n"/>
      <c r="S3748" s="8" t="n"/>
      <c r="T3748" s="7" t="inlineStr">
        <is>
          <t>SEM COTAÇÃO</t>
        </is>
      </c>
      <c r="U3748" s="8" t="n"/>
      <c r="V3748" s="14" t="n"/>
      <c r="W3748" s="14" t="n"/>
      <c r="X3748" s="7" t="inlineStr"/>
      <c r="Y3748" s="7" t="inlineStr"/>
    </row>
    <row r="3749">
      <c r="A3749" s="7" t="n">
        <v>427821</v>
      </c>
      <c r="B3749" s="12" t="inlineStr">
        <is>
          <t>8902220109506</t>
        </is>
      </c>
      <c r="C3749" s="7" t="inlineStr">
        <is>
          <t>ROSUCOR 10MG CX 30 COMP REV</t>
        </is>
      </c>
      <c r="D3749" s="7" t="inlineStr">
        <is>
          <t>RX</t>
        </is>
      </c>
      <c r="E3749" s="7" t="inlineStr">
        <is>
          <t>C</t>
        </is>
      </c>
      <c r="F3749" s="13" t="n">
        <v>1</v>
      </c>
      <c r="G3749" s="13" t="n">
        <v>1</v>
      </c>
      <c r="H3749" s="8" t="n">
        <v>33.14</v>
      </c>
      <c r="I3749" s="8" t="n">
        <v>28.21</v>
      </c>
      <c r="J3749" s="8" t="n">
        <v>31.49666666666667</v>
      </c>
      <c r="K3749" s="8" t="n"/>
      <c r="L3749" s="8" t="n"/>
      <c r="M3749" s="8" t="n"/>
      <c r="N3749" s="8" t="n"/>
      <c r="O3749" s="8" t="n"/>
      <c r="P3749" s="15" t="n">
        <v>33.65920000000001</v>
      </c>
      <c r="Q3749" s="8" t="n"/>
      <c r="R3749" s="8" t="n"/>
      <c r="S3749" s="8" t="n"/>
      <c r="T3749" s="7" t="inlineStr">
        <is>
          <t>NAZARIA</t>
        </is>
      </c>
      <c r="U3749" s="8" t="n">
        <v>33.65920000000001</v>
      </c>
      <c r="V3749" s="14">
        <f>U3749/J3749-1</f>
        <v/>
      </c>
      <c r="W3749" s="14">
        <f>U3749/H3749-1</f>
        <v/>
      </c>
      <c r="X3749" s="16" t="inlineStr">
        <is>
          <t>ACIMA +1.6%</t>
        </is>
      </c>
      <c r="Y3749" s="7" t="inlineStr"/>
    </row>
    <row r="3750">
      <c r="A3750" s="7" t="n">
        <v>427841</v>
      </c>
      <c r="B3750" s="12" t="inlineStr">
        <is>
          <t>8902220109520</t>
        </is>
      </c>
      <c r="C3750" s="7" t="inlineStr">
        <is>
          <t>ROSUCOR 20MG CX 30 COMP REV</t>
        </is>
      </c>
      <c r="D3750" s="7" t="inlineStr">
        <is>
          <t>RX</t>
        </is>
      </c>
      <c r="E3750" s="7" t="inlineStr">
        <is>
          <t>B</t>
        </is>
      </c>
      <c r="F3750" s="13" t="n">
        <v>1</v>
      </c>
      <c r="G3750" s="13" t="n">
        <v>1</v>
      </c>
      <c r="H3750" s="8" t="n">
        <v>58.89</v>
      </c>
      <c r="I3750" s="8" t="n">
        <v>46.56</v>
      </c>
      <c r="J3750" s="8" t="n">
        <v>52.915</v>
      </c>
      <c r="K3750" s="8" t="n"/>
      <c r="L3750" s="8" t="n"/>
      <c r="M3750" s="8" t="n"/>
      <c r="N3750" s="8" t="n"/>
      <c r="O3750" s="8" t="n"/>
      <c r="P3750" s="15" t="n">
        <v>57.56225</v>
      </c>
      <c r="Q3750" s="8" t="n"/>
      <c r="R3750" s="8" t="n"/>
      <c r="S3750" s="8" t="n"/>
      <c r="T3750" s="7" t="inlineStr">
        <is>
          <t>NAZARIA</t>
        </is>
      </c>
      <c r="U3750" s="8" t="n">
        <v>57.56225</v>
      </c>
      <c r="V3750" s="14">
        <f>U3750/J3750-1</f>
        <v/>
      </c>
      <c r="W3750" s="14">
        <f>U3750/H3750-1</f>
        <v/>
      </c>
      <c r="X3750" s="17" t="inlineStr">
        <is>
          <t>OK (≤ últ. compra)</t>
        </is>
      </c>
      <c r="Y3750" s="7" t="inlineStr"/>
    </row>
    <row r="3751">
      <c r="A3751" s="7" t="n">
        <v>428101</v>
      </c>
      <c r="B3751" s="12" t="inlineStr">
        <is>
          <t>7898569760458</t>
        </is>
      </c>
      <c r="C3751" s="7" t="inlineStr">
        <is>
          <t>ROSUVASTATINA CALCICA 10MG CX 30 COMP REV</t>
        </is>
      </c>
      <c r="D3751" s="7" t="inlineStr">
        <is>
          <t>GENERICO</t>
        </is>
      </c>
      <c r="E3751" s="7" t="inlineStr">
        <is>
          <t>C</t>
        </is>
      </c>
      <c r="F3751" s="13" t="n">
        <v>1</v>
      </c>
      <c r="G3751" s="13" t="n">
        <v>1</v>
      </c>
      <c r="H3751" s="8" t="n">
        <v>3.89</v>
      </c>
      <c r="I3751" s="8" t="n">
        <v>3.89</v>
      </c>
      <c r="J3751" s="8" t="n">
        <v>3.89</v>
      </c>
      <c r="K3751" s="8" t="n">
        <v>7.3</v>
      </c>
      <c r="L3751" s="8" t="n">
        <v>7.14</v>
      </c>
      <c r="M3751" s="8" t="n"/>
      <c r="N3751" s="8" t="n"/>
      <c r="O3751" s="8" t="n"/>
      <c r="P3751" s="8" t="n"/>
      <c r="Q3751" s="15" t="n">
        <v>4.88</v>
      </c>
      <c r="R3751" s="8" t="n"/>
      <c r="S3751" s="8" t="n"/>
      <c r="T3751" s="7" t="inlineStr">
        <is>
          <t>MEDCENTRO</t>
        </is>
      </c>
      <c r="U3751" s="8" t="n">
        <v>4.88</v>
      </c>
      <c r="V3751" s="14">
        <f>U3751/J3751-1</f>
        <v/>
      </c>
      <c r="W3751" s="14">
        <f>U3751/H3751-1</f>
        <v/>
      </c>
      <c r="X3751" s="16" t="inlineStr">
        <is>
          <t>ACIMA +25.4%</t>
        </is>
      </c>
      <c r="Y3751" s="7" t="inlineStr"/>
    </row>
    <row r="3752">
      <c r="A3752" s="7" t="n">
        <v>427061</v>
      </c>
      <c r="B3752" s="12" t="inlineStr">
        <is>
          <t>7896523226750</t>
        </is>
      </c>
      <c r="C3752" s="7" t="inlineStr">
        <is>
          <t>ROSUVASTATINA CALCICA 10MG CX 30 COMP REV</t>
        </is>
      </c>
      <c r="D3752" s="7" t="inlineStr">
        <is>
          <t>GENERICO</t>
        </is>
      </c>
      <c r="E3752" s="7" t="inlineStr">
        <is>
          <t>C</t>
        </is>
      </c>
      <c r="F3752" s="13" t="n">
        <v>4</v>
      </c>
      <c r="G3752" s="13" t="n">
        <v>4</v>
      </c>
      <c r="H3752" s="8" t="n">
        <v>5.39</v>
      </c>
      <c r="I3752" s="8" t="n">
        <v>4.69</v>
      </c>
      <c r="J3752" s="8" t="n">
        <v>4.69</v>
      </c>
      <c r="K3752" s="8" t="n"/>
      <c r="L3752" s="8" t="n"/>
      <c r="M3752" s="8" t="n"/>
      <c r="N3752" s="8" t="n"/>
      <c r="O3752" s="8" t="n"/>
      <c r="P3752" s="8" t="n"/>
      <c r="Q3752" s="8" t="n"/>
      <c r="R3752" s="8" t="n"/>
      <c r="S3752" s="8" t="n"/>
      <c r="T3752" s="7" t="inlineStr">
        <is>
          <t>SEM COTAÇÃO</t>
        </is>
      </c>
      <c r="U3752" s="8" t="n"/>
      <c r="V3752" s="14" t="n"/>
      <c r="W3752" s="14" t="n"/>
      <c r="X3752" s="7" t="inlineStr"/>
      <c r="Y3752" s="7" t="inlineStr"/>
    </row>
    <row r="3753">
      <c r="A3753" s="7" t="n">
        <v>426321</v>
      </c>
      <c r="B3753" s="12" t="inlineStr">
        <is>
          <t>7896422528580</t>
        </is>
      </c>
      <c r="C3753" s="7" t="inlineStr">
        <is>
          <t>ROSUVASTATINA CALCICA 10MG CX 30 COMP REV</t>
        </is>
      </c>
      <c r="D3753" s="7" t="inlineStr">
        <is>
          <t>GENERICO</t>
        </is>
      </c>
      <c r="E3753" s="7" t="inlineStr">
        <is>
          <t>A</t>
        </is>
      </c>
      <c r="F3753" s="13" t="n">
        <v>5</v>
      </c>
      <c r="G3753" s="13" t="n">
        <v>5</v>
      </c>
      <c r="H3753" s="8" t="n">
        <v>6.47</v>
      </c>
      <c r="I3753" s="8" t="n">
        <v>4.0392</v>
      </c>
      <c r="J3753" s="8" t="n">
        <v>5.659733333333333</v>
      </c>
      <c r="K3753" s="8" t="n"/>
      <c r="L3753" s="8" t="n"/>
      <c r="M3753" s="8" t="n"/>
      <c r="N3753" s="8" t="n"/>
      <c r="O3753" s="8" t="n"/>
      <c r="P3753" s="15" t="n">
        <v>37.690797</v>
      </c>
      <c r="Q3753" s="8" t="n"/>
      <c r="R3753" s="8" t="n"/>
      <c r="S3753" s="8" t="n"/>
      <c r="T3753" s="7" t="inlineStr">
        <is>
          <t>NAZARIA</t>
        </is>
      </c>
      <c r="U3753" s="8" t="n">
        <v>37.690797</v>
      </c>
      <c r="V3753" s="14">
        <f>U3753/J3753-1</f>
        <v/>
      </c>
      <c r="W3753" s="14">
        <f>U3753/H3753-1</f>
        <v/>
      </c>
      <c r="X3753" s="16" t="inlineStr">
        <is>
          <t>ACIMA +482.5%</t>
        </is>
      </c>
      <c r="Y3753" s="7" t="inlineStr">
        <is>
          <t>NAZARIA: conferir emb.</t>
        </is>
      </c>
    </row>
    <row r="3754">
      <c r="A3754" s="7" t="n">
        <v>425921</v>
      </c>
      <c r="B3754" s="12" t="inlineStr">
        <is>
          <t>8902220109544</t>
        </is>
      </c>
      <c r="C3754" s="7" t="inlineStr">
        <is>
          <t>ROSUVASTATINA CALCICA 10MG CX 30 COMP REV</t>
        </is>
      </c>
      <c r="D3754" s="7" t="inlineStr">
        <is>
          <t>GENERICO</t>
        </is>
      </c>
      <c r="E3754" s="7" t="inlineStr">
        <is>
          <t>C</t>
        </is>
      </c>
      <c r="F3754" s="13" t="n">
        <v>2</v>
      </c>
      <c r="G3754" s="13" t="n">
        <v>2</v>
      </c>
      <c r="H3754" s="8" t="n">
        <v>8.16</v>
      </c>
      <c r="I3754" s="8" t="n">
        <v>8.16</v>
      </c>
      <c r="J3754" s="8" t="n">
        <v>8.16</v>
      </c>
      <c r="K3754" s="8" t="n"/>
      <c r="L3754" s="8" t="n"/>
      <c r="M3754" s="8" t="n"/>
      <c r="N3754" s="8" t="n"/>
      <c r="O3754" s="8" t="n"/>
      <c r="P3754" s="15" t="n">
        <v>52.31</v>
      </c>
      <c r="Q3754" s="8" t="n"/>
      <c r="R3754" s="8" t="n"/>
      <c r="S3754" s="8" t="n"/>
      <c r="T3754" s="7" t="inlineStr">
        <is>
          <t>NAZARIA</t>
        </is>
      </c>
      <c r="U3754" s="8" t="n">
        <v>52.31</v>
      </c>
      <c r="V3754" s="14">
        <f>U3754/J3754-1</f>
        <v/>
      </c>
      <c r="W3754" s="14">
        <f>U3754/H3754-1</f>
        <v/>
      </c>
      <c r="X3754" s="16" t="inlineStr">
        <is>
          <t>ACIMA +541.1%</t>
        </is>
      </c>
      <c r="Y3754" s="7" t="inlineStr">
        <is>
          <t>NAZARIA: conferir emb.</t>
        </is>
      </c>
    </row>
    <row r="3755">
      <c r="A3755" s="7" t="n">
        <v>636381</v>
      </c>
      <c r="B3755" s="12" t="inlineStr">
        <is>
          <t>7896006201465</t>
        </is>
      </c>
      <c r="C3755" s="7" t="inlineStr">
        <is>
          <t>ROSUVASTATINA CALCICA 20MG CX 30 COMP</t>
        </is>
      </c>
      <c r="D3755" s="7" t="inlineStr">
        <is>
          <t>GENERICO</t>
        </is>
      </c>
      <c r="E3755" s="7" t="inlineStr">
        <is>
          <t>C</t>
        </is>
      </c>
      <c r="F3755" s="13" t="n">
        <v>1</v>
      </c>
      <c r="G3755" s="13" t="n">
        <v>1</v>
      </c>
      <c r="H3755" s="8" t="n">
        <v>8.3889</v>
      </c>
      <c r="I3755" s="8" t="n">
        <v>8.3889</v>
      </c>
      <c r="J3755" s="8" t="n">
        <v>8.3889</v>
      </c>
      <c r="K3755" s="8" t="n"/>
      <c r="L3755" s="8" t="n"/>
      <c r="M3755" s="8" t="n"/>
      <c r="N3755" s="8" t="n"/>
      <c r="O3755" s="8" t="n"/>
      <c r="P3755" s="8" t="n"/>
      <c r="Q3755" s="8" t="n"/>
      <c r="R3755" s="8" t="n"/>
      <c r="S3755" s="8" t="n"/>
      <c r="T3755" s="7" t="inlineStr">
        <is>
          <t>SEM COTAÇÃO</t>
        </is>
      </c>
      <c r="U3755" s="8" t="n"/>
      <c r="V3755" s="14" t="n"/>
      <c r="W3755" s="14" t="n"/>
      <c r="X3755" s="7" t="inlineStr"/>
      <c r="Y3755" s="7" t="inlineStr"/>
    </row>
    <row r="3756">
      <c r="A3756" s="7" t="n">
        <v>428181</v>
      </c>
      <c r="B3756" s="12" t="inlineStr">
        <is>
          <t>7898569760496</t>
        </is>
      </c>
      <c r="C3756" s="7" t="inlineStr">
        <is>
          <t>ROSUVASTATINA CALCICA 20MG CX 30 COMP REV</t>
        </is>
      </c>
      <c r="D3756" s="7" t="inlineStr">
        <is>
          <t>GENERICO</t>
        </is>
      </c>
      <c r="E3756" s="7" t="inlineStr">
        <is>
          <t>B</t>
        </is>
      </c>
      <c r="F3756" s="13" t="n">
        <v>5</v>
      </c>
      <c r="G3756" s="13" t="n">
        <v>5</v>
      </c>
      <c r="H3756" s="8" t="n">
        <v>6.83</v>
      </c>
      <c r="I3756" s="8" t="n">
        <v>6.83</v>
      </c>
      <c r="J3756" s="8" t="n">
        <v>6.830000000000001</v>
      </c>
      <c r="K3756" s="8" t="n">
        <v>14.15</v>
      </c>
      <c r="L3756" s="8" t="n">
        <v>13.84</v>
      </c>
      <c r="M3756" s="8" t="n"/>
      <c r="N3756" s="8" t="n"/>
      <c r="O3756" s="8" t="n"/>
      <c r="P3756" s="8" t="n"/>
      <c r="Q3756" s="15" t="n">
        <v>7.46</v>
      </c>
      <c r="R3756" s="8" t="n"/>
      <c r="S3756" s="8" t="n"/>
      <c r="T3756" s="7" t="inlineStr">
        <is>
          <t>MEDCENTRO</t>
        </is>
      </c>
      <c r="U3756" s="8" t="n">
        <v>7.46</v>
      </c>
      <c r="V3756" s="14">
        <f>U3756/J3756-1</f>
        <v/>
      </c>
      <c r="W3756" s="14">
        <f>U3756/H3756-1</f>
        <v/>
      </c>
      <c r="X3756" s="16" t="inlineStr">
        <is>
          <t>ACIMA +9.2%</t>
        </is>
      </c>
      <c r="Y3756" s="7" t="inlineStr">
        <is>
          <t>DIMEC: conferir emb.; PLUSFARMA: conferir emb.</t>
        </is>
      </c>
    </row>
    <row r="3757">
      <c r="A3757" s="7" t="n">
        <v>427041</v>
      </c>
      <c r="B3757" s="12" t="inlineStr"/>
      <c r="C3757" s="7" t="inlineStr">
        <is>
          <t>ROSUVASTATINA CALCICA 20MG CX 30 COMP REV</t>
        </is>
      </c>
      <c r="D3757" s="7" t="inlineStr">
        <is>
          <t>GENERICO</t>
        </is>
      </c>
      <c r="E3757" s="7" t="inlineStr">
        <is>
          <t>A</t>
        </is>
      </c>
      <c r="F3757" s="13" t="n">
        <v>19</v>
      </c>
      <c r="G3757" s="13" t="n">
        <v>19</v>
      </c>
      <c r="H3757" s="8" t="n">
        <v>7.29</v>
      </c>
      <c r="I3757" s="8" t="n">
        <v>6.11</v>
      </c>
      <c r="J3757" s="8" t="n">
        <v>6.896666666666667</v>
      </c>
      <c r="K3757" s="8" t="n"/>
      <c r="L3757" s="8" t="n"/>
      <c r="M3757" s="8" t="n"/>
      <c r="N3757" s="8" t="n"/>
      <c r="O3757" s="8" t="n"/>
      <c r="P3757" s="8" t="n"/>
      <c r="Q3757" s="8" t="n"/>
      <c r="R3757" s="8" t="n"/>
      <c r="S3757" s="8" t="n"/>
      <c r="T3757" s="7" t="inlineStr">
        <is>
          <t>SEM COTAÇÃO</t>
        </is>
      </c>
      <c r="U3757" s="8" t="n"/>
      <c r="V3757" s="14" t="n"/>
      <c r="W3757" s="14" t="n"/>
      <c r="X3757" s="7" t="inlineStr"/>
      <c r="Y3757" s="7" t="inlineStr"/>
    </row>
    <row r="3758">
      <c r="A3758" s="7" t="n">
        <v>425961</v>
      </c>
      <c r="B3758" s="12" t="inlineStr">
        <is>
          <t>7896422528627</t>
        </is>
      </c>
      <c r="C3758" s="7" t="inlineStr">
        <is>
          <t>ROSUVASTATINA CALCICA 20MG CX 30 COMP REV</t>
        </is>
      </c>
      <c r="D3758" s="7" t="inlineStr">
        <is>
          <t>GENERICO</t>
        </is>
      </c>
      <c r="E3758" s="7" t="inlineStr">
        <is>
          <t>C</t>
        </is>
      </c>
      <c r="F3758" s="13" t="n">
        <v>17</v>
      </c>
      <c r="G3758" s="13" t="n">
        <v>17</v>
      </c>
      <c r="H3758" s="8" t="n">
        <v>9.7325</v>
      </c>
      <c r="I3758" s="8" t="n">
        <v>6.8156</v>
      </c>
      <c r="J3758" s="8" t="n">
        <v>8.760199999999999</v>
      </c>
      <c r="K3758" s="8" t="n"/>
      <c r="L3758" s="8" t="n"/>
      <c r="M3758" s="8" t="n"/>
      <c r="N3758" s="8" t="n"/>
      <c r="O3758" s="8" t="n"/>
      <c r="P3758" s="8" t="n">
        <v>61.369336</v>
      </c>
      <c r="Q3758" s="8" t="n"/>
      <c r="R3758" s="8" t="n"/>
      <c r="S3758" s="8" t="n"/>
      <c r="T3758" s="7" t="inlineStr">
        <is>
          <t>SEM COTAÇÃO</t>
        </is>
      </c>
      <c r="U3758" s="8" t="n"/>
      <c r="V3758" s="14" t="n"/>
      <c r="W3758" s="14" t="n"/>
      <c r="X3758" s="7" t="inlineStr"/>
      <c r="Y3758" s="7" t="inlineStr">
        <is>
          <t>NAZARIA: sem estoque; conferir emb.</t>
        </is>
      </c>
    </row>
    <row r="3759">
      <c r="A3759" s="7" t="n">
        <v>425941</v>
      </c>
      <c r="B3759" s="12" t="inlineStr"/>
      <c r="C3759" s="7" t="inlineStr">
        <is>
          <t>ROSUVASTATINA CALCICA 20MG CX 30 COMP REV</t>
        </is>
      </c>
      <c r="D3759" s="7" t="inlineStr">
        <is>
          <t>GENERICO</t>
        </is>
      </c>
      <c r="E3759" s="7" t="inlineStr">
        <is>
          <t>B</t>
        </is>
      </c>
      <c r="F3759" s="13" t="n">
        <v>6</v>
      </c>
      <c r="G3759" s="13" t="n">
        <v>6</v>
      </c>
      <c r="H3759" s="8" t="n">
        <v>10.04</v>
      </c>
      <c r="I3759" s="8" t="n">
        <v>10.04</v>
      </c>
      <c r="J3759" s="8" t="n">
        <v>10.04</v>
      </c>
      <c r="K3759" s="8" t="n"/>
      <c r="L3759" s="8" t="n"/>
      <c r="M3759" s="8" t="n"/>
      <c r="N3759" s="8" t="n"/>
      <c r="O3759" s="8" t="n"/>
      <c r="P3759" s="8" t="n"/>
      <c r="Q3759" s="8" t="n"/>
      <c r="R3759" s="8" t="n"/>
      <c r="S3759" s="8" t="n"/>
      <c r="T3759" s="7" t="inlineStr">
        <is>
          <t>SEM COTAÇÃO</t>
        </is>
      </c>
      <c r="U3759" s="8" t="n"/>
      <c r="V3759" s="14" t="n"/>
      <c r="W3759" s="14" t="n"/>
      <c r="X3759" s="7" t="inlineStr"/>
      <c r="Y3759" s="7" t="inlineStr"/>
    </row>
    <row r="3760">
      <c r="A3760" s="7" t="n">
        <v>428261</v>
      </c>
      <c r="B3760" s="12" t="inlineStr"/>
      <c r="C3760" s="7" t="inlineStr">
        <is>
          <t>ROSUVASTATINA CALCICA 40MG CX 30 COMP REV</t>
        </is>
      </c>
      <c r="D3760" s="7" t="inlineStr">
        <is>
          <t>GENERICO</t>
        </is>
      </c>
      <c r="E3760" s="7" t="inlineStr">
        <is>
          <t>A</t>
        </is>
      </c>
      <c r="F3760" s="13" t="n">
        <v>2</v>
      </c>
      <c r="G3760" s="13" t="n">
        <v>2</v>
      </c>
      <c r="H3760" s="8" t="n">
        <v>42.6</v>
      </c>
      <c r="I3760" s="8" t="n">
        <v>42.6</v>
      </c>
      <c r="J3760" s="8" t="n">
        <v>42.6</v>
      </c>
      <c r="K3760" s="8" t="n"/>
      <c r="L3760" s="8" t="n"/>
      <c r="M3760" s="8" t="n"/>
      <c r="N3760" s="8" t="n"/>
      <c r="O3760" s="8" t="n"/>
      <c r="P3760" s="8" t="n"/>
      <c r="Q3760" s="8" t="n"/>
      <c r="R3760" s="8" t="n"/>
      <c r="S3760" s="8" t="n"/>
      <c r="T3760" s="7" t="inlineStr">
        <is>
          <t>SEM COTAÇÃO</t>
        </is>
      </c>
      <c r="U3760" s="8" t="n"/>
      <c r="V3760" s="14" t="n"/>
      <c r="W3760" s="14" t="n"/>
      <c r="X3760" s="7" t="inlineStr"/>
      <c r="Y3760" s="7" t="inlineStr"/>
    </row>
    <row r="3761">
      <c r="A3761" s="7" t="n">
        <v>667251</v>
      </c>
      <c r="B3761" s="12" t="inlineStr">
        <is>
          <t>7898216366088</t>
        </is>
      </c>
      <c r="C3761" s="7" t="inlineStr">
        <is>
          <t>ROSUVASTATINA CALCICA 5MG CX 30 COMP REV</t>
        </is>
      </c>
      <c r="D3761" s="7" t="inlineStr">
        <is>
          <t>GENERICO</t>
        </is>
      </c>
      <c r="E3761" s="7" t="inlineStr">
        <is>
          <t>B</t>
        </is>
      </c>
      <c r="F3761" s="13" t="n">
        <v>2</v>
      </c>
      <c r="G3761" s="13" t="n">
        <v>2</v>
      </c>
      <c r="H3761" s="8" t="n">
        <v>5.9</v>
      </c>
      <c r="I3761" s="8" t="n">
        <v>5.9</v>
      </c>
      <c r="J3761" s="8" t="n">
        <v>5.900000000000001</v>
      </c>
      <c r="K3761" s="8" t="n">
        <v>6.13</v>
      </c>
      <c r="L3761" s="8" t="n"/>
      <c r="M3761" s="8" t="n"/>
      <c r="N3761" s="8" t="n">
        <v>6.21</v>
      </c>
      <c r="O3761" s="8" t="n"/>
      <c r="P3761" s="8" t="n"/>
      <c r="Q3761" s="8" t="n"/>
      <c r="R3761" s="15" t="n">
        <v>5.86</v>
      </c>
      <c r="S3761" s="8" t="n"/>
      <c r="T3761" s="7" t="inlineStr">
        <is>
          <t>BRASFARMA</t>
        </is>
      </c>
      <c r="U3761" s="8" t="n">
        <v>5.86</v>
      </c>
      <c r="V3761" s="14">
        <f>U3761/J3761-1</f>
        <v/>
      </c>
      <c r="W3761" s="14">
        <f>U3761/H3761-1</f>
        <v/>
      </c>
      <c r="X3761" s="17" t="inlineStr">
        <is>
          <t>OK (≤ menor hist.)</t>
        </is>
      </c>
      <c r="Y3761" s="7" t="inlineStr"/>
    </row>
    <row r="3762">
      <c r="A3762" s="7" t="n">
        <v>13403</v>
      </c>
      <c r="B3762" s="12" t="inlineStr">
        <is>
          <t>7892840824648</t>
        </is>
      </c>
      <c r="C3762" s="7" t="inlineStr">
        <is>
          <t>RUFFLES CEBOLA E SALSA 33GR UN 1X33GR QTD. 6.00 UN</t>
        </is>
      </c>
      <c r="D3762" s="7" t="inlineStr">
        <is>
          <t>CONVENIENCIA</t>
        </is>
      </c>
      <c r="E3762" s="7" t="inlineStr">
        <is>
          <t>B</t>
        </is>
      </c>
      <c r="F3762" s="13" t="n">
        <v>7</v>
      </c>
      <c r="G3762" s="13" t="n">
        <v>7</v>
      </c>
      <c r="H3762" s="8" t="n">
        <v>4.86</v>
      </c>
      <c r="I3762" s="8" t="n">
        <v>4.86</v>
      </c>
      <c r="J3762" s="8" t="n">
        <v>4.86</v>
      </c>
      <c r="K3762" s="8" t="n"/>
      <c r="L3762" s="8" t="n"/>
      <c r="M3762" s="8" t="n"/>
      <c r="N3762" s="8" t="n"/>
      <c r="O3762" s="8" t="n"/>
      <c r="P3762" s="8" t="n"/>
      <c r="Q3762" s="8" t="n"/>
      <c r="R3762" s="8" t="n"/>
      <c r="S3762" s="8" t="n"/>
      <c r="T3762" s="7" t="inlineStr">
        <is>
          <t>SEM COTAÇÃO</t>
        </is>
      </c>
      <c r="U3762" s="8" t="n"/>
      <c r="V3762" s="14" t="n"/>
      <c r="W3762" s="14" t="n"/>
      <c r="X3762" s="7" t="inlineStr"/>
      <c r="Y3762" s="7" t="inlineStr"/>
    </row>
    <row r="3763">
      <c r="A3763" s="7" t="n">
        <v>13003</v>
      </c>
      <c r="B3763" s="12" t="inlineStr">
        <is>
          <t>7892840824662</t>
        </is>
      </c>
      <c r="C3763" s="7" t="inlineStr">
        <is>
          <t>RUFFLES CHURRASCO 33GR UN 1X33GR QTD. 6.00 UN</t>
        </is>
      </c>
      <c r="D3763" s="7" t="inlineStr">
        <is>
          <t>CONVENIENCIA</t>
        </is>
      </c>
      <c r="E3763" s="7" t="inlineStr">
        <is>
          <t>B</t>
        </is>
      </c>
      <c r="F3763" s="13" t="n">
        <v>6</v>
      </c>
      <c r="G3763" s="13" t="n">
        <v>6</v>
      </c>
      <c r="H3763" s="8" t="n">
        <v>4.86</v>
      </c>
      <c r="I3763" s="8" t="n">
        <v>4.86</v>
      </c>
      <c r="J3763" s="8" t="n">
        <v>4.86</v>
      </c>
      <c r="K3763" s="8" t="n"/>
      <c r="L3763" s="8" t="n"/>
      <c r="M3763" s="8" t="n"/>
      <c r="N3763" s="8" t="n"/>
      <c r="O3763" s="8" t="n"/>
      <c r="P3763" s="8" t="n"/>
      <c r="Q3763" s="8" t="n"/>
      <c r="R3763" s="8" t="n"/>
      <c r="S3763" s="8" t="n"/>
      <c r="T3763" s="7" t="inlineStr">
        <is>
          <t>SEM COTAÇÃO</t>
        </is>
      </c>
      <c r="U3763" s="8" t="n"/>
      <c r="V3763" s="14" t="n"/>
      <c r="W3763" s="14" t="n"/>
      <c r="X3763" s="7" t="inlineStr"/>
      <c r="Y3763" s="7" t="inlineStr"/>
    </row>
    <row r="3764">
      <c r="A3764" s="7" t="n">
        <v>13303</v>
      </c>
      <c r="B3764" s="12" t="inlineStr">
        <is>
          <t>7892840824693</t>
        </is>
      </c>
      <c r="C3764" s="7" t="inlineStr">
        <is>
          <t>RUFFLES SAL 33GR UN 1X33GR QTD. 10.00 UN</t>
        </is>
      </c>
      <c r="D3764" s="7" t="inlineStr">
        <is>
          <t>CONVENIENCIA</t>
        </is>
      </c>
      <c r="E3764" s="7" t="inlineStr">
        <is>
          <t>A</t>
        </is>
      </c>
      <c r="F3764" s="13" t="n">
        <v>9</v>
      </c>
      <c r="G3764" s="13" t="n">
        <v>9</v>
      </c>
      <c r="H3764" s="8" t="n">
        <v>4.86</v>
      </c>
      <c r="I3764" s="8" t="n">
        <v>4.86</v>
      </c>
      <c r="J3764" s="8" t="n">
        <v>4.86</v>
      </c>
      <c r="K3764" s="8" t="n"/>
      <c r="L3764" s="8" t="n"/>
      <c r="M3764" s="8" t="n"/>
      <c r="N3764" s="8" t="n"/>
      <c r="O3764" s="8" t="n"/>
      <c r="P3764" s="8" t="n"/>
      <c r="Q3764" s="8" t="n"/>
      <c r="R3764" s="8" t="n"/>
      <c r="S3764" s="8" t="n"/>
      <c r="T3764" s="7" t="inlineStr">
        <is>
          <t>SEM COTAÇÃO</t>
        </is>
      </c>
      <c r="U3764" s="8" t="n"/>
      <c r="V3764" s="14" t="n"/>
      <c r="W3764" s="14" t="n"/>
      <c r="X3764" s="7" t="inlineStr"/>
      <c r="Y3764" s="7" t="inlineStr"/>
    </row>
    <row r="3765">
      <c r="A3765" s="7" t="n">
        <v>602841</v>
      </c>
      <c r="B3765" s="12" t="inlineStr">
        <is>
          <t>7908324400120</t>
        </is>
      </c>
      <c r="C3765" s="7" t="inlineStr">
        <is>
          <t>SAB ALBANY SUAVE 85G ANTIBAC BCO</t>
        </is>
      </c>
      <c r="D3765" s="7" t="inlineStr">
        <is>
          <t>PERF/COSME</t>
        </is>
      </c>
      <c r="E3765" s="7" t="inlineStr">
        <is>
          <t>C</t>
        </is>
      </c>
      <c r="F3765" s="13" t="n">
        <v>1</v>
      </c>
      <c r="G3765" s="13" t="n">
        <v>1</v>
      </c>
      <c r="H3765" s="8" t="n">
        <v>1.22</v>
      </c>
      <c r="I3765" s="8" t="n">
        <v>1.22</v>
      </c>
      <c r="J3765" s="8" t="n">
        <v>1.22</v>
      </c>
      <c r="K3765" s="8" t="n"/>
      <c r="L3765" s="8" t="n"/>
      <c r="M3765" s="8" t="n"/>
      <c r="N3765" s="8" t="n"/>
      <c r="O3765" s="8" t="n"/>
      <c r="P3765" s="8" t="n"/>
      <c r="Q3765" s="8" t="n"/>
      <c r="R3765" s="8" t="n"/>
      <c r="S3765" s="8" t="n"/>
      <c r="T3765" s="7" t="inlineStr">
        <is>
          <t>SEM COTAÇÃO</t>
        </is>
      </c>
      <c r="U3765" s="8" t="n"/>
      <c r="V3765" s="14" t="n"/>
      <c r="W3765" s="14" t="n"/>
      <c r="X3765" s="7" t="inlineStr"/>
      <c r="Y3765" s="7" t="inlineStr"/>
    </row>
    <row r="3766">
      <c r="A3766" s="7" t="n">
        <v>646031</v>
      </c>
      <c r="B3766" s="12" t="inlineStr">
        <is>
          <t>7908324408447</t>
        </is>
      </c>
      <c r="C3766" s="7" t="inlineStr">
        <is>
          <t>SAB ALBANY SUAVE 85G CAPIM LIMAO VD</t>
        </is>
      </c>
      <c r="D3766" s="7" t="inlineStr">
        <is>
          <t>PERF/COSME</t>
        </is>
      </c>
      <c r="E3766" s="7" t="inlineStr">
        <is>
          <t>C</t>
        </is>
      </c>
      <c r="F3766" s="13" t="n">
        <v>1</v>
      </c>
      <c r="G3766" s="13" t="n">
        <v>1</v>
      </c>
      <c r="H3766" s="8" t="n">
        <v>1.22</v>
      </c>
      <c r="I3766" s="8" t="n">
        <v>1.22</v>
      </c>
      <c r="J3766" s="8" t="n">
        <v>1.22</v>
      </c>
      <c r="K3766" s="8" t="n"/>
      <c r="L3766" s="8" t="n"/>
      <c r="M3766" s="8" t="n"/>
      <c r="N3766" s="8" t="n"/>
      <c r="O3766" s="8" t="n"/>
      <c r="P3766" s="8" t="n"/>
      <c r="Q3766" s="8" t="n"/>
      <c r="R3766" s="8" t="n"/>
      <c r="S3766" s="8" t="n"/>
      <c r="T3766" s="7" t="inlineStr">
        <is>
          <t>SEM COTAÇÃO</t>
        </is>
      </c>
      <c r="U3766" s="8" t="n"/>
      <c r="V3766" s="14" t="n"/>
      <c r="W3766" s="14" t="n"/>
      <c r="X3766" s="7" t="inlineStr"/>
      <c r="Y3766" s="7" t="inlineStr"/>
    </row>
    <row r="3767">
      <c r="A3767" s="7" t="n">
        <v>646011</v>
      </c>
      <c r="B3767" s="12" t="inlineStr">
        <is>
          <t>7897664171732</t>
        </is>
      </c>
      <c r="C3767" s="7" t="inlineStr">
        <is>
          <t>SAB ALBANY SUAVE 85G CONTRO HOME AZUL</t>
        </is>
      </c>
      <c r="D3767" s="7" t="inlineStr">
        <is>
          <t>PERF/COSME</t>
        </is>
      </c>
      <c r="E3767" s="7" t="inlineStr">
        <is>
          <t>C</t>
        </is>
      </c>
      <c r="F3767" s="13" t="n">
        <v>1</v>
      </c>
      <c r="G3767" s="13" t="n">
        <v>1</v>
      </c>
      <c r="H3767" s="8" t="n">
        <v>1.22</v>
      </c>
      <c r="I3767" s="8" t="n">
        <v>1.22</v>
      </c>
      <c r="J3767" s="8" t="n">
        <v>1.22</v>
      </c>
      <c r="K3767" s="8" t="n"/>
      <c r="L3767" s="8" t="n"/>
      <c r="M3767" s="8" t="n"/>
      <c r="N3767" s="8" t="n"/>
      <c r="O3767" s="8" t="n"/>
      <c r="P3767" s="8" t="n"/>
      <c r="Q3767" s="8" t="n"/>
      <c r="R3767" s="8" t="n"/>
      <c r="S3767" s="8" t="n"/>
      <c r="T3767" s="7" t="inlineStr">
        <is>
          <t>SEM COTAÇÃO</t>
        </is>
      </c>
      <c r="U3767" s="8" t="n"/>
      <c r="V3767" s="14" t="n"/>
      <c r="W3767" s="14" t="n"/>
      <c r="X3767" s="7" t="inlineStr"/>
      <c r="Y3767" s="7" t="inlineStr"/>
    </row>
    <row r="3768">
      <c r="A3768" s="7" t="n">
        <v>646021</v>
      </c>
      <c r="B3768" s="12" t="inlineStr">
        <is>
          <t>7908324404005</t>
        </is>
      </c>
      <c r="C3768" s="7" t="inlineStr">
        <is>
          <t>SAB ALBANY SUAVE 85G FRUTAS VERMELHAS VM</t>
        </is>
      </c>
      <c r="D3768" s="7" t="inlineStr">
        <is>
          <t>PERF/COSME</t>
        </is>
      </c>
      <c r="E3768" s="7" t="inlineStr">
        <is>
          <t>C</t>
        </is>
      </c>
      <c r="F3768" s="13" t="n">
        <v>1</v>
      </c>
      <c r="G3768" s="13" t="n">
        <v>1</v>
      </c>
      <c r="H3768" s="8" t="n">
        <v>1.22</v>
      </c>
      <c r="I3768" s="8" t="n">
        <v>1.22</v>
      </c>
      <c r="J3768" s="8" t="n">
        <v>1.22</v>
      </c>
      <c r="K3768" s="8" t="n"/>
      <c r="L3768" s="8" t="n"/>
      <c r="M3768" s="8" t="n"/>
      <c r="N3768" s="8" t="n"/>
      <c r="O3768" s="8" t="n"/>
      <c r="P3768" s="8" t="n"/>
      <c r="Q3768" s="8" t="n"/>
      <c r="R3768" s="8" t="n"/>
      <c r="S3768" s="8" t="n"/>
      <c r="T3768" s="7" t="inlineStr">
        <is>
          <t>SEM COTAÇÃO</t>
        </is>
      </c>
      <c r="U3768" s="8" t="n"/>
      <c r="V3768" s="14" t="n"/>
      <c r="W3768" s="14" t="n"/>
      <c r="X3768" s="7" t="inlineStr"/>
      <c r="Y3768" s="7" t="inlineStr"/>
    </row>
    <row r="3769">
      <c r="A3769" s="7" t="n">
        <v>646041</v>
      </c>
      <c r="B3769" s="12" t="inlineStr">
        <is>
          <t>7897664171701</t>
        </is>
      </c>
      <c r="C3769" s="7" t="inlineStr">
        <is>
          <t>SAB ALBANY SUAVE 85G HID INTEN AZUL</t>
        </is>
      </c>
      <c r="D3769" s="7" t="inlineStr">
        <is>
          <t>PERF/COSME</t>
        </is>
      </c>
      <c r="E3769" s="7" t="inlineStr">
        <is>
          <t>C</t>
        </is>
      </c>
      <c r="F3769" s="13" t="n">
        <v>1</v>
      </c>
      <c r="G3769" s="13" t="n">
        <v>1</v>
      </c>
      <c r="H3769" s="8" t="n">
        <v>1.22</v>
      </c>
      <c r="I3769" s="8" t="n">
        <v>1.22</v>
      </c>
      <c r="J3769" s="8" t="n">
        <v>1.22</v>
      </c>
      <c r="K3769" s="8" t="n"/>
      <c r="L3769" s="8" t="n"/>
      <c r="M3769" s="8" t="n"/>
      <c r="N3769" s="8" t="n"/>
      <c r="O3769" s="8" t="n"/>
      <c r="P3769" s="8" t="n"/>
      <c r="Q3769" s="8" t="n"/>
      <c r="R3769" s="8" t="n"/>
      <c r="S3769" s="8" t="n"/>
      <c r="T3769" s="7" t="inlineStr">
        <is>
          <t>SEM COTAÇÃO</t>
        </is>
      </c>
      <c r="U3769" s="8" t="n"/>
      <c r="V3769" s="14" t="n"/>
      <c r="W3769" s="14" t="n"/>
      <c r="X3769" s="7" t="inlineStr"/>
      <c r="Y3769" s="7" t="inlineStr"/>
    </row>
    <row r="3770">
      <c r="A3770" s="7" t="n">
        <v>646051</v>
      </c>
      <c r="B3770" s="12" t="inlineStr">
        <is>
          <t>7908324408430</t>
        </is>
      </c>
      <c r="C3770" s="7" t="inlineStr">
        <is>
          <t>SAB ALBANY SUAVE 85G JASMIM ROXO</t>
        </is>
      </c>
      <c r="D3770" s="7" t="inlineStr">
        <is>
          <t>PERF/COSME</t>
        </is>
      </c>
      <c r="E3770" s="7" t="inlineStr">
        <is>
          <t>C</t>
        </is>
      </c>
      <c r="F3770" s="13" t="n">
        <v>1</v>
      </c>
      <c r="G3770" s="13" t="n">
        <v>1</v>
      </c>
      <c r="H3770" s="8" t="n">
        <v>1.22</v>
      </c>
      <c r="I3770" s="8" t="n">
        <v>1.22</v>
      </c>
      <c r="J3770" s="8" t="n">
        <v>1.22</v>
      </c>
      <c r="K3770" s="8" t="n"/>
      <c r="L3770" s="8" t="n"/>
      <c r="M3770" s="8" t="n"/>
      <c r="N3770" s="8" t="n"/>
      <c r="O3770" s="8" t="n"/>
      <c r="P3770" s="8" t="n"/>
      <c r="Q3770" s="8" t="n"/>
      <c r="R3770" s="8" t="n"/>
      <c r="S3770" s="8" t="n"/>
      <c r="T3770" s="7" t="inlineStr">
        <is>
          <t>SEM COTAÇÃO</t>
        </is>
      </c>
      <c r="U3770" s="8" t="n"/>
      <c r="V3770" s="14" t="n"/>
      <c r="W3770" s="14" t="n"/>
      <c r="X3770" s="7" t="inlineStr"/>
      <c r="Y3770" s="7" t="inlineStr"/>
    </row>
    <row r="3771">
      <c r="A3771" s="7" t="n">
        <v>646061</v>
      </c>
      <c r="B3771" s="12" t="inlineStr">
        <is>
          <t>7908324403985</t>
        </is>
      </c>
      <c r="C3771" s="7" t="inlineStr">
        <is>
          <t>SAB ALBANY SUAVE 85G LAVANDA ROXO</t>
        </is>
      </c>
      <c r="D3771" s="7" t="inlineStr">
        <is>
          <t>PERF/COSME</t>
        </is>
      </c>
      <c r="E3771" s="7" t="inlineStr">
        <is>
          <t>C</t>
        </is>
      </c>
      <c r="F3771" s="13" t="n">
        <v>1</v>
      </c>
      <c r="G3771" s="13" t="n">
        <v>1</v>
      </c>
      <c r="H3771" s="8" t="n">
        <v>1.22</v>
      </c>
      <c r="I3771" s="8" t="n">
        <v>1.22</v>
      </c>
      <c r="J3771" s="8" t="n">
        <v>1.22</v>
      </c>
      <c r="K3771" s="8" t="n"/>
      <c r="L3771" s="8" t="n"/>
      <c r="M3771" s="8" t="n"/>
      <c r="N3771" s="8" t="n"/>
      <c r="O3771" s="8" t="n"/>
      <c r="P3771" s="8" t="n"/>
      <c r="Q3771" s="8" t="n"/>
      <c r="R3771" s="8" t="n"/>
      <c r="S3771" s="8" t="n"/>
      <c r="T3771" s="7" t="inlineStr">
        <is>
          <t>SEM COTAÇÃO</t>
        </is>
      </c>
      <c r="U3771" s="8" t="n"/>
      <c r="V3771" s="14" t="n"/>
      <c r="W3771" s="14" t="n"/>
      <c r="X3771" s="7" t="inlineStr"/>
      <c r="Y3771" s="7" t="inlineStr"/>
    </row>
    <row r="3772">
      <c r="A3772" s="7" t="n">
        <v>2303</v>
      </c>
      <c r="B3772" s="12" t="inlineStr">
        <is>
          <t>7897664171718</t>
        </is>
      </c>
      <c r="C3772" s="7" t="inlineStr">
        <is>
          <t>SAB ALBANY SUAVE 85G LEITE COCO BCO</t>
        </is>
      </c>
      <c r="D3772" s="7" t="inlineStr">
        <is>
          <t>PERF/COSME</t>
        </is>
      </c>
      <c r="E3772" s="7" t="inlineStr">
        <is>
          <t>C</t>
        </is>
      </c>
      <c r="F3772" s="13" t="n">
        <v>4</v>
      </c>
      <c r="G3772" s="13" t="n">
        <v>4</v>
      </c>
      <c r="H3772" s="8" t="n">
        <v>1.52</v>
      </c>
      <c r="I3772" s="8" t="n">
        <v>1.52</v>
      </c>
      <c r="J3772" s="8" t="n">
        <v>1.52</v>
      </c>
      <c r="K3772" s="8" t="n"/>
      <c r="L3772" s="8" t="n"/>
      <c r="M3772" s="8" t="n"/>
      <c r="N3772" s="8" t="n"/>
      <c r="O3772" s="8" t="n"/>
      <c r="P3772" s="8" t="n"/>
      <c r="Q3772" s="8" t="n"/>
      <c r="R3772" s="8" t="n"/>
      <c r="S3772" s="8" t="n"/>
      <c r="T3772" s="7" t="inlineStr">
        <is>
          <t>SEM COTAÇÃO</t>
        </is>
      </c>
      <c r="U3772" s="8" t="n"/>
      <c r="V3772" s="14" t="n"/>
      <c r="W3772" s="14" t="n"/>
      <c r="X3772" s="7" t="inlineStr"/>
      <c r="Y3772" s="7" t="inlineStr"/>
    </row>
    <row r="3773">
      <c r="A3773" s="7" t="n">
        <v>646101</v>
      </c>
      <c r="B3773" s="12" t="inlineStr">
        <is>
          <t>7908324404029</t>
        </is>
      </c>
      <c r="C3773" s="7" t="inlineStr">
        <is>
          <t>SAB ALBANY SUAVE 85G LIMPEZA CUIDADO</t>
        </is>
      </c>
      <c r="D3773" s="7" t="inlineStr">
        <is>
          <t>PERF/COSME</t>
        </is>
      </c>
      <c r="E3773" s="7" t="inlineStr">
        <is>
          <t>C</t>
        </is>
      </c>
      <c r="F3773" s="13" t="n">
        <v>1</v>
      </c>
      <c r="G3773" s="13" t="n">
        <v>1</v>
      </c>
      <c r="H3773" s="8" t="n">
        <v>1.22</v>
      </c>
      <c r="I3773" s="8" t="n">
        <v>1.22</v>
      </c>
      <c r="J3773" s="8" t="n">
        <v>1.22</v>
      </c>
      <c r="K3773" s="8" t="n"/>
      <c r="L3773" s="8" t="n"/>
      <c r="M3773" s="8" t="n"/>
      <c r="N3773" s="8" t="n"/>
      <c r="O3773" s="8" t="n"/>
      <c r="P3773" s="8" t="n"/>
      <c r="Q3773" s="8" t="n"/>
      <c r="R3773" s="8" t="n"/>
      <c r="S3773" s="8" t="n"/>
      <c r="T3773" s="7" t="inlineStr">
        <is>
          <t>SEM COTAÇÃO</t>
        </is>
      </c>
      <c r="U3773" s="8" t="n"/>
      <c r="V3773" s="14" t="n"/>
      <c r="W3773" s="14" t="n"/>
      <c r="X3773" s="7" t="inlineStr"/>
      <c r="Y3773" s="7" t="inlineStr"/>
    </row>
    <row r="3774">
      <c r="A3774" s="7" t="n">
        <v>646091</v>
      </c>
      <c r="B3774" s="12" t="inlineStr">
        <is>
          <t>7908324404012</t>
        </is>
      </c>
      <c r="C3774" s="7" t="inlineStr">
        <is>
          <t>SAB ALBANY SUAVE 85G LIRIO SELVAGE LARAN</t>
        </is>
      </c>
      <c r="D3774" s="7" t="inlineStr">
        <is>
          <t>PERF/COSME</t>
        </is>
      </c>
      <c r="E3774" s="7" t="inlineStr">
        <is>
          <t>C</t>
        </is>
      </c>
      <c r="F3774" s="13" t="n">
        <v>1</v>
      </c>
      <c r="G3774" s="13" t="n">
        <v>1</v>
      </c>
      <c r="H3774" s="8" t="n">
        <v>1.22</v>
      </c>
      <c r="I3774" s="8" t="n">
        <v>1.22</v>
      </c>
      <c r="J3774" s="8" t="n">
        <v>1.22</v>
      </c>
      <c r="K3774" s="8" t="n"/>
      <c r="L3774" s="8" t="n"/>
      <c r="M3774" s="8" t="n"/>
      <c r="N3774" s="8" t="n"/>
      <c r="O3774" s="8" t="n"/>
      <c r="P3774" s="8" t="n"/>
      <c r="Q3774" s="8" t="n"/>
      <c r="R3774" s="8" t="n"/>
      <c r="S3774" s="8" t="n"/>
      <c r="T3774" s="7" t="inlineStr">
        <is>
          <t>SEM COTAÇÃO</t>
        </is>
      </c>
      <c r="U3774" s="8" t="n"/>
      <c r="V3774" s="14" t="n"/>
      <c r="W3774" s="14" t="n"/>
      <c r="X3774" s="7" t="inlineStr"/>
      <c r="Y3774" s="7" t="inlineStr"/>
    </row>
    <row r="3775">
      <c r="A3775" s="7" t="n">
        <v>602851</v>
      </c>
      <c r="B3775" s="12" t="inlineStr">
        <is>
          <t>7897664171725</t>
        </is>
      </c>
      <c r="C3775" s="7" t="inlineStr">
        <is>
          <t>SAB ALBANY SUAVE 85G MACADAMIA-RS</t>
        </is>
      </c>
      <c r="D3775" s="7" t="inlineStr">
        <is>
          <t>PERF/COSME</t>
        </is>
      </c>
      <c r="E3775" s="7" t="inlineStr">
        <is>
          <t>C</t>
        </is>
      </c>
      <c r="F3775" s="13" t="n">
        <v>1</v>
      </c>
      <c r="G3775" s="13" t="n">
        <v>1</v>
      </c>
      <c r="H3775" s="8" t="n">
        <v>1.35</v>
      </c>
      <c r="I3775" s="8" t="n">
        <v>1.35</v>
      </c>
      <c r="J3775" s="8" t="n">
        <v>1.35</v>
      </c>
      <c r="K3775" s="8" t="n"/>
      <c r="L3775" s="8" t="n"/>
      <c r="M3775" s="8" t="n"/>
      <c r="N3775" s="8" t="n"/>
      <c r="O3775" s="8" t="n"/>
      <c r="P3775" s="8" t="n"/>
      <c r="Q3775" s="8" t="n"/>
      <c r="R3775" s="8" t="n"/>
      <c r="S3775" s="8" t="n"/>
      <c r="T3775" s="7" t="inlineStr">
        <is>
          <t>SEM COTAÇÃO</t>
        </is>
      </c>
      <c r="U3775" s="8" t="n"/>
      <c r="V3775" s="14" t="n"/>
      <c r="W3775" s="14" t="n"/>
      <c r="X3775" s="7" t="inlineStr"/>
      <c r="Y3775" s="7" t="inlineStr"/>
    </row>
    <row r="3776">
      <c r="A3776" s="7" t="n">
        <v>646081</v>
      </c>
      <c r="B3776" s="12" t="inlineStr">
        <is>
          <t>7897664171756</t>
        </is>
      </c>
      <c r="C3776" s="7" t="inlineStr">
        <is>
          <t>SAB ALBANY SUAVE 85G MENT HOM VERDE</t>
        </is>
      </c>
      <c r="D3776" s="7" t="inlineStr">
        <is>
          <t>PERF/COSME</t>
        </is>
      </c>
      <c r="E3776" s="7" t="inlineStr">
        <is>
          <t>C</t>
        </is>
      </c>
      <c r="F3776" s="13" t="n">
        <v>1</v>
      </c>
      <c r="G3776" s="13" t="n">
        <v>1</v>
      </c>
      <c r="H3776" s="8" t="n">
        <v>1.22</v>
      </c>
      <c r="I3776" s="8" t="n">
        <v>1.22</v>
      </c>
      <c r="J3776" s="8" t="n">
        <v>1.22</v>
      </c>
      <c r="K3776" s="8" t="n"/>
      <c r="L3776" s="8" t="n"/>
      <c r="M3776" s="8" t="n"/>
      <c r="N3776" s="8" t="n"/>
      <c r="O3776" s="8" t="n"/>
      <c r="P3776" s="8" t="n"/>
      <c r="Q3776" s="8" t="n"/>
      <c r="R3776" s="8" t="n"/>
      <c r="S3776" s="8" t="n"/>
      <c r="T3776" s="7" t="inlineStr">
        <is>
          <t>SEM COTAÇÃO</t>
        </is>
      </c>
      <c r="U3776" s="8" t="n"/>
      <c r="V3776" s="14" t="n"/>
      <c r="W3776" s="14" t="n"/>
      <c r="X3776" s="7" t="inlineStr"/>
      <c r="Y3776" s="7" t="inlineStr"/>
    </row>
    <row r="3777">
      <c r="A3777" s="7" t="n">
        <v>646071</v>
      </c>
      <c r="B3777" s="12" t="inlineStr">
        <is>
          <t>7908324403992</t>
        </is>
      </c>
      <c r="C3777" s="7" t="inlineStr">
        <is>
          <t>SAB ALBANY SUAVE 85G ROSA AVELUDADA BCO</t>
        </is>
      </c>
      <c r="D3777" s="7" t="inlineStr">
        <is>
          <t>PERF/COSME</t>
        </is>
      </c>
      <c r="E3777" s="7" t="inlineStr">
        <is>
          <t>C</t>
        </is>
      </c>
      <c r="F3777" s="13" t="n">
        <v>1</v>
      </c>
      <c r="G3777" s="13" t="n">
        <v>1</v>
      </c>
      <c r="H3777" s="8" t="n">
        <v>1.22</v>
      </c>
      <c r="I3777" s="8" t="n">
        <v>1.22</v>
      </c>
      <c r="J3777" s="8" t="n">
        <v>1.22</v>
      </c>
      <c r="K3777" s="8" t="n"/>
      <c r="L3777" s="8" t="n"/>
      <c r="M3777" s="8" t="n"/>
      <c r="N3777" s="8" t="n"/>
      <c r="O3777" s="8" t="n"/>
      <c r="P3777" s="8" t="n"/>
      <c r="Q3777" s="8" t="n"/>
      <c r="R3777" s="8" t="n"/>
      <c r="S3777" s="8" t="n"/>
      <c r="T3777" s="7" t="inlineStr">
        <is>
          <t>SEM COTAÇÃO</t>
        </is>
      </c>
      <c r="U3777" s="8" t="n"/>
      <c r="V3777" s="14" t="n"/>
      <c r="W3777" s="14" t="n"/>
      <c r="X3777" s="7" t="inlineStr"/>
      <c r="Y3777" s="7" t="inlineStr"/>
    </row>
    <row r="3778">
      <c r="A3778" s="7" t="n">
        <v>663181</v>
      </c>
      <c r="B3778" s="12" t="inlineStr">
        <is>
          <t>7891150090989</t>
        </is>
      </c>
      <c r="C3778" s="7" t="inlineStr">
        <is>
          <t>SAB BAR GLIC ESSENC BR BROMELIA 100G</t>
        </is>
      </c>
      <c r="D3778" s="7" t="inlineStr">
        <is>
          <t>SABONETES BARRAS/LIQUIDOS</t>
        </is>
      </c>
      <c r="E3778" s="7" t="inlineStr">
        <is>
          <t>C</t>
        </is>
      </c>
      <c r="F3778" s="13" t="n">
        <v>3</v>
      </c>
      <c r="G3778" s="13" t="n">
        <v>3</v>
      </c>
      <c r="H3778" s="8" t="n">
        <v>3.1208</v>
      </c>
      <c r="I3778" s="8" t="n">
        <v>3.1208</v>
      </c>
      <c r="J3778" s="8" t="n">
        <v>3.1208</v>
      </c>
      <c r="K3778" s="8" t="n"/>
      <c r="L3778" s="8" t="n"/>
      <c r="M3778" s="8" t="n"/>
      <c r="N3778" s="8" t="n"/>
      <c r="O3778" s="8" t="n"/>
      <c r="P3778" s="15" t="n">
        <v>4</v>
      </c>
      <c r="Q3778" s="8" t="n"/>
      <c r="R3778" s="8" t="n"/>
      <c r="S3778" s="8" t="n"/>
      <c r="T3778" s="7" t="inlineStr">
        <is>
          <t>NAZARIA</t>
        </is>
      </c>
      <c r="U3778" s="8" t="n">
        <v>4</v>
      </c>
      <c r="V3778" s="14">
        <f>U3778/J3778-1</f>
        <v/>
      </c>
      <c r="W3778" s="14">
        <f>U3778/H3778-1</f>
        <v/>
      </c>
      <c r="X3778" s="16" t="inlineStr">
        <is>
          <t>ACIMA +28.2%</t>
        </is>
      </c>
      <c r="Y3778" s="7" t="inlineStr"/>
    </row>
    <row r="3779">
      <c r="A3779" s="7" t="n">
        <v>663191</v>
      </c>
      <c r="B3779" s="12" t="inlineStr">
        <is>
          <t>7891150091009</t>
        </is>
      </c>
      <c r="C3779" s="7" t="inlineStr">
        <is>
          <t>SAB BAR GLIC ESSENC BR DAMA NOITE 100G   UNIL %DN:17.00</t>
        </is>
      </c>
      <c r="D3779" s="7" t="inlineStr">
        <is>
          <t>SABONETES BARRAS/LIQUIDOS</t>
        </is>
      </c>
      <c r="E3779" s="7" t="inlineStr">
        <is>
          <t>C</t>
        </is>
      </c>
      <c r="F3779" s="13" t="n">
        <v>4</v>
      </c>
      <c r="G3779" s="13" t="n">
        <v>4</v>
      </c>
      <c r="H3779" s="8" t="n">
        <v>3.1208</v>
      </c>
      <c r="I3779" s="8" t="n">
        <v>3.1208</v>
      </c>
      <c r="J3779" s="8" t="n">
        <v>3.1208</v>
      </c>
      <c r="K3779" s="8" t="n"/>
      <c r="L3779" s="8" t="n"/>
      <c r="M3779" s="8" t="n"/>
      <c r="N3779" s="8" t="n"/>
      <c r="O3779" s="8" t="n"/>
      <c r="P3779" s="8" t="n">
        <v>4</v>
      </c>
      <c r="Q3779" s="8" t="n"/>
      <c r="R3779" s="8" t="n"/>
      <c r="S3779" s="8" t="n"/>
      <c r="T3779" s="7" t="inlineStr">
        <is>
          <t>SEM COTAÇÃO</t>
        </is>
      </c>
      <c r="U3779" s="8" t="n"/>
      <c r="V3779" s="14" t="n"/>
      <c r="W3779" s="14" t="n"/>
      <c r="X3779" s="7" t="inlineStr"/>
      <c r="Y3779" s="7" t="inlineStr">
        <is>
          <t>NAZARIA: sem estoque</t>
        </is>
      </c>
    </row>
    <row r="3780">
      <c r="A3780" s="7" t="n">
        <v>663201</v>
      </c>
      <c r="B3780" s="12" t="inlineStr">
        <is>
          <t>7891150090996</t>
        </is>
      </c>
      <c r="C3780" s="7" t="inlineStr">
        <is>
          <t>SAB BAR GLIC ESSENC BR FLOR CAJ 100G   UNIL %DN:17.00</t>
        </is>
      </c>
      <c r="D3780" s="7" t="inlineStr">
        <is>
          <t>SABONETES BARRAS/LIQUIDOS</t>
        </is>
      </c>
      <c r="E3780" s="7" t="inlineStr">
        <is>
          <t>C</t>
        </is>
      </c>
      <c r="F3780" s="13" t="n">
        <v>3</v>
      </c>
      <c r="G3780" s="13" t="n">
        <v>3</v>
      </c>
      <c r="H3780" s="8" t="n">
        <v>3.1208</v>
      </c>
      <c r="I3780" s="8" t="n">
        <v>3.1208</v>
      </c>
      <c r="J3780" s="8" t="n">
        <v>3.1208</v>
      </c>
      <c r="K3780" s="8" t="n"/>
      <c r="L3780" s="8" t="n"/>
      <c r="M3780" s="8" t="n"/>
      <c r="N3780" s="8" t="n"/>
      <c r="O3780" s="8" t="n"/>
      <c r="P3780" s="15" t="n">
        <v>4</v>
      </c>
      <c r="Q3780" s="8" t="n"/>
      <c r="R3780" s="8" t="n"/>
      <c r="S3780" s="8" t="n"/>
      <c r="T3780" s="7" t="inlineStr">
        <is>
          <t>NAZARIA</t>
        </is>
      </c>
      <c r="U3780" s="8" t="n">
        <v>4</v>
      </c>
      <c r="V3780" s="14">
        <f>U3780/J3780-1</f>
        <v/>
      </c>
      <c r="W3780" s="14">
        <f>U3780/H3780-1</f>
        <v/>
      </c>
      <c r="X3780" s="16" t="inlineStr">
        <is>
          <t>ACIMA +28.2%</t>
        </is>
      </c>
      <c r="Y3780" s="7" t="inlineStr"/>
    </row>
    <row r="3781">
      <c r="A3781" s="7" t="n">
        <v>663211</v>
      </c>
      <c r="B3781" s="12" t="inlineStr">
        <is>
          <t>7891150090972</t>
        </is>
      </c>
      <c r="C3781" s="7" t="inlineStr">
        <is>
          <t>SAB BAR GLIC ESSENC BR VITORIA REGIA 100G   UNIL %DN:17.00</t>
        </is>
      </c>
      <c r="D3781" s="7" t="inlineStr">
        <is>
          <t>SABONETES BARRAS/LIQUIDOS</t>
        </is>
      </c>
      <c r="E3781" s="7" t="inlineStr">
        <is>
          <t>C</t>
        </is>
      </c>
      <c r="F3781" s="13" t="n">
        <v>3</v>
      </c>
      <c r="G3781" s="13" t="n">
        <v>3</v>
      </c>
      <c r="H3781" s="8" t="n">
        <v>3.1208</v>
      </c>
      <c r="I3781" s="8" t="n">
        <v>3.1208</v>
      </c>
      <c r="J3781" s="8" t="n">
        <v>3.1208</v>
      </c>
      <c r="K3781" s="8" t="n"/>
      <c r="L3781" s="8" t="n"/>
      <c r="M3781" s="8" t="n"/>
      <c r="N3781" s="8" t="n"/>
      <c r="O3781" s="8" t="n"/>
      <c r="P3781" s="8" t="n">
        <v>4</v>
      </c>
      <c r="Q3781" s="8" t="n"/>
      <c r="R3781" s="8" t="n"/>
      <c r="S3781" s="8" t="n"/>
      <c r="T3781" s="7" t="inlineStr">
        <is>
          <t>SEM COTAÇÃO</t>
        </is>
      </c>
      <c r="U3781" s="8" t="n"/>
      <c r="V3781" s="14" t="n"/>
      <c r="W3781" s="14" t="n"/>
      <c r="X3781" s="7" t="inlineStr"/>
      <c r="Y3781" s="7" t="inlineStr">
        <is>
          <t>NAZARIA: sem estoque</t>
        </is>
      </c>
    </row>
    <row r="3782">
      <c r="A3782" s="7" t="n">
        <v>623921</v>
      </c>
      <c r="B3782" s="12" t="inlineStr">
        <is>
          <t>7509546678832</t>
        </is>
      </c>
      <c r="C3782" s="7" t="inlineStr">
        <is>
          <t>SAB BARRA PROTEX CARVAO 85G</t>
        </is>
      </c>
      <c r="D3782" s="7" t="inlineStr">
        <is>
          <t>PERF/COSME</t>
        </is>
      </c>
      <c r="E3782" s="7" t="inlineStr">
        <is>
          <t>C</t>
        </is>
      </c>
      <c r="F3782" s="13" t="n">
        <v>2</v>
      </c>
      <c r="G3782" s="13" t="n">
        <v>2</v>
      </c>
      <c r="H3782" s="8" t="n">
        <v>3.75</v>
      </c>
      <c r="I3782" s="8" t="n">
        <v>3.75</v>
      </c>
      <c r="J3782" s="8" t="n">
        <v>3.75</v>
      </c>
      <c r="K3782" s="8" t="n"/>
      <c r="L3782" s="8" t="n"/>
      <c r="M3782" s="8" t="n"/>
      <c r="N3782" s="8" t="n"/>
      <c r="O3782" s="8" t="n"/>
      <c r="P3782" s="15" t="n">
        <v>3.55</v>
      </c>
      <c r="Q3782" s="8" t="n"/>
      <c r="R3782" s="8" t="n"/>
      <c r="S3782" s="8" t="n"/>
      <c r="T3782" s="7" t="inlineStr">
        <is>
          <t>NAZARIA</t>
        </is>
      </c>
      <c r="U3782" s="8" t="n">
        <v>3.55</v>
      </c>
      <c r="V3782" s="14">
        <f>U3782/J3782-1</f>
        <v/>
      </c>
      <c r="W3782" s="14">
        <f>U3782/H3782-1</f>
        <v/>
      </c>
      <c r="X3782" s="17" t="inlineStr">
        <is>
          <t>OK (≤ menor hist.)</t>
        </is>
      </c>
      <c r="Y3782" s="7" t="inlineStr"/>
    </row>
    <row r="3783">
      <c r="A3783" s="7" t="n">
        <v>234</v>
      </c>
      <c r="B3783" s="12" t="inlineStr">
        <is>
          <t>7898277711421</t>
        </is>
      </c>
      <c r="C3783" s="7" t="inlineStr">
        <is>
          <t>SAB DE COCO BARRA 100G</t>
        </is>
      </c>
      <c r="D3783" s="7" t="inlineStr">
        <is>
          <t>PERF/COSME</t>
        </is>
      </c>
      <c r="E3783" s="7" t="inlineStr">
        <is>
          <t>C</t>
        </is>
      </c>
      <c r="F3783" s="13" t="n">
        <v>1</v>
      </c>
      <c r="G3783" s="13" t="n">
        <v>1</v>
      </c>
      <c r="H3783" s="8" t="n"/>
      <c r="I3783" s="8" t="n"/>
      <c r="J3783" s="8" t="n"/>
      <c r="K3783" s="15" t="n">
        <v>5.74</v>
      </c>
      <c r="L3783" s="8" t="n"/>
      <c r="M3783" s="8" t="n"/>
      <c r="N3783" s="8" t="n">
        <v>6.46</v>
      </c>
      <c r="O3783" s="8" t="n"/>
      <c r="P3783" s="8" t="n"/>
      <c r="Q3783" s="8" t="n">
        <v>7.1</v>
      </c>
      <c r="R3783" s="8" t="n">
        <v>6.11</v>
      </c>
      <c r="S3783" s="8" t="n"/>
      <c r="T3783" s="7" t="inlineStr">
        <is>
          <t>DIMEC</t>
        </is>
      </c>
      <c r="U3783" s="8" t="n">
        <v>5.74</v>
      </c>
      <c r="V3783" s="14" t="n"/>
      <c r="W3783" s="14" t="n"/>
      <c r="X3783" s="7" t="inlineStr">
        <is>
          <t>SEM HISTÓRICO</t>
        </is>
      </c>
      <c r="Y3783" s="7" t="inlineStr"/>
    </row>
    <row r="3784">
      <c r="A3784" s="7" t="n">
        <v>590251</v>
      </c>
      <c r="B3784" s="12" t="inlineStr">
        <is>
          <t>7898422746759</t>
        </is>
      </c>
      <c r="C3784" s="7" t="inlineStr">
        <is>
          <t>SAB DOVE 90G CREMOSO</t>
        </is>
      </c>
      <c r="D3784" s="7" t="inlineStr">
        <is>
          <t>PERF/COSME</t>
        </is>
      </c>
      <c r="E3784" s="7" t="inlineStr">
        <is>
          <t>C</t>
        </is>
      </c>
      <c r="F3784" s="13" t="n">
        <v>1</v>
      </c>
      <c r="G3784" s="13" t="n">
        <v>1</v>
      </c>
      <c r="H3784" s="8" t="n">
        <v>3.7046</v>
      </c>
      <c r="I3784" s="8" t="n">
        <v>3.7046</v>
      </c>
      <c r="J3784" s="8" t="n">
        <v>3.704600000000001</v>
      </c>
      <c r="K3784" s="8" t="n"/>
      <c r="L3784" s="8" t="n"/>
      <c r="M3784" s="8" t="n"/>
      <c r="N3784" s="8" t="n"/>
      <c r="O3784" s="8" t="n"/>
      <c r="P3784" s="15" t="n">
        <v>5.41</v>
      </c>
      <c r="Q3784" s="8" t="n"/>
      <c r="R3784" s="8" t="n"/>
      <c r="S3784" s="8" t="n"/>
      <c r="T3784" s="7" t="inlineStr">
        <is>
          <t>NAZARIA</t>
        </is>
      </c>
      <c r="U3784" s="8" t="n">
        <v>5.41</v>
      </c>
      <c r="V3784" s="14">
        <f>U3784/J3784-1</f>
        <v/>
      </c>
      <c r="W3784" s="14">
        <f>U3784/H3784-1</f>
        <v/>
      </c>
      <c r="X3784" s="16" t="inlineStr">
        <is>
          <t>ACIMA +46.0%</t>
        </is>
      </c>
      <c r="Y3784" s="7" t="inlineStr"/>
    </row>
    <row r="3785">
      <c r="A3785" s="7" t="n">
        <v>615871</v>
      </c>
      <c r="B3785" s="12" t="inlineStr">
        <is>
          <t>7891150034075</t>
        </is>
      </c>
      <c r="C3785" s="7" t="inlineStr">
        <is>
          <t>SAB DOVE 90G LEITE DE COCO</t>
        </is>
      </c>
      <c r="D3785" s="7" t="inlineStr">
        <is>
          <t>PERF/COSME</t>
        </is>
      </c>
      <c r="E3785" s="7" t="inlineStr">
        <is>
          <t>C</t>
        </is>
      </c>
      <c r="F3785" s="13" t="n">
        <v>4</v>
      </c>
      <c r="G3785" s="13" t="n">
        <v>4</v>
      </c>
      <c r="H3785" s="8" t="n">
        <v>3.7183</v>
      </c>
      <c r="I3785" s="8" t="n">
        <v>3.7183</v>
      </c>
      <c r="J3785" s="8" t="n">
        <v>3.718300000000001</v>
      </c>
      <c r="K3785" s="8" t="n"/>
      <c r="L3785" s="8" t="n"/>
      <c r="M3785" s="8" t="n"/>
      <c r="N3785" s="8" t="n"/>
      <c r="O3785" s="8" t="n"/>
      <c r="P3785" s="15" t="n">
        <v>5.41</v>
      </c>
      <c r="Q3785" s="8" t="n"/>
      <c r="R3785" s="8" t="n"/>
      <c r="S3785" s="8" t="n"/>
      <c r="T3785" s="7" t="inlineStr">
        <is>
          <t>NAZARIA</t>
        </is>
      </c>
      <c r="U3785" s="8" t="n">
        <v>5.41</v>
      </c>
      <c r="V3785" s="14">
        <f>U3785/J3785-1</f>
        <v/>
      </c>
      <c r="W3785" s="14">
        <f>U3785/H3785-1</f>
        <v/>
      </c>
      <c r="X3785" s="16" t="inlineStr">
        <is>
          <t>ACIMA +45.5%</t>
        </is>
      </c>
      <c r="Y3785" s="7" t="inlineStr"/>
    </row>
    <row r="3786">
      <c r="A3786" s="7" t="n">
        <v>615881</v>
      </c>
      <c r="B3786" s="12" t="inlineStr">
        <is>
          <t>7891150006058</t>
        </is>
      </c>
      <c r="C3786" s="7" t="inlineStr">
        <is>
          <t>SAB DOVE 90G MEN CLEAN COMFORT</t>
        </is>
      </c>
      <c r="D3786" s="7" t="inlineStr">
        <is>
          <t>PERF/COSME</t>
        </is>
      </c>
      <c r="E3786" s="7" t="inlineStr">
        <is>
          <t>C</t>
        </is>
      </c>
      <c r="F3786" s="13" t="n">
        <v>1</v>
      </c>
      <c r="G3786" s="13" t="n">
        <v>1</v>
      </c>
      <c r="H3786" s="8" t="n">
        <v>3.55</v>
      </c>
      <c r="I3786" s="8" t="n">
        <v>3.55</v>
      </c>
      <c r="J3786" s="8" t="n">
        <v>3.549999999999999</v>
      </c>
      <c r="K3786" s="8" t="n"/>
      <c r="L3786" s="8" t="n"/>
      <c r="M3786" s="8" t="n"/>
      <c r="N3786" s="8" t="n"/>
      <c r="O3786" s="8" t="n"/>
      <c r="P3786" s="8" t="n"/>
      <c r="Q3786" s="8" t="n"/>
      <c r="R3786" s="8" t="n"/>
      <c r="S3786" s="8" t="n"/>
      <c r="T3786" s="7" t="inlineStr">
        <is>
          <t>SEM COTAÇÃO</t>
        </is>
      </c>
      <c r="U3786" s="8" t="n"/>
      <c r="V3786" s="14" t="n"/>
      <c r="W3786" s="14" t="n"/>
      <c r="X3786" s="7" t="inlineStr"/>
      <c r="Y3786" s="7" t="inlineStr"/>
    </row>
    <row r="3787">
      <c r="A3787" s="7" t="n">
        <v>615891</v>
      </c>
      <c r="B3787" s="12" t="inlineStr">
        <is>
          <t>7891150057470</t>
        </is>
      </c>
      <c r="C3787" s="7" t="inlineStr">
        <is>
          <t>SAB DOVE 90G MICELAR ANTI STR.</t>
        </is>
      </c>
      <c r="D3787" s="7" t="inlineStr">
        <is>
          <t>PERF/COSME</t>
        </is>
      </c>
      <c r="E3787" s="7" t="inlineStr">
        <is>
          <t>B</t>
        </is>
      </c>
      <c r="F3787" s="13" t="n">
        <v>4</v>
      </c>
      <c r="G3787" s="13" t="n">
        <v>4</v>
      </c>
      <c r="H3787" s="8" t="n">
        <v>5.0925</v>
      </c>
      <c r="I3787" s="8" t="n">
        <v>4.5025</v>
      </c>
      <c r="J3787" s="8" t="n">
        <v>4.895833333333333</v>
      </c>
      <c r="K3787" s="8" t="n"/>
      <c r="L3787" s="8" t="n"/>
      <c r="M3787" s="8" t="n"/>
      <c r="N3787" s="8" t="n"/>
      <c r="O3787" s="8" t="n"/>
      <c r="P3787" s="15" t="n">
        <v>5.26</v>
      </c>
      <c r="Q3787" s="8" t="n"/>
      <c r="R3787" s="8" t="n"/>
      <c r="S3787" s="8" t="n"/>
      <c r="T3787" s="7" t="inlineStr">
        <is>
          <t>NAZARIA</t>
        </is>
      </c>
      <c r="U3787" s="8" t="n">
        <v>5.26</v>
      </c>
      <c r="V3787" s="14">
        <f>U3787/J3787-1</f>
        <v/>
      </c>
      <c r="W3787" s="14">
        <f>U3787/H3787-1</f>
        <v/>
      </c>
      <c r="X3787" s="16" t="inlineStr">
        <is>
          <t>ACIMA +3.3%</t>
        </is>
      </c>
      <c r="Y3787" s="7" t="inlineStr"/>
    </row>
    <row r="3788">
      <c r="A3788" s="7" t="n">
        <v>615901</v>
      </c>
      <c r="B3788" s="12" t="inlineStr">
        <is>
          <t>7891150043923</t>
        </is>
      </c>
      <c r="C3788" s="7" t="inlineStr">
        <is>
          <t>SAB DOVE 90G REVIGORANTE</t>
        </is>
      </c>
      <c r="D3788" s="7" t="inlineStr">
        <is>
          <t>PERF/COSME</t>
        </is>
      </c>
      <c r="E3788" s="7" t="inlineStr">
        <is>
          <t>C</t>
        </is>
      </c>
      <c r="F3788" s="13" t="n">
        <v>4</v>
      </c>
      <c r="G3788" s="13" t="n">
        <v>4</v>
      </c>
      <c r="H3788" s="8" t="n">
        <v>5.0925</v>
      </c>
      <c r="I3788" s="8" t="n">
        <v>5.0925</v>
      </c>
      <c r="J3788" s="8" t="n">
        <v>5.0925</v>
      </c>
      <c r="K3788" s="8" t="n"/>
      <c r="L3788" s="8" t="n"/>
      <c r="M3788" s="8" t="n"/>
      <c r="N3788" s="8" t="n"/>
      <c r="O3788" s="8" t="n"/>
      <c r="P3788" s="15" t="n">
        <v>5.26</v>
      </c>
      <c r="Q3788" s="8" t="n"/>
      <c r="R3788" s="8" t="n"/>
      <c r="S3788" s="8" t="n"/>
      <c r="T3788" s="7" t="inlineStr">
        <is>
          <t>NAZARIA</t>
        </is>
      </c>
      <c r="U3788" s="8" t="n">
        <v>5.26</v>
      </c>
      <c r="V3788" s="14">
        <f>U3788/J3788-1</f>
        <v/>
      </c>
      <c r="W3788" s="14">
        <f>U3788/H3788-1</f>
        <v/>
      </c>
      <c r="X3788" s="16" t="inlineStr">
        <is>
          <t>ACIMA +3.3%</t>
        </is>
      </c>
      <c r="Y3788" s="7" t="inlineStr"/>
    </row>
    <row r="3789">
      <c r="A3789" s="7" t="n">
        <v>610851</v>
      </c>
      <c r="B3789" s="12" t="inlineStr">
        <is>
          <t>7891150075382</t>
        </is>
      </c>
      <c r="C3789" s="7" t="inlineStr">
        <is>
          <t>SAB DOVE ANTIBAC</t>
        </is>
      </c>
      <c r="D3789" s="7" t="inlineStr">
        <is>
          <t>PERF/COSME</t>
        </is>
      </c>
      <c r="E3789" s="7" t="inlineStr">
        <is>
          <t>B</t>
        </is>
      </c>
      <c r="F3789" s="13" t="n">
        <v>4</v>
      </c>
      <c r="G3789" s="13" t="n">
        <v>4</v>
      </c>
      <c r="H3789" s="8" t="n">
        <v>5.0925</v>
      </c>
      <c r="I3789" s="8" t="n">
        <v>5.0925</v>
      </c>
      <c r="J3789" s="8" t="n">
        <v>5.0925</v>
      </c>
      <c r="K3789" s="8" t="n"/>
      <c r="L3789" s="8" t="n"/>
      <c r="M3789" s="8" t="n"/>
      <c r="N3789" s="8" t="n"/>
      <c r="O3789" s="8" t="n"/>
      <c r="P3789" s="15" t="n">
        <v>5.26</v>
      </c>
      <c r="Q3789" s="8" t="n"/>
      <c r="R3789" s="8" t="n"/>
      <c r="S3789" s="8" t="n"/>
      <c r="T3789" s="7" t="inlineStr">
        <is>
          <t>NAZARIA</t>
        </is>
      </c>
      <c r="U3789" s="8" t="n">
        <v>5.26</v>
      </c>
      <c r="V3789" s="14">
        <f>U3789/J3789-1</f>
        <v/>
      </c>
      <c r="W3789" s="14">
        <f>U3789/H3789-1</f>
        <v/>
      </c>
      <c r="X3789" s="16" t="inlineStr">
        <is>
          <t>ACIMA +3.3%</t>
        </is>
      </c>
      <c r="Y3789" s="7" t="inlineStr">
        <is>
          <t>NAZARIA: estoque parcial (1 un)</t>
        </is>
      </c>
    </row>
    <row r="3790">
      <c r="A3790" s="7" t="n">
        <v>663221</v>
      </c>
      <c r="B3790" s="12" t="inlineStr">
        <is>
          <t>7891150079236</t>
        </is>
      </c>
      <c r="C3790" s="7" t="inlineStr">
        <is>
          <t>SAB DOVE BABY HORA DE DORMIR 400ML</t>
        </is>
      </c>
      <c r="D3790" s="7" t="inlineStr">
        <is>
          <t>BABY/KIDS</t>
        </is>
      </c>
      <c r="E3790" s="7" t="inlineStr">
        <is>
          <t>C</t>
        </is>
      </c>
      <c r="F3790" s="13" t="n">
        <v>1</v>
      </c>
      <c r="G3790" s="13" t="n">
        <v>1</v>
      </c>
      <c r="H3790" s="8" t="n">
        <v>15.38</v>
      </c>
      <c r="I3790" s="8" t="n">
        <v>15.38</v>
      </c>
      <c r="J3790" s="8" t="n">
        <v>15.38</v>
      </c>
      <c r="K3790" s="8" t="n"/>
      <c r="L3790" s="8" t="n"/>
      <c r="M3790" s="8" t="n"/>
      <c r="N3790" s="8" t="n"/>
      <c r="O3790" s="8" t="n"/>
      <c r="P3790" s="8" t="n">
        <v>21.99</v>
      </c>
      <c r="Q3790" s="8" t="n"/>
      <c r="R3790" s="8" t="n"/>
      <c r="S3790" s="8" t="n"/>
      <c r="T3790" s="7" t="inlineStr">
        <is>
          <t>SEM COTAÇÃO</t>
        </is>
      </c>
      <c r="U3790" s="8" t="n"/>
      <c r="V3790" s="14" t="n"/>
      <c r="W3790" s="14" t="n"/>
      <c r="X3790" s="7" t="inlineStr"/>
      <c r="Y3790" s="7" t="inlineStr">
        <is>
          <t>NAZARIA: sem estoque</t>
        </is>
      </c>
    </row>
    <row r="3791">
      <c r="A3791" s="7" t="n">
        <v>663231</v>
      </c>
      <c r="B3791" s="12" t="inlineStr">
        <is>
          <t>7891150065390</t>
        </is>
      </c>
      <c r="C3791" s="7" t="inlineStr">
        <is>
          <t>SAB DOVE BABY LIQ HID GLICERINA 400ML   UNIL %DN:17.00</t>
        </is>
      </c>
      <c r="D3791" s="7" t="inlineStr">
        <is>
          <t>SABONETES BARRAS/LIQUIDOS</t>
        </is>
      </c>
      <c r="E3791" s="7" t="inlineStr">
        <is>
          <t>C</t>
        </is>
      </c>
      <c r="F3791" s="13" t="n">
        <v>1</v>
      </c>
      <c r="G3791" s="13" t="n">
        <v>1</v>
      </c>
      <c r="H3791" s="8" t="n">
        <v>15.38</v>
      </c>
      <c r="I3791" s="8" t="n">
        <v>15.38</v>
      </c>
      <c r="J3791" s="8" t="n">
        <v>15.38</v>
      </c>
      <c r="K3791" s="8" t="n"/>
      <c r="L3791" s="8" t="n"/>
      <c r="M3791" s="8" t="n"/>
      <c r="N3791" s="8" t="n"/>
      <c r="O3791" s="8" t="n"/>
      <c r="P3791" s="8" t="n">
        <v>21.99</v>
      </c>
      <c r="Q3791" s="8" t="n"/>
      <c r="R3791" s="8" t="n"/>
      <c r="S3791" s="8" t="n"/>
      <c r="T3791" s="7" t="inlineStr">
        <is>
          <t>SEM COTAÇÃO</t>
        </is>
      </c>
      <c r="U3791" s="8" t="n"/>
      <c r="V3791" s="14" t="n"/>
      <c r="W3791" s="14" t="n"/>
      <c r="X3791" s="7" t="inlineStr"/>
      <c r="Y3791" s="7" t="inlineStr">
        <is>
          <t>NAZARIA: sem estoque</t>
        </is>
      </c>
    </row>
    <row r="3792">
      <c r="A3792" s="7" t="n">
        <v>660551</v>
      </c>
      <c r="B3792" s="12" t="inlineStr">
        <is>
          <t>7891150044654</t>
        </is>
      </c>
      <c r="C3792" s="7" t="inlineStr">
        <is>
          <t>SAB DOVE KARITE/BAUNI 90G</t>
        </is>
      </c>
      <c r="D3792" s="7" t="inlineStr">
        <is>
          <t>PERF/COSME</t>
        </is>
      </c>
      <c r="E3792" s="7" t="inlineStr">
        <is>
          <t>C</t>
        </is>
      </c>
      <c r="F3792" s="13" t="n">
        <v>1</v>
      </c>
      <c r="G3792" s="13" t="n">
        <v>1</v>
      </c>
      <c r="H3792" s="8" t="n">
        <v>21.04</v>
      </c>
      <c r="I3792" s="8" t="n">
        <v>21.04</v>
      </c>
      <c r="J3792" s="8" t="n">
        <v>21.04</v>
      </c>
      <c r="K3792" s="8" t="n"/>
      <c r="L3792" s="8" t="n"/>
      <c r="M3792" s="8" t="n"/>
      <c r="N3792" s="8" t="n"/>
      <c r="O3792" s="8" t="n"/>
      <c r="P3792" s="15" t="n">
        <v>27.85</v>
      </c>
      <c r="Q3792" s="8" t="n"/>
      <c r="R3792" s="8" t="n"/>
      <c r="S3792" s="8" t="n"/>
      <c r="T3792" s="7" t="inlineStr">
        <is>
          <t>NAZARIA</t>
        </is>
      </c>
      <c r="U3792" s="8" t="n">
        <v>27.85</v>
      </c>
      <c r="V3792" s="14">
        <f>U3792/J3792-1</f>
        <v/>
      </c>
      <c r="W3792" s="14">
        <f>U3792/H3792-1</f>
        <v/>
      </c>
      <c r="X3792" s="16" t="inlineStr">
        <is>
          <t>ACIMA +32.4%</t>
        </is>
      </c>
      <c r="Y3792" s="7" t="inlineStr"/>
    </row>
    <row r="3793">
      <c r="A3793" s="7" t="n">
        <v>663241</v>
      </c>
      <c r="B3793" s="12" t="inlineStr">
        <is>
          <t>7891150095694</t>
        </is>
      </c>
      <c r="C3793" s="7" t="inlineStr">
        <is>
          <t>SAB DOVE LIQ PELE SENSIVEL 250ML   UNIL %DN:17.00</t>
        </is>
      </c>
      <c r="D3793" s="7" t="inlineStr">
        <is>
          <t>SABONETES BARRAS/LIQUIDOS</t>
        </is>
      </c>
      <c r="E3793" s="7" t="inlineStr">
        <is>
          <t>C</t>
        </is>
      </c>
      <c r="F3793" s="13" t="n">
        <v>1</v>
      </c>
      <c r="G3793" s="13" t="n">
        <v>1</v>
      </c>
      <c r="H3793" s="8" t="n">
        <v>11.685</v>
      </c>
      <c r="I3793" s="8" t="n">
        <v>10.565</v>
      </c>
      <c r="J3793" s="8" t="n">
        <v>11.31166666666667</v>
      </c>
      <c r="K3793" s="8" t="n"/>
      <c r="L3793" s="8" t="n"/>
      <c r="M3793" s="8" t="n"/>
      <c r="N3793" s="8" t="n"/>
      <c r="O3793" s="8" t="n"/>
      <c r="P3793" s="15" t="n">
        <v>12.38</v>
      </c>
      <c r="Q3793" s="8" t="n"/>
      <c r="R3793" s="8" t="n"/>
      <c r="S3793" s="8" t="n"/>
      <c r="T3793" s="7" t="inlineStr">
        <is>
          <t>NAZARIA</t>
        </is>
      </c>
      <c r="U3793" s="8" t="n">
        <v>12.38</v>
      </c>
      <c r="V3793" s="14">
        <f>U3793/J3793-1</f>
        <v/>
      </c>
      <c r="W3793" s="14">
        <f>U3793/H3793-1</f>
        <v/>
      </c>
      <c r="X3793" s="16" t="inlineStr">
        <is>
          <t>ACIMA +5.9%</t>
        </is>
      </c>
      <c r="Y3793" s="7" t="inlineStr"/>
    </row>
    <row r="3794">
      <c r="A3794" s="7" t="n">
        <v>643751</v>
      </c>
      <c r="B3794" s="12" t="inlineStr">
        <is>
          <t>7896013106111</t>
        </is>
      </c>
      <c r="C3794" s="7" t="inlineStr">
        <is>
          <t>SAB EVEN LIQ OLEOS HID ROSAS E VAN 250ML UN QTD. 6.00 UN</t>
        </is>
      </c>
      <c r="D3794" s="7" t="inlineStr">
        <is>
          <t>COND/SHAM/CREM/SIMILARES</t>
        </is>
      </c>
      <c r="E3794" s="7" t="inlineStr">
        <is>
          <t>C</t>
        </is>
      </c>
      <c r="F3794" s="13" t="n">
        <v>2</v>
      </c>
      <c r="G3794" s="13" t="n">
        <v>2</v>
      </c>
      <c r="H3794" s="8" t="n">
        <v>10.79</v>
      </c>
      <c r="I3794" s="8" t="n">
        <v>10.79</v>
      </c>
      <c r="J3794" s="8" t="n">
        <v>10.79</v>
      </c>
      <c r="K3794" s="8" t="n"/>
      <c r="L3794" s="8" t="n"/>
      <c r="M3794" s="8" t="n"/>
      <c r="N3794" s="8" t="n"/>
      <c r="O3794" s="8" t="n"/>
      <c r="P3794" s="8" t="n"/>
      <c r="Q3794" s="8" t="n"/>
      <c r="R3794" s="8" t="n"/>
      <c r="S3794" s="8" t="n"/>
      <c r="T3794" s="7" t="inlineStr">
        <is>
          <t>SEM COTAÇÃO</t>
        </is>
      </c>
      <c r="U3794" s="8" t="n"/>
      <c r="V3794" s="14" t="n"/>
      <c r="W3794" s="14" t="n"/>
      <c r="X3794" s="7" t="inlineStr"/>
      <c r="Y3794" s="7" t="inlineStr"/>
    </row>
    <row r="3795">
      <c r="A3795" s="7" t="n">
        <v>581321</v>
      </c>
      <c r="B3795" s="12" t="inlineStr">
        <is>
          <t>7896013107941</t>
        </is>
      </c>
      <c r="C3795" s="7" t="inlineStr">
        <is>
          <t>SAB EVEN SUAVE M0RANGO E CHANTILLY 85GR CR 12XUN QTD. 1.00 CR</t>
        </is>
      </c>
      <c r="D3795" s="7" t="inlineStr">
        <is>
          <t>PERF/COSME</t>
        </is>
      </c>
      <c r="E3795" s="7" t="inlineStr">
        <is>
          <t>C</t>
        </is>
      </c>
      <c r="F3795" s="13" t="n">
        <v>2</v>
      </c>
      <c r="G3795" s="13" t="n">
        <v>2</v>
      </c>
      <c r="H3795" s="8" t="n">
        <v>1.76</v>
      </c>
      <c r="I3795" s="8" t="n">
        <v>1.76</v>
      </c>
      <c r="J3795" s="8" t="n">
        <v>1.76</v>
      </c>
      <c r="K3795" s="8" t="n"/>
      <c r="L3795" s="8" t="n"/>
      <c r="M3795" s="8" t="n"/>
      <c r="N3795" s="8" t="n"/>
      <c r="O3795" s="8" t="n"/>
      <c r="P3795" s="8" t="n"/>
      <c r="Q3795" s="8" t="n"/>
      <c r="R3795" s="8" t="n"/>
      <c r="S3795" s="8" t="n"/>
      <c r="T3795" s="7" t="inlineStr">
        <is>
          <t>SEM COTAÇÃO</t>
        </is>
      </c>
      <c r="U3795" s="8" t="n"/>
      <c r="V3795" s="14" t="n"/>
      <c r="W3795" s="14" t="n"/>
      <c r="X3795" s="7" t="inlineStr"/>
      <c r="Y3795" s="7" t="inlineStr"/>
    </row>
    <row r="3796">
      <c r="A3796" s="7" t="n">
        <v>2283</v>
      </c>
      <c r="B3796" s="12" t="inlineStr">
        <is>
          <t>7896090400027</t>
        </is>
      </c>
      <c r="C3796" s="7" t="inlineStr">
        <is>
          <t>SAB FRANCIS CEREJA E YLANC 90G</t>
        </is>
      </c>
      <c r="D3796" s="7" t="inlineStr">
        <is>
          <t>PERF/COSME</t>
        </is>
      </c>
      <c r="E3796" s="7" t="inlineStr">
        <is>
          <t>C</t>
        </is>
      </c>
      <c r="F3796" s="13" t="n">
        <v>4</v>
      </c>
      <c r="G3796" s="13" t="n">
        <v>4</v>
      </c>
      <c r="H3796" s="8" t="n">
        <v>2.76</v>
      </c>
      <c r="I3796" s="8" t="n">
        <v>2.76</v>
      </c>
      <c r="J3796" s="8" t="n">
        <v>2.76</v>
      </c>
      <c r="K3796" s="8" t="n"/>
      <c r="L3796" s="8" t="n"/>
      <c r="M3796" s="8" t="n"/>
      <c r="N3796" s="8" t="n"/>
      <c r="O3796" s="8" t="n"/>
      <c r="P3796" s="8" t="n"/>
      <c r="Q3796" s="8" t="n"/>
      <c r="R3796" s="8" t="n"/>
      <c r="S3796" s="8" t="n"/>
      <c r="T3796" s="7" t="inlineStr">
        <is>
          <t>SEM COTAÇÃO</t>
        </is>
      </c>
      <c r="U3796" s="8" t="n"/>
      <c r="V3796" s="14" t="n"/>
      <c r="W3796" s="14" t="n"/>
      <c r="X3796" s="7" t="inlineStr"/>
      <c r="Y3796" s="7" t="inlineStr"/>
    </row>
    <row r="3797">
      <c r="A3797" s="7" t="n">
        <v>649551</v>
      </c>
      <c r="B3797" s="12" t="inlineStr">
        <is>
          <t>7908324403725</t>
        </is>
      </c>
      <c r="C3797" s="7" t="inlineStr">
        <is>
          <t>SAB FRANCIS CLASSICO_90G BRANCO C/6 PROM</t>
        </is>
      </c>
      <c r="D3797" s="7" t="inlineStr">
        <is>
          <t>COND/SHAM/CREM/SIMILARES</t>
        </is>
      </c>
      <c r="E3797" s="7" t="inlineStr">
        <is>
          <t>C</t>
        </is>
      </c>
      <c r="F3797" s="13" t="n">
        <v>1</v>
      </c>
      <c r="G3797" s="13" t="n">
        <v>1</v>
      </c>
      <c r="H3797" s="8" t="n">
        <v>2.775</v>
      </c>
      <c r="I3797" s="8" t="n">
        <v>2.775</v>
      </c>
      <c r="J3797" s="8" t="n">
        <v>2.775</v>
      </c>
      <c r="K3797" s="8" t="n"/>
      <c r="L3797" s="8" t="n"/>
      <c r="M3797" s="8" t="n"/>
      <c r="N3797" s="8" t="n"/>
      <c r="O3797" s="8" t="n"/>
      <c r="P3797" s="8" t="n"/>
      <c r="Q3797" s="8" t="n"/>
      <c r="R3797" s="8" t="n"/>
      <c r="S3797" s="8" t="n"/>
      <c r="T3797" s="7" t="inlineStr">
        <is>
          <t>SEM COTAÇÃO</t>
        </is>
      </c>
      <c r="U3797" s="8" t="n"/>
      <c r="V3797" s="14" t="n"/>
      <c r="W3797" s="14" t="n"/>
      <c r="X3797" s="7" t="inlineStr"/>
      <c r="Y3797" s="7" t="inlineStr"/>
    </row>
    <row r="3798">
      <c r="A3798" s="7" t="n">
        <v>674451</v>
      </c>
      <c r="B3798" s="12" t="inlineStr">
        <is>
          <t>7908324403817</t>
        </is>
      </c>
      <c r="C3798" s="7" t="inlineStr">
        <is>
          <t>SAB FRANCIS CLASSICO_90G LILAS C/6 PROM</t>
        </is>
      </c>
      <c r="D3798" s="7" t="inlineStr">
        <is>
          <t>SABONETES BARRAS/LIQUIDOS</t>
        </is>
      </c>
      <c r="E3798" s="7" t="inlineStr">
        <is>
          <t>C</t>
        </is>
      </c>
      <c r="F3798" s="13" t="n">
        <v>1</v>
      </c>
      <c r="G3798" s="13" t="n">
        <v>1</v>
      </c>
      <c r="H3798" s="8" t="n">
        <v>2.8033</v>
      </c>
      <c r="I3798" s="8" t="n">
        <v>2.8033</v>
      </c>
      <c r="J3798" s="8" t="n">
        <v>2.8033</v>
      </c>
      <c r="K3798" s="8" t="n"/>
      <c r="L3798" s="8" t="n"/>
      <c r="M3798" s="8" t="n"/>
      <c r="N3798" s="8" t="n"/>
      <c r="O3798" s="8" t="n"/>
      <c r="P3798" s="8" t="n"/>
      <c r="Q3798" s="8" t="n"/>
      <c r="R3798" s="8" t="n"/>
      <c r="S3798" s="8" t="n"/>
      <c r="T3798" s="7" t="inlineStr">
        <is>
          <t>SEM COTAÇÃO</t>
        </is>
      </c>
      <c r="U3798" s="8" t="n"/>
      <c r="V3798" s="14" t="n"/>
      <c r="W3798" s="14" t="n"/>
      <c r="X3798" s="7" t="inlineStr"/>
      <c r="Y3798" s="7" t="inlineStr"/>
    </row>
    <row r="3799">
      <c r="A3799" s="7" t="n">
        <v>2293</v>
      </c>
      <c r="B3799" s="12" t="inlineStr">
        <is>
          <t>7896090403134</t>
        </is>
      </c>
      <c r="C3799" s="7" t="inlineStr">
        <is>
          <t>SAB FRANCIS JASMIM E BAUNILHA 90G</t>
        </is>
      </c>
      <c r="D3799" s="7" t="inlineStr">
        <is>
          <t>PERF/COSME</t>
        </is>
      </c>
      <c r="E3799" s="7" t="inlineStr">
        <is>
          <t>C</t>
        </is>
      </c>
      <c r="F3799" s="13" t="n">
        <v>1</v>
      </c>
      <c r="G3799" s="13" t="n">
        <v>1</v>
      </c>
      <c r="H3799" s="8" t="n">
        <v>2.76</v>
      </c>
      <c r="I3799" s="8" t="n">
        <v>2.76</v>
      </c>
      <c r="J3799" s="8" t="n">
        <v>2.76</v>
      </c>
      <c r="K3799" s="8" t="n"/>
      <c r="L3799" s="8" t="n"/>
      <c r="M3799" s="8" t="n"/>
      <c r="N3799" s="8" t="n"/>
      <c r="O3799" s="8" t="n"/>
      <c r="P3799" s="8" t="n"/>
      <c r="Q3799" s="8" t="n"/>
      <c r="R3799" s="8" t="n"/>
      <c r="S3799" s="8" t="n"/>
      <c r="T3799" s="7" t="inlineStr">
        <is>
          <t>SEM COTAÇÃO</t>
        </is>
      </c>
      <c r="U3799" s="8" t="n"/>
      <c r="V3799" s="14" t="n"/>
      <c r="W3799" s="14" t="n"/>
      <c r="X3799" s="7" t="inlineStr"/>
      <c r="Y3799" s="7" t="inlineStr"/>
    </row>
    <row r="3800">
      <c r="A3800" s="7" t="n">
        <v>2273</v>
      </c>
      <c r="B3800" s="12" t="inlineStr">
        <is>
          <t>7896090400010</t>
        </is>
      </c>
      <c r="C3800" s="7" t="inlineStr">
        <is>
          <t>SAB FRANCIS ROSA BRANCA E PATCHOULI 90G</t>
        </is>
      </c>
      <c r="D3800" s="7" t="inlineStr">
        <is>
          <t>PERF/COSME</t>
        </is>
      </c>
      <c r="E3800" s="7" t="inlineStr">
        <is>
          <t>C</t>
        </is>
      </c>
      <c r="F3800" s="13" t="n">
        <v>2</v>
      </c>
      <c r="G3800" s="13" t="n">
        <v>2</v>
      </c>
      <c r="H3800" s="8" t="n">
        <v>2.76</v>
      </c>
      <c r="I3800" s="8" t="n">
        <v>2.76</v>
      </c>
      <c r="J3800" s="8" t="n">
        <v>2.76</v>
      </c>
      <c r="K3800" s="8" t="n"/>
      <c r="L3800" s="8" t="n"/>
      <c r="M3800" s="8" t="n"/>
      <c r="N3800" s="8" t="n"/>
      <c r="O3800" s="8" t="n"/>
      <c r="P3800" s="8" t="n"/>
      <c r="Q3800" s="8" t="n"/>
      <c r="R3800" s="8" t="n"/>
      <c r="S3800" s="8" t="n"/>
      <c r="T3800" s="7" t="inlineStr">
        <is>
          <t>SEM COTAÇÃO</t>
        </is>
      </c>
      <c r="U3800" s="8" t="n"/>
      <c r="V3800" s="14" t="n"/>
      <c r="W3800" s="14" t="n"/>
      <c r="X3800" s="7" t="inlineStr"/>
      <c r="Y3800" s="7" t="inlineStr"/>
    </row>
    <row r="3801">
      <c r="A3801" s="7" t="n">
        <v>603091</v>
      </c>
      <c r="B3801" s="12" t="inlineStr">
        <is>
          <t>7896512941923</t>
        </is>
      </c>
      <c r="C3801" s="7" t="inlineStr">
        <is>
          <t>SAB GLIC BEBE CAMOMILA 250ML</t>
        </is>
      </c>
      <c r="D3801" s="7" t="inlineStr">
        <is>
          <t>BABY/KIDS</t>
        </is>
      </c>
      <c r="E3801" s="7" t="inlineStr">
        <is>
          <t>A</t>
        </is>
      </c>
      <c r="F3801" s="13" t="n">
        <v>4</v>
      </c>
      <c r="G3801" s="13" t="n">
        <v>4</v>
      </c>
      <c r="H3801" s="8" t="n">
        <v>20.385</v>
      </c>
      <c r="I3801" s="8" t="n">
        <v>17.96</v>
      </c>
      <c r="J3801" s="8" t="n">
        <v>19.57666666666667</v>
      </c>
      <c r="K3801" s="8" t="n"/>
      <c r="L3801" s="8" t="n"/>
      <c r="M3801" s="8" t="n"/>
      <c r="N3801" s="8" t="n"/>
      <c r="O3801" s="8" t="n"/>
      <c r="P3801" s="15" t="n">
        <v>22.65</v>
      </c>
      <c r="Q3801" s="8" t="n"/>
      <c r="R3801" s="8" t="n"/>
      <c r="S3801" s="8" t="n"/>
      <c r="T3801" s="7" t="inlineStr">
        <is>
          <t>NAZARIA</t>
        </is>
      </c>
      <c r="U3801" s="8" t="n">
        <v>22.65</v>
      </c>
      <c r="V3801" s="14">
        <f>U3801/J3801-1</f>
        <v/>
      </c>
      <c r="W3801" s="14">
        <f>U3801/H3801-1</f>
        <v/>
      </c>
      <c r="X3801" s="16" t="inlineStr">
        <is>
          <t>ACIMA +11.1%</t>
        </is>
      </c>
      <c r="Y3801" s="7" t="inlineStr"/>
    </row>
    <row r="3802">
      <c r="A3802" s="7" t="n">
        <v>603101</v>
      </c>
      <c r="B3802" s="12" t="inlineStr">
        <is>
          <t>7896512911933</t>
        </is>
      </c>
      <c r="C3802" s="7" t="inlineStr">
        <is>
          <t>SAB GLIC BEBE LAVANDA 250ML</t>
        </is>
      </c>
      <c r="D3802" s="7" t="inlineStr">
        <is>
          <t>BABY/KIDS</t>
        </is>
      </c>
      <c r="E3802" s="7" t="inlineStr">
        <is>
          <t>A</t>
        </is>
      </c>
      <c r="F3802" s="13" t="n">
        <v>6</v>
      </c>
      <c r="G3802" s="13" t="n">
        <v>6</v>
      </c>
      <c r="H3802" s="8" t="n">
        <v>18.98</v>
      </c>
      <c r="I3802" s="8" t="n">
        <v>17.96</v>
      </c>
      <c r="J3802" s="8" t="n">
        <v>18.64</v>
      </c>
      <c r="K3802" s="8" t="n"/>
      <c r="L3802" s="8" t="n"/>
      <c r="M3802" s="8" t="n"/>
      <c r="N3802" s="8" t="n"/>
      <c r="O3802" s="8" t="n"/>
      <c r="P3802" s="15" t="n">
        <v>22.65</v>
      </c>
      <c r="Q3802" s="8" t="n"/>
      <c r="R3802" s="8" t="n"/>
      <c r="S3802" s="8" t="n"/>
      <c r="T3802" s="7" t="inlineStr">
        <is>
          <t>NAZARIA</t>
        </is>
      </c>
      <c r="U3802" s="8" t="n">
        <v>22.65</v>
      </c>
      <c r="V3802" s="14">
        <f>U3802/J3802-1</f>
        <v/>
      </c>
      <c r="W3802" s="14">
        <f>U3802/H3802-1</f>
        <v/>
      </c>
      <c r="X3802" s="16" t="inlineStr">
        <is>
          <t>ACIMA +19.3%</t>
        </is>
      </c>
      <c r="Y3802" s="7" t="inlineStr"/>
    </row>
    <row r="3803">
      <c r="A3803" s="7" t="n">
        <v>617541</v>
      </c>
      <c r="B3803" s="12" t="inlineStr">
        <is>
          <t>47896512900058</t>
        </is>
      </c>
      <c r="C3803" s="7" t="inlineStr">
        <is>
          <t>SAB GRANADO 100G COCO</t>
        </is>
      </c>
      <c r="D3803" s="7" t="inlineStr">
        <is>
          <t>PERF/COSME</t>
        </is>
      </c>
      <c r="E3803" s="7" t="inlineStr">
        <is>
          <t>C</t>
        </is>
      </c>
      <c r="F3803" s="13" t="n">
        <v>5</v>
      </c>
      <c r="G3803" s="13" t="n">
        <v>5</v>
      </c>
      <c r="H3803" s="8" t="n">
        <v>6.67</v>
      </c>
      <c r="I3803" s="8" t="n">
        <v>6.67</v>
      </c>
      <c r="J3803" s="8" t="n">
        <v>6.669999999999999</v>
      </c>
      <c r="K3803" s="8" t="n"/>
      <c r="L3803" s="8" t="n"/>
      <c r="M3803" s="8" t="n"/>
      <c r="N3803" s="8" t="n"/>
      <c r="O3803" s="8" t="n"/>
      <c r="P3803" s="15" t="n">
        <v>8.41</v>
      </c>
      <c r="Q3803" s="8" t="n"/>
      <c r="R3803" s="8" t="n"/>
      <c r="S3803" s="8" t="n"/>
      <c r="T3803" s="7" t="inlineStr">
        <is>
          <t>NAZARIA</t>
        </is>
      </c>
      <c r="U3803" s="8" t="n">
        <v>8.41</v>
      </c>
      <c r="V3803" s="14">
        <f>U3803/J3803-1</f>
        <v/>
      </c>
      <c r="W3803" s="14">
        <f>U3803/H3803-1</f>
        <v/>
      </c>
      <c r="X3803" s="16" t="inlineStr">
        <is>
          <t>ACIMA +26.1%</t>
        </is>
      </c>
      <c r="Y3803" s="7" t="inlineStr"/>
    </row>
    <row r="3804">
      <c r="A3804" s="7" t="n">
        <v>617561</v>
      </c>
      <c r="B3804" s="12" t="inlineStr">
        <is>
          <t>7896512910943</t>
        </is>
      </c>
      <c r="C3804" s="7" t="inlineStr">
        <is>
          <t>SAB GRANADO 90G ANTIS SPORT</t>
        </is>
      </c>
      <c r="D3804" s="7" t="inlineStr">
        <is>
          <t>PERF/COSME</t>
        </is>
      </c>
      <c r="E3804" s="7" t="inlineStr">
        <is>
          <t>C</t>
        </is>
      </c>
      <c r="F3804" s="13" t="n">
        <v>1</v>
      </c>
      <c r="G3804" s="13" t="n">
        <v>1</v>
      </c>
      <c r="H3804" s="8" t="n">
        <v>6.475</v>
      </c>
      <c r="I3804" s="8" t="n">
        <v>6.475</v>
      </c>
      <c r="J3804" s="8" t="n">
        <v>6.474999999999999</v>
      </c>
      <c r="K3804" s="8" t="n"/>
      <c r="L3804" s="8" t="n"/>
      <c r="M3804" s="8" t="n"/>
      <c r="N3804" s="8" t="n"/>
      <c r="O3804" s="8" t="n"/>
      <c r="P3804" s="8" t="n"/>
      <c r="Q3804" s="8" t="n"/>
      <c r="R3804" s="8" t="n"/>
      <c r="S3804" s="8" t="n"/>
      <c r="T3804" s="7" t="inlineStr">
        <is>
          <t>SEM COTAÇÃO</t>
        </is>
      </c>
      <c r="U3804" s="8" t="n"/>
      <c r="V3804" s="14" t="n"/>
      <c r="W3804" s="14" t="n"/>
      <c r="X3804" s="7" t="inlineStr"/>
      <c r="Y3804" s="7" t="inlineStr"/>
    </row>
    <row r="3805">
      <c r="A3805" s="7" t="n">
        <v>617551</v>
      </c>
      <c r="B3805" s="12" t="inlineStr">
        <is>
          <t>7896512910936</t>
        </is>
      </c>
      <c r="C3805" s="7" t="inlineStr">
        <is>
          <t>SAB GRANADO 90G ANTIS.FRESH</t>
        </is>
      </c>
      <c r="D3805" s="7" t="inlineStr">
        <is>
          <t>PERF/COSME</t>
        </is>
      </c>
      <c r="E3805" s="7" t="inlineStr">
        <is>
          <t>C</t>
        </is>
      </c>
      <c r="F3805" s="13" t="n">
        <v>2</v>
      </c>
      <c r="G3805" s="13" t="n">
        <v>2</v>
      </c>
      <c r="H3805" s="8" t="n">
        <v>6.8217</v>
      </c>
      <c r="I3805" s="8" t="n">
        <v>6.8217</v>
      </c>
      <c r="J3805" s="8" t="n">
        <v>6.8217</v>
      </c>
      <c r="K3805" s="8" t="n"/>
      <c r="L3805" s="8" t="n"/>
      <c r="M3805" s="8" t="n"/>
      <c r="N3805" s="8" t="n"/>
      <c r="O3805" s="8" t="n"/>
      <c r="P3805" s="15" t="n">
        <v>7.95</v>
      </c>
      <c r="Q3805" s="8" t="n"/>
      <c r="R3805" s="8" t="n"/>
      <c r="S3805" s="8" t="n"/>
      <c r="T3805" s="7" t="inlineStr">
        <is>
          <t>NAZARIA</t>
        </is>
      </c>
      <c r="U3805" s="8" t="n">
        <v>7.95</v>
      </c>
      <c r="V3805" s="14">
        <f>U3805/J3805-1</f>
        <v/>
      </c>
      <c r="W3805" s="14">
        <f>U3805/H3805-1</f>
        <v/>
      </c>
      <c r="X3805" s="16" t="inlineStr">
        <is>
          <t>ACIMA +16.5%</t>
        </is>
      </c>
      <c r="Y3805" s="7" t="inlineStr"/>
    </row>
    <row r="3806">
      <c r="A3806" s="7" t="n">
        <v>617601</v>
      </c>
      <c r="B3806" s="12" t="inlineStr">
        <is>
          <t>37896512912306</t>
        </is>
      </c>
      <c r="C3806" s="7" t="inlineStr">
        <is>
          <t>SAB GRANADO 90G GLIC B LAV</t>
        </is>
      </c>
      <c r="D3806" s="7" t="inlineStr">
        <is>
          <t>PERF/COSME</t>
        </is>
      </c>
      <c r="E3806" s="7" t="inlineStr">
        <is>
          <t>C</t>
        </is>
      </c>
      <c r="F3806" s="13" t="n">
        <v>2</v>
      </c>
      <c r="G3806" s="13" t="n">
        <v>2</v>
      </c>
      <c r="H3806" s="8" t="n">
        <v>7.13</v>
      </c>
      <c r="I3806" s="8" t="n">
        <v>7.13</v>
      </c>
      <c r="J3806" s="8" t="n">
        <v>7.13</v>
      </c>
      <c r="K3806" s="8" t="n"/>
      <c r="L3806" s="8" t="n"/>
      <c r="M3806" s="8" t="n"/>
      <c r="N3806" s="8" t="n"/>
      <c r="O3806" s="8" t="n"/>
      <c r="P3806" s="15" t="n">
        <v>7.95</v>
      </c>
      <c r="Q3806" s="8" t="n"/>
      <c r="R3806" s="8" t="n"/>
      <c r="S3806" s="8" t="n"/>
      <c r="T3806" s="7" t="inlineStr">
        <is>
          <t>NAZARIA</t>
        </is>
      </c>
      <c r="U3806" s="8" t="n">
        <v>7.95</v>
      </c>
      <c r="V3806" s="14">
        <f>U3806/J3806-1</f>
        <v/>
      </c>
      <c r="W3806" s="14">
        <f>U3806/H3806-1</f>
        <v/>
      </c>
      <c r="X3806" s="16" t="inlineStr">
        <is>
          <t>ACIMA +11.5%</t>
        </is>
      </c>
      <c r="Y3806" s="7" t="inlineStr"/>
    </row>
    <row r="3807">
      <c r="A3807" s="7" t="n">
        <v>2503</v>
      </c>
      <c r="B3807" s="12" t="inlineStr">
        <is>
          <t>7908324404661</t>
        </is>
      </c>
      <c r="C3807" s="7" t="inlineStr">
        <is>
          <t>SAB HYDRATTA 85G_KARITE C/6 PROMO</t>
        </is>
      </c>
      <c r="D3807" s="7" t="inlineStr">
        <is>
          <t>PERF/COSME</t>
        </is>
      </c>
      <c r="E3807" s="7" t="inlineStr">
        <is>
          <t>C</t>
        </is>
      </c>
      <c r="F3807" s="13" t="n">
        <v>1</v>
      </c>
      <c r="G3807" s="13" t="n">
        <v>1</v>
      </c>
      <c r="H3807" s="8" t="n">
        <v>2.83</v>
      </c>
      <c r="I3807" s="8" t="n">
        <v>2.83</v>
      </c>
      <c r="J3807" s="8" t="n">
        <v>2.83</v>
      </c>
      <c r="K3807" s="8" t="n"/>
      <c r="L3807" s="8" t="n"/>
      <c r="M3807" s="8" t="n"/>
      <c r="N3807" s="8" t="n"/>
      <c r="O3807" s="8" t="n"/>
      <c r="P3807" s="8" t="n"/>
      <c r="Q3807" s="8" t="n"/>
      <c r="R3807" s="8" t="n"/>
      <c r="S3807" s="8" t="n"/>
      <c r="T3807" s="7" t="inlineStr">
        <is>
          <t>SEM COTAÇÃO</t>
        </is>
      </c>
      <c r="U3807" s="8" t="n"/>
      <c r="V3807" s="14" t="n"/>
      <c r="W3807" s="14" t="n"/>
      <c r="X3807" s="7" t="inlineStr"/>
      <c r="Y3807" s="7" t="inlineStr"/>
    </row>
    <row r="3808">
      <c r="A3808" s="7" t="n">
        <v>598341</v>
      </c>
      <c r="B3808" s="12" t="inlineStr">
        <is>
          <t>7896512941947</t>
        </is>
      </c>
      <c r="C3808" s="7" t="inlineStr">
        <is>
          <t>SAB INF GRANADO GLIC BEBE 90G CAMOMILA</t>
        </is>
      </c>
      <c r="D3808" s="7" t="inlineStr">
        <is>
          <t>PERF/COSME</t>
        </is>
      </c>
      <c r="E3808" s="7" t="inlineStr">
        <is>
          <t>B</t>
        </is>
      </c>
      <c r="F3808" s="13" t="n">
        <v>8</v>
      </c>
      <c r="G3808" s="13" t="n">
        <v>8</v>
      </c>
      <c r="H3808" s="8" t="n">
        <v>4.95</v>
      </c>
      <c r="I3808" s="8" t="n">
        <v>4.95</v>
      </c>
      <c r="J3808" s="8" t="n">
        <v>4.95</v>
      </c>
      <c r="K3808" s="8" t="n"/>
      <c r="L3808" s="8" t="n"/>
      <c r="M3808" s="8" t="n"/>
      <c r="N3808" s="8" t="n"/>
      <c r="O3808" s="8" t="n"/>
      <c r="P3808" s="15" t="n">
        <v>6.17</v>
      </c>
      <c r="Q3808" s="8" t="n"/>
      <c r="R3808" s="8" t="n"/>
      <c r="S3808" s="8" t="n"/>
      <c r="T3808" s="7" t="inlineStr">
        <is>
          <t>NAZARIA</t>
        </is>
      </c>
      <c r="U3808" s="8" t="n">
        <v>6.17</v>
      </c>
      <c r="V3808" s="14">
        <f>U3808/J3808-1</f>
        <v/>
      </c>
      <c r="W3808" s="14">
        <f>U3808/H3808-1</f>
        <v/>
      </c>
      <c r="X3808" s="16" t="inlineStr">
        <is>
          <t>ACIMA +24.6%</t>
        </is>
      </c>
      <c r="Y3808" s="7" t="inlineStr"/>
    </row>
    <row r="3809">
      <c r="A3809" s="7" t="n">
        <v>651731</v>
      </c>
      <c r="B3809" s="12" t="inlineStr">
        <is>
          <t>7896227690598</t>
        </is>
      </c>
      <c r="C3809" s="7" t="inlineStr">
        <is>
          <t>SAB INF LIQ SNOOPY 200ML GLICERINA</t>
        </is>
      </c>
      <c r="D3809" s="7" t="inlineStr">
        <is>
          <t>BABY/KIDS</t>
        </is>
      </c>
      <c r="E3809" s="7" t="inlineStr">
        <is>
          <t>C</t>
        </is>
      </c>
      <c r="F3809" s="13" t="n">
        <v>1</v>
      </c>
      <c r="G3809" s="13" t="n">
        <v>1</v>
      </c>
      <c r="H3809" s="8" t="n">
        <v>12.82</v>
      </c>
      <c r="I3809" s="8" t="n">
        <v>12.82</v>
      </c>
      <c r="J3809" s="8" t="n">
        <v>12.82</v>
      </c>
      <c r="K3809" s="8" t="n"/>
      <c r="L3809" s="8" t="n"/>
      <c r="M3809" s="8" t="n"/>
      <c r="N3809" s="8" t="n"/>
      <c r="O3809" s="8" t="n"/>
      <c r="P3809" s="8" t="n"/>
      <c r="Q3809" s="8" t="n"/>
      <c r="R3809" s="8" t="n"/>
      <c r="S3809" s="8" t="n"/>
      <c r="T3809" s="7" t="inlineStr">
        <is>
          <t>SEM COTAÇÃO</t>
        </is>
      </c>
      <c r="U3809" s="8" t="n"/>
      <c r="V3809" s="14" t="n"/>
      <c r="W3809" s="14" t="n"/>
      <c r="X3809" s="7" t="inlineStr"/>
      <c r="Y3809" s="7" t="inlineStr"/>
    </row>
    <row r="3810">
      <c r="A3810" s="7" t="n">
        <v>651631</v>
      </c>
      <c r="B3810" s="12" t="inlineStr">
        <is>
          <t>7896227690574</t>
        </is>
      </c>
      <c r="C3810" s="7" t="inlineStr">
        <is>
          <t>SAB INF LIQ SNOOPY 200ML HORA NINA</t>
        </is>
      </c>
      <c r="D3810" s="7" t="inlineStr">
        <is>
          <t>BABY/KIDS</t>
        </is>
      </c>
      <c r="E3810" s="7" t="inlineStr">
        <is>
          <t>C</t>
        </is>
      </c>
      <c r="F3810" s="13" t="n">
        <v>1</v>
      </c>
      <c r="G3810" s="13" t="n">
        <v>1</v>
      </c>
      <c r="H3810" s="8" t="n">
        <v>12.82</v>
      </c>
      <c r="I3810" s="8" t="n">
        <v>12.82</v>
      </c>
      <c r="J3810" s="8" t="n">
        <v>12.82</v>
      </c>
      <c r="K3810" s="8" t="n"/>
      <c r="L3810" s="8" t="n"/>
      <c r="M3810" s="8" t="n"/>
      <c r="N3810" s="8" t="n"/>
      <c r="O3810" s="8" t="n"/>
      <c r="P3810" s="8" t="n"/>
      <c r="Q3810" s="8" t="n"/>
      <c r="R3810" s="8" t="n"/>
      <c r="S3810" s="8" t="n"/>
      <c r="T3810" s="7" t="inlineStr">
        <is>
          <t>SEM COTAÇÃO</t>
        </is>
      </c>
      <c r="U3810" s="8" t="n"/>
      <c r="V3810" s="14" t="n"/>
      <c r="W3810" s="14" t="n"/>
      <c r="X3810" s="7" t="inlineStr"/>
      <c r="Y3810" s="7" t="inlineStr"/>
    </row>
    <row r="3811">
      <c r="A3811" s="7" t="n">
        <v>651651</v>
      </c>
      <c r="B3811" s="12" t="inlineStr">
        <is>
          <t>7896227690628</t>
        </is>
      </c>
      <c r="C3811" s="7" t="inlineStr">
        <is>
          <t>SAB INF LIQ SNOOPY 200ML_GLICERINA REF</t>
        </is>
      </c>
      <c r="D3811" s="7" t="inlineStr">
        <is>
          <t>BABY/KIDS</t>
        </is>
      </c>
      <c r="E3811" s="7" t="inlineStr">
        <is>
          <t>B</t>
        </is>
      </c>
      <c r="F3811" s="13" t="n">
        <v>4</v>
      </c>
      <c r="G3811" s="13" t="n">
        <v>4</v>
      </c>
      <c r="H3811" s="8" t="n">
        <v>7.99</v>
      </c>
      <c r="I3811" s="8" t="n">
        <v>7.99</v>
      </c>
      <c r="J3811" s="8" t="n">
        <v>7.989999999999999</v>
      </c>
      <c r="K3811" s="8" t="n"/>
      <c r="L3811" s="8" t="n"/>
      <c r="M3811" s="8" t="n"/>
      <c r="N3811" s="8" t="n"/>
      <c r="O3811" s="8" t="n"/>
      <c r="P3811" s="8" t="n"/>
      <c r="Q3811" s="8" t="n"/>
      <c r="R3811" s="8" t="n"/>
      <c r="S3811" s="8" t="n"/>
      <c r="T3811" s="7" t="inlineStr">
        <is>
          <t>SEM COTAÇÃO</t>
        </is>
      </c>
      <c r="U3811" s="8" t="n"/>
      <c r="V3811" s="14" t="n"/>
      <c r="W3811" s="14" t="n"/>
      <c r="X3811" s="7" t="inlineStr"/>
      <c r="Y3811" s="7" t="inlineStr"/>
    </row>
    <row r="3812">
      <c r="A3812" s="7" t="n">
        <v>651701</v>
      </c>
      <c r="B3812" s="12" t="inlineStr">
        <is>
          <t>7896227690611</t>
        </is>
      </c>
      <c r="C3812" s="7" t="inlineStr">
        <is>
          <t>SAB INF LIQ SNOOPY 200ML_HORA NINAR REF</t>
        </is>
      </c>
      <c r="D3812" s="7" t="inlineStr">
        <is>
          <t>BABY/KIDS</t>
        </is>
      </c>
      <c r="E3812" s="7" t="inlineStr">
        <is>
          <t>C</t>
        </is>
      </c>
      <c r="F3812" s="13" t="n">
        <v>2</v>
      </c>
      <c r="G3812" s="13" t="n">
        <v>2</v>
      </c>
      <c r="H3812" s="8" t="n">
        <v>7.99</v>
      </c>
      <c r="I3812" s="8" t="n">
        <v>7.99</v>
      </c>
      <c r="J3812" s="8" t="n">
        <v>7.989999999999999</v>
      </c>
      <c r="K3812" s="8" t="n"/>
      <c r="L3812" s="8" t="n"/>
      <c r="M3812" s="8" t="n"/>
      <c r="N3812" s="8" t="n"/>
      <c r="O3812" s="8" t="n"/>
      <c r="P3812" s="8" t="n"/>
      <c r="Q3812" s="8" t="n"/>
      <c r="R3812" s="8" t="n"/>
      <c r="S3812" s="8" t="n"/>
      <c r="T3812" s="7" t="inlineStr">
        <is>
          <t>SEM COTAÇÃO</t>
        </is>
      </c>
      <c r="U3812" s="8" t="n"/>
      <c r="V3812" s="14" t="n"/>
      <c r="W3812" s="14" t="n"/>
      <c r="X3812" s="7" t="inlineStr"/>
      <c r="Y3812" s="7" t="inlineStr"/>
    </row>
    <row r="3813">
      <c r="A3813" s="7" t="n">
        <v>32803</v>
      </c>
      <c r="B3813" s="12" t="inlineStr">
        <is>
          <t>7908512700124</t>
        </is>
      </c>
      <c r="C3813" s="7" t="inlineStr">
        <is>
          <t>SAB INT.BIO INSTINTO 200ML FLOR LARAN.</t>
        </is>
      </c>
      <c r="D3813" s="7" t="inlineStr">
        <is>
          <t>PERF/COSME</t>
        </is>
      </c>
      <c r="E3813" s="7" t="inlineStr">
        <is>
          <t>C</t>
        </is>
      </c>
      <c r="F3813" s="13" t="n">
        <v>2</v>
      </c>
      <c r="G3813" s="13" t="n">
        <v>2</v>
      </c>
      <c r="H3813" s="8" t="n">
        <v>3.65</v>
      </c>
      <c r="I3813" s="8" t="n">
        <v>3.65</v>
      </c>
      <c r="J3813" s="8" t="n">
        <v>3.65</v>
      </c>
      <c r="K3813" s="8" t="n"/>
      <c r="L3813" s="8" t="n"/>
      <c r="M3813" s="8" t="n"/>
      <c r="N3813" s="8" t="n"/>
      <c r="O3813" s="8" t="n"/>
      <c r="P3813" s="8" t="n"/>
      <c r="Q3813" s="8" t="n"/>
      <c r="R3813" s="8" t="n"/>
      <c r="S3813" s="8" t="n"/>
      <c r="T3813" s="7" t="inlineStr">
        <is>
          <t>SEM COTAÇÃO</t>
        </is>
      </c>
      <c r="U3813" s="8" t="n"/>
      <c r="V3813" s="14" t="n"/>
      <c r="W3813" s="14" t="n"/>
      <c r="X3813" s="7" t="inlineStr"/>
      <c r="Y3813" s="7" t="inlineStr"/>
    </row>
    <row r="3814">
      <c r="A3814" s="7" t="n">
        <v>32703</v>
      </c>
      <c r="B3814" s="12" t="inlineStr">
        <is>
          <t>7908512700087</t>
        </is>
      </c>
      <c r="C3814" s="7" t="inlineStr">
        <is>
          <t>SAB INT.BIO INSTINTO 200ML HORTELA</t>
        </is>
      </c>
      <c r="D3814" s="7" t="inlineStr">
        <is>
          <t>PERF/COSME</t>
        </is>
      </c>
      <c r="E3814" s="7" t="inlineStr">
        <is>
          <t>C</t>
        </is>
      </c>
      <c r="F3814" s="13" t="n">
        <v>2</v>
      </c>
      <c r="G3814" s="13" t="n">
        <v>2</v>
      </c>
      <c r="H3814" s="8" t="n">
        <v>3.65</v>
      </c>
      <c r="I3814" s="8" t="n">
        <v>3.65</v>
      </c>
      <c r="J3814" s="8" t="n">
        <v>3.65</v>
      </c>
      <c r="K3814" s="8" t="n"/>
      <c r="L3814" s="8" t="n"/>
      <c r="M3814" s="8" t="n"/>
      <c r="N3814" s="8" t="n"/>
      <c r="O3814" s="8" t="n"/>
      <c r="P3814" s="8" t="n"/>
      <c r="Q3814" s="8" t="n"/>
      <c r="R3814" s="8" t="n"/>
      <c r="S3814" s="8" t="n"/>
      <c r="T3814" s="7" t="inlineStr">
        <is>
          <t>SEM COTAÇÃO</t>
        </is>
      </c>
      <c r="U3814" s="8" t="n"/>
      <c r="V3814" s="14" t="n"/>
      <c r="W3814" s="14" t="n"/>
      <c r="X3814" s="7" t="inlineStr"/>
      <c r="Y3814" s="7" t="inlineStr"/>
    </row>
    <row r="3815">
      <c r="A3815" s="7" t="n">
        <v>32603</v>
      </c>
      <c r="B3815" s="12" t="inlineStr">
        <is>
          <t>7898566786581</t>
        </is>
      </c>
      <c r="C3815" s="7" t="inlineStr">
        <is>
          <t>SAB INT.BIO INSTINTO 200ML OLEO COCO</t>
        </is>
      </c>
      <c r="D3815" s="7" t="inlineStr">
        <is>
          <t>PERF/COSME</t>
        </is>
      </c>
      <c r="E3815" s="7" t="inlineStr">
        <is>
          <t>C</t>
        </is>
      </c>
      <c r="F3815" s="13" t="n">
        <v>4</v>
      </c>
      <c r="G3815" s="13" t="n">
        <v>4</v>
      </c>
      <c r="H3815" s="8" t="n">
        <v>3.65</v>
      </c>
      <c r="I3815" s="8" t="n">
        <v>3.65</v>
      </c>
      <c r="J3815" s="8" t="n">
        <v>3.65</v>
      </c>
      <c r="K3815" s="8" t="n"/>
      <c r="L3815" s="8" t="n"/>
      <c r="M3815" s="8" t="n"/>
      <c r="N3815" s="8" t="n"/>
      <c r="O3815" s="8" t="n"/>
      <c r="P3815" s="8" t="n"/>
      <c r="Q3815" s="8" t="n"/>
      <c r="R3815" s="8" t="n"/>
      <c r="S3815" s="8" t="n"/>
      <c r="T3815" s="7" t="inlineStr">
        <is>
          <t>SEM COTAÇÃO</t>
        </is>
      </c>
      <c r="U3815" s="8" t="n"/>
      <c r="V3815" s="14" t="n"/>
      <c r="W3815" s="14" t="n"/>
      <c r="X3815" s="7" t="inlineStr"/>
      <c r="Y3815" s="7" t="inlineStr"/>
    </row>
    <row r="3816">
      <c r="A3816" s="7" t="n">
        <v>665731</v>
      </c>
      <c r="B3816" s="12" t="inlineStr">
        <is>
          <t>7896227692004</t>
        </is>
      </c>
      <c r="C3816" s="7" t="inlineStr">
        <is>
          <t>SAB INTIMO COTTONB LADY 200ML HIDRATANTE</t>
        </is>
      </c>
      <c r="D3816" s="7" t="inlineStr">
        <is>
          <t>SABONETES BARRAS/LIQUIDOS</t>
        </is>
      </c>
      <c r="E3816" s="7" t="inlineStr">
        <is>
          <t>C</t>
        </is>
      </c>
      <c r="F3816" s="13" t="n">
        <v>2</v>
      </c>
      <c r="G3816" s="13" t="n">
        <v>2</v>
      </c>
      <c r="H3816" s="8" t="n">
        <v>12.04</v>
      </c>
      <c r="I3816" s="8" t="n">
        <v>12.04</v>
      </c>
      <c r="J3816" s="8" t="n">
        <v>12.04</v>
      </c>
      <c r="K3816" s="8" t="n"/>
      <c r="L3816" s="8" t="n"/>
      <c r="M3816" s="8" t="n"/>
      <c r="N3816" s="8" t="n"/>
      <c r="O3816" s="8" t="n"/>
      <c r="P3816" s="8" t="n"/>
      <c r="Q3816" s="8" t="n"/>
      <c r="R3816" s="8" t="n"/>
      <c r="S3816" s="8" t="n"/>
      <c r="T3816" s="7" t="inlineStr">
        <is>
          <t>SEM COTAÇÃO</t>
        </is>
      </c>
      <c r="U3816" s="8" t="n"/>
      <c r="V3816" s="14" t="n"/>
      <c r="W3816" s="14" t="n"/>
      <c r="X3816" s="7" t="inlineStr"/>
      <c r="Y3816" s="7" t="inlineStr"/>
    </row>
    <row r="3817">
      <c r="A3817" s="7" t="n">
        <v>665741</v>
      </c>
      <c r="B3817" s="12" t="inlineStr">
        <is>
          <t>7896227690888</t>
        </is>
      </c>
      <c r="C3817" s="7" t="inlineStr">
        <is>
          <t>SAB INTIMO COTTONB LADY 200ML NATURAL</t>
        </is>
      </c>
      <c r="D3817" s="7" t="inlineStr">
        <is>
          <t>SABONETES BARRAS/LIQUIDOS</t>
        </is>
      </c>
      <c r="E3817" s="7" t="inlineStr">
        <is>
          <t>C</t>
        </is>
      </c>
      <c r="F3817" s="13" t="n">
        <v>1</v>
      </c>
      <c r="G3817" s="13" t="n">
        <v>1</v>
      </c>
      <c r="H3817" s="8" t="n">
        <v>12.04</v>
      </c>
      <c r="I3817" s="8" t="n">
        <v>12.04</v>
      </c>
      <c r="J3817" s="8" t="n">
        <v>12.04</v>
      </c>
      <c r="K3817" s="8" t="n"/>
      <c r="L3817" s="8" t="n"/>
      <c r="M3817" s="8" t="n"/>
      <c r="N3817" s="8" t="n"/>
      <c r="O3817" s="8" t="n"/>
      <c r="P3817" s="8" t="n"/>
      <c r="Q3817" s="8" t="n"/>
      <c r="R3817" s="8" t="n"/>
      <c r="S3817" s="8" t="n"/>
      <c r="T3817" s="7" t="inlineStr">
        <is>
          <t>SEM COTAÇÃO</t>
        </is>
      </c>
      <c r="U3817" s="8" t="n"/>
      <c r="V3817" s="14" t="n"/>
      <c r="W3817" s="14" t="n"/>
      <c r="X3817" s="7" t="inlineStr"/>
      <c r="Y3817" s="7" t="inlineStr"/>
    </row>
    <row r="3818">
      <c r="A3818" s="7" t="n">
        <v>634</v>
      </c>
      <c r="B3818" s="12" t="inlineStr">
        <is>
          <t>7896018703704</t>
        </is>
      </c>
      <c r="C3818" s="7" t="inlineStr">
        <is>
          <t>SAB INTIMO INTIMUS DEFESA NATURAL 200ML</t>
        </is>
      </c>
      <c r="D3818" s="7" t="inlineStr">
        <is>
          <t>PERF/COSME</t>
        </is>
      </c>
      <c r="E3818" s="7" t="inlineStr">
        <is>
          <t>A</t>
        </is>
      </c>
      <c r="F3818" s="13" t="n">
        <v>4</v>
      </c>
      <c r="G3818" s="13" t="n">
        <v>4</v>
      </c>
      <c r="H3818" s="8" t="n">
        <v>22.3217</v>
      </c>
      <c r="I3818" s="8" t="n">
        <v>22.3217</v>
      </c>
      <c r="J3818" s="8" t="n">
        <v>22.3217</v>
      </c>
      <c r="K3818" s="8" t="n"/>
      <c r="L3818" s="8" t="n"/>
      <c r="M3818" s="8" t="n"/>
      <c r="N3818" s="8" t="n"/>
      <c r="O3818" s="8" t="n"/>
      <c r="P3818" s="15" t="n">
        <v>34.11</v>
      </c>
      <c r="Q3818" s="8" t="n"/>
      <c r="R3818" s="8" t="n"/>
      <c r="S3818" s="8" t="n"/>
      <c r="T3818" s="7" t="inlineStr">
        <is>
          <t>NAZARIA</t>
        </is>
      </c>
      <c r="U3818" s="8" t="n">
        <v>34.11</v>
      </c>
      <c r="V3818" s="14">
        <f>U3818/J3818-1</f>
        <v/>
      </c>
      <c r="W3818" s="14">
        <f>U3818/H3818-1</f>
        <v/>
      </c>
      <c r="X3818" s="16" t="inlineStr">
        <is>
          <t>ACIMA +52.8%</t>
        </is>
      </c>
      <c r="Y3818" s="7" t="inlineStr"/>
    </row>
    <row r="3819">
      <c r="A3819" s="7" t="n">
        <v>843</v>
      </c>
      <c r="B3819" s="12" t="inlineStr">
        <is>
          <t>7891010781668</t>
        </is>
      </c>
      <c r="C3819" s="7" t="inlineStr">
        <is>
          <t>SAB J J BABY HORA DO SONO 80G</t>
        </is>
      </c>
      <c r="D3819" s="7" t="inlineStr">
        <is>
          <t>BABY/KIDS</t>
        </is>
      </c>
      <c r="E3819" s="7" t="inlineStr">
        <is>
          <t>C</t>
        </is>
      </c>
      <c r="F3819" s="13" t="n">
        <v>1</v>
      </c>
      <c r="G3819" s="13" t="n">
        <v>1</v>
      </c>
      <c r="H3819" s="8" t="n">
        <v>5.79</v>
      </c>
      <c r="I3819" s="8" t="n">
        <v>5.79</v>
      </c>
      <c r="J3819" s="8" t="n">
        <v>5.79</v>
      </c>
      <c r="K3819" s="8" t="n"/>
      <c r="L3819" s="8" t="n"/>
      <c r="M3819" s="8" t="n"/>
      <c r="N3819" s="8" t="n"/>
      <c r="O3819" s="8" t="n"/>
      <c r="P3819" s="15" t="n">
        <v>5.63</v>
      </c>
      <c r="Q3819" s="8" t="n"/>
      <c r="R3819" s="8" t="n"/>
      <c r="S3819" s="8" t="n"/>
      <c r="T3819" s="7" t="inlineStr">
        <is>
          <t>NAZARIA</t>
        </is>
      </c>
      <c r="U3819" s="8" t="n">
        <v>5.63</v>
      </c>
      <c r="V3819" s="14">
        <f>U3819/J3819-1</f>
        <v/>
      </c>
      <c r="W3819" s="14">
        <f>U3819/H3819-1</f>
        <v/>
      </c>
      <c r="X3819" s="17" t="inlineStr">
        <is>
          <t>OK (≤ menor hist.)</t>
        </is>
      </c>
      <c r="Y3819" s="7" t="inlineStr"/>
    </row>
    <row r="3820">
      <c r="A3820" s="7" t="n">
        <v>567301</v>
      </c>
      <c r="B3820" s="12" t="inlineStr">
        <is>
          <t>7891010871024</t>
        </is>
      </c>
      <c r="C3820" s="7" t="inlineStr">
        <is>
          <t>SAB J J BABY LIQ REF HORA SONO 180ML</t>
        </is>
      </c>
      <c r="D3820" s="7" t="inlineStr">
        <is>
          <t>PERF/COSME</t>
        </is>
      </c>
      <c r="E3820" s="7" t="inlineStr">
        <is>
          <t>B</t>
        </is>
      </c>
      <c r="F3820" s="13" t="n">
        <v>4</v>
      </c>
      <c r="G3820" s="13" t="n">
        <v>4</v>
      </c>
      <c r="H3820" s="8" t="n">
        <v>12.9692</v>
      </c>
      <c r="I3820" s="8" t="n">
        <v>12.9692</v>
      </c>
      <c r="J3820" s="8" t="n">
        <v>12.9692</v>
      </c>
      <c r="K3820" s="8" t="n"/>
      <c r="L3820" s="8" t="n"/>
      <c r="M3820" s="8" t="n"/>
      <c r="N3820" s="8" t="n"/>
      <c r="O3820" s="8" t="n"/>
      <c r="P3820" s="15" t="n">
        <v>13.88</v>
      </c>
      <c r="Q3820" s="8" t="n"/>
      <c r="R3820" s="8" t="n"/>
      <c r="S3820" s="8" t="n"/>
      <c r="T3820" s="7" t="inlineStr">
        <is>
          <t>NAZARIA</t>
        </is>
      </c>
      <c r="U3820" s="8" t="n">
        <v>13.88</v>
      </c>
      <c r="V3820" s="14">
        <f>U3820/J3820-1</f>
        <v/>
      </c>
      <c r="W3820" s="14">
        <f>U3820/H3820-1</f>
        <v/>
      </c>
      <c r="X3820" s="16" t="inlineStr">
        <is>
          <t>ACIMA +7.0%</t>
        </is>
      </c>
      <c r="Y3820" s="7" t="inlineStr"/>
    </row>
    <row r="3821">
      <c r="A3821" s="7" t="n">
        <v>612361</v>
      </c>
      <c r="B3821" s="12" t="inlineStr">
        <is>
          <t>7891010247409</t>
        </is>
      </c>
      <c r="C3821" s="7" t="inlineStr">
        <is>
          <t>SAB JOHNSONS AMENDOAS 80G</t>
        </is>
      </c>
      <c r="D3821" s="7" t="inlineStr">
        <is>
          <t>PERF/COSME</t>
        </is>
      </c>
      <c r="E3821" s="7" t="inlineStr">
        <is>
          <t>C</t>
        </is>
      </c>
      <c r="F3821" s="13" t="n">
        <v>2</v>
      </c>
      <c r="G3821" s="13" t="n">
        <v>2</v>
      </c>
      <c r="H3821" s="8" t="n">
        <v>2.31</v>
      </c>
      <c r="I3821" s="8" t="n">
        <v>2.31</v>
      </c>
      <c r="J3821" s="8" t="n">
        <v>2.31</v>
      </c>
      <c r="K3821" s="8" t="n"/>
      <c r="L3821" s="8" t="n"/>
      <c r="M3821" s="8" t="n"/>
      <c r="N3821" s="8" t="n"/>
      <c r="O3821" s="8" t="n"/>
      <c r="P3821" s="15" t="n">
        <v>2.25</v>
      </c>
      <c r="Q3821" s="8" t="n"/>
      <c r="R3821" s="8" t="n"/>
      <c r="S3821" s="8" t="n"/>
      <c r="T3821" s="7" t="inlineStr">
        <is>
          <t>NAZARIA</t>
        </is>
      </c>
      <c r="U3821" s="8" t="n">
        <v>2.25</v>
      </c>
      <c r="V3821" s="14">
        <f>U3821/J3821-1</f>
        <v/>
      </c>
      <c r="W3821" s="14">
        <f>U3821/H3821-1</f>
        <v/>
      </c>
      <c r="X3821" s="17" t="inlineStr">
        <is>
          <t>OK (≤ menor hist.)</t>
        </is>
      </c>
      <c r="Y3821" s="7" t="inlineStr"/>
    </row>
    <row r="3822">
      <c r="A3822" s="7" t="n">
        <v>612371</v>
      </c>
      <c r="B3822" s="12" t="inlineStr">
        <is>
          <t>7891010247393</t>
        </is>
      </c>
      <c r="C3822" s="7" t="inlineStr">
        <is>
          <t>SAB JOHNSONS ROSAS E SANDALO 80G</t>
        </is>
      </c>
      <c r="D3822" s="7" t="inlineStr">
        <is>
          <t>PERF/COSME</t>
        </is>
      </c>
      <c r="E3822" s="7" t="inlineStr">
        <is>
          <t>C</t>
        </is>
      </c>
      <c r="F3822" s="13" t="n">
        <v>5</v>
      </c>
      <c r="G3822" s="13" t="n">
        <v>5</v>
      </c>
      <c r="H3822" s="8" t="n">
        <v>2.31</v>
      </c>
      <c r="I3822" s="8" t="n">
        <v>2.31</v>
      </c>
      <c r="J3822" s="8" t="n">
        <v>2.31</v>
      </c>
      <c r="K3822" s="8" t="n"/>
      <c r="L3822" s="8" t="n"/>
      <c r="M3822" s="8" t="n"/>
      <c r="N3822" s="8" t="n"/>
      <c r="O3822" s="8" t="n"/>
      <c r="P3822" s="15" t="n">
        <v>2.25</v>
      </c>
      <c r="Q3822" s="8" t="n"/>
      <c r="R3822" s="8" t="n"/>
      <c r="S3822" s="8" t="n"/>
      <c r="T3822" s="7" t="inlineStr">
        <is>
          <t>NAZARIA</t>
        </is>
      </c>
      <c r="U3822" s="8" t="n">
        <v>2.25</v>
      </c>
      <c r="V3822" s="14">
        <f>U3822/J3822-1</f>
        <v/>
      </c>
      <c r="W3822" s="14">
        <f>U3822/H3822-1</f>
        <v/>
      </c>
      <c r="X3822" s="17" t="inlineStr">
        <is>
          <t>OK (≤ menor hist.)</t>
        </is>
      </c>
      <c r="Y3822" s="7" t="inlineStr"/>
    </row>
    <row r="3823">
      <c r="A3823" s="7" t="n">
        <v>603131</v>
      </c>
      <c r="B3823" s="12" t="inlineStr">
        <is>
          <t>7896512949417</t>
        </is>
      </c>
      <c r="C3823" s="7" t="inlineStr">
        <is>
          <t>SAB LIQ BEBE TRAD 500ML</t>
        </is>
      </c>
      <c r="D3823" s="7" t="inlineStr">
        <is>
          <t>BABY/KIDS</t>
        </is>
      </c>
      <c r="E3823" s="7" t="inlineStr">
        <is>
          <t>C</t>
        </is>
      </c>
      <c r="F3823" s="13" t="n">
        <v>3</v>
      </c>
      <c r="G3823" s="13" t="n">
        <v>3</v>
      </c>
      <c r="H3823" s="8" t="n">
        <v>28.35</v>
      </c>
      <c r="I3823" s="8" t="n">
        <v>28.35</v>
      </c>
      <c r="J3823" s="8" t="n">
        <v>28.35</v>
      </c>
      <c r="K3823" s="8" t="n"/>
      <c r="L3823" s="8" t="n"/>
      <c r="M3823" s="8" t="n"/>
      <c r="N3823" s="8" t="n"/>
      <c r="O3823" s="8" t="n"/>
      <c r="P3823" s="15" t="n">
        <v>33.62</v>
      </c>
      <c r="Q3823" s="8" t="n"/>
      <c r="R3823" s="8" t="n"/>
      <c r="S3823" s="8" t="n"/>
      <c r="T3823" s="7" t="inlineStr">
        <is>
          <t>NAZARIA</t>
        </is>
      </c>
      <c r="U3823" s="8" t="n">
        <v>33.62</v>
      </c>
      <c r="V3823" s="14">
        <f>U3823/J3823-1</f>
        <v/>
      </c>
      <c r="W3823" s="14">
        <f>U3823/H3823-1</f>
        <v/>
      </c>
      <c r="X3823" s="16" t="inlineStr">
        <is>
          <t>ACIMA +18.6%</t>
        </is>
      </c>
      <c r="Y3823" s="7" t="inlineStr"/>
    </row>
    <row r="3824">
      <c r="A3824" s="7" t="n">
        <v>539001</v>
      </c>
      <c r="B3824" s="12" t="inlineStr">
        <is>
          <t>7891150060241</t>
        </is>
      </c>
      <c r="C3824" s="7" t="inlineStr">
        <is>
          <t>SAB LIQ BUQUE DE JASMIM 200ML REFIL</t>
        </is>
      </c>
      <c r="D3824" s="7" t="inlineStr">
        <is>
          <t>SABONETES BARRAS/LIQUIDOS</t>
        </is>
      </c>
      <c r="E3824" s="7" t="inlineStr">
        <is>
          <t>C</t>
        </is>
      </c>
      <c r="F3824" s="13" t="n">
        <v>4</v>
      </c>
      <c r="G3824" s="13" t="n">
        <v>4</v>
      </c>
      <c r="H3824" s="8" t="n">
        <v>6.19</v>
      </c>
      <c r="I3824" s="8" t="n">
        <v>6.19</v>
      </c>
      <c r="J3824" s="8" t="n">
        <v>6.19</v>
      </c>
      <c r="K3824" s="8" t="n"/>
      <c r="L3824" s="8" t="n"/>
      <c r="M3824" s="8" t="n"/>
      <c r="N3824" s="8" t="n"/>
      <c r="O3824" s="8" t="n"/>
      <c r="P3824" s="15" t="n">
        <v>6.4</v>
      </c>
      <c r="Q3824" s="8" t="n"/>
      <c r="R3824" s="8" t="n"/>
      <c r="S3824" s="8" t="n"/>
      <c r="T3824" s="7" t="inlineStr">
        <is>
          <t>NAZARIA</t>
        </is>
      </c>
      <c r="U3824" s="8" t="n">
        <v>6.4</v>
      </c>
      <c r="V3824" s="14">
        <f>U3824/J3824-1</f>
        <v/>
      </c>
      <c r="W3824" s="14">
        <f>U3824/H3824-1</f>
        <v/>
      </c>
      <c r="X3824" s="16" t="inlineStr">
        <is>
          <t>ACIMA +3.4%</t>
        </is>
      </c>
      <c r="Y3824" s="7" t="inlineStr"/>
    </row>
    <row r="3825">
      <c r="A3825" s="7" t="n">
        <v>541901</v>
      </c>
      <c r="B3825" s="12" t="inlineStr">
        <is>
          <t>7896018704206</t>
        </is>
      </c>
      <c r="C3825" s="7" t="inlineStr">
        <is>
          <t>SAB LIQ CABECA AOS PES DISNEY BABY HUGGIES 200ML REFIL</t>
        </is>
      </c>
      <c r="D3825" s="7" t="inlineStr">
        <is>
          <t>PERF/COSME</t>
        </is>
      </c>
      <c r="E3825" s="7" t="inlineStr">
        <is>
          <t>C</t>
        </is>
      </c>
      <c r="F3825" s="13" t="n">
        <v>1</v>
      </c>
      <c r="G3825" s="13" t="n">
        <v>1</v>
      </c>
      <c r="H3825" s="8" t="n">
        <v>7.8133</v>
      </c>
      <c r="I3825" s="8" t="n">
        <v>7.8133</v>
      </c>
      <c r="J3825" s="8" t="n">
        <v>7.813300000000001</v>
      </c>
      <c r="K3825" s="8" t="n"/>
      <c r="L3825" s="8" t="n"/>
      <c r="M3825" s="8" t="n"/>
      <c r="N3825" s="8" t="n"/>
      <c r="O3825" s="8" t="n"/>
      <c r="P3825" s="15" t="n">
        <v>11.79</v>
      </c>
      <c r="Q3825" s="8" t="n"/>
      <c r="R3825" s="8" t="n"/>
      <c r="S3825" s="8" t="n"/>
      <c r="T3825" s="7" t="inlineStr">
        <is>
          <t>NAZARIA</t>
        </is>
      </c>
      <c r="U3825" s="8" t="n">
        <v>11.79</v>
      </c>
      <c r="V3825" s="14">
        <f>U3825/J3825-1</f>
        <v/>
      </c>
      <c r="W3825" s="14">
        <f>U3825/H3825-1</f>
        <v/>
      </c>
      <c r="X3825" s="16" t="inlineStr">
        <is>
          <t>ACIMA +50.9%</t>
        </is>
      </c>
      <c r="Y3825" s="7" t="inlineStr"/>
    </row>
    <row r="3826">
      <c r="A3826" s="7" t="n">
        <v>669521</v>
      </c>
      <c r="B3826" s="12" t="inlineStr">
        <is>
          <t>7509546695945</t>
        </is>
      </c>
      <c r="C3826" s="7" t="inlineStr">
        <is>
          <t>SAB LIQ CORP PALMOLIVE MELANCIA   LICHIA 250ML</t>
        </is>
      </c>
      <c r="D3826" s="7" t="inlineStr">
        <is>
          <t>PERF/COSME</t>
        </is>
      </c>
      <c r="E3826" s="7" t="inlineStr">
        <is>
          <t>A</t>
        </is>
      </c>
      <c r="F3826" s="13" t="n">
        <v>10</v>
      </c>
      <c r="G3826" s="13" t="n">
        <v>10</v>
      </c>
      <c r="H3826" s="8" t="n">
        <v>5.685</v>
      </c>
      <c r="I3826" s="8" t="n">
        <v>5.685</v>
      </c>
      <c r="J3826" s="8" t="n">
        <v>5.685</v>
      </c>
      <c r="K3826" s="8" t="n"/>
      <c r="L3826" s="8" t="n"/>
      <c r="M3826" s="8" t="n"/>
      <c r="N3826" s="8" t="n"/>
      <c r="O3826" s="8" t="n"/>
      <c r="P3826" s="15" t="n">
        <v>7.58</v>
      </c>
      <c r="Q3826" s="8" t="n"/>
      <c r="R3826" s="8" t="n"/>
      <c r="S3826" s="8" t="n"/>
      <c r="T3826" s="7" t="inlineStr">
        <is>
          <t>NAZARIA</t>
        </is>
      </c>
      <c r="U3826" s="8" t="n">
        <v>7.58</v>
      </c>
      <c r="V3826" s="14">
        <f>U3826/J3826-1</f>
        <v/>
      </c>
      <c r="W3826" s="14">
        <f>U3826/H3826-1</f>
        <v/>
      </c>
      <c r="X3826" s="16" t="inlineStr">
        <is>
          <t>ACIMA +33.3%</t>
        </is>
      </c>
      <c r="Y3826" s="7" t="inlineStr"/>
    </row>
    <row r="3827">
      <c r="A3827" s="7" t="n">
        <v>612701</v>
      </c>
      <c r="B3827" s="12" t="inlineStr">
        <is>
          <t>7897161325034</t>
        </is>
      </c>
      <c r="C3827" s="7" t="inlineStr">
        <is>
          <t>SAB LIQ DELICADERM ESFOLIANTE CAMOMILA 06X180ML</t>
        </is>
      </c>
      <c r="D3827" s="7" t="inlineStr">
        <is>
          <t>PERF/COSME</t>
        </is>
      </c>
      <c r="E3827" s="7" t="inlineStr">
        <is>
          <t>C</t>
        </is>
      </c>
      <c r="F3827" s="13" t="n">
        <v>1</v>
      </c>
      <c r="G3827" s="13" t="n">
        <v>1</v>
      </c>
      <c r="H3827" s="8" t="n">
        <v>21.65</v>
      </c>
      <c r="I3827" s="8" t="n">
        <v>21.65</v>
      </c>
      <c r="J3827" s="8" t="n">
        <v>21.65</v>
      </c>
      <c r="K3827" s="8" t="n"/>
      <c r="L3827" s="8" t="n"/>
      <c r="M3827" s="8" t="n"/>
      <c r="N3827" s="8" t="n"/>
      <c r="O3827" s="8" t="n"/>
      <c r="P3827" s="8" t="n"/>
      <c r="Q3827" s="8" t="n"/>
      <c r="R3827" s="8" t="n"/>
      <c r="S3827" s="8" t="n"/>
      <c r="T3827" s="7" t="inlineStr">
        <is>
          <t>SEM COTAÇÃO</t>
        </is>
      </c>
      <c r="U3827" s="8" t="n"/>
      <c r="V3827" s="14" t="n"/>
      <c r="W3827" s="14" t="n"/>
      <c r="X3827" s="7" t="inlineStr"/>
      <c r="Y3827" s="7" t="inlineStr"/>
    </row>
    <row r="3828">
      <c r="A3828" s="7" t="n">
        <v>612721</v>
      </c>
      <c r="B3828" s="12" t="inlineStr">
        <is>
          <t>7897161325010</t>
        </is>
      </c>
      <c r="C3828" s="7" t="inlineStr">
        <is>
          <t>SAB LIQ DELICADERM ESFOLIANTE KIWI 180ML</t>
        </is>
      </c>
      <c r="D3828" s="7" t="inlineStr">
        <is>
          <t>SABONETES BARRAS/LIQUIDOS</t>
        </is>
      </c>
      <c r="E3828" s="7" t="inlineStr">
        <is>
          <t>C</t>
        </is>
      </c>
      <c r="F3828" s="13" t="n">
        <v>1</v>
      </c>
      <c r="G3828" s="13" t="n">
        <v>1</v>
      </c>
      <c r="H3828" s="8" t="n">
        <v>21.65</v>
      </c>
      <c r="I3828" s="8" t="n">
        <v>21.65</v>
      </c>
      <c r="J3828" s="8" t="n">
        <v>21.65</v>
      </c>
      <c r="K3828" s="8" t="n"/>
      <c r="L3828" s="8" t="n"/>
      <c r="M3828" s="8" t="n"/>
      <c r="N3828" s="8" t="n"/>
      <c r="O3828" s="8" t="n"/>
      <c r="P3828" s="8" t="n"/>
      <c r="Q3828" s="8" t="n"/>
      <c r="R3828" s="8" t="n"/>
      <c r="S3828" s="8" t="n"/>
      <c r="T3828" s="7" t="inlineStr">
        <is>
          <t>SEM COTAÇÃO</t>
        </is>
      </c>
      <c r="U3828" s="8" t="n"/>
      <c r="V3828" s="14" t="n"/>
      <c r="W3828" s="14" t="n"/>
      <c r="X3828" s="7" t="inlineStr"/>
      <c r="Y3828" s="7" t="inlineStr"/>
    </row>
    <row r="3829">
      <c r="A3829" s="7" t="n">
        <v>625951</v>
      </c>
      <c r="B3829" s="12" t="inlineStr">
        <is>
          <t>7897161325027</t>
        </is>
      </c>
      <c r="C3829" s="7" t="inlineStr">
        <is>
          <t>SAB LIQ DELICADERM ESFOLIANTE MARACUJA 180ML</t>
        </is>
      </c>
      <c r="D3829" s="7" t="inlineStr">
        <is>
          <t>PERF/COSME</t>
        </is>
      </c>
      <c r="E3829" s="7" t="inlineStr">
        <is>
          <t>B</t>
        </is>
      </c>
      <c r="F3829" s="13" t="n">
        <v>3</v>
      </c>
      <c r="G3829" s="13" t="n">
        <v>3</v>
      </c>
      <c r="H3829" s="8" t="n">
        <v>21.65</v>
      </c>
      <c r="I3829" s="8" t="n">
        <v>21.65</v>
      </c>
      <c r="J3829" s="8" t="n">
        <v>21.65</v>
      </c>
      <c r="K3829" s="8" t="n"/>
      <c r="L3829" s="8" t="n"/>
      <c r="M3829" s="8" t="n"/>
      <c r="N3829" s="8" t="n"/>
      <c r="O3829" s="8" t="n"/>
      <c r="P3829" s="8" t="n"/>
      <c r="Q3829" s="8" t="n"/>
      <c r="R3829" s="8" t="n"/>
      <c r="S3829" s="8" t="n"/>
      <c r="T3829" s="7" t="inlineStr">
        <is>
          <t>SEM COTAÇÃO</t>
        </is>
      </c>
      <c r="U3829" s="8" t="n"/>
      <c r="V3829" s="14" t="n"/>
      <c r="W3829" s="14" t="n"/>
      <c r="X3829" s="7" t="inlineStr"/>
      <c r="Y3829" s="7" t="inlineStr"/>
    </row>
    <row r="3830">
      <c r="A3830" s="7" t="n">
        <v>669171</v>
      </c>
      <c r="B3830" s="12" t="inlineStr">
        <is>
          <t>7891150098442</t>
        </is>
      </c>
      <c r="C3830" s="7" t="inlineStr">
        <is>
          <t>SAB LIQ DOVE OLEO DE BANHO 240ML</t>
        </is>
      </c>
      <c r="D3830" s="7" t="inlineStr">
        <is>
          <t>DERMOCOSMETICOS/COSMETICOS</t>
        </is>
      </c>
      <c r="E3830" s="7" t="inlineStr">
        <is>
          <t>A</t>
        </is>
      </c>
      <c r="F3830" s="13" t="n">
        <v>4</v>
      </c>
      <c r="G3830" s="13" t="n">
        <v>4</v>
      </c>
      <c r="H3830" s="8" t="n">
        <v>25.735</v>
      </c>
      <c r="I3830" s="8" t="n">
        <v>23.9367</v>
      </c>
      <c r="J3830" s="8" t="n">
        <v>25.13556666666667</v>
      </c>
      <c r="K3830" s="8" t="n"/>
      <c r="L3830" s="8" t="n"/>
      <c r="M3830" s="8" t="n"/>
      <c r="N3830" s="8" t="n"/>
      <c r="O3830" s="8" t="n"/>
      <c r="P3830" s="15" t="n">
        <v>26.05</v>
      </c>
      <c r="Q3830" s="8" t="n"/>
      <c r="R3830" s="8" t="n"/>
      <c r="S3830" s="8" t="n"/>
      <c r="T3830" s="7" t="inlineStr">
        <is>
          <t>NAZARIA</t>
        </is>
      </c>
      <c r="U3830" s="8" t="n">
        <v>26.05</v>
      </c>
      <c r="V3830" s="14">
        <f>U3830/J3830-1</f>
        <v/>
      </c>
      <c r="W3830" s="14">
        <f>U3830/H3830-1</f>
        <v/>
      </c>
      <c r="X3830" s="16" t="inlineStr">
        <is>
          <t>ACIMA +1.2%</t>
        </is>
      </c>
      <c r="Y3830" s="7" t="inlineStr"/>
    </row>
    <row r="3831">
      <c r="A3831" s="7" t="n">
        <v>614291</v>
      </c>
      <c r="B3831" s="12" t="inlineStr">
        <is>
          <t>7898610078525</t>
        </is>
      </c>
      <c r="C3831" s="7" t="inlineStr">
        <is>
          <t>SAB LIQ ESFOL CORPO DOUR KIWI 180ML</t>
        </is>
      </c>
      <c r="D3831" s="7" t="inlineStr">
        <is>
          <t>PERF/COSME</t>
        </is>
      </c>
      <c r="E3831" s="7" t="inlineStr">
        <is>
          <t>C</t>
        </is>
      </c>
      <c r="F3831" s="13" t="n">
        <v>1</v>
      </c>
      <c r="G3831" s="13" t="n">
        <v>1</v>
      </c>
      <c r="H3831" s="8" t="n">
        <v>16.01</v>
      </c>
      <c r="I3831" s="8" t="n">
        <v>16.01</v>
      </c>
      <c r="J3831" s="8" t="n">
        <v>16.01</v>
      </c>
      <c r="K3831" s="8" t="n"/>
      <c r="L3831" s="8" t="n"/>
      <c r="M3831" s="8" t="n"/>
      <c r="N3831" s="8" t="n"/>
      <c r="O3831" s="8" t="n"/>
      <c r="P3831" s="8" t="n"/>
      <c r="Q3831" s="8" t="n"/>
      <c r="R3831" s="8" t="n"/>
      <c r="S3831" s="8" t="n"/>
      <c r="T3831" s="7" t="inlineStr">
        <is>
          <t>SEM COTAÇÃO</t>
        </is>
      </c>
      <c r="U3831" s="8" t="n"/>
      <c r="V3831" s="14" t="n"/>
      <c r="W3831" s="14" t="n"/>
      <c r="X3831" s="7" t="inlineStr"/>
      <c r="Y3831" s="7" t="inlineStr"/>
    </row>
    <row r="3832">
      <c r="A3832" s="7" t="n">
        <v>617521</v>
      </c>
      <c r="B3832" s="12" t="inlineStr">
        <is>
          <t>7896512959843</t>
        </is>
      </c>
      <c r="C3832" s="7" t="inlineStr">
        <is>
          <t>SAB LIQ GRANADO 250ML REF CALENDULA</t>
        </is>
      </c>
      <c r="D3832" s="7" t="inlineStr">
        <is>
          <t>BABY/KIDS</t>
        </is>
      </c>
      <c r="E3832" s="7" t="inlineStr">
        <is>
          <t>B</t>
        </is>
      </c>
      <c r="F3832" s="13" t="n">
        <v>3</v>
      </c>
      <c r="G3832" s="13" t="n">
        <v>3</v>
      </c>
      <c r="H3832" s="8" t="n">
        <v>12.5767</v>
      </c>
      <c r="I3832" s="8" t="n">
        <v>12.5767</v>
      </c>
      <c r="J3832" s="8" t="n">
        <v>12.5767</v>
      </c>
      <c r="K3832" s="8" t="n"/>
      <c r="L3832" s="8" t="n"/>
      <c r="M3832" s="15" t="n">
        <v>11.64</v>
      </c>
      <c r="N3832" s="8" t="n"/>
      <c r="O3832" s="8" t="n"/>
      <c r="P3832" s="8" t="n">
        <v>16.9</v>
      </c>
      <c r="Q3832" s="8" t="n"/>
      <c r="R3832" s="8" t="n"/>
      <c r="S3832" s="8" t="n"/>
      <c r="T3832" s="7" t="inlineStr">
        <is>
          <t>EPAN</t>
        </is>
      </c>
      <c r="U3832" s="8" t="n">
        <v>11.64</v>
      </c>
      <c r="V3832" s="14">
        <f>U3832/J3832-1</f>
        <v/>
      </c>
      <c r="W3832" s="14">
        <f>U3832/H3832-1</f>
        <v/>
      </c>
      <c r="X3832" s="17" t="inlineStr">
        <is>
          <t>OK (≤ menor hist.)</t>
        </is>
      </c>
      <c r="Y3832" s="7" t="inlineStr"/>
    </row>
    <row r="3833">
      <c r="A3833" s="7" t="n">
        <v>548461</v>
      </c>
      <c r="B3833" s="12" t="inlineStr"/>
      <c r="C3833" s="7" t="inlineStr">
        <is>
          <t>SAB LIQ GRANADO ERVA DOCA REFIL 250ML</t>
        </is>
      </c>
      <c r="D3833" s="7" t="inlineStr">
        <is>
          <t>PERF/COSME</t>
        </is>
      </c>
      <c r="E3833" s="7" t="inlineStr">
        <is>
          <t>A</t>
        </is>
      </c>
      <c r="F3833" s="13" t="n">
        <v>6</v>
      </c>
      <c r="G3833" s="13" t="n">
        <v>6</v>
      </c>
      <c r="H3833" s="8" t="n">
        <v>14.1958</v>
      </c>
      <c r="I3833" s="8" t="n">
        <v>14.1958</v>
      </c>
      <c r="J3833" s="8" t="n">
        <v>14.1958</v>
      </c>
      <c r="K3833" s="8" t="n"/>
      <c r="L3833" s="8" t="n"/>
      <c r="M3833" s="8" t="n"/>
      <c r="N3833" s="8" t="n"/>
      <c r="O3833" s="8" t="n"/>
      <c r="P3833" s="8" t="n"/>
      <c r="Q3833" s="8" t="n"/>
      <c r="R3833" s="8" t="n"/>
      <c r="S3833" s="8" t="n"/>
      <c r="T3833" s="7" t="inlineStr">
        <is>
          <t>SEM COTAÇÃO</t>
        </is>
      </c>
      <c r="U3833" s="8" t="n"/>
      <c r="V3833" s="14" t="n"/>
      <c r="W3833" s="14" t="n"/>
      <c r="X3833" s="7" t="inlineStr"/>
      <c r="Y3833" s="7" t="inlineStr"/>
    </row>
    <row r="3834">
      <c r="A3834" s="7" t="n">
        <v>567921</v>
      </c>
      <c r="B3834" s="12" t="inlineStr">
        <is>
          <t>7896512922472</t>
        </is>
      </c>
      <c r="C3834" s="7" t="inlineStr">
        <is>
          <t>SAB LIQ GRANADO LAVANDA REFIL 250ML</t>
        </is>
      </c>
      <c r="D3834" s="7" t="inlineStr">
        <is>
          <t>PERF/COSME</t>
        </is>
      </c>
      <c r="E3834" s="7" t="inlineStr">
        <is>
          <t>A</t>
        </is>
      </c>
      <c r="F3834" s="13" t="n">
        <v>6</v>
      </c>
      <c r="G3834" s="13" t="n">
        <v>6</v>
      </c>
      <c r="H3834" s="8" t="n">
        <v>15.72</v>
      </c>
      <c r="I3834" s="8" t="n">
        <v>14.1958</v>
      </c>
      <c r="J3834" s="8" t="n">
        <v>14.1958</v>
      </c>
      <c r="K3834" s="8" t="n"/>
      <c r="L3834" s="8" t="n"/>
      <c r="M3834" s="8" t="n"/>
      <c r="N3834" s="8" t="n"/>
      <c r="O3834" s="8" t="n"/>
      <c r="P3834" s="15" t="n">
        <v>16.9</v>
      </c>
      <c r="Q3834" s="8" t="n"/>
      <c r="R3834" s="8" t="n"/>
      <c r="S3834" s="8" t="n"/>
      <c r="T3834" s="7" t="inlineStr">
        <is>
          <t>NAZARIA</t>
        </is>
      </c>
      <c r="U3834" s="8" t="n">
        <v>16.9</v>
      </c>
      <c r="V3834" s="14">
        <f>U3834/J3834-1</f>
        <v/>
      </c>
      <c r="W3834" s="14">
        <f>U3834/H3834-1</f>
        <v/>
      </c>
      <c r="X3834" s="16" t="inlineStr">
        <is>
          <t>ACIMA +7.5%</t>
        </is>
      </c>
      <c r="Y3834" s="7" t="inlineStr"/>
    </row>
    <row r="3835">
      <c r="A3835" s="7" t="n">
        <v>659351</v>
      </c>
      <c r="B3835" s="12" t="inlineStr">
        <is>
          <t>7896227690871</t>
        </is>
      </c>
      <c r="C3835" s="7" t="inlineStr">
        <is>
          <t>SAB LIQ INT COTTONBABY LADY 200ML NEUTRO</t>
        </is>
      </c>
      <c r="D3835" s="7" t="inlineStr">
        <is>
          <t>SABONETES BARRAS/LIQUIDOS</t>
        </is>
      </c>
      <c r="E3835" s="7" t="inlineStr">
        <is>
          <t>C</t>
        </is>
      </c>
      <c r="F3835" s="13" t="n">
        <v>5</v>
      </c>
      <c r="G3835" s="13" t="n">
        <v>5</v>
      </c>
      <c r="H3835" s="8" t="n">
        <v>12.04</v>
      </c>
      <c r="I3835" s="8" t="n">
        <v>12.04</v>
      </c>
      <c r="J3835" s="8" t="n">
        <v>12.04</v>
      </c>
      <c r="K3835" s="8" t="n"/>
      <c r="L3835" s="8" t="n"/>
      <c r="M3835" s="8" t="n"/>
      <c r="N3835" s="8" t="n"/>
      <c r="O3835" s="8" t="n"/>
      <c r="P3835" s="8" t="n"/>
      <c r="Q3835" s="8" t="n"/>
      <c r="R3835" s="8" t="n"/>
      <c r="S3835" s="8" t="n"/>
      <c r="T3835" s="7" t="inlineStr">
        <is>
          <t>SEM COTAÇÃO</t>
        </is>
      </c>
      <c r="U3835" s="8" t="n"/>
      <c r="V3835" s="14" t="n"/>
      <c r="W3835" s="14" t="n"/>
      <c r="X3835" s="7" t="inlineStr"/>
      <c r="Y3835" s="7" t="inlineStr"/>
    </row>
    <row r="3836">
      <c r="A3836" s="7" t="n">
        <v>668531</v>
      </c>
      <c r="B3836" s="12" t="inlineStr">
        <is>
          <t>7891150095311</t>
        </is>
      </c>
      <c r="C3836" s="7" t="inlineStr">
        <is>
          <t>SAB LIQ LUX GARD E OLEO DE AMEND 250ML</t>
        </is>
      </c>
      <c r="D3836" s="7" t="inlineStr">
        <is>
          <t>SABONETES BARRAS/LIQUIDOS</t>
        </is>
      </c>
      <c r="E3836" s="7" t="inlineStr">
        <is>
          <t>C</t>
        </is>
      </c>
      <c r="F3836" s="13" t="n">
        <v>1</v>
      </c>
      <c r="G3836" s="13" t="n">
        <v>1</v>
      </c>
      <c r="H3836" s="8" t="n">
        <v>5.98</v>
      </c>
      <c r="I3836" s="8" t="n">
        <v>5.98</v>
      </c>
      <c r="J3836" s="8" t="n">
        <v>5.98</v>
      </c>
      <c r="K3836" s="8" t="n"/>
      <c r="L3836" s="8" t="n"/>
      <c r="M3836" s="8" t="n"/>
      <c r="N3836" s="8" t="n"/>
      <c r="O3836" s="8" t="n"/>
      <c r="P3836" s="15" t="n">
        <v>8.58</v>
      </c>
      <c r="Q3836" s="8" t="n"/>
      <c r="R3836" s="8" t="n"/>
      <c r="S3836" s="8" t="n"/>
      <c r="T3836" s="7" t="inlineStr">
        <is>
          <t>NAZARIA</t>
        </is>
      </c>
      <c r="U3836" s="8" t="n">
        <v>8.58</v>
      </c>
      <c r="V3836" s="14">
        <f>U3836/J3836-1</f>
        <v/>
      </c>
      <c r="W3836" s="14">
        <f>U3836/H3836-1</f>
        <v/>
      </c>
      <c r="X3836" s="16" t="inlineStr">
        <is>
          <t>ACIMA +43.5%</t>
        </is>
      </c>
      <c r="Y3836" s="7" t="inlineStr"/>
    </row>
    <row r="3837">
      <c r="A3837" s="7" t="n">
        <v>609901</v>
      </c>
      <c r="B3837" s="12" t="inlineStr">
        <is>
          <t>7896235353997</t>
        </is>
      </c>
      <c r="C3837" s="7" t="inlineStr">
        <is>
          <t>SAB LIQ MONANGE 240ML EXTRATO OLIVA</t>
        </is>
      </c>
      <c r="D3837" s="7" t="inlineStr">
        <is>
          <t>PERF/COSME</t>
        </is>
      </c>
      <c r="E3837" s="7" t="inlineStr">
        <is>
          <t>C</t>
        </is>
      </c>
      <c r="F3837" s="13" t="n">
        <v>1</v>
      </c>
      <c r="G3837" s="13" t="n">
        <v>1</v>
      </c>
      <c r="H3837" s="8" t="n">
        <v>9.42</v>
      </c>
      <c r="I3837" s="8" t="n">
        <v>9.42</v>
      </c>
      <c r="J3837" s="8" t="n">
        <v>9.42</v>
      </c>
      <c r="K3837" s="8" t="n"/>
      <c r="L3837" s="8" t="n"/>
      <c r="M3837" s="8" t="n"/>
      <c r="N3837" s="8" t="n"/>
      <c r="O3837" s="8" t="n"/>
      <c r="P3837" s="8" t="n"/>
      <c r="Q3837" s="8" t="n"/>
      <c r="R3837" s="8" t="n"/>
      <c r="S3837" s="8" t="n"/>
      <c r="T3837" s="7" t="inlineStr">
        <is>
          <t>SEM COTAÇÃO</t>
        </is>
      </c>
      <c r="U3837" s="8" t="n"/>
      <c r="V3837" s="14" t="n"/>
      <c r="W3837" s="14" t="n"/>
      <c r="X3837" s="7" t="inlineStr"/>
      <c r="Y3837" s="7" t="inlineStr"/>
    </row>
    <row r="3838">
      <c r="A3838" s="7" t="n">
        <v>638521</v>
      </c>
      <c r="B3838" s="12" t="inlineStr">
        <is>
          <t>7896235353973</t>
        </is>
      </c>
      <c r="C3838" s="7" t="inlineStr">
        <is>
          <t>SAB LIQ MONANGE 240ML FLOR LAVANDA</t>
        </is>
      </c>
      <c r="D3838" s="7" t="inlineStr">
        <is>
          <t>PERF/COSME</t>
        </is>
      </c>
      <c r="E3838" s="7" t="inlineStr">
        <is>
          <t>C</t>
        </is>
      </c>
      <c r="F3838" s="13" t="n">
        <v>1</v>
      </c>
      <c r="G3838" s="13" t="n">
        <v>1</v>
      </c>
      <c r="H3838" s="8" t="n">
        <v>9.42</v>
      </c>
      <c r="I3838" s="8" t="n">
        <v>9.42</v>
      </c>
      <c r="J3838" s="8" t="n">
        <v>9.42</v>
      </c>
      <c r="K3838" s="8" t="n"/>
      <c r="L3838" s="8" t="n"/>
      <c r="M3838" s="8" t="n"/>
      <c r="N3838" s="8" t="n"/>
      <c r="O3838" s="8" t="n"/>
      <c r="P3838" s="8" t="n"/>
      <c r="Q3838" s="8" t="n"/>
      <c r="R3838" s="8" t="n"/>
      <c r="S3838" s="8" t="n"/>
      <c r="T3838" s="7" t="inlineStr">
        <is>
          <t>SEM COTAÇÃO</t>
        </is>
      </c>
      <c r="U3838" s="8" t="n"/>
      <c r="V3838" s="14" t="n"/>
      <c r="W3838" s="14" t="n"/>
      <c r="X3838" s="7" t="inlineStr"/>
      <c r="Y3838" s="7" t="inlineStr"/>
    </row>
    <row r="3839">
      <c r="A3839" s="7" t="n">
        <v>638501</v>
      </c>
      <c r="B3839" s="12" t="inlineStr">
        <is>
          <t>7896235353980</t>
        </is>
      </c>
      <c r="C3839" s="7" t="inlineStr">
        <is>
          <t>SAB LIQ MONANGE 240ML FRUTAS VERMELHAS</t>
        </is>
      </c>
      <c r="D3839" s="7" t="inlineStr">
        <is>
          <t>PERF/COSME</t>
        </is>
      </c>
      <c r="E3839" s="7" t="inlineStr">
        <is>
          <t>C</t>
        </is>
      </c>
      <c r="F3839" s="13" t="n">
        <v>1</v>
      </c>
      <c r="G3839" s="13" t="n">
        <v>1</v>
      </c>
      <c r="H3839" s="8" t="n">
        <v>9.42</v>
      </c>
      <c r="I3839" s="8" t="n">
        <v>9.42</v>
      </c>
      <c r="J3839" s="8" t="n">
        <v>9.42</v>
      </c>
      <c r="K3839" s="8" t="n"/>
      <c r="L3839" s="8" t="n"/>
      <c r="M3839" s="8" t="n"/>
      <c r="N3839" s="8" t="n"/>
      <c r="O3839" s="8" t="n"/>
      <c r="P3839" s="8" t="n"/>
      <c r="Q3839" s="8" t="n"/>
      <c r="R3839" s="8" t="n"/>
      <c r="S3839" s="8" t="n"/>
      <c r="T3839" s="7" t="inlineStr">
        <is>
          <t>SEM COTAÇÃO</t>
        </is>
      </c>
      <c r="U3839" s="8" t="n"/>
      <c r="V3839" s="14" t="n"/>
      <c r="W3839" s="14" t="n"/>
      <c r="X3839" s="7" t="inlineStr"/>
      <c r="Y3839" s="7" t="inlineStr"/>
    </row>
    <row r="3840">
      <c r="A3840" s="7" t="n">
        <v>567041</v>
      </c>
      <c r="B3840" s="12" t="inlineStr">
        <is>
          <t>4005900734075</t>
        </is>
      </c>
      <c r="C3840" s="7" t="inlineStr">
        <is>
          <t>SAB LIQ NIVEA REFIL ERVA DOCE 200ML  NIVE %DN:0.00</t>
        </is>
      </c>
      <c r="D3840" s="7" t="inlineStr">
        <is>
          <t>PERF/COSME</t>
        </is>
      </c>
      <c r="E3840" s="7" t="inlineStr">
        <is>
          <t>C</t>
        </is>
      </c>
      <c r="F3840" s="13" t="n">
        <v>2</v>
      </c>
      <c r="G3840" s="13" t="n">
        <v>2</v>
      </c>
      <c r="H3840" s="8" t="n">
        <v>7.08</v>
      </c>
      <c r="I3840" s="8" t="n">
        <v>7.08</v>
      </c>
      <c r="J3840" s="8" t="n">
        <v>7.080000000000001</v>
      </c>
      <c r="K3840" s="8" t="n"/>
      <c r="L3840" s="8" t="n"/>
      <c r="M3840" s="8" t="n"/>
      <c r="N3840" s="8" t="n"/>
      <c r="O3840" s="8" t="n"/>
      <c r="P3840" s="8" t="n"/>
      <c r="Q3840" s="8" t="n"/>
      <c r="R3840" s="8" t="n"/>
      <c r="S3840" s="8" t="n"/>
      <c r="T3840" s="7" t="inlineStr">
        <is>
          <t>SEM COTAÇÃO</t>
        </is>
      </c>
      <c r="U3840" s="8" t="n"/>
      <c r="V3840" s="14" t="n"/>
      <c r="W3840" s="14" t="n"/>
      <c r="X3840" s="7" t="inlineStr"/>
      <c r="Y3840" s="7" t="inlineStr"/>
    </row>
    <row r="3841">
      <c r="A3841" s="7" t="n">
        <v>537401</v>
      </c>
      <c r="B3841" s="12" t="inlineStr">
        <is>
          <t>7891150060210</t>
        </is>
      </c>
      <c r="C3841" s="7" t="inlineStr">
        <is>
          <t>SAB LIQ ORQUIDEA NEGRA LUX 200ML REFIL</t>
        </is>
      </c>
      <c r="D3841" s="7" t="inlineStr">
        <is>
          <t>PERF/COSME</t>
        </is>
      </c>
      <c r="E3841" s="7" t="inlineStr">
        <is>
          <t>C</t>
        </is>
      </c>
      <c r="F3841" s="13" t="n">
        <v>5</v>
      </c>
      <c r="G3841" s="13" t="n">
        <v>5</v>
      </c>
      <c r="H3841" s="8" t="n">
        <v>5.94</v>
      </c>
      <c r="I3841" s="8" t="n">
        <v>5.4517</v>
      </c>
      <c r="J3841" s="8" t="n">
        <v>5.777233333333334</v>
      </c>
      <c r="K3841" s="8" t="n"/>
      <c r="L3841" s="8" t="n"/>
      <c r="M3841" s="8" t="n"/>
      <c r="N3841" s="8" t="n"/>
      <c r="O3841" s="8" t="n"/>
      <c r="P3841" s="15" t="n">
        <v>6.4</v>
      </c>
      <c r="Q3841" s="8" t="n"/>
      <c r="R3841" s="8" t="n"/>
      <c r="S3841" s="8" t="n"/>
      <c r="T3841" s="7" t="inlineStr">
        <is>
          <t>NAZARIA</t>
        </is>
      </c>
      <c r="U3841" s="8" t="n">
        <v>6.4</v>
      </c>
      <c r="V3841" s="14">
        <f>U3841/J3841-1</f>
        <v/>
      </c>
      <c r="W3841" s="14">
        <f>U3841/H3841-1</f>
        <v/>
      </c>
      <c r="X3841" s="16" t="inlineStr">
        <is>
          <t>ACIMA +7.7%</t>
        </is>
      </c>
      <c r="Y3841" s="7" t="inlineStr"/>
    </row>
    <row r="3842">
      <c r="A3842" s="7" t="n">
        <v>669511</v>
      </c>
      <c r="B3842" s="12" t="inlineStr">
        <is>
          <t>7891024039595</t>
        </is>
      </c>
      <c r="C3842" s="7" t="inlineStr">
        <is>
          <t>SAB LIQ PALM JASMIM REF 500ML</t>
        </is>
      </c>
      <c r="D3842" s="7" t="inlineStr">
        <is>
          <t>PERF/COSME</t>
        </is>
      </c>
      <c r="E3842" s="7" t="inlineStr">
        <is>
          <t>C</t>
        </is>
      </c>
      <c r="F3842" s="13" t="n">
        <v>1</v>
      </c>
      <c r="G3842" s="13" t="n">
        <v>1</v>
      </c>
      <c r="H3842" s="8" t="n">
        <v>9.49</v>
      </c>
      <c r="I3842" s="8" t="n">
        <v>9.49</v>
      </c>
      <c r="J3842" s="8" t="n">
        <v>9.49</v>
      </c>
      <c r="K3842" s="8" t="n"/>
      <c r="L3842" s="8" t="n"/>
      <c r="M3842" s="8" t="n"/>
      <c r="N3842" s="8" t="n"/>
      <c r="O3842" s="8" t="n"/>
      <c r="P3842" s="8" t="n"/>
      <c r="Q3842" s="8" t="n"/>
      <c r="R3842" s="8" t="n"/>
      <c r="S3842" s="8" t="n"/>
      <c r="T3842" s="7" t="inlineStr">
        <is>
          <t>SEM COTAÇÃO</t>
        </is>
      </c>
      <c r="U3842" s="8" t="n"/>
      <c r="V3842" s="14" t="n"/>
      <c r="W3842" s="14" t="n"/>
      <c r="X3842" s="7" t="inlineStr"/>
      <c r="Y3842" s="7" t="inlineStr"/>
    </row>
    <row r="3843">
      <c r="A3843" s="7" t="n">
        <v>590501</v>
      </c>
      <c r="B3843" s="12" t="inlineStr">
        <is>
          <t>7891024035696</t>
        </is>
      </c>
      <c r="C3843" s="7" t="inlineStr">
        <is>
          <t>SAB LIQ PALM NAT ESF DELICADA 200ML</t>
        </is>
      </c>
      <c r="D3843" s="7" t="inlineStr">
        <is>
          <t>PERF/COSME</t>
        </is>
      </c>
      <c r="E3843" s="7" t="inlineStr">
        <is>
          <t>C</t>
        </is>
      </c>
      <c r="F3843" s="13" t="n">
        <v>1</v>
      </c>
      <c r="G3843" s="13" t="n">
        <v>1</v>
      </c>
      <c r="H3843" s="8" t="n">
        <v>5.1508</v>
      </c>
      <c r="I3843" s="8" t="n">
        <v>5.1508</v>
      </c>
      <c r="J3843" s="8" t="n">
        <v>5.1508</v>
      </c>
      <c r="K3843" s="8" t="n"/>
      <c r="L3843" s="8" t="n"/>
      <c r="M3843" s="8" t="n"/>
      <c r="N3843" s="8" t="n"/>
      <c r="O3843" s="8" t="n"/>
      <c r="P3843" s="8" t="n"/>
      <c r="Q3843" s="8" t="n"/>
      <c r="R3843" s="8" t="n"/>
      <c r="S3843" s="8" t="n"/>
      <c r="T3843" s="7" t="inlineStr">
        <is>
          <t>SEM COTAÇÃO</t>
        </is>
      </c>
      <c r="U3843" s="8" t="n"/>
      <c r="V3843" s="14" t="n"/>
      <c r="W3843" s="14" t="n"/>
      <c r="X3843" s="7" t="inlineStr"/>
      <c r="Y3843" s="7" t="inlineStr"/>
    </row>
    <row r="3844">
      <c r="A3844" s="7" t="n">
        <v>597881</v>
      </c>
      <c r="B3844" s="12" t="inlineStr">
        <is>
          <t>7891024032886</t>
        </is>
      </c>
      <c r="C3844" s="7" t="inlineStr">
        <is>
          <t>SAB LIQ PALM NAT OLEO NUTRI REF 200ML</t>
        </is>
      </c>
      <c r="D3844" s="7" t="inlineStr">
        <is>
          <t>PERF/COSME</t>
        </is>
      </c>
      <c r="E3844" s="7" t="inlineStr">
        <is>
          <t>C</t>
        </is>
      </c>
      <c r="F3844" s="13" t="n">
        <v>1</v>
      </c>
      <c r="G3844" s="13" t="n">
        <v>1</v>
      </c>
      <c r="H3844" s="8" t="n">
        <v>5.1508</v>
      </c>
      <c r="I3844" s="8" t="n">
        <v>5.1508</v>
      </c>
      <c r="J3844" s="8" t="n">
        <v>5.1508</v>
      </c>
      <c r="K3844" s="8" t="n"/>
      <c r="L3844" s="8" t="n"/>
      <c r="M3844" s="8" t="n"/>
      <c r="N3844" s="8" t="n"/>
      <c r="O3844" s="8" t="n"/>
      <c r="P3844" s="8" t="n"/>
      <c r="Q3844" s="8" t="n"/>
      <c r="R3844" s="8" t="n"/>
      <c r="S3844" s="8" t="n"/>
      <c r="T3844" s="7" t="inlineStr">
        <is>
          <t>SEM COTAÇÃO</t>
        </is>
      </c>
      <c r="U3844" s="8" t="n"/>
      <c r="V3844" s="14" t="n"/>
      <c r="W3844" s="14" t="n"/>
      <c r="X3844" s="7" t="inlineStr"/>
      <c r="Y3844" s="7" t="inlineStr"/>
    </row>
    <row r="3845">
      <c r="A3845" s="7" t="n">
        <v>613911</v>
      </c>
      <c r="B3845" s="12" t="inlineStr">
        <is>
          <t>7891024029831</t>
        </is>
      </c>
      <c r="C3845" s="7" t="inlineStr">
        <is>
          <t>SAB LIQ PALM NAT OLEO NUTRITIVO 250ML</t>
        </is>
      </c>
      <c r="D3845" s="7" t="inlineStr">
        <is>
          <t>PERF/COSME</t>
        </is>
      </c>
      <c r="E3845" s="7" t="inlineStr">
        <is>
          <t>B</t>
        </is>
      </c>
      <c r="F3845" s="13" t="n">
        <v>6</v>
      </c>
      <c r="G3845" s="13" t="n">
        <v>6</v>
      </c>
      <c r="H3845" s="8" t="n">
        <v>5.5567</v>
      </c>
      <c r="I3845" s="8" t="n">
        <v>5.5567</v>
      </c>
      <c r="J3845" s="8" t="n">
        <v>5.5567</v>
      </c>
      <c r="K3845" s="8" t="n"/>
      <c r="L3845" s="8" t="n"/>
      <c r="M3845" s="8" t="n"/>
      <c r="N3845" s="8" t="n"/>
      <c r="O3845" s="8" t="n"/>
      <c r="P3845" s="15" t="n">
        <v>7.58</v>
      </c>
      <c r="Q3845" s="8" t="n"/>
      <c r="R3845" s="8" t="n"/>
      <c r="S3845" s="8" t="n"/>
      <c r="T3845" s="7" t="inlineStr">
        <is>
          <t>NAZARIA</t>
        </is>
      </c>
      <c r="U3845" s="8" t="n">
        <v>7.58</v>
      </c>
      <c r="V3845" s="14">
        <f>U3845/J3845-1</f>
        <v/>
      </c>
      <c r="W3845" s="14">
        <f>U3845/H3845-1</f>
        <v/>
      </c>
      <c r="X3845" s="16" t="inlineStr">
        <is>
          <t>ACIMA +36.4%</t>
        </is>
      </c>
      <c r="Y3845" s="7" t="inlineStr"/>
    </row>
    <row r="3846">
      <c r="A3846" s="7" t="n">
        <v>598501</v>
      </c>
      <c r="B3846" s="12" t="inlineStr">
        <is>
          <t>7509546665818</t>
        </is>
      </c>
      <c r="C3846" s="7" t="inlineStr">
        <is>
          <t>SAB LIQ POLM LUMINOUS OILS 250ML</t>
        </is>
      </c>
      <c r="D3846" s="7" t="inlineStr">
        <is>
          <t>PERF/COSME</t>
        </is>
      </c>
      <c r="E3846" s="7" t="inlineStr">
        <is>
          <t>A</t>
        </is>
      </c>
      <c r="F3846" s="13" t="n">
        <v>5</v>
      </c>
      <c r="G3846" s="13" t="n">
        <v>5</v>
      </c>
      <c r="H3846" s="8" t="n">
        <v>8.68</v>
      </c>
      <c r="I3846" s="8" t="n">
        <v>7.42</v>
      </c>
      <c r="J3846" s="8" t="n">
        <v>8.26</v>
      </c>
      <c r="K3846" s="8" t="n"/>
      <c r="L3846" s="8" t="n"/>
      <c r="M3846" s="8" t="n"/>
      <c r="N3846" s="8" t="n"/>
      <c r="O3846" s="8" t="n"/>
      <c r="P3846" s="15" t="n">
        <v>11.82</v>
      </c>
      <c r="Q3846" s="8" t="n"/>
      <c r="R3846" s="8" t="n"/>
      <c r="S3846" s="8" t="n"/>
      <c r="T3846" s="7" t="inlineStr">
        <is>
          <t>NAZARIA</t>
        </is>
      </c>
      <c r="U3846" s="8" t="n">
        <v>11.82</v>
      </c>
      <c r="V3846" s="14">
        <f>U3846/J3846-1</f>
        <v/>
      </c>
      <c r="W3846" s="14">
        <f>U3846/H3846-1</f>
        <v/>
      </c>
      <c r="X3846" s="16" t="inlineStr">
        <is>
          <t>ACIMA +36.2%</t>
        </is>
      </c>
      <c r="Y3846" s="7" t="inlineStr"/>
    </row>
    <row r="3847">
      <c r="A3847" s="7" t="n">
        <v>571261</v>
      </c>
      <c r="B3847" s="12" t="inlineStr">
        <is>
          <t>7891024027257</t>
        </is>
      </c>
      <c r="C3847" s="7" t="inlineStr">
        <is>
          <t>SAB LIQ PROTEX 200ML REF VIT E</t>
        </is>
      </c>
      <c r="D3847" s="7" t="inlineStr">
        <is>
          <t>PERF/COSME</t>
        </is>
      </c>
      <c r="E3847" s="7" t="inlineStr">
        <is>
          <t>B</t>
        </is>
      </c>
      <c r="F3847" s="13" t="n">
        <v>2</v>
      </c>
      <c r="G3847" s="13" t="n">
        <v>2</v>
      </c>
      <c r="H3847" s="8" t="n">
        <v>7.59</v>
      </c>
      <c r="I3847" s="8" t="n">
        <v>7.31</v>
      </c>
      <c r="J3847" s="8" t="n">
        <v>7.496666666666666</v>
      </c>
      <c r="K3847" s="8" t="n"/>
      <c r="L3847" s="8" t="n"/>
      <c r="M3847" s="8" t="n"/>
      <c r="N3847" s="8" t="n"/>
      <c r="O3847" s="8" t="n"/>
      <c r="P3847" s="15" t="n">
        <v>7.75</v>
      </c>
      <c r="Q3847" s="8" t="n"/>
      <c r="R3847" s="8" t="n"/>
      <c r="S3847" s="8" t="n"/>
      <c r="T3847" s="7" t="inlineStr">
        <is>
          <t>NAZARIA</t>
        </is>
      </c>
      <c r="U3847" s="8" t="n">
        <v>7.75</v>
      </c>
      <c r="V3847" s="14">
        <f>U3847/J3847-1</f>
        <v/>
      </c>
      <c r="W3847" s="14">
        <f>U3847/H3847-1</f>
        <v/>
      </c>
      <c r="X3847" s="16" t="inlineStr">
        <is>
          <t>ACIMA +2.1%</t>
        </is>
      </c>
      <c r="Y3847" s="7" t="inlineStr"/>
    </row>
    <row r="3848">
      <c r="A3848" s="7" t="n">
        <v>571281</v>
      </c>
      <c r="B3848" s="12" t="inlineStr">
        <is>
          <t>7891024114865</t>
        </is>
      </c>
      <c r="C3848" s="7" t="inlineStr">
        <is>
          <t>SAB LIQ PROTEX 250ML VITAMI E</t>
        </is>
      </c>
      <c r="D3848" s="7" t="inlineStr">
        <is>
          <t>PERF/COSME</t>
        </is>
      </c>
      <c r="E3848" s="7" t="inlineStr">
        <is>
          <t>A</t>
        </is>
      </c>
      <c r="F3848" s="13" t="n">
        <v>6</v>
      </c>
      <c r="G3848" s="13" t="n">
        <v>6</v>
      </c>
      <c r="H3848" s="8" t="n">
        <v>7.6233</v>
      </c>
      <c r="I3848" s="8" t="n">
        <v>6.0325</v>
      </c>
      <c r="J3848" s="8" t="n">
        <v>6.0325</v>
      </c>
      <c r="K3848" s="8" t="n"/>
      <c r="L3848" s="8" t="n"/>
      <c r="M3848" s="8" t="n"/>
      <c r="N3848" s="8" t="n"/>
      <c r="O3848" s="8" t="n"/>
      <c r="P3848" s="15" t="n">
        <v>11.7</v>
      </c>
      <c r="Q3848" s="8" t="n"/>
      <c r="R3848" s="8" t="n"/>
      <c r="S3848" s="8" t="n"/>
      <c r="T3848" s="7" t="inlineStr">
        <is>
          <t>NAZARIA</t>
        </is>
      </c>
      <c r="U3848" s="8" t="n">
        <v>11.7</v>
      </c>
      <c r="V3848" s="14">
        <f>U3848/J3848-1</f>
        <v/>
      </c>
      <c r="W3848" s="14">
        <f>U3848/H3848-1</f>
        <v/>
      </c>
      <c r="X3848" s="16" t="inlineStr">
        <is>
          <t>ACIMA +53.5%</t>
        </is>
      </c>
      <c r="Y3848" s="7" t="inlineStr"/>
    </row>
    <row r="3849">
      <c r="A3849" s="7" t="n">
        <v>623931</v>
      </c>
      <c r="B3849" s="12" t="inlineStr">
        <is>
          <t>7509546665108</t>
        </is>
      </c>
      <c r="C3849" s="7" t="inlineStr">
        <is>
          <t>SAB LIQ PROTEX DUPL PUMP 400ML</t>
        </is>
      </c>
      <c r="D3849" s="7" t="inlineStr">
        <is>
          <t>PERF/COSME</t>
        </is>
      </c>
      <c r="E3849" s="7" t="inlineStr">
        <is>
          <t>C</t>
        </is>
      </c>
      <c r="F3849" s="13" t="n">
        <v>1</v>
      </c>
      <c r="G3849" s="13" t="n">
        <v>1</v>
      </c>
      <c r="H3849" s="8" t="n">
        <v>17.9</v>
      </c>
      <c r="I3849" s="8" t="n">
        <v>17.9</v>
      </c>
      <c r="J3849" s="8" t="n">
        <v>17.9</v>
      </c>
      <c r="K3849" s="8" t="n"/>
      <c r="L3849" s="8" t="n"/>
      <c r="M3849" s="8" t="n"/>
      <c r="N3849" s="8" t="n"/>
      <c r="O3849" s="8" t="n"/>
      <c r="P3849" s="8" t="n"/>
      <c r="Q3849" s="8" t="n"/>
      <c r="R3849" s="8" t="n"/>
      <c r="S3849" s="8" t="n"/>
      <c r="T3849" s="7" t="inlineStr">
        <is>
          <t>SEM COTAÇÃO</t>
        </is>
      </c>
      <c r="U3849" s="8" t="n"/>
      <c r="V3849" s="14" t="n"/>
      <c r="W3849" s="14" t="n"/>
      <c r="X3849" s="7" t="inlineStr"/>
      <c r="Y3849" s="7" t="inlineStr"/>
    </row>
    <row r="3850">
      <c r="A3850" s="7" t="n">
        <v>623951</v>
      </c>
      <c r="B3850" s="12" t="inlineStr">
        <is>
          <t>7891024033227</t>
        </is>
      </c>
      <c r="C3850" s="7" t="inlineStr">
        <is>
          <t>SAB LIQ PROTEX INTIMO CALM PROTECT 200ML   COLG %DN:2.00</t>
        </is>
      </c>
      <c r="D3850" s="7" t="inlineStr">
        <is>
          <t>PERF/COSME</t>
        </is>
      </c>
      <c r="E3850" s="7" t="inlineStr">
        <is>
          <t>C</t>
        </is>
      </c>
      <c r="F3850" s="13" t="n">
        <v>2</v>
      </c>
      <c r="G3850" s="13" t="n">
        <v>2</v>
      </c>
      <c r="H3850" s="8" t="n">
        <v>18.13</v>
      </c>
      <c r="I3850" s="8" t="n">
        <v>18.13</v>
      </c>
      <c r="J3850" s="8" t="n">
        <v>18.13</v>
      </c>
      <c r="K3850" s="8" t="n"/>
      <c r="L3850" s="8" t="n"/>
      <c r="M3850" s="8" t="n"/>
      <c r="N3850" s="8" t="n"/>
      <c r="O3850" s="8" t="n"/>
      <c r="P3850" s="15" t="n">
        <v>20.24</v>
      </c>
      <c r="Q3850" s="8" t="n"/>
      <c r="R3850" s="8" t="n"/>
      <c r="S3850" s="8" t="n"/>
      <c r="T3850" s="7" t="inlineStr">
        <is>
          <t>NAZARIA</t>
        </is>
      </c>
      <c r="U3850" s="8" t="n">
        <v>20.24</v>
      </c>
      <c r="V3850" s="14">
        <f>U3850/J3850-1</f>
        <v/>
      </c>
      <c r="W3850" s="14">
        <f>U3850/H3850-1</f>
        <v/>
      </c>
      <c r="X3850" s="16" t="inlineStr">
        <is>
          <t>ACIMA +11.6%</t>
        </is>
      </c>
      <c r="Y3850" s="7" t="inlineStr"/>
    </row>
    <row r="3851">
      <c r="A3851" s="7" t="n">
        <v>594741</v>
      </c>
      <c r="B3851" s="12" t="inlineStr">
        <is>
          <t>7891024036402</t>
        </is>
      </c>
      <c r="C3851" s="7" t="inlineStr">
        <is>
          <t>SAB LIQ PROTEX INTIMO DELICATE 40ML</t>
        </is>
      </c>
      <c r="D3851" s="7" t="inlineStr">
        <is>
          <t>PERF/COSME</t>
        </is>
      </c>
      <c r="E3851" s="7" t="inlineStr">
        <is>
          <t>C</t>
        </is>
      </c>
      <c r="F3851" s="13" t="n">
        <v>6</v>
      </c>
      <c r="G3851" s="13" t="n">
        <v>6</v>
      </c>
      <c r="H3851" s="8" t="n">
        <v>5.39</v>
      </c>
      <c r="I3851" s="8" t="n">
        <v>5.39</v>
      </c>
      <c r="J3851" s="8" t="n">
        <v>5.39</v>
      </c>
      <c r="K3851" s="8" t="n"/>
      <c r="L3851" s="8" t="n"/>
      <c r="M3851" s="8" t="n"/>
      <c r="N3851" s="8" t="n"/>
      <c r="O3851" s="8" t="n"/>
      <c r="P3851" s="8" t="n"/>
      <c r="Q3851" s="8" t="n"/>
      <c r="R3851" s="8" t="n"/>
      <c r="S3851" s="8" t="n"/>
      <c r="T3851" s="7" t="inlineStr">
        <is>
          <t>SEM COTAÇÃO</t>
        </is>
      </c>
      <c r="U3851" s="8" t="n"/>
      <c r="V3851" s="14" t="n"/>
      <c r="W3851" s="14" t="n"/>
      <c r="X3851" s="7" t="inlineStr"/>
      <c r="Y3851" s="7" t="inlineStr"/>
    </row>
    <row r="3852">
      <c r="A3852" s="7" t="n">
        <v>598511</v>
      </c>
      <c r="B3852" s="12" t="inlineStr">
        <is>
          <t>7891024037881</t>
        </is>
      </c>
      <c r="C3852" s="7" t="inlineStr">
        <is>
          <t>SAB LIQ PROTEX INTIMO FLORAL 200P150ML</t>
        </is>
      </c>
      <c r="D3852" s="7" t="inlineStr">
        <is>
          <t>PERF/COSME</t>
        </is>
      </c>
      <c r="E3852" s="7" t="inlineStr">
        <is>
          <t>C</t>
        </is>
      </c>
      <c r="F3852" s="13" t="n">
        <v>1</v>
      </c>
      <c r="G3852" s="13" t="n">
        <v>1</v>
      </c>
      <c r="H3852" s="8" t="n">
        <v>14.63</v>
      </c>
      <c r="I3852" s="8" t="n">
        <v>14.63</v>
      </c>
      <c r="J3852" s="8" t="n">
        <v>14.63</v>
      </c>
      <c r="K3852" s="8" t="n"/>
      <c r="L3852" s="8" t="n"/>
      <c r="M3852" s="8" t="n"/>
      <c r="N3852" s="8" t="n"/>
      <c r="O3852" s="8" t="n"/>
      <c r="P3852" s="8" t="n"/>
      <c r="Q3852" s="8" t="n"/>
      <c r="R3852" s="8" t="n"/>
      <c r="S3852" s="8" t="n"/>
      <c r="T3852" s="7" t="inlineStr">
        <is>
          <t>SEM COTAÇÃO</t>
        </is>
      </c>
      <c r="U3852" s="8" t="n"/>
      <c r="V3852" s="14" t="n"/>
      <c r="W3852" s="14" t="n"/>
      <c r="X3852" s="7" t="inlineStr"/>
      <c r="Y3852" s="7" t="inlineStr"/>
    </row>
    <row r="3853">
      <c r="A3853" s="7" t="n">
        <v>613921</v>
      </c>
      <c r="B3853" s="12" t="inlineStr">
        <is>
          <t>7509546668543</t>
        </is>
      </c>
      <c r="C3853" s="7" t="inlineStr">
        <is>
          <t>SAB LIQ PROTEX PRO HID 230ML</t>
        </is>
      </c>
      <c r="D3853" s="7" t="inlineStr">
        <is>
          <t>PERF/COSME</t>
        </is>
      </c>
      <c r="E3853" s="7" t="inlineStr">
        <is>
          <t>C</t>
        </is>
      </c>
      <c r="F3853" s="13" t="n">
        <v>1</v>
      </c>
      <c r="G3853" s="13" t="n">
        <v>1</v>
      </c>
      <c r="H3853" s="8" t="n">
        <v>13.34</v>
      </c>
      <c r="I3853" s="8" t="n">
        <v>13.34</v>
      </c>
      <c r="J3853" s="8" t="n">
        <v>13.34</v>
      </c>
      <c r="K3853" s="8" t="n"/>
      <c r="L3853" s="8" t="n"/>
      <c r="M3853" s="8" t="n"/>
      <c r="N3853" s="8" t="n"/>
      <c r="O3853" s="8" t="n"/>
      <c r="P3853" s="8" t="n"/>
      <c r="Q3853" s="8" t="n"/>
      <c r="R3853" s="8" t="n"/>
      <c r="S3853" s="8" t="n"/>
      <c r="T3853" s="7" t="inlineStr">
        <is>
          <t>SEM COTAÇÃO</t>
        </is>
      </c>
      <c r="U3853" s="8" t="n"/>
      <c r="V3853" s="14" t="n"/>
      <c r="W3853" s="14" t="n"/>
      <c r="X3853" s="7" t="inlineStr"/>
      <c r="Y3853" s="7" t="inlineStr"/>
    </row>
    <row r="3854">
      <c r="A3854" s="7" t="n">
        <v>623971</v>
      </c>
      <c r="B3854" s="12" t="inlineStr">
        <is>
          <t>7509546665986</t>
        </is>
      </c>
      <c r="C3854" s="7" t="inlineStr">
        <is>
          <t>SAB LIQ PROTEX PUM ERVA DOCE 400ML</t>
        </is>
      </c>
      <c r="D3854" s="7" t="inlineStr">
        <is>
          <t>PERF/COSME</t>
        </is>
      </c>
      <c r="E3854" s="7" t="inlineStr">
        <is>
          <t>C</t>
        </is>
      </c>
      <c r="F3854" s="13" t="n">
        <v>1</v>
      </c>
      <c r="G3854" s="13" t="n">
        <v>1</v>
      </c>
      <c r="H3854" s="8" t="n">
        <v>19.53</v>
      </c>
      <c r="I3854" s="8" t="n">
        <v>19.53</v>
      </c>
      <c r="J3854" s="8" t="n">
        <v>19.53</v>
      </c>
      <c r="K3854" s="8" t="n"/>
      <c r="L3854" s="8" t="n"/>
      <c r="M3854" s="8" t="n"/>
      <c r="N3854" s="8" t="n"/>
      <c r="O3854" s="8" t="n"/>
      <c r="P3854" s="15" t="n">
        <v>16.67</v>
      </c>
      <c r="Q3854" s="8" t="n"/>
      <c r="R3854" s="8" t="n"/>
      <c r="S3854" s="8" t="n"/>
      <c r="T3854" s="7" t="inlineStr">
        <is>
          <t>NAZARIA</t>
        </is>
      </c>
      <c r="U3854" s="8" t="n">
        <v>16.67</v>
      </c>
      <c r="V3854" s="14">
        <f>U3854/J3854-1</f>
        <v/>
      </c>
      <c r="W3854" s="14">
        <f>U3854/H3854-1</f>
        <v/>
      </c>
      <c r="X3854" s="17" t="inlineStr">
        <is>
          <t>OK (≤ menor hist.)</t>
        </is>
      </c>
      <c r="Y3854" s="7" t="inlineStr"/>
    </row>
    <row r="3855">
      <c r="A3855" s="7" t="n">
        <v>689301</v>
      </c>
      <c r="B3855" s="12" t="inlineStr">
        <is>
          <t>7891150083042</t>
        </is>
      </c>
      <c r="C3855" s="7" t="inlineStr">
        <is>
          <t>SAB LIQ REXONA ANTIBAC FRESH 250ML</t>
        </is>
      </c>
      <c r="D3855" s="7" t="inlineStr">
        <is>
          <t>SABONETES BARRAS/LIQUIDOS</t>
        </is>
      </c>
      <c r="E3855" s="7" t="inlineStr">
        <is>
          <t>B</t>
        </is>
      </c>
      <c r="F3855" s="13" t="n">
        <v>2</v>
      </c>
      <c r="G3855" s="13" t="n">
        <v>2</v>
      </c>
      <c r="H3855" s="8" t="n">
        <v>9.58</v>
      </c>
      <c r="I3855" s="8" t="n">
        <v>9.58</v>
      </c>
      <c r="J3855" s="8" t="n">
        <v>9.58</v>
      </c>
      <c r="K3855" s="8" t="n"/>
      <c r="L3855" s="8" t="n"/>
      <c r="M3855" s="8" t="n"/>
      <c r="N3855" s="8" t="n"/>
      <c r="O3855" s="8" t="n"/>
      <c r="P3855" s="15" t="n">
        <v>8.529999999999999</v>
      </c>
      <c r="Q3855" s="8" t="n"/>
      <c r="R3855" s="8" t="n"/>
      <c r="S3855" s="8" t="n"/>
      <c r="T3855" s="7" t="inlineStr">
        <is>
          <t>NAZARIA</t>
        </is>
      </c>
      <c r="U3855" s="8" t="n">
        <v>8.529999999999999</v>
      </c>
      <c r="V3855" s="14">
        <f>U3855/J3855-1</f>
        <v/>
      </c>
      <c r="W3855" s="14">
        <f>U3855/H3855-1</f>
        <v/>
      </c>
      <c r="X3855" s="17" t="inlineStr">
        <is>
          <t>OK (≤ menor hist.)</t>
        </is>
      </c>
      <c r="Y3855" s="7" t="inlineStr"/>
    </row>
    <row r="3856">
      <c r="A3856" s="7" t="n">
        <v>538881</v>
      </c>
      <c r="B3856" s="12" t="inlineStr">
        <is>
          <t>7891150060234</t>
        </is>
      </c>
      <c r="C3856" s="7" t="inlineStr">
        <is>
          <t>SAB LIQ ROSAS FRANCESAS LUX  200ML REFIL</t>
        </is>
      </c>
      <c r="D3856" s="7" t="inlineStr">
        <is>
          <t>SABONETES BARRAS/LIQUIDOS</t>
        </is>
      </c>
      <c r="E3856" s="7" t="inlineStr">
        <is>
          <t>B</t>
        </is>
      </c>
      <c r="F3856" s="13" t="n">
        <v>7</v>
      </c>
      <c r="G3856" s="13" t="n">
        <v>7</v>
      </c>
      <c r="H3856" s="8" t="n">
        <v>5.9558</v>
      </c>
      <c r="I3856" s="8" t="n">
        <v>4.4775</v>
      </c>
      <c r="J3856" s="8" t="n">
        <v>5.463033333333333</v>
      </c>
      <c r="K3856" s="8" t="n"/>
      <c r="L3856" s="8" t="n"/>
      <c r="M3856" s="8" t="n"/>
      <c r="N3856" s="8" t="n"/>
      <c r="O3856" s="8" t="n"/>
      <c r="P3856" s="15" t="n">
        <v>6.4</v>
      </c>
      <c r="Q3856" s="8" t="n"/>
      <c r="R3856" s="8" t="n"/>
      <c r="S3856" s="8" t="n"/>
      <c r="T3856" s="7" t="inlineStr">
        <is>
          <t>NAZARIA</t>
        </is>
      </c>
      <c r="U3856" s="8" t="n">
        <v>6.4</v>
      </c>
      <c r="V3856" s="14">
        <f>U3856/J3856-1</f>
        <v/>
      </c>
      <c r="W3856" s="14">
        <f>U3856/H3856-1</f>
        <v/>
      </c>
      <c r="X3856" s="16" t="inlineStr">
        <is>
          <t>ACIMA +7.5%</t>
        </is>
      </c>
      <c r="Y3856" s="7" t="inlineStr"/>
    </row>
    <row r="3857">
      <c r="A3857" s="7" t="n">
        <v>630841</v>
      </c>
      <c r="B3857" s="12" t="inlineStr">
        <is>
          <t>7896020159353</t>
        </is>
      </c>
      <c r="C3857" s="7" t="inlineStr">
        <is>
          <t>SAB LIQ XUXINHA 210ML GLICERINA</t>
        </is>
      </c>
      <c r="D3857" s="7" t="inlineStr">
        <is>
          <t>PERF/COSME</t>
        </is>
      </c>
      <c r="E3857" s="7" t="inlineStr">
        <is>
          <t>A</t>
        </is>
      </c>
      <c r="F3857" s="13" t="n">
        <v>4</v>
      </c>
      <c r="G3857" s="13" t="n">
        <v>4</v>
      </c>
      <c r="H3857" s="8" t="n">
        <v>13.2817</v>
      </c>
      <c r="I3857" s="8" t="n">
        <v>13.2817</v>
      </c>
      <c r="J3857" s="8" t="n">
        <v>13.2817</v>
      </c>
      <c r="K3857" s="8" t="n"/>
      <c r="L3857" s="8" t="n"/>
      <c r="M3857" s="8" t="n"/>
      <c r="N3857" s="8" t="n"/>
      <c r="O3857" s="8" t="n"/>
      <c r="P3857" s="8" t="n"/>
      <c r="Q3857" s="8" t="n"/>
      <c r="R3857" s="8" t="n"/>
      <c r="S3857" s="8" t="n"/>
      <c r="T3857" s="7" t="inlineStr">
        <is>
          <t>SEM COTAÇÃO</t>
        </is>
      </c>
      <c r="U3857" s="8" t="n"/>
      <c r="V3857" s="14" t="n"/>
      <c r="W3857" s="14" t="n"/>
      <c r="X3857" s="7" t="inlineStr"/>
      <c r="Y3857" s="7" t="inlineStr"/>
    </row>
    <row r="3858">
      <c r="A3858" s="7" t="n">
        <v>663261</v>
      </c>
      <c r="B3858" s="12" t="inlineStr">
        <is>
          <t>7891150060289</t>
        </is>
      </c>
      <c r="C3858" s="7" t="inlineStr">
        <is>
          <t>SAB LUX BUQUE JASMIM 125G</t>
        </is>
      </c>
      <c r="D3858" s="7" t="inlineStr">
        <is>
          <t>SABONETES BARRAS/LIQUIDOS</t>
        </is>
      </c>
      <c r="E3858" s="7" t="inlineStr">
        <is>
          <t>C</t>
        </is>
      </c>
      <c r="F3858" s="13" t="n">
        <v>4</v>
      </c>
      <c r="G3858" s="13" t="n">
        <v>4</v>
      </c>
      <c r="H3858" s="8" t="n">
        <v>2.6061</v>
      </c>
      <c r="I3858" s="8" t="n">
        <v>2.6061</v>
      </c>
      <c r="J3858" s="8" t="n">
        <v>2.6061</v>
      </c>
      <c r="K3858" s="8" t="n"/>
      <c r="L3858" s="8" t="n"/>
      <c r="M3858" s="8" t="n"/>
      <c r="N3858" s="8" t="n"/>
      <c r="O3858" s="8" t="n"/>
      <c r="P3858" s="15" t="n">
        <v>3.52</v>
      </c>
      <c r="Q3858" s="8" t="n"/>
      <c r="R3858" s="8" t="n"/>
      <c r="S3858" s="8" t="n"/>
      <c r="T3858" s="7" t="inlineStr">
        <is>
          <t>NAZARIA</t>
        </is>
      </c>
      <c r="U3858" s="8" t="n">
        <v>3.52</v>
      </c>
      <c r="V3858" s="14">
        <f>U3858/J3858-1</f>
        <v/>
      </c>
      <c r="W3858" s="14">
        <f>U3858/H3858-1</f>
        <v/>
      </c>
      <c r="X3858" s="16" t="inlineStr">
        <is>
          <t>ACIMA +35.1%</t>
        </is>
      </c>
      <c r="Y3858" s="7" t="inlineStr"/>
    </row>
    <row r="3859">
      <c r="A3859" s="7" t="n">
        <v>663271</v>
      </c>
      <c r="B3859" s="12" t="inlineStr">
        <is>
          <t>7891150095304</t>
        </is>
      </c>
      <c r="C3859" s="7" t="inlineStr">
        <is>
          <t>SAB LUX GARD E OLEO DE AMEND 85G   UNIL %DN:17.00</t>
        </is>
      </c>
      <c r="D3859" s="7" t="inlineStr">
        <is>
          <t>SABONETES BARRAS/LIQUIDOS</t>
        </is>
      </c>
      <c r="E3859" s="7" t="inlineStr">
        <is>
          <t>C</t>
        </is>
      </c>
      <c r="F3859" s="13" t="n">
        <v>2</v>
      </c>
      <c r="G3859" s="13" t="n">
        <v>2</v>
      </c>
      <c r="H3859" s="8" t="n">
        <v>1.8925</v>
      </c>
      <c r="I3859" s="8" t="n">
        <v>1.8925</v>
      </c>
      <c r="J3859" s="8" t="n">
        <v>1.8925</v>
      </c>
      <c r="K3859" s="8" t="n"/>
      <c r="L3859" s="8" t="n"/>
      <c r="M3859" s="8" t="n"/>
      <c r="N3859" s="8" t="n"/>
      <c r="O3859" s="8" t="n"/>
      <c r="P3859" s="15" t="n">
        <v>2.52</v>
      </c>
      <c r="Q3859" s="8" t="n"/>
      <c r="R3859" s="8" t="n"/>
      <c r="S3859" s="8" t="n"/>
      <c r="T3859" s="7" t="inlineStr">
        <is>
          <t>NAZARIA</t>
        </is>
      </c>
      <c r="U3859" s="8" t="n">
        <v>2.52</v>
      </c>
      <c r="V3859" s="14">
        <f>U3859/J3859-1</f>
        <v/>
      </c>
      <c r="W3859" s="14">
        <f>U3859/H3859-1</f>
        <v/>
      </c>
      <c r="X3859" s="16" t="inlineStr">
        <is>
          <t>ACIMA +33.2%</t>
        </is>
      </c>
      <c r="Y3859" s="7" t="inlineStr"/>
    </row>
    <row r="3860">
      <c r="A3860" s="7" t="n">
        <v>663281</v>
      </c>
      <c r="B3860" s="12" t="inlineStr">
        <is>
          <t>7891150082878</t>
        </is>
      </c>
      <c r="C3860" s="7" t="inlineStr">
        <is>
          <t>SAB LUX VITORIA REGIA 120G   UNIL %DN:2.00</t>
        </is>
      </c>
      <c r="D3860" s="7" t="inlineStr">
        <is>
          <t>SABONETES BARRAS/LIQUIDOS</t>
        </is>
      </c>
      <c r="E3860" s="7" t="inlineStr">
        <is>
          <t>C</t>
        </is>
      </c>
      <c r="F3860" s="13" t="n">
        <v>3</v>
      </c>
      <c r="G3860" s="13" t="n">
        <v>3</v>
      </c>
      <c r="H3860" s="8" t="n">
        <v>2.8712</v>
      </c>
      <c r="I3860" s="8" t="n">
        <v>2.8712</v>
      </c>
      <c r="J3860" s="8" t="n">
        <v>2.8712</v>
      </c>
      <c r="K3860" s="8" t="n"/>
      <c r="L3860" s="8" t="n"/>
      <c r="M3860" s="8" t="n"/>
      <c r="N3860" s="8" t="n"/>
      <c r="O3860" s="8" t="n"/>
      <c r="P3860" s="8" t="n"/>
      <c r="Q3860" s="8" t="n"/>
      <c r="R3860" s="8" t="n"/>
      <c r="S3860" s="8" t="n"/>
      <c r="T3860" s="7" t="inlineStr">
        <is>
          <t>SEM COTAÇÃO</t>
        </is>
      </c>
      <c r="U3860" s="8" t="n"/>
      <c r="V3860" s="14" t="n"/>
      <c r="W3860" s="14" t="n"/>
      <c r="X3860" s="7" t="inlineStr"/>
      <c r="Y3860" s="7" t="inlineStr"/>
    </row>
    <row r="3861">
      <c r="A3861" s="7" t="n">
        <v>552661</v>
      </c>
      <c r="B3861" s="12" t="inlineStr">
        <is>
          <t>7896512941930</t>
        </is>
      </c>
      <c r="C3861" s="7" t="inlineStr">
        <is>
          <t>SAB LÍQ CAMOMILA GRANADO SACHÊ 250ML REFIL</t>
        </is>
      </c>
      <c r="D3861" s="7" t="inlineStr">
        <is>
          <t>BABY/KIDS</t>
        </is>
      </c>
      <c r="E3861" s="7" t="inlineStr">
        <is>
          <t>B</t>
        </is>
      </c>
      <c r="F3861" s="13" t="n">
        <v>3</v>
      </c>
      <c r="G3861" s="13" t="n">
        <v>3</v>
      </c>
      <c r="H3861" s="8" t="n">
        <v>14.1958</v>
      </c>
      <c r="I3861" s="8" t="n">
        <v>14.1958</v>
      </c>
      <c r="J3861" s="8" t="n">
        <v>14.1958</v>
      </c>
      <c r="K3861" s="8" t="n"/>
      <c r="L3861" s="8" t="n"/>
      <c r="M3861" s="8" t="n"/>
      <c r="N3861" s="8" t="n"/>
      <c r="O3861" s="8" t="n"/>
      <c r="P3861" s="15" t="n">
        <v>16.9</v>
      </c>
      <c r="Q3861" s="8" t="n"/>
      <c r="R3861" s="8" t="n"/>
      <c r="S3861" s="8" t="n"/>
      <c r="T3861" s="7" t="inlineStr">
        <is>
          <t>NAZARIA</t>
        </is>
      </c>
      <c r="U3861" s="8" t="n">
        <v>16.9</v>
      </c>
      <c r="V3861" s="14">
        <f>U3861/J3861-1</f>
        <v/>
      </c>
      <c r="W3861" s="14">
        <f>U3861/H3861-1</f>
        <v/>
      </c>
      <c r="X3861" s="16" t="inlineStr">
        <is>
          <t>ACIMA +19.0%</t>
        </is>
      </c>
      <c r="Y3861" s="7" t="inlineStr"/>
    </row>
    <row r="3862">
      <c r="A3862" s="7" t="n">
        <v>551381</v>
      </c>
      <c r="B3862" s="12" t="inlineStr">
        <is>
          <t>7891150035874</t>
        </is>
      </c>
      <c r="C3862" s="7" t="inlineStr">
        <is>
          <t>SAB LÍQ HIDR ENRIQ DA CABEÇA AOS PÉS DOVE BABY SACHÊ 180ML</t>
        </is>
      </c>
      <c r="D3862" s="7" t="inlineStr">
        <is>
          <t>BABY/KIDS</t>
        </is>
      </c>
      <c r="E3862" s="7" t="inlineStr">
        <is>
          <t>B</t>
        </is>
      </c>
      <c r="F3862" s="13" t="n">
        <v>5</v>
      </c>
      <c r="G3862" s="13" t="n">
        <v>5</v>
      </c>
      <c r="H3862" s="8" t="n">
        <v>10.5242</v>
      </c>
      <c r="I3862" s="8" t="n">
        <v>10.5242</v>
      </c>
      <c r="J3862" s="8" t="n">
        <v>10.5242</v>
      </c>
      <c r="K3862" s="8" t="n"/>
      <c r="L3862" s="8" t="n"/>
      <c r="M3862" s="8" t="n"/>
      <c r="N3862" s="8" t="n"/>
      <c r="O3862" s="8" t="n"/>
      <c r="P3862" s="15" t="n">
        <v>10.77</v>
      </c>
      <c r="Q3862" s="8" t="n"/>
      <c r="R3862" s="8" t="n"/>
      <c r="S3862" s="8" t="n"/>
      <c r="T3862" s="7" t="inlineStr">
        <is>
          <t>NAZARIA</t>
        </is>
      </c>
      <c r="U3862" s="8" t="n">
        <v>10.77</v>
      </c>
      <c r="V3862" s="14">
        <f>U3862/J3862-1</f>
        <v/>
      </c>
      <c r="W3862" s="14">
        <f>U3862/H3862-1</f>
        <v/>
      </c>
      <c r="X3862" s="16" t="inlineStr">
        <is>
          <t>ACIMA +2.3%</t>
        </is>
      </c>
      <c r="Y3862" s="7" t="inlineStr"/>
    </row>
    <row r="3863">
      <c r="A3863" s="7" t="n">
        <v>551161</v>
      </c>
      <c r="B3863" s="12" t="inlineStr">
        <is>
          <t>7891150060227</t>
        </is>
      </c>
      <c r="C3863" s="7" t="inlineStr">
        <is>
          <t>SAB LÍQ LAVANDA LUX BOTANICALS SACHÊ 200ML REFIL</t>
        </is>
      </c>
      <c r="D3863" s="7" t="inlineStr">
        <is>
          <t>PERF/COSME</t>
        </is>
      </c>
      <c r="E3863" s="7" t="inlineStr">
        <is>
          <t>B</t>
        </is>
      </c>
      <c r="F3863" s="13" t="n">
        <v>4</v>
      </c>
      <c r="G3863" s="13" t="n">
        <v>4</v>
      </c>
      <c r="H3863" s="8" t="n">
        <v>4.8892</v>
      </c>
      <c r="I3863" s="8" t="n">
        <v>4.8892</v>
      </c>
      <c r="J3863" s="8" t="n">
        <v>4.8892</v>
      </c>
      <c r="K3863" s="8" t="n"/>
      <c r="L3863" s="8" t="n"/>
      <c r="M3863" s="8" t="n"/>
      <c r="N3863" s="8" t="n"/>
      <c r="O3863" s="8" t="n"/>
      <c r="P3863" s="15" t="n">
        <v>6.4</v>
      </c>
      <c r="Q3863" s="8" t="n"/>
      <c r="R3863" s="8" t="n"/>
      <c r="S3863" s="8" t="n"/>
      <c r="T3863" s="7" t="inlineStr">
        <is>
          <t>NAZARIA</t>
        </is>
      </c>
      <c r="U3863" s="8" t="n">
        <v>6.4</v>
      </c>
      <c r="V3863" s="14">
        <f>U3863/J3863-1</f>
        <v/>
      </c>
      <c r="W3863" s="14">
        <f>U3863/H3863-1</f>
        <v/>
      </c>
      <c r="X3863" s="16" t="inlineStr">
        <is>
          <t>ACIMA +30.9%</t>
        </is>
      </c>
      <c r="Y3863" s="7" t="inlineStr"/>
    </row>
    <row r="3864">
      <c r="A3864" s="7" t="n">
        <v>551181</v>
      </c>
      <c r="B3864" s="12" t="inlineStr">
        <is>
          <t>7891150060197</t>
        </is>
      </c>
      <c r="C3864" s="7" t="inlineStr">
        <is>
          <t>SAB LÍQ ROSAS FRANCESAS LUX 250ML</t>
        </is>
      </c>
      <c r="D3864" s="7" t="inlineStr">
        <is>
          <t>PERF/COSME</t>
        </is>
      </c>
      <c r="E3864" s="7" t="inlineStr">
        <is>
          <t>C</t>
        </is>
      </c>
      <c r="F3864" s="13" t="n">
        <v>4</v>
      </c>
      <c r="G3864" s="13" t="n">
        <v>4</v>
      </c>
      <c r="H3864" s="8" t="n">
        <v>5.9825</v>
      </c>
      <c r="I3864" s="8" t="n">
        <v>5.9825</v>
      </c>
      <c r="J3864" s="8" t="n">
        <v>5.982499999999999</v>
      </c>
      <c r="K3864" s="8" t="n"/>
      <c r="L3864" s="8" t="n"/>
      <c r="M3864" s="8" t="n"/>
      <c r="N3864" s="8" t="n"/>
      <c r="O3864" s="8" t="n"/>
      <c r="P3864" s="15" t="n">
        <v>8.58</v>
      </c>
      <c r="Q3864" s="8" t="n"/>
      <c r="R3864" s="8" t="n"/>
      <c r="S3864" s="8" t="n"/>
      <c r="T3864" s="7" t="inlineStr">
        <is>
          <t>NAZARIA</t>
        </is>
      </c>
      <c r="U3864" s="8" t="n">
        <v>8.58</v>
      </c>
      <c r="V3864" s="14">
        <f>U3864/J3864-1</f>
        <v/>
      </c>
      <c r="W3864" s="14">
        <f>U3864/H3864-1</f>
        <v/>
      </c>
      <c r="X3864" s="16" t="inlineStr">
        <is>
          <t>ACIMA +43.4%</t>
        </is>
      </c>
      <c r="Y3864" s="7" t="inlineStr"/>
    </row>
    <row r="3865">
      <c r="A3865" s="7" t="n">
        <v>554601</v>
      </c>
      <c r="B3865" s="12" t="inlineStr">
        <is>
          <t>7896512922373</t>
        </is>
      </c>
      <c r="C3865" s="7" t="inlineStr">
        <is>
          <t>SAB LÍQUIDO DE GLICERINA GRANADO BEBÊ 250ML REFIL</t>
        </is>
      </c>
      <c r="D3865" s="7" t="inlineStr">
        <is>
          <t>BABY/KIDS</t>
        </is>
      </c>
      <c r="E3865" s="7" t="inlineStr">
        <is>
          <t>A</t>
        </is>
      </c>
      <c r="F3865" s="13" t="n">
        <v>14</v>
      </c>
      <c r="G3865" s="13" t="n">
        <v>14</v>
      </c>
      <c r="H3865" s="8" t="n">
        <v>15.72</v>
      </c>
      <c r="I3865" s="8" t="n">
        <v>12.59</v>
      </c>
      <c r="J3865" s="8" t="n">
        <v>13.66053333333333</v>
      </c>
      <c r="K3865" s="8" t="n"/>
      <c r="L3865" s="8" t="n"/>
      <c r="M3865" s="8" t="n"/>
      <c r="N3865" s="8" t="n"/>
      <c r="O3865" s="8" t="n"/>
      <c r="P3865" s="15" t="n">
        <v>16.9</v>
      </c>
      <c r="Q3865" s="8" t="n"/>
      <c r="R3865" s="8" t="n"/>
      <c r="S3865" s="8" t="n"/>
      <c r="T3865" s="7" t="inlineStr">
        <is>
          <t>NAZARIA</t>
        </is>
      </c>
      <c r="U3865" s="8" t="n">
        <v>16.9</v>
      </c>
      <c r="V3865" s="14">
        <f>U3865/J3865-1</f>
        <v/>
      </c>
      <c r="W3865" s="14">
        <f>U3865/H3865-1</f>
        <v/>
      </c>
      <c r="X3865" s="16" t="inlineStr">
        <is>
          <t>ACIMA +7.5%</t>
        </is>
      </c>
      <c r="Y3865" s="7" t="inlineStr"/>
    </row>
    <row r="3866">
      <c r="A3866" s="7" t="n">
        <v>637861</v>
      </c>
      <c r="B3866" s="12" t="inlineStr">
        <is>
          <t>7896512945136</t>
        </is>
      </c>
      <c r="C3866" s="7" t="inlineStr">
        <is>
          <t>SAB MEDITERRANEO GERANIO 100G</t>
        </is>
      </c>
      <c r="D3866" s="7" t="inlineStr">
        <is>
          <t>PERF/COSME</t>
        </is>
      </c>
      <c r="E3866" s="7" t="inlineStr">
        <is>
          <t>C</t>
        </is>
      </c>
      <c r="F3866" s="13" t="n">
        <v>1</v>
      </c>
      <c r="G3866" s="13" t="n">
        <v>1</v>
      </c>
      <c r="H3866" s="8" t="n">
        <v>4.7658</v>
      </c>
      <c r="I3866" s="8" t="n">
        <v>4.7658</v>
      </c>
      <c r="J3866" s="8" t="n">
        <v>4.7658</v>
      </c>
      <c r="K3866" s="8" t="n"/>
      <c r="L3866" s="8" t="n"/>
      <c r="M3866" s="8" t="n"/>
      <c r="N3866" s="8" t="n"/>
      <c r="O3866" s="8" t="n"/>
      <c r="P3866" s="15" t="n">
        <v>5.44</v>
      </c>
      <c r="Q3866" s="8" t="n"/>
      <c r="R3866" s="8" t="n"/>
      <c r="S3866" s="8" t="n"/>
      <c r="T3866" s="7" t="inlineStr">
        <is>
          <t>NAZARIA</t>
        </is>
      </c>
      <c r="U3866" s="8" t="n">
        <v>5.44</v>
      </c>
      <c r="V3866" s="14">
        <f>U3866/J3866-1</f>
        <v/>
      </c>
      <c r="W3866" s="14">
        <f>U3866/H3866-1</f>
        <v/>
      </c>
      <c r="X3866" s="16" t="inlineStr">
        <is>
          <t>ACIMA +14.1%</t>
        </is>
      </c>
      <c r="Y3866" s="7" t="inlineStr"/>
    </row>
    <row r="3867">
      <c r="A3867" s="7" t="n">
        <v>567081</v>
      </c>
      <c r="B3867" s="12" t="inlineStr">
        <is>
          <t>4005900807861</t>
        </is>
      </c>
      <c r="C3867" s="7" t="inlineStr">
        <is>
          <t>SAB NIVEA BARRA MILK FRESH 90G</t>
        </is>
      </c>
      <c r="D3867" s="7" t="inlineStr">
        <is>
          <t>PERF/COSME</t>
        </is>
      </c>
      <c r="E3867" s="7" t="inlineStr">
        <is>
          <t>C</t>
        </is>
      </c>
      <c r="F3867" s="13" t="n">
        <v>1</v>
      </c>
      <c r="G3867" s="13" t="n">
        <v>1</v>
      </c>
      <c r="H3867" s="8" t="n">
        <v>3.13</v>
      </c>
      <c r="I3867" s="8" t="n">
        <v>3.13</v>
      </c>
      <c r="J3867" s="8" t="n">
        <v>3.13</v>
      </c>
      <c r="K3867" s="8" t="n"/>
      <c r="L3867" s="8" t="n"/>
      <c r="M3867" s="8" t="n"/>
      <c r="N3867" s="8" t="n"/>
      <c r="O3867" s="8" t="n"/>
      <c r="P3867" s="8" t="n"/>
      <c r="Q3867" s="8" t="n"/>
      <c r="R3867" s="8" t="n"/>
      <c r="S3867" s="8" t="n"/>
      <c r="T3867" s="7" t="inlineStr">
        <is>
          <t>SEM COTAÇÃO</t>
        </is>
      </c>
      <c r="U3867" s="8" t="n"/>
      <c r="V3867" s="14" t="n"/>
      <c r="W3867" s="14" t="n"/>
      <c r="X3867" s="7" t="inlineStr"/>
      <c r="Y3867" s="7" t="inlineStr"/>
    </row>
    <row r="3868">
      <c r="A3868" s="7" t="n">
        <v>611001</v>
      </c>
      <c r="B3868" s="12" t="inlineStr">
        <is>
          <t>4005900945709</t>
        </is>
      </c>
      <c r="C3868" s="7" t="inlineStr">
        <is>
          <t>SAB NIVEA GEL ACNE CONTROL 150G</t>
        </is>
      </c>
      <c r="D3868" s="7" t="inlineStr">
        <is>
          <t>RX - DERMO</t>
        </is>
      </c>
      <c r="E3868" s="7" t="inlineStr">
        <is>
          <t>B</t>
        </is>
      </c>
      <c r="F3868" s="13" t="n">
        <v>1</v>
      </c>
      <c r="G3868" s="13" t="n">
        <v>1</v>
      </c>
      <c r="H3868" s="8" t="n">
        <v>23.5633</v>
      </c>
      <c r="I3868" s="8" t="n">
        <v>23.5633</v>
      </c>
      <c r="J3868" s="8" t="n">
        <v>23.5633</v>
      </c>
      <c r="K3868" s="8" t="n"/>
      <c r="L3868" s="8" t="n"/>
      <c r="M3868" s="15" t="n">
        <v>27.4</v>
      </c>
      <c r="N3868" s="8" t="n"/>
      <c r="O3868" s="8" t="n"/>
      <c r="P3868" s="8" t="n">
        <v>28.59</v>
      </c>
      <c r="Q3868" s="8" t="n"/>
      <c r="R3868" s="8" t="n"/>
      <c r="S3868" s="8" t="n"/>
      <c r="T3868" s="7" t="inlineStr">
        <is>
          <t>EPAN</t>
        </is>
      </c>
      <c r="U3868" s="8" t="n">
        <v>27.4</v>
      </c>
      <c r="V3868" s="14">
        <f>U3868/J3868-1</f>
        <v/>
      </c>
      <c r="W3868" s="14">
        <f>U3868/H3868-1</f>
        <v/>
      </c>
      <c r="X3868" s="16" t="inlineStr">
        <is>
          <t>ACIMA +16.3%</t>
        </is>
      </c>
      <c r="Y3868" s="7" t="inlineStr"/>
    </row>
    <row r="3869">
      <c r="A3869" s="7" t="n">
        <v>604601</v>
      </c>
      <c r="B3869" s="12" t="inlineStr">
        <is>
          <t>4005900521934</t>
        </is>
      </c>
      <c r="C3869" s="7" t="inlineStr">
        <is>
          <t>SAB NIVEA HIDRAT 85G</t>
        </is>
      </c>
      <c r="D3869" s="7" t="inlineStr">
        <is>
          <t>PERF/COSME</t>
        </is>
      </c>
      <c r="E3869" s="7" t="inlineStr">
        <is>
          <t>C</t>
        </is>
      </c>
      <c r="F3869" s="13" t="n">
        <v>1</v>
      </c>
      <c r="G3869" s="13" t="n">
        <v>1</v>
      </c>
      <c r="H3869" s="8" t="n">
        <v>2.2525</v>
      </c>
      <c r="I3869" s="8" t="n">
        <v>2.2525</v>
      </c>
      <c r="J3869" s="8" t="n">
        <v>2.2525</v>
      </c>
      <c r="K3869" s="8" t="n"/>
      <c r="L3869" s="8" t="n"/>
      <c r="M3869" s="8" t="n"/>
      <c r="N3869" s="8" t="n"/>
      <c r="O3869" s="8" t="n"/>
      <c r="P3869" s="15" t="n">
        <v>2.77</v>
      </c>
      <c r="Q3869" s="8" t="n"/>
      <c r="R3869" s="8" t="n"/>
      <c r="S3869" s="8" t="n"/>
      <c r="T3869" s="7" t="inlineStr">
        <is>
          <t>NAZARIA</t>
        </is>
      </c>
      <c r="U3869" s="8" t="n">
        <v>2.77</v>
      </c>
      <c r="V3869" s="14">
        <f>U3869/J3869-1</f>
        <v/>
      </c>
      <c r="W3869" s="14">
        <f>U3869/H3869-1</f>
        <v/>
      </c>
      <c r="X3869" s="16" t="inlineStr">
        <is>
          <t>ACIMA +23.0%</t>
        </is>
      </c>
      <c r="Y3869" s="7" t="inlineStr"/>
    </row>
    <row r="3870">
      <c r="A3870" s="7" t="n">
        <v>588981</v>
      </c>
      <c r="B3870" s="12" t="inlineStr">
        <is>
          <t>4005808513550</t>
        </is>
      </c>
      <c r="C3870" s="7" t="inlineStr">
        <is>
          <t>SAB NIVEA LIQ CR SOFT 250ML</t>
        </is>
      </c>
      <c r="D3870" s="7" t="inlineStr">
        <is>
          <t>PERF/COSME</t>
        </is>
      </c>
      <c r="E3870" s="7" t="inlineStr">
        <is>
          <t>B</t>
        </is>
      </c>
      <c r="F3870" s="13" t="n">
        <v>6</v>
      </c>
      <c r="G3870" s="13" t="n">
        <v>6</v>
      </c>
      <c r="H3870" s="8" t="n">
        <v>8.85</v>
      </c>
      <c r="I3870" s="8" t="n">
        <v>8.85</v>
      </c>
      <c r="J3870" s="8" t="n">
        <v>8.85</v>
      </c>
      <c r="K3870" s="8" t="n"/>
      <c r="L3870" s="8" t="n"/>
      <c r="M3870" s="8" t="n"/>
      <c r="N3870" s="8" t="n"/>
      <c r="O3870" s="8" t="n"/>
      <c r="P3870" s="8" t="n"/>
      <c r="Q3870" s="8" t="n"/>
      <c r="R3870" s="8" t="n"/>
      <c r="S3870" s="8" t="n"/>
      <c r="T3870" s="7" t="inlineStr">
        <is>
          <t>SEM COTAÇÃO</t>
        </is>
      </c>
      <c r="U3870" s="8" t="n"/>
      <c r="V3870" s="14" t="n"/>
      <c r="W3870" s="14" t="n"/>
      <c r="X3870" s="7" t="inlineStr"/>
      <c r="Y3870" s="7" t="inlineStr"/>
    </row>
    <row r="3871">
      <c r="A3871" s="7" t="n">
        <v>615401</v>
      </c>
      <c r="B3871" s="12" t="inlineStr">
        <is>
          <t>4005808896134</t>
        </is>
      </c>
      <c r="C3871" s="7" t="inlineStr">
        <is>
          <t>SAB NIVEA LIQ FRANGI   OIL 250ML</t>
        </is>
      </c>
      <c r="D3871" s="7" t="inlineStr">
        <is>
          <t>PERF/COSME</t>
        </is>
      </c>
      <c r="E3871" s="7" t="inlineStr">
        <is>
          <t>C</t>
        </is>
      </c>
      <c r="F3871" s="13" t="n">
        <v>1</v>
      </c>
      <c r="G3871" s="13" t="n">
        <v>1</v>
      </c>
      <c r="H3871" s="8" t="n">
        <v>17</v>
      </c>
      <c r="I3871" s="8" t="n">
        <v>17</v>
      </c>
      <c r="J3871" s="8" t="n">
        <v>17</v>
      </c>
      <c r="K3871" s="8" t="n"/>
      <c r="L3871" s="8" t="n"/>
      <c r="M3871" s="8" t="n"/>
      <c r="N3871" s="8" t="n"/>
      <c r="O3871" s="8" t="n"/>
      <c r="P3871" s="15" t="n">
        <v>17.12</v>
      </c>
      <c r="Q3871" s="8" t="n"/>
      <c r="R3871" s="8" t="n"/>
      <c r="S3871" s="8" t="n"/>
      <c r="T3871" s="7" t="inlineStr">
        <is>
          <t>NAZARIA</t>
        </is>
      </c>
      <c r="U3871" s="8" t="n">
        <v>17.12</v>
      </c>
      <c r="V3871" s="14">
        <f>U3871/J3871-1</f>
        <v/>
      </c>
      <c r="W3871" s="14">
        <f>U3871/H3871-1</f>
        <v/>
      </c>
      <c r="X3871" s="16" t="inlineStr">
        <is>
          <t>ACIMA +0.7%</t>
        </is>
      </c>
      <c r="Y3871" s="7" t="inlineStr"/>
    </row>
    <row r="3872">
      <c r="A3872" s="7" t="n">
        <v>603011</v>
      </c>
      <c r="B3872" s="12" t="inlineStr"/>
      <c r="C3872" s="7" t="inlineStr">
        <is>
          <t>SAB NIVEA LIQ INTIMO NATURAL 250ML</t>
        </is>
      </c>
      <c r="D3872" s="7" t="inlineStr">
        <is>
          <t>PERF/COSME</t>
        </is>
      </c>
      <c r="E3872" s="7" t="inlineStr">
        <is>
          <t>A</t>
        </is>
      </c>
      <c r="F3872" s="13" t="n">
        <v>2</v>
      </c>
      <c r="G3872" s="13" t="n">
        <v>2</v>
      </c>
      <c r="H3872" s="8" t="n">
        <v>17.17</v>
      </c>
      <c r="I3872" s="8" t="n">
        <v>16.0133</v>
      </c>
      <c r="J3872" s="8" t="n">
        <v>16.78443333333334</v>
      </c>
      <c r="K3872" s="8" t="n"/>
      <c r="L3872" s="8" t="n"/>
      <c r="M3872" s="8" t="n"/>
      <c r="N3872" s="8" t="n"/>
      <c r="O3872" s="8" t="n"/>
      <c r="P3872" s="8" t="n"/>
      <c r="Q3872" s="8" t="n"/>
      <c r="R3872" s="8" t="n"/>
      <c r="S3872" s="8" t="n"/>
      <c r="T3872" s="7" t="inlineStr">
        <is>
          <t>SEM COTAÇÃO</t>
        </is>
      </c>
      <c r="U3872" s="8" t="n"/>
      <c r="V3872" s="14" t="n"/>
      <c r="W3872" s="14" t="n"/>
      <c r="X3872" s="7" t="inlineStr"/>
      <c r="Y3872" s="7" t="inlineStr"/>
    </row>
    <row r="3873">
      <c r="A3873" s="7" t="n">
        <v>588991</v>
      </c>
      <c r="B3873" s="12" t="inlineStr">
        <is>
          <t>4005900734068</t>
        </is>
      </c>
      <c r="C3873" s="7" t="inlineStr">
        <is>
          <t>SAB NIVEA LIQ REFIL CREME SOFT 200ML</t>
        </is>
      </c>
      <c r="D3873" s="7" t="inlineStr">
        <is>
          <t>PERF/COSME</t>
        </is>
      </c>
      <c r="E3873" s="7" t="inlineStr">
        <is>
          <t>C</t>
        </is>
      </c>
      <c r="F3873" s="13" t="n">
        <v>1</v>
      </c>
      <c r="G3873" s="13" t="n">
        <v>1</v>
      </c>
      <c r="H3873" s="8" t="n">
        <v>5.7883</v>
      </c>
      <c r="I3873" s="8" t="n">
        <v>5.7883</v>
      </c>
      <c r="J3873" s="8" t="n">
        <v>5.7883</v>
      </c>
      <c r="K3873" s="8" t="n"/>
      <c r="L3873" s="8" t="n"/>
      <c r="M3873" s="8" t="n"/>
      <c r="N3873" s="8" t="n"/>
      <c r="O3873" s="8" t="n"/>
      <c r="P3873" s="8" t="n"/>
      <c r="Q3873" s="8" t="n"/>
      <c r="R3873" s="8" t="n"/>
      <c r="S3873" s="8" t="n"/>
      <c r="T3873" s="7" t="inlineStr">
        <is>
          <t>SEM COTAÇÃO</t>
        </is>
      </c>
      <c r="U3873" s="8" t="n"/>
      <c r="V3873" s="14" t="n"/>
      <c r="W3873" s="14" t="n"/>
      <c r="X3873" s="7" t="inlineStr"/>
      <c r="Y3873" s="7" t="inlineStr"/>
    </row>
    <row r="3874">
      <c r="A3874" s="7" t="n">
        <v>610831</v>
      </c>
      <c r="B3874" s="12" t="inlineStr">
        <is>
          <t>7896512909763</t>
        </is>
      </c>
      <c r="C3874" s="7" t="inlineStr">
        <is>
          <t>SAB PHEBO FRESCOR DA MANHA</t>
        </is>
      </c>
      <c r="D3874" s="7" t="inlineStr">
        <is>
          <t>PERF/COSME</t>
        </is>
      </c>
      <c r="E3874" s="7" t="inlineStr">
        <is>
          <t>C</t>
        </is>
      </c>
      <c r="F3874" s="13" t="n">
        <v>1</v>
      </c>
      <c r="G3874" s="13" t="n">
        <v>1</v>
      </c>
      <c r="H3874" s="8" t="n">
        <v>3.92</v>
      </c>
      <c r="I3874" s="8" t="n">
        <v>3.92</v>
      </c>
      <c r="J3874" s="8" t="n">
        <v>3.92</v>
      </c>
      <c r="K3874" s="8" t="n"/>
      <c r="L3874" s="8" t="n"/>
      <c r="M3874" s="8" t="n"/>
      <c r="N3874" s="8" t="n"/>
      <c r="O3874" s="8" t="n"/>
      <c r="P3874" s="15" t="n">
        <v>4.99</v>
      </c>
      <c r="Q3874" s="8" t="n"/>
      <c r="R3874" s="8" t="n"/>
      <c r="S3874" s="8" t="n"/>
      <c r="T3874" s="7" t="inlineStr">
        <is>
          <t>NAZARIA</t>
        </is>
      </c>
      <c r="U3874" s="8" t="n">
        <v>4.99</v>
      </c>
      <c r="V3874" s="14">
        <f>U3874/J3874-1</f>
        <v/>
      </c>
      <c r="W3874" s="14">
        <f>U3874/H3874-1</f>
        <v/>
      </c>
      <c r="X3874" s="16" t="inlineStr">
        <is>
          <t>ACIMA +27.3%</t>
        </is>
      </c>
      <c r="Y3874" s="7" t="inlineStr"/>
    </row>
    <row r="3875">
      <c r="A3875" s="7" t="n">
        <v>637871</v>
      </c>
      <c r="B3875" s="12" t="inlineStr">
        <is>
          <t>7896512911537</t>
        </is>
      </c>
      <c r="C3875" s="7" t="inlineStr">
        <is>
          <t>SAB PHEBO MEDITERR ALFAZEMA PROV 100GR</t>
        </is>
      </c>
      <c r="D3875" s="7" t="inlineStr">
        <is>
          <t>PERF/COSME</t>
        </is>
      </c>
      <c r="E3875" s="7" t="inlineStr">
        <is>
          <t>C</t>
        </is>
      </c>
      <c r="F3875" s="13" t="n">
        <v>2</v>
      </c>
      <c r="G3875" s="13" t="n">
        <v>2</v>
      </c>
      <c r="H3875" s="8" t="n">
        <v>4.7658</v>
      </c>
      <c r="I3875" s="8" t="n">
        <v>4.7658</v>
      </c>
      <c r="J3875" s="8" t="n">
        <v>4.7658</v>
      </c>
      <c r="K3875" s="8" t="n"/>
      <c r="L3875" s="8" t="n"/>
      <c r="M3875" s="8" t="n"/>
      <c r="N3875" s="8" t="n"/>
      <c r="O3875" s="8" t="n"/>
      <c r="P3875" s="15" t="n">
        <v>5.44</v>
      </c>
      <c r="Q3875" s="8" t="n"/>
      <c r="R3875" s="8" t="n"/>
      <c r="S3875" s="8" t="n"/>
      <c r="T3875" s="7" t="inlineStr">
        <is>
          <t>NAZARIA</t>
        </is>
      </c>
      <c r="U3875" s="8" t="n">
        <v>5.44</v>
      </c>
      <c r="V3875" s="14">
        <f>U3875/J3875-1</f>
        <v/>
      </c>
      <c r="W3875" s="14">
        <f>U3875/H3875-1</f>
        <v/>
      </c>
      <c r="X3875" s="16" t="inlineStr">
        <is>
          <t>ACIMA +14.1%</t>
        </is>
      </c>
      <c r="Y3875" s="7" t="inlineStr"/>
    </row>
    <row r="3876">
      <c r="A3876" s="7" t="n">
        <v>637881</v>
      </c>
      <c r="B3876" s="12" t="inlineStr">
        <is>
          <t>7896512921789</t>
        </is>
      </c>
      <c r="C3876" s="7" t="inlineStr">
        <is>
          <t>SAB PHEBO MEDITERR LIMAO SICILIAN 100GR</t>
        </is>
      </c>
      <c r="D3876" s="7" t="inlineStr">
        <is>
          <t>PERF/COSME</t>
        </is>
      </c>
      <c r="E3876" s="7" t="inlineStr">
        <is>
          <t>C</t>
        </is>
      </c>
      <c r="F3876" s="13" t="n">
        <v>1</v>
      </c>
      <c r="G3876" s="13" t="n">
        <v>1</v>
      </c>
      <c r="H3876" s="8" t="n">
        <v>4.1667</v>
      </c>
      <c r="I3876" s="8" t="n">
        <v>4.1667</v>
      </c>
      <c r="J3876" s="8" t="n">
        <v>4.1667</v>
      </c>
      <c r="K3876" s="8" t="n"/>
      <c r="L3876" s="8" t="n"/>
      <c r="M3876" s="8" t="n"/>
      <c r="N3876" s="8" t="n"/>
      <c r="O3876" s="8" t="n"/>
      <c r="P3876" s="15" t="n">
        <v>5.44</v>
      </c>
      <c r="Q3876" s="8" t="n"/>
      <c r="R3876" s="8" t="n"/>
      <c r="S3876" s="8" t="n"/>
      <c r="T3876" s="7" t="inlineStr">
        <is>
          <t>NAZARIA</t>
        </is>
      </c>
      <c r="U3876" s="8" t="n">
        <v>5.44</v>
      </c>
      <c r="V3876" s="14">
        <f>U3876/J3876-1</f>
        <v/>
      </c>
      <c r="W3876" s="14">
        <f>U3876/H3876-1</f>
        <v/>
      </c>
      <c r="X3876" s="16" t="inlineStr">
        <is>
          <t>ACIMA +30.6%</t>
        </is>
      </c>
      <c r="Y3876" s="7" t="inlineStr"/>
    </row>
    <row r="3877">
      <c r="A3877" s="7" t="n">
        <v>637891</v>
      </c>
      <c r="B3877" s="12" t="inlineStr">
        <is>
          <t>7896512937834</t>
        </is>
      </c>
      <c r="C3877" s="7" t="inlineStr">
        <is>
          <t>SAB PHEBO NECTARINA 100G</t>
        </is>
      </c>
      <c r="D3877" s="7" t="inlineStr">
        <is>
          <t>PERF/COSME</t>
        </is>
      </c>
      <c r="E3877" s="7" t="inlineStr">
        <is>
          <t>C</t>
        </is>
      </c>
      <c r="F3877" s="13" t="n">
        <v>1</v>
      </c>
      <c r="G3877" s="13" t="n">
        <v>1</v>
      </c>
      <c r="H3877" s="8" t="n">
        <v>4.1667</v>
      </c>
      <c r="I3877" s="8" t="n">
        <v>4.1667</v>
      </c>
      <c r="J3877" s="8" t="n">
        <v>4.1667</v>
      </c>
      <c r="K3877" s="8" t="n"/>
      <c r="L3877" s="8" t="n"/>
      <c r="M3877" s="8" t="n"/>
      <c r="N3877" s="8" t="n"/>
      <c r="O3877" s="8" t="n"/>
      <c r="P3877" s="15" t="n">
        <v>5.44</v>
      </c>
      <c r="Q3877" s="8" t="n"/>
      <c r="R3877" s="8" t="n"/>
      <c r="S3877" s="8" t="n"/>
      <c r="T3877" s="7" t="inlineStr">
        <is>
          <t>NAZARIA</t>
        </is>
      </c>
      <c r="U3877" s="8" t="n">
        <v>5.44</v>
      </c>
      <c r="V3877" s="14">
        <f>U3877/J3877-1</f>
        <v/>
      </c>
      <c r="W3877" s="14">
        <f>U3877/H3877-1</f>
        <v/>
      </c>
      <c r="X3877" s="16" t="inlineStr">
        <is>
          <t>ACIMA +30.6%</t>
        </is>
      </c>
      <c r="Y3877" s="7" t="inlineStr"/>
    </row>
    <row r="3878">
      <c r="A3878" s="7" t="n">
        <v>598471</v>
      </c>
      <c r="B3878" s="12" t="inlineStr"/>
      <c r="C3878" s="7" t="inlineStr">
        <is>
          <t>SAB PROTEX MACADAMIA 85G</t>
        </is>
      </c>
      <c r="D3878" s="7" t="inlineStr">
        <is>
          <t>PERF/COSME</t>
        </is>
      </c>
      <c r="E3878" s="7" t="inlineStr">
        <is>
          <t>B</t>
        </is>
      </c>
      <c r="F3878" s="13" t="n">
        <v>4</v>
      </c>
      <c r="G3878" s="13" t="n">
        <v>4</v>
      </c>
      <c r="H3878" s="8" t="n">
        <v>2.84</v>
      </c>
      <c r="I3878" s="8" t="n">
        <v>2.5867</v>
      </c>
      <c r="J3878" s="8" t="n">
        <v>2.755566666666667</v>
      </c>
      <c r="K3878" s="8" t="n"/>
      <c r="L3878" s="8" t="n"/>
      <c r="M3878" s="8" t="n"/>
      <c r="N3878" s="8" t="n"/>
      <c r="O3878" s="8" t="n"/>
      <c r="P3878" s="8" t="n"/>
      <c r="Q3878" s="8" t="n"/>
      <c r="R3878" s="8" t="n"/>
      <c r="S3878" s="8" t="n"/>
      <c r="T3878" s="7" t="inlineStr">
        <is>
          <t>SEM COTAÇÃO</t>
        </is>
      </c>
      <c r="U3878" s="8" t="n"/>
      <c r="V3878" s="14" t="n"/>
      <c r="W3878" s="14" t="n"/>
      <c r="X3878" s="7" t="inlineStr"/>
      <c r="Y3878" s="7" t="inlineStr"/>
    </row>
    <row r="3879">
      <c r="A3879" s="7" t="n">
        <v>598481</v>
      </c>
      <c r="B3879" s="12" t="inlineStr">
        <is>
          <t>7891024035313</t>
        </is>
      </c>
      <c r="C3879" s="7" t="inlineStr">
        <is>
          <t>SAB PROTEX MEN SPORT 85G</t>
        </is>
      </c>
      <c r="D3879" s="7" t="inlineStr">
        <is>
          <t>PERF/COSME</t>
        </is>
      </c>
      <c r="E3879" s="7" t="inlineStr">
        <is>
          <t>C</t>
        </is>
      </c>
      <c r="F3879" s="13" t="n">
        <v>1</v>
      </c>
      <c r="G3879" s="13" t="n">
        <v>2</v>
      </c>
      <c r="H3879" s="8" t="n">
        <v>35.535</v>
      </c>
      <c r="I3879" s="8" t="n">
        <v>35.535</v>
      </c>
      <c r="J3879" s="8" t="n">
        <v>35.535</v>
      </c>
      <c r="K3879" s="8" t="n"/>
      <c r="L3879" s="8" t="n"/>
      <c r="M3879" s="8" t="n"/>
      <c r="N3879" s="8" t="n"/>
      <c r="O3879" s="8" t="n"/>
      <c r="P3879" s="15" t="n">
        <v>3.55</v>
      </c>
      <c r="Q3879" s="8" t="n"/>
      <c r="R3879" s="8" t="n"/>
      <c r="S3879" s="8" t="n"/>
      <c r="T3879" s="7" t="inlineStr">
        <is>
          <t>NAZARIA</t>
        </is>
      </c>
      <c r="U3879" s="8" t="n">
        <v>3.55</v>
      </c>
      <c r="V3879" s="14">
        <f>U3879/J3879-1</f>
        <v/>
      </c>
      <c r="W3879" s="14">
        <f>U3879/H3879-1</f>
        <v/>
      </c>
      <c r="X3879" s="17" t="inlineStr">
        <is>
          <t>OK (≤ menor hist.)</t>
        </is>
      </c>
      <c r="Y3879" s="7" t="inlineStr">
        <is>
          <t>NAZARIA: conferir emb.</t>
        </is>
      </c>
    </row>
    <row r="3880">
      <c r="A3880" s="7" t="n">
        <v>651621</v>
      </c>
      <c r="B3880" s="12" t="inlineStr">
        <is>
          <t>7509546692043</t>
        </is>
      </c>
      <c r="C3880" s="7" t="inlineStr">
        <is>
          <t>SAB PROTEX SERUM RETINOL 250ML-DEMAIS PROD</t>
        </is>
      </c>
      <c r="D3880" s="7" t="inlineStr">
        <is>
          <t>PERF/COSME</t>
        </is>
      </c>
      <c r="E3880" s="7" t="inlineStr">
        <is>
          <t>A</t>
        </is>
      </c>
      <c r="F3880" s="13" t="n">
        <v>1</v>
      </c>
      <c r="G3880" s="13" t="n">
        <v>1</v>
      </c>
      <c r="H3880" s="8" t="n">
        <v>9.5608</v>
      </c>
      <c r="I3880" s="8" t="n">
        <v>9.5608</v>
      </c>
      <c r="J3880" s="8" t="n">
        <v>9.5608</v>
      </c>
      <c r="K3880" s="8" t="n"/>
      <c r="L3880" s="8" t="n"/>
      <c r="M3880" s="8" t="n"/>
      <c r="N3880" s="8" t="n"/>
      <c r="O3880" s="8" t="n"/>
      <c r="P3880" s="15" t="n">
        <v>12.5</v>
      </c>
      <c r="Q3880" s="8" t="n"/>
      <c r="R3880" s="8" t="n"/>
      <c r="S3880" s="8" t="n"/>
      <c r="T3880" s="7" t="inlineStr">
        <is>
          <t>NAZARIA</t>
        </is>
      </c>
      <c r="U3880" s="8" t="n">
        <v>12.5</v>
      </c>
      <c r="V3880" s="14">
        <f>U3880/J3880-1</f>
        <v/>
      </c>
      <c r="W3880" s="14">
        <f>U3880/H3880-1</f>
        <v/>
      </c>
      <c r="X3880" s="16" t="inlineStr">
        <is>
          <t>ACIMA +30.7%</t>
        </is>
      </c>
      <c r="Y3880" s="7" t="inlineStr"/>
    </row>
    <row r="3881">
      <c r="A3881" s="7" t="n">
        <v>17103</v>
      </c>
      <c r="B3881" s="12" t="inlineStr">
        <is>
          <t>07891134001819</t>
        </is>
      </c>
      <c r="C3881" s="7" t="inlineStr">
        <is>
          <t>SAB SENADOR 130G CLASSIC</t>
        </is>
      </c>
      <c r="D3881" s="7" t="inlineStr">
        <is>
          <t>PERF/COSME</t>
        </is>
      </c>
      <c r="E3881" s="7" t="inlineStr">
        <is>
          <t>C</t>
        </is>
      </c>
      <c r="F3881" s="13" t="n">
        <v>2</v>
      </c>
      <c r="G3881" s="13" t="n">
        <v>2</v>
      </c>
      <c r="H3881" s="8" t="n">
        <v>5.15</v>
      </c>
      <c r="I3881" s="8" t="n">
        <v>5.15</v>
      </c>
      <c r="J3881" s="8" t="n">
        <v>5.15</v>
      </c>
      <c r="K3881" s="8" t="n"/>
      <c r="L3881" s="8" t="n"/>
      <c r="M3881" s="8" t="n"/>
      <c r="N3881" s="8" t="n"/>
      <c r="O3881" s="8" t="n"/>
      <c r="P3881" s="8" t="n"/>
      <c r="Q3881" s="8" t="n"/>
      <c r="R3881" s="8" t="n"/>
      <c r="S3881" s="8" t="n"/>
      <c r="T3881" s="7" t="inlineStr">
        <is>
          <t>SEM COTAÇÃO</t>
        </is>
      </c>
      <c r="U3881" s="8" t="n"/>
      <c r="V3881" s="14" t="n"/>
      <c r="W3881" s="14" t="n"/>
      <c r="X3881" s="7" t="inlineStr"/>
      <c r="Y3881" s="7" t="inlineStr"/>
    </row>
    <row r="3882">
      <c r="A3882" s="7" t="n">
        <v>579901</v>
      </c>
      <c r="B3882" s="12" t="inlineStr">
        <is>
          <t>7891150019560</t>
        </is>
      </c>
      <c r="C3882" s="7" t="inlineStr">
        <is>
          <t>SAB. DOVE 90G KARITE E BAUNILHA</t>
        </is>
      </c>
      <c r="D3882" s="7" t="inlineStr">
        <is>
          <t>PERF/COSME</t>
        </is>
      </c>
      <c r="E3882" s="7" t="inlineStr">
        <is>
          <t>C</t>
        </is>
      </c>
      <c r="F3882" s="13" t="n">
        <v>1</v>
      </c>
      <c r="G3882" s="13" t="n">
        <v>1</v>
      </c>
      <c r="H3882" s="8" t="n">
        <v>3.55</v>
      </c>
      <c r="I3882" s="8" t="n">
        <v>3.55</v>
      </c>
      <c r="J3882" s="8" t="n">
        <v>3.549999999999999</v>
      </c>
      <c r="K3882" s="8" t="n"/>
      <c r="L3882" s="8" t="n"/>
      <c r="M3882" s="8" t="n"/>
      <c r="N3882" s="8" t="n"/>
      <c r="O3882" s="8" t="n"/>
      <c r="P3882" s="8" t="n"/>
      <c r="Q3882" s="8" t="n"/>
      <c r="R3882" s="8" t="n"/>
      <c r="S3882" s="8" t="n"/>
      <c r="T3882" s="7" t="inlineStr">
        <is>
          <t>SEM COTAÇÃO</t>
        </is>
      </c>
      <c r="U3882" s="8" t="n"/>
      <c r="V3882" s="14" t="n"/>
      <c r="W3882" s="14" t="n"/>
      <c r="X3882" s="7" t="inlineStr"/>
      <c r="Y3882" s="7" t="inlineStr"/>
    </row>
    <row r="3883">
      <c r="A3883" s="7" t="n">
        <v>614301</v>
      </c>
      <c r="B3883" s="12" t="inlineStr">
        <is>
          <t>7898610078549</t>
        </is>
      </c>
      <c r="C3883" s="7" t="inlineStr">
        <is>
          <t>SAB. ESFOLI.CORPO DOU.PITAYA 180ML</t>
        </is>
      </c>
      <c r="D3883" s="7" t="inlineStr">
        <is>
          <t>PERF/COSME</t>
        </is>
      </c>
      <c r="E3883" s="7" t="inlineStr">
        <is>
          <t>C</t>
        </is>
      </c>
      <c r="F3883" s="13" t="n">
        <v>2</v>
      </c>
      <c r="G3883" s="13" t="n">
        <v>2</v>
      </c>
      <c r="H3883" s="8" t="n">
        <v>13.89</v>
      </c>
      <c r="I3883" s="8" t="n">
        <v>13.89</v>
      </c>
      <c r="J3883" s="8" t="n">
        <v>13.89</v>
      </c>
      <c r="K3883" s="8" t="n"/>
      <c r="L3883" s="8" t="n"/>
      <c r="M3883" s="8" t="n"/>
      <c r="N3883" s="8" t="n"/>
      <c r="O3883" s="8" t="n"/>
      <c r="P3883" s="8" t="n"/>
      <c r="Q3883" s="8" t="n"/>
      <c r="R3883" s="8" t="n"/>
      <c r="S3883" s="8" t="n"/>
      <c r="T3883" s="7" t="inlineStr">
        <is>
          <t>SEM COTAÇÃO</t>
        </is>
      </c>
      <c r="U3883" s="8" t="n"/>
      <c r="V3883" s="14" t="n"/>
      <c r="W3883" s="14" t="n"/>
      <c r="X3883" s="7" t="inlineStr"/>
      <c r="Y3883" s="7" t="inlineStr"/>
    </row>
    <row r="3884">
      <c r="A3884" s="7" t="n">
        <v>655931</v>
      </c>
      <c r="B3884" s="12" t="inlineStr">
        <is>
          <t>722713014357</t>
        </is>
      </c>
      <c r="C3884" s="7" t="inlineStr">
        <is>
          <t>SAB. INT. BABASOUL MELANCIA 200ML - SOUL COSMETICOS</t>
        </is>
      </c>
      <c r="D3884" s="7" t="inlineStr">
        <is>
          <t>SABONETES BARRAS/LIQUIDOS</t>
        </is>
      </c>
      <c r="E3884" s="7" t="inlineStr">
        <is>
          <t>C</t>
        </is>
      </c>
      <c r="F3884" s="13" t="n">
        <v>1</v>
      </c>
      <c r="G3884" s="13" t="n">
        <v>1</v>
      </c>
      <c r="H3884" s="8" t="n">
        <v>5.6</v>
      </c>
      <c r="I3884" s="8" t="n">
        <v>5.6</v>
      </c>
      <c r="J3884" s="8" t="n">
        <v>5.599999999999999</v>
      </c>
      <c r="K3884" s="8" t="n"/>
      <c r="L3884" s="8" t="n"/>
      <c r="M3884" s="8" t="n"/>
      <c r="N3884" s="8" t="n"/>
      <c r="O3884" s="8" t="n"/>
      <c r="P3884" s="8" t="n"/>
      <c r="Q3884" s="8" t="n"/>
      <c r="R3884" s="8" t="n"/>
      <c r="S3884" s="8" t="n"/>
      <c r="T3884" s="7" t="inlineStr">
        <is>
          <t>SEM COTAÇÃO</t>
        </is>
      </c>
      <c r="U3884" s="8" t="n"/>
      <c r="V3884" s="14" t="n"/>
      <c r="W3884" s="14" t="n"/>
      <c r="X3884" s="7" t="inlineStr"/>
      <c r="Y3884" s="7" t="inlineStr"/>
    </row>
    <row r="3885">
      <c r="A3885" s="7" t="n">
        <v>660911</v>
      </c>
      <c r="B3885" s="12" t="inlineStr">
        <is>
          <t>722713014371</t>
        </is>
      </c>
      <c r="C3885" s="7" t="inlineStr">
        <is>
          <t>SAB. INT. BABASOUL MORANGUINHO 200ML - SOUL COSMETICOS</t>
        </is>
      </c>
      <c r="D3885" s="7" t="inlineStr">
        <is>
          <t>VITAMINA E SIMILARES</t>
        </is>
      </c>
      <c r="E3885" s="7" t="inlineStr">
        <is>
          <t>C</t>
        </is>
      </c>
      <c r="F3885" s="13" t="n">
        <v>4</v>
      </c>
      <c r="G3885" s="13" t="n">
        <v>4</v>
      </c>
      <c r="H3885" s="8" t="n">
        <v>5.6</v>
      </c>
      <c r="I3885" s="8" t="n">
        <v>5.6</v>
      </c>
      <c r="J3885" s="8" t="n">
        <v>5.599999999999999</v>
      </c>
      <c r="K3885" s="8" t="n"/>
      <c r="L3885" s="8" t="n"/>
      <c r="M3885" s="8" t="n"/>
      <c r="N3885" s="8" t="n"/>
      <c r="O3885" s="8" t="n"/>
      <c r="P3885" s="8" t="n"/>
      <c r="Q3885" s="8" t="n"/>
      <c r="R3885" s="8" t="n"/>
      <c r="S3885" s="8" t="n"/>
      <c r="T3885" s="7" t="inlineStr">
        <is>
          <t>SEM COTAÇÃO</t>
        </is>
      </c>
      <c r="U3885" s="8" t="n"/>
      <c r="V3885" s="14" t="n"/>
      <c r="W3885" s="14" t="n"/>
      <c r="X3885" s="7" t="inlineStr"/>
      <c r="Y3885" s="7" t="inlineStr"/>
    </row>
    <row r="3886">
      <c r="A3886" s="7" t="n">
        <v>660901</v>
      </c>
      <c r="B3886" s="12" t="inlineStr">
        <is>
          <t>0722713013923</t>
        </is>
      </c>
      <c r="C3886" s="7" t="inlineStr">
        <is>
          <t>SAB. INTIMO BABASOUL 200ML - SOUL COSMETICOS</t>
        </is>
      </c>
      <c r="D3886" s="7" t="inlineStr">
        <is>
          <t>VITAMINA E SIMILARES</t>
        </is>
      </c>
      <c r="E3886" s="7" t="inlineStr">
        <is>
          <t>C</t>
        </is>
      </c>
      <c r="F3886" s="13" t="n">
        <v>2</v>
      </c>
      <c r="G3886" s="13" t="n">
        <v>2</v>
      </c>
      <c r="H3886" s="8" t="n">
        <v>5.6</v>
      </c>
      <c r="I3886" s="8" t="n">
        <v>5.6</v>
      </c>
      <c r="J3886" s="8" t="n">
        <v>5.599999999999999</v>
      </c>
      <c r="K3886" s="8" t="n"/>
      <c r="L3886" s="8" t="n"/>
      <c r="M3886" s="8" t="n"/>
      <c r="N3886" s="8" t="n"/>
      <c r="O3886" s="8" t="n"/>
      <c r="P3886" s="8" t="n"/>
      <c r="Q3886" s="8" t="n"/>
      <c r="R3886" s="8" t="n"/>
      <c r="S3886" s="8" t="n"/>
      <c r="T3886" s="7" t="inlineStr">
        <is>
          <t>SEM COTAÇÃO</t>
        </is>
      </c>
      <c r="U3886" s="8" t="n"/>
      <c r="V3886" s="14" t="n"/>
      <c r="W3886" s="14" t="n"/>
      <c r="X3886" s="7" t="inlineStr"/>
      <c r="Y3886" s="7" t="inlineStr"/>
    </row>
    <row r="3887">
      <c r="A3887" s="7" t="n">
        <v>577181</v>
      </c>
      <c r="B3887" s="12" t="inlineStr">
        <is>
          <t>7891150065338</t>
        </is>
      </c>
      <c r="C3887" s="7" t="inlineStr">
        <is>
          <t>SAB. LIQ. DOVE BAB.180ML REF.</t>
        </is>
      </c>
      <c r="D3887" s="7" t="inlineStr">
        <is>
          <t>BABY/KIDS</t>
        </is>
      </c>
      <c r="E3887" s="7" t="inlineStr">
        <is>
          <t>A</t>
        </is>
      </c>
      <c r="F3887" s="13" t="n">
        <v>3</v>
      </c>
      <c r="G3887" s="13" t="n">
        <v>3</v>
      </c>
      <c r="H3887" s="8" t="n">
        <v>9.27</v>
      </c>
      <c r="I3887" s="8" t="n">
        <v>9.27</v>
      </c>
      <c r="J3887" s="8" t="n">
        <v>9.27</v>
      </c>
      <c r="K3887" s="8" t="n"/>
      <c r="L3887" s="8" t="n"/>
      <c r="M3887" s="15" t="n">
        <v>7</v>
      </c>
      <c r="N3887" s="8" t="n"/>
      <c r="O3887" s="8" t="n"/>
      <c r="P3887" s="8" t="n">
        <v>10.77</v>
      </c>
      <c r="Q3887" s="8" t="n"/>
      <c r="R3887" s="8" t="n"/>
      <c r="S3887" s="8" t="n"/>
      <c r="T3887" s="7" t="inlineStr">
        <is>
          <t>EPAN</t>
        </is>
      </c>
      <c r="U3887" s="8" t="n">
        <v>7</v>
      </c>
      <c r="V3887" s="14">
        <f>U3887/J3887-1</f>
        <v/>
      </c>
      <c r="W3887" s="14">
        <f>U3887/H3887-1</f>
        <v/>
      </c>
      <c r="X3887" s="17" t="inlineStr">
        <is>
          <t>OK (≤ menor hist.)</t>
        </is>
      </c>
      <c r="Y3887" s="7" t="inlineStr"/>
    </row>
    <row r="3888">
      <c r="A3888" s="7" t="n">
        <v>577161</v>
      </c>
      <c r="B3888" s="12" t="inlineStr">
        <is>
          <t>7891150065291</t>
        </is>
      </c>
      <c r="C3888" s="7" t="inlineStr">
        <is>
          <t>SAB. LIQ. DOVE BABY 200ML HID.</t>
        </is>
      </c>
      <c r="D3888" s="7" t="inlineStr">
        <is>
          <t>BABY/KIDS</t>
        </is>
      </c>
      <c r="E3888" s="7" t="inlineStr">
        <is>
          <t>A</t>
        </is>
      </c>
      <c r="F3888" s="13" t="n">
        <v>8</v>
      </c>
      <c r="G3888" s="13" t="n">
        <v>8</v>
      </c>
      <c r="H3888" s="8" t="n">
        <v>12.4633</v>
      </c>
      <c r="I3888" s="8" t="n">
        <v>12.4633</v>
      </c>
      <c r="J3888" s="8" t="n">
        <v>12.4633</v>
      </c>
      <c r="K3888" s="8" t="n"/>
      <c r="L3888" s="8" t="n"/>
      <c r="M3888" s="15" t="n">
        <v>9.77</v>
      </c>
      <c r="N3888" s="8" t="n"/>
      <c r="O3888" s="8" t="n"/>
      <c r="P3888" s="8" t="n">
        <v>14.48</v>
      </c>
      <c r="Q3888" s="8" t="n"/>
      <c r="R3888" s="8" t="n"/>
      <c r="S3888" s="8" t="n"/>
      <c r="T3888" s="7" t="inlineStr">
        <is>
          <t>EPAN</t>
        </is>
      </c>
      <c r="U3888" s="8" t="n">
        <v>9.77</v>
      </c>
      <c r="V3888" s="14">
        <f>U3888/J3888-1</f>
        <v/>
      </c>
      <c r="W3888" s="14">
        <f>U3888/H3888-1</f>
        <v/>
      </c>
      <c r="X3888" s="17" t="inlineStr">
        <is>
          <t>OK (≤ menor hist.)</t>
        </is>
      </c>
      <c r="Y3888" s="7" t="inlineStr"/>
    </row>
    <row r="3889">
      <c r="A3889" s="7" t="n">
        <v>605611</v>
      </c>
      <c r="B3889" s="12" t="inlineStr">
        <is>
          <t>7898422746827</t>
        </is>
      </c>
      <c r="C3889" s="7" t="inlineStr">
        <is>
          <t>SAB.DOVE 90G ESFOLIACAO DIARIA</t>
        </is>
      </c>
      <c r="D3889" s="7" t="inlineStr">
        <is>
          <t>PERF/COSME</t>
        </is>
      </c>
      <c r="E3889" s="7" t="inlineStr">
        <is>
          <t>C</t>
        </is>
      </c>
      <c r="F3889" s="13" t="n">
        <v>1</v>
      </c>
      <c r="G3889" s="13" t="n">
        <v>1</v>
      </c>
      <c r="H3889" s="8" t="n">
        <v>4.9258</v>
      </c>
      <c r="I3889" s="8" t="n">
        <v>4.9258</v>
      </c>
      <c r="J3889" s="8" t="n">
        <v>4.9258</v>
      </c>
      <c r="K3889" s="8" t="n"/>
      <c r="L3889" s="8" t="n"/>
      <c r="M3889" s="8" t="n"/>
      <c r="N3889" s="8" t="n"/>
      <c r="O3889" s="8" t="n"/>
      <c r="P3889" s="15" t="n">
        <v>5.41</v>
      </c>
      <c r="Q3889" s="8" t="n"/>
      <c r="R3889" s="8" t="n"/>
      <c r="S3889" s="8" t="n"/>
      <c r="T3889" s="7" t="inlineStr">
        <is>
          <t>NAZARIA</t>
        </is>
      </c>
      <c r="U3889" s="8" t="n">
        <v>5.41</v>
      </c>
      <c r="V3889" s="14">
        <f>U3889/J3889-1</f>
        <v/>
      </c>
      <c r="W3889" s="14">
        <f>U3889/H3889-1</f>
        <v/>
      </c>
      <c r="X3889" s="16" t="inlineStr">
        <is>
          <t>ACIMA +9.8%</t>
        </is>
      </c>
      <c r="Y3889" s="7" t="inlineStr"/>
    </row>
    <row r="3890">
      <c r="A3890" s="7" t="n">
        <v>646961</v>
      </c>
      <c r="B3890" s="12" t="inlineStr">
        <is>
          <t>7896044956389</t>
        </is>
      </c>
      <c r="C3890" s="7" t="inlineStr">
        <is>
          <t>SAB.LIQ.GIOV.BABY GIBY 200ML</t>
        </is>
      </c>
      <c r="D3890" s="7" t="inlineStr">
        <is>
          <t>PERF/COSME</t>
        </is>
      </c>
      <c r="E3890" s="7" t="inlineStr">
        <is>
          <t>C</t>
        </is>
      </c>
      <c r="F3890" s="13" t="n">
        <v>1</v>
      </c>
      <c r="G3890" s="13" t="n">
        <v>1</v>
      </c>
      <c r="H3890" s="8" t="n">
        <v>8.25</v>
      </c>
      <c r="I3890" s="8" t="n">
        <v>8.25</v>
      </c>
      <c r="J3890" s="8" t="n">
        <v>8.25</v>
      </c>
      <c r="K3890" s="8" t="n"/>
      <c r="L3890" s="8" t="n"/>
      <c r="M3890" s="8" t="n"/>
      <c r="N3890" s="8" t="n"/>
      <c r="O3890" s="8" t="n"/>
      <c r="P3890" s="8" t="n"/>
      <c r="Q3890" s="8" t="n"/>
      <c r="R3890" s="8" t="n"/>
      <c r="S3890" s="8" t="n"/>
      <c r="T3890" s="7" t="inlineStr">
        <is>
          <t>SEM COTAÇÃO</t>
        </is>
      </c>
      <c r="U3890" s="8" t="n"/>
      <c r="V3890" s="14" t="n"/>
      <c r="W3890" s="14" t="n"/>
      <c r="X3890" s="7" t="inlineStr"/>
      <c r="Y3890" s="7" t="inlineStr"/>
    </row>
    <row r="3891">
      <c r="A3891" s="7" t="n">
        <v>569901</v>
      </c>
      <c r="B3891" s="12" t="inlineStr">
        <is>
          <t>7891150060159</t>
        </is>
      </c>
      <c r="C3891" s="7" t="inlineStr">
        <is>
          <t>SAB.LIQ.LUX BOT.250ML LAVANDA</t>
        </is>
      </c>
      <c r="D3891" s="7" t="inlineStr">
        <is>
          <t>PERF/COSME</t>
        </is>
      </c>
      <c r="E3891" s="7" t="inlineStr">
        <is>
          <t>B</t>
        </is>
      </c>
      <c r="F3891" s="13" t="n">
        <v>4</v>
      </c>
      <c r="G3891" s="13" t="n">
        <v>4</v>
      </c>
      <c r="H3891" s="8" t="n">
        <v>7.9925</v>
      </c>
      <c r="I3891" s="8" t="n">
        <v>7.9925</v>
      </c>
      <c r="J3891" s="8" t="n">
        <v>7.9925</v>
      </c>
      <c r="K3891" s="8" t="n"/>
      <c r="L3891" s="8" t="n"/>
      <c r="M3891" s="8" t="n"/>
      <c r="N3891" s="8" t="n"/>
      <c r="O3891" s="8" t="n"/>
      <c r="P3891" s="15" t="n">
        <v>8.58</v>
      </c>
      <c r="Q3891" s="8" t="n"/>
      <c r="R3891" s="8" t="n"/>
      <c r="S3891" s="8" t="n"/>
      <c r="T3891" s="7" t="inlineStr">
        <is>
          <t>NAZARIA</t>
        </is>
      </c>
      <c r="U3891" s="8" t="n">
        <v>8.58</v>
      </c>
      <c r="V3891" s="14">
        <f>U3891/J3891-1</f>
        <v/>
      </c>
      <c r="W3891" s="14">
        <f>U3891/H3891-1</f>
        <v/>
      </c>
      <c r="X3891" s="16" t="inlineStr">
        <is>
          <t>ACIMA +7.4%</t>
        </is>
      </c>
      <c r="Y3891" s="7" t="inlineStr"/>
    </row>
    <row r="3892">
      <c r="A3892" s="7" t="n">
        <v>569921</v>
      </c>
      <c r="B3892" s="12" t="inlineStr">
        <is>
          <t>7891150060142</t>
        </is>
      </c>
      <c r="C3892" s="7" t="inlineStr">
        <is>
          <t>SAB.LIQ.LUX BOT.250ML ORQ.NEG.</t>
        </is>
      </c>
      <c r="D3892" s="7" t="inlineStr">
        <is>
          <t>PERF/COSME</t>
        </is>
      </c>
      <c r="E3892" s="7" t="inlineStr">
        <is>
          <t>C</t>
        </is>
      </c>
      <c r="F3892" s="13" t="n">
        <v>1</v>
      </c>
      <c r="G3892" s="13" t="n">
        <v>1</v>
      </c>
      <c r="H3892" s="8" t="n">
        <v>5.98</v>
      </c>
      <c r="I3892" s="8" t="n">
        <v>5.98</v>
      </c>
      <c r="J3892" s="8" t="n">
        <v>5.98</v>
      </c>
      <c r="K3892" s="8" t="n"/>
      <c r="L3892" s="8" t="n"/>
      <c r="M3892" s="8" t="n"/>
      <c r="N3892" s="8" t="n"/>
      <c r="O3892" s="8" t="n"/>
      <c r="P3892" s="15" t="n">
        <v>8.58</v>
      </c>
      <c r="Q3892" s="8" t="n"/>
      <c r="R3892" s="8" t="n"/>
      <c r="S3892" s="8" t="n"/>
      <c r="T3892" s="7" t="inlineStr">
        <is>
          <t>NAZARIA</t>
        </is>
      </c>
      <c r="U3892" s="8" t="n">
        <v>8.58</v>
      </c>
      <c r="V3892" s="14">
        <f>U3892/J3892-1</f>
        <v/>
      </c>
      <c r="W3892" s="14">
        <f>U3892/H3892-1</f>
        <v/>
      </c>
      <c r="X3892" s="16" t="inlineStr">
        <is>
          <t>ACIMA +43.5%</t>
        </is>
      </c>
      <c r="Y3892" s="7" t="inlineStr"/>
    </row>
    <row r="3893">
      <c r="A3893" s="7" t="n">
        <v>604561</v>
      </c>
      <c r="B3893" s="12" t="inlineStr">
        <is>
          <t>7891150083462</t>
        </is>
      </c>
      <c r="C3893" s="7" t="inlineStr">
        <is>
          <t>SAB.LIQ.LUX P/MAOS D.N.R.240ML</t>
        </is>
      </c>
      <c r="D3893" s="7" t="inlineStr">
        <is>
          <t>PERF/COSME</t>
        </is>
      </c>
      <c r="E3893" s="7" t="inlineStr">
        <is>
          <t>C</t>
        </is>
      </c>
      <c r="F3893" s="13" t="n">
        <v>1</v>
      </c>
      <c r="G3893" s="13" t="n">
        <v>1</v>
      </c>
      <c r="H3893" s="8" t="n">
        <v>7.95</v>
      </c>
      <c r="I3893" s="8" t="n">
        <v>7.35</v>
      </c>
      <c r="J3893" s="8" t="n">
        <v>7.75</v>
      </c>
      <c r="K3893" s="8" t="n"/>
      <c r="L3893" s="8" t="n"/>
      <c r="M3893" s="8" t="n"/>
      <c r="N3893" s="8" t="n"/>
      <c r="O3893" s="8" t="n"/>
      <c r="P3893" s="8" t="n"/>
      <c r="Q3893" s="8" t="n"/>
      <c r="R3893" s="8" t="n"/>
      <c r="S3893" s="8" t="n"/>
      <c r="T3893" s="7" t="inlineStr">
        <is>
          <t>SEM COTAÇÃO</t>
        </is>
      </c>
      <c r="U3893" s="8" t="n"/>
      <c r="V3893" s="14" t="n"/>
      <c r="W3893" s="14" t="n"/>
      <c r="X3893" s="7" t="inlineStr"/>
      <c r="Y3893" s="7" t="inlineStr"/>
    </row>
    <row r="3894">
      <c r="A3894" s="7" t="n">
        <v>604571</v>
      </c>
      <c r="B3894" s="12" t="inlineStr">
        <is>
          <t>7896235354260</t>
        </is>
      </c>
      <c r="C3894" s="7" t="inlineStr">
        <is>
          <t>SAB.LIQ.MONANGE 200ML REF.DET.</t>
        </is>
      </c>
      <c r="D3894" s="7" t="inlineStr">
        <is>
          <t>PERF/COSME</t>
        </is>
      </c>
      <c r="E3894" s="7" t="inlineStr">
        <is>
          <t>C</t>
        </is>
      </c>
      <c r="F3894" s="13" t="n">
        <v>1</v>
      </c>
      <c r="G3894" s="13" t="n">
        <v>1</v>
      </c>
      <c r="H3894" s="8" t="n">
        <v>6.48</v>
      </c>
      <c r="I3894" s="8" t="n">
        <v>6.48</v>
      </c>
      <c r="J3894" s="8" t="n">
        <v>6.48</v>
      </c>
      <c r="K3894" s="8" t="n"/>
      <c r="L3894" s="8" t="n"/>
      <c r="M3894" s="8" t="n"/>
      <c r="N3894" s="8" t="n"/>
      <c r="O3894" s="8" t="n"/>
      <c r="P3894" s="8" t="n"/>
      <c r="Q3894" s="8" t="n"/>
      <c r="R3894" s="8" t="n"/>
      <c r="S3894" s="8" t="n"/>
      <c r="T3894" s="7" t="inlineStr">
        <is>
          <t>SEM COTAÇÃO</t>
        </is>
      </c>
      <c r="U3894" s="8" t="n"/>
      <c r="V3894" s="14" t="n"/>
      <c r="W3894" s="14" t="n"/>
      <c r="X3894" s="7" t="inlineStr"/>
      <c r="Y3894" s="7" t="inlineStr"/>
    </row>
    <row r="3895">
      <c r="A3895" s="7" t="n">
        <v>604581</v>
      </c>
      <c r="B3895" s="12" t="inlineStr">
        <is>
          <t>7896235354284</t>
        </is>
      </c>
      <c r="C3895" s="7" t="inlineStr">
        <is>
          <t>SAB.LIQ.MONANGE 200ML REF.LAV</t>
        </is>
      </c>
      <c r="D3895" s="7" t="inlineStr">
        <is>
          <t>PERF/COSME</t>
        </is>
      </c>
      <c r="E3895" s="7" t="inlineStr">
        <is>
          <t>C</t>
        </is>
      </c>
      <c r="F3895" s="13" t="n">
        <v>1</v>
      </c>
      <c r="G3895" s="13" t="n">
        <v>1</v>
      </c>
      <c r="H3895" s="8" t="n">
        <v>6.68</v>
      </c>
      <c r="I3895" s="8" t="n">
        <v>6.68</v>
      </c>
      <c r="J3895" s="8" t="n">
        <v>6.68</v>
      </c>
      <c r="K3895" s="8" t="n"/>
      <c r="L3895" s="8" t="n"/>
      <c r="M3895" s="8" t="n"/>
      <c r="N3895" s="8" t="n"/>
      <c r="O3895" s="8" t="n"/>
      <c r="P3895" s="8" t="n"/>
      <c r="Q3895" s="8" t="n"/>
      <c r="R3895" s="8" t="n"/>
      <c r="S3895" s="8" t="n"/>
      <c r="T3895" s="7" t="inlineStr">
        <is>
          <t>SEM COTAÇÃO</t>
        </is>
      </c>
      <c r="U3895" s="8" t="n"/>
      <c r="V3895" s="14" t="n"/>
      <c r="W3895" s="14" t="n"/>
      <c r="X3895" s="7" t="inlineStr"/>
      <c r="Y3895" s="7" t="inlineStr"/>
    </row>
    <row r="3896">
      <c r="A3896" s="7" t="n">
        <v>604611</v>
      </c>
      <c r="B3896" s="12" t="inlineStr">
        <is>
          <t>4005900522016</t>
        </is>
      </c>
      <c r="C3896" s="7" t="inlineStr">
        <is>
          <t>SAB.NIVEA HIDRAT.12X85G ORQ.</t>
        </is>
      </c>
      <c r="D3896" s="7" t="inlineStr">
        <is>
          <t>PERF/COSME</t>
        </is>
      </c>
      <c r="E3896" s="7" t="inlineStr">
        <is>
          <t>C</t>
        </is>
      </c>
      <c r="F3896" s="13" t="n">
        <v>1</v>
      </c>
      <c r="G3896" s="13" t="n">
        <v>1</v>
      </c>
      <c r="H3896" s="8" t="n">
        <v>2.5367</v>
      </c>
      <c r="I3896" s="8" t="n">
        <v>2.5367</v>
      </c>
      <c r="J3896" s="8" t="n">
        <v>2.5367</v>
      </c>
      <c r="K3896" s="8" t="n"/>
      <c r="L3896" s="8" t="n"/>
      <c r="M3896" s="8" t="n"/>
      <c r="N3896" s="8" t="n"/>
      <c r="O3896" s="8" t="n"/>
      <c r="P3896" s="15" t="n">
        <v>2.77</v>
      </c>
      <c r="Q3896" s="8" t="n"/>
      <c r="R3896" s="8" t="n"/>
      <c r="S3896" s="8" t="n"/>
      <c r="T3896" s="7" t="inlineStr">
        <is>
          <t>NAZARIA</t>
        </is>
      </c>
      <c r="U3896" s="8" t="n">
        <v>2.77</v>
      </c>
      <c r="V3896" s="14">
        <f>U3896/J3896-1</f>
        <v/>
      </c>
      <c r="W3896" s="14">
        <f>U3896/H3896-1</f>
        <v/>
      </c>
      <c r="X3896" s="16" t="inlineStr">
        <is>
          <t>ACIMA +9.2%</t>
        </is>
      </c>
      <c r="Y3896" s="7" t="inlineStr"/>
    </row>
    <row r="3897">
      <c r="A3897" s="7" t="n">
        <v>650651</v>
      </c>
      <c r="B3897" s="12" t="inlineStr">
        <is>
          <t>7891024035207</t>
        </is>
      </c>
      <c r="C3897" s="7" t="inlineStr">
        <is>
          <t>SAB.PROTEX OMEGA 3 PACK PROMO</t>
        </is>
      </c>
      <c r="D3897" s="7" t="inlineStr">
        <is>
          <t>COND/SHAM/CREM/SIMILARES</t>
        </is>
      </c>
      <c r="E3897" s="7" t="inlineStr">
        <is>
          <t>C</t>
        </is>
      </c>
      <c r="F3897" s="13" t="n">
        <v>1</v>
      </c>
      <c r="G3897" s="13" t="n">
        <v>1</v>
      </c>
      <c r="H3897" s="8" t="n">
        <v>2</v>
      </c>
      <c r="I3897" s="8" t="n">
        <v>2</v>
      </c>
      <c r="J3897" s="8" t="n">
        <v>2</v>
      </c>
      <c r="K3897" s="8" t="n"/>
      <c r="L3897" s="8" t="n"/>
      <c r="M3897" s="8" t="n"/>
      <c r="N3897" s="8" t="n"/>
      <c r="O3897" s="8" t="n"/>
      <c r="P3897" s="8" t="n"/>
      <c r="Q3897" s="8" t="n"/>
      <c r="R3897" s="8" t="n"/>
      <c r="S3897" s="8" t="n"/>
      <c r="T3897" s="7" t="inlineStr">
        <is>
          <t>SEM COTAÇÃO</t>
        </is>
      </c>
      <c r="U3897" s="8" t="n"/>
      <c r="V3897" s="14" t="n"/>
      <c r="W3897" s="14" t="n"/>
      <c r="X3897" s="7" t="inlineStr"/>
      <c r="Y3897" s="7" t="inlineStr"/>
    </row>
    <row r="3898">
      <c r="A3898" s="7" t="n">
        <v>549061</v>
      </c>
      <c r="B3898" s="12" t="inlineStr">
        <is>
          <t>7896512904621</t>
        </is>
      </c>
      <c r="C3898" s="7" t="inlineStr">
        <is>
          <t>SABON.LIQ.GRANADO INF.TRAD.250ML</t>
        </is>
      </c>
      <c r="D3898" s="7" t="inlineStr">
        <is>
          <t>PERF/COSME</t>
        </is>
      </c>
      <c r="E3898" s="7" t="inlineStr">
        <is>
          <t>A</t>
        </is>
      </c>
      <c r="F3898" s="13" t="n">
        <v>7</v>
      </c>
      <c r="G3898" s="13" t="n">
        <v>7</v>
      </c>
      <c r="H3898" s="8" t="n">
        <v>18.98</v>
      </c>
      <c r="I3898" s="8" t="n">
        <v>16.72</v>
      </c>
      <c r="J3898" s="8" t="n">
        <v>18.22666666666667</v>
      </c>
      <c r="K3898" s="8" t="n"/>
      <c r="L3898" s="8" t="n"/>
      <c r="M3898" s="8" t="n"/>
      <c r="N3898" s="8" t="n"/>
      <c r="O3898" s="8" t="n"/>
      <c r="P3898" s="15" t="n">
        <v>22.65</v>
      </c>
      <c r="Q3898" s="8" t="n"/>
      <c r="R3898" s="8" t="n"/>
      <c r="S3898" s="8" t="n"/>
      <c r="T3898" s="7" t="inlineStr">
        <is>
          <t>NAZARIA</t>
        </is>
      </c>
      <c r="U3898" s="8" t="n">
        <v>22.65</v>
      </c>
      <c r="V3898" s="14">
        <f>U3898/J3898-1</f>
        <v/>
      </c>
      <c r="W3898" s="14">
        <f>U3898/H3898-1</f>
        <v/>
      </c>
      <c r="X3898" s="16" t="inlineStr">
        <is>
          <t>ACIMA +19.3%</t>
        </is>
      </c>
      <c r="Y3898" s="7" t="inlineStr"/>
    </row>
    <row r="3899">
      <c r="A3899" s="7" t="n">
        <v>555281</v>
      </c>
      <c r="B3899" s="12" t="inlineStr">
        <is>
          <t>0650240012730</t>
        </is>
      </c>
      <c r="C3899" s="7" t="inlineStr">
        <is>
          <t>SABONETE ASEPXIA FÓRMULA FORTE</t>
        </is>
      </c>
      <c r="D3899" s="7" t="inlineStr">
        <is>
          <t>DERMOCOSMETICOS/COSMETICOS</t>
        </is>
      </c>
      <c r="E3899" s="7" t="inlineStr">
        <is>
          <t>C</t>
        </is>
      </c>
      <c r="F3899" s="13" t="n">
        <v>1</v>
      </c>
      <c r="G3899" s="13" t="n">
        <v>1</v>
      </c>
      <c r="H3899" s="8" t="n">
        <v>9.826700000000001</v>
      </c>
      <c r="I3899" s="8" t="n">
        <v>9.826700000000001</v>
      </c>
      <c r="J3899" s="8" t="n">
        <v>9.826700000000001</v>
      </c>
      <c r="K3899" s="8" t="n"/>
      <c r="L3899" s="8" t="n"/>
      <c r="M3899" s="8" t="n"/>
      <c r="N3899" s="8" t="n"/>
      <c r="O3899" s="8" t="n"/>
      <c r="P3899" s="8" t="n"/>
      <c r="Q3899" s="8" t="n"/>
      <c r="R3899" s="8" t="n"/>
      <c r="S3899" s="8" t="n"/>
      <c r="T3899" s="7" t="inlineStr">
        <is>
          <t>SEM COTAÇÃO</t>
        </is>
      </c>
      <c r="U3899" s="8" t="n"/>
      <c r="V3899" s="14" t="n"/>
      <c r="W3899" s="14" t="n"/>
      <c r="X3899" s="7" t="inlineStr"/>
      <c r="Y3899" s="7" t="inlineStr"/>
    </row>
    <row r="3900">
      <c r="A3900" s="7" t="n">
        <v>538781</v>
      </c>
      <c r="B3900" s="12" t="inlineStr">
        <is>
          <t>7891150059849</t>
        </is>
      </c>
      <c r="C3900" s="7" t="inlineStr">
        <is>
          <t>SABONETE BARRA BUQUE DE JASMIM LUX BOTANICALS ENVOLTÓRIO 85G</t>
        </is>
      </c>
      <c r="D3900" s="7" t="inlineStr">
        <is>
          <t>PERF/COSME</t>
        </is>
      </c>
      <c r="E3900" s="7" t="inlineStr">
        <is>
          <t>C</t>
        </is>
      </c>
      <c r="F3900" s="13" t="n">
        <v>8</v>
      </c>
      <c r="G3900" s="13" t="n">
        <v>8</v>
      </c>
      <c r="H3900" s="8" t="n">
        <v>2.28</v>
      </c>
      <c r="I3900" s="8" t="n">
        <v>2.28</v>
      </c>
      <c r="J3900" s="8" t="n">
        <v>2.28</v>
      </c>
      <c r="K3900" s="8" t="n"/>
      <c r="L3900" s="8" t="n"/>
      <c r="M3900" s="8" t="n"/>
      <c r="N3900" s="8" t="n"/>
      <c r="O3900" s="8" t="n"/>
      <c r="P3900" s="15" t="n">
        <v>2.52</v>
      </c>
      <c r="Q3900" s="8" t="n"/>
      <c r="R3900" s="8" t="n"/>
      <c r="S3900" s="8" t="n"/>
      <c r="T3900" s="7" t="inlineStr">
        <is>
          <t>NAZARIA</t>
        </is>
      </c>
      <c r="U3900" s="8" t="n">
        <v>2.52</v>
      </c>
      <c r="V3900" s="14">
        <f>U3900/J3900-1</f>
        <v/>
      </c>
      <c r="W3900" s="14">
        <f>U3900/H3900-1</f>
        <v/>
      </c>
      <c r="X3900" s="16" t="inlineStr">
        <is>
          <t>ACIMA +10.5%</t>
        </is>
      </c>
      <c r="Y3900" s="7" t="inlineStr"/>
    </row>
    <row r="3901">
      <c r="A3901" s="7" t="n">
        <v>537201</v>
      </c>
      <c r="B3901" s="12" t="inlineStr">
        <is>
          <t>7896512900043</t>
        </is>
      </c>
      <c r="C3901" s="7" t="inlineStr">
        <is>
          <t>SABONETE BARRA ENXOFRE GRANADO CAIXA 90G</t>
        </is>
      </c>
      <c r="D3901" s="7" t="inlineStr">
        <is>
          <t>SABONETES BARRAS/LIQUIDOS</t>
        </is>
      </c>
      <c r="E3901" s="7" t="inlineStr">
        <is>
          <t>A</t>
        </is>
      </c>
      <c r="F3901" s="13" t="n">
        <v>71</v>
      </c>
      <c r="G3901" s="13" t="n">
        <v>71</v>
      </c>
      <c r="H3901" s="8" t="n">
        <v>6.6661</v>
      </c>
      <c r="I3901" s="8" t="n">
        <v>6.363</v>
      </c>
      <c r="J3901" s="8" t="n">
        <v>6.565066666666667</v>
      </c>
      <c r="K3901" s="8" t="n"/>
      <c r="L3901" s="8" t="n"/>
      <c r="M3901" s="8" t="n"/>
      <c r="N3901" s="8" t="n"/>
      <c r="O3901" s="8" t="n"/>
      <c r="P3901" s="15" t="n">
        <v>8.41</v>
      </c>
      <c r="Q3901" s="8" t="n"/>
      <c r="R3901" s="8" t="n"/>
      <c r="S3901" s="8" t="n"/>
      <c r="T3901" s="7" t="inlineStr">
        <is>
          <t>NAZARIA</t>
        </is>
      </c>
      <c r="U3901" s="8" t="n">
        <v>8.41</v>
      </c>
      <c r="V3901" s="14">
        <f>U3901/J3901-1</f>
        <v/>
      </c>
      <c r="W3901" s="14">
        <f>U3901/H3901-1</f>
        <v/>
      </c>
      <c r="X3901" s="16" t="inlineStr">
        <is>
          <t>ACIMA +26.2%</t>
        </is>
      </c>
      <c r="Y3901" s="7" t="inlineStr"/>
    </row>
    <row r="3902">
      <c r="A3902" s="7" t="n">
        <v>538761</v>
      </c>
      <c r="B3902" s="12" t="inlineStr">
        <is>
          <t>7891150059924</t>
        </is>
      </c>
      <c r="C3902" s="7" t="inlineStr">
        <is>
          <t>SABONETE BARRA FLOR DE LÓTUS LUX BOTANICALS ENVOLTÓRIO 85G</t>
        </is>
      </c>
      <c r="D3902" s="7" t="inlineStr">
        <is>
          <t>PERF/COSME</t>
        </is>
      </c>
      <c r="E3902" s="7" t="inlineStr">
        <is>
          <t>C</t>
        </is>
      </c>
      <c r="F3902" s="13" t="n">
        <v>1</v>
      </c>
      <c r="G3902" s="13" t="n">
        <v>1</v>
      </c>
      <c r="H3902" s="8" t="n">
        <v>1.8925</v>
      </c>
      <c r="I3902" s="8" t="n">
        <v>1.8925</v>
      </c>
      <c r="J3902" s="8" t="n">
        <v>1.8925</v>
      </c>
      <c r="K3902" s="8" t="n"/>
      <c r="L3902" s="8" t="n"/>
      <c r="M3902" s="8" t="n"/>
      <c r="N3902" s="8" t="n"/>
      <c r="O3902" s="8" t="n"/>
      <c r="P3902" s="15" t="n">
        <v>2.52</v>
      </c>
      <c r="Q3902" s="8" t="n"/>
      <c r="R3902" s="8" t="n"/>
      <c r="S3902" s="8" t="n"/>
      <c r="T3902" s="7" t="inlineStr">
        <is>
          <t>NAZARIA</t>
        </is>
      </c>
      <c r="U3902" s="8" t="n">
        <v>2.52</v>
      </c>
      <c r="V3902" s="14">
        <f>U3902/J3902-1</f>
        <v/>
      </c>
      <c r="W3902" s="14">
        <f>U3902/H3902-1</f>
        <v/>
      </c>
      <c r="X3902" s="16" t="inlineStr">
        <is>
          <t>ACIMA +33.2%</t>
        </is>
      </c>
      <c r="Y3902" s="7" t="inlineStr"/>
    </row>
    <row r="3903">
      <c r="A3903" s="7" t="n">
        <v>538801</v>
      </c>
      <c r="B3903" s="12" t="inlineStr">
        <is>
          <t>7891150059917</t>
        </is>
      </c>
      <c r="C3903" s="7" t="inlineStr">
        <is>
          <t>SABONETE BARRA LIRIO AZUL LUX BOTANICALS ENVOLTÓRIO 85G</t>
        </is>
      </c>
      <c r="D3903" s="7" t="inlineStr">
        <is>
          <t>PERF/COSME</t>
        </is>
      </c>
      <c r="E3903" s="7" t="inlineStr">
        <is>
          <t>C</t>
        </is>
      </c>
      <c r="F3903" s="13" t="n">
        <v>3</v>
      </c>
      <c r="G3903" s="13" t="n">
        <v>3</v>
      </c>
      <c r="H3903" s="8" t="n">
        <v>1.8925</v>
      </c>
      <c r="I3903" s="8" t="n">
        <v>1.8925</v>
      </c>
      <c r="J3903" s="8" t="n">
        <v>1.8925</v>
      </c>
      <c r="K3903" s="8" t="n"/>
      <c r="L3903" s="8" t="n"/>
      <c r="M3903" s="8" t="n"/>
      <c r="N3903" s="8" t="n"/>
      <c r="O3903" s="8" t="n"/>
      <c r="P3903" s="15" t="n">
        <v>2.52</v>
      </c>
      <c r="Q3903" s="8" t="n"/>
      <c r="R3903" s="8" t="n"/>
      <c r="S3903" s="8" t="n"/>
      <c r="T3903" s="7" t="inlineStr">
        <is>
          <t>NAZARIA</t>
        </is>
      </c>
      <c r="U3903" s="8" t="n">
        <v>2.52</v>
      </c>
      <c r="V3903" s="14">
        <f>U3903/J3903-1</f>
        <v/>
      </c>
      <c r="W3903" s="14">
        <f>U3903/H3903-1</f>
        <v/>
      </c>
      <c r="X3903" s="16" t="inlineStr">
        <is>
          <t>ACIMA +33.2%</t>
        </is>
      </c>
      <c r="Y3903" s="7" t="inlineStr"/>
    </row>
    <row r="3904">
      <c r="A3904" s="7" t="n">
        <v>538521</v>
      </c>
      <c r="B3904" s="12" t="inlineStr"/>
      <c r="C3904" s="7" t="inlineStr">
        <is>
          <t>SABONETE BARRA PROTEX LIMPEZA PROFUNDA ENVOLTÓRIO 85G</t>
        </is>
      </c>
      <c r="D3904" s="7" t="inlineStr">
        <is>
          <t>PERF/COSME</t>
        </is>
      </c>
      <c r="E3904" s="7" t="inlineStr">
        <is>
          <t>B</t>
        </is>
      </c>
      <c r="F3904" s="13" t="n">
        <v>4</v>
      </c>
      <c r="G3904" s="13" t="n">
        <v>4</v>
      </c>
      <c r="H3904" s="8" t="n">
        <v>2.84</v>
      </c>
      <c r="I3904" s="8" t="n">
        <v>2.84</v>
      </c>
      <c r="J3904" s="8" t="n">
        <v>2.84</v>
      </c>
      <c r="K3904" s="8" t="n"/>
      <c r="L3904" s="8" t="n"/>
      <c r="M3904" s="8" t="n"/>
      <c r="N3904" s="8" t="n"/>
      <c r="O3904" s="8" t="n"/>
      <c r="P3904" s="8" t="n"/>
      <c r="Q3904" s="8" t="n"/>
      <c r="R3904" s="8" t="n"/>
      <c r="S3904" s="8" t="n"/>
      <c r="T3904" s="7" t="inlineStr">
        <is>
          <t>SEM COTAÇÃO</t>
        </is>
      </c>
      <c r="U3904" s="8" t="n"/>
      <c r="V3904" s="14" t="n"/>
      <c r="W3904" s="14" t="n"/>
      <c r="X3904" s="7" t="inlineStr"/>
      <c r="Y3904" s="7" t="inlineStr"/>
    </row>
    <row r="3905">
      <c r="A3905" s="7" t="n">
        <v>552301</v>
      </c>
      <c r="B3905" s="12" t="inlineStr">
        <is>
          <t>7896512900111</t>
        </is>
      </c>
      <c r="C3905" s="7" t="inlineStr">
        <is>
          <t>SABONETE BARRA SULFUROSO GRANADO CAIXA 90G</t>
        </is>
      </c>
      <c r="D3905" s="7" t="inlineStr">
        <is>
          <t>PERF/COSME</t>
        </is>
      </c>
      <c r="E3905" s="7" t="inlineStr">
        <is>
          <t>B</t>
        </is>
      </c>
      <c r="F3905" s="13" t="n">
        <v>10</v>
      </c>
      <c r="G3905" s="13" t="n">
        <v>10</v>
      </c>
      <c r="H3905" s="8" t="n">
        <v>6.665</v>
      </c>
      <c r="I3905" s="8" t="n">
        <v>6.4504</v>
      </c>
      <c r="J3905" s="8" t="n">
        <v>6.593466666666667</v>
      </c>
      <c r="K3905" s="8" t="n"/>
      <c r="L3905" s="8" t="n"/>
      <c r="M3905" s="8" t="n"/>
      <c r="N3905" s="8" t="n"/>
      <c r="O3905" s="8" t="n"/>
      <c r="P3905" s="15" t="n">
        <v>8.41</v>
      </c>
      <c r="Q3905" s="8" t="n"/>
      <c r="R3905" s="8" t="n"/>
      <c r="S3905" s="8" t="n"/>
      <c r="T3905" s="7" t="inlineStr">
        <is>
          <t>NAZARIA</t>
        </is>
      </c>
      <c r="U3905" s="8" t="n">
        <v>8.41</v>
      </c>
      <c r="V3905" s="14">
        <f>U3905/J3905-1</f>
        <v/>
      </c>
      <c r="W3905" s="14">
        <f>U3905/H3905-1</f>
        <v/>
      </c>
      <c r="X3905" s="16" t="inlineStr">
        <is>
          <t>ACIMA +26.2%</t>
        </is>
      </c>
      <c r="Y3905" s="7" t="inlineStr"/>
    </row>
    <row r="3906">
      <c r="A3906" s="7" t="n">
        <v>536801</v>
      </c>
      <c r="B3906" s="12" t="inlineStr">
        <is>
          <t>7896512909787</t>
        </is>
      </c>
      <c r="C3906" s="7" t="inlineStr">
        <is>
          <t>SABONETE BARRA VEGETAL ODOR DE ROSAS PHEBO ENVOLTÓRIO 90G</t>
        </is>
      </c>
      <c r="D3906" s="7" t="inlineStr">
        <is>
          <t>PERF/COSME</t>
        </is>
      </c>
      <c r="E3906" s="7" t="inlineStr">
        <is>
          <t>B</t>
        </is>
      </c>
      <c r="F3906" s="13" t="n">
        <v>11</v>
      </c>
      <c r="G3906" s="13" t="n">
        <v>11</v>
      </c>
      <c r="H3906" s="8" t="n">
        <v>4.6</v>
      </c>
      <c r="I3906" s="8" t="n">
        <v>4.6</v>
      </c>
      <c r="J3906" s="8" t="n">
        <v>4.6</v>
      </c>
      <c r="K3906" s="8" t="n"/>
      <c r="L3906" s="8" t="n"/>
      <c r="M3906" s="8" t="n"/>
      <c r="N3906" s="8" t="n"/>
      <c r="O3906" s="8" t="n"/>
      <c r="P3906" s="15" t="n">
        <v>4.68</v>
      </c>
      <c r="Q3906" s="8" t="n"/>
      <c r="R3906" s="8" t="n"/>
      <c r="S3906" s="8" t="n"/>
      <c r="T3906" s="7" t="inlineStr">
        <is>
          <t>NAZARIA</t>
        </is>
      </c>
      <c r="U3906" s="8" t="n">
        <v>4.68</v>
      </c>
      <c r="V3906" s="14">
        <f>U3906/J3906-1</f>
        <v/>
      </c>
      <c r="W3906" s="14">
        <f>U3906/H3906-1</f>
        <v/>
      </c>
      <c r="X3906" s="16" t="inlineStr">
        <is>
          <t>ACIMA +1.7%</t>
        </is>
      </c>
      <c r="Y3906" s="7" t="inlineStr"/>
    </row>
    <row r="3907">
      <c r="A3907" s="7" t="n">
        <v>104</v>
      </c>
      <c r="B3907" s="12" t="inlineStr">
        <is>
          <t>4005808189342</t>
        </is>
      </c>
      <c r="C3907" s="7" t="inlineStr">
        <is>
          <t>SABONETE FACIAL GEL NIVEA EQUI NUT 150G</t>
        </is>
      </c>
      <c r="D3907" s="7" t="inlineStr">
        <is>
          <t>RX - DERMO</t>
        </is>
      </c>
      <c r="E3907" s="7" t="inlineStr">
        <is>
          <t>C</t>
        </is>
      </c>
      <c r="F3907" s="13" t="n">
        <v>1</v>
      </c>
      <c r="G3907" s="13" t="n">
        <v>1</v>
      </c>
      <c r="H3907" s="8" t="n">
        <v>26.19</v>
      </c>
      <c r="I3907" s="8" t="n">
        <v>21.2</v>
      </c>
      <c r="J3907" s="8" t="n">
        <v>24.34</v>
      </c>
      <c r="K3907" s="8" t="n"/>
      <c r="L3907" s="8" t="n"/>
      <c r="M3907" s="15" t="n">
        <v>22.03</v>
      </c>
      <c r="N3907" s="8" t="n"/>
      <c r="O3907" s="8" t="n"/>
      <c r="P3907" s="8" t="n">
        <v>24.19</v>
      </c>
      <c r="Q3907" s="8" t="n"/>
      <c r="R3907" s="8" t="n"/>
      <c r="S3907" s="8" t="n"/>
      <c r="T3907" s="7" t="inlineStr">
        <is>
          <t>EPAN</t>
        </is>
      </c>
      <c r="U3907" s="8" t="n">
        <v>22.03</v>
      </c>
      <c r="V3907" s="14">
        <f>U3907/J3907-1</f>
        <v/>
      </c>
      <c r="W3907" s="14">
        <f>U3907/H3907-1</f>
        <v/>
      </c>
      <c r="X3907" s="17" t="inlineStr">
        <is>
          <t>OK (≤ últ. compra)</t>
        </is>
      </c>
      <c r="Y3907" s="7" t="inlineStr">
        <is>
          <t>NAZARIA: sem estoque</t>
        </is>
      </c>
    </row>
    <row r="3908">
      <c r="A3908" s="7" t="n">
        <v>667331</v>
      </c>
      <c r="B3908" s="12" t="inlineStr">
        <is>
          <t>7898670909791</t>
        </is>
      </c>
      <c r="C3908" s="7" t="inlineStr">
        <is>
          <t>SABONETE FACIAL ROSA MOSQUETA 150 ML RUBINOVA - DERMACREAM</t>
        </is>
      </c>
      <c r="D3908" s="7" t="inlineStr">
        <is>
          <t>PERF/COSME</t>
        </is>
      </c>
      <c r="E3908" s="7" t="inlineStr">
        <is>
          <t>B</t>
        </is>
      </c>
      <c r="F3908" s="13" t="n">
        <v>3</v>
      </c>
      <c r="G3908" s="13" t="n">
        <v>3</v>
      </c>
      <c r="H3908" s="8" t="n">
        <v>11.15</v>
      </c>
      <c r="I3908" s="8" t="n">
        <v>11.15</v>
      </c>
      <c r="J3908" s="8" t="n">
        <v>11.15</v>
      </c>
      <c r="K3908" s="8" t="n"/>
      <c r="L3908" s="8" t="n"/>
      <c r="M3908" s="8" t="n"/>
      <c r="N3908" s="8" t="n"/>
      <c r="O3908" s="8" t="n"/>
      <c r="P3908" s="8" t="n"/>
      <c r="Q3908" s="8" t="n"/>
      <c r="R3908" s="8" t="n"/>
      <c r="S3908" s="8" t="n"/>
      <c r="T3908" s="7" t="inlineStr">
        <is>
          <t>SEM COTAÇÃO</t>
        </is>
      </c>
      <c r="U3908" s="8" t="n"/>
      <c r="V3908" s="14" t="n"/>
      <c r="W3908" s="14" t="n"/>
      <c r="X3908" s="7" t="inlineStr"/>
      <c r="Y3908" s="7" t="inlineStr"/>
    </row>
    <row r="3909">
      <c r="A3909" s="7" t="n">
        <v>652381</v>
      </c>
      <c r="B3909" s="12" t="inlineStr">
        <is>
          <t>7898670909227</t>
        </is>
      </c>
      <c r="C3909" s="7" t="inlineStr">
        <is>
          <t>SABONETE FACIAL ROSA MOSQUETA E ARGILA BRANCA 150ML DERMACREAM</t>
        </is>
      </c>
      <c r="D3909" s="7" t="inlineStr">
        <is>
          <t>COND/SHAM/CREM/SIMILARES</t>
        </is>
      </c>
      <c r="E3909" s="7" t="inlineStr">
        <is>
          <t>C</t>
        </is>
      </c>
      <c r="F3909" s="13" t="n">
        <v>1</v>
      </c>
      <c r="G3909" s="13" t="n">
        <v>1</v>
      </c>
      <c r="H3909" s="8" t="n">
        <v>9.07</v>
      </c>
      <c r="I3909" s="8" t="n">
        <v>9.07</v>
      </c>
      <c r="J3909" s="8" t="n">
        <v>9.07</v>
      </c>
      <c r="K3909" s="8" t="n"/>
      <c r="L3909" s="8" t="n"/>
      <c r="M3909" s="8" t="n"/>
      <c r="N3909" s="8" t="n"/>
      <c r="O3909" s="8" t="n"/>
      <c r="P3909" s="8" t="n"/>
      <c r="Q3909" s="8" t="n"/>
      <c r="R3909" s="8" t="n"/>
      <c r="S3909" s="8" t="n"/>
      <c r="T3909" s="7" t="inlineStr">
        <is>
          <t>SEM COTAÇÃO</t>
        </is>
      </c>
      <c r="U3909" s="8" t="n"/>
      <c r="V3909" s="14" t="n"/>
      <c r="W3909" s="14" t="n"/>
      <c r="X3909" s="7" t="inlineStr"/>
      <c r="Y3909" s="7" t="inlineStr"/>
    </row>
    <row r="3910">
      <c r="A3910" s="7" t="n">
        <v>627731</v>
      </c>
      <c r="B3910" s="12" t="inlineStr">
        <is>
          <t>7896098902240</t>
        </is>
      </c>
      <c r="C3910" s="7" t="inlineStr">
        <is>
          <t>SABONETE FLOR DE YPE FLOR LAR/DAMASC 85G C</t>
        </is>
      </c>
      <c r="D3910" s="7" t="inlineStr">
        <is>
          <t>PERF/COSME</t>
        </is>
      </c>
      <c r="E3910" s="7" t="inlineStr">
        <is>
          <t>C</t>
        </is>
      </c>
      <c r="F3910" s="13" t="n">
        <v>1</v>
      </c>
      <c r="G3910" s="13" t="n">
        <v>1</v>
      </c>
      <c r="H3910" s="8" t="n">
        <v>1.76</v>
      </c>
      <c r="I3910" s="8" t="n">
        <v>1.76</v>
      </c>
      <c r="J3910" s="8" t="n">
        <v>1.76</v>
      </c>
      <c r="K3910" s="8" t="n"/>
      <c r="L3910" s="8" t="n"/>
      <c r="M3910" s="8" t="n"/>
      <c r="N3910" s="8" t="n"/>
      <c r="O3910" s="8" t="n"/>
      <c r="P3910" s="8" t="n"/>
      <c r="Q3910" s="8" t="n"/>
      <c r="R3910" s="8" t="n"/>
      <c r="S3910" s="8" t="n"/>
      <c r="T3910" s="7" t="inlineStr">
        <is>
          <t>SEM COTAÇÃO</t>
        </is>
      </c>
      <c r="U3910" s="8" t="n"/>
      <c r="V3910" s="14" t="n"/>
      <c r="W3910" s="14" t="n"/>
      <c r="X3910" s="7" t="inlineStr"/>
      <c r="Y3910" s="7" t="inlineStr"/>
    </row>
    <row r="3911">
      <c r="A3911" s="7" t="n">
        <v>627741</v>
      </c>
      <c r="B3911" s="12" t="inlineStr">
        <is>
          <t>7896098902219</t>
        </is>
      </c>
      <c r="C3911" s="7" t="inlineStr">
        <is>
          <t>SABONETE FLOR DE YPE GARDENIA/ARGAN 85G</t>
        </is>
      </c>
      <c r="D3911" s="7" t="inlineStr">
        <is>
          <t>PERF/COSME</t>
        </is>
      </c>
      <c r="E3911" s="7" t="inlineStr">
        <is>
          <t>C</t>
        </is>
      </c>
      <c r="F3911" s="13" t="n">
        <v>1</v>
      </c>
      <c r="G3911" s="13" t="n">
        <v>1</v>
      </c>
      <c r="H3911" s="8" t="n">
        <v>1.76</v>
      </c>
      <c r="I3911" s="8" t="n">
        <v>1.76</v>
      </c>
      <c r="J3911" s="8" t="n">
        <v>1.76</v>
      </c>
      <c r="K3911" s="8" t="n"/>
      <c r="L3911" s="8" t="n"/>
      <c r="M3911" s="8" t="n"/>
      <c r="N3911" s="8" t="n"/>
      <c r="O3911" s="8" t="n"/>
      <c r="P3911" s="8" t="n"/>
      <c r="Q3911" s="8" t="n"/>
      <c r="R3911" s="8" t="n"/>
      <c r="S3911" s="8" t="n"/>
      <c r="T3911" s="7" t="inlineStr">
        <is>
          <t>SEM COTAÇÃO</t>
        </is>
      </c>
      <c r="U3911" s="8" t="n"/>
      <c r="V3911" s="14" t="n"/>
      <c r="W3911" s="14" t="n"/>
      <c r="X3911" s="7" t="inlineStr"/>
      <c r="Y3911" s="7" t="inlineStr"/>
    </row>
    <row r="3912">
      <c r="A3912" s="7" t="n">
        <v>627751</v>
      </c>
      <c r="B3912" s="12" t="inlineStr">
        <is>
          <t>7896098902264</t>
        </is>
      </c>
      <c r="C3912" s="7" t="inlineStr">
        <is>
          <t>SABONETE FLOR DE YPE ROSAS BRA/AVEL 85G</t>
        </is>
      </c>
      <c r="D3912" s="7" t="inlineStr">
        <is>
          <t>DESATIVADO</t>
        </is>
      </c>
      <c r="E3912" s="7" t="inlineStr">
        <is>
          <t>C</t>
        </is>
      </c>
      <c r="F3912" s="13" t="n">
        <v>1</v>
      </c>
      <c r="G3912" s="13" t="n">
        <v>1</v>
      </c>
      <c r="H3912" s="8" t="n">
        <v>1.76</v>
      </c>
      <c r="I3912" s="8" t="n">
        <v>1.76</v>
      </c>
      <c r="J3912" s="8" t="n">
        <v>1.76</v>
      </c>
      <c r="K3912" s="8" t="n"/>
      <c r="L3912" s="8" t="n"/>
      <c r="M3912" s="8" t="n"/>
      <c r="N3912" s="8" t="n"/>
      <c r="O3912" s="8" t="n"/>
      <c r="P3912" s="8" t="n"/>
      <c r="Q3912" s="8" t="n"/>
      <c r="R3912" s="8" t="n"/>
      <c r="S3912" s="8" t="n"/>
      <c r="T3912" s="7" t="inlineStr">
        <is>
          <t>SEM COTAÇÃO</t>
        </is>
      </c>
      <c r="U3912" s="8" t="n"/>
      <c r="V3912" s="14" t="n"/>
      <c r="W3912" s="14" t="n"/>
      <c r="X3912" s="7" t="inlineStr"/>
      <c r="Y3912" s="7" t="inlineStr"/>
    </row>
    <row r="3913">
      <c r="A3913" s="7" t="n">
        <v>538681</v>
      </c>
      <c r="B3913" s="12" t="inlineStr">
        <is>
          <t>7896098902271</t>
        </is>
      </c>
      <c r="C3913" s="7" t="inlineStr">
        <is>
          <t>SABONETE FLOR DE YPE SUAVE FLOR DE BAUNILHA E AMENDOAS CARTUCHO 85G</t>
        </is>
      </c>
      <c r="D3913" s="7" t="inlineStr">
        <is>
          <t>PERF/COSME</t>
        </is>
      </c>
      <c r="E3913" s="7" t="inlineStr">
        <is>
          <t>C</t>
        </is>
      </c>
      <c r="F3913" s="13" t="n">
        <v>1</v>
      </c>
      <c r="G3913" s="13" t="n">
        <v>1</v>
      </c>
      <c r="H3913" s="8" t="n">
        <v>1.76</v>
      </c>
      <c r="I3913" s="8" t="n">
        <v>1.76</v>
      </c>
      <c r="J3913" s="8" t="n">
        <v>1.76</v>
      </c>
      <c r="K3913" s="8" t="n"/>
      <c r="L3913" s="8" t="n"/>
      <c r="M3913" s="8" t="n"/>
      <c r="N3913" s="8" t="n"/>
      <c r="O3913" s="8" t="n"/>
      <c r="P3913" s="8" t="n"/>
      <c r="Q3913" s="8" t="n"/>
      <c r="R3913" s="8" t="n"/>
      <c r="S3913" s="8" t="n"/>
      <c r="T3913" s="7" t="inlineStr">
        <is>
          <t>SEM COTAÇÃO</t>
        </is>
      </c>
      <c r="U3913" s="8" t="n"/>
      <c r="V3913" s="14" t="n"/>
      <c r="W3913" s="14" t="n"/>
      <c r="X3913" s="7" t="inlineStr"/>
      <c r="Y3913" s="7" t="inlineStr"/>
    </row>
    <row r="3914">
      <c r="A3914" s="7" t="n">
        <v>538741</v>
      </c>
      <c r="B3914" s="12" t="inlineStr">
        <is>
          <t>7896098902233</t>
        </is>
      </c>
      <c r="C3914" s="7" t="inlineStr">
        <is>
          <t>SABONETE FLOR DE YPE SUAVE FLOR DE MACA E FRAMBOESA 85G - UN</t>
        </is>
      </c>
      <c r="D3914" s="7" t="inlineStr">
        <is>
          <t>PERF/COSME</t>
        </is>
      </c>
      <c r="E3914" s="7" t="inlineStr">
        <is>
          <t>C</t>
        </is>
      </c>
      <c r="F3914" s="13" t="n">
        <v>1</v>
      </c>
      <c r="G3914" s="13" t="n">
        <v>1</v>
      </c>
      <c r="H3914" s="8" t="n">
        <v>1.76</v>
      </c>
      <c r="I3914" s="8" t="n">
        <v>1.76</v>
      </c>
      <c r="J3914" s="8" t="n">
        <v>1.76</v>
      </c>
      <c r="K3914" s="8" t="n"/>
      <c r="L3914" s="8" t="n"/>
      <c r="M3914" s="8" t="n"/>
      <c r="N3914" s="8" t="n"/>
      <c r="O3914" s="8" t="n"/>
      <c r="P3914" s="8" t="n"/>
      <c r="Q3914" s="8" t="n"/>
      <c r="R3914" s="8" t="n"/>
      <c r="S3914" s="8" t="n"/>
      <c r="T3914" s="7" t="inlineStr">
        <is>
          <t>SEM COTAÇÃO</t>
        </is>
      </c>
      <c r="U3914" s="8" t="n"/>
      <c r="V3914" s="14" t="n"/>
      <c r="W3914" s="14" t="n"/>
      <c r="X3914" s="7" t="inlineStr"/>
      <c r="Y3914" s="7" t="inlineStr"/>
    </row>
    <row r="3915">
      <c r="A3915" s="7" t="n">
        <v>545341</v>
      </c>
      <c r="B3915" s="12" t="inlineStr">
        <is>
          <t>7896018700789</t>
        </is>
      </c>
      <c r="C3915" s="7" t="inlineStr">
        <is>
          <t>SABONETE INFANTIL BARRA CHÁ DE CAMOMILA DISNEY BABY HUGGIES 75G</t>
        </is>
      </c>
      <c r="D3915" s="7" t="inlineStr">
        <is>
          <t>BABY/KIDS</t>
        </is>
      </c>
      <c r="E3915" s="7" t="inlineStr">
        <is>
          <t>C</t>
        </is>
      </c>
      <c r="F3915" s="13" t="n">
        <v>4</v>
      </c>
      <c r="G3915" s="13" t="n">
        <v>4</v>
      </c>
      <c r="H3915" s="8" t="n">
        <v>4.55</v>
      </c>
      <c r="I3915" s="8" t="n">
        <v>4.55</v>
      </c>
      <c r="J3915" s="8" t="n">
        <v>4.55</v>
      </c>
      <c r="K3915" s="8" t="n"/>
      <c r="L3915" s="8" t="n"/>
      <c r="M3915" s="8" t="n"/>
      <c r="N3915" s="8" t="n"/>
      <c r="O3915" s="8" t="n"/>
      <c r="P3915" s="15" t="n">
        <v>4.55</v>
      </c>
      <c r="Q3915" s="8" t="n"/>
      <c r="R3915" s="8" t="n"/>
      <c r="S3915" s="8" t="n"/>
      <c r="T3915" s="7" t="inlineStr">
        <is>
          <t>NAZARIA</t>
        </is>
      </c>
      <c r="U3915" s="8" t="n">
        <v>4.55</v>
      </c>
      <c r="V3915" s="14">
        <f>U3915/J3915-1</f>
        <v/>
      </c>
      <c r="W3915" s="14">
        <f>U3915/H3915-1</f>
        <v/>
      </c>
      <c r="X3915" s="17" t="inlineStr">
        <is>
          <t>OK (≤ menor hist.)</t>
        </is>
      </c>
      <c r="Y3915" s="7" t="inlineStr"/>
    </row>
    <row r="3916">
      <c r="A3916" s="7" t="n">
        <v>647681</v>
      </c>
      <c r="B3916" s="12" t="inlineStr">
        <is>
          <t>7898566786598</t>
        </is>
      </c>
      <c r="C3916" s="7" t="inlineStr">
        <is>
          <t>SABONETE INTIMO 17 ERVAS 200ML - BIO INSTINTO</t>
        </is>
      </c>
      <c r="D3916" s="7" t="inlineStr">
        <is>
          <t>DERMOCOSMETICOS/COSMETICOS</t>
        </is>
      </c>
      <c r="E3916" s="7" t="inlineStr">
        <is>
          <t>C</t>
        </is>
      </c>
      <c r="F3916" s="13" t="n">
        <v>8</v>
      </c>
      <c r="G3916" s="13" t="n">
        <v>8</v>
      </c>
      <c r="H3916" s="8" t="n">
        <v>3.65</v>
      </c>
      <c r="I3916" s="8" t="n">
        <v>3.65</v>
      </c>
      <c r="J3916" s="8" t="n">
        <v>3.65</v>
      </c>
      <c r="K3916" s="8" t="n"/>
      <c r="L3916" s="8" t="n"/>
      <c r="M3916" s="8" t="n"/>
      <c r="N3916" s="8" t="n"/>
      <c r="O3916" s="8" t="n"/>
      <c r="P3916" s="8" t="n"/>
      <c r="Q3916" s="8" t="n"/>
      <c r="R3916" s="8" t="n"/>
      <c r="S3916" s="8" t="n"/>
      <c r="T3916" s="7" t="inlineStr">
        <is>
          <t>SEM COTAÇÃO</t>
        </is>
      </c>
      <c r="U3916" s="8" t="n"/>
      <c r="V3916" s="14" t="n"/>
      <c r="W3916" s="14" t="n"/>
      <c r="X3916" s="7" t="inlineStr"/>
      <c r="Y3916" s="7" t="inlineStr"/>
    </row>
    <row r="3917">
      <c r="A3917" s="7" t="n">
        <v>674361</v>
      </c>
      <c r="B3917" s="12" t="inlineStr">
        <is>
          <t>7898936049049</t>
        </is>
      </c>
      <c r="C3917" s="7" t="inlineStr">
        <is>
          <t>SABONETE INTIMO 17 ERVAS 210ML</t>
        </is>
      </c>
      <c r="D3917" s="7" t="inlineStr">
        <is>
          <t>PERF/COSME</t>
        </is>
      </c>
      <c r="E3917" s="7" t="inlineStr">
        <is>
          <t>C</t>
        </is>
      </c>
      <c r="F3917" s="13" t="n">
        <v>7</v>
      </c>
      <c r="G3917" s="13" t="n">
        <v>7</v>
      </c>
      <c r="H3917" s="8" t="n">
        <v>3.35</v>
      </c>
      <c r="I3917" s="8" t="n">
        <v>3.35</v>
      </c>
      <c r="J3917" s="8" t="n">
        <v>3.35</v>
      </c>
      <c r="K3917" s="15" t="n">
        <v>3.33</v>
      </c>
      <c r="L3917" s="8" t="n"/>
      <c r="M3917" s="8" t="n"/>
      <c r="N3917" s="8" t="n"/>
      <c r="O3917" s="8" t="n"/>
      <c r="P3917" s="8" t="n"/>
      <c r="Q3917" s="8" t="n"/>
      <c r="R3917" s="8" t="n"/>
      <c r="S3917" s="8" t="n"/>
      <c r="T3917" s="7" t="inlineStr">
        <is>
          <t>DIMEC</t>
        </is>
      </c>
      <c r="U3917" s="8" t="n">
        <v>3.33</v>
      </c>
      <c r="V3917" s="14">
        <f>U3917/J3917-1</f>
        <v/>
      </c>
      <c r="W3917" s="14">
        <f>U3917/H3917-1</f>
        <v/>
      </c>
      <c r="X3917" s="17" t="inlineStr">
        <is>
          <t>OK (≤ menor hist.)</t>
        </is>
      </c>
      <c r="Y3917" s="7" t="inlineStr"/>
    </row>
    <row r="3918">
      <c r="A3918" s="7" t="n">
        <v>674311</v>
      </c>
      <c r="B3918" s="12" t="inlineStr">
        <is>
          <t>7898566783528</t>
        </is>
      </c>
      <c r="C3918" s="7" t="inlineStr">
        <is>
          <t>SABONETE INTIMO AROEIRA 200ML CX/12 - BIO INSTINTO</t>
        </is>
      </c>
      <c r="D3918" s="7" t="inlineStr">
        <is>
          <t>SABONETES BARRAS/LIQUIDOS</t>
        </is>
      </c>
      <c r="E3918" s="7" t="inlineStr">
        <is>
          <t>C</t>
        </is>
      </c>
      <c r="F3918" s="13" t="n">
        <v>1</v>
      </c>
      <c r="G3918" s="13" t="n">
        <v>1</v>
      </c>
      <c r="H3918" s="8" t="n">
        <v>5.95</v>
      </c>
      <c r="I3918" s="8" t="n">
        <v>5.95</v>
      </c>
      <c r="J3918" s="8" t="n">
        <v>5.95</v>
      </c>
      <c r="K3918" s="8" t="n"/>
      <c r="L3918" s="8" t="n"/>
      <c r="M3918" s="8" t="n"/>
      <c r="N3918" s="8" t="n"/>
      <c r="O3918" s="8" t="n"/>
      <c r="P3918" s="8" t="n"/>
      <c r="Q3918" s="8" t="n"/>
      <c r="R3918" s="8" t="n"/>
      <c r="S3918" s="8" t="n"/>
      <c r="T3918" s="7" t="inlineStr">
        <is>
          <t>SEM COTAÇÃO</t>
        </is>
      </c>
      <c r="U3918" s="8" t="n"/>
      <c r="V3918" s="14" t="n"/>
      <c r="W3918" s="14" t="n"/>
      <c r="X3918" s="7" t="inlineStr"/>
      <c r="Y3918" s="7" t="inlineStr"/>
    </row>
    <row r="3919">
      <c r="A3919" s="7" t="n">
        <v>690601</v>
      </c>
      <c r="B3919" s="12" t="inlineStr">
        <is>
          <t>7898966767272</t>
        </is>
      </c>
      <c r="C3919" s="7" t="inlineStr">
        <is>
          <t>SABONETE INTIMO AROEIRA 210ML - ECO FLORA</t>
        </is>
      </c>
      <c r="D3919" s="7" t="inlineStr">
        <is>
          <t>SABONETES BARRAS/LIQUIDOS</t>
        </is>
      </c>
      <c r="E3919" s="7" t="inlineStr">
        <is>
          <t>C</t>
        </is>
      </c>
      <c r="F3919" s="13" t="n">
        <v>2</v>
      </c>
      <c r="G3919" s="13" t="n">
        <v>2</v>
      </c>
      <c r="H3919" s="8" t="n">
        <v>5.78</v>
      </c>
      <c r="I3919" s="8" t="n">
        <v>5.78</v>
      </c>
      <c r="J3919" s="8" t="n">
        <v>5.78</v>
      </c>
      <c r="K3919" s="8" t="n"/>
      <c r="L3919" s="8" t="n"/>
      <c r="M3919" s="8" t="n"/>
      <c r="N3919" s="8" t="n"/>
      <c r="O3919" s="8" t="n"/>
      <c r="P3919" s="8" t="n"/>
      <c r="Q3919" s="8" t="n"/>
      <c r="R3919" s="8" t="n"/>
      <c r="S3919" s="8" t="n"/>
      <c r="T3919" s="7" t="inlineStr">
        <is>
          <t>SEM COTAÇÃO</t>
        </is>
      </c>
      <c r="U3919" s="8" t="n"/>
      <c r="V3919" s="14" t="n"/>
      <c r="W3919" s="14" t="n"/>
      <c r="X3919" s="7" t="inlineStr"/>
      <c r="Y3919" s="7" t="inlineStr"/>
    </row>
    <row r="3920">
      <c r="A3920" s="7" t="n">
        <v>647691</v>
      </c>
      <c r="B3920" s="12" t="inlineStr"/>
      <c r="C3920" s="7" t="inlineStr">
        <is>
          <t>SABONETE INTIMO BARBATIMAO 200ML - BIO INSTINTO</t>
        </is>
      </c>
      <c r="D3920" s="7" t="inlineStr">
        <is>
          <t>DERMOCOSMETICOS/COSMETICOS</t>
        </is>
      </c>
      <c r="E3920" s="7" t="inlineStr">
        <is>
          <t>B</t>
        </is>
      </c>
      <c r="F3920" s="13" t="n">
        <v>2</v>
      </c>
      <c r="G3920" s="13" t="n">
        <v>2</v>
      </c>
      <c r="H3920" s="8" t="n">
        <v>3.65</v>
      </c>
      <c r="I3920" s="8" t="n">
        <v>3.65</v>
      </c>
      <c r="J3920" s="8" t="n">
        <v>3.65</v>
      </c>
      <c r="K3920" s="8" t="n"/>
      <c r="L3920" s="8" t="n"/>
      <c r="M3920" s="8" t="n"/>
      <c r="N3920" s="8" t="n"/>
      <c r="O3920" s="8" t="n"/>
      <c r="P3920" s="8" t="n"/>
      <c r="Q3920" s="8" t="n"/>
      <c r="R3920" s="8" t="n"/>
      <c r="S3920" s="8" t="n"/>
      <c r="T3920" s="7" t="inlineStr">
        <is>
          <t>SEM COTAÇÃO</t>
        </is>
      </c>
      <c r="U3920" s="8" t="n"/>
      <c r="V3920" s="14" t="n"/>
      <c r="W3920" s="14" t="n"/>
      <c r="X3920" s="7" t="inlineStr"/>
      <c r="Y3920" s="7" t="inlineStr"/>
    </row>
    <row r="3921">
      <c r="A3921" s="7" t="n">
        <v>690301</v>
      </c>
      <c r="B3921" s="12" t="inlineStr">
        <is>
          <t>7898966767234</t>
        </is>
      </c>
      <c r="C3921" s="7" t="inlineStr">
        <is>
          <t>SABONETE INTIMO BARBATIMAO 210ML - ECO FLORA</t>
        </is>
      </c>
      <c r="D3921" s="7" t="inlineStr">
        <is>
          <t>SABONETES BARRAS/LIQUIDOS</t>
        </is>
      </c>
      <c r="E3921" s="7" t="inlineStr">
        <is>
          <t>C</t>
        </is>
      </c>
      <c r="F3921" s="13" t="n">
        <v>3</v>
      </c>
      <c r="G3921" s="13" t="n">
        <v>3</v>
      </c>
      <c r="H3921" s="8" t="n">
        <v>5.78</v>
      </c>
      <c r="I3921" s="8" t="n">
        <v>5.78</v>
      </c>
      <c r="J3921" s="8" t="n">
        <v>5.78</v>
      </c>
      <c r="K3921" s="8" t="n"/>
      <c r="L3921" s="8" t="n"/>
      <c r="M3921" s="8" t="n"/>
      <c r="N3921" s="8" t="n"/>
      <c r="O3921" s="8" t="n"/>
      <c r="P3921" s="8" t="n"/>
      <c r="Q3921" s="8" t="n"/>
      <c r="R3921" s="8" t="n"/>
      <c r="S3921" s="8" t="n"/>
      <c r="T3921" s="7" t="inlineStr">
        <is>
          <t>SEM COTAÇÃO</t>
        </is>
      </c>
      <c r="U3921" s="8" t="n"/>
      <c r="V3921" s="14" t="n"/>
      <c r="W3921" s="14" t="n"/>
      <c r="X3921" s="7" t="inlineStr"/>
      <c r="Y3921" s="7" t="inlineStr"/>
    </row>
    <row r="3922">
      <c r="A3922" s="7" t="n">
        <v>1503</v>
      </c>
      <c r="B3922" s="12" t="inlineStr">
        <is>
          <t>7898936049735</t>
        </is>
      </c>
      <c r="C3922" s="7" t="inlineStr">
        <is>
          <t>SABONETE INTIMO BARBATIMAO AROEIRA 210ML</t>
        </is>
      </c>
      <c r="D3922" s="7" t="inlineStr">
        <is>
          <t>PERF/COSME</t>
        </is>
      </c>
      <c r="E3922" s="7" t="inlineStr">
        <is>
          <t>C</t>
        </is>
      </c>
      <c r="F3922" s="13" t="n">
        <v>3</v>
      </c>
      <c r="G3922" s="13" t="n">
        <v>3</v>
      </c>
      <c r="H3922" s="8" t="n">
        <v>3.38</v>
      </c>
      <c r="I3922" s="8" t="n">
        <v>3.38</v>
      </c>
      <c r="J3922" s="8" t="n">
        <v>3.38</v>
      </c>
      <c r="K3922" s="15" t="n">
        <v>3.36</v>
      </c>
      <c r="L3922" s="8" t="n"/>
      <c r="M3922" s="8" t="n"/>
      <c r="N3922" s="8" t="n"/>
      <c r="O3922" s="8" t="n"/>
      <c r="P3922" s="8" t="n"/>
      <c r="Q3922" s="8" t="n"/>
      <c r="R3922" s="8" t="n"/>
      <c r="S3922" s="8" t="n"/>
      <c r="T3922" s="7" t="inlineStr">
        <is>
          <t>DIMEC</t>
        </is>
      </c>
      <c r="U3922" s="8" t="n">
        <v>3.36</v>
      </c>
      <c r="V3922" s="14">
        <f>U3922/J3922-1</f>
        <v/>
      </c>
      <c r="W3922" s="14">
        <f>U3922/H3922-1</f>
        <v/>
      </c>
      <c r="X3922" s="17" t="inlineStr">
        <is>
          <t>OK (≤ menor hist.)</t>
        </is>
      </c>
      <c r="Y3922" s="7" t="inlineStr"/>
    </row>
    <row r="3923">
      <c r="A3923" s="7" t="n">
        <v>647671</v>
      </c>
      <c r="B3923" s="12" t="inlineStr">
        <is>
          <t>7898566782439</t>
        </is>
      </c>
      <c r="C3923" s="7" t="inlineStr">
        <is>
          <t>SABONETE INTIMO BARBATIMAO E AROEIRA 200ML - BIO INSTINTO</t>
        </is>
      </c>
      <c r="D3923" s="7" t="inlineStr">
        <is>
          <t>DERMOCOSMETICOS/COSMETICOS</t>
        </is>
      </c>
      <c r="E3923" s="7" t="inlineStr">
        <is>
          <t>B</t>
        </is>
      </c>
      <c r="F3923" s="13" t="n">
        <v>3</v>
      </c>
      <c r="G3923" s="13" t="n">
        <v>3</v>
      </c>
      <c r="H3923" s="8" t="n">
        <v>5.95</v>
      </c>
      <c r="I3923" s="8" t="n">
        <v>5.95</v>
      </c>
      <c r="J3923" s="8" t="n">
        <v>5.95</v>
      </c>
      <c r="K3923" s="8" t="n"/>
      <c r="L3923" s="8" t="n"/>
      <c r="M3923" s="8" t="n"/>
      <c r="N3923" s="8" t="n"/>
      <c r="O3923" s="8" t="n"/>
      <c r="P3923" s="8" t="n"/>
      <c r="Q3923" s="8" t="n"/>
      <c r="R3923" s="8" t="n"/>
      <c r="S3923" s="8" t="n"/>
      <c r="T3923" s="7" t="inlineStr">
        <is>
          <t>SEM COTAÇÃO</t>
        </is>
      </c>
      <c r="U3923" s="8" t="n"/>
      <c r="V3923" s="14" t="n"/>
      <c r="W3923" s="14" t="n"/>
      <c r="X3923" s="7" t="inlineStr"/>
      <c r="Y3923" s="7" t="inlineStr"/>
    </row>
    <row r="3924">
      <c r="A3924" s="7" t="n">
        <v>647661</v>
      </c>
      <c r="B3924" s="12" t="inlineStr">
        <is>
          <t>7898566782453</t>
        </is>
      </c>
      <c r="C3924" s="7" t="inlineStr">
        <is>
          <t>SABONETE INTIMO ERVA DOCE 200ML - BIO INSTINTO</t>
        </is>
      </c>
      <c r="D3924" s="7" t="inlineStr">
        <is>
          <t>DERMOCOSMETICOS/COSMETICOS</t>
        </is>
      </c>
      <c r="E3924" s="7" t="inlineStr">
        <is>
          <t>C</t>
        </is>
      </c>
      <c r="F3924" s="13" t="n">
        <v>4</v>
      </c>
      <c r="G3924" s="13" t="n">
        <v>4</v>
      </c>
      <c r="H3924" s="8" t="n">
        <v>5.95</v>
      </c>
      <c r="I3924" s="8" t="n">
        <v>5.95</v>
      </c>
      <c r="J3924" s="8" t="n">
        <v>5.95</v>
      </c>
      <c r="K3924" s="8" t="n"/>
      <c r="L3924" s="8" t="n"/>
      <c r="M3924" s="8" t="n"/>
      <c r="N3924" s="8" t="n"/>
      <c r="O3924" s="8" t="n"/>
      <c r="P3924" s="8" t="n"/>
      <c r="Q3924" s="8" t="n"/>
      <c r="R3924" s="8" t="n"/>
      <c r="S3924" s="8" t="n"/>
      <c r="T3924" s="7" t="inlineStr">
        <is>
          <t>SEM COTAÇÃO</t>
        </is>
      </c>
      <c r="U3924" s="8" t="n"/>
      <c r="V3924" s="14" t="n"/>
      <c r="W3924" s="14" t="n"/>
      <c r="X3924" s="7" t="inlineStr"/>
      <c r="Y3924" s="7" t="inlineStr"/>
    </row>
    <row r="3925">
      <c r="A3925" s="7" t="n">
        <v>638171</v>
      </c>
      <c r="B3925" s="12" t="inlineStr">
        <is>
          <t>7898395840676</t>
        </is>
      </c>
      <c r="C3925" s="7" t="inlineStr">
        <is>
          <t>SABONETE INTIMO KIT FEMINE 200ML</t>
        </is>
      </c>
      <c r="D3925" s="7" t="inlineStr">
        <is>
          <t>PERF/COSME</t>
        </is>
      </c>
      <c r="E3925" s="7" t="inlineStr">
        <is>
          <t>C</t>
        </is>
      </c>
      <c r="F3925" s="13" t="n">
        <v>1</v>
      </c>
      <c r="G3925" s="13" t="n">
        <v>1</v>
      </c>
      <c r="H3925" s="8" t="n">
        <v>16.65</v>
      </c>
      <c r="I3925" s="8" t="n">
        <v>16.65</v>
      </c>
      <c r="J3925" s="8" t="n">
        <v>16.65</v>
      </c>
      <c r="K3925" s="8" t="n"/>
      <c r="L3925" s="8" t="n"/>
      <c r="M3925" s="8" t="n"/>
      <c r="N3925" s="8" t="n"/>
      <c r="O3925" s="8" t="n"/>
      <c r="P3925" s="8" t="n"/>
      <c r="Q3925" s="8" t="n"/>
      <c r="R3925" s="8" t="n"/>
      <c r="S3925" s="8" t="n"/>
      <c r="T3925" s="7" t="inlineStr">
        <is>
          <t>SEM COTAÇÃO</t>
        </is>
      </c>
      <c r="U3925" s="8" t="n"/>
      <c r="V3925" s="14" t="n"/>
      <c r="W3925" s="14" t="n"/>
      <c r="X3925" s="7" t="inlineStr"/>
      <c r="Y3925" s="7" t="inlineStr"/>
    </row>
    <row r="3926">
      <c r="A3926" s="7" t="n">
        <v>540441</v>
      </c>
      <c r="B3926" s="12" t="inlineStr">
        <is>
          <t>7896018700338</t>
        </is>
      </c>
      <c r="C3926" s="7" t="inlineStr">
        <is>
          <t>SABONETE LIQ HUGGIES EXTRA SUAVE 200ML</t>
        </is>
      </c>
      <c r="D3926" s="7" t="inlineStr">
        <is>
          <t>PERF/COSME</t>
        </is>
      </c>
      <c r="E3926" s="7" t="inlineStr">
        <is>
          <t>C</t>
        </is>
      </c>
      <c r="F3926" s="13" t="n">
        <v>1</v>
      </c>
      <c r="G3926" s="13" t="n">
        <v>1</v>
      </c>
      <c r="H3926" s="8" t="n">
        <v>10.64</v>
      </c>
      <c r="I3926" s="8" t="n">
        <v>10.64</v>
      </c>
      <c r="J3926" s="8" t="n">
        <v>10.64</v>
      </c>
      <c r="K3926" s="8" t="n"/>
      <c r="L3926" s="8" t="n"/>
      <c r="M3926" s="8" t="n"/>
      <c r="N3926" s="8" t="n"/>
      <c r="O3926" s="8" t="n"/>
      <c r="P3926" s="15" t="n">
        <v>15.73</v>
      </c>
      <c r="Q3926" s="8" t="n"/>
      <c r="R3926" s="8" t="n"/>
      <c r="S3926" s="8" t="n"/>
      <c r="T3926" s="7" t="inlineStr">
        <is>
          <t>NAZARIA</t>
        </is>
      </c>
      <c r="U3926" s="8" t="n">
        <v>15.73</v>
      </c>
      <c r="V3926" s="14">
        <f>U3926/J3926-1</f>
        <v/>
      </c>
      <c r="W3926" s="14">
        <f>U3926/H3926-1</f>
        <v/>
      </c>
      <c r="X3926" s="16" t="inlineStr">
        <is>
          <t>ACIMA +47.8%</t>
        </is>
      </c>
      <c r="Y3926" s="7" t="inlineStr"/>
    </row>
    <row r="3927">
      <c r="A3927" s="7" t="n">
        <v>535801</v>
      </c>
      <c r="B3927" s="12" t="inlineStr">
        <is>
          <t>7897595901866</t>
        </is>
      </c>
      <c r="C3927" s="7" t="inlineStr">
        <is>
          <t>SABONETE LIQUIDO DERMACYD FEMINA FLORAL 200 ML</t>
        </is>
      </c>
      <c r="D3927" s="7" t="inlineStr">
        <is>
          <t>RX</t>
        </is>
      </c>
      <c r="E3927" s="7" t="inlineStr">
        <is>
          <t>C</t>
        </is>
      </c>
      <c r="F3927" s="13" t="n">
        <v>5</v>
      </c>
      <c r="G3927" s="13" t="n">
        <v>5</v>
      </c>
      <c r="H3927" s="8" t="n">
        <v>18.92</v>
      </c>
      <c r="I3927" s="8" t="n">
        <v>18.61</v>
      </c>
      <c r="J3927" s="8" t="n">
        <v>18.81666666666667</v>
      </c>
      <c r="K3927" s="8" t="n"/>
      <c r="L3927" s="8" t="n"/>
      <c r="M3927" s="8" t="n"/>
      <c r="N3927" s="8" t="n"/>
      <c r="O3927" s="8" t="n"/>
      <c r="P3927" s="8" t="n">
        <v>20.02</v>
      </c>
      <c r="Q3927" s="8" t="n"/>
      <c r="R3927" s="8" t="n"/>
      <c r="S3927" s="8" t="n"/>
      <c r="T3927" s="7" t="inlineStr">
        <is>
          <t>SEM COTAÇÃO</t>
        </is>
      </c>
      <c r="U3927" s="8" t="n"/>
      <c r="V3927" s="14" t="n"/>
      <c r="W3927" s="14" t="n"/>
      <c r="X3927" s="7" t="inlineStr"/>
      <c r="Y3927" s="7" t="inlineStr">
        <is>
          <t>NAZARIA: sem estoque</t>
        </is>
      </c>
    </row>
    <row r="3928">
      <c r="A3928" s="7" t="n">
        <v>45</v>
      </c>
      <c r="B3928" s="12" t="inlineStr">
        <is>
          <t>7896004790640</t>
        </is>
      </c>
      <c r="C3928" s="7" t="inlineStr">
        <is>
          <t>SABONETE LIQUIDO DERMACYD FEMINA FLORAL 200 ML</t>
        </is>
      </c>
      <c r="D3928" s="7" t="inlineStr">
        <is>
          <t>RX</t>
        </is>
      </c>
      <c r="E3928" s="7" t="inlineStr">
        <is>
          <t>C</t>
        </is>
      </c>
      <c r="F3928" s="13" t="n">
        <v>1</v>
      </c>
      <c r="G3928" s="13" t="n">
        <v>1</v>
      </c>
      <c r="H3928" s="8" t="n"/>
      <c r="I3928" s="8" t="n"/>
      <c r="J3928" s="8" t="n"/>
      <c r="K3928" s="8" t="n"/>
      <c r="L3928" s="8" t="n"/>
      <c r="M3928" s="8" t="n"/>
      <c r="N3928" s="8" t="n"/>
      <c r="O3928" s="8" t="n"/>
      <c r="P3928" s="8" t="n"/>
      <c r="Q3928" s="8" t="n"/>
      <c r="R3928" s="8" t="n"/>
      <c r="S3928" s="8" t="n"/>
      <c r="T3928" s="7" t="inlineStr">
        <is>
          <t>SEM COTAÇÃO</t>
        </is>
      </c>
      <c r="U3928" s="8" t="n"/>
      <c r="V3928" s="14" t="n"/>
      <c r="W3928" s="14" t="n"/>
      <c r="X3928" s="7" t="inlineStr"/>
      <c r="Y3928" s="7" t="inlineStr"/>
    </row>
    <row r="3929">
      <c r="A3929" s="7" t="n">
        <v>543801</v>
      </c>
      <c r="B3929" s="12" t="inlineStr">
        <is>
          <t>7897595903914</t>
        </is>
      </c>
      <c r="C3929" s="7" t="inlineStr">
        <is>
          <t>SABONETE LIQUIDO INTIMO DELICATA JASMIM DERMACYD PRO-BIO FRASCO 200ML</t>
        </is>
      </c>
      <c r="D3929" s="7" t="inlineStr">
        <is>
          <t>PERF/COSME</t>
        </is>
      </c>
      <c r="E3929" s="7" t="inlineStr">
        <is>
          <t>C</t>
        </is>
      </c>
      <c r="F3929" s="13" t="n">
        <v>2</v>
      </c>
      <c r="G3929" s="13" t="n">
        <v>2</v>
      </c>
      <c r="H3929" s="8" t="n">
        <v>17.92</v>
      </c>
      <c r="I3929" s="8" t="n">
        <v>17.92</v>
      </c>
      <c r="J3929" s="8" t="n">
        <v>17.92</v>
      </c>
      <c r="K3929" s="8" t="n"/>
      <c r="L3929" s="8" t="n"/>
      <c r="M3929" s="8" t="n"/>
      <c r="N3929" s="8" t="n"/>
      <c r="O3929" s="8" t="n"/>
      <c r="P3929" s="8" t="n"/>
      <c r="Q3929" s="8" t="n"/>
      <c r="R3929" s="8" t="n"/>
      <c r="S3929" s="8" t="n"/>
      <c r="T3929" s="7" t="inlineStr">
        <is>
          <t>SEM COTAÇÃO</t>
        </is>
      </c>
      <c r="U3929" s="8" t="n"/>
      <c r="V3929" s="14" t="n"/>
      <c r="W3929" s="14" t="n"/>
      <c r="X3929" s="7" t="inlineStr"/>
      <c r="Y3929" s="7" t="inlineStr"/>
    </row>
    <row r="3930">
      <c r="A3930" s="7" t="n">
        <v>535741</v>
      </c>
      <c r="B3930" s="12" t="inlineStr">
        <is>
          <t>7890704810516</t>
        </is>
      </c>
      <c r="C3930" s="7" t="inlineStr">
        <is>
          <t>SABONETE LIQUIDO INTIMO NIVEA SUAVE FRASCO 250ML</t>
        </is>
      </c>
      <c r="D3930" s="7" t="inlineStr">
        <is>
          <t>PERF/COSME</t>
        </is>
      </c>
      <c r="E3930" s="7" t="inlineStr">
        <is>
          <t>A</t>
        </is>
      </c>
      <c r="F3930" s="13" t="n">
        <v>3</v>
      </c>
      <c r="G3930" s="13" t="n">
        <v>3</v>
      </c>
      <c r="H3930" s="8" t="n">
        <v>17.7647</v>
      </c>
      <c r="I3930" s="8" t="n">
        <v>16.0142</v>
      </c>
      <c r="J3930" s="8" t="n">
        <v>16.99806666666666</v>
      </c>
      <c r="K3930" s="8" t="n"/>
      <c r="L3930" s="8" t="n"/>
      <c r="M3930" s="8" t="n"/>
      <c r="N3930" s="8" t="n"/>
      <c r="O3930" s="8" t="n"/>
      <c r="P3930" s="15" t="n">
        <v>20.34</v>
      </c>
      <c r="Q3930" s="8" t="n"/>
      <c r="R3930" s="8" t="n"/>
      <c r="S3930" s="8" t="n"/>
      <c r="T3930" s="7" t="inlineStr">
        <is>
          <t>NAZARIA</t>
        </is>
      </c>
      <c r="U3930" s="8" t="n">
        <v>20.34</v>
      </c>
      <c r="V3930" s="14">
        <f>U3930/J3930-1</f>
        <v/>
      </c>
      <c r="W3930" s="14">
        <f>U3930/H3930-1</f>
        <v/>
      </c>
      <c r="X3930" s="16" t="inlineStr">
        <is>
          <t>ACIMA +14.5%</t>
        </is>
      </c>
      <c r="Y3930" s="7" t="inlineStr"/>
    </row>
    <row r="3931">
      <c r="A3931" s="7" t="n">
        <v>535581</v>
      </c>
      <c r="B3931" s="12" t="inlineStr">
        <is>
          <t>7891024115800</t>
        </is>
      </c>
      <c r="C3931" s="7" t="inlineStr">
        <is>
          <t>SABONETE LIQUIDO PROTEX BALANCE SAUDAVEL FRASCO 250ML</t>
        </is>
      </c>
      <c r="D3931" s="7" t="inlineStr">
        <is>
          <t>PERF/COSME</t>
        </is>
      </c>
      <c r="E3931" s="7" t="inlineStr">
        <is>
          <t>C</t>
        </is>
      </c>
      <c r="F3931" s="13" t="n">
        <v>3</v>
      </c>
      <c r="G3931" s="13" t="n">
        <v>3</v>
      </c>
      <c r="H3931" s="8" t="n">
        <v>7.6233</v>
      </c>
      <c r="I3931" s="8" t="n">
        <v>7.0783</v>
      </c>
      <c r="J3931" s="8" t="n">
        <v>7.0783</v>
      </c>
      <c r="K3931" s="8" t="n"/>
      <c r="L3931" s="8" t="n"/>
      <c r="M3931" s="8" t="n"/>
      <c r="N3931" s="8" t="n"/>
      <c r="O3931" s="8" t="n"/>
      <c r="P3931" s="15" t="n">
        <v>11.7</v>
      </c>
      <c r="Q3931" s="8" t="n"/>
      <c r="R3931" s="8" t="n"/>
      <c r="S3931" s="8" t="n"/>
      <c r="T3931" s="7" t="inlineStr">
        <is>
          <t>NAZARIA</t>
        </is>
      </c>
      <c r="U3931" s="8" t="n">
        <v>11.7</v>
      </c>
      <c r="V3931" s="14">
        <f>U3931/J3931-1</f>
        <v/>
      </c>
      <c r="W3931" s="14">
        <f>U3931/H3931-1</f>
        <v/>
      </c>
      <c r="X3931" s="16" t="inlineStr">
        <is>
          <t>ACIMA +53.5%</t>
        </is>
      </c>
      <c r="Y3931" s="7" t="inlineStr"/>
    </row>
    <row r="3932">
      <c r="A3932" s="7" t="n">
        <v>535621</v>
      </c>
      <c r="B3932" s="12" t="inlineStr">
        <is>
          <t>7891024115107</t>
        </is>
      </c>
      <c r="C3932" s="7" t="inlineStr">
        <is>
          <t>SABONETE LIQUIDO PROTEX CREAM FRASCO 250ML</t>
        </is>
      </c>
      <c r="D3932" s="7" t="inlineStr">
        <is>
          <t>PERF/COSME</t>
        </is>
      </c>
      <c r="E3932" s="7" t="inlineStr">
        <is>
          <t>A</t>
        </is>
      </c>
      <c r="F3932" s="13" t="n">
        <v>6</v>
      </c>
      <c r="G3932" s="13" t="n">
        <v>6</v>
      </c>
      <c r="H3932" s="8" t="n">
        <v>8.775</v>
      </c>
      <c r="I3932" s="8" t="n">
        <v>7.0783</v>
      </c>
      <c r="J3932" s="8" t="n">
        <v>8.209433333333333</v>
      </c>
      <c r="K3932" s="8" t="n"/>
      <c r="L3932" s="8" t="n"/>
      <c r="M3932" s="8" t="n"/>
      <c r="N3932" s="8" t="n"/>
      <c r="O3932" s="8" t="n"/>
      <c r="P3932" s="15" t="n">
        <v>11.7</v>
      </c>
      <c r="Q3932" s="8" t="n"/>
      <c r="R3932" s="8" t="n"/>
      <c r="S3932" s="8" t="n"/>
      <c r="T3932" s="7" t="inlineStr">
        <is>
          <t>NAZARIA</t>
        </is>
      </c>
      <c r="U3932" s="8" t="n">
        <v>11.7</v>
      </c>
      <c r="V3932" s="14">
        <f>U3932/J3932-1</f>
        <v/>
      </c>
      <c r="W3932" s="14">
        <f>U3932/H3932-1</f>
        <v/>
      </c>
      <c r="X3932" s="16" t="inlineStr">
        <is>
          <t>ACIMA +33.3%</t>
        </is>
      </c>
      <c r="Y3932" s="7" t="inlineStr"/>
    </row>
    <row r="3933">
      <c r="A3933" s="7" t="n">
        <v>577781</v>
      </c>
      <c r="B3933" s="12" t="inlineStr">
        <is>
          <t>7897947614222</t>
        </is>
      </c>
      <c r="C3933" s="7" t="inlineStr">
        <is>
          <t>SABONETE LÍQUIDO ÍNTIMO FRESH DERMAFEME FRASCO 200ML</t>
        </is>
      </c>
      <c r="D3933" s="7" t="inlineStr">
        <is>
          <t>PERF/COSME</t>
        </is>
      </c>
      <c r="E3933" s="7" t="inlineStr">
        <is>
          <t>C</t>
        </is>
      </c>
      <c r="F3933" s="13" t="n">
        <v>1</v>
      </c>
      <c r="G3933" s="13" t="n">
        <v>2</v>
      </c>
      <c r="H3933" s="8" t="n">
        <v>7.845</v>
      </c>
      <c r="I3933" s="8" t="n">
        <v>7.845</v>
      </c>
      <c r="J3933" s="8" t="n">
        <v>7.845</v>
      </c>
      <c r="K3933" s="8" t="n"/>
      <c r="L3933" s="8" t="n"/>
      <c r="M3933" s="8" t="n"/>
      <c r="N3933" s="8" t="n"/>
      <c r="O3933" s="8" t="n"/>
      <c r="P3933" s="8" t="n"/>
      <c r="Q3933" s="8" t="n"/>
      <c r="R3933" s="8" t="n"/>
      <c r="S3933" s="8" t="n"/>
      <c r="T3933" s="7" t="inlineStr">
        <is>
          <t>SEM COTAÇÃO</t>
        </is>
      </c>
      <c r="U3933" s="8" t="n"/>
      <c r="V3933" s="14" t="n"/>
      <c r="W3933" s="14" t="n"/>
      <c r="X3933" s="7" t="inlineStr"/>
      <c r="Y3933" s="7" t="inlineStr"/>
    </row>
    <row r="3934">
      <c r="A3934" s="7" t="n">
        <v>544</v>
      </c>
      <c r="B3934" s="12" t="inlineStr">
        <is>
          <t>7896699023443</t>
        </is>
      </c>
      <c r="C3934" s="7" t="inlineStr">
        <is>
          <t>SABONETEIRA LOLLY AZUL</t>
        </is>
      </c>
      <c r="D3934" s="7" t="inlineStr">
        <is>
          <t>PERF/COSME</t>
        </is>
      </c>
      <c r="E3934" s="7" t="inlineStr">
        <is>
          <t>C</t>
        </is>
      </c>
      <c r="F3934" s="13" t="n">
        <v>1</v>
      </c>
      <c r="G3934" s="13" t="n">
        <v>1</v>
      </c>
      <c r="H3934" s="8" t="n"/>
      <c r="I3934" s="8" t="n"/>
      <c r="J3934" s="8" t="n"/>
      <c r="K3934" s="8" t="n"/>
      <c r="L3934" s="8" t="n"/>
      <c r="M3934" s="8" t="n"/>
      <c r="N3934" s="8" t="n"/>
      <c r="O3934" s="8" t="n"/>
      <c r="P3934" s="8" t="n"/>
      <c r="Q3934" s="8" t="n"/>
      <c r="R3934" s="8" t="n"/>
      <c r="S3934" s="8" t="n"/>
      <c r="T3934" s="7" t="inlineStr">
        <is>
          <t>SEM COTAÇÃO</t>
        </is>
      </c>
      <c r="U3934" s="8" t="n"/>
      <c r="V3934" s="14" t="n"/>
      <c r="W3934" s="14" t="n"/>
      <c r="X3934" s="7" t="inlineStr"/>
      <c r="Y3934" s="7" t="inlineStr"/>
    </row>
    <row r="3935">
      <c r="A3935" s="7" t="n">
        <v>531721</v>
      </c>
      <c r="B3935" s="12" t="inlineStr">
        <is>
          <t>7898031311324</t>
        </is>
      </c>
      <c r="C3935" s="7" t="inlineStr">
        <is>
          <t>SAL AMARGO 30G</t>
        </is>
      </c>
      <c r="D3935" s="7" t="inlineStr">
        <is>
          <t>SIMILAR</t>
        </is>
      </c>
      <c r="E3935" s="7" t="inlineStr">
        <is>
          <t>B</t>
        </is>
      </c>
      <c r="F3935" s="13" t="n">
        <v>5</v>
      </c>
      <c r="G3935" s="13" t="n">
        <v>5</v>
      </c>
      <c r="H3935" s="8" t="n">
        <v>2.49</v>
      </c>
      <c r="I3935" s="8" t="n">
        <v>2.23</v>
      </c>
      <c r="J3935" s="8" t="n">
        <v>2.316666666666667</v>
      </c>
      <c r="K3935" s="15" t="n">
        <v>2.36</v>
      </c>
      <c r="L3935" s="8" t="n"/>
      <c r="M3935" s="8" t="n"/>
      <c r="N3935" s="8" t="n">
        <v>2.39</v>
      </c>
      <c r="O3935" s="8" t="n"/>
      <c r="P3935" s="8" t="n">
        <v>2.5</v>
      </c>
      <c r="Q3935" s="8" t="n">
        <v>2.47</v>
      </c>
      <c r="R3935" s="8" t="n"/>
      <c r="S3935" s="8" t="n"/>
      <c r="T3935" s="7" t="inlineStr">
        <is>
          <t>DIMEC</t>
        </is>
      </c>
      <c r="U3935" s="8" t="n">
        <v>2.36</v>
      </c>
      <c r="V3935" s="14">
        <f>U3935/J3935-1</f>
        <v/>
      </c>
      <c r="W3935" s="14">
        <f>U3935/H3935-1</f>
        <v/>
      </c>
      <c r="X3935" s="17" t="inlineStr">
        <is>
          <t>OK (≤ últ. compra)</t>
        </is>
      </c>
      <c r="Y3935" s="7" t="inlineStr"/>
    </row>
    <row r="3936">
      <c r="A3936" s="7" t="n">
        <v>638161</v>
      </c>
      <c r="B3936" s="12" t="inlineStr"/>
      <c r="C3936" s="7" t="inlineStr">
        <is>
          <t>SALG BOLA CHEETOS 125G</t>
        </is>
      </c>
      <c r="D3936" s="7" t="inlineStr">
        <is>
          <t>CONVENIENCIA</t>
        </is>
      </c>
      <c r="E3936" s="7" t="inlineStr">
        <is>
          <t>B</t>
        </is>
      </c>
      <c r="F3936" s="13" t="n">
        <v>3</v>
      </c>
      <c r="G3936" s="13" t="n">
        <v>3</v>
      </c>
      <c r="H3936" s="8" t="n">
        <v>13.07</v>
      </c>
      <c r="I3936" s="8" t="n">
        <v>12.71</v>
      </c>
      <c r="J3936" s="8" t="n">
        <v>12.95</v>
      </c>
      <c r="K3936" s="8" t="n"/>
      <c r="L3936" s="8" t="n"/>
      <c r="M3936" s="8" t="n"/>
      <c r="N3936" s="8" t="n"/>
      <c r="O3936" s="8" t="n"/>
      <c r="P3936" s="8" t="n"/>
      <c r="Q3936" s="8" t="n"/>
      <c r="R3936" s="8" t="n"/>
      <c r="S3936" s="8" t="n"/>
      <c r="T3936" s="7" t="inlineStr">
        <is>
          <t>SEM COTAÇÃO</t>
        </is>
      </c>
      <c r="U3936" s="8" t="n"/>
      <c r="V3936" s="14" t="n"/>
      <c r="W3936" s="14" t="n"/>
      <c r="X3936" s="7" t="inlineStr"/>
      <c r="Y3936" s="7" t="inlineStr"/>
    </row>
    <row r="3937">
      <c r="A3937" s="7" t="n">
        <v>632881</v>
      </c>
      <c r="B3937" s="12" t="inlineStr">
        <is>
          <t>7892840822279</t>
        </is>
      </c>
      <c r="C3937" s="7" t="inlineStr">
        <is>
          <t>SALG BOLA CHEETOS 33G UN QTD. 1.00 UN</t>
        </is>
      </c>
      <c r="D3937" s="7" t="inlineStr">
        <is>
          <t>CONVENIENCIA</t>
        </is>
      </c>
      <c r="E3937" s="7" t="inlineStr">
        <is>
          <t>C</t>
        </is>
      </c>
      <c r="F3937" s="13" t="n">
        <v>12</v>
      </c>
      <c r="G3937" s="13" t="n">
        <v>12</v>
      </c>
      <c r="H3937" s="8" t="n">
        <v>3.93</v>
      </c>
      <c r="I3937" s="8" t="n">
        <v>3.93</v>
      </c>
      <c r="J3937" s="8" t="n">
        <v>3.93</v>
      </c>
      <c r="K3937" s="8" t="n"/>
      <c r="L3937" s="8" t="n"/>
      <c r="M3937" s="8" t="n"/>
      <c r="N3937" s="8" t="n"/>
      <c r="O3937" s="8" t="n"/>
      <c r="P3937" s="8" t="n"/>
      <c r="Q3937" s="8" t="n"/>
      <c r="R3937" s="8" t="n"/>
      <c r="S3937" s="8" t="n"/>
      <c r="T3937" s="7" t="inlineStr">
        <is>
          <t>SEM COTAÇÃO</t>
        </is>
      </c>
      <c r="U3937" s="8" t="n"/>
      <c r="V3937" s="14" t="n"/>
      <c r="W3937" s="14" t="n"/>
      <c r="X3937" s="7" t="inlineStr"/>
      <c r="Y3937" s="7" t="inlineStr"/>
    </row>
    <row r="3938">
      <c r="A3938" s="7" t="n">
        <v>636991</v>
      </c>
      <c r="B3938" s="12" t="inlineStr">
        <is>
          <t>7892840822958</t>
        </is>
      </c>
      <c r="C3938" s="7" t="inlineStr">
        <is>
          <t>SALG CEBOLA E SALSA RUFFLES 33G</t>
        </is>
      </c>
      <c r="D3938" s="7" t="inlineStr">
        <is>
          <t>CONVENIENCIA</t>
        </is>
      </c>
      <c r="E3938" s="7" t="inlineStr">
        <is>
          <t>C</t>
        </is>
      </c>
      <c r="F3938" s="13" t="n">
        <v>6</v>
      </c>
      <c r="G3938" s="13" t="n">
        <v>6</v>
      </c>
      <c r="H3938" s="8" t="n">
        <v>5.81</v>
      </c>
      <c r="I3938" s="8" t="n">
        <v>5.81</v>
      </c>
      <c r="J3938" s="8" t="n">
        <v>5.81</v>
      </c>
      <c r="K3938" s="8" t="n"/>
      <c r="L3938" s="8" t="n"/>
      <c r="M3938" s="8" t="n"/>
      <c r="N3938" s="8" t="n"/>
      <c r="O3938" s="8" t="n"/>
      <c r="P3938" s="8" t="n"/>
      <c r="Q3938" s="8" t="n"/>
      <c r="R3938" s="8" t="n"/>
      <c r="S3938" s="8" t="n"/>
      <c r="T3938" s="7" t="inlineStr">
        <is>
          <t>SEM COTAÇÃO</t>
        </is>
      </c>
      <c r="U3938" s="8" t="n"/>
      <c r="V3938" s="14" t="n"/>
      <c r="W3938" s="14" t="n"/>
      <c r="X3938" s="7" t="inlineStr"/>
      <c r="Y3938" s="7" t="inlineStr"/>
    </row>
    <row r="3939">
      <c r="A3939" s="7" t="n">
        <v>638141</v>
      </c>
      <c r="B3939" s="12" t="inlineStr"/>
      <c r="C3939" s="7" t="inlineStr">
        <is>
          <t>SALG CEBOLA E SALSA RUFFLES 68G UN QTD. 3.00 UN</t>
        </is>
      </c>
      <c r="D3939" s="7" t="inlineStr">
        <is>
          <t>CONVENIENCIA</t>
        </is>
      </c>
      <c r="E3939" s="7" t="inlineStr">
        <is>
          <t>B</t>
        </is>
      </c>
      <c r="F3939" s="13" t="n">
        <v>2</v>
      </c>
      <c r="G3939" s="13" t="n">
        <v>2</v>
      </c>
      <c r="H3939" s="8" t="n">
        <v>9.4</v>
      </c>
      <c r="I3939" s="8" t="n">
        <v>9.4</v>
      </c>
      <c r="J3939" s="8" t="n">
        <v>9.4</v>
      </c>
      <c r="K3939" s="8" t="n"/>
      <c r="L3939" s="8" t="n"/>
      <c r="M3939" s="8" t="n"/>
      <c r="N3939" s="8" t="n"/>
      <c r="O3939" s="8" t="n"/>
      <c r="P3939" s="8" t="n"/>
      <c r="Q3939" s="8" t="n"/>
      <c r="R3939" s="8" t="n"/>
      <c r="S3939" s="8" t="n"/>
      <c r="T3939" s="7" t="inlineStr">
        <is>
          <t>SEM COTAÇÃO</t>
        </is>
      </c>
      <c r="U3939" s="8" t="n"/>
      <c r="V3939" s="14" t="n"/>
      <c r="W3939" s="14" t="n"/>
      <c r="X3939" s="7" t="inlineStr"/>
      <c r="Y3939" s="7" t="inlineStr"/>
    </row>
    <row r="3940">
      <c r="A3940" s="7" t="n">
        <v>636051</v>
      </c>
      <c r="B3940" s="12" t="inlineStr">
        <is>
          <t>7892840822811</t>
        </is>
      </c>
      <c r="C3940" s="7" t="inlineStr">
        <is>
          <t>SALG CEBOLITOS 45G UN QTD UN</t>
        </is>
      </c>
      <c r="D3940" s="7" t="inlineStr">
        <is>
          <t>CONVENIENCIA</t>
        </is>
      </c>
      <c r="E3940" s="7" t="inlineStr">
        <is>
          <t>C</t>
        </is>
      </c>
      <c r="F3940" s="13" t="n">
        <v>4</v>
      </c>
      <c r="G3940" s="13" t="n">
        <v>4</v>
      </c>
      <c r="H3940" s="8" t="n">
        <v>4.94</v>
      </c>
      <c r="I3940" s="8" t="n">
        <v>4.94</v>
      </c>
      <c r="J3940" s="8" t="n">
        <v>4.94</v>
      </c>
      <c r="K3940" s="8" t="n"/>
      <c r="L3940" s="8" t="n"/>
      <c r="M3940" s="8" t="n"/>
      <c r="N3940" s="8" t="n"/>
      <c r="O3940" s="8" t="n"/>
      <c r="P3940" s="8" t="n"/>
      <c r="Q3940" s="8" t="n"/>
      <c r="R3940" s="8" t="n"/>
      <c r="S3940" s="8" t="n"/>
      <c r="T3940" s="7" t="inlineStr">
        <is>
          <t>SEM COTAÇÃO</t>
        </is>
      </c>
      <c r="U3940" s="8" t="n"/>
      <c r="V3940" s="14" t="n"/>
      <c r="W3940" s="14" t="n"/>
      <c r="X3940" s="7" t="inlineStr"/>
      <c r="Y3940" s="7" t="inlineStr"/>
    </row>
    <row r="3941">
      <c r="A3941" s="7" t="n">
        <v>655121</v>
      </c>
      <c r="B3941" s="12" t="inlineStr">
        <is>
          <t>7892840822804</t>
        </is>
      </c>
      <c r="C3941" s="7" t="inlineStr">
        <is>
          <t>SALG CEBOLITOS 91G UN QTD. 3.00 UN</t>
        </is>
      </c>
      <c r="D3941" s="7" t="inlineStr">
        <is>
          <t>BISCOITOS/SALGADOS</t>
        </is>
      </c>
      <c r="E3941" s="7" t="inlineStr">
        <is>
          <t>C</t>
        </is>
      </c>
      <c r="F3941" s="13" t="n">
        <v>1</v>
      </c>
      <c r="G3941" s="13" t="n">
        <v>1</v>
      </c>
      <c r="H3941" s="8" t="n">
        <v>9.720000000000001</v>
      </c>
      <c r="I3941" s="8" t="n">
        <v>9.720000000000001</v>
      </c>
      <c r="J3941" s="8" t="n">
        <v>9.720000000000001</v>
      </c>
      <c r="K3941" s="8" t="n"/>
      <c r="L3941" s="8" t="n"/>
      <c r="M3941" s="8" t="n"/>
      <c r="N3941" s="8" t="n"/>
      <c r="O3941" s="8" t="n"/>
      <c r="P3941" s="8" t="n"/>
      <c r="Q3941" s="8" t="n"/>
      <c r="R3941" s="8" t="n"/>
      <c r="S3941" s="8" t="n"/>
      <c r="T3941" s="7" t="inlineStr">
        <is>
          <t>SEM COTAÇÃO</t>
        </is>
      </c>
      <c r="U3941" s="8" t="n"/>
      <c r="V3941" s="14" t="n"/>
      <c r="W3941" s="14" t="n"/>
      <c r="X3941" s="7" t="inlineStr"/>
      <c r="Y3941" s="7" t="inlineStr"/>
    </row>
    <row r="3942">
      <c r="A3942" s="7" t="n">
        <v>637001</v>
      </c>
      <c r="B3942" s="12" t="inlineStr">
        <is>
          <t>7892840821975</t>
        </is>
      </c>
      <c r="C3942" s="7" t="inlineStr">
        <is>
          <t>SALG CHEETOS CRUNCHY MCHEDDAR 48GR UN QT</t>
        </is>
      </c>
      <c r="D3942" s="7" t="inlineStr">
        <is>
          <t>CONVENIENCIA</t>
        </is>
      </c>
      <c r="E3942" s="7" t="inlineStr">
        <is>
          <t>C</t>
        </is>
      </c>
      <c r="F3942" s="13" t="n">
        <v>1</v>
      </c>
      <c r="G3942" s="13" t="n">
        <v>1</v>
      </c>
      <c r="H3942" s="8" t="n">
        <v>6.57</v>
      </c>
      <c r="I3942" s="8" t="n">
        <v>6.57</v>
      </c>
      <c r="J3942" s="8" t="n">
        <v>6.57</v>
      </c>
      <c r="K3942" s="8" t="n"/>
      <c r="L3942" s="8" t="n"/>
      <c r="M3942" s="8" t="n"/>
      <c r="N3942" s="8" t="n"/>
      <c r="O3942" s="8" t="n"/>
      <c r="P3942" s="8" t="n"/>
      <c r="Q3942" s="8" t="n"/>
      <c r="R3942" s="8" t="n"/>
      <c r="S3942" s="8" t="n"/>
      <c r="T3942" s="7" t="inlineStr">
        <is>
          <t>SEM COTAÇÃO</t>
        </is>
      </c>
      <c r="U3942" s="8" t="n"/>
      <c r="V3942" s="14" t="n"/>
      <c r="W3942" s="14" t="n"/>
      <c r="X3942" s="7" t="inlineStr"/>
      <c r="Y3942" s="7" t="inlineStr"/>
    </row>
    <row r="3943">
      <c r="A3943" s="7" t="n">
        <v>637011</v>
      </c>
      <c r="B3943" s="12" t="inlineStr">
        <is>
          <t>7892840821982</t>
        </is>
      </c>
      <c r="C3943" s="7" t="inlineStr">
        <is>
          <t>SALG CHEETOS CRUNCHY MCHEDDAR 78GR UN</t>
        </is>
      </c>
      <c r="D3943" s="7" t="inlineStr">
        <is>
          <t>CONVENIENCIA</t>
        </is>
      </c>
      <c r="E3943" s="7" t="inlineStr">
        <is>
          <t>C</t>
        </is>
      </c>
      <c r="F3943" s="13" t="n">
        <v>4</v>
      </c>
      <c r="G3943" s="13" t="n">
        <v>4</v>
      </c>
      <c r="H3943" s="8" t="n">
        <v>9.65</v>
      </c>
      <c r="I3943" s="8" t="n">
        <v>9.65</v>
      </c>
      <c r="J3943" s="8" t="n">
        <v>9.65</v>
      </c>
      <c r="K3943" s="8" t="n"/>
      <c r="L3943" s="8" t="n"/>
      <c r="M3943" s="8" t="n"/>
      <c r="N3943" s="8" t="n"/>
      <c r="O3943" s="8" t="n"/>
      <c r="P3943" s="8" t="n"/>
      <c r="Q3943" s="8" t="n"/>
      <c r="R3943" s="8" t="n"/>
      <c r="S3943" s="8" t="n"/>
      <c r="T3943" s="7" t="inlineStr">
        <is>
          <t>SEM COTAÇÃO</t>
        </is>
      </c>
      <c r="U3943" s="8" t="n"/>
      <c r="V3943" s="14" t="n"/>
      <c r="W3943" s="14" t="n"/>
      <c r="X3943" s="7" t="inlineStr"/>
      <c r="Y3943" s="7" t="inlineStr"/>
    </row>
    <row r="3944">
      <c r="A3944" s="7" t="n">
        <v>637021</v>
      </c>
      <c r="B3944" s="12" t="inlineStr">
        <is>
          <t>7892840821968</t>
        </is>
      </c>
      <c r="C3944" s="7" t="inlineStr">
        <is>
          <t>SALG CHEETOS CRUNCHY WCHEESE 78GR UN QTD</t>
        </is>
      </c>
      <c r="D3944" s="7" t="inlineStr">
        <is>
          <t>CONVENIENCIA</t>
        </is>
      </c>
      <c r="E3944" s="7" t="inlineStr">
        <is>
          <t>C</t>
        </is>
      </c>
      <c r="F3944" s="13" t="n">
        <v>3</v>
      </c>
      <c r="G3944" s="13" t="n">
        <v>3</v>
      </c>
      <c r="H3944" s="8" t="n">
        <v>9.619999999999999</v>
      </c>
      <c r="I3944" s="8" t="n">
        <v>9.619999999999999</v>
      </c>
      <c r="J3944" s="8" t="n">
        <v>9.619999999999999</v>
      </c>
      <c r="K3944" s="8" t="n"/>
      <c r="L3944" s="8" t="n"/>
      <c r="M3944" s="8" t="n"/>
      <c r="N3944" s="8" t="n"/>
      <c r="O3944" s="8" t="n"/>
      <c r="P3944" s="8" t="n"/>
      <c r="Q3944" s="8" t="n"/>
      <c r="R3944" s="8" t="n"/>
      <c r="S3944" s="8" t="n"/>
      <c r="T3944" s="7" t="inlineStr">
        <is>
          <t>SEM COTAÇÃO</t>
        </is>
      </c>
      <c r="U3944" s="8" t="n"/>
      <c r="V3944" s="14" t="n"/>
      <c r="W3944" s="14" t="n"/>
      <c r="X3944" s="7" t="inlineStr"/>
      <c r="Y3944" s="7" t="inlineStr"/>
    </row>
    <row r="3945">
      <c r="A3945" s="7" t="n">
        <v>655111</v>
      </c>
      <c r="B3945" s="12" t="inlineStr">
        <is>
          <t>7892840822965</t>
        </is>
      </c>
      <c r="C3945" s="7" t="inlineStr">
        <is>
          <t>SALG CHURRASCO RUFFLES 33G UN QTD. 6.00 UN</t>
        </is>
      </c>
      <c r="D3945" s="7" t="inlineStr">
        <is>
          <t>BISCOITOS/SALGADOS</t>
        </is>
      </c>
      <c r="E3945" s="7" t="inlineStr">
        <is>
          <t>C</t>
        </is>
      </c>
      <c r="F3945" s="13" t="n">
        <v>8</v>
      </c>
      <c r="G3945" s="13" t="n">
        <v>8</v>
      </c>
      <c r="H3945" s="8" t="n">
        <v>5.81</v>
      </c>
      <c r="I3945" s="8" t="n">
        <v>5.81</v>
      </c>
      <c r="J3945" s="8" t="n">
        <v>5.81</v>
      </c>
      <c r="K3945" s="8" t="n"/>
      <c r="L3945" s="8" t="n"/>
      <c r="M3945" s="8" t="n"/>
      <c r="N3945" s="8" t="n"/>
      <c r="O3945" s="8" t="n"/>
      <c r="P3945" s="8" t="n"/>
      <c r="Q3945" s="8" t="n"/>
      <c r="R3945" s="8" t="n"/>
      <c r="S3945" s="8" t="n"/>
      <c r="T3945" s="7" t="inlineStr">
        <is>
          <t>SEM COTAÇÃO</t>
        </is>
      </c>
      <c r="U3945" s="8" t="n"/>
      <c r="V3945" s="14" t="n"/>
      <c r="W3945" s="14" t="n"/>
      <c r="X3945" s="7" t="inlineStr"/>
      <c r="Y3945" s="7" t="inlineStr"/>
    </row>
    <row r="3946">
      <c r="A3946" s="7" t="n">
        <v>638151</v>
      </c>
      <c r="B3946" s="12" t="inlineStr">
        <is>
          <t>7892840823047</t>
        </is>
      </c>
      <c r="C3946" s="7" t="inlineStr">
        <is>
          <t>SALG CHURRASCO RUFFLES 68G</t>
        </is>
      </c>
      <c r="D3946" s="7" t="inlineStr">
        <is>
          <t>CONVENIENCIA</t>
        </is>
      </c>
      <c r="E3946" s="7" t="inlineStr">
        <is>
          <t>C</t>
        </is>
      </c>
      <c r="F3946" s="13" t="n">
        <v>1</v>
      </c>
      <c r="G3946" s="13" t="n">
        <v>1</v>
      </c>
      <c r="H3946" s="8" t="n">
        <v>8.800000000000001</v>
      </c>
      <c r="I3946" s="8" t="n">
        <v>8.800000000000001</v>
      </c>
      <c r="J3946" s="8" t="n">
        <v>8.800000000000001</v>
      </c>
      <c r="K3946" s="8" t="n"/>
      <c r="L3946" s="8" t="n"/>
      <c r="M3946" s="8" t="n"/>
      <c r="N3946" s="8" t="n"/>
      <c r="O3946" s="8" t="n"/>
      <c r="P3946" s="8" t="n"/>
      <c r="Q3946" s="8" t="n"/>
      <c r="R3946" s="8" t="n"/>
      <c r="S3946" s="8" t="n"/>
      <c r="T3946" s="7" t="inlineStr">
        <is>
          <t>SEM COTAÇÃO</t>
        </is>
      </c>
      <c r="U3946" s="8" t="n"/>
      <c r="V3946" s="14" t="n"/>
      <c r="W3946" s="14" t="n"/>
      <c r="X3946" s="7" t="inlineStr"/>
      <c r="Y3946" s="7" t="inlineStr"/>
    </row>
    <row r="3947">
      <c r="A3947" s="7" t="n">
        <v>640621</v>
      </c>
      <c r="B3947" s="12" t="inlineStr">
        <is>
          <t>7892840822477</t>
        </is>
      </c>
      <c r="C3947" s="7" t="inlineStr">
        <is>
          <t>SALG CHURRASCO TORCIDA 35G UN QTD. 10.00 UN</t>
        </is>
      </c>
      <c r="D3947" s="7" t="inlineStr">
        <is>
          <t>BISCOITOS/SALGADOS</t>
        </is>
      </c>
      <c r="E3947" s="7" t="inlineStr">
        <is>
          <t>C</t>
        </is>
      </c>
      <c r="F3947" s="13" t="n">
        <v>5</v>
      </c>
      <c r="G3947" s="13" t="n">
        <v>5</v>
      </c>
      <c r="H3947" s="8" t="n">
        <v>2.24</v>
      </c>
      <c r="I3947" s="8" t="n">
        <v>2.24</v>
      </c>
      <c r="J3947" s="8" t="n">
        <v>2.24</v>
      </c>
      <c r="K3947" s="8" t="n"/>
      <c r="L3947" s="8" t="n"/>
      <c r="M3947" s="8" t="n"/>
      <c r="N3947" s="8" t="n"/>
      <c r="O3947" s="8" t="n"/>
      <c r="P3947" s="8" t="n"/>
      <c r="Q3947" s="8" t="n"/>
      <c r="R3947" s="8" t="n"/>
      <c r="S3947" s="8" t="n"/>
      <c r="T3947" s="7" t="inlineStr">
        <is>
          <t>SEM COTAÇÃO</t>
        </is>
      </c>
      <c r="U3947" s="8" t="n"/>
      <c r="V3947" s="14" t="n"/>
      <c r="W3947" s="14" t="n"/>
      <c r="X3947" s="7" t="inlineStr"/>
      <c r="Y3947" s="7" t="inlineStr"/>
    </row>
    <row r="3948">
      <c r="A3948" s="7" t="n">
        <v>640661</v>
      </c>
      <c r="B3948" s="12" t="inlineStr">
        <is>
          <t>7892840823375</t>
        </is>
      </c>
      <c r="C3948" s="7" t="inlineStr">
        <is>
          <t>SALG CLASSICA LAYS 70G UN QTD. 4.00 UN</t>
        </is>
      </c>
      <c r="D3948" s="7" t="inlineStr">
        <is>
          <t>BISCOITOS/SALGADOS</t>
        </is>
      </c>
      <c r="E3948" s="7" t="inlineStr">
        <is>
          <t>C</t>
        </is>
      </c>
      <c r="F3948" s="13" t="n">
        <v>7</v>
      </c>
      <c r="G3948" s="13" t="n">
        <v>7</v>
      </c>
      <c r="H3948" s="8" t="n">
        <v>12.19</v>
      </c>
      <c r="I3948" s="8" t="n">
        <v>12.19</v>
      </c>
      <c r="J3948" s="8" t="n">
        <v>12.19</v>
      </c>
      <c r="K3948" s="8" t="n"/>
      <c r="L3948" s="8" t="n"/>
      <c r="M3948" s="8" t="n"/>
      <c r="N3948" s="8" t="n"/>
      <c r="O3948" s="8" t="n"/>
      <c r="P3948" s="8" t="n"/>
      <c r="Q3948" s="8" t="n"/>
      <c r="R3948" s="8" t="n"/>
      <c r="S3948" s="8" t="n"/>
      <c r="T3948" s="7" t="inlineStr">
        <is>
          <t>SEM COTAÇÃO</t>
        </is>
      </c>
      <c r="U3948" s="8" t="n"/>
      <c r="V3948" s="14" t="n"/>
      <c r="W3948" s="14" t="n"/>
      <c r="X3948" s="7" t="inlineStr"/>
      <c r="Y3948" s="7" t="inlineStr"/>
    </row>
    <row r="3949">
      <c r="A3949" s="7" t="n">
        <v>664471</v>
      </c>
      <c r="B3949" s="12" t="inlineStr">
        <is>
          <t>7892840824228</t>
        </is>
      </c>
      <c r="C3949" s="7" t="inlineStr">
        <is>
          <t>SALG CRUNCHY PIMEN MEX CHEETOS 47G UN 1X47GR QTD. 6.00 UN</t>
        </is>
      </c>
      <c r="D3949" s="7" t="inlineStr">
        <is>
          <t>BISCOITOS/SALGADOS</t>
        </is>
      </c>
      <c r="E3949" s="7" t="inlineStr">
        <is>
          <t>C</t>
        </is>
      </c>
      <c r="F3949" s="13" t="n">
        <v>1</v>
      </c>
      <c r="G3949" s="13" t="n">
        <v>1</v>
      </c>
      <c r="H3949" s="8" t="n">
        <v>3.41</v>
      </c>
      <c r="I3949" s="8" t="n">
        <v>3.41</v>
      </c>
      <c r="J3949" s="8" t="n">
        <v>3.41</v>
      </c>
      <c r="K3949" s="8" t="n"/>
      <c r="L3949" s="8" t="n"/>
      <c r="M3949" s="8" t="n"/>
      <c r="N3949" s="8" t="n"/>
      <c r="O3949" s="8" t="n"/>
      <c r="P3949" s="8" t="n"/>
      <c r="Q3949" s="8" t="n"/>
      <c r="R3949" s="8" t="n"/>
      <c r="S3949" s="8" t="n"/>
      <c r="T3949" s="7" t="inlineStr">
        <is>
          <t>SEM COTAÇÃO</t>
        </is>
      </c>
      <c r="U3949" s="8" t="n"/>
      <c r="V3949" s="14" t="n"/>
      <c r="W3949" s="14" t="n"/>
      <c r="X3949" s="7" t="inlineStr"/>
      <c r="Y3949" s="7" t="inlineStr"/>
    </row>
    <row r="3950">
      <c r="A3950" s="7" t="n">
        <v>638121</v>
      </c>
      <c r="B3950" s="12" t="inlineStr">
        <is>
          <t>7892840822378</t>
        </is>
      </c>
      <c r="C3950" s="7" t="inlineStr">
        <is>
          <t>SALG DORITOS DINAMITA FLAMIN HOT 60GR UN QTD. 3.00 UN</t>
        </is>
      </c>
      <c r="D3950" s="7" t="inlineStr">
        <is>
          <t>CONVENIENCIA</t>
        </is>
      </c>
      <c r="E3950" s="7" t="inlineStr">
        <is>
          <t>A</t>
        </is>
      </c>
      <c r="F3950" s="13" t="n">
        <v>3</v>
      </c>
      <c r="G3950" s="13" t="n">
        <v>3</v>
      </c>
      <c r="H3950" s="8" t="n">
        <v>5.14</v>
      </c>
      <c r="I3950" s="8" t="n">
        <v>5.14</v>
      </c>
      <c r="J3950" s="8" t="n">
        <v>5.14</v>
      </c>
      <c r="K3950" s="8" t="n"/>
      <c r="L3950" s="8" t="n"/>
      <c r="M3950" s="8" t="n"/>
      <c r="N3950" s="8" t="n"/>
      <c r="O3950" s="8" t="n"/>
      <c r="P3950" s="8" t="n"/>
      <c r="Q3950" s="8" t="n"/>
      <c r="R3950" s="8" t="n"/>
      <c r="S3950" s="8" t="n"/>
      <c r="T3950" s="7" t="inlineStr">
        <is>
          <t>SEM COTAÇÃO</t>
        </is>
      </c>
      <c r="U3950" s="8" t="n"/>
      <c r="V3950" s="14" t="n"/>
      <c r="W3950" s="14" t="n"/>
      <c r="X3950" s="7" t="inlineStr"/>
      <c r="Y3950" s="7" t="inlineStr"/>
    </row>
    <row r="3951">
      <c r="A3951" s="7" t="n">
        <v>606731</v>
      </c>
      <c r="B3951" s="12" t="inlineStr">
        <is>
          <t>7892840820183</t>
        </is>
      </c>
      <c r="C3951" s="7" t="inlineStr">
        <is>
          <t>SALG FRANGO GRELHADO SENSACOES 40G UN</t>
        </is>
      </c>
      <c r="D3951" s="7" t="inlineStr">
        <is>
          <t>CONVENIENCIA</t>
        </is>
      </c>
      <c r="E3951" s="7" t="inlineStr">
        <is>
          <t>C</t>
        </is>
      </c>
      <c r="F3951" s="13" t="n">
        <v>3</v>
      </c>
      <c r="G3951" s="13" t="n">
        <v>3</v>
      </c>
      <c r="H3951" s="8" t="n">
        <v>7.49</v>
      </c>
      <c r="I3951" s="8" t="n">
        <v>7.49</v>
      </c>
      <c r="J3951" s="8" t="n">
        <v>7.489999999999999</v>
      </c>
      <c r="K3951" s="8" t="n"/>
      <c r="L3951" s="8" t="n"/>
      <c r="M3951" s="8" t="n"/>
      <c r="N3951" s="8" t="n"/>
      <c r="O3951" s="8" t="n"/>
      <c r="P3951" s="8" t="n"/>
      <c r="Q3951" s="8" t="n"/>
      <c r="R3951" s="8" t="n"/>
      <c r="S3951" s="8" t="n"/>
      <c r="T3951" s="7" t="inlineStr">
        <is>
          <t>SEM COTAÇÃO</t>
        </is>
      </c>
      <c r="U3951" s="8" t="n"/>
      <c r="V3951" s="14" t="n"/>
      <c r="W3951" s="14" t="n"/>
      <c r="X3951" s="7" t="inlineStr"/>
      <c r="Y3951" s="7" t="inlineStr"/>
    </row>
    <row r="3952">
      <c r="A3952" s="7" t="n">
        <v>646701</v>
      </c>
      <c r="B3952" s="12" t="inlineStr">
        <is>
          <t>7892840823771</t>
        </is>
      </c>
      <c r="C3952" s="7" t="inlineStr">
        <is>
          <t>SALG KETCHUP DORITOS 110G</t>
        </is>
      </c>
      <c r="D3952" s="7" t="inlineStr">
        <is>
          <t>BISCOITOS/SALGADOS</t>
        </is>
      </c>
      <c r="E3952" s="7" t="inlineStr">
        <is>
          <t>C</t>
        </is>
      </c>
      <c r="F3952" s="13" t="n">
        <v>1</v>
      </c>
      <c r="G3952" s="13" t="n">
        <v>1</v>
      </c>
      <c r="H3952" s="8" t="n">
        <v>14.09</v>
      </c>
      <c r="I3952" s="8" t="n">
        <v>14.09</v>
      </c>
      <c r="J3952" s="8" t="n">
        <v>14.09</v>
      </c>
      <c r="K3952" s="8" t="n"/>
      <c r="L3952" s="8" t="n"/>
      <c r="M3952" s="8" t="n"/>
      <c r="N3952" s="8" t="n"/>
      <c r="O3952" s="8" t="n"/>
      <c r="P3952" s="8" t="n"/>
      <c r="Q3952" s="8" t="n"/>
      <c r="R3952" s="8" t="n"/>
      <c r="S3952" s="8" t="n"/>
      <c r="T3952" s="7" t="inlineStr">
        <is>
          <t>SEM COTAÇÃO</t>
        </is>
      </c>
      <c r="U3952" s="8" t="n"/>
      <c r="V3952" s="14" t="n"/>
      <c r="W3952" s="14" t="n"/>
      <c r="X3952" s="7" t="inlineStr"/>
      <c r="Y3952" s="7" t="inlineStr"/>
    </row>
    <row r="3953">
      <c r="A3953" s="7" t="n">
        <v>632961</v>
      </c>
      <c r="B3953" s="12" t="inlineStr">
        <is>
          <t>7892840822736</t>
        </is>
      </c>
      <c r="C3953" s="7" t="inlineStr">
        <is>
          <t>SALG LUA CHEETOS 143G UN</t>
        </is>
      </c>
      <c r="D3953" s="7" t="inlineStr">
        <is>
          <t>CONVENIENCIA</t>
        </is>
      </c>
      <c r="E3953" s="7" t="inlineStr">
        <is>
          <t>A</t>
        </is>
      </c>
      <c r="F3953" s="13" t="n">
        <v>11</v>
      </c>
      <c r="G3953" s="13" t="n">
        <v>11</v>
      </c>
      <c r="H3953" s="8" t="n">
        <v>13.07</v>
      </c>
      <c r="I3953" s="8" t="n">
        <v>12.63</v>
      </c>
      <c r="J3953" s="8" t="n">
        <v>12.92333333333333</v>
      </c>
      <c r="K3953" s="8" t="n"/>
      <c r="L3953" s="8" t="n"/>
      <c r="M3953" s="8" t="n"/>
      <c r="N3953" s="8" t="n"/>
      <c r="O3953" s="8" t="n"/>
      <c r="P3953" s="8" t="n"/>
      <c r="Q3953" s="8" t="n"/>
      <c r="R3953" s="8" t="n"/>
      <c r="S3953" s="8" t="n"/>
      <c r="T3953" s="7" t="inlineStr">
        <is>
          <t>SEM COTAÇÃO</t>
        </is>
      </c>
      <c r="U3953" s="8" t="n"/>
      <c r="V3953" s="14" t="n"/>
      <c r="W3953" s="14" t="n"/>
      <c r="X3953" s="7" t="inlineStr"/>
      <c r="Y3953" s="7" t="inlineStr"/>
    </row>
    <row r="3954">
      <c r="A3954" s="7" t="n">
        <v>632901</v>
      </c>
      <c r="B3954" s="12" t="inlineStr">
        <is>
          <t>7892840822286</t>
        </is>
      </c>
      <c r="C3954" s="7" t="inlineStr">
        <is>
          <t>SALG LUA CHEETOS 35G UN</t>
        </is>
      </c>
      <c r="D3954" s="7" t="inlineStr">
        <is>
          <t>CONVENIENCIA</t>
        </is>
      </c>
      <c r="E3954" s="7" t="inlineStr">
        <is>
          <t>A</t>
        </is>
      </c>
      <c r="F3954" s="13" t="n">
        <v>13</v>
      </c>
      <c r="G3954" s="13" t="n">
        <v>13</v>
      </c>
      <c r="H3954" s="8" t="n">
        <v>3.93</v>
      </c>
      <c r="I3954" s="8" t="n">
        <v>3.93</v>
      </c>
      <c r="J3954" s="8" t="n">
        <v>3.93</v>
      </c>
      <c r="K3954" s="8" t="n"/>
      <c r="L3954" s="8" t="n"/>
      <c r="M3954" s="8" t="n"/>
      <c r="N3954" s="8" t="n"/>
      <c r="O3954" s="8" t="n"/>
      <c r="P3954" s="8" t="n"/>
      <c r="Q3954" s="8" t="n"/>
      <c r="R3954" s="8" t="n"/>
      <c r="S3954" s="8" t="n"/>
      <c r="T3954" s="7" t="inlineStr">
        <is>
          <t>SEM COTAÇÃO</t>
        </is>
      </c>
      <c r="U3954" s="8" t="n"/>
      <c r="V3954" s="14" t="n"/>
      <c r="W3954" s="14" t="n"/>
      <c r="X3954" s="7" t="inlineStr"/>
      <c r="Y3954" s="7" t="inlineStr"/>
    </row>
    <row r="3955">
      <c r="A3955" s="7" t="n">
        <v>646711</v>
      </c>
      <c r="B3955" s="12" t="inlineStr">
        <is>
          <t>7892840823764</t>
        </is>
      </c>
      <c r="C3955" s="7" t="inlineStr">
        <is>
          <t>SALG MOSTARDA DORITOS 110G UN QTD. 3.00 UN</t>
        </is>
      </c>
      <c r="D3955" s="7" t="inlineStr">
        <is>
          <t>BISCOITOS/SALGADOS</t>
        </is>
      </c>
      <c r="E3955" s="7" t="inlineStr">
        <is>
          <t>C</t>
        </is>
      </c>
      <c r="F3955" s="13" t="n">
        <v>1</v>
      </c>
      <c r="G3955" s="13" t="n">
        <v>1</v>
      </c>
      <c r="H3955" s="8" t="n">
        <v>14.09</v>
      </c>
      <c r="I3955" s="8" t="n">
        <v>14.09</v>
      </c>
      <c r="J3955" s="8" t="n">
        <v>14.09</v>
      </c>
      <c r="K3955" s="8" t="n"/>
      <c r="L3955" s="8" t="n"/>
      <c r="M3955" s="8" t="n"/>
      <c r="N3955" s="8" t="n"/>
      <c r="O3955" s="8" t="n"/>
      <c r="P3955" s="8" t="n"/>
      <c r="Q3955" s="8" t="n"/>
      <c r="R3955" s="8" t="n"/>
      <c r="S3955" s="8" t="n"/>
      <c r="T3955" s="7" t="inlineStr">
        <is>
          <t>SEM COTAÇÃO</t>
        </is>
      </c>
      <c r="U3955" s="8" t="n"/>
      <c r="V3955" s="14" t="n"/>
      <c r="W3955" s="14" t="n"/>
      <c r="X3955" s="7" t="inlineStr"/>
      <c r="Y3955" s="7" t="inlineStr"/>
    </row>
    <row r="3956">
      <c r="A3956" s="7" t="n">
        <v>632941</v>
      </c>
      <c r="B3956" s="12" t="inlineStr">
        <is>
          <t>7892840822385</t>
        </is>
      </c>
      <c r="C3956" s="7" t="inlineStr">
        <is>
          <t>SALG NACHO DORITOS 32G UN QTD</t>
        </is>
      </c>
      <c r="D3956" s="7" t="inlineStr">
        <is>
          <t>CONVENIENCIA</t>
        </is>
      </c>
      <c r="E3956" s="7" t="inlineStr">
        <is>
          <t>A</t>
        </is>
      </c>
      <c r="F3956" s="13" t="n">
        <v>38</v>
      </c>
      <c r="G3956" s="13" t="n">
        <v>38</v>
      </c>
      <c r="H3956" s="8" t="n">
        <v>4.91</v>
      </c>
      <c r="I3956" s="8" t="n">
        <v>4.91</v>
      </c>
      <c r="J3956" s="8" t="n">
        <v>4.91</v>
      </c>
      <c r="K3956" s="8" t="n"/>
      <c r="L3956" s="8" t="n"/>
      <c r="M3956" s="8" t="n"/>
      <c r="N3956" s="8" t="n"/>
      <c r="O3956" s="8" t="n"/>
      <c r="P3956" s="8" t="n"/>
      <c r="Q3956" s="8" t="n"/>
      <c r="R3956" s="8" t="n"/>
      <c r="S3956" s="8" t="n"/>
      <c r="T3956" s="7" t="inlineStr">
        <is>
          <t>SEM COTAÇÃO</t>
        </is>
      </c>
      <c r="U3956" s="8" t="n"/>
      <c r="V3956" s="14" t="n"/>
      <c r="W3956" s="14" t="n"/>
      <c r="X3956" s="7" t="inlineStr"/>
      <c r="Y3956" s="7" t="inlineStr"/>
    </row>
    <row r="3957">
      <c r="A3957" s="7" t="n">
        <v>632931</v>
      </c>
      <c r="B3957" s="12" t="inlineStr">
        <is>
          <t>7892840822347</t>
        </is>
      </c>
      <c r="C3957" s="7" t="inlineStr">
        <is>
          <t>SALG NACHO DORITOS 75G UN</t>
        </is>
      </c>
      <c r="D3957" s="7" t="inlineStr">
        <is>
          <t>CONVENIENCIA</t>
        </is>
      </c>
      <c r="E3957" s="7" t="inlineStr">
        <is>
          <t>A</t>
        </is>
      </c>
      <c r="F3957" s="13" t="n">
        <v>25</v>
      </c>
      <c r="G3957" s="13" t="n">
        <v>25</v>
      </c>
      <c r="H3957" s="8" t="n">
        <v>9.710000000000001</v>
      </c>
      <c r="I3957" s="8" t="n">
        <v>9.710000000000001</v>
      </c>
      <c r="J3957" s="8" t="n">
        <v>9.710000000000001</v>
      </c>
      <c r="K3957" s="8" t="n"/>
      <c r="L3957" s="8" t="n"/>
      <c r="M3957" s="8" t="n"/>
      <c r="N3957" s="8" t="n"/>
      <c r="O3957" s="8" t="n"/>
      <c r="P3957" s="8" t="n"/>
      <c r="Q3957" s="8" t="n"/>
      <c r="R3957" s="8" t="n"/>
      <c r="S3957" s="8" t="n"/>
      <c r="T3957" s="7" t="inlineStr">
        <is>
          <t>SEM COTAÇÃO</t>
        </is>
      </c>
      <c r="U3957" s="8" t="n"/>
      <c r="V3957" s="14" t="n"/>
      <c r="W3957" s="14" t="n"/>
      <c r="X3957" s="7" t="inlineStr"/>
      <c r="Y3957" s="7" t="inlineStr"/>
    </row>
    <row r="3958">
      <c r="A3958" s="7" t="n">
        <v>632911</v>
      </c>
      <c r="B3958" s="12" t="inlineStr">
        <is>
          <t>7892840822309</t>
        </is>
      </c>
      <c r="C3958" s="7" t="inlineStr">
        <is>
          <t>SALG ONDA CHEETOS 40G UN QTD</t>
        </is>
      </c>
      <c r="D3958" s="7" t="inlineStr">
        <is>
          <t>CONVENIENCIA</t>
        </is>
      </c>
      <c r="E3958" s="7" t="inlineStr">
        <is>
          <t>A</t>
        </is>
      </c>
      <c r="F3958" s="13" t="n">
        <v>44</v>
      </c>
      <c r="G3958" s="13" t="n">
        <v>44</v>
      </c>
      <c r="H3958" s="8" t="n">
        <v>3.93</v>
      </c>
      <c r="I3958" s="8" t="n">
        <v>3.93</v>
      </c>
      <c r="J3958" s="8" t="n">
        <v>3.93</v>
      </c>
      <c r="K3958" s="8" t="n"/>
      <c r="L3958" s="8" t="n"/>
      <c r="M3958" s="8" t="n"/>
      <c r="N3958" s="8" t="n"/>
      <c r="O3958" s="8" t="n"/>
      <c r="P3958" s="8" t="n"/>
      <c r="Q3958" s="8" t="n"/>
      <c r="R3958" s="8" t="n"/>
      <c r="S3958" s="8" t="n"/>
      <c r="T3958" s="7" t="inlineStr">
        <is>
          <t>SEM COTAÇÃO</t>
        </is>
      </c>
      <c r="U3958" s="8" t="n"/>
      <c r="V3958" s="14" t="n"/>
      <c r="W3958" s="14" t="n"/>
      <c r="X3958" s="7" t="inlineStr"/>
      <c r="Y3958" s="7" t="inlineStr"/>
    </row>
    <row r="3959">
      <c r="A3959" s="7" t="n">
        <v>632971</v>
      </c>
      <c r="B3959" s="12" t="inlineStr">
        <is>
          <t>7892840822323</t>
        </is>
      </c>
      <c r="C3959" s="7" t="inlineStr">
        <is>
          <t>SALG ONDA REQUEIJAO CHEETOS 160G UN QTD. 4.00 UN</t>
        </is>
      </c>
      <c r="D3959" s="7" t="inlineStr">
        <is>
          <t>CONVENIENCIA</t>
        </is>
      </c>
      <c r="E3959" s="7" t="inlineStr">
        <is>
          <t>A</t>
        </is>
      </c>
      <c r="F3959" s="13" t="n">
        <v>8</v>
      </c>
      <c r="G3959" s="13" t="n">
        <v>8</v>
      </c>
      <c r="H3959" s="8" t="n">
        <v>13.07</v>
      </c>
      <c r="I3959" s="8" t="n">
        <v>12.71</v>
      </c>
      <c r="J3959" s="8" t="n">
        <v>12.95</v>
      </c>
      <c r="K3959" s="8" t="n"/>
      <c r="L3959" s="8" t="n"/>
      <c r="M3959" s="8" t="n"/>
      <c r="N3959" s="8" t="n"/>
      <c r="O3959" s="8" t="n"/>
      <c r="P3959" s="8" t="n"/>
      <c r="Q3959" s="8" t="n"/>
      <c r="R3959" s="8" t="n"/>
      <c r="S3959" s="8" t="n"/>
      <c r="T3959" s="7" t="inlineStr">
        <is>
          <t>SEM COTAÇÃO</t>
        </is>
      </c>
      <c r="U3959" s="8" t="n"/>
      <c r="V3959" s="14" t="n"/>
      <c r="W3959" s="14" t="n"/>
      <c r="X3959" s="7" t="inlineStr"/>
      <c r="Y3959" s="7" t="inlineStr"/>
    </row>
    <row r="3960">
      <c r="A3960" s="7" t="n">
        <v>632921</v>
      </c>
      <c r="B3960" s="12" t="inlineStr">
        <is>
          <t>7892840822972</t>
        </is>
      </c>
      <c r="C3960" s="7" t="inlineStr">
        <is>
          <t>SALG ORIGINAL RUFFLES 33G UN</t>
        </is>
      </c>
      <c r="D3960" s="7" t="inlineStr">
        <is>
          <t>CONVENIENCIA</t>
        </is>
      </c>
      <c r="E3960" s="7" t="inlineStr">
        <is>
          <t>C</t>
        </is>
      </c>
      <c r="F3960" s="13" t="n">
        <v>18</v>
      </c>
      <c r="G3960" s="13" t="n">
        <v>18</v>
      </c>
      <c r="H3960" s="8" t="n">
        <v>5.81</v>
      </c>
      <c r="I3960" s="8" t="n">
        <v>5.81</v>
      </c>
      <c r="J3960" s="8" t="n">
        <v>5.81</v>
      </c>
      <c r="K3960" s="8" t="n"/>
      <c r="L3960" s="8" t="n"/>
      <c r="M3960" s="8" t="n"/>
      <c r="N3960" s="8" t="n"/>
      <c r="O3960" s="8" t="n"/>
      <c r="P3960" s="8" t="n"/>
      <c r="Q3960" s="8" t="n"/>
      <c r="R3960" s="8" t="n"/>
      <c r="S3960" s="8" t="n"/>
      <c r="T3960" s="7" t="inlineStr">
        <is>
          <t>SEM COTAÇÃO</t>
        </is>
      </c>
      <c r="U3960" s="8" t="n"/>
      <c r="V3960" s="14" t="n"/>
      <c r="W3960" s="14" t="n"/>
      <c r="X3960" s="7" t="inlineStr"/>
      <c r="Y3960" s="7" t="inlineStr"/>
    </row>
    <row r="3961">
      <c r="A3961" s="7" t="n">
        <v>636041</v>
      </c>
      <c r="B3961" s="12" t="inlineStr">
        <is>
          <t>7892840823054</t>
        </is>
      </c>
      <c r="C3961" s="7" t="inlineStr">
        <is>
          <t>SALG ORIGINAL RUFFLES 68G UN QTD. 10.00 UN</t>
        </is>
      </c>
      <c r="D3961" s="7" t="inlineStr">
        <is>
          <t>CONVENIENCIA</t>
        </is>
      </c>
      <c r="E3961" s="7" t="inlineStr">
        <is>
          <t>B</t>
        </is>
      </c>
      <c r="F3961" s="13" t="n">
        <v>4</v>
      </c>
      <c r="G3961" s="13" t="n">
        <v>4</v>
      </c>
      <c r="H3961" s="8" t="n">
        <v>9.4</v>
      </c>
      <c r="I3961" s="8" t="n">
        <v>9.4</v>
      </c>
      <c r="J3961" s="8" t="n">
        <v>9.4</v>
      </c>
      <c r="K3961" s="8" t="n"/>
      <c r="L3961" s="8" t="n"/>
      <c r="M3961" s="8" t="n"/>
      <c r="N3961" s="8" t="n"/>
      <c r="O3961" s="8" t="n"/>
      <c r="P3961" s="8" t="n"/>
      <c r="Q3961" s="8" t="n"/>
      <c r="R3961" s="8" t="n"/>
      <c r="S3961" s="8" t="n"/>
      <c r="T3961" s="7" t="inlineStr">
        <is>
          <t>SEM COTAÇÃO</t>
        </is>
      </c>
      <c r="U3961" s="8" t="n"/>
      <c r="V3961" s="14" t="n"/>
      <c r="W3961" s="14" t="n"/>
      <c r="X3961" s="7" t="inlineStr"/>
      <c r="Y3961" s="7" t="inlineStr"/>
    </row>
    <row r="3962">
      <c r="A3962" s="7" t="n">
        <v>655131</v>
      </c>
      <c r="B3962" s="12" t="inlineStr">
        <is>
          <t>7892840822491</t>
        </is>
      </c>
      <c r="C3962" s="7" t="inlineStr">
        <is>
          <t>SALG PAO DE ALHO TORCIDA 35G UN QTD. 6.00 UN</t>
        </is>
      </c>
      <c r="D3962" s="7" t="inlineStr">
        <is>
          <t>BISCOITOS/SALGADOS</t>
        </is>
      </c>
      <c r="E3962" s="7" t="inlineStr">
        <is>
          <t>C</t>
        </is>
      </c>
      <c r="F3962" s="13" t="n">
        <v>2</v>
      </c>
      <c r="G3962" s="13" t="n">
        <v>2</v>
      </c>
      <c r="H3962" s="8" t="n">
        <v>1.82</v>
      </c>
      <c r="I3962" s="8" t="n">
        <v>1.82</v>
      </c>
      <c r="J3962" s="8" t="n">
        <v>1.82</v>
      </c>
      <c r="K3962" s="8" t="n"/>
      <c r="L3962" s="8" t="n"/>
      <c r="M3962" s="8" t="n"/>
      <c r="N3962" s="8" t="n"/>
      <c r="O3962" s="8" t="n"/>
      <c r="P3962" s="8" t="n"/>
      <c r="Q3962" s="8" t="n"/>
      <c r="R3962" s="8" t="n"/>
      <c r="S3962" s="8" t="n"/>
      <c r="T3962" s="7" t="inlineStr">
        <is>
          <t>SEM COTAÇÃO</t>
        </is>
      </c>
      <c r="U3962" s="8" t="n"/>
      <c r="V3962" s="14" t="n"/>
      <c r="W3962" s="14" t="n"/>
      <c r="X3962" s="7" t="inlineStr"/>
      <c r="Y3962" s="7" t="inlineStr"/>
    </row>
    <row r="3963">
      <c r="A3963" s="7" t="n">
        <v>664671</v>
      </c>
      <c r="B3963" s="12" t="inlineStr">
        <is>
          <t>7892840824211</t>
        </is>
      </c>
      <c r="C3963" s="7" t="inlineStr">
        <is>
          <t>SALG PIMENTA MEX RUFFLES 30GR UN 1X30GR QTD. 6.00 UN</t>
        </is>
      </c>
      <c r="D3963" s="7" t="inlineStr">
        <is>
          <t>BISCOITOS/SALGADOS</t>
        </is>
      </c>
      <c r="E3963" s="7" t="inlineStr">
        <is>
          <t>C</t>
        </is>
      </c>
      <c r="F3963" s="13" t="n">
        <v>1</v>
      </c>
      <c r="G3963" s="13" t="n">
        <v>1</v>
      </c>
      <c r="H3963" s="8" t="n">
        <v>4.71</v>
      </c>
      <c r="I3963" s="8" t="n">
        <v>4.71</v>
      </c>
      <c r="J3963" s="8" t="n">
        <v>4.71</v>
      </c>
      <c r="K3963" s="8" t="n"/>
      <c r="L3963" s="8" t="n"/>
      <c r="M3963" s="8" t="n"/>
      <c r="N3963" s="8" t="n"/>
      <c r="O3963" s="8" t="n"/>
      <c r="P3963" s="8" t="n"/>
      <c r="Q3963" s="8" t="n"/>
      <c r="R3963" s="8" t="n"/>
      <c r="S3963" s="8" t="n"/>
      <c r="T3963" s="7" t="inlineStr">
        <is>
          <t>SEM COTAÇÃO</t>
        </is>
      </c>
      <c r="U3963" s="8" t="n"/>
      <c r="V3963" s="14" t="n"/>
      <c r="W3963" s="14" t="n"/>
      <c r="X3963" s="7" t="inlineStr"/>
      <c r="Y3963" s="7" t="inlineStr"/>
    </row>
    <row r="3964">
      <c r="A3964" s="7" t="n">
        <v>664481</v>
      </c>
      <c r="B3964" s="12" t="inlineStr">
        <is>
          <t>7892840824204</t>
        </is>
      </c>
      <c r="C3964" s="7" t="inlineStr">
        <is>
          <t>SALG PIMENTA MEX RUFFLES 65GR UN 1X65GR QTD. 6.00 UN</t>
        </is>
      </c>
      <c r="D3964" s="7" t="inlineStr">
        <is>
          <t>BISCOITOS/SALGADOS</t>
        </is>
      </c>
      <c r="E3964" s="7" t="inlineStr">
        <is>
          <t>C</t>
        </is>
      </c>
      <c r="F3964" s="13" t="n">
        <v>1</v>
      </c>
      <c r="G3964" s="13" t="n">
        <v>1</v>
      </c>
      <c r="H3964" s="8" t="n">
        <v>8.76</v>
      </c>
      <c r="I3964" s="8" t="n">
        <v>8.76</v>
      </c>
      <c r="J3964" s="8" t="n">
        <v>8.76</v>
      </c>
      <c r="K3964" s="8" t="n"/>
      <c r="L3964" s="8" t="n"/>
      <c r="M3964" s="8" t="n"/>
      <c r="N3964" s="8" t="n"/>
      <c r="O3964" s="8" t="n"/>
      <c r="P3964" s="8" t="n"/>
      <c r="Q3964" s="8" t="n"/>
      <c r="R3964" s="8" t="n"/>
      <c r="S3964" s="8" t="n"/>
      <c r="T3964" s="7" t="inlineStr">
        <is>
          <t>SEM COTAÇÃO</t>
        </is>
      </c>
      <c r="U3964" s="8" t="n"/>
      <c r="V3964" s="14" t="n"/>
      <c r="W3964" s="14" t="n"/>
      <c r="X3964" s="7" t="inlineStr"/>
      <c r="Y3964" s="7" t="inlineStr"/>
    </row>
    <row r="3965">
      <c r="A3965" s="7" t="n">
        <v>607871</v>
      </c>
      <c r="B3965" s="12" t="inlineStr">
        <is>
          <t>7892840820060</t>
        </is>
      </c>
      <c r="C3965" s="7" t="inlineStr">
        <is>
          <t>SALG PIZZA DORITOS 78G UN</t>
        </is>
      </c>
      <c r="D3965" s="7" t="inlineStr">
        <is>
          <t>CONVENIENCIA</t>
        </is>
      </c>
      <c r="E3965" s="7" t="inlineStr">
        <is>
          <t>C</t>
        </is>
      </c>
      <c r="F3965" s="13" t="n">
        <v>1</v>
      </c>
      <c r="G3965" s="13" t="n">
        <v>1</v>
      </c>
      <c r="H3965" s="8" t="n">
        <v>9.27</v>
      </c>
      <c r="I3965" s="8" t="n">
        <v>9.27</v>
      </c>
      <c r="J3965" s="8" t="n">
        <v>9.27</v>
      </c>
      <c r="K3965" s="8" t="n"/>
      <c r="L3965" s="8" t="n"/>
      <c r="M3965" s="8" t="n"/>
      <c r="N3965" s="8" t="n"/>
      <c r="O3965" s="8" t="n"/>
      <c r="P3965" s="8" t="n"/>
      <c r="Q3965" s="8" t="n"/>
      <c r="R3965" s="8" t="n"/>
      <c r="S3965" s="8" t="n"/>
      <c r="T3965" s="7" t="inlineStr">
        <is>
          <t>SEM COTAÇÃO</t>
        </is>
      </c>
      <c r="U3965" s="8" t="n"/>
      <c r="V3965" s="14" t="n"/>
      <c r="W3965" s="14" t="n"/>
      <c r="X3965" s="7" t="inlineStr"/>
      <c r="Y3965" s="7" t="inlineStr"/>
    </row>
    <row r="3966">
      <c r="A3966" s="7" t="n">
        <v>636061</v>
      </c>
      <c r="B3966" s="12" t="inlineStr">
        <is>
          <t>7892840822859</t>
        </is>
      </c>
      <c r="C3966" s="7" t="inlineStr">
        <is>
          <t>SALG PRESUNTO FANDANGOS 35G UN</t>
        </is>
      </c>
      <c r="D3966" s="7" t="inlineStr">
        <is>
          <t>CONVENIENCIA</t>
        </is>
      </c>
      <c r="E3966" s="7" t="inlineStr">
        <is>
          <t>B</t>
        </is>
      </c>
      <c r="F3966" s="13" t="n">
        <v>8</v>
      </c>
      <c r="G3966" s="13" t="n">
        <v>8</v>
      </c>
      <c r="H3966" s="8" t="n">
        <v>2.92</v>
      </c>
      <c r="I3966" s="8" t="n">
        <v>2.92</v>
      </c>
      <c r="J3966" s="8" t="n">
        <v>2.92</v>
      </c>
      <c r="K3966" s="8" t="n"/>
      <c r="L3966" s="8" t="n"/>
      <c r="M3966" s="8" t="n"/>
      <c r="N3966" s="8" t="n"/>
      <c r="O3966" s="8" t="n"/>
      <c r="P3966" s="8" t="n"/>
      <c r="Q3966" s="8" t="n"/>
      <c r="R3966" s="8" t="n"/>
      <c r="S3966" s="8" t="n"/>
      <c r="T3966" s="7" t="inlineStr">
        <is>
          <t>SEM COTAÇÃO</t>
        </is>
      </c>
      <c r="U3966" s="8" t="n"/>
      <c r="V3966" s="14" t="n"/>
      <c r="W3966" s="14" t="n"/>
      <c r="X3966" s="7" t="inlineStr"/>
      <c r="Y3966" s="7" t="inlineStr"/>
    </row>
    <row r="3967">
      <c r="A3967" s="7" t="n">
        <v>613991</v>
      </c>
      <c r="B3967" s="12" t="inlineStr">
        <is>
          <t>7896004006277</t>
        </is>
      </c>
      <c r="C3967" s="7" t="inlineStr">
        <is>
          <t>SALG PRINGLES BATATA ORIGINAL</t>
        </is>
      </c>
      <c r="D3967" s="7" t="inlineStr">
        <is>
          <t>CONVENIENCIA</t>
        </is>
      </c>
      <c r="E3967" s="7" t="inlineStr">
        <is>
          <t>C</t>
        </is>
      </c>
      <c r="F3967" s="13" t="n">
        <v>1</v>
      </c>
      <c r="G3967" s="13" t="n">
        <v>1</v>
      </c>
      <c r="H3967" s="8" t="n">
        <v>9.02</v>
      </c>
      <c r="I3967" s="8" t="n">
        <v>9.02</v>
      </c>
      <c r="J3967" s="8" t="n">
        <v>9.02</v>
      </c>
      <c r="K3967" s="8" t="n"/>
      <c r="L3967" s="8" t="n"/>
      <c r="M3967" s="8" t="n"/>
      <c r="N3967" s="8" t="n"/>
      <c r="O3967" s="8" t="n"/>
      <c r="P3967" s="8" t="n"/>
      <c r="Q3967" s="8" t="n"/>
      <c r="R3967" s="8" t="n"/>
      <c r="S3967" s="8" t="n"/>
      <c r="T3967" s="7" t="inlineStr">
        <is>
          <t>SEM COTAÇÃO</t>
        </is>
      </c>
      <c r="U3967" s="8" t="n"/>
      <c r="V3967" s="14" t="n"/>
      <c r="W3967" s="14" t="n"/>
      <c r="X3967" s="7" t="inlineStr"/>
      <c r="Y3967" s="7" t="inlineStr"/>
    </row>
    <row r="3968">
      <c r="A3968" s="7" t="n">
        <v>640631</v>
      </c>
      <c r="B3968" s="12" t="inlineStr">
        <is>
          <t>7892840822521</t>
        </is>
      </c>
      <c r="C3968" s="7" t="inlineStr">
        <is>
          <t>SALG QUEIJO TORCIDA 35G UN QTD. 10.00 UN</t>
        </is>
      </c>
      <c r="D3968" s="7" t="inlineStr">
        <is>
          <t>BISCOITOS/SALGADOS</t>
        </is>
      </c>
      <c r="E3968" s="7" t="inlineStr">
        <is>
          <t>C</t>
        </is>
      </c>
      <c r="F3968" s="13" t="n">
        <v>5</v>
      </c>
      <c r="G3968" s="13" t="n">
        <v>5</v>
      </c>
      <c r="H3968" s="8" t="n">
        <v>2.24</v>
      </c>
      <c r="I3968" s="8" t="n">
        <v>2.24</v>
      </c>
      <c r="J3968" s="8" t="n">
        <v>2.24</v>
      </c>
      <c r="K3968" s="8" t="n"/>
      <c r="L3968" s="8" t="n"/>
      <c r="M3968" s="8" t="n"/>
      <c r="N3968" s="8" t="n"/>
      <c r="O3968" s="8" t="n"/>
      <c r="P3968" s="8" t="n"/>
      <c r="Q3968" s="8" t="n"/>
      <c r="R3968" s="8" t="n"/>
      <c r="S3968" s="8" t="n"/>
      <c r="T3968" s="7" t="inlineStr">
        <is>
          <t>SEM COTAÇÃO</t>
        </is>
      </c>
      <c r="U3968" s="8" t="n"/>
      <c r="V3968" s="14" t="n"/>
      <c r="W3968" s="14" t="n"/>
      <c r="X3968" s="7" t="inlineStr"/>
      <c r="Y3968" s="7" t="inlineStr"/>
    </row>
    <row r="3969">
      <c r="A3969" s="7" t="n">
        <v>640651</v>
      </c>
      <c r="B3969" s="12" t="inlineStr">
        <is>
          <t>7892840823559</t>
        </is>
      </c>
      <c r="C3969" s="7" t="inlineStr">
        <is>
          <t>SALG RUFFLES OUTBACK RIBS 65G UN QTD. 5.00 UN</t>
        </is>
      </c>
      <c r="D3969" s="7" t="inlineStr">
        <is>
          <t>BISCOITOS/SALGADOS</t>
        </is>
      </c>
      <c r="E3969" s="7" t="inlineStr">
        <is>
          <t>C</t>
        </is>
      </c>
      <c r="F3969" s="13" t="n">
        <v>1</v>
      </c>
      <c r="G3969" s="13" t="n">
        <v>1</v>
      </c>
      <c r="H3969" s="8" t="n">
        <v>8.789999999999999</v>
      </c>
      <c r="I3969" s="8" t="n">
        <v>8.789999999999999</v>
      </c>
      <c r="J3969" s="8" t="n">
        <v>8.789999999999999</v>
      </c>
      <c r="K3969" s="8" t="n"/>
      <c r="L3969" s="8" t="n"/>
      <c r="M3969" s="8" t="n"/>
      <c r="N3969" s="8" t="n"/>
      <c r="O3969" s="8" t="n"/>
      <c r="P3969" s="8" t="n"/>
      <c r="Q3969" s="8" t="n"/>
      <c r="R3969" s="8" t="n"/>
      <c r="S3969" s="8" t="n"/>
      <c r="T3969" s="7" t="inlineStr">
        <is>
          <t>SEM COTAÇÃO</t>
        </is>
      </c>
      <c r="U3969" s="8" t="n"/>
      <c r="V3969" s="14" t="n"/>
      <c r="W3969" s="14" t="n"/>
      <c r="X3969" s="7" t="inlineStr"/>
      <c r="Y3969" s="7" t="inlineStr"/>
    </row>
    <row r="3970">
      <c r="A3970" s="7" t="n">
        <v>646721</v>
      </c>
      <c r="B3970" s="12" t="inlineStr">
        <is>
          <t>7892840820640</t>
        </is>
      </c>
      <c r="C3970" s="7" t="inlineStr">
        <is>
          <t>SALG RUST CREAM CHEESE LAYS 68G UN QTD. 2.00 UN</t>
        </is>
      </c>
      <c r="D3970" s="7" t="inlineStr">
        <is>
          <t>BISCOITOS/SALGADOS</t>
        </is>
      </c>
      <c r="E3970" s="7" t="inlineStr">
        <is>
          <t>C</t>
        </is>
      </c>
      <c r="F3970" s="13" t="n">
        <v>1</v>
      </c>
      <c r="G3970" s="13" t="n">
        <v>1</v>
      </c>
      <c r="H3970" s="8" t="n">
        <v>11.65</v>
      </c>
      <c r="I3970" s="8" t="n">
        <v>11.65</v>
      </c>
      <c r="J3970" s="8" t="n">
        <v>11.65</v>
      </c>
      <c r="K3970" s="8" t="n"/>
      <c r="L3970" s="8" t="n"/>
      <c r="M3970" s="8" t="n"/>
      <c r="N3970" s="8" t="n"/>
      <c r="O3970" s="8" t="n"/>
      <c r="P3970" s="8" t="n"/>
      <c r="Q3970" s="8" t="n"/>
      <c r="R3970" s="8" t="n"/>
      <c r="S3970" s="8" t="n"/>
      <c r="T3970" s="7" t="inlineStr">
        <is>
          <t>SEM COTAÇÃO</t>
        </is>
      </c>
      <c r="U3970" s="8" t="n"/>
      <c r="V3970" s="14" t="n"/>
      <c r="W3970" s="14" t="n"/>
      <c r="X3970" s="7" t="inlineStr"/>
      <c r="Y3970" s="7" t="inlineStr"/>
    </row>
    <row r="3971">
      <c r="A3971" s="7" t="n">
        <v>4193</v>
      </c>
      <c r="B3971" s="12" t="inlineStr">
        <is>
          <t>7892840823399</t>
        </is>
      </c>
      <c r="C3971" s="7" t="inlineStr">
        <is>
          <t>SALG SOUR CREAM LAYS 70G UN QTD. 3.00 UN</t>
        </is>
      </c>
      <c r="D3971" s="7" t="inlineStr">
        <is>
          <t>BISCOITOS/SALGADOS</t>
        </is>
      </c>
      <c r="E3971" s="7" t="inlineStr">
        <is>
          <t>C</t>
        </is>
      </c>
      <c r="F3971" s="13" t="n">
        <v>3</v>
      </c>
      <c r="G3971" s="13" t="n">
        <v>3</v>
      </c>
      <c r="H3971" s="8" t="n">
        <v>12.19</v>
      </c>
      <c r="I3971" s="8" t="n">
        <v>12.19</v>
      </c>
      <c r="J3971" s="8" t="n">
        <v>12.19</v>
      </c>
      <c r="K3971" s="8" t="n"/>
      <c r="L3971" s="8" t="n"/>
      <c r="M3971" s="8" t="n"/>
      <c r="N3971" s="8" t="n"/>
      <c r="O3971" s="8" t="n"/>
      <c r="P3971" s="8" t="n"/>
      <c r="Q3971" s="8" t="n"/>
      <c r="R3971" s="8" t="n"/>
      <c r="S3971" s="8" t="n"/>
      <c r="T3971" s="7" t="inlineStr">
        <is>
          <t>SEM COTAÇÃO</t>
        </is>
      </c>
      <c r="U3971" s="8" t="n"/>
      <c r="V3971" s="14" t="n"/>
      <c r="W3971" s="14" t="n"/>
      <c r="X3971" s="7" t="inlineStr"/>
      <c r="Y3971" s="7" t="inlineStr"/>
    </row>
    <row r="3972">
      <c r="A3972" s="7" t="n">
        <v>643161</v>
      </c>
      <c r="B3972" s="12" t="inlineStr">
        <is>
          <t>7892840822392</t>
        </is>
      </c>
      <c r="C3972" s="7" t="inlineStr">
        <is>
          <t>SALG SWEET CHILLI DORITOS 32G UN QTD. 6.00 UN</t>
        </is>
      </c>
      <c r="D3972" s="7" t="inlineStr">
        <is>
          <t>BISCOITOS/SALGADOS</t>
        </is>
      </c>
      <c r="E3972" s="7" t="inlineStr">
        <is>
          <t>B</t>
        </is>
      </c>
      <c r="F3972" s="13" t="n">
        <v>5</v>
      </c>
      <c r="G3972" s="13" t="n">
        <v>5</v>
      </c>
      <c r="H3972" s="8" t="n">
        <v>4.91</v>
      </c>
      <c r="I3972" s="8" t="n">
        <v>4.91</v>
      </c>
      <c r="J3972" s="8" t="n">
        <v>4.91</v>
      </c>
      <c r="K3972" s="8" t="n"/>
      <c r="L3972" s="8" t="n"/>
      <c r="M3972" s="8" t="n"/>
      <c r="N3972" s="8" t="n"/>
      <c r="O3972" s="8" t="n"/>
      <c r="P3972" s="8" t="n"/>
      <c r="Q3972" s="8" t="n"/>
      <c r="R3972" s="8" t="n"/>
      <c r="S3972" s="8" t="n"/>
      <c r="T3972" s="7" t="inlineStr">
        <is>
          <t>SEM COTAÇÃO</t>
        </is>
      </c>
      <c r="U3972" s="8" t="n"/>
      <c r="V3972" s="14" t="n"/>
      <c r="W3972" s="14" t="n"/>
      <c r="X3972" s="7" t="inlineStr"/>
      <c r="Y3972" s="7" t="inlineStr"/>
    </row>
    <row r="3973">
      <c r="A3973" s="7" t="n">
        <v>636981</v>
      </c>
      <c r="B3973" s="12" t="inlineStr">
        <is>
          <t>7892840822361</t>
        </is>
      </c>
      <c r="C3973" s="7" t="inlineStr">
        <is>
          <t>SALG SWEET CHILLI DORITOS 75G UN QTD</t>
        </is>
      </c>
      <c r="D3973" s="7" t="inlineStr">
        <is>
          <t>CONVENIENCIA</t>
        </is>
      </c>
      <c r="E3973" s="7" t="inlineStr">
        <is>
          <t>C</t>
        </is>
      </c>
      <c r="F3973" s="13" t="n">
        <v>1</v>
      </c>
      <c r="G3973" s="13" t="n">
        <v>1</v>
      </c>
      <c r="H3973" s="8" t="n">
        <v>9.27</v>
      </c>
      <c r="I3973" s="8" t="n">
        <v>9.27</v>
      </c>
      <c r="J3973" s="8" t="n">
        <v>9.27</v>
      </c>
      <c r="K3973" s="8" t="n"/>
      <c r="L3973" s="8" t="n"/>
      <c r="M3973" s="8" t="n"/>
      <c r="N3973" s="8" t="n"/>
      <c r="O3973" s="8" t="n"/>
      <c r="P3973" s="8" t="n"/>
      <c r="Q3973" s="8" t="n"/>
      <c r="R3973" s="8" t="n"/>
      <c r="S3973" s="8" t="n"/>
      <c r="T3973" s="7" t="inlineStr">
        <is>
          <t>SEM COTAÇÃO</t>
        </is>
      </c>
      <c r="U3973" s="8" t="n"/>
      <c r="V3973" s="14" t="n"/>
      <c r="W3973" s="14" t="n"/>
      <c r="X3973" s="7" t="inlineStr"/>
      <c r="Y3973" s="7" t="inlineStr"/>
    </row>
    <row r="3974">
      <c r="A3974" s="7" t="n">
        <v>661811</v>
      </c>
      <c r="B3974" s="12" t="inlineStr">
        <is>
          <t>7892840823566</t>
        </is>
      </c>
      <c r="C3974" s="7" t="inlineStr">
        <is>
          <t>SALG TOSTITOS REDONDO SAL MARINHO 110G</t>
        </is>
      </c>
      <c r="D3974" s="7" t="inlineStr">
        <is>
          <t>BISCOITOS/SALGADOS</t>
        </is>
      </c>
      <c r="E3974" s="7" t="inlineStr">
        <is>
          <t>C</t>
        </is>
      </c>
      <c r="F3974" s="13" t="n">
        <v>1</v>
      </c>
      <c r="G3974" s="13" t="n">
        <v>1</v>
      </c>
      <c r="H3974" s="8" t="n">
        <v>8.880000000000001</v>
      </c>
      <c r="I3974" s="8" t="n">
        <v>8.880000000000001</v>
      </c>
      <c r="J3974" s="8" t="n">
        <v>8.880000000000001</v>
      </c>
      <c r="K3974" s="8" t="n"/>
      <c r="L3974" s="8" t="n"/>
      <c r="M3974" s="8" t="n"/>
      <c r="N3974" s="8" t="n"/>
      <c r="O3974" s="8" t="n"/>
      <c r="P3974" s="8" t="n"/>
      <c r="Q3974" s="8" t="n"/>
      <c r="R3974" s="8" t="n"/>
      <c r="S3974" s="8" t="n"/>
      <c r="T3974" s="7" t="inlineStr">
        <is>
          <t>SEM COTAÇÃO</t>
        </is>
      </c>
      <c r="U3974" s="8" t="n"/>
      <c r="V3974" s="14" t="n"/>
      <c r="W3974" s="14" t="n"/>
      <c r="X3974" s="7" t="inlineStr"/>
      <c r="Y3974" s="7" t="inlineStr"/>
    </row>
    <row r="3975">
      <c r="A3975" s="7" t="n">
        <v>638091</v>
      </c>
      <c r="B3975" s="12" t="inlineStr">
        <is>
          <t>7892840822040</t>
        </is>
      </c>
      <c r="C3975" s="7" t="inlineStr">
        <is>
          <t>SALG TUBO TIRA ONDA ORIGINAL RUFFLES100G</t>
        </is>
      </c>
      <c r="D3975" s="7" t="inlineStr">
        <is>
          <t>CONVENIENCIA</t>
        </is>
      </c>
      <c r="E3975" s="7" t="inlineStr">
        <is>
          <t>A</t>
        </is>
      </c>
      <c r="F3975" s="13" t="n">
        <v>20</v>
      </c>
      <c r="G3975" s="13" t="n">
        <v>20</v>
      </c>
      <c r="H3975" s="8" t="n">
        <v>10.67</v>
      </c>
      <c r="I3975" s="8" t="n">
        <v>10.28</v>
      </c>
      <c r="J3975" s="8" t="n">
        <v>10.54</v>
      </c>
      <c r="K3975" s="8" t="n"/>
      <c r="L3975" s="8" t="n"/>
      <c r="M3975" s="8" t="n"/>
      <c r="N3975" s="8" t="n"/>
      <c r="O3975" s="8" t="n"/>
      <c r="P3975" s="8" t="n"/>
      <c r="Q3975" s="8" t="n"/>
      <c r="R3975" s="8" t="n"/>
      <c r="S3975" s="8" t="n"/>
      <c r="T3975" s="7" t="inlineStr">
        <is>
          <t>SEM COTAÇÃO</t>
        </is>
      </c>
      <c r="U3975" s="8" t="n"/>
      <c r="V3975" s="14" t="n"/>
      <c r="W3975" s="14" t="n"/>
      <c r="X3975" s="7" t="inlineStr"/>
      <c r="Y3975" s="7" t="inlineStr"/>
    </row>
    <row r="3976">
      <c r="A3976" s="7" t="n">
        <v>639821</v>
      </c>
      <c r="B3976" s="12" t="inlineStr">
        <is>
          <t>7896004006284</t>
        </is>
      </c>
      <c r="C3976" s="7" t="inlineStr">
        <is>
          <t>SALG.PRINGLES BATATA QUEIJO</t>
        </is>
      </c>
      <c r="D3976" s="7" t="inlineStr">
        <is>
          <t>CONVENIENCIA</t>
        </is>
      </c>
      <c r="E3976" s="7" t="inlineStr">
        <is>
          <t>C</t>
        </is>
      </c>
      <c r="F3976" s="13" t="n">
        <v>1</v>
      </c>
      <c r="G3976" s="13" t="n">
        <v>1</v>
      </c>
      <c r="H3976" s="8" t="n">
        <v>9.02</v>
      </c>
      <c r="I3976" s="8" t="n">
        <v>9.02</v>
      </c>
      <c r="J3976" s="8" t="n">
        <v>9.02</v>
      </c>
      <c r="K3976" s="8" t="n"/>
      <c r="L3976" s="8" t="n"/>
      <c r="M3976" s="8" t="n"/>
      <c r="N3976" s="8" t="n"/>
      <c r="O3976" s="8" t="n"/>
      <c r="P3976" s="8" t="n"/>
      <c r="Q3976" s="8" t="n"/>
      <c r="R3976" s="8" t="n"/>
      <c r="S3976" s="8" t="n"/>
      <c r="T3976" s="7" t="inlineStr">
        <is>
          <t>SEM COTAÇÃO</t>
        </is>
      </c>
      <c r="U3976" s="8" t="n"/>
      <c r="V3976" s="14" t="n"/>
      <c r="W3976" s="14" t="n"/>
      <c r="X3976" s="7" t="inlineStr"/>
      <c r="Y3976" s="7" t="inlineStr"/>
    </row>
    <row r="3977">
      <c r="A3977" s="7" t="n">
        <v>13261</v>
      </c>
      <c r="B3977" s="12" t="inlineStr">
        <is>
          <t>7898100243792</t>
        </is>
      </c>
      <c r="C3977" s="7" t="inlineStr">
        <is>
          <t>SALICETIL INFANTIL 100 MG 10CP</t>
        </is>
      </c>
      <c r="D3977" s="7" t="inlineStr">
        <is>
          <t>SIMILAR</t>
        </is>
      </c>
      <c r="E3977" s="7" t="inlineStr">
        <is>
          <t>A</t>
        </is>
      </c>
      <c r="F3977" s="13" t="n">
        <v>4</v>
      </c>
      <c r="G3977" s="13" t="n">
        <v>71</v>
      </c>
      <c r="H3977" s="8" t="n">
        <v>0.4995</v>
      </c>
      <c r="I3977" s="8" t="n">
        <v>0.4495</v>
      </c>
      <c r="J3977" s="8" t="n">
        <v>0.4828333333333334</v>
      </c>
      <c r="K3977" s="8" t="n"/>
      <c r="L3977" s="8" t="n"/>
      <c r="M3977" s="8" t="n"/>
      <c r="N3977" s="8" t="n"/>
      <c r="O3977" s="8" t="n"/>
      <c r="P3977" s="8" t="n"/>
      <c r="Q3977" s="15" t="n">
        <v>12.26</v>
      </c>
      <c r="R3977" s="8" t="n"/>
      <c r="S3977" s="8" t="n"/>
      <c r="T3977" s="7" t="inlineStr">
        <is>
          <t>MEDCENTRO</t>
        </is>
      </c>
      <c r="U3977" s="8" t="n">
        <v>12.26</v>
      </c>
      <c r="V3977" s="14">
        <f>U3977/J3977-1</f>
        <v/>
      </c>
      <c r="W3977" s="14">
        <f>U3977/H3977-1</f>
        <v/>
      </c>
      <c r="X3977" s="16" t="inlineStr">
        <is>
          <t>ACIMA +2354.5%</t>
        </is>
      </c>
      <c r="Y3977" s="7" t="inlineStr">
        <is>
          <t>MEDCENTRO: conferir emb.</t>
        </is>
      </c>
    </row>
    <row r="3978">
      <c r="A3978" s="7" t="n">
        <v>627571</v>
      </c>
      <c r="B3978" s="12" t="inlineStr">
        <is>
          <t>7898968070301</t>
        </is>
      </c>
      <c r="C3978" s="7" t="inlineStr">
        <is>
          <t>SALON DEFRIZ SOS BOMBA ORIGINAL 200ML</t>
        </is>
      </c>
      <c r="D3978" s="7" t="inlineStr">
        <is>
          <t>PERF/COSME</t>
        </is>
      </c>
      <c r="E3978" s="7" t="inlineStr">
        <is>
          <t>C</t>
        </is>
      </c>
      <c r="F3978" s="13" t="n">
        <v>1</v>
      </c>
      <c r="G3978" s="13" t="n">
        <v>1</v>
      </c>
      <c r="H3978" s="8" t="n">
        <v>11.88</v>
      </c>
      <c r="I3978" s="8" t="n">
        <v>11.88</v>
      </c>
      <c r="J3978" s="8" t="n">
        <v>11.88</v>
      </c>
      <c r="K3978" s="8" t="n"/>
      <c r="L3978" s="8" t="n"/>
      <c r="M3978" s="8" t="n"/>
      <c r="N3978" s="8" t="n"/>
      <c r="O3978" s="8" t="n"/>
      <c r="P3978" s="8" t="n"/>
      <c r="Q3978" s="8" t="n"/>
      <c r="R3978" s="8" t="n"/>
      <c r="S3978" s="8" t="n"/>
      <c r="T3978" s="7" t="inlineStr">
        <is>
          <t>SEM COTAÇÃO</t>
        </is>
      </c>
      <c r="U3978" s="8" t="n"/>
      <c r="V3978" s="14" t="n"/>
      <c r="W3978" s="14" t="n"/>
      <c r="X3978" s="7" t="inlineStr"/>
      <c r="Y3978" s="7" t="inlineStr"/>
    </row>
    <row r="3979">
      <c r="A3979" s="7" t="n">
        <v>620361</v>
      </c>
      <c r="B3979" s="12" t="inlineStr">
        <is>
          <t>7908458317851</t>
        </is>
      </c>
      <c r="C3979" s="7" t="inlineStr">
        <is>
          <t>SALON L ATIVADOR SOS 300ML REG QUERATIN</t>
        </is>
      </c>
      <c r="D3979" s="7" t="inlineStr">
        <is>
          <t>COND/SHAM/CREM/SIMILARES</t>
        </is>
      </c>
      <c r="E3979" s="7" t="inlineStr">
        <is>
          <t>C</t>
        </is>
      </c>
      <c r="F3979" s="13" t="n">
        <v>1</v>
      </c>
      <c r="G3979" s="13" t="n">
        <v>1</v>
      </c>
      <c r="H3979" s="8" t="n">
        <v>15.03</v>
      </c>
      <c r="I3979" s="8" t="n">
        <v>15.03</v>
      </c>
      <c r="J3979" s="8" t="n">
        <v>15.03</v>
      </c>
      <c r="K3979" s="8" t="n"/>
      <c r="L3979" s="8" t="n"/>
      <c r="M3979" s="8" t="n"/>
      <c r="N3979" s="8" t="n"/>
      <c r="O3979" s="8" t="n"/>
      <c r="P3979" s="8" t="n"/>
      <c r="Q3979" s="8" t="n"/>
      <c r="R3979" s="8" t="n"/>
      <c r="S3979" s="8" t="n"/>
      <c r="T3979" s="7" t="inlineStr">
        <is>
          <t>SEM COTAÇÃO</t>
        </is>
      </c>
      <c r="U3979" s="8" t="n"/>
      <c r="V3979" s="14" t="n"/>
      <c r="W3979" s="14" t="n"/>
      <c r="X3979" s="7" t="inlineStr"/>
      <c r="Y3979" s="7" t="inlineStr"/>
    </row>
    <row r="3980">
      <c r="A3980" s="7" t="n">
        <v>595801</v>
      </c>
      <c r="B3980" s="12" t="inlineStr">
        <is>
          <t>7898623957343</t>
        </is>
      </c>
      <c r="C3980" s="7" t="inlineStr">
        <is>
          <t>SALON L CCP HIDRA MULTFUNCIO 300ML KIDS</t>
        </is>
      </c>
      <c r="D3980" s="7" t="inlineStr">
        <is>
          <t>COND/SHAM/CREM/SIMILARES</t>
        </is>
      </c>
      <c r="E3980" s="7" t="inlineStr">
        <is>
          <t>B</t>
        </is>
      </c>
      <c r="F3980" s="13" t="n">
        <v>3</v>
      </c>
      <c r="G3980" s="13" t="n">
        <v>3</v>
      </c>
      <c r="H3980" s="8" t="n">
        <v>8.25</v>
      </c>
      <c r="I3980" s="8" t="n">
        <v>8.25</v>
      </c>
      <c r="J3980" s="8" t="n">
        <v>8.25</v>
      </c>
      <c r="K3980" s="8" t="n"/>
      <c r="L3980" s="8" t="n"/>
      <c r="M3980" s="8" t="n"/>
      <c r="N3980" s="8" t="n"/>
      <c r="O3980" s="8" t="n"/>
      <c r="P3980" s="8" t="n"/>
      <c r="Q3980" s="8" t="n"/>
      <c r="R3980" s="8" t="n"/>
      <c r="S3980" s="8" t="n"/>
      <c r="T3980" s="7" t="inlineStr">
        <is>
          <t>SEM COTAÇÃO</t>
        </is>
      </c>
      <c r="U3980" s="8" t="n"/>
      <c r="V3980" s="14" t="n"/>
      <c r="W3980" s="14" t="n"/>
      <c r="X3980" s="7" t="inlineStr"/>
      <c r="Y3980" s="7" t="inlineStr"/>
    </row>
    <row r="3981">
      <c r="A3981" s="7" t="n">
        <v>648381</v>
      </c>
      <c r="B3981" s="12" t="inlineStr">
        <is>
          <t>7898623951617</t>
        </is>
      </c>
      <c r="C3981" s="7" t="inlineStr">
        <is>
          <t>SALON L CCP SOS BOMBA ORIGINAL 300ML</t>
        </is>
      </c>
      <c r="D3981" s="7" t="inlineStr">
        <is>
          <t>COND/SHAM/CREM/SIMILARES</t>
        </is>
      </c>
      <c r="E3981" s="7" t="inlineStr">
        <is>
          <t>C</t>
        </is>
      </c>
      <c r="F3981" s="13" t="n">
        <v>1</v>
      </c>
      <c r="G3981" s="13" t="n">
        <v>1</v>
      </c>
      <c r="H3981" s="8" t="n">
        <v>14.32</v>
      </c>
      <c r="I3981" s="8" t="n">
        <v>14.32</v>
      </c>
      <c r="J3981" s="8" t="n">
        <v>14.32</v>
      </c>
      <c r="K3981" s="8" t="n"/>
      <c r="L3981" s="8" t="n"/>
      <c r="M3981" s="8" t="n"/>
      <c r="N3981" s="8" t="n"/>
      <c r="O3981" s="8" t="n"/>
      <c r="P3981" s="8" t="n"/>
      <c r="Q3981" s="8" t="n"/>
      <c r="R3981" s="8" t="n"/>
      <c r="S3981" s="8" t="n"/>
      <c r="T3981" s="7" t="inlineStr">
        <is>
          <t>SEM COTAÇÃO</t>
        </is>
      </c>
      <c r="U3981" s="8" t="n"/>
      <c r="V3981" s="14" t="n"/>
      <c r="W3981" s="14" t="n"/>
      <c r="X3981" s="7" t="inlineStr"/>
      <c r="Y3981" s="7" t="inlineStr"/>
    </row>
    <row r="3982">
      <c r="A3982" s="7" t="n">
        <v>620591</v>
      </c>
      <c r="B3982" s="12" t="inlineStr">
        <is>
          <t>7898623951921</t>
        </is>
      </c>
      <c r="C3982" s="7" t="inlineStr">
        <is>
          <t>SALON L CCT MEU LISO 300G LOIROMATIZADO</t>
        </is>
      </c>
      <c r="D3982" s="7" t="inlineStr">
        <is>
          <t>COND/SHAM/CREM/SIMILARES</t>
        </is>
      </c>
      <c r="E3982" s="7" t="inlineStr">
        <is>
          <t>C</t>
        </is>
      </c>
      <c r="F3982" s="13" t="n">
        <v>1</v>
      </c>
      <c r="G3982" s="13" t="n">
        <v>1</v>
      </c>
      <c r="H3982" s="8" t="n">
        <v>20.2</v>
      </c>
      <c r="I3982" s="8" t="n">
        <v>20.2</v>
      </c>
      <c r="J3982" s="8" t="n">
        <v>20.2</v>
      </c>
      <c r="K3982" s="8" t="n"/>
      <c r="L3982" s="8" t="n"/>
      <c r="M3982" s="8" t="n"/>
      <c r="N3982" s="8" t="n"/>
      <c r="O3982" s="8" t="n"/>
      <c r="P3982" s="8" t="n"/>
      <c r="Q3982" s="8" t="n"/>
      <c r="R3982" s="8" t="n"/>
      <c r="S3982" s="8" t="n"/>
      <c r="T3982" s="7" t="inlineStr">
        <is>
          <t>SEM COTAÇÃO</t>
        </is>
      </c>
      <c r="U3982" s="8" t="n"/>
      <c r="V3982" s="14" t="n"/>
      <c r="W3982" s="14" t="n"/>
      <c r="X3982" s="7" t="inlineStr"/>
      <c r="Y3982" s="7" t="inlineStr"/>
    </row>
    <row r="3983">
      <c r="A3983" s="7" t="n">
        <v>616291</v>
      </c>
      <c r="B3983" s="12" t="inlineStr">
        <is>
          <t>7898623951716</t>
        </is>
      </c>
      <c r="C3983" s="7" t="inlineStr">
        <is>
          <t>SALON L CCT SOS 500G RICINO+QUERATINA</t>
        </is>
      </c>
      <c r="D3983" s="7" t="inlineStr">
        <is>
          <t>PERF/COSME</t>
        </is>
      </c>
      <c r="E3983" s="7" t="inlineStr">
        <is>
          <t>C</t>
        </is>
      </c>
      <c r="F3983" s="13" t="n">
        <v>1</v>
      </c>
      <c r="G3983" s="13" t="n">
        <v>1</v>
      </c>
      <c r="H3983" s="8" t="n">
        <v>19.23</v>
      </c>
      <c r="I3983" s="8" t="n">
        <v>19.23</v>
      </c>
      <c r="J3983" s="8" t="n">
        <v>19.23</v>
      </c>
      <c r="K3983" s="8" t="n"/>
      <c r="L3983" s="8" t="n"/>
      <c r="M3983" s="8" t="n"/>
      <c r="N3983" s="8" t="n"/>
      <c r="O3983" s="8" t="n"/>
      <c r="P3983" s="8" t="n"/>
      <c r="Q3983" s="8" t="n"/>
      <c r="R3983" s="8" t="n"/>
      <c r="S3983" s="8" t="n"/>
      <c r="T3983" s="7" t="inlineStr">
        <is>
          <t>SEM COTAÇÃO</t>
        </is>
      </c>
      <c r="U3983" s="8" t="n"/>
      <c r="V3983" s="14" t="n"/>
      <c r="W3983" s="14" t="n"/>
      <c r="X3983" s="7" t="inlineStr"/>
      <c r="Y3983" s="7" t="inlineStr"/>
    </row>
    <row r="3984">
      <c r="A3984" s="7" t="n">
        <v>620371</v>
      </c>
      <c r="B3984" s="12" t="inlineStr">
        <is>
          <t>7908458317875</t>
        </is>
      </c>
      <c r="C3984" s="7" t="inlineStr">
        <is>
          <t>SALON L CCT SOS 80G RECARG DE QUERATINA</t>
        </is>
      </c>
      <c r="D3984" s="7" t="inlineStr">
        <is>
          <t>COND/SHAM/CREM/SIMILARES</t>
        </is>
      </c>
      <c r="E3984" s="7" t="inlineStr">
        <is>
          <t>C</t>
        </is>
      </c>
      <c r="F3984" s="13" t="n">
        <v>1</v>
      </c>
      <c r="G3984" s="13" t="n">
        <v>1</v>
      </c>
      <c r="H3984" s="8" t="n">
        <v>10.95</v>
      </c>
      <c r="I3984" s="8" t="n">
        <v>10.95</v>
      </c>
      <c r="J3984" s="8" t="n">
        <v>10.95</v>
      </c>
      <c r="K3984" s="8" t="n"/>
      <c r="L3984" s="8" t="n"/>
      <c r="M3984" s="8" t="n"/>
      <c r="N3984" s="8" t="n"/>
      <c r="O3984" s="8" t="n"/>
      <c r="P3984" s="8" t="n"/>
      <c r="Q3984" s="8" t="n"/>
      <c r="R3984" s="8" t="n"/>
      <c r="S3984" s="8" t="n"/>
      <c r="T3984" s="7" t="inlineStr">
        <is>
          <t>SEM COTAÇÃO</t>
        </is>
      </c>
      <c r="U3984" s="8" t="n"/>
      <c r="V3984" s="14" t="n"/>
      <c r="W3984" s="14" t="n"/>
      <c r="X3984" s="7" t="inlineStr"/>
      <c r="Y3984" s="7" t="inlineStr"/>
    </row>
    <row r="3985">
      <c r="A3985" s="7" t="n">
        <v>620321</v>
      </c>
      <c r="B3985" s="12" t="inlineStr">
        <is>
          <t>7908458320394</t>
        </is>
      </c>
      <c r="C3985" s="7" t="inlineStr">
        <is>
          <t>SALON L CCT TDCACHO 300G REPARACAO FORTA</t>
        </is>
      </c>
      <c r="D3985" s="7" t="inlineStr">
        <is>
          <t>COND/SHAM/CREM/SIMILARES</t>
        </is>
      </c>
      <c r="E3985" s="7" t="inlineStr">
        <is>
          <t>C</t>
        </is>
      </c>
      <c r="F3985" s="13" t="n">
        <v>1</v>
      </c>
      <c r="G3985" s="13" t="n">
        <v>1</v>
      </c>
      <c r="H3985" s="8" t="n">
        <v>17.86</v>
      </c>
      <c r="I3985" s="8" t="n">
        <v>17.86</v>
      </c>
      <c r="J3985" s="8" t="n">
        <v>17.86</v>
      </c>
      <c r="K3985" s="8" t="n"/>
      <c r="L3985" s="8" t="n"/>
      <c r="M3985" s="8" t="n"/>
      <c r="N3985" s="8" t="n"/>
      <c r="O3985" s="8" t="n"/>
      <c r="P3985" s="8" t="n"/>
      <c r="Q3985" s="8" t="n"/>
      <c r="R3985" s="8" t="n"/>
      <c r="S3985" s="8" t="n"/>
      <c r="T3985" s="7" t="inlineStr">
        <is>
          <t>SEM COTAÇÃO</t>
        </is>
      </c>
      <c r="U3985" s="8" t="n"/>
      <c r="V3985" s="14" t="n"/>
      <c r="W3985" s="14" t="n"/>
      <c r="X3985" s="7" t="inlineStr"/>
      <c r="Y3985" s="7" t="inlineStr"/>
    </row>
    <row r="3986">
      <c r="A3986" s="7" t="n">
        <v>620391</v>
      </c>
      <c r="B3986" s="12" t="inlineStr">
        <is>
          <t>7908458317066</t>
        </is>
      </c>
      <c r="C3986" s="7" t="inlineStr">
        <is>
          <t>SALON L CCT TDCACHO MATIZ 300G VERMELHA</t>
        </is>
      </c>
      <c r="D3986" s="7" t="inlineStr">
        <is>
          <t>COND/SHAM/CREM/SIMILARES</t>
        </is>
      </c>
      <c r="E3986" s="7" t="inlineStr">
        <is>
          <t>C</t>
        </is>
      </c>
      <c r="F3986" s="13" t="n">
        <v>2</v>
      </c>
      <c r="G3986" s="13" t="n">
        <v>2</v>
      </c>
      <c r="H3986" s="8" t="n">
        <v>21.94</v>
      </c>
      <c r="I3986" s="8" t="n">
        <v>21.94</v>
      </c>
      <c r="J3986" s="8" t="n">
        <v>21.94</v>
      </c>
      <c r="K3986" s="8" t="n"/>
      <c r="L3986" s="8" t="n"/>
      <c r="M3986" s="8" t="n"/>
      <c r="N3986" s="8" t="n"/>
      <c r="O3986" s="8" t="n"/>
      <c r="P3986" s="8" t="n"/>
      <c r="Q3986" s="8" t="n"/>
      <c r="R3986" s="8" t="n"/>
      <c r="S3986" s="8" t="n"/>
      <c r="T3986" s="7" t="inlineStr">
        <is>
          <t>SEM COTAÇÃO</t>
        </is>
      </c>
      <c r="U3986" s="8" t="n"/>
      <c r="V3986" s="14" t="n"/>
      <c r="W3986" s="14" t="n"/>
      <c r="X3986" s="7" t="inlineStr"/>
      <c r="Y3986" s="7" t="inlineStr"/>
    </row>
    <row r="3987">
      <c r="A3987" s="7" t="n">
        <v>620551</v>
      </c>
      <c r="B3987" s="12" t="inlineStr">
        <is>
          <t>7898524349230</t>
        </is>
      </c>
      <c r="C3987" s="7" t="inlineStr">
        <is>
          <t>SALON L COND LIB TDCACHO KIDS 300ML</t>
        </is>
      </c>
      <c r="D3987" s="7" t="inlineStr">
        <is>
          <t>COND/SHAM/CREM/SIMILARES</t>
        </is>
      </c>
      <c r="E3987" s="7" t="inlineStr">
        <is>
          <t>C</t>
        </is>
      </c>
      <c r="F3987" s="13" t="n">
        <v>1</v>
      </c>
      <c r="G3987" s="13" t="n">
        <v>1</v>
      </c>
      <c r="H3987" s="8" t="n">
        <v>16.03</v>
      </c>
      <c r="I3987" s="8" t="n">
        <v>16.03</v>
      </c>
      <c r="J3987" s="8" t="n">
        <v>16.03</v>
      </c>
      <c r="K3987" s="8" t="n"/>
      <c r="L3987" s="8" t="n"/>
      <c r="M3987" s="8" t="n"/>
      <c r="N3987" s="8" t="n"/>
      <c r="O3987" s="8" t="n"/>
      <c r="P3987" s="8" t="n"/>
      <c r="Q3987" s="8" t="n"/>
      <c r="R3987" s="8" t="n"/>
      <c r="S3987" s="8" t="n"/>
      <c r="T3987" s="7" t="inlineStr">
        <is>
          <t>SEM COTAÇÃO</t>
        </is>
      </c>
      <c r="U3987" s="8" t="n"/>
      <c r="V3987" s="14" t="n"/>
      <c r="W3987" s="14" t="n"/>
      <c r="X3987" s="7" t="inlineStr"/>
      <c r="Y3987" s="7" t="inlineStr"/>
    </row>
    <row r="3988">
      <c r="A3988" s="7" t="n">
        <v>619731</v>
      </c>
      <c r="B3988" s="12" t="inlineStr">
        <is>
          <t>7898623952713</t>
        </is>
      </c>
      <c r="C3988" s="7" t="inlineStr">
        <is>
          <t>SALON L COND SOS 300ML MEL</t>
        </is>
      </c>
      <c r="D3988" s="7" t="inlineStr">
        <is>
          <t>COND/SHAM/CREM/SIMILARES</t>
        </is>
      </c>
      <c r="E3988" s="7" t="inlineStr">
        <is>
          <t>C</t>
        </is>
      </c>
      <c r="F3988" s="13" t="n">
        <v>1</v>
      </c>
      <c r="G3988" s="13" t="n">
        <v>1</v>
      </c>
      <c r="H3988" s="8" t="n">
        <v>16.21</v>
      </c>
      <c r="I3988" s="8" t="n">
        <v>16.21</v>
      </c>
      <c r="J3988" s="8" t="n">
        <v>16.21</v>
      </c>
      <c r="K3988" s="8" t="n"/>
      <c r="L3988" s="8" t="n"/>
      <c r="M3988" s="8" t="n"/>
      <c r="N3988" s="8" t="n"/>
      <c r="O3988" s="8" t="n"/>
      <c r="P3988" s="8" t="n"/>
      <c r="Q3988" s="8" t="n"/>
      <c r="R3988" s="8" t="n"/>
      <c r="S3988" s="8" t="n"/>
      <c r="T3988" s="7" t="inlineStr">
        <is>
          <t>SEM COTAÇÃO</t>
        </is>
      </c>
      <c r="U3988" s="8" t="n"/>
      <c r="V3988" s="14" t="n"/>
      <c r="W3988" s="14" t="n"/>
      <c r="X3988" s="7" t="inlineStr"/>
      <c r="Y3988" s="7" t="inlineStr"/>
    </row>
    <row r="3989">
      <c r="A3989" s="7" t="n">
        <v>587661</v>
      </c>
      <c r="B3989" s="12" t="inlineStr">
        <is>
          <t>7898524347946</t>
        </is>
      </c>
      <c r="C3989" s="7" t="inlineStr">
        <is>
          <t>SALON L COND SOS 300ML OLEO NUT</t>
        </is>
      </c>
      <c r="D3989" s="7" t="inlineStr">
        <is>
          <t>PERF/COSME</t>
        </is>
      </c>
      <c r="E3989" s="7" t="inlineStr">
        <is>
          <t>C</t>
        </is>
      </c>
      <c r="F3989" s="13" t="n">
        <v>1</v>
      </c>
      <c r="G3989" s="13" t="n">
        <v>1</v>
      </c>
      <c r="H3989" s="8" t="n">
        <v>16.03</v>
      </c>
      <c r="I3989" s="8" t="n">
        <v>16.03</v>
      </c>
      <c r="J3989" s="8" t="n">
        <v>16.03</v>
      </c>
      <c r="K3989" s="8" t="n"/>
      <c r="L3989" s="8" t="n"/>
      <c r="M3989" s="8" t="n"/>
      <c r="N3989" s="8" t="n"/>
      <c r="O3989" s="8" t="n"/>
      <c r="P3989" s="8" t="n"/>
      <c r="Q3989" s="8" t="n"/>
      <c r="R3989" s="8" t="n"/>
      <c r="S3989" s="8" t="n"/>
      <c r="T3989" s="7" t="inlineStr">
        <is>
          <t>SEM COTAÇÃO</t>
        </is>
      </c>
      <c r="U3989" s="8" t="n"/>
      <c r="V3989" s="14" t="n"/>
      <c r="W3989" s="14" t="n"/>
      <c r="X3989" s="7" t="inlineStr"/>
      <c r="Y3989" s="7" t="inlineStr"/>
    </row>
    <row r="3990">
      <c r="A3990" s="7" t="n">
        <v>627641</v>
      </c>
      <c r="B3990" s="12" t="inlineStr">
        <is>
          <t>7908458324477</t>
        </is>
      </c>
      <c r="C3990" s="7" t="inlineStr">
        <is>
          <t>SALON L GELAT TDCACHO KIDS 550G MODE UVA</t>
        </is>
      </c>
      <c r="D3990" s="7" t="inlineStr">
        <is>
          <t>BABY/KIDS</t>
        </is>
      </c>
      <c r="E3990" s="7" t="inlineStr">
        <is>
          <t>B</t>
        </is>
      </c>
      <c r="F3990" s="13" t="n">
        <v>1</v>
      </c>
      <c r="G3990" s="13" t="n">
        <v>1</v>
      </c>
      <c r="H3990" s="8" t="n">
        <v>17.77</v>
      </c>
      <c r="I3990" s="8" t="n">
        <v>17.42</v>
      </c>
      <c r="J3990" s="8" t="n">
        <v>17.42</v>
      </c>
      <c r="K3990" s="8" t="n"/>
      <c r="L3990" s="8" t="n"/>
      <c r="M3990" s="8" t="n"/>
      <c r="N3990" s="8" t="n"/>
      <c r="O3990" s="8" t="n"/>
      <c r="P3990" s="8" t="n"/>
      <c r="Q3990" s="8" t="n"/>
      <c r="R3990" s="8" t="n"/>
      <c r="S3990" s="8" t="n"/>
      <c r="T3990" s="7" t="inlineStr">
        <is>
          <t>SEM COTAÇÃO</t>
        </is>
      </c>
      <c r="U3990" s="8" t="n"/>
      <c r="V3990" s="14" t="n"/>
      <c r="W3990" s="14" t="n"/>
      <c r="X3990" s="7" t="inlineStr"/>
      <c r="Y3990" s="7" t="inlineStr"/>
    </row>
    <row r="3991">
      <c r="A3991" s="7" t="n">
        <v>627631</v>
      </c>
      <c r="B3991" s="12" t="inlineStr">
        <is>
          <t>7908458324446</t>
        </is>
      </c>
      <c r="C3991" s="7" t="inlineStr">
        <is>
          <t>SALON L OLEO MEU LISO 60ML MUITO+LISO</t>
        </is>
      </c>
      <c r="D3991" s="7" t="inlineStr">
        <is>
          <t>PERF/COSME</t>
        </is>
      </c>
      <c r="E3991" s="7" t="inlineStr">
        <is>
          <t>B</t>
        </is>
      </c>
      <c r="F3991" s="13" t="n">
        <v>2</v>
      </c>
      <c r="G3991" s="13" t="n">
        <v>2</v>
      </c>
      <c r="H3991" s="8" t="n">
        <v>17.5</v>
      </c>
      <c r="I3991" s="8" t="n">
        <v>17.5</v>
      </c>
      <c r="J3991" s="8" t="n">
        <v>17.5</v>
      </c>
      <c r="K3991" s="8" t="n"/>
      <c r="L3991" s="8" t="n"/>
      <c r="M3991" s="8" t="n"/>
      <c r="N3991" s="8" t="n"/>
      <c r="O3991" s="8" t="n"/>
      <c r="P3991" s="8" t="n"/>
      <c r="Q3991" s="8" t="n"/>
      <c r="R3991" s="8" t="n"/>
      <c r="S3991" s="8" t="n"/>
      <c r="T3991" s="7" t="inlineStr">
        <is>
          <t>SEM COTAÇÃO</t>
        </is>
      </c>
      <c r="U3991" s="8" t="n"/>
      <c r="V3991" s="14" t="n"/>
      <c r="W3991" s="14" t="n"/>
      <c r="X3991" s="7" t="inlineStr"/>
      <c r="Y3991" s="7" t="inlineStr"/>
    </row>
    <row r="3992">
      <c r="A3992" s="7" t="n">
        <v>587861</v>
      </c>
      <c r="B3992" s="12" t="inlineStr">
        <is>
          <t>7898623951693</t>
        </is>
      </c>
      <c r="C3992" s="7" t="inlineStr">
        <is>
          <t>SALON L SH SOS RICINO+QUERATINA 300ML</t>
        </is>
      </c>
      <c r="D3992" s="7" t="inlineStr">
        <is>
          <t>PERF/COSME</t>
        </is>
      </c>
      <c r="E3992" s="7" t="inlineStr">
        <is>
          <t>C</t>
        </is>
      </c>
      <c r="F3992" s="13" t="n">
        <v>1</v>
      </c>
      <c r="G3992" s="13" t="n">
        <v>1</v>
      </c>
      <c r="H3992" s="8" t="n">
        <v>15.14</v>
      </c>
      <c r="I3992" s="8" t="n">
        <v>15.14</v>
      </c>
      <c r="J3992" s="8" t="n">
        <v>15.14</v>
      </c>
      <c r="K3992" s="8" t="n"/>
      <c r="L3992" s="8" t="n"/>
      <c r="M3992" s="8" t="n"/>
      <c r="N3992" s="8" t="n"/>
      <c r="O3992" s="8" t="n"/>
      <c r="P3992" s="8" t="n"/>
      <c r="Q3992" s="8" t="n"/>
      <c r="R3992" s="8" t="n"/>
      <c r="S3992" s="8" t="n"/>
      <c r="T3992" s="7" t="inlineStr">
        <is>
          <t>SEM COTAÇÃO</t>
        </is>
      </c>
      <c r="U3992" s="8" t="n"/>
      <c r="V3992" s="14" t="n"/>
      <c r="W3992" s="14" t="n"/>
      <c r="X3992" s="7" t="inlineStr"/>
      <c r="Y3992" s="7" t="inlineStr"/>
    </row>
    <row r="3993">
      <c r="A3993" s="7" t="n">
        <v>595791</v>
      </c>
      <c r="B3993" s="12" t="inlineStr"/>
      <c r="C3993" s="7" t="inlineStr">
        <is>
          <t>SALON L SH+CO HIDRA 300ML KIDS</t>
        </is>
      </c>
      <c r="D3993" s="7" t="inlineStr">
        <is>
          <t>BABY/KIDS</t>
        </is>
      </c>
      <c r="E3993" s="7" t="inlineStr">
        <is>
          <t>B</t>
        </is>
      </c>
      <c r="F3993" s="13" t="n">
        <v>1</v>
      </c>
      <c r="G3993" s="13" t="n">
        <v>1</v>
      </c>
      <c r="H3993" s="8" t="n">
        <v>15.21</v>
      </c>
      <c r="I3993" s="8" t="n">
        <v>14.76</v>
      </c>
      <c r="J3993" s="8" t="n">
        <v>15.06</v>
      </c>
      <c r="K3993" s="8" t="n"/>
      <c r="L3993" s="8" t="n"/>
      <c r="M3993" s="8" t="n"/>
      <c r="N3993" s="8" t="n"/>
      <c r="O3993" s="8" t="n"/>
      <c r="P3993" s="8" t="n"/>
      <c r="Q3993" s="8" t="n"/>
      <c r="R3993" s="8" t="n"/>
      <c r="S3993" s="8" t="n"/>
      <c r="T3993" s="7" t="inlineStr">
        <is>
          <t>SEM COTAÇÃO</t>
        </is>
      </c>
      <c r="U3993" s="8" t="n"/>
      <c r="V3993" s="14" t="n"/>
      <c r="W3993" s="14" t="n"/>
      <c r="X3993" s="7" t="inlineStr"/>
      <c r="Y3993" s="7" t="inlineStr"/>
    </row>
    <row r="3994">
      <c r="A3994" s="7" t="n">
        <v>620461</v>
      </c>
      <c r="B3994" s="12" t="inlineStr">
        <is>
          <t>7898623956759</t>
        </is>
      </c>
      <c r="C3994" s="7" t="inlineStr">
        <is>
          <t>SALON L SH+CO SOS BOMBA ORIGINAL 200ML</t>
        </is>
      </c>
      <c r="D3994" s="7" t="inlineStr">
        <is>
          <t>COND/SHAM/CREM/SIMILARES</t>
        </is>
      </c>
      <c r="E3994" s="7" t="inlineStr">
        <is>
          <t>B</t>
        </is>
      </c>
      <c r="F3994" s="13" t="n">
        <v>1</v>
      </c>
      <c r="G3994" s="13" t="n">
        <v>1</v>
      </c>
      <c r="H3994" s="8" t="n">
        <v>22.25</v>
      </c>
      <c r="I3994" s="8" t="n">
        <v>22.25</v>
      </c>
      <c r="J3994" s="8" t="n">
        <v>22.25</v>
      </c>
      <c r="K3994" s="8" t="n"/>
      <c r="L3994" s="8" t="n"/>
      <c r="M3994" s="8" t="n"/>
      <c r="N3994" s="8" t="n"/>
      <c r="O3994" s="8" t="n"/>
      <c r="P3994" s="8" t="n"/>
      <c r="Q3994" s="8" t="n"/>
      <c r="R3994" s="8" t="n"/>
      <c r="S3994" s="8" t="n"/>
      <c r="T3994" s="7" t="inlineStr">
        <is>
          <t>SEM COTAÇÃO</t>
        </is>
      </c>
      <c r="U3994" s="8" t="n"/>
      <c r="V3994" s="14" t="n"/>
      <c r="W3994" s="14" t="n"/>
      <c r="X3994" s="7" t="inlineStr"/>
      <c r="Y3994" s="7" t="inlineStr"/>
    </row>
    <row r="3995">
      <c r="A3995" s="7" t="n">
        <v>620221</v>
      </c>
      <c r="B3995" s="12" t="inlineStr">
        <is>
          <t>7908458322091</t>
        </is>
      </c>
      <c r="C3995" s="7" t="inlineStr">
        <is>
          <t>SALON L SOS KIDS GELATINA HIDRATA 400G</t>
        </is>
      </c>
      <c r="D3995" s="7" t="inlineStr">
        <is>
          <t>COND/SHAM/CREM/SIMILARES</t>
        </is>
      </c>
      <c r="E3995" s="7" t="inlineStr">
        <is>
          <t>C</t>
        </is>
      </c>
      <c r="F3995" s="13" t="n">
        <v>1</v>
      </c>
      <c r="G3995" s="13" t="n">
        <v>1</v>
      </c>
      <c r="H3995" s="8" t="n">
        <v>15.11</v>
      </c>
      <c r="I3995" s="8" t="n">
        <v>15.11</v>
      </c>
      <c r="J3995" s="8" t="n">
        <v>15.11</v>
      </c>
      <c r="K3995" s="8" t="n"/>
      <c r="L3995" s="8" t="n"/>
      <c r="M3995" s="8" t="n"/>
      <c r="N3995" s="8" t="n"/>
      <c r="O3995" s="8" t="n"/>
      <c r="P3995" s="8" t="n"/>
      <c r="Q3995" s="8" t="n"/>
      <c r="R3995" s="8" t="n"/>
      <c r="S3995" s="8" t="n"/>
      <c r="T3995" s="7" t="inlineStr">
        <is>
          <t>SEM COTAÇÃO</t>
        </is>
      </c>
      <c r="U3995" s="8" t="n"/>
      <c r="V3995" s="14" t="n"/>
      <c r="W3995" s="14" t="n"/>
      <c r="X3995" s="7" t="inlineStr"/>
      <c r="Y3995" s="7" t="inlineStr"/>
    </row>
    <row r="3996">
      <c r="A3996" s="7" t="n">
        <v>619721</v>
      </c>
      <c r="B3996" s="12" t="inlineStr">
        <is>
          <t>7898524347014</t>
        </is>
      </c>
      <c r="C3996" s="7" t="inlineStr">
        <is>
          <t>SALON LINE COND SOS 300ML OLEO MANGA</t>
        </is>
      </c>
      <c r="D3996" s="7" t="inlineStr">
        <is>
          <t>COND/SHAM/CREM/SIMILARES</t>
        </is>
      </c>
      <c r="E3996" s="7" t="inlineStr">
        <is>
          <t>C</t>
        </is>
      </c>
      <c r="F3996" s="13" t="n">
        <v>4</v>
      </c>
      <c r="G3996" s="13" t="n">
        <v>4</v>
      </c>
      <c r="H3996" s="8" t="n">
        <v>16.03</v>
      </c>
      <c r="I3996" s="8" t="n">
        <v>16.03</v>
      </c>
      <c r="J3996" s="8" t="n">
        <v>16.03</v>
      </c>
      <c r="K3996" s="8" t="n"/>
      <c r="L3996" s="8" t="n"/>
      <c r="M3996" s="8" t="n"/>
      <c r="N3996" s="8" t="n"/>
      <c r="O3996" s="8" t="n"/>
      <c r="P3996" s="8" t="n"/>
      <c r="Q3996" s="8" t="n"/>
      <c r="R3996" s="8" t="n"/>
      <c r="S3996" s="8" t="n"/>
      <c r="T3996" s="7" t="inlineStr">
        <is>
          <t>SEM COTAÇÃO</t>
        </is>
      </c>
      <c r="U3996" s="8" t="n"/>
      <c r="V3996" s="14" t="n"/>
      <c r="W3996" s="14" t="n"/>
      <c r="X3996" s="7" t="inlineStr"/>
      <c r="Y3996" s="7" t="inlineStr"/>
    </row>
    <row r="3997">
      <c r="A3997" s="7" t="n">
        <v>431301</v>
      </c>
      <c r="B3997" s="12" t="inlineStr">
        <is>
          <t>7896227800089</t>
        </is>
      </c>
      <c r="C3997" s="7" t="inlineStr">
        <is>
          <t>SALONPAS 0,15+0,07G/G GEL BG 20G</t>
        </is>
      </c>
      <c r="D3997" s="7" t="inlineStr">
        <is>
          <t>RX - OTC</t>
        </is>
      </c>
      <c r="E3997" s="7" t="inlineStr">
        <is>
          <t>B</t>
        </is>
      </c>
      <c r="F3997" s="13" t="n">
        <v>2</v>
      </c>
      <c r="G3997" s="13" t="n">
        <v>2</v>
      </c>
      <c r="H3997" s="8" t="n">
        <v>14.86</v>
      </c>
      <c r="I3997" s="8" t="n">
        <v>14.325</v>
      </c>
      <c r="J3997" s="8" t="n">
        <v>14.325</v>
      </c>
      <c r="K3997" s="8" t="n"/>
      <c r="L3997" s="8" t="n"/>
      <c r="M3997" s="8" t="n">
        <v>14.64</v>
      </c>
      <c r="N3997" s="8" t="n"/>
      <c r="O3997" s="15" t="n">
        <v>16.2</v>
      </c>
      <c r="P3997" s="8" t="n">
        <v>17.23</v>
      </c>
      <c r="Q3997" s="8" t="n"/>
      <c r="R3997" s="8" t="n"/>
      <c r="S3997" s="8" t="n"/>
      <c r="T3997" s="7" t="inlineStr">
        <is>
          <t>TAPAJOS</t>
        </is>
      </c>
      <c r="U3997" s="8" t="n">
        <v>16.2</v>
      </c>
      <c r="V3997" s="14">
        <f>U3997/J3997-1</f>
        <v/>
      </c>
      <c r="W3997" s="14">
        <f>U3997/H3997-1</f>
        <v/>
      </c>
      <c r="X3997" s="16" t="inlineStr">
        <is>
          <t>ACIMA +9.0%</t>
        </is>
      </c>
      <c r="Y3997" s="7" t="inlineStr">
        <is>
          <t>EPAN: sem estoque; NAZARIA: sem estoque</t>
        </is>
      </c>
    </row>
    <row r="3998">
      <c r="A3998" s="7" t="n">
        <v>318421</v>
      </c>
      <c r="B3998" s="12" t="inlineStr">
        <is>
          <t>7896227800812</t>
        </is>
      </c>
      <c r="C3998" s="7" t="inlineStr">
        <is>
          <t>SALONPAS 144,0+131,0+28,4MG  CX 2 UNID. ADES TAM GDE</t>
        </is>
      </c>
      <c r="D3998" s="7" t="inlineStr">
        <is>
          <t>RX - OTC</t>
        </is>
      </c>
      <c r="E3998" s="7" t="inlineStr">
        <is>
          <t>A</t>
        </is>
      </c>
      <c r="F3998" s="13" t="n">
        <v>36</v>
      </c>
      <c r="G3998" s="13" t="n">
        <v>36</v>
      </c>
      <c r="H3998" s="8" t="n">
        <v>8.029500000000001</v>
      </c>
      <c r="I3998" s="8" t="n">
        <v>6.1254</v>
      </c>
      <c r="J3998" s="8" t="n">
        <v>7.3948</v>
      </c>
      <c r="K3998" s="8" t="n"/>
      <c r="L3998" s="8" t="n"/>
      <c r="M3998" s="8" t="n">
        <v>6.98</v>
      </c>
      <c r="N3998" s="8" t="n"/>
      <c r="O3998" s="8" t="n"/>
      <c r="P3998" s="15" t="n">
        <v>8.220000000000001</v>
      </c>
      <c r="Q3998" s="8" t="n"/>
      <c r="R3998" s="8" t="n"/>
      <c r="S3998" s="8" t="n"/>
      <c r="T3998" s="7" t="inlineStr">
        <is>
          <t>NAZARIA</t>
        </is>
      </c>
      <c r="U3998" s="8" t="n">
        <v>8.220000000000001</v>
      </c>
      <c r="V3998" s="14">
        <f>U3998/J3998-1</f>
        <v/>
      </c>
      <c r="W3998" s="14">
        <f>U3998/H3998-1</f>
        <v/>
      </c>
      <c r="X3998" s="16" t="inlineStr">
        <is>
          <t>ACIMA +2.4%</t>
        </is>
      </c>
      <c r="Y3998" s="7" t="inlineStr">
        <is>
          <t>EPAN: sem estoque; NAZARIA: estoque parcial (32 un)</t>
        </is>
      </c>
    </row>
    <row r="3999">
      <c r="A3999" s="7" t="n">
        <v>318441</v>
      </c>
      <c r="B3999" s="12" t="inlineStr">
        <is>
          <t>7896227800829</t>
        </is>
      </c>
      <c r="C3999" s="7" t="inlineStr">
        <is>
          <t>SALONPAS 144,0+131,0+28,4MG CX 4 UNID. ADES TAM GDE</t>
        </is>
      </c>
      <c r="D3999" s="7" t="inlineStr">
        <is>
          <t>RX - OTC</t>
        </is>
      </c>
      <c r="E3999" s="7" t="inlineStr">
        <is>
          <t>A</t>
        </is>
      </c>
      <c r="F3999" s="13" t="n">
        <v>61</v>
      </c>
      <c r="G3999" s="13" t="n">
        <v>61</v>
      </c>
      <c r="H3999" s="8" t="n">
        <v>15.3803</v>
      </c>
      <c r="I3999" s="8" t="n">
        <v>11.0372</v>
      </c>
      <c r="J3999" s="8" t="n">
        <v>13.1579</v>
      </c>
      <c r="K3999" s="8" t="n"/>
      <c r="L3999" s="8" t="n"/>
      <c r="M3999" s="8" t="n">
        <v>12.58</v>
      </c>
      <c r="N3999" s="8" t="n"/>
      <c r="O3999" s="8" t="n"/>
      <c r="P3999" s="15" t="n">
        <v>14.8</v>
      </c>
      <c r="Q3999" s="8" t="n"/>
      <c r="R3999" s="8" t="n"/>
      <c r="S3999" s="8" t="n"/>
      <c r="T3999" s="7" t="inlineStr">
        <is>
          <t>NAZARIA</t>
        </is>
      </c>
      <c r="U3999" s="8" t="n">
        <v>14.8</v>
      </c>
      <c r="V3999" s="14">
        <f>U3999/J3999-1</f>
        <v/>
      </c>
      <c r="W3999" s="14">
        <f>U3999/H3999-1</f>
        <v/>
      </c>
      <c r="X3999" s="17" t="inlineStr">
        <is>
          <t>OK (≤ últ. compra)</t>
        </is>
      </c>
      <c r="Y3999" s="7" t="inlineStr">
        <is>
          <t>EPAN: sem estoque</t>
        </is>
      </c>
    </row>
    <row r="4000">
      <c r="A4000" s="7" t="n">
        <v>431321</v>
      </c>
      <c r="B4000" s="12" t="inlineStr">
        <is>
          <t>7896227800041</t>
        </is>
      </c>
      <c r="C4000" s="7" t="inlineStr">
        <is>
          <t>SALONPAS 30+38,5+38,5+19MG/ML LATA COM 80ML</t>
        </is>
      </c>
      <c r="D4000" s="7" t="inlineStr">
        <is>
          <t>RX - OTC</t>
        </is>
      </c>
      <c r="E4000" s="7" t="inlineStr">
        <is>
          <t>B</t>
        </is>
      </c>
      <c r="F4000" s="13" t="n">
        <v>1</v>
      </c>
      <c r="G4000" s="13" t="n">
        <v>1</v>
      </c>
      <c r="H4000" s="8" t="n">
        <v>37.6733</v>
      </c>
      <c r="I4000" s="8" t="n">
        <v>32.5533</v>
      </c>
      <c r="J4000" s="8" t="n">
        <v>35.4922</v>
      </c>
      <c r="K4000" s="8" t="n"/>
      <c r="L4000" s="8" t="n"/>
      <c r="M4000" s="8" t="n"/>
      <c r="N4000" s="8" t="n"/>
      <c r="O4000" s="8" t="n"/>
      <c r="P4000" s="15" t="n">
        <v>43.68</v>
      </c>
      <c r="Q4000" s="8" t="n"/>
      <c r="R4000" s="8" t="n"/>
      <c r="S4000" s="8" t="n"/>
      <c r="T4000" s="7" t="inlineStr">
        <is>
          <t>NAZARIA</t>
        </is>
      </c>
      <c r="U4000" s="8" t="n">
        <v>43.68</v>
      </c>
      <c r="V4000" s="14">
        <f>U4000/J4000-1</f>
        <v/>
      </c>
      <c r="W4000" s="14">
        <f>U4000/H4000-1</f>
        <v/>
      </c>
      <c r="X4000" s="16" t="inlineStr">
        <is>
          <t>ACIMA +15.9%</t>
        </is>
      </c>
      <c r="Y4000" s="7" t="inlineStr"/>
    </row>
    <row r="4001">
      <c r="A4001" s="7" t="n">
        <v>318381</v>
      </c>
      <c r="B4001" s="12" t="inlineStr">
        <is>
          <t>7896227800805</t>
        </is>
      </c>
      <c r="C4001" s="7" t="inlineStr">
        <is>
          <t>SALONPAS 36,0MG+33,0MG+7,1MG CX 10 UNID. ADES TAM PEQ</t>
        </is>
      </c>
      <c r="D4001" s="7" t="inlineStr">
        <is>
          <t>RX - OTC</t>
        </is>
      </c>
      <c r="E4001" s="7" t="inlineStr">
        <is>
          <t>A</t>
        </is>
      </c>
      <c r="F4001" s="13" t="n">
        <v>32</v>
      </c>
      <c r="G4001" s="13" t="n">
        <v>32</v>
      </c>
      <c r="H4001" s="8" t="n">
        <v>8.486000000000001</v>
      </c>
      <c r="I4001" s="8" t="n">
        <v>6.9125</v>
      </c>
      <c r="J4001" s="8" t="n">
        <v>7.961500000000001</v>
      </c>
      <c r="K4001" s="8" t="n"/>
      <c r="L4001" s="8" t="n"/>
      <c r="M4001" s="8" t="n">
        <v>7.89</v>
      </c>
      <c r="N4001" s="8" t="n"/>
      <c r="O4001" s="8" t="n"/>
      <c r="P4001" s="15" t="n">
        <v>9.279999999999999</v>
      </c>
      <c r="Q4001" s="8" t="n"/>
      <c r="R4001" s="8" t="n"/>
      <c r="S4001" s="8" t="n"/>
      <c r="T4001" s="7" t="inlineStr">
        <is>
          <t>NAZARIA</t>
        </is>
      </c>
      <c r="U4001" s="8" t="n">
        <v>9.279999999999999</v>
      </c>
      <c r="V4001" s="14">
        <f>U4001/J4001-1</f>
        <v/>
      </c>
      <c r="W4001" s="14">
        <f>U4001/H4001-1</f>
        <v/>
      </c>
      <c r="X4001" s="16" t="inlineStr">
        <is>
          <t>ACIMA +9.4%</t>
        </is>
      </c>
      <c r="Y4001" s="7" t="inlineStr">
        <is>
          <t>EPAN: sem estoque</t>
        </is>
      </c>
    </row>
    <row r="4002">
      <c r="A4002" s="7" t="n">
        <v>318461</v>
      </c>
      <c r="B4002" s="12" t="inlineStr">
        <is>
          <t>7896227800799</t>
        </is>
      </c>
      <c r="C4002" s="7" t="inlineStr">
        <is>
          <t>SALONPAS 36,0MG+33,0MG+7,1MG CX 4 UNID. ADES TAM PEQ</t>
        </is>
      </c>
      <c r="D4002" s="7" t="inlineStr">
        <is>
          <t>RX - OTC</t>
        </is>
      </c>
      <c r="E4002" s="7" t="inlineStr">
        <is>
          <t>A</t>
        </is>
      </c>
      <c r="F4002" s="13" t="n">
        <v>30</v>
      </c>
      <c r="G4002" s="13" t="n">
        <v>30</v>
      </c>
      <c r="H4002" s="8" t="n">
        <v>4.0246</v>
      </c>
      <c r="I4002" s="8" t="n">
        <v>3.075</v>
      </c>
      <c r="J4002" s="8" t="n">
        <v>3.708066666666667</v>
      </c>
      <c r="K4002" s="8" t="n"/>
      <c r="L4002" s="8" t="n"/>
      <c r="M4002" s="8" t="n"/>
      <c r="N4002" s="8" t="n"/>
      <c r="O4002" s="8" t="n"/>
      <c r="P4002" s="8" t="n">
        <v>4.12</v>
      </c>
      <c r="Q4002" s="8" t="n"/>
      <c r="R4002" s="8" t="n"/>
      <c r="S4002" s="8" t="n"/>
      <c r="T4002" s="7" t="inlineStr">
        <is>
          <t>SEM COTAÇÃO</t>
        </is>
      </c>
      <c r="U4002" s="8" t="n"/>
      <c r="V4002" s="14" t="n"/>
      <c r="W4002" s="14" t="n"/>
      <c r="X4002" s="7" t="inlineStr"/>
      <c r="Y4002" s="7" t="inlineStr">
        <is>
          <t>NAZARIA: sem estoque</t>
        </is>
      </c>
    </row>
    <row r="4003">
      <c r="A4003" s="7" t="n">
        <v>623011</v>
      </c>
      <c r="B4003" s="12" t="inlineStr">
        <is>
          <t>4987188501115</t>
        </is>
      </c>
      <c r="C4003" s="7" t="inlineStr">
        <is>
          <t>SALONPAS GEL-PATCH 12,5MG/G+10MG/G+3MG/G+10MG/G 3 ADES</t>
        </is>
      </c>
      <c r="D4003" s="7" t="inlineStr">
        <is>
          <t>RX - OTC</t>
        </is>
      </c>
      <c r="E4003" s="7" t="inlineStr">
        <is>
          <t>C</t>
        </is>
      </c>
      <c r="F4003" s="13" t="n">
        <v>2</v>
      </c>
      <c r="G4003" s="13" t="n">
        <v>2</v>
      </c>
      <c r="H4003" s="8" t="n">
        <v>15.66</v>
      </c>
      <c r="I4003" s="8" t="n">
        <v>11.075</v>
      </c>
      <c r="J4003" s="8" t="n">
        <v>12.55833333333333</v>
      </c>
      <c r="K4003" s="8" t="n"/>
      <c r="L4003" s="8" t="n"/>
      <c r="M4003" s="8" t="n"/>
      <c r="N4003" s="8" t="n"/>
      <c r="O4003" s="15" t="n">
        <v>15.07</v>
      </c>
      <c r="P4003" s="8" t="n">
        <v>16.03</v>
      </c>
      <c r="Q4003" s="8" t="n"/>
      <c r="R4003" s="8" t="n"/>
      <c r="S4003" s="8" t="n"/>
      <c r="T4003" s="7" t="inlineStr">
        <is>
          <t>TAPAJOS</t>
        </is>
      </c>
      <c r="U4003" s="8" t="n">
        <v>15.07</v>
      </c>
      <c r="V4003" s="14">
        <f>U4003/J4003-1</f>
        <v/>
      </c>
      <c r="W4003" s="14">
        <f>U4003/H4003-1</f>
        <v/>
      </c>
      <c r="X4003" s="17" t="inlineStr">
        <is>
          <t>OK (≤ últ. compra)</t>
        </is>
      </c>
      <c r="Y4003" s="7" t="inlineStr"/>
    </row>
    <row r="4004">
      <c r="A4004" s="7" t="n">
        <v>660401</v>
      </c>
      <c r="B4004" s="12" t="inlineStr">
        <is>
          <t>7897337716703</t>
        </is>
      </c>
      <c r="C4004" s="7" t="inlineStr">
        <is>
          <t>SANDRENA 0,1 PCC GEL CT 28 SACH X 0,5 G</t>
        </is>
      </c>
      <c r="D4004" s="7" t="inlineStr">
        <is>
          <t>RX</t>
        </is>
      </c>
      <c r="E4004" s="7" t="inlineStr">
        <is>
          <t>B</t>
        </is>
      </c>
      <c r="F4004" s="13" t="n">
        <v>1</v>
      </c>
      <c r="G4004" s="13" t="n">
        <v>1</v>
      </c>
      <c r="H4004" s="8" t="n">
        <v>31.3</v>
      </c>
      <c r="I4004" s="8" t="n">
        <v>29.42</v>
      </c>
      <c r="J4004" s="8" t="n">
        <v>30.67113333333333</v>
      </c>
      <c r="K4004" s="8" t="n"/>
      <c r="L4004" s="8" t="n"/>
      <c r="M4004" s="15" t="n">
        <v>31.3</v>
      </c>
      <c r="N4004" s="8" t="n"/>
      <c r="O4004" s="8" t="n"/>
      <c r="P4004" s="8" t="n">
        <v>37.6942</v>
      </c>
      <c r="Q4004" s="8" t="n"/>
      <c r="R4004" s="8" t="n"/>
      <c r="S4004" s="8" t="n"/>
      <c r="T4004" s="7" t="inlineStr">
        <is>
          <t>EPAN</t>
        </is>
      </c>
      <c r="U4004" s="8" t="n">
        <v>31.3</v>
      </c>
      <c r="V4004" s="14">
        <f>U4004/J4004-1</f>
        <v/>
      </c>
      <c r="W4004" s="14">
        <f>U4004/H4004-1</f>
        <v/>
      </c>
      <c r="X4004" s="17" t="inlineStr">
        <is>
          <t>OK (≤ últ. compra)</t>
        </is>
      </c>
      <c r="Y4004" s="7" t="inlineStr"/>
    </row>
    <row r="4005">
      <c r="A4005" s="7" t="n">
        <v>616701</v>
      </c>
      <c r="B4005" s="12" t="inlineStr">
        <is>
          <t>7891176117509</t>
        </is>
      </c>
      <c r="C4005" s="7" t="inlineStr">
        <is>
          <t>SB FRANCIS SUAVE 85G AMARELO M12</t>
        </is>
      </c>
      <c r="D4005" s="7" t="inlineStr">
        <is>
          <t>PERF/COSME</t>
        </is>
      </c>
      <c r="E4005" s="7" t="inlineStr">
        <is>
          <t>C</t>
        </is>
      </c>
      <c r="F4005" s="13" t="n">
        <v>1</v>
      </c>
      <c r="G4005" s="13" t="n">
        <v>1</v>
      </c>
      <c r="H4005" s="8" t="n">
        <v>1.63</v>
      </c>
      <c r="I4005" s="8" t="n">
        <v>1.63</v>
      </c>
      <c r="J4005" s="8" t="n">
        <v>1.63</v>
      </c>
      <c r="K4005" s="8" t="n"/>
      <c r="L4005" s="8" t="n"/>
      <c r="M4005" s="8" t="n"/>
      <c r="N4005" s="8" t="n"/>
      <c r="O4005" s="8" t="n"/>
      <c r="P4005" s="8" t="n"/>
      <c r="Q4005" s="8" t="n"/>
      <c r="R4005" s="8" t="n"/>
      <c r="S4005" s="8" t="n"/>
      <c r="T4005" s="7" t="inlineStr">
        <is>
          <t>SEM COTAÇÃO</t>
        </is>
      </c>
      <c r="U4005" s="8" t="n"/>
      <c r="V4005" s="14" t="n"/>
      <c r="W4005" s="14" t="n"/>
      <c r="X4005" s="7" t="inlineStr"/>
      <c r="Y4005" s="7" t="inlineStr"/>
    </row>
    <row r="4006">
      <c r="A4006" s="7" t="n">
        <v>629101</v>
      </c>
      <c r="B4006" s="12" t="inlineStr">
        <is>
          <t>7891150060333</t>
        </is>
      </c>
      <c r="C4006" s="7" t="inlineStr">
        <is>
          <t>SB LIQ DOVE 200ML RF ANTI STRESS M3</t>
        </is>
      </c>
      <c r="D4006" s="7" t="inlineStr">
        <is>
          <t>SABONETES BARRAS/LIQUIDOS</t>
        </is>
      </c>
      <c r="E4006" s="7" t="inlineStr">
        <is>
          <t>C</t>
        </is>
      </c>
      <c r="F4006" s="13" t="n">
        <v>1</v>
      </c>
      <c r="G4006" s="13" t="n">
        <v>1</v>
      </c>
      <c r="H4006" s="8" t="n">
        <v>9.289999999999999</v>
      </c>
      <c r="I4006" s="8" t="n">
        <v>9.289999999999999</v>
      </c>
      <c r="J4006" s="8" t="n">
        <v>9.289999999999999</v>
      </c>
      <c r="K4006" s="8" t="n"/>
      <c r="L4006" s="8" t="n"/>
      <c r="M4006" s="8" t="n"/>
      <c r="N4006" s="8" t="n"/>
      <c r="O4006" s="8" t="n"/>
      <c r="P4006" s="8" t="n"/>
      <c r="Q4006" s="8" t="n"/>
      <c r="R4006" s="8" t="n"/>
      <c r="S4006" s="8" t="n"/>
      <c r="T4006" s="7" t="inlineStr">
        <is>
          <t>SEM COTAÇÃO</t>
        </is>
      </c>
      <c r="U4006" s="8" t="n"/>
      <c r="V4006" s="14" t="n"/>
      <c r="W4006" s="14" t="n"/>
      <c r="X4006" s="7" t="inlineStr"/>
      <c r="Y4006" s="7" t="inlineStr"/>
    </row>
    <row r="4007">
      <c r="A4007" s="7" t="n">
        <v>628621</v>
      </c>
      <c r="B4007" s="12" t="inlineStr">
        <is>
          <t>7891150075375</t>
        </is>
      </c>
      <c r="C4007" s="7" t="inlineStr">
        <is>
          <t>SB LIQ DOVE 200ML RF CUIDA PROTEGE M3</t>
        </is>
      </c>
      <c r="D4007" s="7" t="inlineStr">
        <is>
          <t>SABONETES BARRAS/LIQUIDOS</t>
        </is>
      </c>
      <c r="E4007" s="7" t="inlineStr">
        <is>
          <t>C</t>
        </is>
      </c>
      <c r="F4007" s="13" t="n">
        <v>2</v>
      </c>
      <c r="G4007" s="13" t="n">
        <v>2</v>
      </c>
      <c r="H4007" s="8" t="n">
        <v>8.31</v>
      </c>
      <c r="I4007" s="8" t="n">
        <v>7.53</v>
      </c>
      <c r="J4007" s="8" t="n">
        <v>8.050000000000001</v>
      </c>
      <c r="K4007" s="8" t="n"/>
      <c r="L4007" s="8" t="n"/>
      <c r="M4007" s="8" t="n"/>
      <c r="N4007" s="8" t="n"/>
      <c r="O4007" s="8" t="n"/>
      <c r="P4007" s="15" t="n">
        <v>9.35</v>
      </c>
      <c r="Q4007" s="8" t="n"/>
      <c r="R4007" s="8" t="n"/>
      <c r="S4007" s="8" t="n"/>
      <c r="T4007" s="7" t="inlineStr">
        <is>
          <t>NAZARIA</t>
        </is>
      </c>
      <c r="U4007" s="8" t="n">
        <v>9.35</v>
      </c>
      <c r="V4007" s="14">
        <f>U4007/J4007-1</f>
        <v/>
      </c>
      <c r="W4007" s="14">
        <f>U4007/H4007-1</f>
        <v/>
      </c>
      <c r="X4007" s="16" t="inlineStr">
        <is>
          <t>ACIMA +12.5%</t>
        </is>
      </c>
      <c r="Y4007" s="7" t="inlineStr"/>
    </row>
    <row r="4008">
      <c r="A4008" s="7" t="n">
        <v>628971</v>
      </c>
      <c r="B4008" s="12" t="inlineStr">
        <is>
          <t>7891150053229</t>
        </is>
      </c>
      <c r="C4008" s="7" t="inlineStr">
        <is>
          <t>SB LIQ DOVE 200ML RF NUTRICAO PROFU M3</t>
        </is>
      </c>
      <c r="D4008" s="7" t="inlineStr">
        <is>
          <t>COND/SHAM/CREM/SIMILARES</t>
        </is>
      </c>
      <c r="E4008" s="7" t="inlineStr">
        <is>
          <t>C</t>
        </is>
      </c>
      <c r="F4008" s="13" t="n">
        <v>8</v>
      </c>
      <c r="G4008" s="13" t="n">
        <v>8</v>
      </c>
      <c r="H4008" s="8" t="n">
        <v>7.88</v>
      </c>
      <c r="I4008" s="8" t="n">
        <v>7.53</v>
      </c>
      <c r="J4008" s="8" t="n">
        <v>7.763333333333333</v>
      </c>
      <c r="K4008" s="8" t="n"/>
      <c r="L4008" s="8" t="n"/>
      <c r="M4008" s="15" t="n">
        <v>5.92</v>
      </c>
      <c r="N4008" s="8" t="n"/>
      <c r="O4008" s="8" t="n"/>
      <c r="P4008" s="8" t="n">
        <v>8.85</v>
      </c>
      <c r="Q4008" s="8" t="n"/>
      <c r="R4008" s="8" t="n"/>
      <c r="S4008" s="8" t="n"/>
      <c r="T4008" s="7" t="inlineStr">
        <is>
          <t>EPAN</t>
        </is>
      </c>
      <c r="U4008" s="8" t="n">
        <v>5.92</v>
      </c>
      <c r="V4008" s="14">
        <f>U4008/J4008-1</f>
        <v/>
      </c>
      <c r="W4008" s="14">
        <f>U4008/H4008-1</f>
        <v/>
      </c>
      <c r="X4008" s="17" t="inlineStr">
        <is>
          <t>OK (≤ menor hist.)</t>
        </is>
      </c>
      <c r="Y4008" s="7" t="inlineStr"/>
    </row>
    <row r="4009">
      <c r="A4009" s="7" t="n">
        <v>576081</v>
      </c>
      <c r="B4009" s="12" t="inlineStr">
        <is>
          <t>7891150075405</t>
        </is>
      </c>
      <c r="C4009" s="7" t="inlineStr">
        <is>
          <t>SB LIQ DOVE 250ML CUIDA PROTEGE M3</t>
        </is>
      </c>
      <c r="D4009" s="7" t="inlineStr">
        <is>
          <t>PERF/COSME</t>
        </is>
      </c>
      <c r="E4009" s="7" t="inlineStr">
        <is>
          <t>A</t>
        </is>
      </c>
      <c r="F4009" s="13" t="n">
        <v>4</v>
      </c>
      <c r="G4009" s="13" t="n">
        <v>4</v>
      </c>
      <c r="H4009" s="8" t="n">
        <v>11.685</v>
      </c>
      <c r="I4009" s="8" t="n">
        <v>11.5333</v>
      </c>
      <c r="J4009" s="8" t="n">
        <v>11.5333</v>
      </c>
      <c r="K4009" s="8" t="n"/>
      <c r="L4009" s="8" t="n"/>
      <c r="M4009" s="8" t="n"/>
      <c r="N4009" s="8" t="n"/>
      <c r="O4009" s="8" t="n"/>
      <c r="P4009" s="15" t="n">
        <v>12.38</v>
      </c>
      <c r="Q4009" s="8" t="n"/>
      <c r="R4009" s="8" t="n"/>
      <c r="S4009" s="8" t="n"/>
      <c r="T4009" s="7" t="inlineStr">
        <is>
          <t>NAZARIA</t>
        </is>
      </c>
      <c r="U4009" s="8" t="n">
        <v>12.38</v>
      </c>
      <c r="V4009" s="14">
        <f>U4009/J4009-1</f>
        <v/>
      </c>
      <c r="W4009" s="14">
        <f>U4009/H4009-1</f>
        <v/>
      </c>
      <c r="X4009" s="16" t="inlineStr">
        <is>
          <t>ACIMA +5.9%</t>
        </is>
      </c>
      <c r="Y4009" s="7" t="inlineStr"/>
    </row>
    <row r="4010">
      <c r="A4010" s="7" t="n">
        <v>575521</v>
      </c>
      <c r="B4010" s="12" t="inlineStr">
        <is>
          <t>7891150029293</t>
        </is>
      </c>
      <c r="C4010" s="7" t="inlineStr">
        <is>
          <t>SB LIQ DOVE 250ML CUIDADO RECONFORTAN M3</t>
        </is>
      </c>
      <c r="D4010" s="7" t="inlineStr">
        <is>
          <t>PERF/COSME</t>
        </is>
      </c>
      <c r="E4010" s="7" t="inlineStr">
        <is>
          <t>C</t>
        </is>
      </c>
      <c r="F4010" s="13" t="n">
        <v>1</v>
      </c>
      <c r="G4010" s="13" t="n">
        <v>1</v>
      </c>
      <c r="H4010" s="8" t="n">
        <v>12.6</v>
      </c>
      <c r="I4010" s="8" t="n">
        <v>12.6</v>
      </c>
      <c r="J4010" s="8" t="n">
        <v>12.6</v>
      </c>
      <c r="K4010" s="8" t="n"/>
      <c r="L4010" s="8" t="n"/>
      <c r="M4010" s="8" t="n"/>
      <c r="N4010" s="8" t="n"/>
      <c r="O4010" s="8" t="n"/>
      <c r="P4010" s="15" t="n">
        <v>12.38</v>
      </c>
      <c r="Q4010" s="8" t="n"/>
      <c r="R4010" s="8" t="n"/>
      <c r="S4010" s="8" t="n"/>
      <c r="T4010" s="7" t="inlineStr">
        <is>
          <t>NAZARIA</t>
        </is>
      </c>
      <c r="U4010" s="8" t="n">
        <v>12.38</v>
      </c>
      <c r="V4010" s="14">
        <f>U4010/J4010-1</f>
        <v/>
      </c>
      <c r="W4010" s="14">
        <f>U4010/H4010-1</f>
        <v/>
      </c>
      <c r="X4010" s="17" t="inlineStr">
        <is>
          <t>OK (≤ menor hist.)</t>
        </is>
      </c>
      <c r="Y4010" s="7" t="inlineStr"/>
    </row>
    <row r="4011">
      <c r="A4011" s="7" t="n">
        <v>631681</v>
      </c>
      <c r="B4011" s="12" t="inlineStr">
        <is>
          <t>7891150063105</t>
        </is>
      </c>
      <c r="C4011" s="7" t="inlineStr">
        <is>
          <t>SB LIQ DOVE 250ML NUTRICAO PROFUNDA</t>
        </is>
      </c>
      <c r="D4011" s="7" t="inlineStr">
        <is>
          <t>PERF/COSME</t>
        </is>
      </c>
      <c r="E4011" s="7" t="inlineStr">
        <is>
          <t>C</t>
        </is>
      </c>
      <c r="F4011" s="13" t="n">
        <v>2</v>
      </c>
      <c r="G4011" s="13" t="n">
        <v>2</v>
      </c>
      <c r="H4011" s="8" t="n">
        <v>12.17</v>
      </c>
      <c r="I4011" s="8" t="n">
        <v>10.7908</v>
      </c>
      <c r="J4011" s="8" t="n">
        <v>11.71026666666667</v>
      </c>
      <c r="K4011" s="8" t="n"/>
      <c r="L4011" s="8" t="n"/>
      <c r="M4011" s="8" t="n"/>
      <c r="N4011" s="8" t="n"/>
      <c r="O4011" s="8" t="n"/>
      <c r="P4011" s="15" t="n">
        <v>12.03</v>
      </c>
      <c r="Q4011" s="8" t="n"/>
      <c r="R4011" s="8" t="n"/>
      <c r="S4011" s="8" t="n"/>
      <c r="T4011" s="7" t="inlineStr">
        <is>
          <t>NAZARIA</t>
        </is>
      </c>
      <c r="U4011" s="8" t="n">
        <v>12.03</v>
      </c>
      <c r="V4011" s="14">
        <f>U4011/J4011-1</f>
        <v/>
      </c>
      <c r="W4011" s="14">
        <f>U4011/H4011-1</f>
        <v/>
      </c>
      <c r="X4011" s="17" t="inlineStr">
        <is>
          <t>OK (≤ últ. compra)</t>
        </is>
      </c>
      <c r="Y4011" s="7" t="inlineStr"/>
    </row>
    <row r="4012">
      <c r="A4012" s="7" t="n">
        <v>575221</v>
      </c>
      <c r="B4012" s="12" t="inlineStr">
        <is>
          <t>7898122440827</t>
        </is>
      </c>
      <c r="C4012" s="7" t="inlineStr">
        <is>
          <t>SB LIQ INT DERMATTIVE 125ML</t>
        </is>
      </c>
      <c r="D4012" s="7" t="inlineStr">
        <is>
          <t>PERF/COSME</t>
        </is>
      </c>
      <c r="E4012" s="7" t="inlineStr">
        <is>
          <t>C</t>
        </is>
      </c>
      <c r="F4012" s="13" t="n">
        <v>1</v>
      </c>
      <c r="G4012" s="13" t="n">
        <v>1</v>
      </c>
      <c r="H4012" s="8" t="n">
        <v>10.11</v>
      </c>
      <c r="I4012" s="8" t="n">
        <v>10.11</v>
      </c>
      <c r="J4012" s="8" t="n">
        <v>10.11</v>
      </c>
      <c r="K4012" s="8" t="n"/>
      <c r="L4012" s="8" t="n"/>
      <c r="M4012" s="8" t="n"/>
      <c r="N4012" s="8" t="n"/>
      <c r="O4012" s="8" t="n"/>
      <c r="P4012" s="8" t="n"/>
      <c r="Q4012" s="8" t="n"/>
      <c r="R4012" s="8" t="n"/>
      <c r="S4012" s="8" t="n"/>
      <c r="T4012" s="7" t="inlineStr">
        <is>
          <t>SEM COTAÇÃO</t>
        </is>
      </c>
      <c r="U4012" s="8" t="n"/>
      <c r="V4012" s="14" t="n"/>
      <c r="W4012" s="14" t="n"/>
      <c r="X4012" s="7" t="inlineStr"/>
      <c r="Y4012" s="7" t="inlineStr"/>
    </row>
    <row r="4013">
      <c r="A4013" s="7" t="n">
        <v>575381</v>
      </c>
      <c r="B4013" s="12" t="inlineStr">
        <is>
          <t>7898122441527</t>
        </is>
      </c>
      <c r="C4013" s="7" t="inlineStr">
        <is>
          <t>SB LIQ INT DERMATTIVE 125ML FELICIDADE</t>
        </is>
      </c>
      <c r="D4013" s="7" t="inlineStr">
        <is>
          <t>PERF/COSME</t>
        </is>
      </c>
      <c r="E4013" s="7" t="inlineStr">
        <is>
          <t>C</t>
        </is>
      </c>
      <c r="F4013" s="13" t="n">
        <v>1</v>
      </c>
      <c r="G4013" s="13" t="n">
        <v>1</v>
      </c>
      <c r="H4013" s="8" t="n">
        <v>10.11</v>
      </c>
      <c r="I4013" s="8" t="n">
        <v>10.11</v>
      </c>
      <c r="J4013" s="8" t="n">
        <v>10.11</v>
      </c>
      <c r="K4013" s="8" t="n"/>
      <c r="L4013" s="8" t="n"/>
      <c r="M4013" s="8" t="n"/>
      <c r="N4013" s="8" t="n"/>
      <c r="O4013" s="8" t="n"/>
      <c r="P4013" s="8" t="n"/>
      <c r="Q4013" s="8" t="n"/>
      <c r="R4013" s="8" t="n"/>
      <c r="S4013" s="8" t="n"/>
      <c r="T4013" s="7" t="inlineStr">
        <is>
          <t>SEM COTAÇÃO</t>
        </is>
      </c>
      <c r="U4013" s="8" t="n"/>
      <c r="V4013" s="14" t="n"/>
      <c r="W4013" s="14" t="n"/>
      <c r="X4013" s="7" t="inlineStr"/>
      <c r="Y4013" s="7" t="inlineStr"/>
    </row>
    <row r="4014">
      <c r="A4014" s="7" t="n">
        <v>635281</v>
      </c>
      <c r="B4014" s="12" t="inlineStr">
        <is>
          <t>7896279116923</t>
        </is>
      </c>
      <c r="C4014" s="7" t="inlineStr">
        <is>
          <t>SB LIQ INT KT MURIEL INTIMO+FLORAL 200ML</t>
        </is>
      </c>
      <c r="D4014" s="7" t="inlineStr">
        <is>
          <t>PERF/COSME</t>
        </is>
      </c>
      <c r="E4014" s="7" t="inlineStr">
        <is>
          <t>C</t>
        </is>
      </c>
      <c r="F4014" s="13" t="n">
        <v>1</v>
      </c>
      <c r="G4014" s="13" t="n">
        <v>1</v>
      </c>
      <c r="H4014" s="8" t="n">
        <v>15.68</v>
      </c>
      <c r="I4014" s="8" t="n">
        <v>15.68</v>
      </c>
      <c r="J4014" s="8" t="n">
        <v>15.68</v>
      </c>
      <c r="K4014" s="8" t="n"/>
      <c r="L4014" s="8" t="n"/>
      <c r="M4014" s="8" t="n"/>
      <c r="N4014" s="8" t="n"/>
      <c r="O4014" s="8" t="n"/>
      <c r="P4014" s="8" t="n"/>
      <c r="Q4014" s="8" t="n"/>
      <c r="R4014" s="8" t="n"/>
      <c r="S4014" s="8" t="n"/>
      <c r="T4014" s="7" t="inlineStr">
        <is>
          <t>SEM COTAÇÃO</t>
        </is>
      </c>
      <c r="U4014" s="8" t="n"/>
      <c r="V4014" s="14" t="n"/>
      <c r="W4014" s="14" t="n"/>
      <c r="X4014" s="7" t="inlineStr"/>
      <c r="Y4014" s="7" t="inlineStr"/>
    </row>
    <row r="4015">
      <c r="A4015" s="7" t="n">
        <v>653871</v>
      </c>
      <c r="B4015" s="12" t="inlineStr">
        <is>
          <t>7891150095328</t>
        </is>
      </c>
      <c r="C4015" s="7" t="inlineStr">
        <is>
          <t>SB LIQ LUX BOT 200ML REFIL GARD AMEND</t>
        </is>
      </c>
      <c r="D4015" s="7" t="inlineStr">
        <is>
          <t>SABONETES BARRAS/LIQUIDOS</t>
        </is>
      </c>
      <c r="E4015" s="7" t="inlineStr">
        <is>
          <t>C</t>
        </is>
      </c>
      <c r="F4015" s="13" t="n">
        <v>3</v>
      </c>
      <c r="G4015" s="13" t="n">
        <v>3</v>
      </c>
      <c r="H4015" s="8" t="n">
        <v>5.94</v>
      </c>
      <c r="I4015" s="8" t="n">
        <v>5.94</v>
      </c>
      <c r="J4015" s="8" t="n">
        <v>5.94</v>
      </c>
      <c r="K4015" s="8" t="n"/>
      <c r="L4015" s="8" t="n"/>
      <c r="M4015" s="8" t="n"/>
      <c r="N4015" s="8" t="n"/>
      <c r="O4015" s="8" t="n"/>
      <c r="P4015" s="15" t="n">
        <v>6.4</v>
      </c>
      <c r="Q4015" s="8" t="n"/>
      <c r="R4015" s="8" t="n"/>
      <c r="S4015" s="8" t="n"/>
      <c r="T4015" s="7" t="inlineStr">
        <is>
          <t>NAZARIA</t>
        </is>
      </c>
      <c r="U4015" s="8" t="n">
        <v>6.4</v>
      </c>
      <c r="V4015" s="14">
        <f>U4015/J4015-1</f>
        <v/>
      </c>
      <c r="W4015" s="14">
        <f>U4015/H4015-1</f>
        <v/>
      </c>
      <c r="X4015" s="16" t="inlineStr">
        <is>
          <t>ACIMA +7.7%</t>
        </is>
      </c>
      <c r="Y4015" s="7" t="inlineStr"/>
    </row>
    <row r="4016">
      <c r="A4016" s="7" t="n">
        <v>575781</v>
      </c>
      <c r="B4016" s="12" t="inlineStr">
        <is>
          <t>7891150060166</t>
        </is>
      </c>
      <c r="C4016" s="7" t="inlineStr">
        <is>
          <t>SB LIQ LUX BOTANICALS 250ML BUQ DE JA M3</t>
        </is>
      </c>
      <c r="D4016" s="7" t="inlineStr">
        <is>
          <t>PERF/COSME</t>
        </is>
      </c>
      <c r="E4016" s="7" t="inlineStr">
        <is>
          <t>A</t>
        </is>
      </c>
      <c r="F4016" s="13" t="n">
        <v>6</v>
      </c>
      <c r="G4016" s="13" t="n">
        <v>6</v>
      </c>
      <c r="H4016" s="8" t="n">
        <v>8.026</v>
      </c>
      <c r="I4016" s="8" t="n">
        <v>7.67</v>
      </c>
      <c r="J4016" s="8" t="n">
        <v>7.885000000000001</v>
      </c>
      <c r="K4016" s="8" t="n"/>
      <c r="L4016" s="8" t="n"/>
      <c r="M4016" s="8" t="n"/>
      <c r="N4016" s="8" t="n"/>
      <c r="O4016" s="8" t="n"/>
      <c r="P4016" s="15" t="n">
        <v>8.58</v>
      </c>
      <c r="Q4016" s="8" t="n"/>
      <c r="R4016" s="8" t="n"/>
      <c r="S4016" s="8" t="n"/>
      <c r="T4016" s="7" t="inlineStr">
        <is>
          <t>NAZARIA</t>
        </is>
      </c>
      <c r="U4016" s="8" t="n">
        <v>8.58</v>
      </c>
      <c r="V4016" s="14">
        <f>U4016/J4016-1</f>
        <v/>
      </c>
      <c r="W4016" s="14">
        <f>U4016/H4016-1</f>
        <v/>
      </c>
      <c r="X4016" s="16" t="inlineStr">
        <is>
          <t>ACIMA +6.9%</t>
        </is>
      </c>
      <c r="Y4016" s="7" t="inlineStr"/>
    </row>
    <row r="4017">
      <c r="A4017" s="7" t="n">
        <v>586881</v>
      </c>
      <c r="B4017" s="12" t="inlineStr">
        <is>
          <t>7891150059856</t>
        </is>
      </c>
      <c r="C4017" s="7" t="inlineStr">
        <is>
          <t>SB LUX BOTANICALS 85G FLOR DE VERBEN M12</t>
        </is>
      </c>
      <c r="D4017" s="7" t="inlineStr">
        <is>
          <t>PERF/COSME</t>
        </is>
      </c>
      <c r="E4017" s="7" t="inlineStr">
        <is>
          <t>C</t>
        </is>
      </c>
      <c r="F4017" s="13" t="n">
        <v>1</v>
      </c>
      <c r="G4017" s="13" t="n">
        <v>1</v>
      </c>
      <c r="H4017" s="8" t="n">
        <v>1.9775</v>
      </c>
      <c r="I4017" s="8" t="n">
        <v>1.9775</v>
      </c>
      <c r="J4017" s="8" t="n">
        <v>1.9775</v>
      </c>
      <c r="K4017" s="8" t="n"/>
      <c r="L4017" s="8" t="n"/>
      <c r="M4017" s="8" t="n"/>
      <c r="N4017" s="8" t="n"/>
      <c r="O4017" s="8" t="n"/>
      <c r="P4017" s="8" t="n"/>
      <c r="Q4017" s="8" t="n"/>
      <c r="R4017" s="8" t="n"/>
      <c r="S4017" s="8" t="n"/>
      <c r="T4017" s="7" t="inlineStr">
        <is>
          <t>SEM COTAÇÃO</t>
        </is>
      </c>
      <c r="U4017" s="8" t="n"/>
      <c r="V4017" s="14" t="n"/>
      <c r="W4017" s="14" t="n"/>
      <c r="X4017" s="7" t="inlineStr"/>
      <c r="Y4017" s="7" t="inlineStr"/>
    </row>
    <row r="4018">
      <c r="A4018" s="7" t="n">
        <v>636211</v>
      </c>
      <c r="B4018" s="12" t="inlineStr">
        <is>
          <t>7896512934536</t>
        </is>
      </c>
      <c r="C4018" s="7" t="inlineStr">
        <is>
          <t>SB PHEBO 90G PATCHOULY M12</t>
        </is>
      </c>
      <c r="D4018" s="7" t="inlineStr">
        <is>
          <t>PERF/COSME</t>
        </is>
      </c>
      <c r="E4018" s="7" t="inlineStr">
        <is>
          <t>C</t>
        </is>
      </c>
      <c r="F4018" s="13" t="n">
        <v>2</v>
      </c>
      <c r="G4018" s="13" t="n">
        <v>2</v>
      </c>
      <c r="H4018" s="8" t="n">
        <v>4.2117</v>
      </c>
      <c r="I4018" s="8" t="n">
        <v>4.2117</v>
      </c>
      <c r="J4018" s="8" t="n">
        <v>4.2117</v>
      </c>
      <c r="K4018" s="8" t="n"/>
      <c r="L4018" s="8" t="n"/>
      <c r="M4018" s="8" t="n"/>
      <c r="N4018" s="8" t="n"/>
      <c r="O4018" s="8" t="n"/>
      <c r="P4018" s="15" t="n">
        <v>4.68</v>
      </c>
      <c r="Q4018" s="8" t="n"/>
      <c r="R4018" s="8" t="n"/>
      <c r="S4018" s="8" t="n"/>
      <c r="T4018" s="7" t="inlineStr">
        <is>
          <t>NAZARIA</t>
        </is>
      </c>
      <c r="U4018" s="8" t="n">
        <v>4.68</v>
      </c>
      <c r="V4018" s="14">
        <f>U4018/J4018-1</f>
        <v/>
      </c>
      <c r="W4018" s="14">
        <f>U4018/H4018-1</f>
        <v/>
      </c>
      <c r="X4018" s="16" t="inlineStr">
        <is>
          <t>ACIMA +11.1%</t>
        </is>
      </c>
      <c r="Y4018" s="7" t="inlineStr"/>
    </row>
    <row r="4019">
      <c r="A4019" s="7" t="n">
        <v>540721</v>
      </c>
      <c r="B4019" s="12" t="inlineStr">
        <is>
          <t>7896512905420</t>
        </is>
      </c>
      <c r="C4019" s="7" t="inlineStr">
        <is>
          <t>SBNT GRANADO GLICERINA 90G</t>
        </is>
      </c>
      <c r="D4019" s="7" t="inlineStr">
        <is>
          <t>PERF/COSME</t>
        </is>
      </c>
      <c r="E4019" s="7" t="inlineStr">
        <is>
          <t>B</t>
        </is>
      </c>
      <c r="F4019" s="13" t="n">
        <v>7</v>
      </c>
      <c r="G4019" s="13" t="n">
        <v>7</v>
      </c>
      <c r="H4019" s="8" t="n">
        <v>4.95</v>
      </c>
      <c r="I4019" s="8" t="n">
        <v>4.95</v>
      </c>
      <c r="J4019" s="8" t="n">
        <v>4.95</v>
      </c>
      <c r="K4019" s="8" t="n"/>
      <c r="L4019" s="8" t="n"/>
      <c r="M4019" s="8" t="n"/>
      <c r="N4019" s="8" t="n"/>
      <c r="O4019" s="8" t="n"/>
      <c r="P4019" s="15" t="n">
        <v>6.17</v>
      </c>
      <c r="Q4019" s="8" t="n"/>
      <c r="R4019" s="8" t="n"/>
      <c r="S4019" s="8" t="n"/>
      <c r="T4019" s="7" t="inlineStr">
        <is>
          <t>NAZARIA</t>
        </is>
      </c>
      <c r="U4019" s="8" t="n">
        <v>6.17</v>
      </c>
      <c r="V4019" s="14">
        <f>U4019/J4019-1</f>
        <v/>
      </c>
      <c r="W4019" s="14">
        <f>U4019/H4019-1</f>
        <v/>
      </c>
      <c r="X4019" s="16" t="inlineStr">
        <is>
          <t>ACIMA +24.6%</t>
        </is>
      </c>
      <c r="Y4019" s="7" t="inlineStr"/>
    </row>
    <row r="4020">
      <c r="A4020" s="7" t="n">
        <v>593601</v>
      </c>
      <c r="B4020" s="12" t="inlineStr">
        <is>
          <t>7891035000898</t>
        </is>
      </c>
      <c r="C4020" s="7" t="inlineStr">
        <is>
          <t>SBP LOCAO REPEL INFANTIL BABY 12X100ML</t>
        </is>
      </c>
      <c r="D4020" s="7" t="inlineStr">
        <is>
          <t>BABY/KIDS</t>
        </is>
      </c>
      <c r="E4020" s="7" t="inlineStr">
        <is>
          <t>A</t>
        </is>
      </c>
      <c r="F4020" s="13" t="n">
        <v>3</v>
      </c>
      <c r="G4020" s="13" t="n">
        <v>3</v>
      </c>
      <c r="H4020" s="8" t="n">
        <v>35.33</v>
      </c>
      <c r="I4020" s="8" t="n">
        <v>35.33</v>
      </c>
      <c r="J4020" s="8" t="n">
        <v>35.33</v>
      </c>
      <c r="K4020" s="8" t="n"/>
      <c r="L4020" s="8" t="n"/>
      <c r="M4020" s="8" t="n"/>
      <c r="N4020" s="8" t="n"/>
      <c r="O4020" s="8" t="n"/>
      <c r="P4020" s="15" t="n">
        <v>31.2032</v>
      </c>
      <c r="Q4020" s="8" t="n"/>
      <c r="R4020" s="8" t="n"/>
      <c r="S4020" s="8" t="n"/>
      <c r="T4020" s="7" t="inlineStr">
        <is>
          <t>NAZARIA</t>
        </is>
      </c>
      <c r="U4020" s="8" t="n">
        <v>31.2032</v>
      </c>
      <c r="V4020" s="14">
        <f>U4020/J4020-1</f>
        <v/>
      </c>
      <c r="W4020" s="14">
        <f>U4020/H4020-1</f>
        <v/>
      </c>
      <c r="X4020" s="17" t="inlineStr">
        <is>
          <t>OK (≤ menor hist.)</t>
        </is>
      </c>
      <c r="Y4020" s="7" t="inlineStr"/>
    </row>
    <row r="4021">
      <c r="A4021" s="7" t="n">
        <v>557721</v>
      </c>
      <c r="B4021" s="12" t="inlineStr">
        <is>
          <t>017898157723384</t>
        </is>
      </c>
      <c r="C4021" s="7" t="inlineStr">
        <is>
          <t>SCALP 23G - SAFER</t>
        </is>
      </c>
      <c r="D4021" s="7" t="inlineStr">
        <is>
          <t>UTENSILIOS</t>
        </is>
      </c>
      <c r="E4021" s="7" t="inlineStr">
        <is>
          <t>B</t>
        </is>
      </c>
      <c r="F4021" s="13" t="n">
        <v>77</v>
      </c>
      <c r="G4021" s="13" t="n">
        <v>77</v>
      </c>
      <c r="H4021" s="8" t="n">
        <v>0.39</v>
      </c>
      <c r="I4021" s="8" t="n">
        <v>0.39</v>
      </c>
      <c r="J4021" s="8" t="n">
        <v>0.39</v>
      </c>
      <c r="K4021" s="8" t="n"/>
      <c r="L4021" s="8" t="n"/>
      <c r="M4021" s="8" t="n"/>
      <c r="N4021" s="8" t="n"/>
      <c r="O4021" s="8" t="n"/>
      <c r="P4021" s="8" t="n"/>
      <c r="Q4021" s="8" t="n"/>
      <c r="R4021" s="8" t="n"/>
      <c r="S4021" s="8" t="n"/>
      <c r="T4021" s="7" t="inlineStr">
        <is>
          <t>SEM COTAÇÃO</t>
        </is>
      </c>
      <c r="U4021" s="8" t="n"/>
      <c r="V4021" s="14" t="n"/>
      <c r="W4021" s="14" t="n"/>
      <c r="X4021" s="7" t="inlineStr"/>
      <c r="Y4021" s="7" t="inlineStr"/>
    </row>
    <row r="4022">
      <c r="A4022" s="7" t="n">
        <v>619021</v>
      </c>
      <c r="B4022" s="12" t="inlineStr">
        <is>
          <t>7898283813454</t>
        </is>
      </c>
      <c r="C4022" s="7" t="inlineStr">
        <is>
          <t>SCALP 23G AZUL</t>
        </is>
      </c>
      <c r="D4022" s="7" t="inlineStr">
        <is>
          <t>UTENSILIOS</t>
        </is>
      </c>
      <c r="E4022" s="7" t="inlineStr">
        <is>
          <t>C</t>
        </is>
      </c>
      <c r="F4022" s="13" t="n">
        <v>2</v>
      </c>
      <c r="G4022" s="13" t="n">
        <v>2</v>
      </c>
      <c r="H4022" s="8" t="n">
        <v>0.7662</v>
      </c>
      <c r="I4022" s="8" t="n">
        <v>0.7662</v>
      </c>
      <c r="J4022" s="8" t="n">
        <v>0.7662</v>
      </c>
      <c r="K4022" s="8" t="n"/>
      <c r="L4022" s="8" t="n"/>
      <c r="M4022" s="8" t="n"/>
      <c r="N4022" s="15" t="n">
        <v>32.02</v>
      </c>
      <c r="O4022" s="8" t="n"/>
      <c r="P4022" s="8" t="n"/>
      <c r="Q4022" s="8" t="n"/>
      <c r="R4022" s="8" t="n"/>
      <c r="S4022" s="8" t="n"/>
      <c r="T4022" s="7" t="inlineStr">
        <is>
          <t>CENTROFARMA</t>
        </is>
      </c>
      <c r="U4022" s="8" t="n">
        <v>32.02</v>
      </c>
      <c r="V4022" s="14">
        <f>U4022/J4022-1</f>
        <v/>
      </c>
      <c r="W4022" s="14">
        <f>U4022/H4022-1</f>
        <v/>
      </c>
      <c r="X4022" s="16" t="inlineStr">
        <is>
          <t>ACIMA +4079.1%</t>
        </is>
      </c>
      <c r="Y4022" s="7" t="inlineStr">
        <is>
          <t>CENTROFARMA: conferir emb.</t>
        </is>
      </c>
    </row>
    <row r="4023">
      <c r="A4023" s="7" t="n">
        <v>620831</v>
      </c>
      <c r="B4023" s="12" t="inlineStr">
        <is>
          <t>7899356902358</t>
        </is>
      </c>
      <c r="C4023" s="7" t="inlineStr">
        <is>
          <t>SCALP INFUSAO 21G LUER LOCK CX C/100UN</t>
        </is>
      </c>
      <c r="D4023" s="7" t="inlineStr">
        <is>
          <t>UTENSILIOS</t>
        </is>
      </c>
      <c r="E4023" s="7" t="inlineStr">
        <is>
          <t>C</t>
        </is>
      </c>
      <c r="F4023" s="13" t="n">
        <v>1</v>
      </c>
      <c r="G4023" s="13" t="n">
        <v>1</v>
      </c>
      <c r="H4023" s="8" t="n">
        <v>0.33</v>
      </c>
      <c r="I4023" s="8" t="n">
        <v>0.33</v>
      </c>
      <c r="J4023" s="8" t="n">
        <v>0.33</v>
      </c>
      <c r="K4023" s="8" t="n"/>
      <c r="L4023" s="8" t="n"/>
      <c r="M4023" s="8" t="n"/>
      <c r="N4023" s="8" t="n"/>
      <c r="O4023" s="8" t="n"/>
      <c r="P4023" s="8" t="n"/>
      <c r="Q4023" s="8" t="n"/>
      <c r="R4023" s="8" t="n"/>
      <c r="S4023" s="8" t="n"/>
      <c r="T4023" s="7" t="inlineStr">
        <is>
          <t>SEM COTAÇÃO</t>
        </is>
      </c>
      <c r="U4023" s="8" t="n"/>
      <c r="V4023" s="14" t="n"/>
      <c r="W4023" s="14" t="n"/>
      <c r="X4023" s="7" t="inlineStr"/>
      <c r="Y4023" s="7" t="inlineStr"/>
    </row>
    <row r="4024">
      <c r="A4024" s="7" t="n">
        <v>620821</v>
      </c>
      <c r="B4024" s="12" t="inlineStr">
        <is>
          <t>7899356902365</t>
        </is>
      </c>
      <c r="C4024" s="7" t="inlineStr">
        <is>
          <t>SCALP INFUSAO 23G LUER LOCK CX C/100UN</t>
        </is>
      </c>
      <c r="D4024" s="7" t="inlineStr">
        <is>
          <t>UTENSILIOS</t>
        </is>
      </c>
      <c r="E4024" s="7" t="inlineStr">
        <is>
          <t>C</t>
        </is>
      </c>
      <c r="F4024" s="13" t="n">
        <v>1</v>
      </c>
      <c r="G4024" s="13" t="n">
        <v>1</v>
      </c>
      <c r="H4024" s="8" t="n">
        <v>0.33</v>
      </c>
      <c r="I4024" s="8" t="n">
        <v>0.33</v>
      </c>
      <c r="J4024" s="8" t="n">
        <v>0.33</v>
      </c>
      <c r="K4024" s="8" t="n"/>
      <c r="L4024" s="8" t="n"/>
      <c r="M4024" s="8" t="n"/>
      <c r="N4024" s="8" t="n"/>
      <c r="O4024" s="8" t="n"/>
      <c r="P4024" s="8" t="n"/>
      <c r="Q4024" s="8" t="n"/>
      <c r="R4024" s="8" t="n"/>
      <c r="S4024" s="8" t="n"/>
      <c r="T4024" s="7" t="inlineStr">
        <is>
          <t>SEM COTAÇÃO</t>
        </is>
      </c>
      <c r="U4024" s="8" t="n"/>
      <c r="V4024" s="14" t="n"/>
      <c r="W4024" s="14" t="n"/>
      <c r="X4024" s="7" t="inlineStr"/>
      <c r="Y4024" s="7" t="inlineStr"/>
    </row>
    <row r="4025">
      <c r="A4025" s="7" t="n">
        <v>682401</v>
      </c>
      <c r="B4025" s="12" t="inlineStr">
        <is>
          <t>7891000459799</t>
        </is>
      </c>
      <c r="C4025" s="7" t="inlineStr">
        <is>
          <t>SDA CHOCO TRIO 4(12X90G) BR</t>
        </is>
      </c>
      <c r="D4025" s="7" t="inlineStr">
        <is>
          <t>CHOCOLATES</t>
        </is>
      </c>
      <c r="E4025" s="7" t="inlineStr">
        <is>
          <t>B</t>
        </is>
      </c>
      <c r="F4025" s="13" t="n">
        <v>1</v>
      </c>
      <c r="G4025" s="13" t="n">
        <v>2</v>
      </c>
      <c r="H4025" s="8" t="n">
        <v>6.9208</v>
      </c>
      <c r="I4025" s="8" t="n">
        <v>6.9208</v>
      </c>
      <c r="J4025" s="8" t="n">
        <v>6.9208</v>
      </c>
      <c r="K4025" s="8" t="n"/>
      <c r="L4025" s="8" t="n"/>
      <c r="M4025" s="8" t="n"/>
      <c r="N4025" s="8" t="n"/>
      <c r="O4025" s="8" t="n"/>
      <c r="P4025" s="8" t="n"/>
      <c r="Q4025" s="8" t="n"/>
      <c r="R4025" s="8" t="n"/>
      <c r="S4025" s="8" t="n"/>
      <c r="T4025" s="7" t="inlineStr">
        <is>
          <t>SEM COTAÇÃO</t>
        </is>
      </c>
      <c r="U4025" s="8" t="n"/>
      <c r="V4025" s="14" t="n"/>
      <c r="W4025" s="14" t="n"/>
      <c r="X4025" s="7" t="inlineStr"/>
      <c r="Y4025" s="7" t="inlineStr"/>
    </row>
    <row r="4026">
      <c r="A4026" s="7" t="n">
        <v>648661</v>
      </c>
      <c r="B4026" s="12" t="inlineStr">
        <is>
          <t>7891150095618</t>
        </is>
      </c>
      <c r="C4026" s="7" t="inlineStr">
        <is>
          <t>SDS DOVE 90G PELE SENSIVEL M3</t>
        </is>
      </c>
      <c r="D4026" s="7" t="inlineStr">
        <is>
          <t>ANTITRANSPIRANTE/DESODORANTE</t>
        </is>
      </c>
      <c r="E4026" s="7" t="inlineStr">
        <is>
          <t>B</t>
        </is>
      </c>
      <c r="F4026" s="13" t="n">
        <v>9</v>
      </c>
      <c r="G4026" s="13" t="n">
        <v>9</v>
      </c>
      <c r="H4026" s="8" t="n">
        <v>5.0925</v>
      </c>
      <c r="I4026" s="8" t="n">
        <v>4.5022</v>
      </c>
      <c r="J4026" s="8" t="n">
        <v>4.895733333333333</v>
      </c>
      <c r="K4026" s="8" t="n"/>
      <c r="L4026" s="8" t="n"/>
      <c r="M4026" s="8" t="n"/>
      <c r="N4026" s="8" t="n"/>
      <c r="O4026" s="8" t="n"/>
      <c r="P4026" s="15" t="n">
        <v>5.26</v>
      </c>
      <c r="Q4026" s="8" t="n"/>
      <c r="R4026" s="8" t="n"/>
      <c r="S4026" s="8" t="n"/>
      <c r="T4026" s="7" t="inlineStr">
        <is>
          <t>NAZARIA</t>
        </is>
      </c>
      <c r="U4026" s="8" t="n">
        <v>5.26</v>
      </c>
      <c r="V4026" s="14">
        <f>U4026/J4026-1</f>
        <v/>
      </c>
      <c r="W4026" s="14">
        <f>U4026/H4026-1</f>
        <v/>
      </c>
      <c r="X4026" s="16" t="inlineStr">
        <is>
          <t>ACIMA +3.3%</t>
        </is>
      </c>
      <c r="Y4026" s="7" t="inlineStr"/>
    </row>
    <row r="4027">
      <c r="A4027" s="7" t="n">
        <v>648651</v>
      </c>
      <c r="B4027" s="12" t="inlineStr">
        <is>
          <t>7891150095670</t>
        </is>
      </c>
      <c r="C4027" s="7" t="inlineStr">
        <is>
          <t>SDS LIQ DOVE 200ML RF PELE SENSIVEL M3</t>
        </is>
      </c>
      <c r="D4027" s="7" t="inlineStr">
        <is>
          <t>ANTITRANSPIRANTE/DESODORANTE</t>
        </is>
      </c>
      <c r="E4027" s="7" t="inlineStr">
        <is>
          <t>C</t>
        </is>
      </c>
      <c r="F4027" s="13" t="n">
        <v>6</v>
      </c>
      <c r="G4027" s="13" t="n">
        <v>6</v>
      </c>
      <c r="H4027" s="8" t="n">
        <v>7.88</v>
      </c>
      <c r="I4027" s="8" t="n">
        <v>7.5292</v>
      </c>
      <c r="J4027" s="8" t="n">
        <v>7.763066666666667</v>
      </c>
      <c r="K4027" s="8" t="n"/>
      <c r="L4027" s="8" t="n"/>
      <c r="M4027" s="15" t="n">
        <v>5.92</v>
      </c>
      <c r="N4027" s="8" t="n"/>
      <c r="O4027" s="8" t="n"/>
      <c r="P4027" s="8" t="n">
        <v>8.85</v>
      </c>
      <c r="Q4027" s="8" t="n"/>
      <c r="R4027" s="8" t="n"/>
      <c r="S4027" s="8" t="n"/>
      <c r="T4027" s="7" t="inlineStr">
        <is>
          <t>EPAN</t>
        </is>
      </c>
      <c r="U4027" s="8" t="n">
        <v>5.92</v>
      </c>
      <c r="V4027" s="14">
        <f>U4027/J4027-1</f>
        <v/>
      </c>
      <c r="W4027" s="14">
        <f>U4027/H4027-1</f>
        <v/>
      </c>
      <c r="X4027" s="17" t="inlineStr">
        <is>
          <t>OK (≤ menor hist.)</t>
        </is>
      </c>
      <c r="Y4027" s="7" t="inlineStr"/>
    </row>
    <row r="4028">
      <c r="A4028" s="7" t="n">
        <v>548641</v>
      </c>
      <c r="B4028" s="12" t="inlineStr">
        <is>
          <t>11111111</t>
        </is>
      </c>
      <c r="C4028" s="7" t="inlineStr">
        <is>
          <t>SEBO DE HOLANDA (VELA)</t>
        </is>
      </c>
      <c r="D4028" s="7" t="inlineStr">
        <is>
          <t>SIMILAR</t>
        </is>
      </c>
      <c r="E4028" s="7" t="inlineStr">
        <is>
          <t>C</t>
        </is>
      </c>
      <c r="F4028" s="13" t="n">
        <v>1</v>
      </c>
      <c r="G4028" s="13" t="n">
        <v>1</v>
      </c>
      <c r="H4028" s="8" t="n"/>
      <c r="I4028" s="8" t="n"/>
      <c r="J4028" s="8" t="n"/>
      <c r="K4028" s="8" t="n"/>
      <c r="L4028" s="8" t="n"/>
      <c r="M4028" s="8" t="n"/>
      <c r="N4028" s="8" t="n"/>
      <c r="O4028" s="8" t="n"/>
      <c r="P4028" s="8" t="n"/>
      <c r="Q4028" s="8" t="n"/>
      <c r="R4028" s="8" t="n"/>
      <c r="S4028" s="8" t="n"/>
      <c r="T4028" s="7" t="inlineStr">
        <is>
          <t>SEM COTAÇÃO</t>
        </is>
      </c>
      <c r="U4028" s="8" t="n"/>
      <c r="V4028" s="14" t="n"/>
      <c r="W4028" s="14" t="n"/>
      <c r="X4028" s="7" t="inlineStr"/>
      <c r="Y4028" s="7" t="inlineStr"/>
    </row>
    <row r="4029">
      <c r="A4029" s="7" t="n">
        <v>643671</v>
      </c>
      <c r="B4029" s="12" t="inlineStr">
        <is>
          <t>7898932621034</t>
        </is>
      </c>
      <c r="C4029" s="7" t="inlineStr">
        <is>
          <t>SEBO DE HOLANDA C/08UN - FAB. DE VELAS SAO JOAO</t>
        </is>
      </c>
      <c r="D4029" s="7" t="inlineStr">
        <is>
          <t>DERMOCOSMETICOS/COSMETICOS</t>
        </is>
      </c>
      <c r="E4029" s="7" t="inlineStr">
        <is>
          <t>C</t>
        </is>
      </c>
      <c r="F4029" s="13" t="n">
        <v>2</v>
      </c>
      <c r="G4029" s="13" t="n">
        <v>13</v>
      </c>
      <c r="H4029" s="8" t="n">
        <v>0.7312</v>
      </c>
      <c r="I4029" s="8" t="n">
        <v>0.7312</v>
      </c>
      <c r="J4029" s="8" t="n">
        <v>0.7312</v>
      </c>
      <c r="K4029" s="8" t="n"/>
      <c r="L4029" s="8" t="n"/>
      <c r="M4029" s="8" t="n"/>
      <c r="N4029" s="8" t="n"/>
      <c r="O4029" s="8" t="n"/>
      <c r="P4029" s="8" t="n"/>
      <c r="Q4029" s="8" t="n"/>
      <c r="R4029" s="8" t="n"/>
      <c r="S4029" s="8" t="n"/>
      <c r="T4029" s="7" t="inlineStr">
        <is>
          <t>SEM COTAÇÃO</t>
        </is>
      </c>
      <c r="U4029" s="8" t="n"/>
      <c r="V4029" s="14" t="n"/>
      <c r="W4029" s="14" t="n"/>
      <c r="X4029" s="7" t="inlineStr"/>
      <c r="Y4029" s="7" t="inlineStr"/>
    </row>
    <row r="4030">
      <c r="A4030" s="7" t="n">
        <v>654661</v>
      </c>
      <c r="B4030" s="12" t="inlineStr"/>
      <c r="C4030" s="7" t="inlineStr">
        <is>
          <t>SECA BARRIGA COM LARANJA MORO 60 CAPS - REATIVA</t>
        </is>
      </c>
      <c r="D4030" s="7" t="inlineStr">
        <is>
          <t>VITAMINA E SIMILARES</t>
        </is>
      </c>
      <c r="E4030" s="7" t="inlineStr">
        <is>
          <t>B</t>
        </is>
      </c>
      <c r="F4030" s="13" t="n">
        <v>1</v>
      </c>
      <c r="G4030" s="13" t="n">
        <v>1</v>
      </c>
      <c r="H4030" s="8" t="n">
        <v>28.07</v>
      </c>
      <c r="I4030" s="8" t="n">
        <v>22.78</v>
      </c>
      <c r="J4030" s="8" t="n">
        <v>26.30666666666667</v>
      </c>
      <c r="K4030" s="8" t="n"/>
      <c r="L4030" s="8" t="n"/>
      <c r="M4030" s="8" t="n"/>
      <c r="N4030" s="8" t="n"/>
      <c r="O4030" s="8" t="n"/>
      <c r="P4030" s="8" t="n"/>
      <c r="Q4030" s="8" t="n"/>
      <c r="R4030" s="8" t="n"/>
      <c r="S4030" s="8" t="n"/>
      <c r="T4030" s="7" t="inlineStr">
        <is>
          <t>SEM COTAÇÃO</t>
        </is>
      </c>
      <c r="U4030" s="8" t="n"/>
      <c r="V4030" s="14" t="n"/>
      <c r="W4030" s="14" t="n"/>
      <c r="X4030" s="7" t="inlineStr"/>
      <c r="Y4030" s="7" t="inlineStr"/>
    </row>
    <row r="4031">
      <c r="A4031" s="7" t="n">
        <v>431481</v>
      </c>
      <c r="B4031" s="12" t="inlineStr">
        <is>
          <t>7899620911857</t>
        </is>
      </c>
      <c r="C4031" s="7" t="inlineStr">
        <is>
          <t>SECNIDAZOL 1000MG CX 2 COMP</t>
        </is>
      </c>
      <c r="D4031" s="7" t="inlineStr">
        <is>
          <t>GENERICO</t>
        </is>
      </c>
      <c r="E4031" s="7" t="inlineStr">
        <is>
          <t>A</t>
        </is>
      </c>
      <c r="F4031" s="13" t="n">
        <v>54</v>
      </c>
      <c r="G4031" s="13" t="n">
        <v>54</v>
      </c>
      <c r="H4031" s="8" t="n">
        <v>2.65</v>
      </c>
      <c r="I4031" s="8" t="n">
        <v>2.16</v>
      </c>
      <c r="J4031" s="8" t="n">
        <v>2.466666666666667</v>
      </c>
      <c r="K4031" s="8" t="n">
        <v>2.67</v>
      </c>
      <c r="L4031" s="8" t="n"/>
      <c r="M4031" s="8" t="n"/>
      <c r="N4031" s="8" t="n">
        <v>2.71</v>
      </c>
      <c r="O4031" s="8" t="n"/>
      <c r="P4031" s="8" t="n"/>
      <c r="Q4031" s="8" t="n"/>
      <c r="R4031" s="15" t="n">
        <v>2.55</v>
      </c>
      <c r="S4031" s="8" t="n"/>
      <c r="T4031" s="7" t="inlineStr">
        <is>
          <t>BRASFARMA</t>
        </is>
      </c>
      <c r="U4031" s="8" t="n">
        <v>2.55</v>
      </c>
      <c r="V4031" s="14">
        <f>U4031/J4031-1</f>
        <v/>
      </c>
      <c r="W4031" s="14">
        <f>U4031/H4031-1</f>
        <v/>
      </c>
      <c r="X4031" s="17" t="inlineStr">
        <is>
          <t>OK (≤ últ. compra)</t>
        </is>
      </c>
      <c r="Y4031" s="7" t="inlineStr"/>
    </row>
    <row r="4032">
      <c r="A4032" s="7" t="n">
        <v>432381</v>
      </c>
      <c r="B4032" s="12" t="inlineStr">
        <is>
          <t>7896422505680</t>
        </is>
      </c>
      <c r="C4032" s="7" t="inlineStr">
        <is>
          <t>SECNIDAZOL 1G CX 2 COMP</t>
        </is>
      </c>
      <c r="D4032" s="7" t="inlineStr">
        <is>
          <t>GENERICO</t>
        </is>
      </c>
      <c r="E4032" s="7" t="inlineStr">
        <is>
          <t>B</t>
        </is>
      </c>
      <c r="F4032" s="13" t="n">
        <v>9</v>
      </c>
      <c r="G4032" s="13" t="n">
        <v>9</v>
      </c>
      <c r="H4032" s="8" t="n">
        <v>4.054</v>
      </c>
      <c r="I4032" s="8" t="n">
        <v>4.054</v>
      </c>
      <c r="J4032" s="8" t="n">
        <v>4.054</v>
      </c>
      <c r="K4032" s="8" t="n"/>
      <c r="L4032" s="8" t="n"/>
      <c r="M4032" s="8" t="n"/>
      <c r="N4032" s="8" t="n"/>
      <c r="O4032" s="8" t="n"/>
      <c r="P4032" s="15" t="n">
        <v>9.875632</v>
      </c>
      <c r="Q4032" s="8" t="n"/>
      <c r="R4032" s="8" t="n"/>
      <c r="S4032" s="8" t="n"/>
      <c r="T4032" s="7" t="inlineStr">
        <is>
          <t>NAZARIA</t>
        </is>
      </c>
      <c r="U4032" s="8" t="n">
        <v>9.875632</v>
      </c>
      <c r="V4032" s="14">
        <f>U4032/J4032-1</f>
        <v/>
      </c>
      <c r="W4032" s="14">
        <f>U4032/H4032-1</f>
        <v/>
      </c>
      <c r="X4032" s="16" t="inlineStr">
        <is>
          <t>ACIMA +143.6%</t>
        </is>
      </c>
      <c r="Y4032" s="7" t="inlineStr">
        <is>
          <t>NAZARIA: conferir emb.</t>
        </is>
      </c>
    </row>
    <row r="4033">
      <c r="A4033" s="7" t="n">
        <v>432121</v>
      </c>
      <c r="B4033" s="12" t="inlineStr">
        <is>
          <t>7898060138220</t>
        </is>
      </c>
      <c r="C4033" s="7" t="inlineStr">
        <is>
          <t>SECNIMAX 1000MG CX 2 COMP</t>
        </is>
      </c>
      <c r="D4033" s="7" t="inlineStr">
        <is>
          <t>SIMILAR</t>
        </is>
      </c>
      <c r="E4033" s="7" t="inlineStr">
        <is>
          <t>A</t>
        </is>
      </c>
      <c r="F4033" s="13" t="n">
        <v>134</v>
      </c>
      <c r="G4033" s="13" t="n">
        <v>134</v>
      </c>
      <c r="H4033" s="8" t="n">
        <v>2.49</v>
      </c>
      <c r="I4033" s="8" t="n">
        <v>2.39</v>
      </c>
      <c r="J4033" s="8" t="n">
        <v>2.39</v>
      </c>
      <c r="K4033" s="15" t="n">
        <v>2.61</v>
      </c>
      <c r="L4033" s="8" t="n"/>
      <c r="M4033" s="8" t="n"/>
      <c r="N4033" s="8" t="n">
        <v>2.66</v>
      </c>
      <c r="O4033" s="8" t="n">
        <v>2.64</v>
      </c>
      <c r="P4033" s="8" t="n"/>
      <c r="Q4033" s="8" t="n"/>
      <c r="R4033" s="8" t="n"/>
      <c r="S4033" s="8" t="n"/>
      <c r="T4033" s="7" t="inlineStr">
        <is>
          <t>DIMEC</t>
        </is>
      </c>
      <c r="U4033" s="8" t="n">
        <v>2.61</v>
      </c>
      <c r="V4033" s="14">
        <f>U4033/J4033-1</f>
        <v/>
      </c>
      <c r="W4033" s="14">
        <f>U4033/H4033-1</f>
        <v/>
      </c>
      <c r="X4033" s="16" t="inlineStr">
        <is>
          <t>ACIMA +4.8%</t>
        </is>
      </c>
      <c r="Y4033" s="7" t="inlineStr"/>
    </row>
    <row r="4034">
      <c r="A4034" s="7" t="n">
        <v>648361</v>
      </c>
      <c r="B4034" s="12" t="inlineStr">
        <is>
          <t>7891150091788</t>
        </is>
      </c>
      <c r="C4034" s="7" t="inlineStr">
        <is>
          <t>SEDA CCP 1KG BOOM DEFINICAO SUPER HID M3</t>
        </is>
      </c>
      <c r="D4034" s="7" t="inlineStr">
        <is>
          <t>COND/SHAM/CREM/SIMILARES</t>
        </is>
      </c>
      <c r="E4034" s="7" t="inlineStr">
        <is>
          <t>B</t>
        </is>
      </c>
      <c r="F4034" s="13" t="n">
        <v>1</v>
      </c>
      <c r="G4034" s="13" t="n">
        <v>1</v>
      </c>
      <c r="H4034" s="8" t="n">
        <v>20.61</v>
      </c>
      <c r="I4034" s="8" t="n">
        <v>17.3012</v>
      </c>
      <c r="J4034" s="8" t="n">
        <v>19.50706666666667</v>
      </c>
      <c r="K4034" s="8" t="n"/>
      <c r="L4034" s="8" t="n"/>
      <c r="M4034" s="15" t="n">
        <v>14.15</v>
      </c>
      <c r="N4034" s="8" t="n"/>
      <c r="O4034" s="8" t="n"/>
      <c r="P4034" s="8" t="n"/>
      <c r="Q4034" s="8" t="n"/>
      <c r="R4034" s="8" t="n"/>
      <c r="S4034" s="8" t="n"/>
      <c r="T4034" s="7" t="inlineStr">
        <is>
          <t>EPAN</t>
        </is>
      </c>
      <c r="U4034" s="8" t="n">
        <v>14.15</v>
      </c>
      <c r="V4034" s="14">
        <f>U4034/J4034-1</f>
        <v/>
      </c>
      <c r="W4034" s="14">
        <f>U4034/H4034-1</f>
        <v/>
      </c>
      <c r="X4034" s="17" t="inlineStr">
        <is>
          <t>OK (≤ menor hist.)</t>
        </is>
      </c>
      <c r="Y4034" s="7" t="inlineStr"/>
    </row>
    <row r="4035">
      <c r="A4035" s="7" t="n">
        <v>586921</v>
      </c>
      <c r="B4035" s="12" t="inlineStr">
        <is>
          <t>7891150037366</t>
        </is>
      </c>
      <c r="C4035" s="7" t="inlineStr">
        <is>
          <t>SEDA CO 325ML OLEO HIDRATACAO M3</t>
        </is>
      </c>
      <c r="D4035" s="7" t="inlineStr">
        <is>
          <t>PERF/COSME</t>
        </is>
      </c>
      <c r="E4035" s="7" t="inlineStr">
        <is>
          <t>C</t>
        </is>
      </c>
      <c r="F4035" s="13" t="n">
        <v>1</v>
      </c>
      <c r="G4035" s="13" t="n">
        <v>1</v>
      </c>
      <c r="H4035" s="8" t="n">
        <v>8.35</v>
      </c>
      <c r="I4035" s="8" t="n">
        <v>8.35</v>
      </c>
      <c r="J4035" s="8" t="n">
        <v>8.35</v>
      </c>
      <c r="K4035" s="8" t="n"/>
      <c r="L4035" s="8" t="n"/>
      <c r="M4035" s="8" t="n"/>
      <c r="N4035" s="8" t="n"/>
      <c r="O4035" s="8" t="n"/>
      <c r="P4035" s="8" t="n"/>
      <c r="Q4035" s="8" t="n"/>
      <c r="R4035" s="8" t="n"/>
      <c r="S4035" s="8" t="n"/>
      <c r="T4035" s="7" t="inlineStr">
        <is>
          <t>SEM COTAÇÃO</t>
        </is>
      </c>
      <c r="U4035" s="8" t="n"/>
      <c r="V4035" s="14" t="n"/>
      <c r="W4035" s="14" t="n"/>
      <c r="X4035" s="7" t="inlineStr"/>
      <c r="Y4035" s="7" t="inlineStr"/>
    </row>
    <row r="4036">
      <c r="A4036" s="7" t="n">
        <v>548861</v>
      </c>
      <c r="B4036" s="12" t="inlineStr">
        <is>
          <t>7891150037618</t>
        </is>
      </c>
      <c r="C4036" s="7" t="inlineStr">
        <is>
          <t>SEDA CONDICIONADOR CRESPOFORCE MANTEIGA DE KARITE 325ML</t>
        </is>
      </c>
      <c r="D4036" s="7" t="inlineStr">
        <is>
          <t>COND/SHAM/CREM/SIMILARES</t>
        </is>
      </c>
      <c r="E4036" s="7" t="inlineStr">
        <is>
          <t>C</t>
        </is>
      </c>
      <c r="F4036" s="13" t="n">
        <v>1</v>
      </c>
      <c r="G4036" s="13" t="n">
        <v>1</v>
      </c>
      <c r="H4036" s="8" t="n">
        <v>8.35</v>
      </c>
      <c r="I4036" s="8" t="n">
        <v>8.35</v>
      </c>
      <c r="J4036" s="8" t="n">
        <v>8.35</v>
      </c>
      <c r="K4036" s="8" t="n"/>
      <c r="L4036" s="8" t="n"/>
      <c r="M4036" s="8" t="n"/>
      <c r="N4036" s="8" t="n"/>
      <c r="O4036" s="8" t="n"/>
      <c r="P4036" s="8" t="n"/>
      <c r="Q4036" s="8" t="n"/>
      <c r="R4036" s="8" t="n"/>
      <c r="S4036" s="8" t="n"/>
      <c r="T4036" s="7" t="inlineStr">
        <is>
          <t>SEM COTAÇÃO</t>
        </is>
      </c>
      <c r="U4036" s="8" t="n"/>
      <c r="V4036" s="14" t="n"/>
      <c r="W4036" s="14" t="n"/>
      <c r="X4036" s="7" t="inlineStr"/>
      <c r="Y4036" s="7" t="inlineStr"/>
    </row>
    <row r="4037">
      <c r="A4037" s="7" t="n">
        <v>660561</v>
      </c>
      <c r="B4037" s="12" t="inlineStr">
        <is>
          <t>7891150099821</t>
        </is>
      </c>
      <c r="C4037" s="7" t="inlineStr">
        <is>
          <t>SEDA SERUM LUMINOSO UV 110ML</t>
        </is>
      </c>
      <c r="D4037" s="7" t="inlineStr">
        <is>
          <t>PERF/COSME</t>
        </is>
      </c>
      <c r="E4037" s="7" t="inlineStr">
        <is>
          <t>C</t>
        </is>
      </c>
      <c r="F4037" s="13" t="n">
        <v>1</v>
      </c>
      <c r="G4037" s="13" t="n">
        <v>1</v>
      </c>
      <c r="H4037" s="8" t="n">
        <v>14.87</v>
      </c>
      <c r="I4037" s="8" t="n">
        <v>14.87</v>
      </c>
      <c r="J4037" s="8" t="n">
        <v>14.87</v>
      </c>
      <c r="K4037" s="8" t="n"/>
      <c r="L4037" s="8" t="n"/>
      <c r="M4037" s="8" t="n"/>
      <c r="N4037" s="8" t="n"/>
      <c r="O4037" s="8" t="n"/>
      <c r="P4037" s="15" t="n">
        <v>19.16</v>
      </c>
      <c r="Q4037" s="8" t="n"/>
      <c r="R4037" s="8" t="n"/>
      <c r="S4037" s="8" t="n"/>
      <c r="T4037" s="7" t="inlineStr">
        <is>
          <t>NAZARIA</t>
        </is>
      </c>
      <c r="U4037" s="8" t="n">
        <v>19.16</v>
      </c>
      <c r="V4037" s="14">
        <f>U4037/J4037-1</f>
        <v/>
      </c>
      <c r="W4037" s="14">
        <f>U4037/H4037-1</f>
        <v/>
      </c>
      <c r="X4037" s="16" t="inlineStr">
        <is>
          <t>ACIMA +28.9%</t>
        </is>
      </c>
      <c r="Y4037" s="7" t="inlineStr"/>
    </row>
    <row r="4038">
      <c r="A4038" s="7" t="n">
        <v>663301</v>
      </c>
      <c r="B4038" s="12" t="inlineStr">
        <is>
          <t>7891150101760</t>
        </is>
      </c>
      <c r="C4038" s="7" t="inlineStr">
        <is>
          <t>SEDA SERUM TOQUE DE SEDA 100ML</t>
        </is>
      </c>
      <c r="D4038" s="7" t="inlineStr">
        <is>
          <t>COND/SHAM/CREM/SIMILARES</t>
        </is>
      </c>
      <c r="E4038" s="7" t="inlineStr">
        <is>
          <t>C</t>
        </is>
      </c>
      <c r="F4038" s="13" t="n">
        <v>1</v>
      </c>
      <c r="G4038" s="13" t="n">
        <v>1</v>
      </c>
      <c r="H4038" s="8" t="n">
        <v>13.2233</v>
      </c>
      <c r="I4038" s="8" t="n">
        <v>13.2233</v>
      </c>
      <c r="J4038" s="8" t="n">
        <v>13.2233</v>
      </c>
      <c r="K4038" s="8" t="n"/>
      <c r="L4038" s="8" t="n"/>
      <c r="M4038" s="8" t="n"/>
      <c r="N4038" s="8" t="n"/>
      <c r="O4038" s="8" t="n"/>
      <c r="P4038" s="8" t="n">
        <v>19.16</v>
      </c>
      <c r="Q4038" s="8" t="n"/>
      <c r="R4038" s="8" t="n"/>
      <c r="S4038" s="8" t="n"/>
      <c r="T4038" s="7" t="inlineStr">
        <is>
          <t>SEM COTAÇÃO</t>
        </is>
      </c>
      <c r="U4038" s="8" t="n"/>
      <c r="V4038" s="14" t="n"/>
      <c r="W4038" s="14" t="n"/>
      <c r="X4038" s="7" t="inlineStr"/>
      <c r="Y4038" s="7" t="inlineStr">
        <is>
          <t>NAZARIA: sem estoque</t>
        </is>
      </c>
    </row>
    <row r="4039">
      <c r="A4039" s="7" t="n">
        <v>660571</v>
      </c>
      <c r="B4039" s="12" t="inlineStr">
        <is>
          <t>7891150101753</t>
        </is>
      </c>
      <c r="C4039" s="7" t="inlineStr">
        <is>
          <t>SEDA SERUM+OLEO TOQUE DE SEDA 60ML</t>
        </is>
      </c>
      <c r="D4039" s="7" t="inlineStr">
        <is>
          <t>PERF/COSME</t>
        </is>
      </c>
      <c r="E4039" s="7" t="inlineStr">
        <is>
          <t>C</t>
        </is>
      </c>
      <c r="F4039" s="13" t="n">
        <v>2</v>
      </c>
      <c r="G4039" s="13" t="n">
        <v>2</v>
      </c>
      <c r="H4039" s="8" t="n">
        <v>14.185</v>
      </c>
      <c r="I4039" s="8" t="n">
        <v>13.29</v>
      </c>
      <c r="J4039" s="8" t="n">
        <v>13.29</v>
      </c>
      <c r="K4039" s="8" t="n"/>
      <c r="L4039" s="8" t="n"/>
      <c r="M4039" s="8" t="n"/>
      <c r="N4039" s="8" t="n"/>
      <c r="O4039" s="8" t="n"/>
      <c r="P4039" s="8" t="n">
        <v>19.32</v>
      </c>
      <c r="Q4039" s="8" t="n"/>
      <c r="R4039" s="8" t="n"/>
      <c r="S4039" s="8" t="n"/>
      <c r="T4039" s="7" t="inlineStr">
        <is>
          <t>SEM COTAÇÃO</t>
        </is>
      </c>
      <c r="U4039" s="8" t="n"/>
      <c r="V4039" s="14" t="n"/>
      <c r="W4039" s="14" t="n"/>
      <c r="X4039" s="7" t="inlineStr"/>
      <c r="Y4039" s="7" t="inlineStr">
        <is>
          <t>NAZARIA: sem estoque</t>
        </is>
      </c>
    </row>
    <row r="4040">
      <c r="A4040" s="7" t="n">
        <v>621681</v>
      </c>
      <c r="B4040" s="12" t="inlineStr">
        <is>
          <t>7891150049628</t>
        </is>
      </c>
      <c r="C4040" s="7" t="inlineStr">
        <is>
          <t>SEDA SH 325ML ABACATE KARITE M3</t>
        </is>
      </c>
      <c r="D4040" s="7" t="inlineStr">
        <is>
          <t>PERF/COSME</t>
        </is>
      </c>
      <c r="E4040" s="7" t="inlineStr">
        <is>
          <t>C</t>
        </is>
      </c>
      <c r="F4040" s="13" t="n">
        <v>1</v>
      </c>
      <c r="G4040" s="13" t="n">
        <v>1</v>
      </c>
      <c r="H4040" s="8" t="n">
        <v>7.45</v>
      </c>
      <c r="I4040" s="8" t="n">
        <v>7.45</v>
      </c>
      <c r="J4040" s="8" t="n">
        <v>7.45</v>
      </c>
      <c r="K4040" s="8" t="n"/>
      <c r="L4040" s="8" t="n"/>
      <c r="M4040" s="8" t="n"/>
      <c r="N4040" s="8" t="n"/>
      <c r="O4040" s="8" t="n"/>
      <c r="P4040" s="8" t="n"/>
      <c r="Q4040" s="8" t="n"/>
      <c r="R4040" s="8" t="n"/>
      <c r="S4040" s="8" t="n"/>
      <c r="T4040" s="7" t="inlineStr">
        <is>
          <t>SEM COTAÇÃO</t>
        </is>
      </c>
      <c r="U4040" s="8" t="n"/>
      <c r="V4040" s="14" t="n"/>
      <c r="W4040" s="14" t="n"/>
      <c r="X4040" s="7" t="inlineStr"/>
      <c r="Y4040" s="7" t="inlineStr"/>
    </row>
    <row r="4041">
      <c r="A4041" s="7" t="n">
        <v>244781</v>
      </c>
      <c r="B4041" s="12" t="inlineStr"/>
      <c r="C4041" s="7" t="inlineStr">
        <is>
          <t>SEKI 3,54MG/ML XPE FR 120ML+CM</t>
        </is>
      </c>
      <c r="D4041" s="7" t="inlineStr">
        <is>
          <t>RX - OTC</t>
        </is>
      </c>
      <c r="E4041" s="7" t="inlineStr">
        <is>
          <t>A</t>
        </is>
      </c>
      <c r="F4041" s="13" t="n">
        <v>14</v>
      </c>
      <c r="G4041" s="13" t="n">
        <v>14</v>
      </c>
      <c r="H4041" s="8" t="n">
        <v>25.11</v>
      </c>
      <c r="I4041" s="8" t="n">
        <v>18.6354</v>
      </c>
      <c r="J4041" s="8" t="n">
        <v>22.9518</v>
      </c>
      <c r="K4041" s="8" t="n"/>
      <c r="L4041" s="8" t="n"/>
      <c r="M4041" s="8" t="n"/>
      <c r="N4041" s="8" t="n"/>
      <c r="O4041" s="8" t="n"/>
      <c r="P4041" s="8" t="n"/>
      <c r="Q4041" s="8" t="n"/>
      <c r="R4041" s="8" t="n"/>
      <c r="S4041" s="8" t="n"/>
      <c r="T4041" s="7" t="inlineStr">
        <is>
          <t>SEM COTAÇÃO</t>
        </is>
      </c>
      <c r="U4041" s="8" t="n"/>
      <c r="V4041" s="14" t="n"/>
      <c r="W4041" s="14" t="n"/>
      <c r="X4041" s="7" t="inlineStr"/>
      <c r="Y4041" s="7" t="inlineStr"/>
    </row>
    <row r="4042">
      <c r="A4042" s="7" t="n">
        <v>4281</v>
      </c>
      <c r="B4042" s="12" t="inlineStr"/>
      <c r="C4042" s="7" t="inlineStr">
        <is>
          <t>SELENE 0,035+2MG (CAIXA C/ 3 CARTELAS) C/21</t>
        </is>
      </c>
      <c r="D4042" s="7" t="inlineStr">
        <is>
          <t>RX</t>
        </is>
      </c>
      <c r="E4042" s="7" t="inlineStr">
        <is>
          <t>A</t>
        </is>
      </c>
      <c r="F4042" s="13" t="n">
        <v>10</v>
      </c>
      <c r="G4042" s="13" t="n">
        <v>10</v>
      </c>
      <c r="H4042" s="8" t="n">
        <v>18.6713</v>
      </c>
      <c r="I4042" s="8" t="n">
        <v>16.7667</v>
      </c>
      <c r="J4042" s="8" t="n">
        <v>17.82443333333334</v>
      </c>
      <c r="K4042" s="8" t="n"/>
      <c r="L4042" s="8" t="n"/>
      <c r="M4042" s="8" t="n"/>
      <c r="N4042" s="8" t="n"/>
      <c r="O4042" s="8" t="n"/>
      <c r="P4042" s="8" t="n"/>
      <c r="Q4042" s="8" t="n"/>
      <c r="R4042" s="8" t="n"/>
      <c r="S4042" s="8" t="n"/>
      <c r="T4042" s="7" t="inlineStr">
        <is>
          <t>SEM COTAÇÃO</t>
        </is>
      </c>
      <c r="U4042" s="8" t="n"/>
      <c r="V4042" s="14" t="n"/>
      <c r="W4042" s="14" t="n"/>
      <c r="X4042" s="7" t="inlineStr"/>
      <c r="Y4042" s="7" t="inlineStr"/>
    </row>
    <row r="4043">
      <c r="A4043" s="7" t="n">
        <v>4601</v>
      </c>
      <c r="B4043" s="12" t="inlineStr">
        <is>
          <t>7891317465667</t>
        </is>
      </c>
      <c r="C4043" s="7" t="inlineStr">
        <is>
          <t>SELENE 0,035+2MG CX 21 COMP REV</t>
        </is>
      </c>
      <c r="D4043" s="7" t="inlineStr">
        <is>
          <t>RX</t>
        </is>
      </c>
      <c r="E4043" s="7" t="inlineStr">
        <is>
          <t>A</t>
        </is>
      </c>
      <c r="F4043" s="13" t="n">
        <v>26</v>
      </c>
      <c r="G4043" s="13" t="n">
        <v>26</v>
      </c>
      <c r="H4043" s="8" t="n">
        <v>26.38</v>
      </c>
      <c r="I4043" s="8" t="n">
        <v>24.35</v>
      </c>
      <c r="J4043" s="8" t="n">
        <v>25.70333333333333</v>
      </c>
      <c r="K4043" s="8" t="n"/>
      <c r="L4043" s="8" t="n"/>
      <c r="M4043" s="8" t="n"/>
      <c r="N4043" s="8" t="n"/>
      <c r="O4043" s="15" t="n">
        <v>26.38</v>
      </c>
      <c r="P4043" s="8" t="n">
        <v>27.4988</v>
      </c>
      <c r="Q4043" s="8" t="n"/>
      <c r="R4043" s="8" t="n"/>
      <c r="S4043" s="8" t="n"/>
      <c r="T4043" s="7" t="inlineStr">
        <is>
          <t>TAPAJOS</t>
        </is>
      </c>
      <c r="U4043" s="8" t="n">
        <v>26.38</v>
      </c>
      <c r="V4043" s="14">
        <f>U4043/J4043-1</f>
        <v/>
      </c>
      <c r="W4043" s="14">
        <f>U4043/H4043-1</f>
        <v/>
      </c>
      <c r="X4043" s="17" t="inlineStr">
        <is>
          <t>OK (≤ últ. compra)</t>
        </is>
      </c>
      <c r="Y4043" s="7" t="inlineStr"/>
    </row>
    <row r="4044">
      <c r="A4044" s="7" t="n">
        <v>444281</v>
      </c>
      <c r="B4044" s="12" t="inlineStr"/>
      <c r="C4044" s="7" t="inlineStr">
        <is>
          <t>SELOZOK 25MG CX 30 COMP</t>
        </is>
      </c>
      <c r="D4044" s="7" t="inlineStr">
        <is>
          <t>RX</t>
        </is>
      </c>
      <c r="E4044" s="7" t="inlineStr">
        <is>
          <t>A</t>
        </is>
      </c>
      <c r="F4044" s="13" t="n">
        <v>4</v>
      </c>
      <c r="G4044" s="13" t="n">
        <v>4</v>
      </c>
      <c r="H4044" s="8" t="n">
        <v>31.175</v>
      </c>
      <c r="I4044" s="8" t="n">
        <v>28.245</v>
      </c>
      <c r="J4044" s="8" t="n">
        <v>29.46956666666667</v>
      </c>
      <c r="K4044" s="8" t="n"/>
      <c r="L4044" s="8" t="n"/>
      <c r="M4044" s="8" t="n"/>
      <c r="N4044" s="8" t="n"/>
      <c r="O4044" s="8" t="n"/>
      <c r="P4044" s="8" t="n"/>
      <c r="Q4044" s="8" t="n"/>
      <c r="R4044" s="8" t="n"/>
      <c r="S4044" s="8" t="n"/>
      <c r="T4044" s="7" t="inlineStr">
        <is>
          <t>SEM COTAÇÃO</t>
        </is>
      </c>
      <c r="U4044" s="8" t="n"/>
      <c r="V4044" s="14" t="n"/>
      <c r="W4044" s="14" t="n"/>
      <c r="X4044" s="7" t="inlineStr"/>
      <c r="Y4044" s="7" t="inlineStr"/>
    </row>
    <row r="4045">
      <c r="A4045" s="7" t="n">
        <v>661711</v>
      </c>
      <c r="B4045" s="12" t="inlineStr">
        <is>
          <t>7898950172358</t>
        </is>
      </c>
      <c r="C4045" s="7" t="inlineStr">
        <is>
          <t>SEQUILHOS DE LEITE CONDENSADO 28</t>
        </is>
      </c>
      <c r="D4045" s="7" t="inlineStr">
        <is>
          <t>BISCOITOS/SALGADOS</t>
        </is>
      </c>
      <c r="E4045" s="7" t="inlineStr">
        <is>
          <t>C</t>
        </is>
      </c>
      <c r="F4045" s="13" t="n">
        <v>2</v>
      </c>
      <c r="G4045" s="13" t="n">
        <v>2</v>
      </c>
      <c r="H4045" s="8" t="n">
        <v>3.79</v>
      </c>
      <c r="I4045" s="8" t="n">
        <v>3.79</v>
      </c>
      <c r="J4045" s="8" t="n">
        <v>3.79</v>
      </c>
      <c r="K4045" s="8" t="n"/>
      <c r="L4045" s="8" t="n"/>
      <c r="M4045" s="8" t="n"/>
      <c r="N4045" s="8" t="n"/>
      <c r="O4045" s="8" t="n"/>
      <c r="P4045" s="8" t="n"/>
      <c r="Q4045" s="8" t="n"/>
      <c r="R4045" s="8" t="n"/>
      <c r="S4045" s="8" t="n"/>
      <c r="T4045" s="7" t="inlineStr">
        <is>
          <t>SEM COTAÇÃO</t>
        </is>
      </c>
      <c r="U4045" s="8" t="n"/>
      <c r="V4045" s="14" t="n"/>
      <c r="W4045" s="14" t="n"/>
      <c r="X4045" s="7" t="inlineStr"/>
      <c r="Y4045" s="7" t="inlineStr"/>
    </row>
    <row r="4046">
      <c r="A4046" s="7" t="n">
        <v>649211</v>
      </c>
      <c r="B4046" s="12" t="inlineStr">
        <is>
          <t>17891000411886</t>
        </is>
      </c>
      <c r="C4046" s="7" t="inlineStr">
        <is>
          <t>SERENATA DE AMOR BBM CAIXA</t>
        </is>
      </c>
      <c r="D4046" s="7" t="inlineStr">
        <is>
          <t>CHOCOLATES</t>
        </is>
      </c>
      <c r="E4046" s="7" t="inlineStr">
        <is>
          <t>C</t>
        </is>
      </c>
      <c r="F4046" s="13" t="n">
        <v>8</v>
      </c>
      <c r="G4046" s="13" t="n">
        <v>8</v>
      </c>
      <c r="H4046" s="8" t="n">
        <v>14.64</v>
      </c>
      <c r="I4046" s="8" t="n">
        <v>14.64</v>
      </c>
      <c r="J4046" s="8" t="n">
        <v>14.64</v>
      </c>
      <c r="K4046" s="8" t="n"/>
      <c r="L4046" s="8" t="n"/>
      <c r="M4046" s="8" t="n"/>
      <c r="N4046" s="8" t="n"/>
      <c r="O4046" s="8" t="n"/>
      <c r="P4046" s="8" t="n"/>
      <c r="Q4046" s="8" t="n"/>
      <c r="R4046" s="8" t="n"/>
      <c r="S4046" s="8" t="n"/>
      <c r="T4046" s="7" t="inlineStr">
        <is>
          <t>SEM COTAÇÃO</t>
        </is>
      </c>
      <c r="U4046" s="8" t="n"/>
      <c r="V4046" s="14" t="n"/>
      <c r="W4046" s="14" t="n"/>
      <c r="X4046" s="7" t="inlineStr"/>
      <c r="Y4046" s="7" t="inlineStr"/>
    </row>
    <row r="4047">
      <c r="A4047" s="7" t="n">
        <v>595881</v>
      </c>
      <c r="B4047" s="12" t="inlineStr">
        <is>
          <t>7891008114126</t>
        </is>
      </c>
      <c r="C4047" s="7" t="inlineStr">
        <is>
          <t>SERENATA DE AMOR WAFER CSTN 80G</t>
        </is>
      </c>
      <c r="D4047" s="7" t="inlineStr">
        <is>
          <t>CONVENIENCIA</t>
        </is>
      </c>
      <c r="E4047" s="7" t="inlineStr">
        <is>
          <t>C</t>
        </is>
      </c>
      <c r="F4047" s="13" t="n">
        <v>1</v>
      </c>
      <c r="G4047" s="13" t="n">
        <v>10</v>
      </c>
      <c r="H4047" s="8" t="n">
        <v>1.1044</v>
      </c>
      <c r="I4047" s="8" t="n">
        <v>0.1072</v>
      </c>
      <c r="J4047" s="8" t="n">
        <v>0.7720000000000001</v>
      </c>
      <c r="K4047" s="8" t="n"/>
      <c r="L4047" s="8" t="n"/>
      <c r="M4047" s="8" t="n"/>
      <c r="N4047" s="8" t="n"/>
      <c r="O4047" s="8" t="n"/>
      <c r="P4047" s="8" t="n"/>
      <c r="Q4047" s="8" t="n"/>
      <c r="R4047" s="8" t="n"/>
      <c r="S4047" s="8" t="n"/>
      <c r="T4047" s="7" t="inlineStr">
        <is>
          <t>SEM COTAÇÃO</t>
        </is>
      </c>
      <c r="U4047" s="8" t="n"/>
      <c r="V4047" s="14" t="n"/>
      <c r="W4047" s="14" t="n"/>
      <c r="X4047" s="7" t="inlineStr"/>
      <c r="Y4047" s="7" t="inlineStr"/>
    </row>
    <row r="4048">
      <c r="A4048" s="7" t="n">
        <v>662811</v>
      </c>
      <c r="B4048" s="12" t="inlineStr">
        <is>
          <t>7897889102641</t>
        </is>
      </c>
      <c r="C4048" s="7" t="inlineStr">
        <is>
          <t>SERINGA 10 ML S/AGULHA 25 X 7 INJEX LUER SLIP</t>
        </is>
      </c>
      <c r="D4048" s="7" t="inlineStr">
        <is>
          <t>UTENSILIOS</t>
        </is>
      </c>
      <c r="E4048" s="7" t="inlineStr">
        <is>
          <t>C</t>
        </is>
      </c>
      <c r="F4048" s="13" t="n">
        <v>14</v>
      </c>
      <c r="G4048" s="13" t="n">
        <v>14</v>
      </c>
      <c r="H4048" s="8" t="n">
        <v>0.85</v>
      </c>
      <c r="I4048" s="8" t="n">
        <v>0.85</v>
      </c>
      <c r="J4048" s="8" t="n">
        <v>0.85</v>
      </c>
      <c r="K4048" s="8" t="n"/>
      <c r="L4048" s="8" t="n"/>
      <c r="M4048" s="8" t="n"/>
      <c r="N4048" s="8" t="n"/>
      <c r="O4048" s="8" t="n"/>
      <c r="P4048" s="8" t="n"/>
      <c r="Q4048" s="8" t="n"/>
      <c r="R4048" s="8" t="n"/>
      <c r="S4048" s="8" t="n"/>
      <c r="T4048" s="7" t="inlineStr">
        <is>
          <t>SEM COTAÇÃO</t>
        </is>
      </c>
      <c r="U4048" s="8" t="n"/>
      <c r="V4048" s="14" t="n"/>
      <c r="W4048" s="14" t="n"/>
      <c r="X4048" s="7" t="inlineStr"/>
      <c r="Y4048" s="7" t="inlineStr"/>
    </row>
    <row r="4049">
      <c r="A4049" s="7" t="n">
        <v>544061</v>
      </c>
      <c r="B4049" s="12" t="inlineStr">
        <is>
          <t>7898259495707</t>
        </is>
      </c>
      <c r="C4049" s="7" t="inlineStr">
        <is>
          <t>SERINGA 10 ML SEM AGULHA (SR)</t>
        </is>
      </c>
      <c r="D4049" s="7" t="inlineStr">
        <is>
          <t>UTENSILIOS</t>
        </is>
      </c>
      <c r="E4049" s="7" t="inlineStr">
        <is>
          <t>C</t>
        </is>
      </c>
      <c r="F4049" s="13" t="n">
        <v>1</v>
      </c>
      <c r="G4049" s="13" t="n">
        <v>1</v>
      </c>
      <c r="H4049" s="8" t="n"/>
      <c r="I4049" s="8" t="n"/>
      <c r="J4049" s="8" t="n"/>
      <c r="K4049" s="8" t="n"/>
      <c r="L4049" s="8" t="n"/>
      <c r="M4049" s="8" t="n"/>
      <c r="N4049" s="8" t="n"/>
      <c r="O4049" s="8" t="n"/>
      <c r="P4049" s="8" t="n"/>
      <c r="Q4049" s="8" t="n"/>
      <c r="R4049" s="8" t="n"/>
      <c r="S4049" s="8" t="n"/>
      <c r="T4049" s="7" t="inlineStr">
        <is>
          <t>SEM COTAÇÃO</t>
        </is>
      </c>
      <c r="U4049" s="8" t="n"/>
      <c r="V4049" s="14" t="n"/>
      <c r="W4049" s="14" t="n"/>
      <c r="X4049" s="7" t="inlineStr"/>
      <c r="Y4049" s="7" t="inlineStr"/>
    </row>
    <row r="4050">
      <c r="A4050" s="7" t="n">
        <v>666911</v>
      </c>
      <c r="B4050" s="12" t="inlineStr">
        <is>
          <t>7891463000378</t>
        </is>
      </c>
      <c r="C4050" s="7" t="inlineStr">
        <is>
          <t>SERINGA 12</t>
        </is>
      </c>
      <c r="D4050" s="7" t="inlineStr">
        <is>
          <t>UTENSILIOS</t>
        </is>
      </c>
      <c r="E4050" s="7" t="inlineStr">
        <is>
          <t>C</t>
        </is>
      </c>
      <c r="F4050" s="13" t="n">
        <v>9</v>
      </c>
      <c r="G4050" s="13" t="n">
        <v>9</v>
      </c>
      <c r="H4050" s="8" t="n"/>
      <c r="I4050" s="8" t="n"/>
      <c r="J4050" s="8" t="n"/>
      <c r="K4050" s="8" t="n"/>
      <c r="L4050" s="8" t="n"/>
      <c r="M4050" s="8" t="n"/>
      <c r="N4050" s="8" t="n"/>
      <c r="O4050" s="8" t="n"/>
      <c r="P4050" s="8" t="n"/>
      <c r="Q4050" s="8" t="n"/>
      <c r="R4050" s="8" t="n"/>
      <c r="S4050" s="8" t="n"/>
      <c r="T4050" s="7" t="inlineStr">
        <is>
          <t>SEM COTAÇÃO</t>
        </is>
      </c>
      <c r="U4050" s="8" t="n"/>
      <c r="V4050" s="14" t="n"/>
      <c r="W4050" s="14" t="n"/>
      <c r="X4050" s="7" t="inlineStr"/>
      <c r="Y4050" s="7" t="inlineStr"/>
    </row>
    <row r="4051">
      <c r="A4051" s="7" t="n">
        <v>591231</v>
      </c>
      <c r="B4051" s="12" t="inlineStr">
        <is>
          <t>7898259490108</t>
        </is>
      </c>
      <c r="C4051" s="7" t="inlineStr">
        <is>
          <t>SERINGA 1ML DESCARPACK</t>
        </is>
      </c>
      <c r="D4051" s="7" t="inlineStr">
        <is>
          <t>UTENSILIOS</t>
        </is>
      </c>
      <c r="E4051" s="7" t="inlineStr">
        <is>
          <t>C</t>
        </is>
      </c>
      <c r="F4051" s="13" t="n">
        <v>2</v>
      </c>
      <c r="G4051" s="13" t="n">
        <v>2</v>
      </c>
      <c r="H4051" s="8" t="n">
        <v>0.27</v>
      </c>
      <c r="I4051" s="8" t="n">
        <v>0.27</v>
      </c>
      <c r="J4051" s="8" t="n">
        <v>0.27</v>
      </c>
      <c r="K4051" s="8" t="n"/>
      <c r="L4051" s="8" t="n"/>
      <c r="M4051" s="8" t="n"/>
      <c r="N4051" s="8" t="n"/>
      <c r="O4051" s="8" t="n"/>
      <c r="P4051" s="8" t="n"/>
      <c r="Q4051" s="8" t="n"/>
      <c r="R4051" s="8" t="n"/>
      <c r="S4051" s="8" t="n"/>
      <c r="T4051" s="7" t="inlineStr">
        <is>
          <t>SEM COTAÇÃO</t>
        </is>
      </c>
      <c r="U4051" s="8" t="n"/>
      <c r="V4051" s="14" t="n"/>
      <c r="W4051" s="14" t="n"/>
      <c r="X4051" s="7" t="inlineStr"/>
      <c r="Y4051" s="7" t="inlineStr"/>
    </row>
    <row r="4052">
      <c r="A4052" s="7" t="n">
        <v>631591</v>
      </c>
      <c r="B4052" s="12" t="inlineStr">
        <is>
          <t>7898652375743</t>
        </is>
      </c>
      <c r="C4052" s="7" t="inlineStr">
        <is>
          <t>SERINGA 1ML INSULINA C/AG FIXA 0,25 X 6 1ML</t>
        </is>
      </c>
      <c r="D4052" s="7" t="inlineStr">
        <is>
          <t>UTENSILIOS</t>
        </is>
      </c>
      <c r="E4052" s="7" t="inlineStr">
        <is>
          <t>A</t>
        </is>
      </c>
      <c r="F4052" s="13" t="n">
        <v>553</v>
      </c>
      <c r="G4052" s="13" t="n">
        <v>553</v>
      </c>
      <c r="H4052" s="8" t="n">
        <v>0.5</v>
      </c>
      <c r="I4052" s="8" t="n">
        <v>0.45</v>
      </c>
      <c r="J4052" s="8" t="n">
        <v>0.4833333333333333</v>
      </c>
      <c r="K4052" s="8" t="n"/>
      <c r="L4052" s="8" t="n"/>
      <c r="M4052" s="8" t="n"/>
      <c r="N4052" s="8" t="n"/>
      <c r="O4052" s="8" t="n"/>
      <c r="P4052" s="8" t="n"/>
      <c r="Q4052" s="8" t="n"/>
      <c r="R4052" s="8" t="n"/>
      <c r="S4052" s="8" t="n"/>
      <c r="T4052" s="7" t="inlineStr">
        <is>
          <t>SEM COTAÇÃO</t>
        </is>
      </c>
      <c r="U4052" s="8" t="n"/>
      <c r="V4052" s="14" t="n"/>
      <c r="W4052" s="14" t="n"/>
      <c r="X4052" s="7" t="inlineStr"/>
      <c r="Y4052" s="7" t="inlineStr"/>
    </row>
    <row r="4053">
      <c r="A4053" s="7" t="n">
        <v>671301</v>
      </c>
      <c r="B4053" s="12" t="inlineStr">
        <is>
          <t>7898652375736</t>
        </is>
      </c>
      <c r="C4053" s="7" t="inlineStr">
        <is>
          <t>SERINGA 20ML LL AGULHA 0,7X25</t>
        </is>
      </c>
      <c r="D4053" s="7" t="inlineStr">
        <is>
          <t>RX</t>
        </is>
      </c>
      <c r="E4053" s="7" t="inlineStr">
        <is>
          <t>C</t>
        </is>
      </c>
      <c r="F4053" s="13" t="n">
        <v>24</v>
      </c>
      <c r="G4053" s="13" t="n">
        <v>24</v>
      </c>
      <c r="H4053" s="8" t="n">
        <v>0.59</v>
      </c>
      <c r="I4053" s="8" t="n">
        <v>0.59</v>
      </c>
      <c r="J4053" s="8" t="n">
        <v>0.59</v>
      </c>
      <c r="K4053" s="15" t="n">
        <v>0.89</v>
      </c>
      <c r="L4053" s="8" t="n"/>
      <c r="M4053" s="8" t="n"/>
      <c r="N4053" s="8" t="n"/>
      <c r="O4053" s="8" t="n"/>
      <c r="P4053" s="8" t="n"/>
      <c r="Q4053" s="8" t="n"/>
      <c r="R4053" s="8" t="n"/>
      <c r="S4053" s="8" t="n"/>
      <c r="T4053" s="7" t="inlineStr">
        <is>
          <t>DIMEC</t>
        </is>
      </c>
      <c r="U4053" s="8" t="n">
        <v>0.89</v>
      </c>
      <c r="V4053" s="14">
        <f>U4053/J4053-1</f>
        <v/>
      </c>
      <c r="W4053" s="14">
        <f>U4053/H4053-1</f>
        <v/>
      </c>
      <c r="X4053" s="16" t="inlineStr">
        <is>
          <t>ACIMA +50.8%</t>
        </is>
      </c>
      <c r="Y4053" s="7" t="inlineStr"/>
    </row>
    <row r="4054">
      <c r="A4054" s="7" t="n">
        <v>639041</v>
      </c>
      <c r="B4054" s="12" t="inlineStr">
        <is>
          <t>7898259496001</t>
        </is>
      </c>
      <c r="C4054" s="7" t="inlineStr">
        <is>
          <t>SERINGA 20ML LL AGULHA 0,7X25</t>
        </is>
      </c>
      <c r="D4054" s="7" t="inlineStr">
        <is>
          <t>UTENSILIOS</t>
        </is>
      </c>
      <c r="E4054" s="7" t="inlineStr">
        <is>
          <t>B</t>
        </is>
      </c>
      <c r="F4054" s="13" t="n">
        <v>76</v>
      </c>
      <c r="G4054" s="13" t="n">
        <v>76</v>
      </c>
      <c r="H4054" s="8" t="n">
        <v>0.64</v>
      </c>
      <c r="I4054" s="8" t="n">
        <v>0.64</v>
      </c>
      <c r="J4054" s="8" t="n">
        <v>0.64</v>
      </c>
      <c r="K4054" s="15" t="n">
        <v>0.57</v>
      </c>
      <c r="L4054" s="8" t="n"/>
      <c r="M4054" s="8" t="n"/>
      <c r="N4054" s="8" t="n"/>
      <c r="O4054" s="8" t="n"/>
      <c r="P4054" s="8" t="n"/>
      <c r="Q4054" s="8" t="n"/>
      <c r="R4054" s="8" t="n"/>
      <c r="S4054" s="8" t="n"/>
      <c r="T4054" s="7" t="inlineStr">
        <is>
          <t>DIMEC</t>
        </is>
      </c>
      <c r="U4054" s="8" t="n">
        <v>0.57</v>
      </c>
      <c r="V4054" s="14">
        <f>U4054/J4054-1</f>
        <v/>
      </c>
      <c r="W4054" s="14">
        <f>U4054/H4054-1</f>
        <v/>
      </c>
      <c r="X4054" s="17" t="inlineStr">
        <is>
          <t>OK (≤ menor hist.)</t>
        </is>
      </c>
      <c r="Y4054" s="7" t="inlineStr"/>
    </row>
    <row r="4055">
      <c r="A4055" s="7" t="n">
        <v>620801</v>
      </c>
      <c r="B4055" s="12" t="inlineStr">
        <is>
          <t>7898547243898</t>
        </is>
      </c>
      <c r="C4055" s="7" t="inlineStr">
        <is>
          <t>SERINGA 20ML S/AG LUER SLIP</t>
        </is>
      </c>
      <c r="D4055" s="7" t="inlineStr">
        <is>
          <t>UTENSILIOS</t>
        </is>
      </c>
      <c r="E4055" s="7" t="inlineStr">
        <is>
          <t>C</t>
        </is>
      </c>
      <c r="F4055" s="13" t="n">
        <v>1</v>
      </c>
      <c r="G4055" s="13" t="n">
        <v>1</v>
      </c>
      <c r="H4055" s="8" t="n">
        <v>0.45</v>
      </c>
      <c r="I4055" s="8" t="n">
        <v>0.45</v>
      </c>
      <c r="J4055" s="8" t="n">
        <v>0.45</v>
      </c>
      <c r="K4055" s="8" t="n"/>
      <c r="L4055" s="8" t="n"/>
      <c r="M4055" s="8" t="n"/>
      <c r="N4055" s="8" t="n"/>
      <c r="O4055" s="8" t="n"/>
      <c r="P4055" s="8" t="n"/>
      <c r="Q4055" s="8" t="n"/>
      <c r="R4055" s="8" t="n"/>
      <c r="S4055" s="8" t="n"/>
      <c r="T4055" s="7" t="inlineStr">
        <is>
          <t>SEM COTAÇÃO</t>
        </is>
      </c>
      <c r="U4055" s="8" t="n"/>
      <c r="V4055" s="14" t="n"/>
      <c r="W4055" s="14" t="n"/>
      <c r="X4055" s="7" t="inlineStr"/>
      <c r="Y4055" s="7" t="inlineStr"/>
    </row>
    <row r="4056">
      <c r="A4056" s="7" t="n">
        <v>531781</v>
      </c>
      <c r="B4056" s="12" t="inlineStr">
        <is>
          <t>7898259490306</t>
        </is>
      </c>
      <c r="C4056" s="7" t="inlineStr">
        <is>
          <t>SERINGA 3 ML SLIP S/AG C/500 UND</t>
        </is>
      </c>
      <c r="D4056" s="7" t="inlineStr">
        <is>
          <t>UTENSILIOS</t>
        </is>
      </c>
      <c r="E4056" s="7" t="inlineStr">
        <is>
          <t>C</t>
        </is>
      </c>
      <c r="F4056" s="13" t="n">
        <v>125</v>
      </c>
      <c r="G4056" s="13" t="n">
        <v>125</v>
      </c>
      <c r="H4056" s="8" t="n">
        <v>0.24</v>
      </c>
      <c r="I4056" s="8" t="n">
        <v>0.24</v>
      </c>
      <c r="J4056" s="8" t="n">
        <v>0.24</v>
      </c>
      <c r="K4056" s="8" t="n"/>
      <c r="L4056" s="8" t="n"/>
      <c r="M4056" s="8" t="n"/>
      <c r="N4056" s="8" t="n"/>
      <c r="O4056" s="8" t="n"/>
      <c r="P4056" s="8" t="n"/>
      <c r="Q4056" s="8" t="n"/>
      <c r="R4056" s="8" t="n"/>
      <c r="S4056" s="8" t="n"/>
      <c r="T4056" s="7" t="inlineStr">
        <is>
          <t>SEM COTAÇÃO</t>
        </is>
      </c>
      <c r="U4056" s="8" t="n"/>
      <c r="V4056" s="14" t="n"/>
      <c r="W4056" s="14" t="n"/>
      <c r="X4056" s="7" t="inlineStr"/>
      <c r="Y4056" s="7" t="inlineStr"/>
    </row>
    <row r="4057">
      <c r="A4057" s="7" t="n">
        <v>668411</v>
      </c>
      <c r="B4057" s="12" t="inlineStr">
        <is>
          <t>7898652375668</t>
        </is>
      </c>
      <c r="C4057" s="7" t="inlineStr">
        <is>
          <t>SERINGA 3ML C/AGULHA LUER SLIP 25 X 7</t>
        </is>
      </c>
      <c r="D4057" s="7" t="inlineStr">
        <is>
          <t>USO INTERNO</t>
        </is>
      </c>
      <c r="E4057" s="7" t="inlineStr">
        <is>
          <t>C</t>
        </is>
      </c>
      <c r="F4057" s="13" t="n">
        <v>29</v>
      </c>
      <c r="G4057" s="13" t="n">
        <v>29</v>
      </c>
      <c r="H4057" s="8" t="n">
        <v>0.31</v>
      </c>
      <c r="I4057" s="8" t="n">
        <v>0.31</v>
      </c>
      <c r="J4057" s="8" t="n">
        <v>0.31</v>
      </c>
      <c r="K4057" s="8" t="n"/>
      <c r="L4057" s="8" t="n"/>
      <c r="M4057" s="8" t="n"/>
      <c r="N4057" s="8" t="n"/>
      <c r="O4057" s="8" t="n"/>
      <c r="P4057" s="8" t="n"/>
      <c r="Q4057" s="8" t="n"/>
      <c r="R4057" s="8" t="n"/>
      <c r="S4057" s="8" t="n"/>
      <c r="T4057" s="7" t="inlineStr">
        <is>
          <t>SEM COTAÇÃO</t>
        </is>
      </c>
      <c r="U4057" s="8" t="n"/>
      <c r="V4057" s="14" t="n"/>
      <c r="W4057" s="14" t="n"/>
      <c r="X4057" s="7" t="inlineStr"/>
      <c r="Y4057" s="7" t="inlineStr"/>
    </row>
    <row r="4058">
      <c r="A4058" s="7" t="n">
        <v>2883</v>
      </c>
      <c r="B4058" s="12" t="inlineStr">
        <is>
          <t>7898259495219</t>
        </is>
      </c>
      <c r="C4058" s="7" t="inlineStr">
        <is>
          <t>SERINGA 3ML LL AGULHA 0,6X25</t>
        </is>
      </c>
      <c r="D4058" s="7" t="inlineStr">
        <is>
          <t>UTENSILIOS</t>
        </is>
      </c>
      <c r="E4058" s="7" t="inlineStr">
        <is>
          <t>C</t>
        </is>
      </c>
      <c r="F4058" s="13" t="n">
        <v>2</v>
      </c>
      <c r="G4058" s="13" t="n">
        <v>2</v>
      </c>
      <c r="H4058" s="8" t="n">
        <v>0.3</v>
      </c>
      <c r="I4058" s="8" t="n">
        <v>0.3</v>
      </c>
      <c r="J4058" s="8" t="n">
        <v>0.3</v>
      </c>
      <c r="K4058" s="8" t="n"/>
      <c r="L4058" s="8" t="n"/>
      <c r="M4058" s="8" t="n"/>
      <c r="N4058" s="8" t="n"/>
      <c r="O4058" s="8" t="n"/>
      <c r="P4058" s="8" t="n"/>
      <c r="Q4058" s="8" t="n"/>
      <c r="R4058" s="8" t="n"/>
      <c r="S4058" s="8" t="n"/>
      <c r="T4058" s="7" t="inlineStr">
        <is>
          <t>SEM COTAÇÃO</t>
        </is>
      </c>
      <c r="U4058" s="8" t="n"/>
      <c r="V4058" s="14" t="n"/>
      <c r="W4058" s="14" t="n"/>
      <c r="X4058" s="7" t="inlineStr"/>
      <c r="Y4058" s="7" t="inlineStr"/>
    </row>
    <row r="4059">
      <c r="A4059" s="7" t="n">
        <v>620791</v>
      </c>
      <c r="B4059" s="12" t="inlineStr">
        <is>
          <t>7898547243812</t>
        </is>
      </c>
      <c r="C4059" s="7" t="inlineStr">
        <is>
          <t>SERINGA 3ML S/AG LUER LOCK CX C/100UN</t>
        </is>
      </c>
      <c r="D4059" s="7" t="inlineStr">
        <is>
          <t>UTENSILIOS</t>
        </is>
      </c>
      <c r="E4059" s="7" t="inlineStr">
        <is>
          <t>C</t>
        </is>
      </c>
      <c r="F4059" s="13" t="n">
        <v>1</v>
      </c>
      <c r="G4059" s="13" t="n">
        <v>1</v>
      </c>
      <c r="H4059" s="8" t="n">
        <v>0.35</v>
      </c>
      <c r="I4059" s="8" t="n">
        <v>0.35</v>
      </c>
      <c r="J4059" s="8" t="n">
        <v>0.3499999999999999</v>
      </c>
      <c r="K4059" s="8" t="n"/>
      <c r="L4059" s="8" t="n"/>
      <c r="M4059" s="8" t="n"/>
      <c r="N4059" s="8" t="n"/>
      <c r="O4059" s="8" t="n"/>
      <c r="P4059" s="8" t="n"/>
      <c r="Q4059" s="8" t="n"/>
      <c r="R4059" s="8" t="n"/>
      <c r="S4059" s="8" t="n"/>
      <c r="T4059" s="7" t="inlineStr">
        <is>
          <t>SEM COTAÇÃO</t>
        </is>
      </c>
      <c r="U4059" s="8" t="n"/>
      <c r="V4059" s="14" t="n"/>
      <c r="W4059" s="14" t="n"/>
      <c r="X4059" s="7" t="inlineStr"/>
      <c r="Y4059" s="7" t="inlineStr"/>
    </row>
    <row r="4060">
      <c r="A4060" s="7" t="n">
        <v>273</v>
      </c>
      <c r="B4060" s="12" t="inlineStr">
        <is>
          <t>7898259490504</t>
        </is>
      </c>
      <c r="C4060" s="7" t="inlineStr">
        <is>
          <t>SERINGA 5ML LUER SLIP S/AG - SR</t>
        </is>
      </c>
      <c r="D4060" s="7" t="inlineStr">
        <is>
          <t>UTENSILIOS</t>
        </is>
      </c>
      <c r="E4060" s="7" t="inlineStr">
        <is>
          <t>C</t>
        </is>
      </c>
      <c r="F4060" s="13" t="n">
        <v>3</v>
      </c>
      <c r="G4060" s="13" t="n">
        <v>3</v>
      </c>
      <c r="H4060" s="8" t="n">
        <v>0.35</v>
      </c>
      <c r="I4060" s="8" t="n">
        <v>0.35</v>
      </c>
      <c r="J4060" s="8" t="n">
        <v>0.3499999999999999</v>
      </c>
      <c r="K4060" s="8" t="n"/>
      <c r="L4060" s="8" t="n"/>
      <c r="M4060" s="8" t="n"/>
      <c r="N4060" s="8" t="n"/>
      <c r="O4060" s="8" t="n"/>
      <c r="P4060" s="8" t="n"/>
      <c r="Q4060" s="8" t="n"/>
      <c r="R4060" s="8" t="n"/>
      <c r="S4060" s="8" t="n"/>
      <c r="T4060" s="7" t="inlineStr">
        <is>
          <t>SEM COTAÇÃO</t>
        </is>
      </c>
      <c r="U4060" s="8" t="n"/>
      <c r="V4060" s="14" t="n"/>
      <c r="W4060" s="14" t="n"/>
      <c r="X4060" s="7" t="inlineStr"/>
      <c r="Y4060" s="7" t="inlineStr"/>
    </row>
    <row r="4061">
      <c r="A4061" s="7" t="n">
        <v>671361</v>
      </c>
      <c r="B4061" s="12" t="inlineStr">
        <is>
          <t>7908367100384</t>
        </is>
      </c>
      <c r="C4061" s="7" t="inlineStr">
        <is>
          <t>SERINGA DE INSULINA 0,5ML C/ AGULHA FIXA (0,30X8MM) CX C/100UN</t>
        </is>
      </c>
      <c r="D4061" s="7" t="inlineStr">
        <is>
          <t>UTENSILIOS</t>
        </is>
      </c>
      <c r="E4061" s="7" t="inlineStr">
        <is>
          <t>C</t>
        </is>
      </c>
      <c r="F4061" s="13" t="n">
        <v>87</v>
      </c>
      <c r="G4061" s="13" t="n">
        <v>87</v>
      </c>
      <c r="H4061" s="8" t="n">
        <v>0.35</v>
      </c>
      <c r="I4061" s="8" t="n">
        <v>0.35</v>
      </c>
      <c r="J4061" s="8" t="n">
        <v>0.3499999999999999</v>
      </c>
      <c r="K4061" s="8" t="n"/>
      <c r="L4061" s="8" t="n"/>
      <c r="M4061" s="8" t="n"/>
      <c r="N4061" s="8" t="n"/>
      <c r="O4061" s="8" t="n"/>
      <c r="P4061" s="8" t="n"/>
      <c r="Q4061" s="8" t="n"/>
      <c r="R4061" s="8" t="n"/>
      <c r="S4061" s="8" t="n"/>
      <c r="T4061" s="7" t="inlineStr">
        <is>
          <t>SEM COTAÇÃO</t>
        </is>
      </c>
      <c r="U4061" s="8" t="n"/>
      <c r="V4061" s="14" t="n"/>
      <c r="W4061" s="14" t="n"/>
      <c r="X4061" s="7" t="inlineStr"/>
      <c r="Y4061" s="7" t="inlineStr"/>
    </row>
    <row r="4062">
      <c r="A4062" s="7" t="n">
        <v>671371</v>
      </c>
      <c r="B4062" s="12" t="inlineStr">
        <is>
          <t>7898157722493</t>
        </is>
      </c>
      <c r="C4062" s="7" t="inlineStr">
        <is>
          <t>SERINGA DE INSULINA 1ML C/ AGULHA FIXA (0,3MM X 8MM)</t>
        </is>
      </c>
      <c r="D4062" s="7" t="inlineStr">
        <is>
          <t>UTENSILIOS</t>
        </is>
      </c>
      <c r="E4062" s="7" t="inlineStr">
        <is>
          <t>C</t>
        </is>
      </c>
      <c r="F4062" s="13" t="n">
        <v>3</v>
      </c>
      <c r="G4062" s="13" t="n">
        <v>3</v>
      </c>
      <c r="H4062" s="8" t="n">
        <v>0.35</v>
      </c>
      <c r="I4062" s="8" t="n">
        <v>0.35</v>
      </c>
      <c r="J4062" s="8" t="n">
        <v>0.3499999999999999</v>
      </c>
      <c r="K4062" s="8" t="n"/>
      <c r="L4062" s="8" t="n"/>
      <c r="M4062" s="8" t="n"/>
      <c r="N4062" s="8" t="n"/>
      <c r="O4062" s="8" t="n"/>
      <c r="P4062" s="8" t="n"/>
      <c r="Q4062" s="8" t="n"/>
      <c r="R4062" s="8" t="n"/>
      <c r="S4062" s="8" t="n"/>
      <c r="T4062" s="7" t="inlineStr">
        <is>
          <t>SEM COTAÇÃO</t>
        </is>
      </c>
      <c r="U4062" s="8" t="n"/>
      <c r="V4062" s="14" t="n"/>
      <c r="W4062" s="14" t="n"/>
      <c r="X4062" s="7" t="inlineStr"/>
      <c r="Y4062" s="7" t="inlineStr"/>
    </row>
    <row r="4063">
      <c r="A4063" s="7" t="n">
        <v>615031</v>
      </c>
      <c r="B4063" s="12" t="inlineStr">
        <is>
          <t>7898259492416</t>
        </is>
      </c>
      <c r="C4063" s="7" t="inlineStr">
        <is>
          <t>SERINGA DESC 20ML C/AG 25X7</t>
        </is>
      </c>
      <c r="D4063" s="7" t="inlineStr">
        <is>
          <t>UTENSILIOS</t>
        </is>
      </c>
      <c r="E4063" s="7" t="inlineStr">
        <is>
          <t>C</t>
        </is>
      </c>
      <c r="F4063" s="13" t="n">
        <v>1</v>
      </c>
      <c r="G4063" s="13" t="n">
        <v>1</v>
      </c>
      <c r="H4063" s="8" t="n">
        <v>0.73</v>
      </c>
      <c r="I4063" s="8" t="n">
        <v>0.73</v>
      </c>
      <c r="J4063" s="8" t="n">
        <v>0.73</v>
      </c>
      <c r="K4063" s="8" t="n"/>
      <c r="L4063" s="8" t="n"/>
      <c r="M4063" s="8" t="n"/>
      <c r="N4063" s="8" t="n"/>
      <c r="O4063" s="8" t="n"/>
      <c r="P4063" s="8" t="n"/>
      <c r="Q4063" s="8" t="n"/>
      <c r="R4063" s="8" t="n"/>
      <c r="S4063" s="8" t="n"/>
      <c r="T4063" s="7" t="inlineStr">
        <is>
          <t>SEM COTAÇÃO</t>
        </is>
      </c>
      <c r="U4063" s="8" t="n"/>
      <c r="V4063" s="14" t="n"/>
      <c r="W4063" s="14" t="n"/>
      <c r="X4063" s="7" t="inlineStr"/>
      <c r="Y4063" s="7" t="inlineStr"/>
    </row>
    <row r="4064">
      <c r="A4064" s="7" t="n">
        <v>30903</v>
      </c>
      <c r="B4064" s="12" t="inlineStr">
        <is>
          <t>7898259497725</t>
        </is>
      </c>
      <c r="C4064" s="7" t="inlineStr">
        <is>
          <t>SERINGA INSULINA 0,5ML AG 8X0,30....</t>
        </is>
      </c>
      <c r="D4064" s="7" t="inlineStr">
        <is>
          <t>UTENSILIOS</t>
        </is>
      </c>
      <c r="E4064" s="7" t="inlineStr">
        <is>
          <t>A</t>
        </is>
      </c>
      <c r="F4064" s="13" t="n">
        <v>110</v>
      </c>
      <c r="G4064" s="13" t="n">
        <v>110</v>
      </c>
      <c r="H4064" s="8" t="n">
        <v>1.79</v>
      </c>
      <c r="I4064" s="8" t="n">
        <v>1.79</v>
      </c>
      <c r="J4064" s="8" t="n">
        <v>1.79</v>
      </c>
      <c r="K4064" s="8" t="n"/>
      <c r="L4064" s="8" t="n"/>
      <c r="M4064" s="8" t="n"/>
      <c r="N4064" s="8" t="n"/>
      <c r="O4064" s="8" t="n"/>
      <c r="P4064" s="8" t="n"/>
      <c r="Q4064" s="8" t="n"/>
      <c r="R4064" s="8" t="n"/>
      <c r="S4064" s="8" t="n"/>
      <c r="T4064" s="7" t="inlineStr">
        <is>
          <t>SEM COTAÇÃO</t>
        </is>
      </c>
      <c r="U4064" s="8" t="n"/>
      <c r="V4064" s="14" t="n"/>
      <c r="W4064" s="14" t="n"/>
      <c r="X4064" s="7" t="inlineStr"/>
      <c r="Y4064" s="7" t="inlineStr"/>
    </row>
    <row r="4065">
      <c r="A4065" s="7" t="n">
        <v>671101</v>
      </c>
      <c r="B4065" s="12" t="inlineStr">
        <is>
          <t>7896699036399</t>
        </is>
      </c>
      <c r="C4065" s="7" t="inlineStr">
        <is>
          <t>SERINGA LAVAGEM NASAL AZUL 7176-01-M</t>
        </is>
      </c>
      <c r="D4065" s="7" t="inlineStr">
        <is>
          <t>BABY/KIDS</t>
        </is>
      </c>
      <c r="E4065" s="7" t="inlineStr">
        <is>
          <t>C</t>
        </is>
      </c>
      <c r="F4065" s="13" t="n">
        <v>1</v>
      </c>
      <c r="G4065" s="13" t="n">
        <v>1</v>
      </c>
      <c r="H4065" s="8" t="n">
        <v>15.69</v>
      </c>
      <c r="I4065" s="8" t="n">
        <v>15.69</v>
      </c>
      <c r="J4065" s="8" t="n">
        <v>15.69</v>
      </c>
      <c r="K4065" s="8" t="n"/>
      <c r="L4065" s="8" t="n"/>
      <c r="M4065" s="8" t="n"/>
      <c r="N4065" s="8" t="n"/>
      <c r="O4065" s="8" t="n"/>
      <c r="P4065" s="8" t="n"/>
      <c r="Q4065" s="8" t="n"/>
      <c r="R4065" s="8" t="n"/>
      <c r="S4065" s="8" t="n"/>
      <c r="T4065" s="7" t="inlineStr">
        <is>
          <t>SEM COTAÇÃO</t>
        </is>
      </c>
      <c r="U4065" s="8" t="n"/>
      <c r="V4065" s="14" t="n"/>
      <c r="W4065" s="14" t="n"/>
      <c r="X4065" s="7" t="inlineStr"/>
      <c r="Y4065" s="7" t="inlineStr"/>
    </row>
    <row r="4066">
      <c r="A4066" s="7" t="n">
        <v>671051</v>
      </c>
      <c r="B4066" s="12" t="inlineStr">
        <is>
          <t>7896699036382</t>
        </is>
      </c>
      <c r="C4066" s="7" t="inlineStr">
        <is>
          <t>SERINGA LAVAGEM NASAL ROSA 7176-01-F</t>
        </is>
      </c>
      <c r="D4066" s="7" t="inlineStr">
        <is>
          <t>UTENSILIOS</t>
        </is>
      </c>
      <c r="E4066" s="7" t="inlineStr">
        <is>
          <t>B</t>
        </is>
      </c>
      <c r="F4066" s="13" t="n">
        <v>5</v>
      </c>
      <c r="G4066" s="13" t="n">
        <v>5</v>
      </c>
      <c r="H4066" s="8" t="n">
        <v>17.5833</v>
      </c>
      <c r="I4066" s="8" t="n">
        <v>17.5833</v>
      </c>
      <c r="J4066" s="8" t="n">
        <v>17.5833</v>
      </c>
      <c r="K4066" s="8" t="n"/>
      <c r="L4066" s="8" t="n"/>
      <c r="M4066" s="8" t="n"/>
      <c r="N4066" s="8" t="n"/>
      <c r="O4066" s="8" t="n"/>
      <c r="P4066" s="8" t="n"/>
      <c r="Q4066" s="8" t="n"/>
      <c r="R4066" s="8" t="n"/>
      <c r="S4066" s="8" t="n"/>
      <c r="T4066" s="7" t="inlineStr">
        <is>
          <t>SEM COTAÇÃO</t>
        </is>
      </c>
      <c r="U4066" s="8" t="n"/>
      <c r="V4066" s="14" t="n"/>
      <c r="W4066" s="14" t="n"/>
      <c r="X4066" s="7" t="inlineStr"/>
      <c r="Y4066" s="7" t="inlineStr"/>
    </row>
    <row r="4067">
      <c r="A4067" s="7" t="n">
        <v>671161</v>
      </c>
      <c r="B4067" s="12" t="inlineStr">
        <is>
          <t>7898706400155</t>
        </is>
      </c>
      <c r="C4067" s="7" t="inlineStr">
        <is>
          <t>SERINGA P/ LAVAGEM NASAL 10ML PATATI PAT</t>
        </is>
      </c>
      <c r="D4067" s="7" t="inlineStr">
        <is>
          <t>BABY/KIDS</t>
        </is>
      </c>
      <c r="E4067" s="7" t="inlineStr">
        <is>
          <t>B</t>
        </is>
      </c>
      <c r="F4067" s="13" t="n">
        <v>2</v>
      </c>
      <c r="G4067" s="13" t="n">
        <v>2</v>
      </c>
      <c r="H4067" s="8" t="n">
        <v>14.82</v>
      </c>
      <c r="I4067" s="8" t="n">
        <v>14.69</v>
      </c>
      <c r="J4067" s="8" t="n">
        <v>14.77666666666667</v>
      </c>
      <c r="K4067" s="8" t="n"/>
      <c r="L4067" s="8" t="n"/>
      <c r="M4067" s="8" t="n"/>
      <c r="N4067" s="15" t="n">
        <v>15.6</v>
      </c>
      <c r="O4067" s="8" t="n"/>
      <c r="P4067" s="8" t="n"/>
      <c r="Q4067" s="8" t="n">
        <v>17.52</v>
      </c>
      <c r="R4067" s="8" t="n"/>
      <c r="S4067" s="8" t="n"/>
      <c r="T4067" s="7" t="inlineStr">
        <is>
          <t>CENTROFARMA</t>
        </is>
      </c>
      <c r="U4067" s="8" t="n">
        <v>15.6</v>
      </c>
      <c r="V4067" s="14">
        <f>U4067/J4067-1</f>
        <v/>
      </c>
      <c r="W4067" s="14">
        <f>U4067/H4067-1</f>
        <v/>
      </c>
      <c r="X4067" s="16" t="inlineStr">
        <is>
          <t>ACIMA +5.3%</t>
        </is>
      </c>
      <c r="Y4067" s="7" t="inlineStr"/>
    </row>
    <row r="4068">
      <c r="A4068" s="7" t="n">
        <v>670971</v>
      </c>
      <c r="B4068" s="12" t="inlineStr">
        <is>
          <t>7898932370932</t>
        </is>
      </c>
      <c r="C4068" s="7" t="inlineStr">
        <is>
          <t>SERINGA P/ LAVAGEM NASAL 20ML MOD: SKYE</t>
        </is>
      </c>
      <c r="D4068" s="7" t="inlineStr">
        <is>
          <t>UTENSILIOS</t>
        </is>
      </c>
      <c r="E4068" s="7" t="inlineStr">
        <is>
          <t>C</t>
        </is>
      </c>
      <c r="F4068" s="13" t="n">
        <v>2</v>
      </c>
      <c r="G4068" s="13" t="n">
        <v>2</v>
      </c>
      <c r="H4068" s="8" t="n">
        <v>20.49</v>
      </c>
      <c r="I4068" s="8" t="n">
        <v>20.49</v>
      </c>
      <c r="J4068" s="8" t="n">
        <v>20.49</v>
      </c>
      <c r="K4068" s="8" t="n"/>
      <c r="L4068" s="8" t="n"/>
      <c r="M4068" s="8" t="n"/>
      <c r="N4068" s="8" t="n"/>
      <c r="O4068" s="8" t="n"/>
      <c r="P4068" s="8" t="n"/>
      <c r="Q4068" s="8" t="n"/>
      <c r="R4068" s="8" t="n"/>
      <c r="S4068" s="8" t="n"/>
      <c r="T4068" s="7" t="inlineStr">
        <is>
          <t>SEM COTAÇÃO</t>
        </is>
      </c>
      <c r="U4068" s="8" t="n"/>
      <c r="V4068" s="14" t="n"/>
      <c r="W4068" s="14" t="n"/>
      <c r="X4068" s="7" t="inlineStr"/>
      <c r="Y4068" s="7" t="inlineStr"/>
    </row>
    <row r="4069">
      <c r="A4069" s="7" t="n">
        <v>671141</v>
      </c>
      <c r="B4069" s="12" t="inlineStr">
        <is>
          <t>7898706401138</t>
        </is>
      </c>
      <c r="C4069" s="7" t="inlineStr">
        <is>
          <t>SERINGA P/ LAVAGEM NASAL BABY 5 ML</t>
        </is>
      </c>
      <c r="D4069" s="7" t="inlineStr">
        <is>
          <t>BABY/KIDS</t>
        </is>
      </c>
      <c r="E4069" s="7" t="inlineStr">
        <is>
          <t>C</t>
        </is>
      </c>
      <c r="F4069" s="13" t="n">
        <v>1</v>
      </c>
      <c r="G4069" s="13" t="n">
        <v>1</v>
      </c>
      <c r="H4069" s="8" t="n">
        <v>15.84</v>
      </c>
      <c r="I4069" s="8" t="n">
        <v>15.84</v>
      </c>
      <c r="J4069" s="8" t="n">
        <v>15.84</v>
      </c>
      <c r="K4069" s="8" t="n"/>
      <c r="L4069" s="8" t="n"/>
      <c r="M4069" s="8" t="n"/>
      <c r="N4069" s="15" t="n">
        <v>18.37</v>
      </c>
      <c r="O4069" s="8" t="n"/>
      <c r="P4069" s="8" t="n"/>
      <c r="Q4069" s="8" t="n">
        <v>20.64</v>
      </c>
      <c r="R4069" s="8" t="n"/>
      <c r="S4069" s="8" t="n"/>
      <c r="T4069" s="7" t="inlineStr">
        <is>
          <t>CENTROFARMA</t>
        </is>
      </c>
      <c r="U4069" s="8" t="n">
        <v>18.37</v>
      </c>
      <c r="V4069" s="14">
        <f>U4069/J4069-1</f>
        <v/>
      </c>
      <c r="W4069" s="14">
        <f>U4069/H4069-1</f>
        <v/>
      </c>
      <c r="X4069" s="16" t="inlineStr">
        <is>
          <t>ACIMA +16.0%</t>
        </is>
      </c>
      <c r="Y4069" s="7" t="inlineStr"/>
    </row>
    <row r="4070">
      <c r="A4070" s="7" t="n">
        <v>704401</v>
      </c>
      <c r="B4070" s="12" t="inlineStr">
        <is>
          <t>7898994475163</t>
        </is>
      </c>
      <c r="C4070" s="7" t="inlineStr">
        <is>
          <t>SERINGA P/INSUL 1ML AG 6MM X 0,25MM -31GUN</t>
        </is>
      </c>
      <c r="D4070" s="7" t="inlineStr">
        <is>
          <t>UTENSILIOS</t>
        </is>
      </c>
      <c r="E4070" s="7" t="inlineStr">
        <is>
          <t>A</t>
        </is>
      </c>
      <c r="F4070" s="13" t="n">
        <v>128</v>
      </c>
      <c r="G4070" s="13" t="n">
        <v>128</v>
      </c>
      <c r="H4070" s="8" t="n">
        <v>1.45</v>
      </c>
      <c r="I4070" s="8" t="n">
        <v>1.45</v>
      </c>
      <c r="J4070" s="8" t="n">
        <v>1.45</v>
      </c>
      <c r="K4070" s="8" t="n"/>
      <c r="L4070" s="8" t="n"/>
      <c r="M4070" s="8" t="n"/>
      <c r="N4070" s="8" t="n"/>
      <c r="O4070" s="8" t="n"/>
      <c r="P4070" s="8" t="n"/>
      <c r="Q4070" s="8" t="n"/>
      <c r="R4070" s="8" t="n"/>
      <c r="S4070" s="8" t="n"/>
      <c r="T4070" s="7" t="inlineStr">
        <is>
          <t>SEM COTAÇÃO</t>
        </is>
      </c>
      <c r="U4070" s="8" t="n"/>
      <c r="V4070" s="14" t="n"/>
      <c r="W4070" s="14" t="n"/>
      <c r="X4070" s="7" t="inlineStr"/>
      <c r="Y4070" s="7" t="inlineStr"/>
    </row>
    <row r="4071">
      <c r="A4071" s="7" t="n">
        <v>685901</v>
      </c>
      <c r="B4071" s="12" t="inlineStr">
        <is>
          <t>7898706401930</t>
        </is>
      </c>
      <c r="C4071" s="7" t="inlineStr">
        <is>
          <t>SERINGA P/LAVAGEM NASAL LALA JACARE 10ML</t>
        </is>
      </c>
      <c r="D4071" s="7" t="inlineStr">
        <is>
          <t>BABY/KIDS</t>
        </is>
      </c>
      <c r="E4071" s="7" t="inlineStr">
        <is>
          <t>A</t>
        </is>
      </c>
      <c r="F4071" s="13" t="n">
        <v>14</v>
      </c>
      <c r="G4071" s="13" t="n">
        <v>14</v>
      </c>
      <c r="H4071" s="8" t="n">
        <v>14.69</v>
      </c>
      <c r="I4071" s="8" t="n">
        <v>13.46</v>
      </c>
      <c r="J4071" s="8" t="n">
        <v>13.46</v>
      </c>
      <c r="K4071" s="8" t="n"/>
      <c r="L4071" s="8" t="n"/>
      <c r="M4071" s="8" t="n"/>
      <c r="N4071" s="15" t="n">
        <v>14.17</v>
      </c>
      <c r="O4071" s="8" t="n"/>
      <c r="P4071" s="8" t="n"/>
      <c r="Q4071" s="8" t="n">
        <v>15.92</v>
      </c>
      <c r="R4071" s="8" t="n"/>
      <c r="S4071" s="8" t="n"/>
      <c r="T4071" s="7" t="inlineStr">
        <is>
          <t>CENTROFARMA</t>
        </is>
      </c>
      <c r="U4071" s="8" t="n">
        <v>14.17</v>
      </c>
      <c r="V4071" s="14">
        <f>U4071/J4071-1</f>
        <v/>
      </c>
      <c r="W4071" s="14">
        <f>U4071/H4071-1</f>
        <v/>
      </c>
      <c r="X4071" s="17" t="inlineStr">
        <is>
          <t>OK (≤ últ. compra)</t>
        </is>
      </c>
      <c r="Y4071" s="7" t="inlineStr"/>
    </row>
    <row r="4072">
      <c r="A4072" s="7" t="n">
        <v>666851</v>
      </c>
      <c r="B4072" s="12" t="inlineStr">
        <is>
          <t>7897889102351</t>
        </is>
      </c>
      <c r="C4072" s="7" t="inlineStr">
        <is>
          <t>SERINGA SEM AGULHA INJEX LUER LOCK 10ML</t>
        </is>
      </c>
      <c r="D4072" s="7" t="inlineStr">
        <is>
          <t>UTENSILIOS</t>
        </is>
      </c>
      <c r="E4072" s="7" t="inlineStr">
        <is>
          <t>A</t>
        </is>
      </c>
      <c r="F4072" s="13" t="n">
        <v>62</v>
      </c>
      <c r="G4072" s="13" t="n">
        <v>62</v>
      </c>
      <c r="H4072" s="8" t="n"/>
      <c r="I4072" s="8" t="n"/>
      <c r="J4072" s="8" t="n"/>
      <c r="K4072" s="8" t="n"/>
      <c r="L4072" s="8" t="n"/>
      <c r="M4072" s="8" t="n"/>
      <c r="N4072" s="8" t="n"/>
      <c r="O4072" s="8" t="n"/>
      <c r="P4072" s="8" t="n"/>
      <c r="Q4072" s="8" t="n"/>
      <c r="R4072" s="8" t="n"/>
      <c r="S4072" s="8" t="n"/>
      <c r="T4072" s="7" t="inlineStr">
        <is>
          <t>SEM COTAÇÃO</t>
        </is>
      </c>
      <c r="U4072" s="8" t="n"/>
      <c r="V4072" s="14" t="n"/>
      <c r="W4072" s="14" t="n"/>
      <c r="X4072" s="7" t="inlineStr"/>
      <c r="Y4072" s="7" t="inlineStr"/>
    </row>
    <row r="4073">
      <c r="A4073" s="7" t="n">
        <v>634151</v>
      </c>
      <c r="B4073" s="12" t="inlineStr">
        <is>
          <t>7898259495523</t>
        </is>
      </c>
      <c r="C4073" s="7" t="inlineStr">
        <is>
          <t>SERINGA SR   5ML LUER LOCK AG 0,7X25</t>
        </is>
      </c>
      <c r="D4073" s="7" t="inlineStr">
        <is>
          <t>UTENSILIOS</t>
        </is>
      </c>
      <c r="E4073" s="7" t="inlineStr">
        <is>
          <t>B</t>
        </is>
      </c>
      <c r="F4073" s="13" t="n">
        <v>136</v>
      </c>
      <c r="G4073" s="13" t="n">
        <v>136</v>
      </c>
      <c r="H4073" s="8" t="n">
        <v>0.38</v>
      </c>
      <c r="I4073" s="8" t="n">
        <v>0.35</v>
      </c>
      <c r="J4073" s="8" t="n">
        <v>0.3699999999999999</v>
      </c>
      <c r="K4073" s="8" t="n"/>
      <c r="L4073" s="8" t="n"/>
      <c r="M4073" s="8" t="n"/>
      <c r="N4073" s="8" t="n"/>
      <c r="O4073" s="8" t="n"/>
      <c r="P4073" s="8" t="n"/>
      <c r="Q4073" s="8" t="n"/>
      <c r="R4073" s="8" t="n"/>
      <c r="S4073" s="8" t="n"/>
      <c r="T4073" s="7" t="inlineStr">
        <is>
          <t>SEM COTAÇÃO</t>
        </is>
      </c>
      <c r="U4073" s="8" t="n"/>
      <c r="V4073" s="14" t="n"/>
      <c r="W4073" s="14" t="n"/>
      <c r="X4073" s="7" t="inlineStr"/>
      <c r="Y4073" s="7" t="inlineStr"/>
    </row>
    <row r="4074">
      <c r="A4074" s="7" t="n">
        <v>596571</v>
      </c>
      <c r="B4074" s="12" t="inlineStr">
        <is>
          <t>7898259495226</t>
        </is>
      </c>
      <c r="C4074" s="7" t="inlineStr">
        <is>
          <t>SERINGA SR 3ML LL AGULHA 0,7X25</t>
        </is>
      </c>
      <c r="D4074" s="7" t="inlineStr">
        <is>
          <t>UTENSILIOS</t>
        </is>
      </c>
      <c r="E4074" s="7" t="inlineStr">
        <is>
          <t>C</t>
        </is>
      </c>
      <c r="F4074" s="13" t="n">
        <v>185</v>
      </c>
      <c r="G4074" s="13" t="n">
        <v>185</v>
      </c>
      <c r="H4074" s="8" t="n">
        <v>0.35</v>
      </c>
      <c r="I4074" s="8" t="n">
        <v>0.35</v>
      </c>
      <c r="J4074" s="8" t="n">
        <v>0.3499999999999999</v>
      </c>
      <c r="K4074" s="8" t="n"/>
      <c r="L4074" s="8" t="n"/>
      <c r="M4074" s="8" t="n"/>
      <c r="N4074" s="8" t="n"/>
      <c r="O4074" s="8" t="n"/>
      <c r="P4074" s="8" t="n"/>
      <c r="Q4074" s="8" t="n"/>
      <c r="R4074" s="8" t="n"/>
      <c r="S4074" s="8" t="n"/>
      <c r="T4074" s="7" t="inlineStr">
        <is>
          <t>SEM COTAÇÃO</t>
        </is>
      </c>
      <c r="U4074" s="8" t="n"/>
      <c r="V4074" s="14" t="n"/>
      <c r="W4074" s="14" t="n"/>
      <c r="X4074" s="7" t="inlineStr"/>
      <c r="Y4074" s="7" t="inlineStr"/>
    </row>
    <row r="4075">
      <c r="A4075" s="7" t="n">
        <v>671381</v>
      </c>
      <c r="B4075" s="12" t="inlineStr">
        <is>
          <t>7897889117348</t>
        </is>
      </c>
      <c r="C4075" s="7" t="inlineStr">
        <is>
          <t>SERINGAS PARA INSULINA 0,5ML STILLY LINE 6MM X 25MM (PACOTE C/ 10UN)</t>
        </is>
      </c>
      <c r="D4075" s="7" t="inlineStr">
        <is>
          <t>UTENSILIOS</t>
        </is>
      </c>
      <c r="E4075" s="7" t="inlineStr">
        <is>
          <t>C</t>
        </is>
      </c>
      <c r="F4075" s="13" t="n">
        <v>8</v>
      </c>
      <c r="G4075" s="13" t="n">
        <v>8</v>
      </c>
      <c r="H4075" s="8" t="n">
        <v>0.35</v>
      </c>
      <c r="I4075" s="8" t="n">
        <v>0.35</v>
      </c>
      <c r="J4075" s="8" t="n">
        <v>0.3499999999999999</v>
      </c>
      <c r="K4075" s="8" t="n"/>
      <c r="L4075" s="8" t="n"/>
      <c r="M4075" s="8" t="n"/>
      <c r="N4075" s="8" t="n"/>
      <c r="O4075" s="8" t="n"/>
      <c r="P4075" s="8" t="n"/>
      <c r="Q4075" s="8" t="n"/>
      <c r="R4075" s="8" t="n"/>
      <c r="S4075" s="8" t="n"/>
      <c r="T4075" s="7" t="inlineStr">
        <is>
          <t>SEM COTAÇÃO</t>
        </is>
      </c>
      <c r="U4075" s="8" t="n"/>
      <c r="V4075" s="14" t="n"/>
      <c r="W4075" s="14" t="n"/>
      <c r="X4075" s="7" t="inlineStr"/>
      <c r="Y4075" s="7" t="inlineStr"/>
    </row>
    <row r="4076">
      <c r="A4076" s="7" t="n">
        <v>636831</v>
      </c>
      <c r="B4076" s="12" t="inlineStr">
        <is>
          <t>7898632471984</t>
        </is>
      </c>
      <c r="C4076" s="7" t="inlineStr">
        <is>
          <t>SERUM CLAREADOR DE AXILA E VIRILHA 30ML LABOTRAT</t>
        </is>
      </c>
      <c r="D4076" s="7" t="inlineStr">
        <is>
          <t>PERF/COSME</t>
        </is>
      </c>
      <c r="E4076" s="7" t="inlineStr">
        <is>
          <t>C</t>
        </is>
      </c>
      <c r="F4076" s="13" t="n">
        <v>2</v>
      </c>
      <c r="G4076" s="13" t="n">
        <v>2</v>
      </c>
      <c r="H4076" s="8" t="n">
        <v>38.7</v>
      </c>
      <c r="I4076" s="8" t="n">
        <v>38.7</v>
      </c>
      <c r="J4076" s="8" t="n">
        <v>38.7</v>
      </c>
      <c r="K4076" s="8" t="n"/>
      <c r="L4076" s="8" t="n"/>
      <c r="M4076" s="8" t="n"/>
      <c r="N4076" s="8" t="n"/>
      <c r="O4076" s="8" t="n"/>
      <c r="P4076" s="8" t="n"/>
      <c r="Q4076" s="8" t="n"/>
      <c r="R4076" s="8" t="n"/>
      <c r="S4076" s="8" t="n"/>
      <c r="T4076" s="7" t="inlineStr">
        <is>
          <t>SEM COTAÇÃO</t>
        </is>
      </c>
      <c r="U4076" s="8" t="n"/>
      <c r="V4076" s="14" t="n"/>
      <c r="W4076" s="14" t="n"/>
      <c r="X4076" s="7" t="inlineStr"/>
      <c r="Y4076" s="7" t="inlineStr"/>
    </row>
    <row r="4077">
      <c r="A4077" s="7" t="n">
        <v>662741</v>
      </c>
      <c r="B4077" s="12" t="inlineStr">
        <is>
          <t>7891150095809</t>
        </is>
      </c>
      <c r="C4077" s="7" t="inlineStr">
        <is>
          <t>SERUM DOVE CORP NIACINAMIDA 380ML-DEMAIS PROD</t>
        </is>
      </c>
      <c r="D4077" s="7" t="inlineStr">
        <is>
          <t>PERF/COSME</t>
        </is>
      </c>
      <c r="E4077" s="7" t="inlineStr">
        <is>
          <t>A</t>
        </is>
      </c>
      <c r="F4077" s="13" t="n">
        <v>6</v>
      </c>
      <c r="G4077" s="13" t="n">
        <v>6</v>
      </c>
      <c r="H4077" s="8" t="n">
        <v>34.895</v>
      </c>
      <c r="I4077" s="8" t="n">
        <v>31.2633</v>
      </c>
      <c r="J4077" s="8" t="n">
        <v>31.2633</v>
      </c>
      <c r="K4077" s="8" t="n"/>
      <c r="L4077" s="8" t="n"/>
      <c r="M4077" s="8" t="n"/>
      <c r="N4077" s="8" t="n"/>
      <c r="O4077" s="8" t="n"/>
      <c r="P4077" s="8" t="n">
        <v>38.02</v>
      </c>
      <c r="Q4077" s="8" t="n"/>
      <c r="R4077" s="8" t="n"/>
      <c r="S4077" s="8" t="n"/>
      <c r="T4077" s="7" t="inlineStr">
        <is>
          <t>SEM COTAÇÃO</t>
        </is>
      </c>
      <c r="U4077" s="8" t="n"/>
      <c r="V4077" s="14" t="n"/>
      <c r="W4077" s="14" t="n"/>
      <c r="X4077" s="7" t="inlineStr"/>
      <c r="Y4077" s="7" t="inlineStr">
        <is>
          <t>NAZARIA: sem estoque</t>
        </is>
      </c>
    </row>
    <row r="4078">
      <c r="A4078" s="7" t="n">
        <v>662751</v>
      </c>
      <c r="B4078" s="12" t="inlineStr">
        <is>
          <t>7891150095823</t>
        </is>
      </c>
      <c r="C4078" s="7" t="inlineStr">
        <is>
          <t>SERUM DOVE CORP PRO RETIN 380ML-DEMAIS PROD</t>
        </is>
      </c>
      <c r="D4078" s="7" t="inlineStr">
        <is>
          <t>RX - DERMO</t>
        </is>
      </c>
      <c r="E4078" s="7" t="inlineStr">
        <is>
          <t>A</t>
        </is>
      </c>
      <c r="F4078" s="13" t="n">
        <v>2</v>
      </c>
      <c r="G4078" s="13" t="n">
        <v>2</v>
      </c>
      <c r="H4078" s="8" t="n">
        <v>34.89</v>
      </c>
      <c r="I4078" s="8" t="n">
        <v>34.3683</v>
      </c>
      <c r="J4078" s="8" t="n">
        <v>34.7161</v>
      </c>
      <c r="K4078" s="8" t="n"/>
      <c r="L4078" s="8" t="n"/>
      <c r="M4078" s="15" t="n">
        <v>32.08</v>
      </c>
      <c r="N4078" s="8" t="n"/>
      <c r="O4078" s="8" t="n"/>
      <c r="P4078" s="8" t="n">
        <v>38.02</v>
      </c>
      <c r="Q4078" s="8" t="n"/>
      <c r="R4078" s="8" t="n"/>
      <c r="S4078" s="8" t="n"/>
      <c r="T4078" s="7" t="inlineStr">
        <is>
          <t>EPAN</t>
        </is>
      </c>
      <c r="U4078" s="8" t="n">
        <v>32.08</v>
      </c>
      <c r="V4078" s="14">
        <f>U4078/J4078-1</f>
        <v/>
      </c>
      <c r="W4078" s="14">
        <f>U4078/H4078-1</f>
        <v/>
      </c>
      <c r="X4078" s="17" t="inlineStr">
        <is>
          <t>OK (≤ menor hist.)</t>
        </is>
      </c>
      <c r="Y4078" s="7" t="inlineStr"/>
    </row>
    <row r="4079">
      <c r="A4079" s="7" t="n">
        <v>662821</v>
      </c>
      <c r="B4079" s="12" t="inlineStr">
        <is>
          <t>7908785461555</t>
        </is>
      </c>
      <c r="C4079" s="7" t="inlineStr">
        <is>
          <t>SERUM ELSEVE SONHOS 2025 100ML</t>
        </is>
      </c>
      <c r="D4079" s="7" t="inlineStr">
        <is>
          <t>PERF/COSME</t>
        </is>
      </c>
      <c r="E4079" s="7" t="inlineStr">
        <is>
          <t>A</t>
        </is>
      </c>
      <c r="F4079" s="13" t="n">
        <v>2</v>
      </c>
      <c r="G4079" s="13" t="n">
        <v>2</v>
      </c>
      <c r="H4079" s="8" t="n">
        <v>33.72</v>
      </c>
      <c r="I4079" s="8" t="n">
        <v>33.72</v>
      </c>
      <c r="J4079" s="8" t="n">
        <v>33.72</v>
      </c>
      <c r="K4079" s="8" t="n"/>
      <c r="L4079" s="8" t="n"/>
      <c r="M4079" s="8" t="n"/>
      <c r="N4079" s="8" t="n"/>
      <c r="O4079" s="8" t="n"/>
      <c r="P4079" s="15" t="n">
        <v>36.53</v>
      </c>
      <c r="Q4079" s="8" t="n"/>
      <c r="R4079" s="8" t="n"/>
      <c r="S4079" s="8" t="n"/>
      <c r="T4079" s="7" t="inlineStr">
        <is>
          <t>NAZARIA</t>
        </is>
      </c>
      <c r="U4079" s="8" t="n">
        <v>36.53</v>
      </c>
      <c r="V4079" s="14">
        <f>U4079/J4079-1</f>
        <v/>
      </c>
      <c r="W4079" s="14">
        <f>U4079/H4079-1</f>
        <v/>
      </c>
      <c r="X4079" s="16" t="inlineStr">
        <is>
          <t>ACIMA +8.3%</t>
        </is>
      </c>
      <c r="Y4079" s="7" t="inlineStr"/>
    </row>
    <row r="4080">
      <c r="A4080" s="7" t="n">
        <v>696101</v>
      </c>
      <c r="B4080" s="12" t="inlineStr">
        <is>
          <t>0609963220359</t>
        </is>
      </c>
      <c r="C4080" s="7" t="inlineStr">
        <is>
          <t>SERUM VIT C 10%+FERULICO VC-10 - ANTIOXIDANTE 30ML</t>
        </is>
      </c>
      <c r="D4080" s="7" t="inlineStr">
        <is>
          <t>PERF/COSME</t>
        </is>
      </c>
      <c r="E4080" s="7" t="inlineStr">
        <is>
          <t>B</t>
        </is>
      </c>
      <c r="F4080" s="13" t="n">
        <v>1</v>
      </c>
      <c r="G4080" s="13" t="n">
        <v>1</v>
      </c>
      <c r="H4080" s="8" t="n">
        <v>53.39</v>
      </c>
      <c r="I4080" s="8" t="n">
        <v>53.39</v>
      </c>
      <c r="J4080" s="8" t="n">
        <v>53.39000000000001</v>
      </c>
      <c r="K4080" s="8" t="n"/>
      <c r="L4080" s="8" t="n"/>
      <c r="M4080" s="8" t="n"/>
      <c r="N4080" s="8" t="n"/>
      <c r="O4080" s="8" t="n"/>
      <c r="P4080" s="15" t="n">
        <v>57.52</v>
      </c>
      <c r="Q4080" s="8" t="n"/>
      <c r="R4080" s="8" t="n"/>
      <c r="S4080" s="8" t="n"/>
      <c r="T4080" s="7" t="inlineStr">
        <is>
          <t>NAZARIA</t>
        </is>
      </c>
      <c r="U4080" s="8" t="n">
        <v>57.52</v>
      </c>
      <c r="V4080" s="14">
        <f>U4080/J4080-1</f>
        <v/>
      </c>
      <c r="W4080" s="14">
        <f>U4080/H4080-1</f>
        <v/>
      </c>
      <c r="X4080" s="16" t="inlineStr">
        <is>
          <t>ACIMA +7.7%</t>
        </is>
      </c>
      <c r="Y4080" s="7" t="inlineStr"/>
    </row>
    <row r="4081">
      <c r="A4081" s="7" t="n">
        <v>610381</v>
      </c>
      <c r="B4081" s="12" t="inlineStr">
        <is>
          <t>7897042013845</t>
        </is>
      </c>
      <c r="C4081" s="7" t="inlineStr">
        <is>
          <t>SH + CONDIC SKALA A MILHO 325ML</t>
        </is>
      </c>
      <c r="D4081" s="7" t="inlineStr">
        <is>
          <t>COND/SHAM/CREM/SIMILARES</t>
        </is>
      </c>
      <c r="E4081" s="7" t="inlineStr">
        <is>
          <t>C</t>
        </is>
      </c>
      <c r="F4081" s="13" t="n">
        <v>1</v>
      </c>
      <c r="G4081" s="13" t="n">
        <v>1</v>
      </c>
      <c r="H4081" s="8" t="n">
        <v>9.56</v>
      </c>
      <c r="I4081" s="8" t="n">
        <v>9.56</v>
      </c>
      <c r="J4081" s="8" t="n">
        <v>9.56</v>
      </c>
      <c r="K4081" s="8" t="n"/>
      <c r="L4081" s="8" t="n"/>
      <c r="M4081" s="8" t="n"/>
      <c r="N4081" s="8" t="n"/>
      <c r="O4081" s="8" t="n"/>
      <c r="P4081" s="8" t="n"/>
      <c r="Q4081" s="8" t="n"/>
      <c r="R4081" s="8" t="n"/>
      <c r="S4081" s="8" t="n"/>
      <c r="T4081" s="7" t="inlineStr">
        <is>
          <t>SEM COTAÇÃO</t>
        </is>
      </c>
      <c r="U4081" s="8" t="n"/>
      <c r="V4081" s="14" t="n"/>
      <c r="W4081" s="14" t="n"/>
      <c r="X4081" s="7" t="inlineStr"/>
      <c r="Y4081" s="7" t="inlineStr"/>
    </row>
    <row r="4082">
      <c r="A4082" s="7" t="n">
        <v>610391</v>
      </c>
      <c r="B4082" s="12" t="inlineStr">
        <is>
          <t>7897042017904</t>
        </is>
      </c>
      <c r="C4082" s="7" t="inlineStr">
        <is>
          <t>SH + CONDIC SKALA AMIDINH 325ML</t>
        </is>
      </c>
      <c r="D4082" s="7" t="inlineStr">
        <is>
          <t>COND/SHAM/CREM/SIMILARES</t>
        </is>
      </c>
      <c r="E4082" s="7" t="inlineStr">
        <is>
          <t>C</t>
        </is>
      </c>
      <c r="F4082" s="13" t="n">
        <v>1</v>
      </c>
      <c r="G4082" s="13" t="n">
        <v>1</v>
      </c>
      <c r="H4082" s="8" t="n">
        <v>9.56</v>
      </c>
      <c r="I4082" s="8" t="n">
        <v>9.56</v>
      </c>
      <c r="J4082" s="8" t="n">
        <v>9.56</v>
      </c>
      <c r="K4082" s="8" t="n"/>
      <c r="L4082" s="8" t="n"/>
      <c r="M4082" s="8" t="n"/>
      <c r="N4082" s="8" t="n"/>
      <c r="O4082" s="8" t="n"/>
      <c r="P4082" s="8" t="n"/>
      <c r="Q4082" s="8" t="n"/>
      <c r="R4082" s="8" t="n"/>
      <c r="S4082" s="8" t="n"/>
      <c r="T4082" s="7" t="inlineStr">
        <is>
          <t>SEM COTAÇÃO</t>
        </is>
      </c>
      <c r="U4082" s="8" t="n"/>
      <c r="V4082" s="14" t="n"/>
      <c r="W4082" s="14" t="n"/>
      <c r="X4082" s="7" t="inlineStr"/>
      <c r="Y4082" s="7" t="inlineStr"/>
    </row>
    <row r="4083">
      <c r="A4083" s="7" t="n">
        <v>610581</v>
      </c>
      <c r="B4083" s="12" t="inlineStr">
        <is>
          <t>7897042017881</t>
        </is>
      </c>
      <c r="C4083" s="7" t="inlineStr">
        <is>
          <t>SH + CONDIC SKALA DIV COR 325ML</t>
        </is>
      </c>
      <c r="D4083" s="7" t="inlineStr">
        <is>
          <t>COND/SHAM/CREM/SIMILARES</t>
        </is>
      </c>
      <c r="E4083" s="7" t="inlineStr">
        <is>
          <t>C</t>
        </is>
      </c>
      <c r="F4083" s="13" t="n">
        <v>1</v>
      </c>
      <c r="G4083" s="13" t="n">
        <v>1</v>
      </c>
      <c r="H4083" s="8" t="n">
        <v>12.29</v>
      </c>
      <c r="I4083" s="8" t="n">
        <v>12.29</v>
      </c>
      <c r="J4083" s="8" t="n">
        <v>12.29</v>
      </c>
      <c r="K4083" s="8" t="n"/>
      <c r="L4083" s="8" t="n"/>
      <c r="M4083" s="8" t="n"/>
      <c r="N4083" s="8" t="n"/>
      <c r="O4083" s="8" t="n"/>
      <c r="P4083" s="8" t="n"/>
      <c r="Q4083" s="8" t="n"/>
      <c r="R4083" s="8" t="n"/>
      <c r="S4083" s="8" t="n"/>
      <c r="T4083" s="7" t="inlineStr">
        <is>
          <t>SEM COTAÇÃO</t>
        </is>
      </c>
      <c r="U4083" s="8" t="n"/>
      <c r="V4083" s="14" t="n"/>
      <c r="W4083" s="14" t="n"/>
      <c r="X4083" s="7" t="inlineStr"/>
      <c r="Y4083" s="7" t="inlineStr"/>
    </row>
    <row r="4084">
      <c r="A4084" s="7" t="n">
        <v>610571</v>
      </c>
      <c r="B4084" s="12" t="inlineStr">
        <is>
          <t>7897042016921</t>
        </is>
      </c>
      <c r="C4084" s="7" t="inlineStr">
        <is>
          <t>SH + CONDIC SKALA GENETIQ 325ML</t>
        </is>
      </c>
      <c r="D4084" s="7" t="inlineStr">
        <is>
          <t>COND/SHAM/CREM/SIMILARES</t>
        </is>
      </c>
      <c r="E4084" s="7" t="inlineStr">
        <is>
          <t>C</t>
        </is>
      </c>
      <c r="F4084" s="13" t="n">
        <v>1</v>
      </c>
      <c r="G4084" s="13" t="n">
        <v>1</v>
      </c>
      <c r="H4084" s="8" t="n">
        <v>9.56</v>
      </c>
      <c r="I4084" s="8" t="n">
        <v>9.56</v>
      </c>
      <c r="J4084" s="8" t="n">
        <v>9.56</v>
      </c>
      <c r="K4084" s="8" t="n"/>
      <c r="L4084" s="8" t="n"/>
      <c r="M4084" s="8" t="n"/>
      <c r="N4084" s="8" t="n"/>
      <c r="O4084" s="8" t="n"/>
      <c r="P4084" s="8" t="n"/>
      <c r="Q4084" s="8" t="n"/>
      <c r="R4084" s="8" t="n"/>
      <c r="S4084" s="8" t="n"/>
      <c r="T4084" s="7" t="inlineStr">
        <is>
          <t>SEM COTAÇÃO</t>
        </is>
      </c>
      <c r="U4084" s="8" t="n"/>
      <c r="V4084" s="14" t="n"/>
      <c r="W4084" s="14" t="n"/>
      <c r="X4084" s="7" t="inlineStr"/>
      <c r="Y4084" s="7" t="inlineStr"/>
    </row>
    <row r="4085">
      <c r="A4085" s="7" t="n">
        <v>610561</v>
      </c>
      <c r="B4085" s="12" t="inlineStr">
        <is>
          <t>7897042017911</t>
        </is>
      </c>
      <c r="C4085" s="7" t="inlineStr">
        <is>
          <t>SH + CONDIC SKALA M CACHI 325ML</t>
        </is>
      </c>
      <c r="D4085" s="7" t="inlineStr">
        <is>
          <t>COND/SHAM/CREM/SIMILARES</t>
        </is>
      </c>
      <c r="E4085" s="7" t="inlineStr">
        <is>
          <t>C</t>
        </is>
      </c>
      <c r="F4085" s="13" t="n">
        <v>1</v>
      </c>
      <c r="G4085" s="13" t="n">
        <v>1</v>
      </c>
      <c r="H4085" s="8" t="n">
        <v>9.56</v>
      </c>
      <c r="I4085" s="8" t="n">
        <v>9.56</v>
      </c>
      <c r="J4085" s="8" t="n">
        <v>9.56</v>
      </c>
      <c r="K4085" s="8" t="n"/>
      <c r="L4085" s="8" t="n"/>
      <c r="M4085" s="8" t="n"/>
      <c r="N4085" s="8" t="n"/>
      <c r="O4085" s="8" t="n"/>
      <c r="P4085" s="8" t="n"/>
      <c r="Q4085" s="8" t="n"/>
      <c r="R4085" s="8" t="n"/>
      <c r="S4085" s="8" t="n"/>
      <c r="T4085" s="7" t="inlineStr">
        <is>
          <t>SEM COTAÇÃO</t>
        </is>
      </c>
      <c r="U4085" s="8" t="n"/>
      <c r="V4085" s="14" t="n"/>
      <c r="W4085" s="14" t="n"/>
      <c r="X4085" s="7" t="inlineStr"/>
      <c r="Y4085" s="7" t="inlineStr"/>
    </row>
    <row r="4086">
      <c r="A4086" s="7" t="n">
        <v>610531</v>
      </c>
      <c r="B4086" s="12" t="inlineStr">
        <is>
          <t>7897042017898</t>
        </is>
      </c>
      <c r="C4086" s="7" t="inlineStr">
        <is>
          <t>SH + CONDIC SKALA VIT C 325ML</t>
        </is>
      </c>
      <c r="D4086" s="7" t="inlineStr">
        <is>
          <t>COND/SHAM/CREM/SIMILARES</t>
        </is>
      </c>
      <c r="E4086" s="7" t="inlineStr">
        <is>
          <t>C</t>
        </is>
      </c>
      <c r="F4086" s="13" t="n">
        <v>1</v>
      </c>
      <c r="G4086" s="13" t="n">
        <v>1</v>
      </c>
      <c r="H4086" s="8" t="n">
        <v>9.56</v>
      </c>
      <c r="I4086" s="8" t="n">
        <v>9.56</v>
      </c>
      <c r="J4086" s="8" t="n">
        <v>9.56</v>
      </c>
      <c r="K4086" s="8" t="n"/>
      <c r="L4086" s="8" t="n"/>
      <c r="M4086" s="8" t="n"/>
      <c r="N4086" s="8" t="n"/>
      <c r="O4086" s="8" t="n"/>
      <c r="P4086" s="8" t="n"/>
      <c r="Q4086" s="8" t="n"/>
      <c r="R4086" s="8" t="n"/>
      <c r="S4086" s="8" t="n"/>
      <c r="T4086" s="7" t="inlineStr">
        <is>
          <t>SEM COTAÇÃO</t>
        </is>
      </c>
      <c r="U4086" s="8" t="n"/>
      <c r="V4086" s="14" t="n"/>
      <c r="W4086" s="14" t="n"/>
      <c r="X4086" s="7" t="inlineStr"/>
      <c r="Y4086" s="7" t="inlineStr"/>
    </row>
    <row r="4087">
      <c r="A4087" s="7" t="n">
        <v>582641</v>
      </c>
      <c r="B4087" s="12" t="inlineStr">
        <is>
          <t>7899026459960</t>
        </is>
      </c>
      <c r="C4087" s="7" t="inlineStr">
        <is>
          <t>SH .ELSEVE REPARAC.TOTAL5 200ML</t>
        </is>
      </c>
      <c r="D4087" s="7" t="inlineStr">
        <is>
          <t>PERF/COSME</t>
        </is>
      </c>
      <c r="E4087" s="7" t="inlineStr">
        <is>
          <t>B</t>
        </is>
      </c>
      <c r="F4087" s="13" t="n">
        <v>2</v>
      </c>
      <c r="G4087" s="13" t="n">
        <v>2</v>
      </c>
      <c r="H4087" s="8" t="n">
        <v>13.5</v>
      </c>
      <c r="I4087" s="8" t="n">
        <v>11.0167</v>
      </c>
      <c r="J4087" s="8" t="n">
        <v>12.67223333333333</v>
      </c>
      <c r="K4087" s="8" t="n"/>
      <c r="L4087" s="8" t="n"/>
      <c r="M4087" s="8" t="n"/>
      <c r="N4087" s="8" t="n"/>
      <c r="O4087" s="8" t="n"/>
      <c r="P4087" s="15" t="n">
        <v>14.37</v>
      </c>
      <c r="Q4087" s="8" t="n"/>
      <c r="R4087" s="8" t="n"/>
      <c r="S4087" s="8" t="n"/>
      <c r="T4087" s="7" t="inlineStr">
        <is>
          <t>NAZARIA</t>
        </is>
      </c>
      <c r="U4087" s="8" t="n">
        <v>14.37</v>
      </c>
      <c r="V4087" s="14">
        <f>U4087/J4087-1</f>
        <v/>
      </c>
      <c r="W4087" s="14">
        <f>U4087/H4087-1</f>
        <v/>
      </c>
      <c r="X4087" s="16" t="inlineStr">
        <is>
          <t>ACIMA +6.4%</t>
        </is>
      </c>
      <c r="Y4087" s="7" t="inlineStr"/>
    </row>
    <row r="4088">
      <c r="A4088" s="7" t="n">
        <v>591831</v>
      </c>
      <c r="B4088" s="12" t="inlineStr">
        <is>
          <t>7891150081611</t>
        </is>
      </c>
      <c r="C4088" s="7" t="inlineStr">
        <is>
          <t>SH ANT CAS CLEAR ANTICOC 200ML</t>
        </is>
      </c>
      <c r="D4088" s="7" t="inlineStr">
        <is>
          <t>PERF/COSME</t>
        </is>
      </c>
      <c r="E4088" s="7" t="inlineStr">
        <is>
          <t>C</t>
        </is>
      </c>
      <c r="F4088" s="13" t="n">
        <v>1</v>
      </c>
      <c r="G4088" s="13" t="n">
        <v>1</v>
      </c>
      <c r="H4088" s="8" t="n">
        <v>10.15</v>
      </c>
      <c r="I4088" s="8" t="n">
        <v>10.15</v>
      </c>
      <c r="J4088" s="8" t="n">
        <v>10.15</v>
      </c>
      <c r="K4088" s="8" t="n"/>
      <c r="L4088" s="8" t="n"/>
      <c r="M4088" s="8" t="n"/>
      <c r="N4088" s="8" t="n"/>
      <c r="O4088" s="8" t="n"/>
      <c r="P4088" s="15" t="n">
        <v>15.7</v>
      </c>
      <c r="Q4088" s="8" t="n"/>
      <c r="R4088" s="8" t="n"/>
      <c r="S4088" s="8" t="n"/>
      <c r="T4088" s="7" t="inlineStr">
        <is>
          <t>NAZARIA</t>
        </is>
      </c>
      <c r="U4088" s="8" t="n">
        <v>15.7</v>
      </c>
      <c r="V4088" s="14">
        <f>U4088/J4088-1</f>
        <v/>
      </c>
      <c r="W4088" s="14">
        <f>U4088/H4088-1</f>
        <v/>
      </c>
      <c r="X4088" s="16" t="inlineStr">
        <is>
          <t>ACIMA +54.7%</t>
        </is>
      </c>
      <c r="Y4088" s="7" t="inlineStr"/>
    </row>
    <row r="4089">
      <c r="A4089" s="7" t="n">
        <v>546621</v>
      </c>
      <c r="B4089" s="12" t="inlineStr">
        <is>
          <t>7898422746216</t>
        </is>
      </c>
      <c r="C4089" s="7" t="inlineStr">
        <is>
          <t>SH ANT CAS CLEAR MEN LIMPEZA DIÁRIA FRASCO 200ML</t>
        </is>
      </c>
      <c r="D4089" s="7" t="inlineStr">
        <is>
          <t>PERF/COSME</t>
        </is>
      </c>
      <c r="E4089" s="7" t="inlineStr">
        <is>
          <t>A</t>
        </is>
      </c>
      <c r="F4089" s="13" t="n">
        <v>2</v>
      </c>
      <c r="G4089" s="13" t="n">
        <v>2</v>
      </c>
      <c r="H4089" s="8" t="n">
        <v>14.9942</v>
      </c>
      <c r="I4089" s="8" t="n">
        <v>14.0525</v>
      </c>
      <c r="J4089" s="8" t="n">
        <v>14.67223333333333</v>
      </c>
      <c r="K4089" s="8" t="n"/>
      <c r="L4089" s="8" t="n"/>
      <c r="M4089" s="8" t="n"/>
      <c r="N4089" s="8" t="n"/>
      <c r="O4089" s="8" t="n"/>
      <c r="P4089" s="8" t="n">
        <v>15.7</v>
      </c>
      <c r="Q4089" s="8" t="n"/>
      <c r="R4089" s="8" t="n"/>
      <c r="S4089" s="8" t="n"/>
      <c r="T4089" s="7" t="inlineStr">
        <is>
          <t>SEM COTAÇÃO</t>
        </is>
      </c>
      <c r="U4089" s="8" t="n"/>
      <c r="V4089" s="14" t="n"/>
      <c r="W4089" s="14" t="n"/>
      <c r="X4089" s="7" t="inlineStr"/>
      <c r="Y4089" s="7" t="inlineStr">
        <is>
          <t>NAZARIA: sem estoque</t>
        </is>
      </c>
    </row>
    <row r="4090">
      <c r="A4090" s="7" t="n">
        <v>545941</v>
      </c>
      <c r="B4090" s="12" t="inlineStr">
        <is>
          <t>7891150019508</t>
        </is>
      </c>
      <c r="C4090" s="7" t="inlineStr">
        <is>
          <t>SH ANT CAS CLEAR MEN SPORTS FRASCO 200ML</t>
        </is>
      </c>
      <c r="D4090" s="7" t="inlineStr">
        <is>
          <t>PERF/COSME</t>
        </is>
      </c>
      <c r="E4090" s="7" t="inlineStr">
        <is>
          <t>C</t>
        </is>
      </c>
      <c r="F4090" s="13" t="n">
        <v>3</v>
      </c>
      <c r="G4090" s="13" t="n">
        <v>3</v>
      </c>
      <c r="H4090" s="8" t="n">
        <v>14.1067</v>
      </c>
      <c r="I4090" s="8" t="n">
        <v>14.0525</v>
      </c>
      <c r="J4090" s="8" t="n">
        <v>14.08863333333333</v>
      </c>
      <c r="K4090" s="8" t="n"/>
      <c r="L4090" s="8" t="n"/>
      <c r="M4090" s="8" t="n"/>
      <c r="N4090" s="8" t="n"/>
      <c r="O4090" s="8" t="n"/>
      <c r="P4090" s="15" t="n">
        <v>15.7</v>
      </c>
      <c r="Q4090" s="8" t="n"/>
      <c r="R4090" s="8" t="n"/>
      <c r="S4090" s="8" t="n"/>
      <c r="T4090" s="7" t="inlineStr">
        <is>
          <t>NAZARIA</t>
        </is>
      </c>
      <c r="U4090" s="8" t="n">
        <v>15.7</v>
      </c>
      <c r="V4090" s="14">
        <f>U4090/J4090-1</f>
        <v/>
      </c>
      <c r="W4090" s="14">
        <f>U4090/H4090-1</f>
        <v/>
      </c>
      <c r="X4090" s="16" t="inlineStr">
        <is>
          <t>ACIMA +11.3%</t>
        </is>
      </c>
      <c r="Y4090" s="7" t="inlineStr"/>
    </row>
    <row r="4091">
      <c r="A4091" s="7" t="n">
        <v>551361</v>
      </c>
      <c r="B4091" s="12" t="inlineStr">
        <is>
          <t>7891150055698</t>
        </is>
      </c>
      <c r="C4091" s="7" t="inlineStr">
        <is>
          <t>SH ANT CAS CLEAR SCALPFOODS DETOX DIÁRIO FRASCO 200ML</t>
        </is>
      </c>
      <c r="D4091" s="7" t="inlineStr">
        <is>
          <t>PERF/COSME</t>
        </is>
      </c>
      <c r="E4091" s="7" t="inlineStr">
        <is>
          <t>C</t>
        </is>
      </c>
      <c r="F4091" s="13" t="n">
        <v>1</v>
      </c>
      <c r="G4091" s="13" t="n">
        <v>1</v>
      </c>
      <c r="H4091" s="8" t="n">
        <v>10.15</v>
      </c>
      <c r="I4091" s="8" t="n">
        <v>10.15</v>
      </c>
      <c r="J4091" s="8" t="n">
        <v>10.15</v>
      </c>
      <c r="K4091" s="8" t="n"/>
      <c r="L4091" s="8" t="n"/>
      <c r="M4091" s="8" t="n"/>
      <c r="N4091" s="8" t="n"/>
      <c r="O4091" s="8" t="n"/>
      <c r="P4091" s="15" t="n">
        <v>15.7</v>
      </c>
      <c r="Q4091" s="8" t="n"/>
      <c r="R4091" s="8" t="n"/>
      <c r="S4091" s="8" t="n"/>
      <c r="T4091" s="7" t="inlineStr">
        <is>
          <t>NAZARIA</t>
        </is>
      </c>
      <c r="U4091" s="8" t="n">
        <v>15.7</v>
      </c>
      <c r="V4091" s="14">
        <f>U4091/J4091-1</f>
        <v/>
      </c>
      <c r="W4091" s="14">
        <f>U4091/H4091-1</f>
        <v/>
      </c>
      <c r="X4091" s="16" t="inlineStr">
        <is>
          <t>ACIMA +54.7%</t>
        </is>
      </c>
      <c r="Y4091" s="7" t="inlineStr"/>
    </row>
    <row r="4092">
      <c r="A4092" s="7" t="n">
        <v>591841</v>
      </c>
      <c r="B4092" s="12" t="inlineStr">
        <is>
          <t>7891150055704</t>
        </is>
      </c>
      <c r="C4092" s="7" t="inlineStr">
        <is>
          <t>SH ANT CAS FLOR CER.W. 200ML</t>
        </is>
      </c>
      <c r="D4092" s="7" t="inlineStr">
        <is>
          <t>PERF/COSME</t>
        </is>
      </c>
      <c r="E4092" s="7" t="inlineStr">
        <is>
          <t>C</t>
        </is>
      </c>
      <c r="F4092" s="13" t="n">
        <v>1</v>
      </c>
      <c r="G4092" s="13" t="n">
        <v>1</v>
      </c>
      <c r="H4092" s="8" t="n">
        <v>10.15</v>
      </c>
      <c r="I4092" s="8" t="n">
        <v>10.15</v>
      </c>
      <c r="J4092" s="8" t="n">
        <v>10.15</v>
      </c>
      <c r="K4092" s="8" t="n"/>
      <c r="L4092" s="8" t="n"/>
      <c r="M4092" s="8" t="n"/>
      <c r="N4092" s="8" t="n"/>
      <c r="O4092" s="8" t="n"/>
      <c r="P4092" s="8" t="n">
        <v>15.7</v>
      </c>
      <c r="Q4092" s="8" t="n"/>
      <c r="R4092" s="8" t="n"/>
      <c r="S4092" s="8" t="n"/>
      <c r="T4092" s="7" t="inlineStr">
        <is>
          <t>SEM COTAÇÃO</t>
        </is>
      </c>
      <c r="U4092" s="8" t="n"/>
      <c r="V4092" s="14" t="n"/>
      <c r="W4092" s="14" t="n"/>
      <c r="X4092" s="7" t="inlineStr"/>
      <c r="Y4092" s="7" t="inlineStr">
        <is>
          <t>NAZARIA: sem estoque</t>
        </is>
      </c>
    </row>
    <row r="4093">
      <c r="A4093" s="7" t="n">
        <v>546641</v>
      </c>
      <c r="B4093" s="12" t="inlineStr">
        <is>
          <t>7891150007406</t>
        </is>
      </c>
      <c r="C4093" s="7" t="inlineStr">
        <is>
          <t>SH ANT CAS ICE COOL MENTHOL CLEAR MEN FRASCO 200ML</t>
        </is>
      </c>
      <c r="D4093" s="7" t="inlineStr">
        <is>
          <t>PERF/COSME</t>
        </is>
      </c>
      <c r="E4093" s="7" t="inlineStr">
        <is>
          <t>C</t>
        </is>
      </c>
      <c r="F4093" s="13" t="n">
        <v>2</v>
      </c>
      <c r="G4093" s="13" t="n">
        <v>2</v>
      </c>
      <c r="H4093" s="8" t="n">
        <v>14.11</v>
      </c>
      <c r="I4093" s="8" t="n">
        <v>14.11</v>
      </c>
      <c r="J4093" s="8" t="n">
        <v>14.11</v>
      </c>
      <c r="K4093" s="8" t="n"/>
      <c r="L4093" s="8" t="n"/>
      <c r="M4093" s="8" t="n"/>
      <c r="N4093" s="8" t="n"/>
      <c r="O4093" s="8" t="n"/>
      <c r="P4093" s="15" t="n">
        <v>15.7</v>
      </c>
      <c r="Q4093" s="8" t="n"/>
      <c r="R4093" s="8" t="n"/>
      <c r="S4093" s="8" t="n"/>
      <c r="T4093" s="7" t="inlineStr">
        <is>
          <t>NAZARIA</t>
        </is>
      </c>
      <c r="U4093" s="8" t="n">
        <v>15.7</v>
      </c>
      <c r="V4093" s="14">
        <f>U4093/J4093-1</f>
        <v/>
      </c>
      <c r="W4093" s="14">
        <f>U4093/H4093-1</f>
        <v/>
      </c>
      <c r="X4093" s="16" t="inlineStr">
        <is>
          <t>ACIMA +11.3%</t>
        </is>
      </c>
      <c r="Y4093" s="7" t="inlineStr"/>
    </row>
    <row r="4094">
      <c r="A4094" s="7" t="n">
        <v>591851</v>
      </c>
      <c r="B4094" s="12" t="inlineStr">
        <is>
          <t>7891150075276</t>
        </is>
      </c>
      <c r="C4094" s="7" t="inlineStr">
        <is>
          <t>SH ANT CAS MEN C.B 200ML</t>
        </is>
      </c>
      <c r="D4094" s="7" t="inlineStr">
        <is>
          <t>PERF/COSME</t>
        </is>
      </c>
      <c r="E4094" s="7" t="inlineStr">
        <is>
          <t>C</t>
        </is>
      </c>
      <c r="F4094" s="13" t="n">
        <v>2</v>
      </c>
      <c r="G4094" s="13" t="n">
        <v>2</v>
      </c>
      <c r="H4094" s="8" t="n">
        <v>14.85</v>
      </c>
      <c r="I4094" s="8" t="n">
        <v>14.0525</v>
      </c>
      <c r="J4094" s="8" t="n">
        <v>14.58416666666667</v>
      </c>
      <c r="K4094" s="8" t="n"/>
      <c r="L4094" s="8" t="n"/>
      <c r="M4094" s="8" t="n"/>
      <c r="N4094" s="8" t="n"/>
      <c r="O4094" s="8" t="n"/>
      <c r="P4094" s="15" t="n">
        <v>15.7</v>
      </c>
      <c r="Q4094" s="8" t="n"/>
      <c r="R4094" s="8" t="n"/>
      <c r="S4094" s="8" t="n"/>
      <c r="T4094" s="7" t="inlineStr">
        <is>
          <t>NAZARIA</t>
        </is>
      </c>
      <c r="U4094" s="8" t="n">
        <v>15.7</v>
      </c>
      <c r="V4094" s="14">
        <f>U4094/J4094-1</f>
        <v/>
      </c>
      <c r="W4094" s="14">
        <f>U4094/H4094-1</f>
        <v/>
      </c>
      <c r="X4094" s="16" t="inlineStr">
        <is>
          <t>ACIMA +5.7%</t>
        </is>
      </c>
      <c r="Y4094" s="7" t="inlineStr"/>
    </row>
    <row r="4095">
      <c r="A4095" s="7" t="n">
        <v>672851</v>
      </c>
      <c r="B4095" s="12" t="inlineStr">
        <is>
          <t>7891150097643</t>
        </is>
      </c>
      <c r="C4095" s="7" t="inlineStr">
        <is>
          <t>SH DOVE BOND 350ML+COND 150ML-DEMAIS PROD</t>
        </is>
      </c>
      <c r="D4095" s="7" t="inlineStr">
        <is>
          <t>PERF/COSME</t>
        </is>
      </c>
      <c r="E4095" s="7" t="inlineStr">
        <is>
          <t>B</t>
        </is>
      </c>
      <c r="F4095" s="13" t="n">
        <v>2</v>
      </c>
      <c r="G4095" s="13" t="n">
        <v>2</v>
      </c>
      <c r="H4095" s="8" t="n">
        <v>32.18</v>
      </c>
      <c r="I4095" s="8" t="n">
        <v>32.18</v>
      </c>
      <c r="J4095" s="8" t="n">
        <v>32.18</v>
      </c>
      <c r="K4095" s="8" t="n"/>
      <c r="L4095" s="8" t="n"/>
      <c r="M4095" s="8" t="n"/>
      <c r="N4095" s="8" t="n"/>
      <c r="O4095" s="8" t="n"/>
      <c r="P4095" s="15" t="n">
        <v>21.52</v>
      </c>
      <c r="Q4095" s="8" t="n"/>
      <c r="R4095" s="8" t="n"/>
      <c r="S4095" s="8" t="n"/>
      <c r="T4095" s="7" t="inlineStr">
        <is>
          <t>NAZARIA</t>
        </is>
      </c>
      <c r="U4095" s="8" t="n">
        <v>21.52</v>
      </c>
      <c r="V4095" s="14">
        <f>U4095/J4095-1</f>
        <v/>
      </c>
      <c r="W4095" s="14">
        <f>U4095/H4095-1</f>
        <v/>
      </c>
      <c r="X4095" s="17" t="inlineStr">
        <is>
          <t>OK (≤ menor hist.)</t>
        </is>
      </c>
      <c r="Y4095" s="7" t="inlineStr"/>
    </row>
    <row r="4096">
      <c r="A4096" s="7" t="n">
        <v>596931</v>
      </c>
      <c r="B4096" s="12" t="inlineStr">
        <is>
          <t>7891150008960</t>
        </is>
      </c>
      <c r="C4096" s="7" t="inlineStr">
        <is>
          <t>SH DOVE CONTROLE QUEDA 200ML</t>
        </is>
      </c>
      <c r="D4096" s="7" t="inlineStr">
        <is>
          <t>COND/SHAM/CREM/SIMILARES</t>
        </is>
      </c>
      <c r="E4096" s="7" t="inlineStr">
        <is>
          <t>C</t>
        </is>
      </c>
      <c r="F4096" s="13" t="n">
        <v>3</v>
      </c>
      <c r="G4096" s="13" t="n">
        <v>3</v>
      </c>
      <c r="H4096" s="8" t="n">
        <v>9.66</v>
      </c>
      <c r="I4096" s="8" t="n">
        <v>9.66</v>
      </c>
      <c r="J4096" s="8" t="n">
        <v>9.66</v>
      </c>
      <c r="K4096" s="8" t="n"/>
      <c r="L4096" s="8" t="n"/>
      <c r="M4096" s="8" t="n"/>
      <c r="N4096" s="8" t="n"/>
      <c r="O4096" s="8" t="n"/>
      <c r="P4096" s="8" t="n"/>
      <c r="Q4096" s="8" t="n"/>
      <c r="R4096" s="8" t="n"/>
      <c r="S4096" s="8" t="n"/>
      <c r="T4096" s="7" t="inlineStr">
        <is>
          <t>SEM COTAÇÃO</t>
        </is>
      </c>
      <c r="U4096" s="8" t="n"/>
      <c r="V4096" s="14" t="n"/>
      <c r="W4096" s="14" t="n"/>
      <c r="X4096" s="7" t="inlineStr"/>
      <c r="Y4096" s="7" t="inlineStr"/>
    </row>
    <row r="4097">
      <c r="A4097" s="7" t="n">
        <v>571101</v>
      </c>
      <c r="B4097" s="12" t="inlineStr">
        <is>
          <t>7891150017351</t>
        </is>
      </c>
      <c r="C4097" s="7" t="inlineStr">
        <is>
          <t>SH DOVE OLEO NUTRICAO 200ML</t>
        </is>
      </c>
      <c r="D4097" s="7" t="inlineStr">
        <is>
          <t>PERF/COSME</t>
        </is>
      </c>
      <c r="E4097" s="7" t="inlineStr">
        <is>
          <t>C</t>
        </is>
      </c>
      <c r="F4097" s="13" t="n">
        <v>2</v>
      </c>
      <c r="G4097" s="13" t="n">
        <v>2</v>
      </c>
      <c r="H4097" s="8" t="n">
        <v>13.45</v>
      </c>
      <c r="I4097" s="8" t="n">
        <v>13.45</v>
      </c>
      <c r="J4097" s="8" t="n">
        <v>13.45</v>
      </c>
      <c r="K4097" s="8" t="n"/>
      <c r="L4097" s="8" t="n"/>
      <c r="M4097" s="8" t="n"/>
      <c r="N4097" s="8" t="n"/>
      <c r="O4097" s="8" t="n"/>
      <c r="P4097" s="8" t="n"/>
      <c r="Q4097" s="8" t="n"/>
      <c r="R4097" s="8" t="n"/>
      <c r="S4097" s="8" t="n"/>
      <c r="T4097" s="7" t="inlineStr">
        <is>
          <t>SEM COTAÇÃO</t>
        </is>
      </c>
      <c r="U4097" s="8" t="n"/>
      <c r="V4097" s="14" t="n"/>
      <c r="W4097" s="14" t="n"/>
      <c r="X4097" s="7" t="inlineStr"/>
      <c r="Y4097" s="7" t="inlineStr"/>
    </row>
    <row r="4098">
      <c r="A4098" s="7" t="n">
        <v>596921</v>
      </c>
      <c r="B4098" s="12" t="inlineStr">
        <is>
          <t>7891150081062</t>
        </is>
      </c>
      <c r="C4098" s="7" t="inlineStr">
        <is>
          <t>SH DOVE POD PL FORC BAMB 300ML</t>
        </is>
      </c>
      <c r="D4098" s="7" t="inlineStr">
        <is>
          <t>COND/SHAM/CREM/SIMILARES</t>
        </is>
      </c>
      <c r="E4098" s="7" t="inlineStr">
        <is>
          <t>C</t>
        </is>
      </c>
      <c r="F4098" s="13" t="n">
        <v>1</v>
      </c>
      <c r="G4098" s="13" t="n">
        <v>1</v>
      </c>
      <c r="H4098" s="8" t="n">
        <v>15.68</v>
      </c>
      <c r="I4098" s="8" t="n">
        <v>15.68</v>
      </c>
      <c r="J4098" s="8" t="n">
        <v>15.68</v>
      </c>
      <c r="K4098" s="8" t="n"/>
      <c r="L4098" s="8" t="n"/>
      <c r="M4098" s="8" t="n"/>
      <c r="N4098" s="8" t="n"/>
      <c r="O4098" s="8" t="n"/>
      <c r="P4098" s="8" t="n"/>
      <c r="Q4098" s="8" t="n"/>
      <c r="R4098" s="8" t="n"/>
      <c r="S4098" s="8" t="n"/>
      <c r="T4098" s="7" t="inlineStr">
        <is>
          <t>SEM COTAÇÃO</t>
        </is>
      </c>
      <c r="U4098" s="8" t="n"/>
      <c r="V4098" s="14" t="n"/>
      <c r="W4098" s="14" t="n"/>
      <c r="X4098" s="7" t="inlineStr"/>
      <c r="Y4098" s="7" t="inlineStr"/>
    </row>
    <row r="4099">
      <c r="A4099" s="7" t="n">
        <v>571141</v>
      </c>
      <c r="B4099" s="12" t="inlineStr">
        <is>
          <t>7891150008953</t>
        </is>
      </c>
      <c r="C4099" s="7" t="inlineStr">
        <is>
          <t>SH DOVE REC COMPLETA 200ML</t>
        </is>
      </c>
      <c r="D4099" s="7" t="inlineStr">
        <is>
          <t>PERF/COSME</t>
        </is>
      </c>
      <c r="E4099" s="7" t="inlineStr">
        <is>
          <t>C</t>
        </is>
      </c>
      <c r="F4099" s="13" t="n">
        <v>1</v>
      </c>
      <c r="G4099" s="13" t="n">
        <v>1</v>
      </c>
      <c r="H4099" s="8" t="n">
        <v>11.81</v>
      </c>
      <c r="I4099" s="8" t="n">
        <v>11.81</v>
      </c>
      <c r="J4099" s="8" t="n">
        <v>11.81</v>
      </c>
      <c r="K4099" s="8" t="n"/>
      <c r="L4099" s="8" t="n"/>
      <c r="M4099" s="8" t="n"/>
      <c r="N4099" s="8" t="n"/>
      <c r="O4099" s="8" t="n"/>
      <c r="P4099" s="8" t="n"/>
      <c r="Q4099" s="8" t="n"/>
      <c r="R4099" s="8" t="n"/>
      <c r="S4099" s="8" t="n"/>
      <c r="T4099" s="7" t="inlineStr">
        <is>
          <t>SEM COTAÇÃO</t>
        </is>
      </c>
      <c r="U4099" s="8" t="n"/>
      <c r="V4099" s="14" t="n"/>
      <c r="W4099" s="14" t="n"/>
      <c r="X4099" s="7" t="inlineStr"/>
      <c r="Y4099" s="7" t="inlineStr"/>
    </row>
    <row r="4100">
      <c r="A4100" s="7" t="n">
        <v>596911</v>
      </c>
      <c r="B4100" s="12" t="inlineStr">
        <is>
          <t>7891150043251</t>
        </is>
      </c>
      <c r="C4100" s="7" t="inlineStr">
        <is>
          <t>SH DOVE RECUPER EXTREMA 200ML</t>
        </is>
      </c>
      <c r="D4100" s="7" t="inlineStr">
        <is>
          <t>COND/SHAM/CREM/SIMILARES</t>
        </is>
      </c>
      <c r="E4100" s="7" t="inlineStr">
        <is>
          <t>C</t>
        </is>
      </c>
      <c r="F4100" s="13" t="n">
        <v>1</v>
      </c>
      <c r="G4100" s="13" t="n">
        <v>1</v>
      </c>
      <c r="H4100" s="8" t="n">
        <v>10.29</v>
      </c>
      <c r="I4100" s="8" t="n">
        <v>10.29</v>
      </c>
      <c r="J4100" s="8" t="n">
        <v>10.29</v>
      </c>
      <c r="K4100" s="8" t="n"/>
      <c r="L4100" s="8" t="n"/>
      <c r="M4100" s="8" t="n"/>
      <c r="N4100" s="8" t="n"/>
      <c r="O4100" s="8" t="n"/>
      <c r="P4100" s="8" t="n"/>
      <c r="Q4100" s="8" t="n"/>
      <c r="R4100" s="8" t="n"/>
      <c r="S4100" s="8" t="n"/>
      <c r="T4100" s="7" t="inlineStr">
        <is>
          <t>SEM COTAÇÃO</t>
        </is>
      </c>
      <c r="U4100" s="8" t="n"/>
      <c r="V4100" s="14" t="n"/>
      <c r="W4100" s="14" t="n"/>
      <c r="X4100" s="7" t="inlineStr"/>
      <c r="Y4100" s="7" t="inlineStr"/>
    </row>
    <row r="4101">
      <c r="A4101" s="7" t="n">
        <v>623111</v>
      </c>
      <c r="B4101" s="12" t="inlineStr"/>
      <c r="C4101" s="7" t="inlineStr">
        <is>
          <t>SH ELSEVE 200ML GLYCOLIC GLOSS</t>
        </is>
      </c>
      <c r="D4101" s="7" t="inlineStr">
        <is>
          <t>COND/SHAM/CREM/SIMILARES</t>
        </is>
      </c>
      <c r="E4101" s="7" t="inlineStr">
        <is>
          <t>B</t>
        </is>
      </c>
      <c r="F4101" s="13" t="n">
        <v>2</v>
      </c>
      <c r="G4101" s="13" t="n">
        <v>2</v>
      </c>
      <c r="H4101" s="8" t="n">
        <v>12.3533</v>
      </c>
      <c r="I4101" s="8" t="n">
        <v>10.7567</v>
      </c>
      <c r="J4101" s="8" t="n">
        <v>11.8211</v>
      </c>
      <c r="K4101" s="8" t="n"/>
      <c r="L4101" s="8" t="n"/>
      <c r="M4101" s="8" t="n"/>
      <c r="N4101" s="8" t="n"/>
      <c r="O4101" s="8" t="n"/>
      <c r="P4101" s="8" t="n"/>
      <c r="Q4101" s="8" t="n"/>
      <c r="R4101" s="8" t="n"/>
      <c r="S4101" s="8" t="n"/>
      <c r="T4101" s="7" t="inlineStr">
        <is>
          <t>SEM COTAÇÃO</t>
        </is>
      </c>
      <c r="U4101" s="8" t="n"/>
      <c r="V4101" s="14" t="n"/>
      <c r="W4101" s="14" t="n"/>
      <c r="X4101" s="7" t="inlineStr"/>
      <c r="Y4101" s="7" t="inlineStr"/>
    </row>
    <row r="4102">
      <c r="A4102" s="7" t="n">
        <v>609851</v>
      </c>
      <c r="B4102" s="12" t="inlineStr">
        <is>
          <t>7898587774314</t>
        </is>
      </c>
      <c r="C4102" s="7" t="inlineStr">
        <is>
          <t>SH ELSEVE 200ML OLEO EXTRAORD NUTRICAO</t>
        </is>
      </c>
      <c r="D4102" s="7" t="inlineStr">
        <is>
          <t>COND/SHAM/CREM/SIMILARES</t>
        </is>
      </c>
      <c r="E4102" s="7" t="inlineStr">
        <is>
          <t>B</t>
        </is>
      </c>
      <c r="F4102" s="13" t="n">
        <v>1</v>
      </c>
      <c r="G4102" s="13" t="n">
        <v>1</v>
      </c>
      <c r="H4102" s="8" t="n">
        <v>13.5</v>
      </c>
      <c r="I4102" s="8" t="n">
        <v>11.0167</v>
      </c>
      <c r="J4102" s="8" t="n">
        <v>12.67223333333333</v>
      </c>
      <c r="K4102" s="8" t="n"/>
      <c r="L4102" s="8" t="n"/>
      <c r="M4102" s="8" t="n"/>
      <c r="N4102" s="8" t="n"/>
      <c r="O4102" s="8" t="n"/>
      <c r="P4102" s="8" t="n">
        <v>14.37</v>
      </c>
      <c r="Q4102" s="8" t="n"/>
      <c r="R4102" s="8" t="n"/>
      <c r="S4102" s="8" t="n"/>
      <c r="T4102" s="7" t="inlineStr">
        <is>
          <t>SEM COTAÇÃO</t>
        </is>
      </c>
      <c r="U4102" s="8" t="n"/>
      <c r="V4102" s="14" t="n"/>
      <c r="W4102" s="14" t="n"/>
      <c r="X4102" s="7" t="inlineStr"/>
      <c r="Y4102" s="7" t="inlineStr">
        <is>
          <t>NAZARIA: sem estoque</t>
        </is>
      </c>
    </row>
    <row r="4103">
      <c r="A4103" s="7" t="n">
        <v>609861</v>
      </c>
      <c r="B4103" s="12" t="inlineStr"/>
      <c r="C4103" s="7" t="inlineStr">
        <is>
          <t>SH ELSEVE 200ML PURE HIALURONICO</t>
        </is>
      </c>
      <c r="D4103" s="7" t="inlineStr">
        <is>
          <t>COND/SHAM/CREM/SIMILARES</t>
        </is>
      </c>
      <c r="E4103" s="7" t="inlineStr">
        <is>
          <t>B</t>
        </is>
      </c>
      <c r="F4103" s="13" t="n">
        <v>1</v>
      </c>
      <c r="G4103" s="13" t="n">
        <v>1</v>
      </c>
      <c r="H4103" s="8" t="n">
        <v>14.04</v>
      </c>
      <c r="I4103" s="8" t="n">
        <v>11.0167</v>
      </c>
      <c r="J4103" s="8" t="n">
        <v>12.84556666666666</v>
      </c>
      <c r="K4103" s="8" t="n"/>
      <c r="L4103" s="8" t="n"/>
      <c r="M4103" s="8" t="n"/>
      <c r="N4103" s="8" t="n"/>
      <c r="O4103" s="8" t="n"/>
      <c r="P4103" s="8" t="n"/>
      <c r="Q4103" s="8" t="n"/>
      <c r="R4103" s="8" t="n"/>
      <c r="S4103" s="8" t="n"/>
      <c r="T4103" s="7" t="inlineStr">
        <is>
          <t>SEM COTAÇÃO</t>
        </is>
      </c>
      <c r="U4103" s="8" t="n"/>
      <c r="V4103" s="14" t="n"/>
      <c r="W4103" s="14" t="n"/>
      <c r="X4103" s="7" t="inlineStr"/>
      <c r="Y4103" s="7" t="inlineStr"/>
    </row>
    <row r="4104">
      <c r="A4104" s="7" t="n">
        <v>646301</v>
      </c>
      <c r="B4104" s="12" t="inlineStr">
        <is>
          <t>7899706244022</t>
        </is>
      </c>
      <c r="C4104" s="7" t="inlineStr">
        <is>
          <t>SH ELSEVE 300ML MICELAR PURE HIALURONICO</t>
        </is>
      </c>
      <c r="D4104" s="7" t="inlineStr">
        <is>
          <t>COND/SHAM/CREM/SIMILARES</t>
        </is>
      </c>
      <c r="E4104" s="7" t="inlineStr">
        <is>
          <t>C</t>
        </is>
      </c>
      <c r="F4104" s="13" t="n">
        <v>1</v>
      </c>
      <c r="G4104" s="13" t="n">
        <v>1</v>
      </c>
      <c r="H4104" s="8" t="n">
        <v>30.68</v>
      </c>
      <c r="I4104" s="8" t="n">
        <v>30.68</v>
      </c>
      <c r="J4104" s="8" t="n">
        <v>30.68</v>
      </c>
      <c r="K4104" s="8" t="n"/>
      <c r="L4104" s="8" t="n"/>
      <c r="M4104" s="8" t="n"/>
      <c r="N4104" s="8" t="n"/>
      <c r="O4104" s="8" t="n"/>
      <c r="P4104" s="8" t="n"/>
      <c r="Q4104" s="8" t="n"/>
      <c r="R4104" s="8" t="n"/>
      <c r="S4104" s="8" t="n"/>
      <c r="T4104" s="7" t="inlineStr">
        <is>
          <t>SEM COTAÇÃO</t>
        </is>
      </c>
      <c r="U4104" s="8" t="n"/>
      <c r="V4104" s="14" t="n"/>
      <c r="W4104" s="14" t="n"/>
      <c r="X4104" s="7" t="inlineStr"/>
      <c r="Y4104" s="7" t="inlineStr"/>
    </row>
    <row r="4105">
      <c r="A4105" s="7" t="n">
        <v>623061</v>
      </c>
      <c r="B4105" s="12" t="inlineStr">
        <is>
          <t>7899706244107</t>
        </is>
      </c>
      <c r="C4105" s="7" t="inlineStr">
        <is>
          <t>SH ELSEVE 400ML PURE HIALURONICO</t>
        </is>
      </c>
      <c r="D4105" s="7" t="inlineStr">
        <is>
          <t>COND/SHAM/CREM/SIMILARES</t>
        </is>
      </c>
      <c r="E4105" s="7" t="inlineStr">
        <is>
          <t>B</t>
        </is>
      </c>
      <c r="F4105" s="13" t="n">
        <v>4</v>
      </c>
      <c r="G4105" s="13" t="n">
        <v>4</v>
      </c>
      <c r="H4105" s="8" t="n">
        <v>25.82</v>
      </c>
      <c r="I4105" s="8" t="n">
        <v>25.82</v>
      </c>
      <c r="J4105" s="8" t="n">
        <v>25.82</v>
      </c>
      <c r="K4105" s="8" t="n"/>
      <c r="L4105" s="8" t="n"/>
      <c r="M4105" s="15" t="n">
        <v>21.03</v>
      </c>
      <c r="N4105" s="8" t="n"/>
      <c r="O4105" s="8" t="n"/>
      <c r="P4105" s="8" t="n">
        <v>26.42</v>
      </c>
      <c r="Q4105" s="8" t="n"/>
      <c r="R4105" s="8" t="n"/>
      <c r="S4105" s="8" t="n"/>
      <c r="T4105" s="7" t="inlineStr">
        <is>
          <t>EPAN</t>
        </is>
      </c>
      <c r="U4105" s="8" t="n">
        <v>21.03</v>
      </c>
      <c r="V4105" s="14">
        <f>U4105/J4105-1</f>
        <v/>
      </c>
      <c r="W4105" s="14">
        <f>U4105/H4105-1</f>
        <v/>
      </c>
      <c r="X4105" s="17" t="inlineStr">
        <is>
          <t>OK (≤ menor hist.)</t>
        </is>
      </c>
      <c r="Y4105" s="7" t="inlineStr"/>
    </row>
    <row r="4106">
      <c r="A4106" s="7" t="n">
        <v>672151</v>
      </c>
      <c r="B4106" s="12" t="inlineStr">
        <is>
          <t>7908966528404</t>
        </is>
      </c>
      <c r="C4106" s="7" t="inlineStr">
        <is>
          <t>SH ELSEVE COLAGENO 200ML-DEMAIS PROD</t>
        </is>
      </c>
      <c r="D4106" s="7" t="inlineStr">
        <is>
          <t>COND/SHAM/CREM/SIMILARES</t>
        </is>
      </c>
      <c r="E4106" s="7" t="inlineStr">
        <is>
          <t>C</t>
        </is>
      </c>
      <c r="F4106" s="13" t="n">
        <v>2</v>
      </c>
      <c r="G4106" s="13" t="n">
        <v>2</v>
      </c>
      <c r="H4106" s="8" t="n">
        <v>14.9</v>
      </c>
      <c r="I4106" s="8" t="n">
        <v>12.96</v>
      </c>
      <c r="J4106" s="8" t="n">
        <v>12.96</v>
      </c>
      <c r="K4106" s="8" t="n"/>
      <c r="L4106" s="8" t="n"/>
      <c r="M4106" s="8" t="n"/>
      <c r="N4106" s="8" t="n"/>
      <c r="O4106" s="8" t="n"/>
      <c r="P4106" s="15" t="n">
        <v>14.37</v>
      </c>
      <c r="Q4106" s="8" t="n"/>
      <c r="R4106" s="8" t="n"/>
      <c r="S4106" s="8" t="n"/>
      <c r="T4106" s="7" t="inlineStr">
        <is>
          <t>NAZARIA</t>
        </is>
      </c>
      <c r="U4106" s="8" t="n">
        <v>14.37</v>
      </c>
      <c r="V4106" s="14">
        <f>U4106/J4106-1</f>
        <v/>
      </c>
      <c r="W4106" s="14">
        <f>U4106/H4106-1</f>
        <v/>
      </c>
      <c r="X4106" s="17" t="inlineStr">
        <is>
          <t>OK (≤ últ. compra)</t>
        </is>
      </c>
      <c r="Y4106" s="7" t="inlineStr"/>
    </row>
    <row r="4107">
      <c r="A4107" s="7" t="n">
        <v>617041</v>
      </c>
      <c r="B4107" s="12" t="inlineStr">
        <is>
          <t>7899706133371</t>
        </is>
      </c>
      <c r="C4107" s="7" t="inlineStr">
        <is>
          <t>SH ELSEVE HYDRA DETOX 200ML</t>
        </is>
      </c>
      <c r="D4107" s="7" t="inlineStr">
        <is>
          <t>COND/SHAM/CREM/SIMILARES</t>
        </is>
      </c>
      <c r="E4107" s="7" t="inlineStr">
        <is>
          <t>C</t>
        </is>
      </c>
      <c r="F4107" s="13" t="n">
        <v>1</v>
      </c>
      <c r="G4107" s="13" t="n">
        <v>1</v>
      </c>
      <c r="H4107" s="8" t="n">
        <v>12.85</v>
      </c>
      <c r="I4107" s="8" t="n">
        <v>12.85</v>
      </c>
      <c r="J4107" s="8" t="n">
        <v>12.85</v>
      </c>
      <c r="K4107" s="8" t="n"/>
      <c r="L4107" s="8" t="n"/>
      <c r="M4107" s="8" t="n"/>
      <c r="N4107" s="8" t="n"/>
      <c r="O4107" s="8" t="n"/>
      <c r="P4107" s="8" t="n"/>
      <c r="Q4107" s="8" t="n"/>
      <c r="R4107" s="8" t="n"/>
      <c r="S4107" s="8" t="n"/>
      <c r="T4107" s="7" t="inlineStr">
        <is>
          <t>SEM COTAÇÃO</t>
        </is>
      </c>
      <c r="U4107" s="8" t="n"/>
      <c r="V4107" s="14" t="n"/>
      <c r="W4107" s="14" t="n"/>
      <c r="X4107" s="7" t="inlineStr"/>
      <c r="Y4107" s="7" t="inlineStr"/>
    </row>
    <row r="4108">
      <c r="A4108" s="7" t="n">
        <v>656971</v>
      </c>
      <c r="B4108" s="12" t="inlineStr">
        <is>
          <t>7908785461753</t>
        </is>
      </c>
      <c r="C4108" s="7" t="inlineStr">
        <is>
          <t>SH ELSEVE LISO SONHOS 2025 200ML-DEMAIS PROD</t>
        </is>
      </c>
      <c r="D4108" s="7" t="inlineStr">
        <is>
          <t>PERF/COSME</t>
        </is>
      </c>
      <c r="E4108" s="7" t="inlineStr">
        <is>
          <t>A</t>
        </is>
      </c>
      <c r="F4108" s="13" t="n">
        <v>10</v>
      </c>
      <c r="G4108" s="13" t="n">
        <v>10</v>
      </c>
      <c r="H4108" s="8" t="n">
        <v>13.5</v>
      </c>
      <c r="I4108" s="8" t="n">
        <v>10.7567</v>
      </c>
      <c r="J4108" s="8" t="n">
        <v>12.58556666666667</v>
      </c>
      <c r="K4108" s="8" t="n"/>
      <c r="L4108" s="8" t="n"/>
      <c r="M4108" s="8" t="n"/>
      <c r="N4108" s="8" t="n"/>
      <c r="O4108" s="8" t="n"/>
      <c r="P4108" s="15" t="n">
        <v>14.37</v>
      </c>
      <c r="Q4108" s="8" t="n"/>
      <c r="R4108" s="8" t="n"/>
      <c r="S4108" s="8" t="n"/>
      <c r="T4108" s="7" t="inlineStr">
        <is>
          <t>NAZARIA</t>
        </is>
      </c>
      <c r="U4108" s="8" t="n">
        <v>14.37</v>
      </c>
      <c r="V4108" s="14">
        <f>U4108/J4108-1</f>
        <v/>
      </c>
      <c r="W4108" s="14">
        <f>U4108/H4108-1</f>
        <v/>
      </c>
      <c r="X4108" s="16" t="inlineStr">
        <is>
          <t>ACIMA +6.4%</t>
        </is>
      </c>
      <c r="Y4108" s="7" t="inlineStr"/>
    </row>
    <row r="4109">
      <c r="A4109" s="7" t="n">
        <v>617401</v>
      </c>
      <c r="B4109" s="12" t="inlineStr">
        <is>
          <t>7500435176866</t>
        </is>
      </c>
      <c r="C4109" s="7" t="inlineStr">
        <is>
          <t>SH H&amp;S FORCA NA RAIZ 200ML</t>
        </is>
      </c>
      <c r="D4109" s="7" t="inlineStr">
        <is>
          <t>PERF/COSME</t>
        </is>
      </c>
      <c r="E4109" s="7" t="inlineStr">
        <is>
          <t>C</t>
        </is>
      </c>
      <c r="F4109" s="13" t="n">
        <v>1</v>
      </c>
      <c r="G4109" s="13" t="n">
        <v>1</v>
      </c>
      <c r="H4109" s="8" t="n">
        <v>17.23</v>
      </c>
      <c r="I4109" s="8" t="n">
        <v>17.23</v>
      </c>
      <c r="J4109" s="8" t="n">
        <v>17.23</v>
      </c>
      <c r="K4109" s="8" t="n"/>
      <c r="L4109" s="8" t="n"/>
      <c r="M4109" s="8" t="n"/>
      <c r="N4109" s="8" t="n"/>
      <c r="O4109" s="8" t="n"/>
      <c r="P4109" s="8" t="n"/>
      <c r="Q4109" s="8" t="n"/>
      <c r="R4109" s="8" t="n"/>
      <c r="S4109" s="8" t="n"/>
      <c r="T4109" s="7" t="inlineStr">
        <is>
          <t>SEM COTAÇÃO</t>
        </is>
      </c>
      <c r="U4109" s="8" t="n"/>
      <c r="V4109" s="14" t="n"/>
      <c r="W4109" s="14" t="n"/>
      <c r="X4109" s="7" t="inlineStr"/>
      <c r="Y4109" s="7" t="inlineStr"/>
    </row>
    <row r="4110">
      <c r="A4110" s="7" t="n">
        <v>638631</v>
      </c>
      <c r="B4110" s="12" t="inlineStr">
        <is>
          <t>7500435242615</t>
        </is>
      </c>
      <c r="C4110" s="7" t="inlineStr">
        <is>
          <t>SH H&amp;S LIMPEZA EFICAZ 200ML</t>
        </is>
      </c>
      <c r="D4110" s="7" t="inlineStr">
        <is>
          <t>COND/SHAM/CREM/SIMILARES</t>
        </is>
      </c>
      <c r="E4110" s="7" t="inlineStr">
        <is>
          <t>C</t>
        </is>
      </c>
      <c r="F4110" s="13" t="n">
        <v>1</v>
      </c>
      <c r="G4110" s="13" t="n">
        <v>1</v>
      </c>
      <c r="H4110" s="8" t="n">
        <v>14.39</v>
      </c>
      <c r="I4110" s="8" t="n">
        <v>14.39</v>
      </c>
      <c r="J4110" s="8" t="n">
        <v>14.39</v>
      </c>
      <c r="K4110" s="8" t="n"/>
      <c r="L4110" s="8" t="n"/>
      <c r="M4110" s="8" t="n"/>
      <c r="N4110" s="8" t="n"/>
      <c r="O4110" s="8" t="n"/>
      <c r="P4110" s="8" t="n"/>
      <c r="Q4110" s="8" t="n"/>
      <c r="R4110" s="8" t="n"/>
      <c r="S4110" s="8" t="n"/>
      <c r="T4110" s="7" t="inlineStr">
        <is>
          <t>SEM COTAÇÃO</t>
        </is>
      </c>
      <c r="U4110" s="8" t="n"/>
      <c r="V4110" s="14" t="n"/>
      <c r="W4110" s="14" t="n"/>
      <c r="X4110" s="7" t="inlineStr"/>
      <c r="Y4110" s="7" t="inlineStr"/>
    </row>
    <row r="4111">
      <c r="A4111" s="7" t="n">
        <v>638551</v>
      </c>
      <c r="B4111" s="12" t="inlineStr">
        <is>
          <t>7896512973771</t>
        </is>
      </c>
      <c r="C4111" s="7" t="inlineStr">
        <is>
          <t>SH INF GRANADO BEBE 250ML TRADIC-REF</t>
        </is>
      </c>
      <c r="D4111" s="7" t="inlineStr">
        <is>
          <t>BABY/KIDS</t>
        </is>
      </c>
      <c r="E4111" s="7" t="inlineStr">
        <is>
          <t>B</t>
        </is>
      </c>
      <c r="F4111" s="13" t="n">
        <v>3</v>
      </c>
      <c r="G4111" s="13" t="n">
        <v>3</v>
      </c>
      <c r="H4111" s="8" t="n">
        <v>11.5292</v>
      </c>
      <c r="I4111" s="8" t="n">
        <v>11.5292</v>
      </c>
      <c r="J4111" s="8" t="n">
        <v>11.5292</v>
      </c>
      <c r="K4111" s="8" t="n"/>
      <c r="L4111" s="8" t="n"/>
      <c r="M4111" s="8" t="n"/>
      <c r="N4111" s="8" t="n"/>
      <c r="O4111" s="8" t="n"/>
      <c r="P4111" s="15" t="n">
        <v>12.81</v>
      </c>
      <c r="Q4111" s="8" t="n"/>
      <c r="R4111" s="8" t="n"/>
      <c r="S4111" s="8" t="n"/>
      <c r="T4111" s="7" t="inlineStr">
        <is>
          <t>NAZARIA</t>
        </is>
      </c>
      <c r="U4111" s="8" t="n">
        <v>12.81</v>
      </c>
      <c r="V4111" s="14">
        <f>U4111/J4111-1</f>
        <v/>
      </c>
      <c r="W4111" s="14">
        <f>U4111/H4111-1</f>
        <v/>
      </c>
      <c r="X4111" s="16" t="inlineStr">
        <is>
          <t>ACIMA +11.1%</t>
        </is>
      </c>
      <c r="Y4111" s="7" t="inlineStr"/>
    </row>
    <row r="4112">
      <c r="A4112" s="7" t="n">
        <v>659421</v>
      </c>
      <c r="B4112" s="12" t="inlineStr">
        <is>
          <t>7891010256494</t>
        </is>
      </c>
      <c r="C4112" s="7" t="inlineStr">
        <is>
          <t>SH INF JS BABY 180ML CHEIRINHO PROL -REF</t>
        </is>
      </c>
      <c r="D4112" s="7" t="inlineStr">
        <is>
          <t>BABY/KIDS</t>
        </is>
      </c>
      <c r="E4112" s="7" t="inlineStr">
        <is>
          <t>C</t>
        </is>
      </c>
      <c r="F4112" s="13" t="n">
        <v>1</v>
      </c>
      <c r="G4112" s="13" t="n">
        <v>1</v>
      </c>
      <c r="H4112" s="8" t="n">
        <v>13.44</v>
      </c>
      <c r="I4112" s="8" t="n">
        <v>13.44</v>
      </c>
      <c r="J4112" s="8" t="n">
        <v>13.44</v>
      </c>
      <c r="K4112" s="8" t="n"/>
      <c r="L4112" s="8" t="n"/>
      <c r="M4112" s="8" t="n"/>
      <c r="N4112" s="8" t="n"/>
      <c r="O4112" s="8" t="n"/>
      <c r="P4112" s="15" t="n">
        <v>14.88</v>
      </c>
      <c r="Q4112" s="8" t="n"/>
      <c r="R4112" s="8" t="n"/>
      <c r="S4112" s="8" t="n"/>
      <c r="T4112" s="7" t="inlineStr">
        <is>
          <t>NAZARIA</t>
        </is>
      </c>
      <c r="U4112" s="8" t="n">
        <v>14.88</v>
      </c>
      <c r="V4112" s="14">
        <f>U4112/J4112-1</f>
        <v/>
      </c>
      <c r="W4112" s="14">
        <f>U4112/H4112-1</f>
        <v/>
      </c>
      <c r="X4112" s="16" t="inlineStr">
        <is>
          <t>ACIMA +10.7%</t>
        </is>
      </c>
      <c r="Y4112" s="7" t="inlineStr"/>
    </row>
    <row r="4113">
      <c r="A4113" s="7" t="n">
        <v>651641</v>
      </c>
      <c r="B4113" s="12" t="inlineStr">
        <is>
          <t>7896227690376</t>
        </is>
      </c>
      <c r="C4113" s="7" t="inlineStr">
        <is>
          <t>SH INF SNOOPY 200ML ALGODAO</t>
        </is>
      </c>
      <c r="D4113" s="7" t="inlineStr">
        <is>
          <t>DESATIVADO</t>
        </is>
      </c>
      <c r="E4113" s="7" t="inlineStr">
        <is>
          <t>C</t>
        </is>
      </c>
      <c r="F4113" s="13" t="n">
        <v>2</v>
      </c>
      <c r="G4113" s="13" t="n">
        <v>2</v>
      </c>
      <c r="H4113" s="8" t="n">
        <v>10.34</v>
      </c>
      <c r="I4113" s="8" t="n">
        <v>10.34</v>
      </c>
      <c r="J4113" s="8" t="n">
        <v>10.34</v>
      </c>
      <c r="K4113" s="8" t="n"/>
      <c r="L4113" s="8" t="n"/>
      <c r="M4113" s="8" t="n"/>
      <c r="N4113" s="8" t="n"/>
      <c r="O4113" s="8" t="n"/>
      <c r="P4113" s="8" t="n"/>
      <c r="Q4113" s="8" t="n"/>
      <c r="R4113" s="8" t="n"/>
      <c r="S4113" s="8" t="n"/>
      <c r="T4113" s="7" t="inlineStr">
        <is>
          <t>SEM COTAÇÃO</t>
        </is>
      </c>
      <c r="U4113" s="8" t="n"/>
      <c r="V4113" s="14" t="n"/>
      <c r="W4113" s="14" t="n"/>
      <c r="X4113" s="7" t="inlineStr"/>
      <c r="Y4113" s="7" t="inlineStr"/>
    </row>
    <row r="4114">
      <c r="A4114" s="7" t="n">
        <v>651761</v>
      </c>
      <c r="B4114" s="12" t="inlineStr">
        <is>
          <t>7896227690338</t>
        </is>
      </c>
      <c r="C4114" s="7" t="inlineStr">
        <is>
          <t>SH INF SNOOPY 200ML CAMOMILA</t>
        </is>
      </c>
      <c r="D4114" s="7" t="inlineStr">
        <is>
          <t>BABY/KIDS</t>
        </is>
      </c>
      <c r="E4114" s="7" t="inlineStr">
        <is>
          <t>C</t>
        </is>
      </c>
      <c r="F4114" s="13" t="n">
        <v>1</v>
      </c>
      <c r="G4114" s="13" t="n">
        <v>1</v>
      </c>
      <c r="H4114" s="8" t="n">
        <v>10.34</v>
      </c>
      <c r="I4114" s="8" t="n">
        <v>10.34</v>
      </c>
      <c r="J4114" s="8" t="n">
        <v>10.34</v>
      </c>
      <c r="K4114" s="8" t="n"/>
      <c r="L4114" s="8" t="n"/>
      <c r="M4114" s="8" t="n"/>
      <c r="N4114" s="8" t="n"/>
      <c r="O4114" s="8" t="n"/>
      <c r="P4114" s="8" t="n"/>
      <c r="Q4114" s="8" t="n"/>
      <c r="R4114" s="8" t="n"/>
      <c r="S4114" s="8" t="n"/>
      <c r="T4114" s="7" t="inlineStr">
        <is>
          <t>SEM COTAÇÃO</t>
        </is>
      </c>
      <c r="U4114" s="8" t="n"/>
      <c r="V4114" s="14" t="n"/>
      <c r="W4114" s="14" t="n"/>
      <c r="X4114" s="7" t="inlineStr"/>
      <c r="Y4114" s="7" t="inlineStr"/>
    </row>
    <row r="4115">
      <c r="A4115" s="7" t="n">
        <v>2453</v>
      </c>
      <c r="B4115" s="12" t="inlineStr">
        <is>
          <t>7896916782269</t>
        </is>
      </c>
      <c r="C4115" s="7" t="inlineStr">
        <is>
          <t>SH OX 200ML LISOS</t>
        </is>
      </c>
      <c r="D4115" s="7" t="inlineStr">
        <is>
          <t>PERF/COSME</t>
        </is>
      </c>
      <c r="E4115" s="7" t="inlineStr">
        <is>
          <t>B</t>
        </is>
      </c>
      <c r="F4115" s="13" t="n">
        <v>2</v>
      </c>
      <c r="G4115" s="13" t="n">
        <v>2</v>
      </c>
      <c r="H4115" s="8" t="n">
        <v>14.4</v>
      </c>
      <c r="I4115" s="8" t="n">
        <v>13.1</v>
      </c>
      <c r="J4115" s="8" t="n">
        <v>13.96666666666667</v>
      </c>
      <c r="K4115" s="8" t="n"/>
      <c r="L4115" s="8" t="n"/>
      <c r="M4115" s="8" t="n"/>
      <c r="N4115" s="8" t="n"/>
      <c r="O4115" s="8" t="n"/>
      <c r="P4115" s="8" t="n"/>
      <c r="Q4115" s="8" t="n"/>
      <c r="R4115" s="8" t="n"/>
      <c r="S4115" s="8" t="n"/>
      <c r="T4115" s="7" t="inlineStr">
        <is>
          <t>SEM COTAÇÃO</t>
        </is>
      </c>
      <c r="U4115" s="8" t="n"/>
      <c r="V4115" s="14" t="n"/>
      <c r="W4115" s="14" t="n"/>
      <c r="X4115" s="7" t="inlineStr"/>
      <c r="Y4115" s="7" t="inlineStr"/>
    </row>
    <row r="4116">
      <c r="A4116" s="7" t="n">
        <v>649651</v>
      </c>
      <c r="B4116" s="12" t="inlineStr">
        <is>
          <t>7897664168213</t>
        </is>
      </c>
      <c r="C4116" s="7" t="inlineStr">
        <is>
          <t>SH OX 400ML NUTRE</t>
        </is>
      </c>
      <c r="D4116" s="7" t="inlineStr">
        <is>
          <t>COND/SHAM/CREM/SIMILARES</t>
        </is>
      </c>
      <c r="E4116" s="7" t="inlineStr">
        <is>
          <t>B</t>
        </is>
      </c>
      <c r="F4116" s="13" t="n">
        <v>1</v>
      </c>
      <c r="G4116" s="13" t="n">
        <v>1</v>
      </c>
      <c r="H4116" s="8" t="n">
        <v>21.21</v>
      </c>
      <c r="I4116" s="8" t="n">
        <v>21.21</v>
      </c>
      <c r="J4116" s="8" t="n">
        <v>21.21</v>
      </c>
      <c r="K4116" s="8" t="n"/>
      <c r="L4116" s="8" t="n"/>
      <c r="M4116" s="8" t="n"/>
      <c r="N4116" s="8" t="n"/>
      <c r="O4116" s="8" t="n"/>
      <c r="P4116" s="8" t="n"/>
      <c r="Q4116" s="8" t="n"/>
      <c r="R4116" s="8" t="n"/>
      <c r="S4116" s="8" t="n"/>
      <c r="T4116" s="7" t="inlineStr">
        <is>
          <t>SEM COTAÇÃO</t>
        </is>
      </c>
      <c r="U4116" s="8" t="n"/>
      <c r="V4116" s="14" t="n"/>
      <c r="W4116" s="14" t="n"/>
      <c r="X4116" s="7" t="inlineStr"/>
      <c r="Y4116" s="7" t="inlineStr"/>
    </row>
    <row r="4117">
      <c r="A4117" s="7" t="n">
        <v>638461</v>
      </c>
      <c r="B4117" s="12" t="inlineStr">
        <is>
          <t>7908324405149</t>
        </is>
      </c>
      <c r="C4117" s="7" t="inlineStr">
        <is>
          <t>SH OX 500ML VITA GLOW</t>
        </is>
      </c>
      <c r="D4117" s="7" t="inlineStr">
        <is>
          <t>COND/SHAM/CREM/SIMILARES</t>
        </is>
      </c>
      <c r="E4117" s="7" t="inlineStr">
        <is>
          <t>A</t>
        </is>
      </c>
      <c r="F4117" s="13" t="n">
        <v>2</v>
      </c>
      <c r="G4117" s="13" t="n">
        <v>2</v>
      </c>
      <c r="H4117" s="8" t="n">
        <v>25.28</v>
      </c>
      <c r="I4117" s="8" t="n">
        <v>25.27</v>
      </c>
      <c r="J4117" s="8" t="n">
        <v>25.27666666666667</v>
      </c>
      <c r="K4117" s="8" t="n"/>
      <c r="L4117" s="8" t="n"/>
      <c r="M4117" s="8" t="n"/>
      <c r="N4117" s="8" t="n"/>
      <c r="O4117" s="8" t="n"/>
      <c r="P4117" s="8" t="n"/>
      <c r="Q4117" s="8" t="n"/>
      <c r="R4117" s="8" t="n"/>
      <c r="S4117" s="8" t="n"/>
      <c r="T4117" s="7" t="inlineStr">
        <is>
          <t>SEM COTAÇÃO</t>
        </is>
      </c>
      <c r="U4117" s="8" t="n"/>
      <c r="V4117" s="14" t="n"/>
      <c r="W4117" s="14" t="n"/>
      <c r="X4117" s="7" t="inlineStr"/>
      <c r="Y4117" s="7" t="inlineStr"/>
    </row>
    <row r="4118">
      <c r="A4118" s="7" t="n">
        <v>569361</v>
      </c>
      <c r="B4118" s="12" t="inlineStr">
        <is>
          <t>7891150060685</t>
        </is>
      </c>
      <c r="C4118" s="7" t="inlineStr">
        <is>
          <t>SH SEDA BABOSA + OLEOS 325ML</t>
        </is>
      </c>
      <c r="D4118" s="7" t="inlineStr">
        <is>
          <t>PERF/COSME</t>
        </is>
      </c>
      <c r="E4118" s="7" t="inlineStr">
        <is>
          <t>C</t>
        </is>
      </c>
      <c r="F4118" s="13" t="n">
        <v>1</v>
      </c>
      <c r="G4118" s="13" t="n">
        <v>1</v>
      </c>
      <c r="H4118" s="8" t="n">
        <v>9.255000000000001</v>
      </c>
      <c r="I4118" s="8" t="n">
        <v>9.255000000000001</v>
      </c>
      <c r="J4118" s="8" t="n">
        <v>9.255000000000001</v>
      </c>
      <c r="K4118" s="8" t="n"/>
      <c r="L4118" s="8" t="n"/>
      <c r="M4118" s="8" t="n"/>
      <c r="N4118" s="8" t="n"/>
      <c r="O4118" s="8" t="n"/>
      <c r="P4118" s="8" t="n"/>
      <c r="Q4118" s="8" t="n"/>
      <c r="R4118" s="8" t="n"/>
      <c r="S4118" s="8" t="n"/>
      <c r="T4118" s="7" t="inlineStr">
        <is>
          <t>SEM COTAÇÃO</t>
        </is>
      </c>
      <c r="U4118" s="8" t="n"/>
      <c r="V4118" s="14" t="n"/>
      <c r="W4118" s="14" t="n"/>
      <c r="X4118" s="7" t="inlineStr"/>
      <c r="Y4118" s="7" t="inlineStr"/>
    </row>
    <row r="4119">
      <c r="A4119" s="7" t="n">
        <v>596881</v>
      </c>
      <c r="B4119" s="12" t="inlineStr">
        <is>
          <t>7891150088467</t>
        </is>
      </c>
      <c r="C4119" s="7" t="inlineStr">
        <is>
          <t>SH SEDA BOOM PRO CURV 300ML</t>
        </is>
      </c>
      <c r="D4119" s="7" t="inlineStr">
        <is>
          <t>COND/SHAM/CREM/SIMILARES</t>
        </is>
      </c>
      <c r="E4119" s="7" t="inlineStr">
        <is>
          <t>C</t>
        </is>
      </c>
      <c r="F4119" s="13" t="n">
        <v>1</v>
      </c>
      <c r="G4119" s="13" t="n">
        <v>1</v>
      </c>
      <c r="H4119" s="8" t="n">
        <v>9.18</v>
      </c>
      <c r="I4119" s="8" t="n">
        <v>9.18</v>
      </c>
      <c r="J4119" s="8" t="n">
        <v>9.18</v>
      </c>
      <c r="K4119" s="8" t="n"/>
      <c r="L4119" s="8" t="n"/>
      <c r="M4119" s="8" t="n"/>
      <c r="N4119" s="8" t="n"/>
      <c r="O4119" s="8" t="n"/>
      <c r="P4119" s="8" t="n"/>
      <c r="Q4119" s="8" t="n"/>
      <c r="R4119" s="8" t="n"/>
      <c r="S4119" s="8" t="n"/>
      <c r="T4119" s="7" t="inlineStr">
        <is>
          <t>SEM COTAÇÃO</t>
        </is>
      </c>
      <c r="U4119" s="8" t="n"/>
      <c r="V4119" s="14" t="n"/>
      <c r="W4119" s="14" t="n"/>
      <c r="X4119" s="7" t="inlineStr"/>
      <c r="Y4119" s="7" t="inlineStr"/>
    </row>
    <row r="4120">
      <c r="A4120" s="7" t="n">
        <v>569401</v>
      </c>
      <c r="B4120" s="12" t="inlineStr">
        <is>
          <t>7891150037595</t>
        </is>
      </c>
      <c r="C4120" s="7" t="inlineStr">
        <is>
          <t>SH SEDA CACHOS DEFINID.325ML</t>
        </is>
      </c>
      <c r="D4120" s="7" t="inlineStr">
        <is>
          <t>PERF/COSME</t>
        </is>
      </c>
      <c r="E4120" s="7" t="inlineStr">
        <is>
          <t>C</t>
        </is>
      </c>
      <c r="F4120" s="13" t="n">
        <v>1</v>
      </c>
      <c r="G4120" s="13" t="n">
        <v>1</v>
      </c>
      <c r="H4120" s="8" t="n">
        <v>9.6333</v>
      </c>
      <c r="I4120" s="8" t="n">
        <v>9.6333</v>
      </c>
      <c r="J4120" s="8" t="n">
        <v>9.6333</v>
      </c>
      <c r="K4120" s="8" t="n"/>
      <c r="L4120" s="8" t="n"/>
      <c r="M4120" s="8" t="n"/>
      <c r="N4120" s="8" t="n"/>
      <c r="O4120" s="8" t="n"/>
      <c r="P4120" s="15" t="n">
        <v>10.52</v>
      </c>
      <c r="Q4120" s="8" t="n"/>
      <c r="R4120" s="8" t="n"/>
      <c r="S4120" s="8" t="n"/>
      <c r="T4120" s="7" t="inlineStr">
        <is>
          <t>NAZARIA</t>
        </is>
      </c>
      <c r="U4120" s="8" t="n">
        <v>10.52</v>
      </c>
      <c r="V4120" s="14">
        <f>U4120/J4120-1</f>
        <v/>
      </c>
      <c r="W4120" s="14">
        <f>U4120/H4120-1</f>
        <v/>
      </c>
      <c r="X4120" s="16" t="inlineStr">
        <is>
          <t>ACIMA +9.2%</t>
        </is>
      </c>
      <c r="Y4120" s="7" t="inlineStr"/>
    </row>
    <row r="4121">
      <c r="A4121" s="7" t="n">
        <v>590001</v>
      </c>
      <c r="B4121" s="12" t="inlineStr">
        <is>
          <t>7891150037397</t>
        </is>
      </c>
      <c r="C4121" s="7" t="inlineStr">
        <is>
          <t>SH SEDA CERAMIDAS 325ML</t>
        </is>
      </c>
      <c r="D4121" s="7" t="inlineStr">
        <is>
          <t>PERF/COSME</t>
        </is>
      </c>
      <c r="E4121" s="7" t="inlineStr">
        <is>
          <t>C</t>
        </is>
      </c>
      <c r="F4121" s="13" t="n">
        <v>1</v>
      </c>
      <c r="G4121" s="13" t="n">
        <v>1</v>
      </c>
      <c r="H4121" s="8" t="n">
        <v>9.6333</v>
      </c>
      <c r="I4121" s="8" t="n">
        <v>9.255000000000001</v>
      </c>
      <c r="J4121" s="8" t="n">
        <v>9.507199999999999</v>
      </c>
      <c r="K4121" s="8" t="n"/>
      <c r="L4121" s="8" t="n"/>
      <c r="M4121" s="8" t="n"/>
      <c r="N4121" s="8" t="n"/>
      <c r="O4121" s="8" t="n"/>
      <c r="P4121" s="15" t="n">
        <v>10.52</v>
      </c>
      <c r="Q4121" s="8" t="n"/>
      <c r="R4121" s="8" t="n"/>
      <c r="S4121" s="8" t="n"/>
      <c r="T4121" s="7" t="inlineStr">
        <is>
          <t>NAZARIA</t>
        </is>
      </c>
      <c r="U4121" s="8" t="n">
        <v>10.52</v>
      </c>
      <c r="V4121" s="14">
        <f>U4121/J4121-1</f>
        <v/>
      </c>
      <c r="W4121" s="14">
        <f>U4121/H4121-1</f>
        <v/>
      </c>
      <c r="X4121" s="16" t="inlineStr">
        <is>
          <t>ACIMA +9.2%</t>
        </is>
      </c>
      <c r="Y4121" s="7" t="inlineStr"/>
    </row>
    <row r="4122">
      <c r="A4122" s="7" t="n">
        <v>569441</v>
      </c>
      <c r="B4122" s="12" t="inlineStr">
        <is>
          <t>7891150037502</t>
        </is>
      </c>
      <c r="C4122" s="7" t="inlineStr">
        <is>
          <t>SH SEDA LISO EXTREMO 325ML</t>
        </is>
      </c>
      <c r="D4122" s="7" t="inlineStr">
        <is>
          <t>PERF/COSME</t>
        </is>
      </c>
      <c r="E4122" s="7" t="inlineStr">
        <is>
          <t>C</t>
        </is>
      </c>
      <c r="F4122" s="13" t="n">
        <v>1</v>
      </c>
      <c r="G4122" s="13" t="n">
        <v>1</v>
      </c>
      <c r="H4122" s="8" t="n">
        <v>9.18</v>
      </c>
      <c r="I4122" s="8" t="n">
        <v>9.18</v>
      </c>
      <c r="J4122" s="8" t="n">
        <v>9.18</v>
      </c>
      <c r="K4122" s="8" t="n"/>
      <c r="L4122" s="8" t="n"/>
      <c r="M4122" s="8" t="n"/>
      <c r="N4122" s="8" t="n"/>
      <c r="O4122" s="8" t="n"/>
      <c r="P4122" s="8" t="n"/>
      <c r="Q4122" s="8" t="n"/>
      <c r="R4122" s="8" t="n"/>
      <c r="S4122" s="8" t="n"/>
      <c r="T4122" s="7" t="inlineStr">
        <is>
          <t>SEM COTAÇÃO</t>
        </is>
      </c>
      <c r="U4122" s="8" t="n"/>
      <c r="V4122" s="14" t="n"/>
      <c r="W4122" s="14" t="n"/>
      <c r="X4122" s="7" t="inlineStr"/>
      <c r="Y4122" s="7" t="inlineStr"/>
    </row>
    <row r="4123">
      <c r="A4123" s="7" t="n">
        <v>569461</v>
      </c>
      <c r="B4123" s="12" t="inlineStr">
        <is>
          <t>7891150037519</t>
        </is>
      </c>
      <c r="C4123" s="7" t="inlineStr">
        <is>
          <t>SH SEDA LISO PERFEITO 325ML</t>
        </is>
      </c>
      <c r="D4123" s="7" t="inlineStr">
        <is>
          <t>PERF/COSME</t>
        </is>
      </c>
      <c r="E4123" s="7" t="inlineStr">
        <is>
          <t>B</t>
        </is>
      </c>
      <c r="F4123" s="13" t="n">
        <v>5</v>
      </c>
      <c r="G4123" s="13" t="n">
        <v>5</v>
      </c>
      <c r="H4123" s="8" t="n">
        <v>9.914199999999999</v>
      </c>
      <c r="I4123" s="8" t="n">
        <v>9.914199999999999</v>
      </c>
      <c r="J4123" s="8" t="n">
        <v>9.914199999999999</v>
      </c>
      <c r="K4123" s="8" t="n"/>
      <c r="L4123" s="8" t="n"/>
      <c r="M4123" s="8" t="n"/>
      <c r="N4123" s="8" t="n"/>
      <c r="O4123" s="8" t="n"/>
      <c r="P4123" s="15" t="n">
        <v>10.52</v>
      </c>
      <c r="Q4123" s="8" t="n"/>
      <c r="R4123" s="8" t="n"/>
      <c r="S4123" s="8" t="n"/>
      <c r="T4123" s="7" t="inlineStr">
        <is>
          <t>NAZARIA</t>
        </is>
      </c>
      <c r="U4123" s="8" t="n">
        <v>10.52</v>
      </c>
      <c r="V4123" s="14">
        <f>U4123/J4123-1</f>
        <v/>
      </c>
      <c r="W4123" s="14">
        <f>U4123/H4123-1</f>
        <v/>
      </c>
      <c r="X4123" s="16" t="inlineStr">
        <is>
          <t>ACIMA +6.1%</t>
        </is>
      </c>
      <c r="Y4123" s="7" t="inlineStr"/>
    </row>
    <row r="4124">
      <c r="A4124" s="7" t="n">
        <v>569481</v>
      </c>
      <c r="B4124" s="12" t="inlineStr">
        <is>
          <t>7891150037526</t>
        </is>
      </c>
      <c r="C4124" s="7" t="inlineStr">
        <is>
          <t>SH SEDA PRETOS LUMINOSOS 325M</t>
        </is>
      </c>
      <c r="D4124" s="7" t="inlineStr">
        <is>
          <t>PERF/COSME</t>
        </is>
      </c>
      <c r="E4124" s="7" t="inlineStr">
        <is>
          <t>B</t>
        </is>
      </c>
      <c r="F4124" s="13" t="n">
        <v>4</v>
      </c>
      <c r="G4124" s="13" t="n">
        <v>4</v>
      </c>
      <c r="H4124" s="8" t="n">
        <v>9.255000000000001</v>
      </c>
      <c r="I4124" s="8" t="n">
        <v>9.255000000000001</v>
      </c>
      <c r="J4124" s="8" t="n">
        <v>9.255000000000001</v>
      </c>
      <c r="K4124" s="8" t="n"/>
      <c r="L4124" s="8" t="n"/>
      <c r="M4124" s="8" t="n"/>
      <c r="N4124" s="8" t="n"/>
      <c r="O4124" s="8" t="n"/>
      <c r="P4124" s="15" t="n">
        <v>10.52</v>
      </c>
      <c r="Q4124" s="8" t="n"/>
      <c r="R4124" s="8" t="n"/>
      <c r="S4124" s="8" t="n"/>
      <c r="T4124" s="7" t="inlineStr">
        <is>
          <t>NAZARIA</t>
        </is>
      </c>
      <c r="U4124" s="8" t="n">
        <v>10.52</v>
      </c>
      <c r="V4124" s="14">
        <f>U4124/J4124-1</f>
        <v/>
      </c>
      <c r="W4124" s="14">
        <f>U4124/H4124-1</f>
        <v/>
      </c>
      <c r="X4124" s="16" t="inlineStr">
        <is>
          <t>ACIMA +13.7%</t>
        </is>
      </c>
      <c r="Y4124" s="7" t="inlineStr"/>
    </row>
    <row r="4125">
      <c r="A4125" s="7" t="n">
        <v>656891</v>
      </c>
      <c r="B4125" s="12" t="inlineStr">
        <is>
          <t>7908324404753</t>
        </is>
      </c>
      <c r="C4125" s="7" t="inlineStr">
        <is>
          <t>SH+CD OX 200+170ML COLAGENO</t>
        </is>
      </c>
      <c r="D4125" s="7" t="inlineStr">
        <is>
          <t>COND/SHAM/CREM/SIMILARES</t>
        </is>
      </c>
      <c r="E4125" s="7" t="inlineStr">
        <is>
          <t>C</t>
        </is>
      </c>
      <c r="F4125" s="13" t="n">
        <v>2</v>
      </c>
      <c r="G4125" s="13" t="n">
        <v>2</v>
      </c>
      <c r="H4125" s="8" t="n">
        <v>34.14</v>
      </c>
      <c r="I4125" s="8" t="n">
        <v>34.14</v>
      </c>
      <c r="J4125" s="8" t="n">
        <v>34.14</v>
      </c>
      <c r="K4125" s="8" t="n"/>
      <c r="L4125" s="8" t="n"/>
      <c r="M4125" s="8" t="n"/>
      <c r="N4125" s="8" t="n"/>
      <c r="O4125" s="8" t="n"/>
      <c r="P4125" s="8" t="n"/>
      <c r="Q4125" s="8" t="n"/>
      <c r="R4125" s="8" t="n"/>
      <c r="S4125" s="8" t="n"/>
      <c r="T4125" s="7" t="inlineStr">
        <is>
          <t>SEM COTAÇÃO</t>
        </is>
      </c>
      <c r="U4125" s="8" t="n"/>
      <c r="V4125" s="14" t="n"/>
      <c r="W4125" s="14" t="n"/>
      <c r="X4125" s="7" t="inlineStr"/>
      <c r="Y4125" s="7" t="inlineStr"/>
    </row>
    <row r="4126">
      <c r="A4126" s="7" t="n">
        <v>649681</v>
      </c>
      <c r="B4126" s="12" t="inlineStr"/>
      <c r="C4126" s="7" t="inlineStr">
        <is>
          <t>SH+CD OX 375+170ML HIDRATA</t>
        </is>
      </c>
      <c r="D4126" s="7" t="inlineStr">
        <is>
          <t>COND/SHAM/CREM/SIMILARES</t>
        </is>
      </c>
      <c r="E4126" s="7" t="inlineStr">
        <is>
          <t>A</t>
        </is>
      </c>
      <c r="F4126" s="13" t="n">
        <v>1</v>
      </c>
      <c r="G4126" s="13" t="n">
        <v>1</v>
      </c>
      <c r="H4126" s="8" t="n">
        <v>32.6</v>
      </c>
      <c r="I4126" s="8" t="n">
        <v>32.6</v>
      </c>
      <c r="J4126" s="8" t="n">
        <v>32.6</v>
      </c>
      <c r="K4126" s="8" t="n"/>
      <c r="L4126" s="8" t="n"/>
      <c r="M4126" s="8" t="n"/>
      <c r="N4126" s="8" t="n"/>
      <c r="O4126" s="8" t="n"/>
      <c r="P4126" s="8" t="n"/>
      <c r="Q4126" s="8" t="n"/>
      <c r="R4126" s="8" t="n"/>
      <c r="S4126" s="8" t="n"/>
      <c r="T4126" s="7" t="inlineStr">
        <is>
          <t>SEM COTAÇÃO</t>
        </is>
      </c>
      <c r="U4126" s="8" t="n"/>
      <c r="V4126" s="14" t="n"/>
      <c r="W4126" s="14" t="n"/>
      <c r="X4126" s="7" t="inlineStr"/>
      <c r="Y4126" s="7" t="inlineStr"/>
    </row>
    <row r="4127">
      <c r="A4127" s="7" t="n">
        <v>651351</v>
      </c>
      <c r="B4127" s="12" t="inlineStr">
        <is>
          <t>7908324400861</t>
        </is>
      </c>
      <c r="C4127" s="7" t="inlineStr">
        <is>
          <t>SH+CD OX 375+170ML LISOS</t>
        </is>
      </c>
      <c r="D4127" s="7" t="inlineStr">
        <is>
          <t>COND/SHAM/CREM/SIMILARES</t>
        </is>
      </c>
      <c r="E4127" s="7" t="inlineStr">
        <is>
          <t>A</t>
        </is>
      </c>
      <c r="F4127" s="13" t="n">
        <v>4</v>
      </c>
      <c r="G4127" s="13" t="n">
        <v>4</v>
      </c>
      <c r="H4127" s="8" t="n">
        <v>32.6</v>
      </c>
      <c r="I4127" s="8" t="n">
        <v>32.6</v>
      </c>
      <c r="J4127" s="8" t="n">
        <v>32.6</v>
      </c>
      <c r="K4127" s="8" t="n"/>
      <c r="L4127" s="8" t="n"/>
      <c r="M4127" s="8" t="n"/>
      <c r="N4127" s="8" t="n"/>
      <c r="O4127" s="8" t="n"/>
      <c r="P4127" s="8" t="n"/>
      <c r="Q4127" s="8" t="n"/>
      <c r="R4127" s="8" t="n"/>
      <c r="S4127" s="8" t="n"/>
      <c r="T4127" s="7" t="inlineStr">
        <is>
          <t>SEM COTAÇÃO</t>
        </is>
      </c>
      <c r="U4127" s="8" t="n"/>
      <c r="V4127" s="14" t="n"/>
      <c r="W4127" s="14" t="n"/>
      <c r="X4127" s="7" t="inlineStr"/>
      <c r="Y4127" s="7" t="inlineStr"/>
    </row>
    <row r="4128">
      <c r="A4128" s="7" t="n">
        <v>649661</v>
      </c>
      <c r="B4128" s="12" t="inlineStr">
        <is>
          <t>7908324400847</t>
        </is>
      </c>
      <c r="C4128" s="7" t="inlineStr">
        <is>
          <t>SH+CD OX 375+170ML NUTRE</t>
        </is>
      </c>
      <c r="D4128" s="7" t="inlineStr">
        <is>
          <t>COND/SHAM/CREM/SIMILARES</t>
        </is>
      </c>
      <c r="E4128" s="7" t="inlineStr">
        <is>
          <t>A</t>
        </is>
      </c>
      <c r="F4128" s="13" t="n">
        <v>2</v>
      </c>
      <c r="G4128" s="13" t="n">
        <v>2</v>
      </c>
      <c r="H4128" s="8" t="n">
        <v>32.6</v>
      </c>
      <c r="I4128" s="8" t="n">
        <v>32.6</v>
      </c>
      <c r="J4128" s="8" t="n">
        <v>32.6</v>
      </c>
      <c r="K4128" s="8" t="n"/>
      <c r="L4128" s="8" t="n"/>
      <c r="M4128" s="8" t="n"/>
      <c r="N4128" s="8" t="n"/>
      <c r="O4128" s="8" t="n"/>
      <c r="P4128" s="8" t="n"/>
      <c r="Q4128" s="8" t="n"/>
      <c r="R4128" s="8" t="n"/>
      <c r="S4128" s="8" t="n"/>
      <c r="T4128" s="7" t="inlineStr">
        <is>
          <t>SEM COTAÇÃO</t>
        </is>
      </c>
      <c r="U4128" s="8" t="n"/>
      <c r="V4128" s="14" t="n"/>
      <c r="W4128" s="14" t="n"/>
      <c r="X4128" s="7" t="inlineStr"/>
      <c r="Y4128" s="7" t="inlineStr"/>
    </row>
    <row r="4129">
      <c r="A4129" s="7" t="n">
        <v>649581</v>
      </c>
      <c r="B4129" s="12" t="inlineStr">
        <is>
          <t>7908324400878</t>
        </is>
      </c>
      <c r="C4129" s="7" t="inlineStr">
        <is>
          <t>SH+CD OX 375+170ML RESTAURA</t>
        </is>
      </c>
      <c r="D4129" s="7" t="inlineStr">
        <is>
          <t>COND/SHAM/CREM/SIMILARES</t>
        </is>
      </c>
      <c r="E4129" s="7" t="inlineStr">
        <is>
          <t>A</t>
        </is>
      </c>
      <c r="F4129" s="13" t="n">
        <v>1</v>
      </c>
      <c r="G4129" s="13" t="n">
        <v>1</v>
      </c>
      <c r="H4129" s="8" t="n">
        <v>32.6</v>
      </c>
      <c r="I4129" s="8" t="n">
        <v>32.6</v>
      </c>
      <c r="J4129" s="8" t="n">
        <v>32.6</v>
      </c>
      <c r="K4129" s="8" t="n"/>
      <c r="L4129" s="8" t="n"/>
      <c r="M4129" s="8" t="n"/>
      <c r="N4129" s="8" t="n"/>
      <c r="O4129" s="8" t="n"/>
      <c r="P4129" s="8" t="n"/>
      <c r="Q4129" s="8" t="n"/>
      <c r="R4129" s="8" t="n"/>
      <c r="S4129" s="8" t="n"/>
      <c r="T4129" s="7" t="inlineStr">
        <is>
          <t>SEM COTAÇÃO</t>
        </is>
      </c>
      <c r="U4129" s="8" t="n"/>
      <c r="V4129" s="14" t="n"/>
      <c r="W4129" s="14" t="n"/>
      <c r="X4129" s="7" t="inlineStr"/>
      <c r="Y4129" s="7" t="inlineStr"/>
    </row>
    <row r="4130">
      <c r="A4130" s="7" t="n">
        <v>2683</v>
      </c>
      <c r="B4130" s="12" t="inlineStr">
        <is>
          <t>7897042018109</t>
        </is>
      </c>
      <c r="C4130" s="7" t="inlineStr">
        <is>
          <t>SH+CONDIC.SKALA ACACHON 325ML</t>
        </is>
      </c>
      <c r="D4130" s="7" t="inlineStr">
        <is>
          <t>PERF/COSME</t>
        </is>
      </c>
      <c r="E4130" s="7" t="inlineStr">
        <is>
          <t>C</t>
        </is>
      </c>
      <c r="F4130" s="13" t="n">
        <v>1</v>
      </c>
      <c r="G4130" s="13" t="n">
        <v>1</v>
      </c>
      <c r="H4130" s="8" t="n">
        <v>9.56</v>
      </c>
      <c r="I4130" s="8" t="n">
        <v>9.56</v>
      </c>
      <c r="J4130" s="8" t="n">
        <v>9.56</v>
      </c>
      <c r="K4130" s="8" t="n"/>
      <c r="L4130" s="8" t="n"/>
      <c r="M4130" s="8" t="n"/>
      <c r="N4130" s="8" t="n"/>
      <c r="O4130" s="8" t="n"/>
      <c r="P4130" s="8" t="n"/>
      <c r="Q4130" s="8" t="n"/>
      <c r="R4130" s="8" t="n"/>
      <c r="S4130" s="8" t="n"/>
      <c r="T4130" s="7" t="inlineStr">
        <is>
          <t>SEM COTAÇÃO</t>
        </is>
      </c>
      <c r="U4130" s="8" t="n"/>
      <c r="V4130" s="14" t="n"/>
      <c r="W4130" s="14" t="n"/>
      <c r="X4130" s="7" t="inlineStr"/>
      <c r="Y4130" s="7" t="inlineStr"/>
    </row>
    <row r="4131">
      <c r="A4131" s="7" t="n">
        <v>576801</v>
      </c>
      <c r="B4131" s="12" t="inlineStr">
        <is>
          <t>7898623954076</t>
        </is>
      </c>
      <c r="C4131" s="7" t="inlineStr">
        <is>
          <t>SH. + CONDIC. S.LINE COC. 300ML</t>
        </is>
      </c>
      <c r="D4131" s="7" t="inlineStr">
        <is>
          <t>PERF/COSME</t>
        </is>
      </c>
      <c r="E4131" s="7" t="inlineStr">
        <is>
          <t>B</t>
        </is>
      </c>
      <c r="F4131" s="13" t="n">
        <v>1</v>
      </c>
      <c r="G4131" s="13" t="n">
        <v>1</v>
      </c>
      <c r="H4131" s="8" t="n">
        <v>14.86</v>
      </c>
      <c r="I4131" s="8" t="n">
        <v>14.86</v>
      </c>
      <c r="J4131" s="8" t="n">
        <v>14.86</v>
      </c>
      <c r="K4131" s="8" t="n"/>
      <c r="L4131" s="8" t="n"/>
      <c r="M4131" s="8" t="n"/>
      <c r="N4131" s="8" t="n"/>
      <c r="O4131" s="8" t="n"/>
      <c r="P4131" s="8" t="n"/>
      <c r="Q4131" s="8" t="n"/>
      <c r="R4131" s="8" t="n"/>
      <c r="S4131" s="8" t="n"/>
      <c r="T4131" s="7" t="inlineStr">
        <is>
          <t>SEM COTAÇÃO</t>
        </is>
      </c>
      <c r="U4131" s="8" t="n"/>
      <c r="V4131" s="14" t="n"/>
      <c r="W4131" s="14" t="n"/>
      <c r="X4131" s="7" t="inlineStr"/>
      <c r="Y4131" s="7" t="inlineStr"/>
    </row>
    <row r="4132">
      <c r="A4132" s="7" t="n">
        <v>576901</v>
      </c>
      <c r="B4132" s="12" t="inlineStr">
        <is>
          <t>7897042013791</t>
        </is>
      </c>
      <c r="C4132" s="7" t="inlineStr">
        <is>
          <t>SH. + CONDIC. SKALA 12 EM 1 325ML</t>
        </is>
      </c>
      <c r="D4132" s="7" t="inlineStr">
        <is>
          <t>PERF/COSME</t>
        </is>
      </c>
      <c r="E4132" s="7" t="inlineStr">
        <is>
          <t>C</t>
        </is>
      </c>
      <c r="F4132" s="13" t="n">
        <v>1</v>
      </c>
      <c r="G4132" s="13" t="n">
        <v>1</v>
      </c>
      <c r="H4132" s="8" t="n">
        <v>9.56</v>
      </c>
      <c r="I4132" s="8" t="n">
        <v>9.56</v>
      </c>
      <c r="J4132" s="8" t="n">
        <v>9.56</v>
      </c>
      <c r="K4132" s="8" t="n"/>
      <c r="L4132" s="8" t="n"/>
      <c r="M4132" s="8" t="n"/>
      <c r="N4132" s="8" t="n"/>
      <c r="O4132" s="8" t="n"/>
      <c r="P4132" s="8" t="n"/>
      <c r="Q4132" s="8" t="n"/>
      <c r="R4132" s="8" t="n"/>
      <c r="S4132" s="8" t="n"/>
      <c r="T4132" s="7" t="inlineStr">
        <is>
          <t>SEM COTAÇÃO</t>
        </is>
      </c>
      <c r="U4132" s="8" t="n"/>
      <c r="V4132" s="14" t="n"/>
      <c r="W4132" s="14" t="n"/>
      <c r="X4132" s="7" t="inlineStr"/>
      <c r="Y4132" s="7" t="inlineStr"/>
    </row>
    <row r="4133">
      <c r="A4133" s="7" t="n">
        <v>589971</v>
      </c>
      <c r="B4133" s="12" t="inlineStr">
        <is>
          <t>7891150050075</t>
        </is>
      </c>
      <c r="C4133" s="7" t="inlineStr">
        <is>
          <t>SH. DOVE RITUAL REPARACAO 200ML</t>
        </is>
      </c>
      <c r="D4133" s="7" t="inlineStr">
        <is>
          <t>PERF/COSME</t>
        </is>
      </c>
      <c r="E4133" s="7" t="inlineStr">
        <is>
          <t>C</t>
        </is>
      </c>
      <c r="F4133" s="13" t="n">
        <v>1</v>
      </c>
      <c r="G4133" s="13" t="n">
        <v>1</v>
      </c>
      <c r="H4133" s="8" t="n">
        <v>13.45</v>
      </c>
      <c r="I4133" s="8" t="n">
        <v>13.45</v>
      </c>
      <c r="J4133" s="8" t="n">
        <v>13.45</v>
      </c>
      <c r="K4133" s="8" t="n"/>
      <c r="L4133" s="8" t="n"/>
      <c r="M4133" s="8" t="n"/>
      <c r="N4133" s="8" t="n"/>
      <c r="O4133" s="8" t="n"/>
      <c r="P4133" s="8" t="n"/>
      <c r="Q4133" s="8" t="n"/>
      <c r="R4133" s="8" t="n"/>
      <c r="S4133" s="8" t="n"/>
      <c r="T4133" s="7" t="inlineStr">
        <is>
          <t>SEM COTAÇÃO</t>
        </is>
      </c>
      <c r="U4133" s="8" t="n"/>
      <c r="V4133" s="14" t="n"/>
      <c r="W4133" s="14" t="n"/>
      <c r="X4133" s="7" t="inlineStr"/>
      <c r="Y4133" s="7" t="inlineStr"/>
    </row>
    <row r="4134">
      <c r="A4134" s="7" t="n">
        <v>589981</v>
      </c>
      <c r="B4134" s="12" t="inlineStr">
        <is>
          <t>7891150086975</t>
        </is>
      </c>
      <c r="C4134" s="7" t="inlineStr">
        <is>
          <t>SH. DOVE TEX. REAIS CACHE.200ML</t>
        </is>
      </c>
      <c r="D4134" s="7" t="inlineStr">
        <is>
          <t>PERF/COSME</t>
        </is>
      </c>
      <c r="E4134" s="7" t="inlineStr">
        <is>
          <t>C</t>
        </is>
      </c>
      <c r="F4134" s="13" t="n">
        <v>1</v>
      </c>
      <c r="G4134" s="13" t="n">
        <v>1</v>
      </c>
      <c r="H4134" s="8" t="n">
        <v>13.45</v>
      </c>
      <c r="I4134" s="8" t="n">
        <v>13.45</v>
      </c>
      <c r="J4134" s="8" t="n">
        <v>13.45</v>
      </c>
      <c r="K4134" s="8" t="n"/>
      <c r="L4134" s="8" t="n"/>
      <c r="M4134" s="8" t="n"/>
      <c r="N4134" s="8" t="n"/>
      <c r="O4134" s="8" t="n"/>
      <c r="P4134" s="8" t="n"/>
      <c r="Q4134" s="8" t="n"/>
      <c r="R4134" s="8" t="n"/>
      <c r="S4134" s="8" t="n"/>
      <c r="T4134" s="7" t="inlineStr">
        <is>
          <t>SEM COTAÇÃO</t>
        </is>
      </c>
      <c r="U4134" s="8" t="n"/>
      <c r="V4134" s="14" t="n"/>
      <c r="W4134" s="14" t="n"/>
      <c r="X4134" s="7" t="inlineStr"/>
      <c r="Y4134" s="7" t="inlineStr"/>
    </row>
    <row r="4135">
      <c r="A4135" s="7" t="n">
        <v>589991</v>
      </c>
      <c r="B4135" s="12" t="inlineStr">
        <is>
          <t>7899706180924</t>
        </is>
      </c>
      <c r="C4135" s="7" t="inlineStr">
        <is>
          <t>SH. ELSEVE LISO SONHOS 200ML</t>
        </is>
      </c>
      <c r="D4135" s="7" t="inlineStr">
        <is>
          <t>PERF/COSME</t>
        </is>
      </c>
      <c r="E4135" s="7" t="inlineStr">
        <is>
          <t>C</t>
        </is>
      </c>
      <c r="F4135" s="13" t="n">
        <v>1</v>
      </c>
      <c r="G4135" s="13" t="n">
        <v>1</v>
      </c>
      <c r="H4135" s="8" t="n">
        <v>14.7</v>
      </c>
      <c r="I4135" s="8" t="n">
        <v>14.7</v>
      </c>
      <c r="J4135" s="8" t="n">
        <v>14.7</v>
      </c>
      <c r="K4135" s="8" t="n"/>
      <c r="L4135" s="8" t="n"/>
      <c r="M4135" s="8" t="n"/>
      <c r="N4135" s="8" t="n"/>
      <c r="O4135" s="8" t="n"/>
      <c r="P4135" s="8" t="n"/>
      <c r="Q4135" s="8" t="n"/>
      <c r="R4135" s="8" t="n"/>
      <c r="S4135" s="8" t="n"/>
      <c r="T4135" s="7" t="inlineStr">
        <is>
          <t>SEM COTAÇÃO</t>
        </is>
      </c>
      <c r="U4135" s="8" t="n"/>
      <c r="V4135" s="14" t="n"/>
      <c r="W4135" s="14" t="n"/>
      <c r="X4135" s="7" t="inlineStr"/>
      <c r="Y4135" s="7" t="inlineStr"/>
    </row>
    <row r="4136">
      <c r="A4136" s="7" t="n">
        <v>582701</v>
      </c>
      <c r="B4136" s="12" t="inlineStr">
        <is>
          <t>7899706152105</t>
        </is>
      </c>
      <c r="C4136" s="7" t="inlineStr">
        <is>
          <t>SH. ELSEVE OL.EXTR.CACHOS 200ML</t>
        </is>
      </c>
      <c r="D4136" s="7" t="inlineStr">
        <is>
          <t>PERF/COSME</t>
        </is>
      </c>
      <c r="E4136" s="7" t="inlineStr">
        <is>
          <t>C</t>
        </is>
      </c>
      <c r="F4136" s="13" t="n">
        <v>1</v>
      </c>
      <c r="G4136" s="13" t="n">
        <v>1</v>
      </c>
      <c r="H4136" s="8" t="n">
        <v>12.58</v>
      </c>
      <c r="I4136" s="8" t="n">
        <v>12.58</v>
      </c>
      <c r="J4136" s="8" t="n">
        <v>12.58</v>
      </c>
      <c r="K4136" s="8" t="n"/>
      <c r="L4136" s="8" t="n"/>
      <c r="M4136" s="8" t="n"/>
      <c r="N4136" s="8" t="n"/>
      <c r="O4136" s="8" t="n"/>
      <c r="P4136" s="8" t="n"/>
      <c r="Q4136" s="8" t="n"/>
      <c r="R4136" s="8" t="n"/>
      <c r="S4136" s="8" t="n"/>
      <c r="T4136" s="7" t="inlineStr">
        <is>
          <t>SEM COTAÇÃO</t>
        </is>
      </c>
      <c r="U4136" s="8" t="n"/>
      <c r="V4136" s="14" t="n"/>
      <c r="W4136" s="14" t="n"/>
      <c r="X4136" s="7" t="inlineStr"/>
      <c r="Y4136" s="7" t="inlineStr"/>
    </row>
    <row r="4137">
      <c r="A4137" s="7" t="n">
        <v>668351</v>
      </c>
      <c r="B4137" s="12" t="inlineStr">
        <is>
          <t>7908458327669</t>
        </is>
      </c>
      <c r="C4137" s="7" t="inlineStr">
        <is>
          <t>SH.300+COND.S.LINE B.A.R.200ML</t>
        </is>
      </c>
      <c r="D4137" s="7" t="inlineStr">
        <is>
          <t>COND/SHAM/CREM/SIMILARES</t>
        </is>
      </c>
      <c r="E4137" s="7" t="inlineStr">
        <is>
          <t>C</t>
        </is>
      </c>
      <c r="F4137" s="13" t="n">
        <v>1</v>
      </c>
      <c r="G4137" s="13" t="n">
        <v>1</v>
      </c>
      <c r="H4137" s="8" t="n"/>
      <c r="I4137" s="8" t="n"/>
      <c r="J4137" s="8" t="n"/>
      <c r="K4137" s="8" t="n"/>
      <c r="L4137" s="8" t="n"/>
      <c r="M4137" s="8" t="n"/>
      <c r="N4137" s="8" t="n"/>
      <c r="O4137" s="8" t="n"/>
      <c r="P4137" s="8" t="n"/>
      <c r="Q4137" s="8" t="n"/>
      <c r="R4137" s="8" t="n"/>
      <c r="S4137" s="8" t="n"/>
      <c r="T4137" s="7" t="inlineStr">
        <is>
          <t>SEM COTAÇÃO</t>
        </is>
      </c>
      <c r="U4137" s="8" t="n"/>
      <c r="V4137" s="14" t="n"/>
      <c r="W4137" s="14" t="n"/>
      <c r="X4137" s="7" t="inlineStr"/>
      <c r="Y4137" s="7" t="inlineStr"/>
    </row>
    <row r="4138">
      <c r="A4138" s="7" t="n">
        <v>668361</v>
      </c>
      <c r="B4138" s="12" t="inlineStr">
        <is>
          <t>7908458327638</t>
        </is>
      </c>
      <c r="C4138" s="7" t="inlineStr">
        <is>
          <t>SH.300+COND.S.LINE B.F.E.200ML</t>
        </is>
      </c>
      <c r="D4138" s="7" t="inlineStr">
        <is>
          <t>COND/SHAM/CREM/SIMILARES</t>
        </is>
      </c>
      <c r="E4138" s="7" t="inlineStr">
        <is>
          <t>C</t>
        </is>
      </c>
      <c r="F4138" s="13" t="n">
        <v>1</v>
      </c>
      <c r="G4138" s="13" t="n">
        <v>1</v>
      </c>
      <c r="H4138" s="8" t="n"/>
      <c r="I4138" s="8" t="n"/>
      <c r="J4138" s="8" t="n"/>
      <c r="K4138" s="8" t="n"/>
      <c r="L4138" s="8" t="n"/>
      <c r="M4138" s="8" t="n"/>
      <c r="N4138" s="8" t="n"/>
      <c r="O4138" s="8" t="n"/>
      <c r="P4138" s="8" t="n"/>
      <c r="Q4138" s="8" t="n"/>
      <c r="R4138" s="8" t="n"/>
      <c r="S4138" s="8" t="n"/>
      <c r="T4138" s="7" t="inlineStr">
        <is>
          <t>SEM COTAÇÃO</t>
        </is>
      </c>
      <c r="U4138" s="8" t="n"/>
      <c r="V4138" s="14" t="n"/>
      <c r="W4138" s="14" t="n"/>
      <c r="X4138" s="7" t="inlineStr"/>
      <c r="Y4138" s="7" t="inlineStr"/>
    </row>
    <row r="4139">
      <c r="A4139" s="7" t="n">
        <v>668371</v>
      </c>
      <c r="B4139" s="12" t="inlineStr">
        <is>
          <t>7908458327690</t>
        </is>
      </c>
      <c r="C4139" s="7" t="inlineStr">
        <is>
          <t>SH.300+COND.S.LINE BOMBA 200ML</t>
        </is>
      </c>
      <c r="D4139" s="7" t="inlineStr">
        <is>
          <t>COND/SHAM/CREM/SIMILARES</t>
        </is>
      </c>
      <c r="E4139" s="7" t="inlineStr">
        <is>
          <t>C</t>
        </is>
      </c>
      <c r="F4139" s="13" t="n">
        <v>1</v>
      </c>
      <c r="G4139" s="13" t="n">
        <v>1</v>
      </c>
      <c r="H4139" s="8" t="n"/>
      <c r="I4139" s="8" t="n"/>
      <c r="J4139" s="8" t="n"/>
      <c r="K4139" s="8" t="n"/>
      <c r="L4139" s="8" t="n"/>
      <c r="M4139" s="8" t="n"/>
      <c r="N4139" s="8" t="n"/>
      <c r="O4139" s="8" t="n"/>
      <c r="P4139" s="8" t="n"/>
      <c r="Q4139" s="8" t="n"/>
      <c r="R4139" s="8" t="n"/>
      <c r="S4139" s="8" t="n"/>
      <c r="T4139" s="7" t="inlineStr">
        <is>
          <t>SEM COTAÇÃO</t>
        </is>
      </c>
      <c r="U4139" s="8" t="n"/>
      <c r="V4139" s="14" t="n"/>
      <c r="W4139" s="14" t="n"/>
      <c r="X4139" s="7" t="inlineStr"/>
      <c r="Y4139" s="7" t="inlineStr"/>
    </row>
    <row r="4140">
      <c r="A4140" s="7" t="n">
        <v>668381</v>
      </c>
      <c r="B4140" s="12" t="inlineStr">
        <is>
          <t>7908458327577</t>
        </is>
      </c>
      <c r="C4140" s="7" t="inlineStr">
        <is>
          <t>SH.300+COND.S.LINE M.L.A.200ML</t>
        </is>
      </c>
      <c r="D4140" s="7" t="inlineStr">
        <is>
          <t>COND/SHAM/CREM/SIMILARES</t>
        </is>
      </c>
      <c r="E4140" s="7" t="inlineStr">
        <is>
          <t>C</t>
        </is>
      </c>
      <c r="F4140" s="13" t="n">
        <v>1</v>
      </c>
      <c r="G4140" s="13" t="n">
        <v>1</v>
      </c>
      <c r="H4140" s="8" t="n"/>
      <c r="I4140" s="8" t="n"/>
      <c r="J4140" s="8" t="n"/>
      <c r="K4140" s="8" t="n"/>
      <c r="L4140" s="8" t="n"/>
      <c r="M4140" s="8" t="n"/>
      <c r="N4140" s="8" t="n"/>
      <c r="O4140" s="8" t="n"/>
      <c r="P4140" s="8" t="n"/>
      <c r="Q4140" s="8" t="n"/>
      <c r="R4140" s="8" t="n"/>
      <c r="S4140" s="8" t="n"/>
      <c r="T4140" s="7" t="inlineStr">
        <is>
          <t>SEM COTAÇÃO</t>
        </is>
      </c>
      <c r="U4140" s="8" t="n"/>
      <c r="V4140" s="14" t="n"/>
      <c r="W4140" s="14" t="n"/>
      <c r="X4140" s="7" t="inlineStr"/>
      <c r="Y4140" s="7" t="inlineStr"/>
    </row>
    <row r="4141">
      <c r="A4141" s="7" t="n">
        <v>668401</v>
      </c>
      <c r="B4141" s="12" t="inlineStr">
        <is>
          <t>7908458327515</t>
        </is>
      </c>
      <c r="C4141" s="7" t="inlineStr">
        <is>
          <t>SH.300+COND.S.LINE M.L.R.200ML</t>
        </is>
      </c>
      <c r="D4141" s="7" t="inlineStr">
        <is>
          <t>COND/SHAM/CREM/SIMILARES</t>
        </is>
      </c>
      <c r="E4141" s="7" t="inlineStr">
        <is>
          <t>C</t>
        </is>
      </c>
      <c r="F4141" s="13" t="n">
        <v>1</v>
      </c>
      <c r="G4141" s="13" t="n">
        <v>1</v>
      </c>
      <c r="H4141" s="8" t="n"/>
      <c r="I4141" s="8" t="n"/>
      <c r="J4141" s="8" t="n"/>
      <c r="K4141" s="8" t="n"/>
      <c r="L4141" s="8" t="n"/>
      <c r="M4141" s="8" t="n"/>
      <c r="N4141" s="8" t="n"/>
      <c r="O4141" s="8" t="n"/>
      <c r="P4141" s="8" t="n"/>
      <c r="Q4141" s="8" t="n"/>
      <c r="R4141" s="8" t="n"/>
      <c r="S4141" s="8" t="n"/>
      <c r="T4141" s="7" t="inlineStr">
        <is>
          <t>SEM COTAÇÃO</t>
        </is>
      </c>
      <c r="U4141" s="8" t="n"/>
      <c r="V4141" s="14" t="n"/>
      <c r="W4141" s="14" t="n"/>
      <c r="X4141" s="7" t="inlineStr"/>
      <c r="Y4141" s="7" t="inlineStr"/>
    </row>
    <row r="4142">
      <c r="A4142" s="7" t="n">
        <v>667791</v>
      </c>
      <c r="B4142" s="12" t="inlineStr">
        <is>
          <t>7908458329137</t>
        </is>
      </c>
      <c r="C4142" s="7" t="inlineStr">
        <is>
          <t>SH.300+CONDIC.S.LINE K.H.200M</t>
        </is>
      </c>
      <c r="D4142" s="7" t="inlineStr">
        <is>
          <t>BABY/KIDS</t>
        </is>
      </c>
      <c r="E4142" s="7" t="inlineStr">
        <is>
          <t>C</t>
        </is>
      </c>
      <c r="F4142" s="13" t="n">
        <v>1</v>
      </c>
      <c r="G4142" s="13" t="n">
        <v>1</v>
      </c>
      <c r="H4142" s="8" t="n">
        <v>18.48</v>
      </c>
      <c r="I4142" s="8" t="n">
        <v>18.48</v>
      </c>
      <c r="J4142" s="8" t="n">
        <v>18.48</v>
      </c>
      <c r="K4142" s="8" t="n"/>
      <c r="L4142" s="8" t="n"/>
      <c r="M4142" s="8" t="n"/>
      <c r="N4142" s="8" t="n"/>
      <c r="O4142" s="8" t="n"/>
      <c r="P4142" s="8" t="n"/>
      <c r="Q4142" s="8" t="n"/>
      <c r="R4142" s="8" t="n"/>
      <c r="S4142" s="8" t="n"/>
      <c r="T4142" s="7" t="inlineStr">
        <is>
          <t>SEM COTAÇÃO</t>
        </is>
      </c>
      <c r="U4142" s="8" t="n"/>
      <c r="V4142" s="14" t="n"/>
      <c r="W4142" s="14" t="n"/>
      <c r="X4142" s="7" t="inlineStr"/>
      <c r="Y4142" s="7" t="inlineStr"/>
    </row>
    <row r="4143">
      <c r="A4143" s="7" t="n">
        <v>646931</v>
      </c>
      <c r="B4143" s="12" t="inlineStr">
        <is>
          <t>7896044956358</t>
        </is>
      </c>
      <c r="C4143" s="7" t="inlineStr">
        <is>
          <t>SH.GIOV.BABY GIBY 200ML</t>
        </is>
      </c>
      <c r="D4143" s="7" t="inlineStr">
        <is>
          <t>COND/SHAM/CREM/SIMILARES</t>
        </is>
      </c>
      <c r="E4143" s="7" t="inlineStr">
        <is>
          <t>C</t>
        </is>
      </c>
      <c r="F4143" s="13" t="n">
        <v>1</v>
      </c>
      <c r="G4143" s="13" t="n">
        <v>1</v>
      </c>
      <c r="H4143" s="8" t="n">
        <v>6.63</v>
      </c>
      <c r="I4143" s="8" t="n">
        <v>6.63</v>
      </c>
      <c r="J4143" s="8" t="n">
        <v>6.63</v>
      </c>
      <c r="K4143" s="8" t="n"/>
      <c r="L4143" s="8" t="n"/>
      <c r="M4143" s="8" t="n"/>
      <c r="N4143" s="8" t="n"/>
      <c r="O4143" s="8" t="n"/>
      <c r="P4143" s="8" t="n"/>
      <c r="Q4143" s="8" t="n"/>
      <c r="R4143" s="8" t="n"/>
      <c r="S4143" s="8" t="n"/>
      <c r="T4143" s="7" t="inlineStr">
        <is>
          <t>SEM COTAÇÃO</t>
        </is>
      </c>
      <c r="U4143" s="8" t="n"/>
      <c r="V4143" s="14" t="n"/>
      <c r="W4143" s="14" t="n"/>
      <c r="X4143" s="7" t="inlineStr"/>
      <c r="Y4143" s="7" t="inlineStr"/>
    </row>
    <row r="4144">
      <c r="A4144" s="7" t="n">
        <v>614691</v>
      </c>
      <c r="B4144" s="12" t="inlineStr">
        <is>
          <t>7897158701575</t>
        </is>
      </c>
      <c r="C4144" s="7" t="inlineStr">
        <is>
          <t>SHAMP GOTA DOURADA FORT TRADICIONAL 430ML</t>
        </is>
      </c>
      <c r="D4144" s="7" t="inlineStr">
        <is>
          <t>PERF/COSME</t>
        </is>
      </c>
      <c r="E4144" s="7" t="inlineStr">
        <is>
          <t>C</t>
        </is>
      </c>
      <c r="F4144" s="13" t="n">
        <v>1</v>
      </c>
      <c r="G4144" s="13" t="n">
        <v>1</v>
      </c>
      <c r="H4144" s="8" t="n">
        <v>15.63</v>
      </c>
      <c r="I4144" s="8" t="n">
        <v>15.63</v>
      </c>
      <c r="J4144" s="8" t="n">
        <v>15.63</v>
      </c>
      <c r="K4144" s="8" t="n"/>
      <c r="L4144" s="8" t="n"/>
      <c r="M4144" s="8" t="n"/>
      <c r="N4144" s="8" t="n"/>
      <c r="O4144" s="8" t="n"/>
      <c r="P4144" s="8" t="n"/>
      <c r="Q4144" s="8" t="n"/>
      <c r="R4144" s="8" t="n"/>
      <c r="S4144" s="8" t="n"/>
      <c r="T4144" s="7" t="inlineStr">
        <is>
          <t>SEM COTAÇÃO</t>
        </is>
      </c>
      <c r="U4144" s="8" t="n"/>
      <c r="V4144" s="14" t="n"/>
      <c r="W4144" s="14" t="n"/>
      <c r="X4144" s="7" t="inlineStr"/>
      <c r="Y4144" s="7" t="inlineStr"/>
    </row>
    <row r="4145">
      <c r="A4145" s="7" t="n">
        <v>614681</v>
      </c>
      <c r="B4145" s="12" t="inlineStr">
        <is>
          <t>7897158722013</t>
        </is>
      </c>
      <c r="C4145" s="7" t="inlineStr">
        <is>
          <t>SHAMP.FORT DESAMARELADOR 430ML</t>
        </is>
      </c>
      <c r="D4145" s="7" t="inlineStr">
        <is>
          <t>PERF/COSME</t>
        </is>
      </c>
      <c r="E4145" s="7" t="inlineStr">
        <is>
          <t>C</t>
        </is>
      </c>
      <c r="F4145" s="13" t="n">
        <v>1</v>
      </c>
      <c r="G4145" s="13" t="n">
        <v>1</v>
      </c>
      <c r="H4145" s="8" t="n">
        <v>13.41</v>
      </c>
      <c r="I4145" s="8" t="n">
        <v>13.41</v>
      </c>
      <c r="J4145" s="8" t="n">
        <v>13.41</v>
      </c>
      <c r="K4145" s="8" t="n"/>
      <c r="L4145" s="8" t="n"/>
      <c r="M4145" s="8" t="n"/>
      <c r="N4145" s="8" t="n"/>
      <c r="O4145" s="8" t="n"/>
      <c r="P4145" s="8" t="n"/>
      <c r="Q4145" s="8" t="n"/>
      <c r="R4145" s="8" t="n"/>
      <c r="S4145" s="8" t="n"/>
      <c r="T4145" s="7" t="inlineStr">
        <is>
          <t>SEM COTAÇÃO</t>
        </is>
      </c>
      <c r="U4145" s="8" t="n"/>
      <c r="V4145" s="14" t="n"/>
      <c r="W4145" s="14" t="n"/>
      <c r="X4145" s="7" t="inlineStr"/>
      <c r="Y4145" s="7" t="inlineStr"/>
    </row>
    <row r="4146">
      <c r="A4146" s="7" t="n">
        <v>599971</v>
      </c>
      <c r="B4146" s="12" t="inlineStr">
        <is>
          <t>7898126403071</t>
        </is>
      </c>
      <c r="C4146" s="7" t="inlineStr">
        <is>
          <t>SHAMPOO 3 EM 1 HOMEM 250ML</t>
        </is>
      </c>
      <c r="D4146" s="7" t="inlineStr">
        <is>
          <t>COND/SHAM/CREM/SIMILARES</t>
        </is>
      </c>
      <c r="E4146" s="7" t="inlineStr">
        <is>
          <t>C</t>
        </is>
      </c>
      <c r="F4146" s="13" t="n">
        <v>1</v>
      </c>
      <c r="G4146" s="13" t="n">
        <v>1</v>
      </c>
      <c r="H4146" s="8" t="n">
        <v>26.75</v>
      </c>
      <c r="I4146" s="8" t="n">
        <v>26.75</v>
      </c>
      <c r="J4146" s="8" t="n">
        <v>26.75</v>
      </c>
      <c r="K4146" s="8" t="n"/>
      <c r="L4146" s="8" t="n"/>
      <c r="M4146" s="8" t="n"/>
      <c r="N4146" s="8" t="n"/>
      <c r="O4146" s="8" t="n"/>
      <c r="P4146" s="8" t="n"/>
      <c r="Q4146" s="8" t="n"/>
      <c r="R4146" s="8" t="n"/>
      <c r="S4146" s="8" t="n"/>
      <c r="T4146" s="7" t="inlineStr">
        <is>
          <t>SEM COTAÇÃO</t>
        </is>
      </c>
      <c r="U4146" s="8" t="n"/>
      <c r="V4146" s="14" t="n"/>
      <c r="W4146" s="14" t="n"/>
      <c r="X4146" s="7" t="inlineStr"/>
      <c r="Y4146" s="7" t="inlineStr"/>
    </row>
    <row r="4147">
      <c r="A4147" s="7" t="n">
        <v>592821</v>
      </c>
      <c r="B4147" s="12" t="inlineStr">
        <is>
          <t>7898132981389</t>
        </is>
      </c>
      <c r="C4147" s="7" t="inlineStr">
        <is>
          <t>SHAMPOO ACORDA CACHOS 300ML</t>
        </is>
      </c>
      <c r="D4147" s="7" t="inlineStr">
        <is>
          <t>COND/SHAM/CREM/SIMILARES</t>
        </is>
      </c>
      <c r="E4147" s="7" t="inlineStr">
        <is>
          <t>C</t>
        </is>
      </c>
      <c r="F4147" s="13" t="n">
        <v>1</v>
      </c>
      <c r="G4147" s="13" t="n">
        <v>1</v>
      </c>
      <c r="H4147" s="8" t="n">
        <v>13.78</v>
      </c>
      <c r="I4147" s="8" t="n">
        <v>13.78</v>
      </c>
      <c r="J4147" s="8" t="n">
        <v>13.78</v>
      </c>
      <c r="K4147" s="8" t="n"/>
      <c r="L4147" s="8" t="n"/>
      <c r="M4147" s="8" t="n"/>
      <c r="N4147" s="8" t="n"/>
      <c r="O4147" s="8" t="n"/>
      <c r="P4147" s="8" t="n"/>
      <c r="Q4147" s="8" t="n"/>
      <c r="R4147" s="8" t="n"/>
      <c r="S4147" s="8" t="n"/>
      <c r="T4147" s="7" t="inlineStr">
        <is>
          <t>SEM COTAÇÃO</t>
        </is>
      </c>
      <c r="U4147" s="8" t="n"/>
      <c r="V4147" s="14" t="n"/>
      <c r="W4147" s="14" t="n"/>
      <c r="X4147" s="7" t="inlineStr"/>
      <c r="Y4147" s="7" t="inlineStr"/>
    </row>
    <row r="4148">
      <c r="A4148" s="7" t="n">
        <v>658261</v>
      </c>
      <c r="B4148" s="12" t="inlineStr">
        <is>
          <t>7908909600105</t>
        </is>
      </c>
      <c r="C4148" s="7" t="inlineStr">
        <is>
          <t>SHAMPOO ADIOS QUEDA 300ML</t>
        </is>
      </c>
      <c r="D4148" s="7" t="inlineStr">
        <is>
          <t>COND/SHAM/CREM/SIMILARES</t>
        </is>
      </c>
      <c r="E4148" s="7" t="inlineStr">
        <is>
          <t>C</t>
        </is>
      </c>
      <c r="F4148" s="13" t="n">
        <v>1</v>
      </c>
      <c r="G4148" s="13" t="n">
        <v>1</v>
      </c>
      <c r="H4148" s="8" t="n">
        <v>13.78</v>
      </c>
      <c r="I4148" s="8" t="n">
        <v>13.78</v>
      </c>
      <c r="J4148" s="8" t="n">
        <v>13.78</v>
      </c>
      <c r="K4148" s="8" t="n"/>
      <c r="L4148" s="8" t="n"/>
      <c r="M4148" s="8" t="n"/>
      <c r="N4148" s="8" t="n"/>
      <c r="O4148" s="8" t="n"/>
      <c r="P4148" s="8" t="n"/>
      <c r="Q4148" s="8" t="n"/>
      <c r="R4148" s="8" t="n"/>
      <c r="S4148" s="8" t="n"/>
      <c r="T4148" s="7" t="inlineStr">
        <is>
          <t>SEM COTAÇÃO</t>
        </is>
      </c>
      <c r="U4148" s="8" t="n"/>
      <c r="V4148" s="14" t="n"/>
      <c r="W4148" s="14" t="n"/>
      <c r="X4148" s="7" t="inlineStr"/>
      <c r="Y4148" s="7" t="inlineStr"/>
    </row>
    <row r="4149">
      <c r="A4149" s="7" t="n">
        <v>581721</v>
      </c>
      <c r="B4149" s="12" t="inlineStr">
        <is>
          <t>7898126407666</t>
        </is>
      </c>
      <c r="C4149" s="7" t="inlineStr">
        <is>
          <t>SHAMPOO ANTICASPA 250 ML</t>
        </is>
      </c>
      <c r="D4149" s="7" t="inlineStr">
        <is>
          <t>PERF/COSME</t>
        </is>
      </c>
      <c r="E4149" s="7" t="inlineStr">
        <is>
          <t>C</t>
        </is>
      </c>
      <c r="F4149" s="13" t="n">
        <v>2</v>
      </c>
      <c r="G4149" s="13" t="n">
        <v>2</v>
      </c>
      <c r="H4149" s="8" t="n">
        <v>27.42</v>
      </c>
      <c r="I4149" s="8" t="n">
        <v>27.42</v>
      </c>
      <c r="J4149" s="8" t="n">
        <v>27.42</v>
      </c>
      <c r="K4149" s="8" t="n"/>
      <c r="L4149" s="8" t="n"/>
      <c r="M4149" s="8" t="n"/>
      <c r="N4149" s="8" t="n"/>
      <c r="O4149" s="8" t="n"/>
      <c r="P4149" s="8" t="n"/>
      <c r="Q4149" s="8" t="n"/>
      <c r="R4149" s="8" t="n"/>
      <c r="S4149" s="8" t="n"/>
      <c r="T4149" s="7" t="inlineStr">
        <is>
          <t>SEM COTAÇÃO</t>
        </is>
      </c>
      <c r="U4149" s="8" t="n"/>
      <c r="V4149" s="14" t="n"/>
      <c r="W4149" s="14" t="n"/>
      <c r="X4149" s="7" t="inlineStr"/>
      <c r="Y4149" s="7" t="inlineStr"/>
    </row>
    <row r="4150">
      <c r="A4150" s="7" t="n">
        <v>533621</v>
      </c>
      <c r="B4150" s="12" t="inlineStr">
        <is>
          <t>7891150019416</t>
        </is>
      </c>
      <c r="C4150" s="7" t="inlineStr">
        <is>
          <t>SHAMPOO ANTICASPA CLEAR MEN SPORTS FRASCO 400ML</t>
        </is>
      </c>
      <c r="D4150" s="7" t="inlineStr">
        <is>
          <t>PERF/COSME</t>
        </is>
      </c>
      <c r="E4150" s="7" t="inlineStr">
        <is>
          <t>C</t>
        </is>
      </c>
      <c r="F4150" s="13" t="n">
        <v>3</v>
      </c>
      <c r="G4150" s="13" t="n">
        <v>3</v>
      </c>
      <c r="H4150" s="8" t="n">
        <v>25.33</v>
      </c>
      <c r="I4150" s="8" t="n">
        <v>22.438</v>
      </c>
      <c r="J4150" s="8" t="n">
        <v>24.366</v>
      </c>
      <c r="K4150" s="8" t="n"/>
      <c r="L4150" s="8" t="n"/>
      <c r="M4150" s="8" t="n"/>
      <c r="N4150" s="8" t="n"/>
      <c r="O4150" s="8" t="n"/>
      <c r="P4150" s="15" t="n">
        <v>26.73</v>
      </c>
      <c r="Q4150" s="8" t="n"/>
      <c r="R4150" s="8" t="n"/>
      <c r="S4150" s="8" t="n"/>
      <c r="T4150" s="7" t="inlineStr">
        <is>
          <t>NAZARIA</t>
        </is>
      </c>
      <c r="U4150" s="8" t="n">
        <v>26.73</v>
      </c>
      <c r="V4150" s="14">
        <f>U4150/J4150-1</f>
        <v/>
      </c>
      <c r="W4150" s="14">
        <f>U4150/H4150-1</f>
        <v/>
      </c>
      <c r="X4150" s="16" t="inlineStr">
        <is>
          <t>ACIMA +5.5%</t>
        </is>
      </c>
      <c r="Y4150" s="7" t="inlineStr"/>
    </row>
    <row r="4151">
      <c r="A4151" s="7" t="n">
        <v>551341</v>
      </c>
      <c r="B4151" s="12" t="inlineStr">
        <is>
          <t>7891150008151</t>
        </is>
      </c>
      <c r="C4151" s="7" t="inlineStr">
        <is>
          <t>SHAMPOO ANTICASPA CLEAR WOMEN HIDRATAÇÃO INTENSA FRASCO 200ML</t>
        </is>
      </c>
      <c r="D4151" s="7" t="inlineStr">
        <is>
          <t>PERF/COSME</t>
        </is>
      </c>
      <c r="E4151" s="7" t="inlineStr">
        <is>
          <t>C</t>
        </is>
      </c>
      <c r="F4151" s="13" t="n">
        <v>2</v>
      </c>
      <c r="G4151" s="13" t="n">
        <v>2</v>
      </c>
      <c r="H4151" s="8" t="n">
        <v>14.0517</v>
      </c>
      <c r="I4151" s="8" t="n">
        <v>14.0517</v>
      </c>
      <c r="J4151" s="8" t="n">
        <v>14.0517</v>
      </c>
      <c r="K4151" s="8" t="n"/>
      <c r="L4151" s="8" t="n"/>
      <c r="M4151" s="8" t="n"/>
      <c r="N4151" s="8" t="n"/>
      <c r="O4151" s="8" t="n"/>
      <c r="P4151" s="15" t="n">
        <v>15.7</v>
      </c>
      <c r="Q4151" s="8" t="n"/>
      <c r="R4151" s="8" t="n"/>
      <c r="S4151" s="8" t="n"/>
      <c r="T4151" s="7" t="inlineStr">
        <is>
          <t>NAZARIA</t>
        </is>
      </c>
      <c r="U4151" s="8" t="n">
        <v>15.7</v>
      </c>
      <c r="V4151" s="14">
        <f>U4151/J4151-1</f>
        <v/>
      </c>
      <c r="W4151" s="14">
        <f>U4151/H4151-1</f>
        <v/>
      </c>
      <c r="X4151" s="16" t="inlineStr">
        <is>
          <t>ACIMA +11.7%</t>
        </is>
      </c>
      <c r="Y4151" s="7" t="inlineStr"/>
    </row>
    <row r="4152">
      <c r="A4152" s="7" t="n">
        <v>545561</v>
      </c>
      <c r="B4152" s="12" t="inlineStr">
        <is>
          <t>7891150037458</t>
        </is>
      </c>
      <c r="C4152" s="7" t="inlineStr">
        <is>
          <t>SHAMPOO ANTICASPA SEDA COCRIAÇÕES HIDRATAÇÃO DIÁRIA FRASCO 325ML</t>
        </is>
      </c>
      <c r="D4152" s="7" t="inlineStr">
        <is>
          <t>PERF/COSME</t>
        </is>
      </c>
      <c r="E4152" s="7" t="inlineStr">
        <is>
          <t>C</t>
        </is>
      </c>
      <c r="F4152" s="13" t="n">
        <v>5</v>
      </c>
      <c r="G4152" s="13" t="n">
        <v>5</v>
      </c>
      <c r="H4152" s="8" t="n">
        <v>9.630000000000001</v>
      </c>
      <c r="I4152" s="8" t="n">
        <v>9.255000000000001</v>
      </c>
      <c r="J4152" s="8" t="n">
        <v>9.505000000000001</v>
      </c>
      <c r="K4152" s="8" t="n"/>
      <c r="L4152" s="8" t="n"/>
      <c r="M4152" s="8" t="n"/>
      <c r="N4152" s="8" t="n"/>
      <c r="O4152" s="8" t="n"/>
      <c r="P4152" s="8" t="n"/>
      <c r="Q4152" s="8" t="n"/>
      <c r="R4152" s="8" t="n"/>
      <c r="S4152" s="8" t="n"/>
      <c r="T4152" s="7" t="inlineStr">
        <is>
          <t>SEM COTAÇÃO</t>
        </is>
      </c>
      <c r="U4152" s="8" t="n"/>
      <c r="V4152" s="14" t="n"/>
      <c r="W4152" s="14" t="n"/>
      <c r="X4152" s="7" t="inlineStr"/>
      <c r="Y4152" s="7" t="inlineStr"/>
    </row>
    <row r="4153">
      <c r="A4153" s="7" t="n">
        <v>581981</v>
      </c>
      <c r="B4153" s="12" t="inlineStr">
        <is>
          <t>7898132981778</t>
        </is>
      </c>
      <c r="C4153" s="7" t="inlineStr">
        <is>
          <t>SHAMPOO CACHOS E CRESPOS 250ML</t>
        </is>
      </c>
      <c r="D4153" s="7" t="inlineStr">
        <is>
          <t>PERF/COSME</t>
        </is>
      </c>
      <c r="E4153" s="7" t="inlineStr">
        <is>
          <t>C</t>
        </is>
      </c>
      <c r="F4153" s="13" t="n">
        <v>1</v>
      </c>
      <c r="G4153" s="13" t="n">
        <v>1</v>
      </c>
      <c r="H4153" s="8" t="n">
        <v>23.04</v>
      </c>
      <c r="I4153" s="8" t="n">
        <v>23.04</v>
      </c>
      <c r="J4153" s="8" t="n">
        <v>23.04</v>
      </c>
      <c r="K4153" s="8" t="n"/>
      <c r="L4153" s="8" t="n"/>
      <c r="M4153" s="8" t="n"/>
      <c r="N4153" s="8" t="n"/>
      <c r="O4153" s="8" t="n"/>
      <c r="P4153" s="8" t="n"/>
      <c r="Q4153" s="8" t="n"/>
      <c r="R4153" s="8" t="n"/>
      <c r="S4153" s="8" t="n"/>
      <c r="T4153" s="7" t="inlineStr">
        <is>
          <t>SEM COTAÇÃO</t>
        </is>
      </c>
      <c r="U4153" s="8" t="n"/>
      <c r="V4153" s="14" t="n"/>
      <c r="W4153" s="14" t="n"/>
      <c r="X4153" s="7" t="inlineStr"/>
      <c r="Y4153" s="7" t="inlineStr"/>
    </row>
    <row r="4154">
      <c r="A4154" s="7" t="n">
        <v>593071</v>
      </c>
      <c r="B4154" s="12" t="inlineStr">
        <is>
          <t>7898132982003</t>
        </is>
      </c>
      <c r="C4154" s="7" t="inlineStr">
        <is>
          <t>SHAMPOO DELETA DANOS 300ML</t>
        </is>
      </c>
      <c r="D4154" s="7" t="inlineStr">
        <is>
          <t>COND/SHAM/CREM/SIMILARES</t>
        </is>
      </c>
      <c r="E4154" s="7" t="inlineStr">
        <is>
          <t>C</t>
        </is>
      </c>
      <c r="F4154" s="13" t="n">
        <v>2</v>
      </c>
      <c r="G4154" s="13" t="n">
        <v>2</v>
      </c>
      <c r="H4154" s="8" t="n">
        <v>13.78</v>
      </c>
      <c r="I4154" s="8" t="n">
        <v>13.78</v>
      </c>
      <c r="J4154" s="8" t="n">
        <v>13.78</v>
      </c>
      <c r="K4154" s="8" t="n"/>
      <c r="L4154" s="8" t="n"/>
      <c r="M4154" s="8" t="n"/>
      <c r="N4154" s="8" t="n"/>
      <c r="O4154" s="8" t="n"/>
      <c r="P4154" s="8" t="n"/>
      <c r="Q4154" s="8" t="n"/>
      <c r="R4154" s="8" t="n"/>
      <c r="S4154" s="8" t="n"/>
      <c r="T4154" s="7" t="inlineStr">
        <is>
          <t>SEM COTAÇÃO</t>
        </is>
      </c>
      <c r="U4154" s="8" t="n"/>
      <c r="V4154" s="14" t="n"/>
      <c r="W4154" s="14" t="n"/>
      <c r="X4154" s="7" t="inlineStr"/>
      <c r="Y4154" s="7" t="inlineStr"/>
    </row>
    <row r="4155">
      <c r="A4155" s="7" t="n">
        <v>662421</v>
      </c>
      <c r="B4155" s="12" t="inlineStr">
        <is>
          <t>7898610373408</t>
        </is>
      </c>
      <c r="C4155" s="7" t="inlineStr">
        <is>
          <t>SHAMPOO ENCORPA CABELO 300ML</t>
        </is>
      </c>
      <c r="D4155" s="7" t="inlineStr">
        <is>
          <t>COND/SHAM/CREM/SIMILARES</t>
        </is>
      </c>
      <c r="E4155" s="7" t="inlineStr">
        <is>
          <t>A</t>
        </is>
      </c>
      <c r="F4155" s="13" t="n">
        <v>4</v>
      </c>
      <c r="G4155" s="13" t="n">
        <v>4</v>
      </c>
      <c r="H4155" s="8" t="n">
        <v>32.85</v>
      </c>
      <c r="I4155" s="8" t="n">
        <v>32.85</v>
      </c>
      <c r="J4155" s="8" t="n">
        <v>32.85</v>
      </c>
      <c r="K4155" s="8" t="n"/>
      <c r="L4155" s="8" t="n"/>
      <c r="M4155" s="8" t="n"/>
      <c r="N4155" s="8" t="n"/>
      <c r="O4155" s="8" t="n"/>
      <c r="P4155" s="8" t="n"/>
      <c r="Q4155" s="8" t="n"/>
      <c r="R4155" s="8" t="n"/>
      <c r="S4155" s="8" t="n"/>
      <c r="T4155" s="7" t="inlineStr">
        <is>
          <t>SEM COTAÇÃO</t>
        </is>
      </c>
      <c r="U4155" s="8" t="n"/>
      <c r="V4155" s="14" t="n"/>
      <c r="W4155" s="14" t="n"/>
      <c r="X4155" s="7" t="inlineStr"/>
      <c r="Y4155" s="7" t="inlineStr"/>
    </row>
    <row r="4156">
      <c r="A4156" s="7" t="n">
        <v>233</v>
      </c>
      <c r="B4156" s="12" t="inlineStr">
        <is>
          <t>7898126407536</t>
        </is>
      </c>
      <c r="C4156" s="7" t="inlineStr">
        <is>
          <t>SHAMPOO FORCA PIMENTA 350ML</t>
        </is>
      </c>
      <c r="D4156" s="7" t="inlineStr">
        <is>
          <t>COND/SHAM/CREM/SIMILARES</t>
        </is>
      </c>
      <c r="E4156" s="7" t="inlineStr">
        <is>
          <t>C</t>
        </is>
      </c>
      <c r="F4156" s="13" t="n">
        <v>1</v>
      </c>
      <c r="G4156" s="13" t="n">
        <v>1</v>
      </c>
      <c r="H4156" s="8" t="n">
        <v>39.62</v>
      </c>
      <c r="I4156" s="8" t="n">
        <v>39.62</v>
      </c>
      <c r="J4156" s="8" t="n">
        <v>39.62</v>
      </c>
      <c r="K4156" s="8" t="n"/>
      <c r="L4156" s="8" t="n"/>
      <c r="M4156" s="8" t="n"/>
      <c r="N4156" s="8" t="n"/>
      <c r="O4156" s="8" t="n"/>
      <c r="P4156" s="8" t="n"/>
      <c r="Q4156" s="8" t="n"/>
      <c r="R4156" s="8" t="n"/>
      <c r="S4156" s="8" t="n"/>
      <c r="T4156" s="7" t="inlineStr">
        <is>
          <t>SEM COTAÇÃO</t>
        </is>
      </c>
      <c r="U4156" s="8" t="n"/>
      <c r="V4156" s="14" t="n"/>
      <c r="W4156" s="14" t="n"/>
      <c r="X4156" s="7" t="inlineStr"/>
      <c r="Y4156" s="7" t="inlineStr"/>
    </row>
    <row r="4157">
      <c r="A4157" s="7" t="n">
        <v>576981</v>
      </c>
      <c r="B4157" s="12" t="inlineStr">
        <is>
          <t>7891150025929</t>
        </is>
      </c>
      <c r="C4157" s="7" t="inlineStr">
        <is>
          <t>SHAMPOO HID. ENR. DOVE BABY FRASCO 200ML</t>
        </is>
      </c>
      <c r="D4157" s="7" t="inlineStr">
        <is>
          <t>BABY/KIDS</t>
        </is>
      </c>
      <c r="E4157" s="7" t="inlineStr">
        <is>
          <t>C</t>
        </is>
      </c>
      <c r="F4157" s="13" t="n">
        <v>2</v>
      </c>
      <c r="G4157" s="13" t="n">
        <v>2</v>
      </c>
      <c r="H4157" s="8" t="n">
        <v>9.549200000000001</v>
      </c>
      <c r="I4157" s="8" t="n">
        <v>9.549200000000001</v>
      </c>
      <c r="J4157" s="8" t="n">
        <v>9.549200000000001</v>
      </c>
      <c r="K4157" s="8" t="n"/>
      <c r="L4157" s="8" t="n"/>
      <c r="M4157" s="8" t="n"/>
      <c r="N4157" s="8" t="n"/>
      <c r="O4157" s="8" t="n"/>
      <c r="P4157" s="8" t="n">
        <v>12.71</v>
      </c>
      <c r="Q4157" s="8" t="n"/>
      <c r="R4157" s="8" t="n"/>
      <c r="S4157" s="8" t="n"/>
      <c r="T4157" s="7" t="inlineStr">
        <is>
          <t>SEM COTAÇÃO</t>
        </is>
      </c>
      <c r="U4157" s="8" t="n"/>
      <c r="V4157" s="14" t="n"/>
      <c r="W4157" s="14" t="n"/>
      <c r="X4157" s="7" t="inlineStr"/>
      <c r="Y4157" s="7" t="inlineStr">
        <is>
          <t>NAZARIA: sem estoque</t>
        </is>
      </c>
    </row>
    <row r="4158">
      <c r="A4158" s="7" t="n">
        <v>83</v>
      </c>
      <c r="B4158" s="12" t="inlineStr">
        <is>
          <t>7898132988272</t>
        </is>
      </c>
      <c r="C4158" s="7" t="inlineStr">
        <is>
          <t>SHAMPOO HIDRATA CABELOS 300ML</t>
        </is>
      </c>
      <c r="D4158" s="7" t="inlineStr">
        <is>
          <t>COND/SHAM/CREM/SIMILARES</t>
        </is>
      </c>
      <c r="E4158" s="7" t="inlineStr">
        <is>
          <t>C</t>
        </is>
      </c>
      <c r="F4158" s="13" t="n">
        <v>1</v>
      </c>
      <c r="G4158" s="13" t="n">
        <v>1</v>
      </c>
      <c r="H4158" s="8" t="n">
        <v>13.78</v>
      </c>
      <c r="I4158" s="8" t="n">
        <v>13.78</v>
      </c>
      <c r="J4158" s="8" t="n">
        <v>13.78</v>
      </c>
      <c r="K4158" s="8" t="n"/>
      <c r="L4158" s="8" t="n"/>
      <c r="M4158" s="8" t="n"/>
      <c r="N4158" s="8" t="n"/>
      <c r="O4158" s="8" t="n"/>
      <c r="P4158" s="8" t="n"/>
      <c r="Q4158" s="8" t="n"/>
      <c r="R4158" s="8" t="n"/>
      <c r="S4158" s="8" t="n"/>
      <c r="T4158" s="7" t="inlineStr">
        <is>
          <t>SEM COTAÇÃO</t>
        </is>
      </c>
      <c r="U4158" s="8" t="n"/>
      <c r="V4158" s="14" t="n"/>
      <c r="W4158" s="14" t="n"/>
      <c r="X4158" s="7" t="inlineStr"/>
      <c r="Y4158" s="7" t="inlineStr"/>
    </row>
    <row r="4159">
      <c r="A4159" s="7" t="n">
        <v>600011</v>
      </c>
      <c r="B4159" s="12" t="inlineStr">
        <is>
          <t>7898126409523</t>
        </is>
      </c>
      <c r="C4159" s="7" t="inlineStr">
        <is>
          <t>SHAMPOO HOMEM ANTICASPA E ANTIQUEDA 250ML</t>
        </is>
      </c>
      <c r="D4159" s="7" t="inlineStr">
        <is>
          <t>COND/SHAM/CREM/SIMILARES</t>
        </is>
      </c>
      <c r="E4159" s="7" t="inlineStr">
        <is>
          <t>C</t>
        </is>
      </c>
      <c r="F4159" s="13" t="n">
        <v>1</v>
      </c>
      <c r="G4159" s="13" t="n">
        <v>1</v>
      </c>
      <c r="H4159" s="8" t="n">
        <v>30.13</v>
      </c>
      <c r="I4159" s="8" t="n">
        <v>30.13</v>
      </c>
      <c r="J4159" s="8" t="n">
        <v>30.13</v>
      </c>
      <c r="K4159" s="8" t="n"/>
      <c r="L4159" s="8" t="n"/>
      <c r="M4159" s="8" t="n"/>
      <c r="N4159" s="8" t="n"/>
      <c r="O4159" s="8" t="n"/>
      <c r="P4159" s="8" t="n"/>
      <c r="Q4159" s="8" t="n"/>
      <c r="R4159" s="8" t="n"/>
      <c r="S4159" s="8" t="n"/>
      <c r="T4159" s="7" t="inlineStr">
        <is>
          <t>SEM COTAÇÃO</t>
        </is>
      </c>
      <c r="U4159" s="8" t="n"/>
      <c r="V4159" s="14" t="n"/>
      <c r="W4159" s="14" t="n"/>
      <c r="X4159" s="7" t="inlineStr"/>
      <c r="Y4159" s="7" t="inlineStr"/>
    </row>
    <row r="4160">
      <c r="A4160" s="7" t="n">
        <v>659521</v>
      </c>
      <c r="B4160" s="12" t="inlineStr">
        <is>
          <t>7898132982263</t>
        </is>
      </c>
      <c r="C4160" s="7" t="inlineStr">
        <is>
          <t>SHAMPOO KIDS - CABELO LISO 240ML</t>
        </is>
      </c>
      <c r="D4160" s="7" t="inlineStr">
        <is>
          <t>BABY/KIDS</t>
        </is>
      </c>
      <c r="E4160" s="7" t="inlineStr">
        <is>
          <t>C</t>
        </is>
      </c>
      <c r="F4160" s="13" t="n">
        <v>1</v>
      </c>
      <c r="G4160" s="13" t="n">
        <v>1</v>
      </c>
      <c r="H4160" s="8" t="n">
        <v>19.4</v>
      </c>
      <c r="I4160" s="8" t="n">
        <v>19.4</v>
      </c>
      <c r="J4160" s="8" t="n">
        <v>19.4</v>
      </c>
      <c r="K4160" s="8" t="n"/>
      <c r="L4160" s="8" t="n"/>
      <c r="M4160" s="8" t="n"/>
      <c r="N4160" s="8" t="n"/>
      <c r="O4160" s="8" t="n"/>
      <c r="P4160" s="8" t="n"/>
      <c r="Q4160" s="8" t="n"/>
      <c r="R4160" s="8" t="n"/>
      <c r="S4160" s="8" t="n"/>
      <c r="T4160" s="7" t="inlineStr">
        <is>
          <t>SEM COTAÇÃO</t>
        </is>
      </c>
      <c r="U4160" s="8" t="n"/>
      <c r="V4160" s="14" t="n"/>
      <c r="W4160" s="14" t="n"/>
      <c r="X4160" s="7" t="inlineStr"/>
      <c r="Y4160" s="7" t="inlineStr"/>
    </row>
    <row r="4161">
      <c r="A4161" s="7" t="n">
        <v>592951</v>
      </c>
      <c r="B4161" s="12" t="inlineStr">
        <is>
          <t>7898132985097</t>
        </is>
      </c>
      <c r="C4161" s="7" t="inlineStr">
        <is>
          <t>SHAMPOO MATIZA LOIRO 300ML</t>
        </is>
      </c>
      <c r="D4161" s="7" t="inlineStr">
        <is>
          <t>COND/SHAM/CREM/SIMILARES</t>
        </is>
      </c>
      <c r="E4161" s="7" t="inlineStr">
        <is>
          <t>C</t>
        </is>
      </c>
      <c r="F4161" s="13" t="n">
        <v>1</v>
      </c>
      <c r="G4161" s="13" t="n">
        <v>1</v>
      </c>
      <c r="H4161" s="8" t="n">
        <v>15.47</v>
      </c>
      <c r="I4161" s="8" t="n">
        <v>15.47</v>
      </c>
      <c r="J4161" s="8" t="n">
        <v>15.47</v>
      </c>
      <c r="K4161" s="8" t="n"/>
      <c r="L4161" s="8" t="n"/>
      <c r="M4161" s="8" t="n"/>
      <c r="N4161" s="8" t="n"/>
      <c r="O4161" s="8" t="n"/>
      <c r="P4161" s="8" t="n"/>
      <c r="Q4161" s="8" t="n"/>
      <c r="R4161" s="8" t="n"/>
      <c r="S4161" s="8" t="n"/>
      <c r="T4161" s="7" t="inlineStr">
        <is>
          <t>SEM COTAÇÃO</t>
        </is>
      </c>
      <c r="U4161" s="8" t="n"/>
      <c r="V4161" s="14" t="n"/>
      <c r="W4161" s="14" t="n"/>
      <c r="X4161" s="7" t="inlineStr"/>
      <c r="Y4161" s="7" t="inlineStr"/>
    </row>
    <row r="4162">
      <c r="A4162" s="7" t="n">
        <v>534481</v>
      </c>
      <c r="B4162" s="12" t="inlineStr">
        <is>
          <t>7891176117882</t>
        </is>
      </c>
      <c r="C4162" s="7" t="inlineStr">
        <is>
          <t>SHAMPOO NEUTROX X TREME 300 ML</t>
        </is>
      </c>
      <c r="D4162" s="7" t="inlineStr">
        <is>
          <t>PERF/COSME</t>
        </is>
      </c>
      <c r="E4162" s="7" t="inlineStr">
        <is>
          <t>C</t>
        </is>
      </c>
      <c r="F4162" s="13" t="n">
        <v>1</v>
      </c>
      <c r="G4162" s="13" t="n">
        <v>1</v>
      </c>
      <c r="H4162" s="8" t="n">
        <v>10.22</v>
      </c>
      <c r="I4162" s="8" t="n">
        <v>10.22</v>
      </c>
      <c r="J4162" s="8" t="n">
        <v>10.22</v>
      </c>
      <c r="K4162" s="8" t="n"/>
      <c r="L4162" s="8" t="n"/>
      <c r="M4162" s="8" t="n"/>
      <c r="N4162" s="8" t="n"/>
      <c r="O4162" s="8" t="n"/>
      <c r="P4162" s="8" t="n"/>
      <c r="Q4162" s="8" t="n"/>
      <c r="R4162" s="8" t="n"/>
      <c r="S4162" s="8" t="n"/>
      <c r="T4162" s="7" t="inlineStr">
        <is>
          <t>SEM COTAÇÃO</t>
        </is>
      </c>
      <c r="U4162" s="8" t="n"/>
      <c r="V4162" s="14" t="n"/>
      <c r="W4162" s="14" t="n"/>
      <c r="X4162" s="7" t="inlineStr"/>
      <c r="Y4162" s="7" t="inlineStr"/>
    </row>
    <row r="4163">
      <c r="A4163" s="7" t="n">
        <v>593081</v>
      </c>
      <c r="B4163" s="12" t="inlineStr">
        <is>
          <t>7898126408953</t>
        </is>
      </c>
      <c r="C4163" s="7" t="inlineStr">
        <is>
          <t>SHAMPOO POS COLORACAO 250 ML</t>
        </is>
      </c>
      <c r="D4163" s="7" t="inlineStr">
        <is>
          <t>COND/SHAM/CREM/SIMILARES</t>
        </is>
      </c>
      <c r="E4163" s="7" t="inlineStr">
        <is>
          <t>C</t>
        </is>
      </c>
      <c r="F4163" s="13" t="n">
        <v>1</v>
      </c>
      <c r="G4163" s="13" t="n">
        <v>1</v>
      </c>
      <c r="H4163" s="8" t="n">
        <v>23.04</v>
      </c>
      <c r="I4163" s="8" t="n">
        <v>23.04</v>
      </c>
      <c r="J4163" s="8" t="n">
        <v>23.04</v>
      </c>
      <c r="K4163" s="8" t="n"/>
      <c r="L4163" s="8" t="n"/>
      <c r="M4163" s="8" t="n"/>
      <c r="N4163" s="8" t="n"/>
      <c r="O4163" s="8" t="n"/>
      <c r="P4163" s="8" t="n"/>
      <c r="Q4163" s="8" t="n"/>
      <c r="R4163" s="8" t="n"/>
      <c r="S4163" s="8" t="n"/>
      <c r="T4163" s="7" t="inlineStr">
        <is>
          <t>SEM COTAÇÃO</t>
        </is>
      </c>
      <c r="U4163" s="8" t="n"/>
      <c r="V4163" s="14" t="n"/>
      <c r="W4163" s="14" t="n"/>
      <c r="X4163" s="7" t="inlineStr"/>
      <c r="Y4163" s="7" t="inlineStr"/>
    </row>
    <row r="4164">
      <c r="A4164" s="7" t="n">
        <v>641501</v>
      </c>
      <c r="B4164" s="12" t="inlineStr">
        <is>
          <t>7898944075238</t>
        </is>
      </c>
      <c r="C4164" s="7" t="inlineStr">
        <is>
          <t>SHAMPOO POS PROGRESSIVA 300ML</t>
        </is>
      </c>
      <c r="D4164" s="7" t="inlineStr">
        <is>
          <t>COND/SHAM/CREM/SIMILARES</t>
        </is>
      </c>
      <c r="E4164" s="7" t="inlineStr">
        <is>
          <t>A</t>
        </is>
      </c>
      <c r="F4164" s="13" t="n">
        <v>2</v>
      </c>
      <c r="G4164" s="13" t="n">
        <v>2</v>
      </c>
      <c r="H4164" s="8" t="n">
        <v>25.7</v>
      </c>
      <c r="I4164" s="8" t="n">
        <v>25.7</v>
      </c>
      <c r="J4164" s="8" t="n">
        <v>25.7</v>
      </c>
      <c r="K4164" s="8" t="n"/>
      <c r="L4164" s="8" t="n"/>
      <c r="M4164" s="8" t="n"/>
      <c r="N4164" s="8" t="n"/>
      <c r="O4164" s="8" t="n"/>
      <c r="P4164" s="8" t="n"/>
      <c r="Q4164" s="8" t="n"/>
      <c r="R4164" s="8" t="n"/>
      <c r="S4164" s="8" t="n"/>
      <c r="T4164" s="7" t="inlineStr">
        <is>
          <t>SEM COTAÇÃO</t>
        </is>
      </c>
      <c r="U4164" s="8" t="n"/>
      <c r="V4164" s="14" t="n"/>
      <c r="W4164" s="14" t="n"/>
      <c r="X4164" s="7" t="inlineStr"/>
      <c r="Y4164" s="7" t="inlineStr"/>
    </row>
    <row r="4165">
      <c r="A4165" s="7" t="n">
        <v>633201</v>
      </c>
      <c r="B4165" s="12" t="inlineStr">
        <is>
          <t>7898126406294</t>
        </is>
      </c>
      <c r="C4165" s="7" t="inlineStr">
        <is>
          <t>SHAMPOO SPEC MATIZANTE 300ML</t>
        </is>
      </c>
      <c r="D4165" s="7" t="inlineStr">
        <is>
          <t>COND/SHAM/CREM/SIMILARES</t>
        </is>
      </c>
      <c r="E4165" s="7" t="inlineStr">
        <is>
          <t>C</t>
        </is>
      </c>
      <c r="F4165" s="13" t="n">
        <v>1</v>
      </c>
      <c r="G4165" s="13" t="n">
        <v>1</v>
      </c>
      <c r="H4165" s="8" t="n">
        <v>40.13</v>
      </c>
      <c r="I4165" s="8" t="n">
        <v>40.13</v>
      </c>
      <c r="J4165" s="8" t="n">
        <v>40.13</v>
      </c>
      <c r="K4165" s="8" t="n"/>
      <c r="L4165" s="8" t="n"/>
      <c r="M4165" s="8" t="n"/>
      <c r="N4165" s="8" t="n"/>
      <c r="O4165" s="8" t="n"/>
      <c r="P4165" s="8" t="n"/>
      <c r="Q4165" s="8" t="n"/>
      <c r="R4165" s="8" t="n"/>
      <c r="S4165" s="8" t="n"/>
      <c r="T4165" s="7" t="inlineStr">
        <is>
          <t>SEM COTAÇÃO</t>
        </is>
      </c>
      <c r="U4165" s="8" t="n"/>
      <c r="V4165" s="14" t="n"/>
      <c r="W4165" s="14" t="n"/>
      <c r="X4165" s="7" t="inlineStr"/>
      <c r="Y4165" s="7" t="inlineStr"/>
    </row>
    <row r="4166">
      <c r="A4166" s="7" t="n">
        <v>589621</v>
      </c>
      <c r="B4166" s="12" t="inlineStr">
        <is>
          <t>7898126405792</t>
        </is>
      </c>
      <c r="C4166" s="7" t="inlineStr">
        <is>
          <t>SHAMPOO SPECIALISTE RESGATE 300ML</t>
        </is>
      </c>
      <c r="D4166" s="7" t="inlineStr">
        <is>
          <t>PERF/COSME</t>
        </is>
      </c>
      <c r="E4166" s="7" t="inlineStr">
        <is>
          <t>C</t>
        </is>
      </c>
      <c r="F4166" s="13" t="n">
        <v>1</v>
      </c>
      <c r="G4166" s="13" t="n">
        <v>1</v>
      </c>
      <c r="H4166" s="8" t="n">
        <v>36.4</v>
      </c>
      <c r="I4166" s="8" t="n">
        <v>36.4</v>
      </c>
      <c r="J4166" s="8" t="n">
        <v>36.4</v>
      </c>
      <c r="K4166" s="8" t="n"/>
      <c r="L4166" s="8" t="n"/>
      <c r="M4166" s="8" t="n"/>
      <c r="N4166" s="8" t="n"/>
      <c r="O4166" s="8" t="n"/>
      <c r="P4166" s="8" t="n"/>
      <c r="Q4166" s="8" t="n"/>
      <c r="R4166" s="8" t="n"/>
      <c r="S4166" s="8" t="n"/>
      <c r="T4166" s="7" t="inlineStr">
        <is>
          <t>SEM COTAÇÃO</t>
        </is>
      </c>
      <c r="U4166" s="8" t="n"/>
      <c r="V4166" s="14" t="n"/>
      <c r="W4166" s="14" t="n"/>
      <c r="X4166" s="7" t="inlineStr"/>
      <c r="Y4166" s="7" t="inlineStr"/>
    </row>
    <row r="4167">
      <c r="A4167" s="7" t="n">
        <v>562381</v>
      </c>
      <c r="B4167" s="12" t="inlineStr">
        <is>
          <t>7896020161103</t>
        </is>
      </c>
      <c r="C4167" s="7" t="inlineStr">
        <is>
          <t>SHAMPOO TURM D XUXINHA SONO TRANQUILO 120ML</t>
        </is>
      </c>
      <c r="D4167" s="7" t="inlineStr">
        <is>
          <t>BABY/KIDS</t>
        </is>
      </c>
      <c r="E4167" s="7" t="inlineStr">
        <is>
          <t>C</t>
        </is>
      </c>
      <c r="F4167" s="13" t="n">
        <v>2</v>
      </c>
      <c r="G4167" s="13" t="n">
        <v>2</v>
      </c>
      <c r="H4167" s="8" t="n">
        <v>6.94</v>
      </c>
      <c r="I4167" s="8" t="n">
        <v>6.94</v>
      </c>
      <c r="J4167" s="8" t="n">
        <v>6.94</v>
      </c>
      <c r="K4167" s="8" t="n"/>
      <c r="L4167" s="8" t="n"/>
      <c r="M4167" s="8" t="n"/>
      <c r="N4167" s="8" t="n"/>
      <c r="O4167" s="8" t="n"/>
      <c r="P4167" s="8" t="n"/>
      <c r="Q4167" s="8" t="n"/>
      <c r="R4167" s="8" t="n"/>
      <c r="S4167" s="8" t="n"/>
      <c r="T4167" s="7" t="inlineStr">
        <is>
          <t>SEM COTAÇÃO</t>
        </is>
      </c>
      <c r="U4167" s="8" t="n"/>
      <c r="V4167" s="14" t="n"/>
      <c r="W4167" s="14" t="n"/>
      <c r="X4167" s="7" t="inlineStr"/>
      <c r="Y4167" s="7" t="inlineStr"/>
    </row>
    <row r="4168">
      <c r="A4168" s="7" t="n">
        <v>669951</v>
      </c>
      <c r="B4168" s="12" t="inlineStr">
        <is>
          <t>7891150102507</t>
        </is>
      </c>
      <c r="C4168" s="7" t="inlineStr">
        <is>
          <t>SHP DOVE HIDRAT HIALU VIT 190ML   UNIL %DN:15.00</t>
        </is>
      </c>
      <c r="D4168" s="7" t="inlineStr">
        <is>
          <t>COND/SHAM/CREM/SIMILARES</t>
        </is>
      </c>
      <c r="E4168" s="7" t="inlineStr">
        <is>
          <t>C</t>
        </is>
      </c>
      <c r="F4168" s="13" t="n">
        <v>1</v>
      </c>
      <c r="G4168" s="13" t="n">
        <v>1</v>
      </c>
      <c r="H4168" s="8" t="n">
        <v>11.55</v>
      </c>
      <c r="I4168" s="8" t="n">
        <v>11.55</v>
      </c>
      <c r="J4168" s="8" t="n">
        <v>11.55</v>
      </c>
      <c r="K4168" s="8" t="n"/>
      <c r="L4168" s="8" t="n"/>
      <c r="M4168" s="8" t="n"/>
      <c r="N4168" s="8" t="n"/>
      <c r="O4168" s="8" t="n"/>
      <c r="P4168" s="15" t="n">
        <v>13.59</v>
      </c>
      <c r="Q4168" s="8" t="n"/>
      <c r="R4168" s="8" t="n"/>
      <c r="S4168" s="8" t="n"/>
      <c r="T4168" s="7" t="inlineStr">
        <is>
          <t>NAZARIA</t>
        </is>
      </c>
      <c r="U4168" s="8" t="n">
        <v>13.59</v>
      </c>
      <c r="V4168" s="14">
        <f>U4168/J4168-1</f>
        <v/>
      </c>
      <c r="W4168" s="14">
        <f>U4168/H4168-1</f>
        <v/>
      </c>
      <c r="X4168" s="16" t="inlineStr">
        <is>
          <t>ACIMA +17.7%</t>
        </is>
      </c>
      <c r="Y4168" s="7" t="inlineStr"/>
    </row>
    <row r="4169">
      <c r="A4169" s="7" t="n">
        <v>668541</v>
      </c>
      <c r="B4169" s="12" t="inlineStr">
        <is>
          <t>7891150102637</t>
        </is>
      </c>
      <c r="C4169" s="7" t="inlineStr">
        <is>
          <t>SHP DOVE RECON AMINOACIDO 370ML</t>
        </is>
      </c>
      <c r="D4169" s="7" t="inlineStr">
        <is>
          <t>COND/SHAM/CREM/SIMILARES</t>
        </is>
      </c>
      <c r="E4169" s="7" t="inlineStr">
        <is>
          <t>C</t>
        </is>
      </c>
      <c r="F4169" s="13" t="n">
        <v>1</v>
      </c>
      <c r="G4169" s="13" t="n">
        <v>1</v>
      </c>
      <c r="H4169" s="8" t="n">
        <v>16.98</v>
      </c>
      <c r="I4169" s="8" t="n">
        <v>16.98</v>
      </c>
      <c r="J4169" s="8" t="n">
        <v>16.98</v>
      </c>
      <c r="K4169" s="8" t="n"/>
      <c r="L4169" s="8" t="n"/>
      <c r="M4169" s="8" t="n"/>
      <c r="N4169" s="8" t="n"/>
      <c r="O4169" s="8" t="n"/>
      <c r="P4169" s="15" t="n">
        <v>21.41</v>
      </c>
      <c r="Q4169" s="8" t="n"/>
      <c r="R4169" s="8" t="n"/>
      <c r="S4169" s="8" t="n"/>
      <c r="T4169" s="7" t="inlineStr">
        <is>
          <t>NAZARIA</t>
        </is>
      </c>
      <c r="U4169" s="8" t="n">
        <v>21.41</v>
      </c>
      <c r="V4169" s="14">
        <f>U4169/J4169-1</f>
        <v/>
      </c>
      <c r="W4169" s="14">
        <f>U4169/H4169-1</f>
        <v/>
      </c>
      <c r="X4169" s="16" t="inlineStr">
        <is>
          <t>ACIMA +26.1%</t>
        </is>
      </c>
      <c r="Y4169" s="7" t="inlineStr"/>
    </row>
    <row r="4170">
      <c r="A4170" s="7" t="n">
        <v>668461</v>
      </c>
      <c r="B4170" s="12" t="inlineStr">
        <is>
          <t>7891150102729</t>
        </is>
      </c>
      <c r="C4170" s="7" t="inlineStr">
        <is>
          <t>SHP DOVE UV REPAIR 370ML</t>
        </is>
      </c>
      <c r="D4170" s="7" t="inlineStr">
        <is>
          <t>COND/SHAM/CREM/SIMILARES</t>
        </is>
      </c>
      <c r="E4170" s="7" t="inlineStr">
        <is>
          <t>C</t>
        </is>
      </c>
      <c r="F4170" s="13" t="n">
        <v>1</v>
      </c>
      <c r="G4170" s="13" t="n">
        <v>1</v>
      </c>
      <c r="H4170" s="8" t="n">
        <v>16.97</v>
      </c>
      <c r="I4170" s="8" t="n">
        <v>16.97</v>
      </c>
      <c r="J4170" s="8" t="n">
        <v>16.97</v>
      </c>
      <c r="K4170" s="8" t="n"/>
      <c r="L4170" s="8" t="n"/>
      <c r="M4170" s="8" t="n"/>
      <c r="N4170" s="8" t="n"/>
      <c r="O4170" s="8" t="n"/>
      <c r="P4170" s="15" t="n">
        <v>21.41</v>
      </c>
      <c r="Q4170" s="8" t="n"/>
      <c r="R4170" s="8" t="n"/>
      <c r="S4170" s="8" t="n"/>
      <c r="T4170" s="7" t="inlineStr">
        <is>
          <t>NAZARIA</t>
        </is>
      </c>
      <c r="U4170" s="8" t="n">
        <v>21.41</v>
      </c>
      <c r="V4170" s="14">
        <f>U4170/J4170-1</f>
        <v/>
      </c>
      <c r="W4170" s="14">
        <f>U4170/H4170-1</f>
        <v/>
      </c>
      <c r="X4170" s="16" t="inlineStr">
        <is>
          <t>ACIMA +26.2%</t>
        </is>
      </c>
      <c r="Y4170" s="7" t="inlineStr"/>
    </row>
    <row r="4171">
      <c r="A4171" s="7" t="n">
        <v>617121</v>
      </c>
      <c r="B4171" s="12" t="inlineStr">
        <is>
          <t>7896512959850</t>
        </is>
      </c>
      <c r="C4171" s="7" t="inlineStr">
        <is>
          <t>SHP GRANADO BEBE CALENDULA 250ML</t>
        </is>
      </c>
      <c r="D4171" s="7" t="inlineStr">
        <is>
          <t>BABY/KIDS</t>
        </is>
      </c>
      <c r="E4171" s="7" t="inlineStr">
        <is>
          <t>C</t>
        </is>
      </c>
      <c r="F4171" s="13" t="n">
        <v>1</v>
      </c>
      <c r="G4171" s="13" t="n">
        <v>1</v>
      </c>
      <c r="H4171" s="8" t="n">
        <v>12.22</v>
      </c>
      <c r="I4171" s="8" t="n">
        <v>12.22</v>
      </c>
      <c r="J4171" s="8" t="n">
        <v>12.22</v>
      </c>
      <c r="K4171" s="8" t="n"/>
      <c r="L4171" s="8" t="n"/>
      <c r="M4171" s="8" t="n"/>
      <c r="N4171" s="8" t="n"/>
      <c r="O4171" s="8" t="n"/>
      <c r="P4171" s="15" t="n">
        <v>15.4</v>
      </c>
      <c r="Q4171" s="8" t="n"/>
      <c r="R4171" s="8" t="n"/>
      <c r="S4171" s="8" t="n"/>
      <c r="T4171" s="7" t="inlineStr">
        <is>
          <t>NAZARIA</t>
        </is>
      </c>
      <c r="U4171" s="8" t="n">
        <v>15.4</v>
      </c>
      <c r="V4171" s="14">
        <f>U4171/J4171-1</f>
        <v/>
      </c>
      <c r="W4171" s="14">
        <f>U4171/H4171-1</f>
        <v/>
      </c>
      <c r="X4171" s="16" t="inlineStr">
        <is>
          <t>ACIMA +26.0%</t>
        </is>
      </c>
      <c r="Y4171" s="7" t="inlineStr"/>
    </row>
    <row r="4172">
      <c r="A4172" s="7" t="n">
        <v>567321</v>
      </c>
      <c r="B4172" s="12" t="inlineStr">
        <is>
          <t>7891010030889</t>
        </is>
      </c>
      <c r="C4172" s="7" t="inlineStr">
        <is>
          <t>SHP J J BABY CAB CLAROS 200ML</t>
        </is>
      </c>
      <c r="D4172" s="7" t="inlineStr">
        <is>
          <t>BABY/KIDS</t>
        </is>
      </c>
      <c r="E4172" s="7" t="inlineStr">
        <is>
          <t>C</t>
        </is>
      </c>
      <c r="F4172" s="13" t="n">
        <v>1</v>
      </c>
      <c r="G4172" s="13" t="n">
        <v>1</v>
      </c>
      <c r="H4172" s="8" t="n">
        <v>17.8506</v>
      </c>
      <c r="I4172" s="8" t="n">
        <v>17.8506</v>
      </c>
      <c r="J4172" s="8" t="n">
        <v>17.8506</v>
      </c>
      <c r="K4172" s="8" t="n"/>
      <c r="L4172" s="8" t="n"/>
      <c r="M4172" s="8" t="n"/>
      <c r="N4172" s="8" t="n"/>
      <c r="O4172" s="8" t="n"/>
      <c r="P4172" s="15" t="n">
        <v>17.02</v>
      </c>
      <c r="Q4172" s="8" t="n"/>
      <c r="R4172" s="8" t="n"/>
      <c r="S4172" s="8" t="n"/>
      <c r="T4172" s="7" t="inlineStr">
        <is>
          <t>NAZARIA</t>
        </is>
      </c>
      <c r="U4172" s="8" t="n">
        <v>17.02</v>
      </c>
      <c r="V4172" s="14">
        <f>U4172/J4172-1</f>
        <v/>
      </c>
      <c r="W4172" s="14">
        <f>U4172/H4172-1</f>
        <v/>
      </c>
      <c r="X4172" s="17" t="inlineStr">
        <is>
          <t>OK (≤ menor hist.)</t>
        </is>
      </c>
      <c r="Y4172" s="7" t="inlineStr"/>
    </row>
    <row r="4173">
      <c r="A4173" s="7" t="n">
        <v>556721</v>
      </c>
      <c r="B4173" s="12" t="inlineStr">
        <is>
          <t>7891010030094</t>
        </is>
      </c>
      <c r="C4173" s="7" t="inlineStr">
        <is>
          <t>SHP J J BABY REG 200ML</t>
        </is>
      </c>
      <c r="D4173" s="7" t="inlineStr">
        <is>
          <t>BABY/KIDS</t>
        </is>
      </c>
      <c r="E4173" s="7" t="inlineStr">
        <is>
          <t>C</t>
        </is>
      </c>
      <c r="F4173" s="13" t="n">
        <v>4</v>
      </c>
      <c r="G4173" s="13" t="n">
        <v>4</v>
      </c>
      <c r="H4173" s="8" t="n">
        <v>15.1533</v>
      </c>
      <c r="I4173" s="8" t="n">
        <v>12.915</v>
      </c>
      <c r="J4173" s="8" t="n">
        <v>14.4072</v>
      </c>
      <c r="K4173" s="8" t="n"/>
      <c r="L4173" s="8" t="n"/>
      <c r="M4173" s="8" t="n"/>
      <c r="N4173" s="8" t="n"/>
      <c r="O4173" s="8" t="n"/>
      <c r="P4173" s="15" t="n">
        <v>17.02</v>
      </c>
      <c r="Q4173" s="8" t="n"/>
      <c r="R4173" s="8" t="n"/>
      <c r="S4173" s="8" t="n"/>
      <c r="T4173" s="7" t="inlineStr">
        <is>
          <t>NAZARIA</t>
        </is>
      </c>
      <c r="U4173" s="8" t="n">
        <v>17.02</v>
      </c>
      <c r="V4173" s="14">
        <f>U4173/J4173-1</f>
        <v/>
      </c>
      <c r="W4173" s="14">
        <f>U4173/H4173-1</f>
        <v/>
      </c>
      <c r="X4173" s="16" t="inlineStr">
        <is>
          <t>ACIMA +12.3%</t>
        </is>
      </c>
      <c r="Y4173" s="7" t="inlineStr"/>
    </row>
    <row r="4174">
      <c r="A4174" s="7" t="n">
        <v>663321</v>
      </c>
      <c r="B4174" s="12" t="inlineStr">
        <is>
          <t>7891150099845</t>
        </is>
      </c>
      <c r="C4174" s="7" t="inlineStr">
        <is>
          <t>SHP SEDA LUMINOSO UV 300ML   UNIL %DN:10.00</t>
        </is>
      </c>
      <c r="D4174" s="7" t="inlineStr">
        <is>
          <t>COND/SHAM/CREM/SIMILARES</t>
        </is>
      </c>
      <c r="E4174" s="7" t="inlineStr">
        <is>
          <t>C</t>
        </is>
      </c>
      <c r="F4174" s="13" t="n">
        <v>1</v>
      </c>
      <c r="G4174" s="13" t="n">
        <v>1</v>
      </c>
      <c r="H4174" s="8" t="n">
        <v>10.14</v>
      </c>
      <c r="I4174" s="8" t="n">
        <v>10.14</v>
      </c>
      <c r="J4174" s="8" t="n">
        <v>10.14</v>
      </c>
      <c r="K4174" s="8" t="n"/>
      <c r="L4174" s="8" t="n"/>
      <c r="M4174" s="8" t="n"/>
      <c r="N4174" s="8" t="n"/>
      <c r="O4174" s="8" t="n"/>
      <c r="P4174" s="15" t="n">
        <v>10.52</v>
      </c>
      <c r="Q4174" s="8" t="n"/>
      <c r="R4174" s="8" t="n"/>
      <c r="S4174" s="8" t="n"/>
      <c r="T4174" s="7" t="inlineStr">
        <is>
          <t>NAZARIA</t>
        </is>
      </c>
      <c r="U4174" s="8" t="n">
        <v>10.52</v>
      </c>
      <c r="V4174" s="14">
        <f>U4174/J4174-1</f>
        <v/>
      </c>
      <c r="W4174" s="14">
        <f>U4174/H4174-1</f>
        <v/>
      </c>
      <c r="X4174" s="16" t="inlineStr">
        <is>
          <t>ACIMA +3.7%</t>
        </is>
      </c>
      <c r="Y4174" s="7" t="inlineStr"/>
    </row>
    <row r="4175">
      <c r="A4175" s="7" t="n">
        <v>660581</v>
      </c>
      <c r="B4175" s="12" t="inlineStr">
        <is>
          <t>7891150101616</t>
        </is>
      </c>
      <c r="C4175" s="7" t="inlineStr">
        <is>
          <t>SHP SEDA TOQUE DE SEDA 300ML</t>
        </is>
      </c>
      <c r="D4175" s="7" t="inlineStr">
        <is>
          <t>PERF/COSME</t>
        </is>
      </c>
      <c r="E4175" s="7" t="inlineStr">
        <is>
          <t>C</t>
        </is>
      </c>
      <c r="F4175" s="13" t="n">
        <v>1</v>
      </c>
      <c r="G4175" s="13" t="n">
        <v>1</v>
      </c>
      <c r="H4175" s="8" t="n">
        <v>9.255000000000001</v>
      </c>
      <c r="I4175" s="8" t="n">
        <v>9.255000000000001</v>
      </c>
      <c r="J4175" s="8" t="n">
        <v>9.255000000000001</v>
      </c>
      <c r="K4175" s="8" t="n"/>
      <c r="L4175" s="8" t="n"/>
      <c r="M4175" s="8" t="n"/>
      <c r="N4175" s="8" t="n"/>
      <c r="O4175" s="8" t="n"/>
      <c r="P4175" s="15" t="n">
        <v>10.52</v>
      </c>
      <c r="Q4175" s="8" t="n"/>
      <c r="R4175" s="8" t="n"/>
      <c r="S4175" s="8" t="n"/>
      <c r="T4175" s="7" t="inlineStr">
        <is>
          <t>NAZARIA</t>
        </is>
      </c>
      <c r="U4175" s="8" t="n">
        <v>10.52</v>
      </c>
      <c r="V4175" s="14">
        <f>U4175/J4175-1</f>
        <v/>
      </c>
      <c r="W4175" s="14">
        <f>U4175/H4175-1</f>
        <v/>
      </c>
      <c r="X4175" s="16" t="inlineStr">
        <is>
          <t>ACIMA +13.7%</t>
        </is>
      </c>
      <c r="Y4175" s="7" t="inlineStr"/>
    </row>
    <row r="4176">
      <c r="A4176" s="7" t="n">
        <v>844</v>
      </c>
      <c r="B4176" s="12" t="inlineStr">
        <is>
          <t>7898949409922</t>
        </is>
      </c>
      <c r="C4176" s="7" t="inlineStr">
        <is>
          <t>SHP TIO NACHO ENGROSSADOR 415ML</t>
        </is>
      </c>
      <c r="D4176" s="7" t="inlineStr">
        <is>
          <t>RX - DERMO</t>
        </is>
      </c>
      <c r="E4176" s="7" t="inlineStr">
        <is>
          <t>B</t>
        </is>
      </c>
      <c r="F4176" s="13" t="n">
        <v>1</v>
      </c>
      <c r="G4176" s="13" t="n">
        <v>1</v>
      </c>
      <c r="H4176" s="8" t="n">
        <v>29.05</v>
      </c>
      <c r="I4176" s="8" t="n">
        <v>21.23</v>
      </c>
      <c r="J4176" s="8" t="n">
        <v>26.44333333333333</v>
      </c>
      <c r="K4176" s="8" t="n"/>
      <c r="L4176" s="8" t="n"/>
      <c r="M4176" s="15" t="n">
        <v>25.73</v>
      </c>
      <c r="N4176" s="8" t="n"/>
      <c r="O4176" s="8" t="n"/>
      <c r="P4176" s="8" t="n">
        <v>36.11</v>
      </c>
      <c r="Q4176" s="8" t="n"/>
      <c r="R4176" s="8" t="n"/>
      <c r="S4176" s="8" t="n"/>
      <c r="T4176" s="7" t="inlineStr">
        <is>
          <t>EPAN</t>
        </is>
      </c>
      <c r="U4176" s="8" t="n">
        <v>25.73</v>
      </c>
      <c r="V4176" s="14">
        <f>U4176/J4176-1</f>
        <v/>
      </c>
      <c r="W4176" s="14">
        <f>U4176/H4176-1</f>
        <v/>
      </c>
      <c r="X4176" s="17" t="inlineStr">
        <is>
          <t>OK (≤ últ. compra)</t>
        </is>
      </c>
      <c r="Y4176" s="7" t="inlineStr"/>
    </row>
    <row r="4177">
      <c r="A4177" s="7" t="n">
        <v>660591</v>
      </c>
      <c r="B4177" s="12" t="inlineStr">
        <is>
          <t>7891150100312</t>
        </is>
      </c>
      <c r="C4177" s="7" t="inlineStr">
        <is>
          <t>SHP TRESEMME BLIND ANTIUMIDADE 650ML</t>
        </is>
      </c>
      <c r="D4177" s="7" t="inlineStr">
        <is>
          <t>PERF/COSME</t>
        </is>
      </c>
      <c r="E4177" s="7" t="inlineStr">
        <is>
          <t>C</t>
        </is>
      </c>
      <c r="F4177" s="13" t="n">
        <v>1</v>
      </c>
      <c r="G4177" s="13" t="n">
        <v>1</v>
      </c>
      <c r="H4177" s="8" t="n">
        <v>23.88</v>
      </c>
      <c r="I4177" s="8" t="n">
        <v>23.88</v>
      </c>
      <c r="J4177" s="8" t="n">
        <v>23.88</v>
      </c>
      <c r="K4177" s="8" t="n"/>
      <c r="L4177" s="8" t="n"/>
      <c r="M4177" s="8" t="n"/>
      <c r="N4177" s="8" t="n"/>
      <c r="O4177" s="8" t="n"/>
      <c r="P4177" s="15" t="n">
        <v>32.05</v>
      </c>
      <c r="Q4177" s="8" t="n"/>
      <c r="R4177" s="8" t="n"/>
      <c r="S4177" s="8" t="n"/>
      <c r="T4177" s="7" t="inlineStr">
        <is>
          <t>NAZARIA</t>
        </is>
      </c>
      <c r="U4177" s="8" t="n">
        <v>32.05</v>
      </c>
      <c r="V4177" s="14">
        <f>U4177/J4177-1</f>
        <v/>
      </c>
      <c r="W4177" s="14">
        <f>U4177/H4177-1</f>
        <v/>
      </c>
      <c r="X4177" s="16" t="inlineStr">
        <is>
          <t>ACIMA +34.2%</t>
        </is>
      </c>
      <c r="Y4177" s="7" t="inlineStr"/>
    </row>
    <row r="4178">
      <c r="A4178" s="7" t="n">
        <v>663331</v>
      </c>
      <c r="B4178" s="12" t="inlineStr">
        <is>
          <t>7891150097353</t>
        </is>
      </c>
      <c r="C4178" s="7" t="inlineStr">
        <is>
          <t>SHP+COND SEDA CAC DEFINIDOS 300ML+190ML</t>
        </is>
      </c>
      <c r="D4178" s="7" t="inlineStr">
        <is>
          <t>COND/SHAM/CREM/SIMILARES</t>
        </is>
      </c>
      <c r="E4178" s="7" t="inlineStr">
        <is>
          <t>B</t>
        </is>
      </c>
      <c r="F4178" s="13" t="n">
        <v>2</v>
      </c>
      <c r="G4178" s="13" t="n">
        <v>2</v>
      </c>
      <c r="H4178" s="8" t="n">
        <v>13.37</v>
      </c>
      <c r="I4178" s="8" t="n">
        <v>13.37</v>
      </c>
      <c r="J4178" s="8" t="n">
        <v>13.37</v>
      </c>
      <c r="K4178" s="8" t="n"/>
      <c r="L4178" s="8" t="n"/>
      <c r="M4178" s="8" t="n"/>
      <c r="N4178" s="8" t="n"/>
      <c r="O4178" s="8" t="n"/>
      <c r="P4178" s="8" t="n">
        <v>14.8</v>
      </c>
      <c r="Q4178" s="8" t="n"/>
      <c r="R4178" s="8" t="n"/>
      <c r="S4178" s="8" t="n"/>
      <c r="T4178" s="7" t="inlineStr">
        <is>
          <t>SEM COTAÇÃO</t>
        </is>
      </c>
      <c r="U4178" s="8" t="n"/>
      <c r="V4178" s="14" t="n"/>
      <c r="W4178" s="14" t="n"/>
      <c r="X4178" s="7" t="inlineStr"/>
      <c r="Y4178" s="7" t="inlineStr">
        <is>
          <t>NAZARIA: sem estoque</t>
        </is>
      </c>
    </row>
    <row r="4179">
      <c r="A4179" s="7" t="n">
        <v>635241</v>
      </c>
      <c r="B4179" s="12" t="inlineStr">
        <is>
          <t>7891033533558</t>
        </is>
      </c>
      <c r="C4179" s="7" t="inlineStr">
        <is>
          <t>SIAGE CCT PRO CRONOLOGY 250G</t>
        </is>
      </c>
      <c r="D4179" s="7" t="inlineStr">
        <is>
          <t>PERF/COSME</t>
        </is>
      </c>
      <c r="E4179" s="7" t="inlineStr">
        <is>
          <t>A</t>
        </is>
      </c>
      <c r="F4179" s="13" t="n">
        <v>2</v>
      </c>
      <c r="G4179" s="13" t="n">
        <v>2</v>
      </c>
      <c r="H4179" s="8" t="n">
        <v>61.85</v>
      </c>
      <c r="I4179" s="8" t="n">
        <v>61.85</v>
      </c>
      <c r="J4179" s="8" t="n">
        <v>61.85</v>
      </c>
      <c r="K4179" s="8" t="n"/>
      <c r="L4179" s="8" t="n"/>
      <c r="M4179" s="8" t="n"/>
      <c r="N4179" s="8" t="n"/>
      <c r="O4179" s="8" t="n"/>
      <c r="P4179" s="8" t="n"/>
      <c r="Q4179" s="8" t="n"/>
      <c r="R4179" s="8" t="n"/>
      <c r="S4179" s="8" t="n"/>
      <c r="T4179" s="7" t="inlineStr">
        <is>
          <t>SEM COTAÇÃO</t>
        </is>
      </c>
      <c r="U4179" s="8" t="n"/>
      <c r="V4179" s="14" t="n"/>
      <c r="W4179" s="14" t="n"/>
      <c r="X4179" s="7" t="inlineStr"/>
      <c r="Y4179" s="7" t="inlineStr"/>
    </row>
    <row r="4180">
      <c r="A4180" s="7" t="n">
        <v>661821</v>
      </c>
      <c r="B4180" s="12" t="inlineStr">
        <is>
          <t>7891033517459</t>
        </is>
      </c>
      <c r="C4180" s="7" t="inlineStr">
        <is>
          <t>SIAGE CO CAUTERIZACAO DOS LISOS 200ML</t>
        </is>
      </c>
      <c r="D4180" s="7" t="inlineStr">
        <is>
          <t>COND/SHAM/CREM/SIMILARES</t>
        </is>
      </c>
      <c r="E4180" s="7" t="inlineStr">
        <is>
          <t>C</t>
        </is>
      </c>
      <c r="F4180" s="13" t="n">
        <v>1</v>
      </c>
      <c r="G4180" s="13" t="n">
        <v>1</v>
      </c>
      <c r="H4180" s="8" t="n">
        <v>44.19</v>
      </c>
      <c r="I4180" s="8" t="n">
        <v>44.19</v>
      </c>
      <c r="J4180" s="8" t="n">
        <v>44.19</v>
      </c>
      <c r="K4180" s="8" t="n"/>
      <c r="L4180" s="8" t="n"/>
      <c r="M4180" s="8" t="n"/>
      <c r="N4180" s="8" t="n"/>
      <c r="O4180" s="8" t="n"/>
      <c r="P4180" s="8" t="n"/>
      <c r="Q4180" s="8" t="n"/>
      <c r="R4180" s="8" t="n"/>
      <c r="S4180" s="8" t="n"/>
      <c r="T4180" s="7" t="inlineStr">
        <is>
          <t>SEM COTAÇÃO</t>
        </is>
      </c>
      <c r="U4180" s="8" t="n"/>
      <c r="V4180" s="14" t="n"/>
      <c r="W4180" s="14" t="n"/>
      <c r="X4180" s="7" t="inlineStr"/>
      <c r="Y4180" s="7" t="inlineStr"/>
    </row>
    <row r="4181">
      <c r="A4181" s="7" t="n">
        <v>635261</v>
      </c>
      <c r="B4181" s="12" t="inlineStr">
        <is>
          <t>7891033535026</t>
        </is>
      </c>
      <c r="C4181" s="7" t="inlineStr">
        <is>
          <t>SIAGE SH ACELERA CRESCIMENTO 250ML</t>
        </is>
      </c>
      <c r="D4181" s="7" t="inlineStr">
        <is>
          <t>PERF/COSME</t>
        </is>
      </c>
      <c r="E4181" s="7" t="inlineStr">
        <is>
          <t>C</t>
        </is>
      </c>
      <c r="F4181" s="13" t="n">
        <v>1</v>
      </c>
      <c r="G4181" s="13" t="n">
        <v>1</v>
      </c>
      <c r="H4181" s="8" t="n">
        <v>42.58</v>
      </c>
      <c r="I4181" s="8" t="n">
        <v>42.58</v>
      </c>
      <c r="J4181" s="8" t="n">
        <v>42.58</v>
      </c>
      <c r="K4181" s="8" t="n"/>
      <c r="L4181" s="8" t="n"/>
      <c r="M4181" s="8" t="n"/>
      <c r="N4181" s="8" t="n"/>
      <c r="O4181" s="8" t="n"/>
      <c r="P4181" s="15" t="n">
        <v>40.7</v>
      </c>
      <c r="Q4181" s="8" t="n"/>
      <c r="R4181" s="8" t="n"/>
      <c r="S4181" s="8" t="n"/>
      <c r="T4181" s="7" t="inlineStr">
        <is>
          <t>NAZARIA</t>
        </is>
      </c>
      <c r="U4181" s="8" t="n">
        <v>40.7</v>
      </c>
      <c r="V4181" s="14">
        <f>U4181/J4181-1</f>
        <v/>
      </c>
      <c r="W4181" s="14">
        <f>U4181/H4181-1</f>
        <v/>
      </c>
      <c r="X4181" s="17" t="inlineStr">
        <is>
          <t>OK (≤ menor hist.)</t>
        </is>
      </c>
      <c r="Y4181" s="7" t="inlineStr"/>
    </row>
    <row r="4182">
      <c r="A4182" s="7" t="n">
        <v>634941</v>
      </c>
      <c r="B4182" s="12" t="inlineStr">
        <is>
          <t>7891033530946</t>
        </is>
      </c>
      <c r="C4182" s="7" t="inlineStr">
        <is>
          <t>SIAGE SH PRO CRONOLOGY 250ML</t>
        </is>
      </c>
      <c r="D4182" s="7" t="inlineStr">
        <is>
          <t>PERF/COSME</t>
        </is>
      </c>
      <c r="E4182" s="7" t="inlineStr">
        <is>
          <t>C</t>
        </is>
      </c>
      <c r="F4182" s="13" t="n">
        <v>1</v>
      </c>
      <c r="G4182" s="13" t="n">
        <v>1</v>
      </c>
      <c r="H4182" s="8" t="n">
        <v>38.32</v>
      </c>
      <c r="I4182" s="8" t="n">
        <v>38.32</v>
      </c>
      <c r="J4182" s="8" t="n">
        <v>38.32</v>
      </c>
      <c r="K4182" s="8" t="n"/>
      <c r="L4182" s="8" t="n"/>
      <c r="M4182" s="8" t="n"/>
      <c r="N4182" s="8" t="n"/>
      <c r="O4182" s="8" t="n"/>
      <c r="P4182" s="15" t="n">
        <v>40.7</v>
      </c>
      <c r="Q4182" s="8" t="n"/>
      <c r="R4182" s="8" t="n"/>
      <c r="S4182" s="8" t="n"/>
      <c r="T4182" s="7" t="inlineStr">
        <is>
          <t>NAZARIA</t>
        </is>
      </c>
      <c r="U4182" s="8" t="n">
        <v>40.7</v>
      </c>
      <c r="V4182" s="14">
        <f>U4182/J4182-1</f>
        <v/>
      </c>
      <c r="W4182" s="14">
        <f>U4182/H4182-1</f>
        <v/>
      </c>
      <c r="X4182" s="16" t="inlineStr">
        <is>
          <t>ACIMA +6.2%</t>
        </is>
      </c>
      <c r="Y4182" s="7" t="inlineStr"/>
    </row>
    <row r="4183">
      <c r="A4183" s="7" t="n">
        <v>109721</v>
      </c>
      <c r="B4183" s="12" t="inlineStr">
        <is>
          <t>7894916501477</t>
        </is>
      </c>
      <c r="C4183" s="7" t="inlineStr">
        <is>
          <t>SIGMA-CLAV BD 400+57MG/5ML SUS ORAL FR 70ML</t>
        </is>
      </c>
      <c r="D4183" s="7" t="inlineStr">
        <is>
          <t>RX - SIMILAR - ATB</t>
        </is>
      </c>
      <c r="E4183" s="7" t="inlineStr">
        <is>
          <t>B</t>
        </is>
      </c>
      <c r="F4183" s="13" t="n">
        <v>2</v>
      </c>
      <c r="G4183" s="13" t="n">
        <v>2</v>
      </c>
      <c r="H4183" s="8" t="n">
        <v>27.52</v>
      </c>
      <c r="I4183" s="8" t="n">
        <v>25.95</v>
      </c>
      <c r="J4183" s="8" t="n">
        <v>26.47333333333333</v>
      </c>
      <c r="K4183" s="8" t="n"/>
      <c r="L4183" s="8" t="n"/>
      <c r="M4183" s="15" t="n">
        <v>27.52</v>
      </c>
      <c r="N4183" s="8" t="n"/>
      <c r="O4183" s="8" t="n"/>
      <c r="P4183" s="8" t="n">
        <v>29.33775</v>
      </c>
      <c r="Q4183" s="8" t="n"/>
      <c r="R4183" s="8" t="n"/>
      <c r="S4183" s="8" t="n"/>
      <c r="T4183" s="7" t="inlineStr">
        <is>
          <t>EPAN</t>
        </is>
      </c>
      <c r="U4183" s="8" t="n">
        <v>27.52</v>
      </c>
      <c r="V4183" s="14">
        <f>U4183/J4183-1</f>
        <v/>
      </c>
      <c r="W4183" s="14">
        <f>U4183/H4183-1</f>
        <v/>
      </c>
      <c r="X4183" s="17" t="inlineStr">
        <is>
          <t>OK (≤ últ. compra)</t>
        </is>
      </c>
      <c r="Y4183" s="7" t="inlineStr"/>
    </row>
    <row r="4184">
      <c r="A4184" s="7" t="n">
        <v>605291</v>
      </c>
      <c r="B4184" s="12" t="inlineStr">
        <is>
          <t>7897460401934</t>
        </is>
      </c>
      <c r="C4184" s="7" t="inlineStr">
        <is>
          <t>SILIMALON 100+70MG CX 10 COMP REV</t>
        </is>
      </c>
      <c r="D4184" s="7" t="inlineStr">
        <is>
          <t>RX</t>
        </is>
      </c>
      <c r="E4184" s="7" t="inlineStr">
        <is>
          <t>A</t>
        </is>
      </c>
      <c r="F4184" s="13" t="n">
        <v>5</v>
      </c>
      <c r="G4184" s="13" t="n">
        <v>5</v>
      </c>
      <c r="H4184" s="8" t="n">
        <v>19.2467</v>
      </c>
      <c r="I4184" s="8" t="n">
        <v>15.4333</v>
      </c>
      <c r="J4184" s="8" t="n">
        <v>17.66546666666667</v>
      </c>
      <c r="K4184" s="8" t="n"/>
      <c r="L4184" s="8" t="n"/>
      <c r="M4184" s="15" t="n">
        <v>18.34</v>
      </c>
      <c r="N4184" s="8" t="n"/>
      <c r="O4184" s="8" t="n"/>
      <c r="P4184" s="8" t="n">
        <v>18.729</v>
      </c>
      <c r="Q4184" s="8" t="n"/>
      <c r="R4184" s="8" t="n"/>
      <c r="S4184" s="8" t="n"/>
      <c r="T4184" s="7" t="inlineStr">
        <is>
          <t>EPAN</t>
        </is>
      </c>
      <c r="U4184" s="8" t="n">
        <v>18.34</v>
      </c>
      <c r="V4184" s="14">
        <f>U4184/J4184-1</f>
        <v/>
      </c>
      <c r="W4184" s="14">
        <f>U4184/H4184-1</f>
        <v/>
      </c>
      <c r="X4184" s="17" t="inlineStr">
        <is>
          <t>OK (≤ últ. compra)</t>
        </is>
      </c>
      <c r="Y4184" s="7" t="inlineStr"/>
    </row>
    <row r="4185">
      <c r="A4185" s="7" t="n">
        <v>433941</v>
      </c>
      <c r="B4185" s="12" t="inlineStr"/>
      <c r="C4185" s="7" t="inlineStr">
        <is>
          <t>SILIMALON 100+70MG CX 30 DRG</t>
        </is>
      </c>
      <c r="D4185" s="7" t="inlineStr">
        <is>
          <t>RX</t>
        </is>
      </c>
      <c r="E4185" s="7" t="inlineStr">
        <is>
          <t>A</t>
        </is>
      </c>
      <c r="F4185" s="13" t="n">
        <v>1</v>
      </c>
      <c r="G4185" s="13" t="n">
        <v>1</v>
      </c>
      <c r="H4185" s="8" t="n">
        <v>57.7867</v>
      </c>
      <c r="I4185" s="8" t="n">
        <v>51.28</v>
      </c>
      <c r="J4185" s="8" t="n">
        <v>54.68276666666666</v>
      </c>
      <c r="K4185" s="8" t="n"/>
      <c r="L4185" s="8" t="n"/>
      <c r="M4185" s="8" t="n"/>
      <c r="N4185" s="8" t="n"/>
      <c r="O4185" s="8" t="n"/>
      <c r="P4185" s="8" t="n"/>
      <c r="Q4185" s="8" t="n"/>
      <c r="R4185" s="8" t="n"/>
      <c r="S4185" s="8" t="n"/>
      <c r="T4185" s="7" t="inlineStr">
        <is>
          <t>SEM COTAÇÃO</t>
        </is>
      </c>
      <c r="U4185" s="8" t="n"/>
      <c r="V4185" s="14" t="n"/>
      <c r="W4185" s="14" t="n"/>
      <c r="X4185" s="7" t="inlineStr"/>
      <c r="Y4185" s="7" t="inlineStr"/>
    </row>
    <row r="4186">
      <c r="A4186" s="7" t="n">
        <v>434001</v>
      </c>
      <c r="B4186" s="12" t="inlineStr">
        <is>
          <t>7897460401743</t>
        </is>
      </c>
      <c r="C4186" s="7" t="inlineStr">
        <is>
          <t>SILIMALON 140 140+100MG CX 30 COMP REV</t>
        </is>
      </c>
      <c r="D4186" s="7" t="inlineStr">
        <is>
          <t>RX</t>
        </is>
      </c>
      <c r="E4186" s="7" t="inlineStr">
        <is>
          <t>A</t>
        </is>
      </c>
      <c r="F4186" s="13" t="n">
        <v>3</v>
      </c>
      <c r="G4186" s="13" t="n">
        <v>3</v>
      </c>
      <c r="H4186" s="8" t="n">
        <v>92.47</v>
      </c>
      <c r="I4186" s="8" t="n">
        <v>84.03</v>
      </c>
      <c r="J4186" s="8" t="n">
        <v>88.16223333333335</v>
      </c>
      <c r="K4186" s="8" t="n"/>
      <c r="L4186" s="8" t="n"/>
      <c r="M4186" s="8" t="n">
        <v>90.18000000000001</v>
      </c>
      <c r="N4186" s="8" t="n"/>
      <c r="O4186" s="8" t="n"/>
      <c r="P4186" s="15" t="n">
        <v>89.982</v>
      </c>
      <c r="Q4186" s="8" t="n"/>
      <c r="R4186" s="8" t="n"/>
      <c r="S4186" s="8" t="n"/>
      <c r="T4186" s="7" t="inlineStr">
        <is>
          <t>NAZARIA</t>
        </is>
      </c>
      <c r="U4186" s="8" t="n">
        <v>89.982</v>
      </c>
      <c r="V4186" s="14">
        <f>U4186/J4186-1</f>
        <v/>
      </c>
      <c r="W4186" s="14">
        <f>U4186/H4186-1</f>
        <v/>
      </c>
      <c r="X4186" s="17" t="inlineStr">
        <is>
          <t>OK (≤ últ. compra)</t>
        </is>
      </c>
      <c r="Y4186" s="7" t="inlineStr"/>
    </row>
    <row r="4187">
      <c r="A4187" s="7" t="n">
        <v>433961</v>
      </c>
      <c r="B4187" s="12" t="inlineStr">
        <is>
          <t>7897460401750</t>
        </is>
      </c>
      <c r="C4187" s="7" t="inlineStr">
        <is>
          <t>SILIMALON 140 140+100MG CX 60 COMP REV</t>
        </is>
      </c>
      <c r="D4187" s="7" t="inlineStr">
        <is>
          <t>RX</t>
        </is>
      </c>
      <c r="E4187" s="7" t="inlineStr">
        <is>
          <t>A</t>
        </is>
      </c>
      <c r="F4187" s="13" t="n">
        <v>1</v>
      </c>
      <c r="G4187" s="13" t="n">
        <v>1</v>
      </c>
      <c r="H4187" s="8" t="n">
        <v>128.47</v>
      </c>
      <c r="I4187" s="8" t="n">
        <v>128.47</v>
      </c>
      <c r="J4187" s="8" t="n">
        <v>128.47</v>
      </c>
      <c r="K4187" s="8" t="n"/>
      <c r="L4187" s="8" t="n"/>
      <c r="M4187" s="8" t="n">
        <v>137.87</v>
      </c>
      <c r="N4187" s="8" t="n"/>
      <c r="O4187" s="8" t="n"/>
      <c r="P4187" s="15" t="n">
        <v>137.556</v>
      </c>
      <c r="Q4187" s="8" t="n"/>
      <c r="R4187" s="8" t="n"/>
      <c r="S4187" s="8" t="n"/>
      <c r="T4187" s="7" t="inlineStr">
        <is>
          <t>NAZARIA</t>
        </is>
      </c>
      <c r="U4187" s="8" t="n">
        <v>137.556</v>
      </c>
      <c r="V4187" s="14">
        <f>U4187/J4187-1</f>
        <v/>
      </c>
      <c r="W4187" s="14">
        <f>U4187/H4187-1</f>
        <v/>
      </c>
      <c r="X4187" s="16" t="inlineStr">
        <is>
          <t>ACIMA +7.1%</t>
        </is>
      </c>
      <c r="Y4187" s="7" t="inlineStr"/>
    </row>
    <row r="4188">
      <c r="A4188" s="7" t="n">
        <v>538261</v>
      </c>
      <c r="B4188" s="12" t="inlineStr">
        <is>
          <t>7894164005611</t>
        </is>
      </c>
      <c r="C4188" s="7" t="inlineStr">
        <is>
          <t>SILUSGEL SUS 100ML</t>
        </is>
      </c>
      <c r="D4188" s="7" t="inlineStr">
        <is>
          <t>SIMILAR</t>
        </is>
      </c>
      <c r="E4188" s="7" t="inlineStr">
        <is>
          <t>B</t>
        </is>
      </c>
      <c r="F4188" s="13" t="n">
        <v>4</v>
      </c>
      <c r="G4188" s="13" t="n">
        <v>4</v>
      </c>
      <c r="H4188" s="8" t="n">
        <v>7.68</v>
      </c>
      <c r="I4188" s="8" t="n">
        <v>7.63</v>
      </c>
      <c r="J4188" s="8" t="n">
        <v>7.663333333333333</v>
      </c>
      <c r="K4188" s="8" t="n">
        <v>7.98</v>
      </c>
      <c r="L4188" s="8" t="n"/>
      <c r="M4188" s="8" t="n"/>
      <c r="N4188" s="8" t="n">
        <v>8.08</v>
      </c>
      <c r="O4188" s="8" t="n">
        <v>7.91</v>
      </c>
      <c r="P4188" s="8" t="n"/>
      <c r="Q4188" s="8" t="n">
        <v>8.52</v>
      </c>
      <c r="R4188" s="15" t="n">
        <v>7.62</v>
      </c>
      <c r="S4188" s="8" t="n"/>
      <c r="T4188" s="7" t="inlineStr">
        <is>
          <t>BRASFARMA</t>
        </is>
      </c>
      <c r="U4188" s="8" t="n">
        <v>7.62</v>
      </c>
      <c r="V4188" s="14">
        <f>U4188/J4188-1</f>
        <v/>
      </c>
      <c r="W4188" s="14">
        <f>U4188/H4188-1</f>
        <v/>
      </c>
      <c r="X4188" s="17" t="inlineStr">
        <is>
          <t>OK (≤ menor hist.)</t>
        </is>
      </c>
      <c r="Y4188" s="7" t="inlineStr"/>
    </row>
    <row r="4189">
      <c r="A4189" s="7" t="n">
        <v>626961</v>
      </c>
      <c r="B4189" s="12" t="inlineStr">
        <is>
          <t>7896422520669</t>
        </is>
      </c>
      <c r="C4189" s="7" t="inlineStr">
        <is>
          <t>SIMETICONA (N.S) 125MG CX 10 CAP</t>
        </is>
      </c>
      <c r="D4189" s="7" t="inlineStr">
        <is>
          <t>GENERICO</t>
        </is>
      </c>
      <c r="E4189" s="7" t="inlineStr">
        <is>
          <t>B</t>
        </is>
      </c>
      <c r="F4189" s="13" t="n">
        <v>7</v>
      </c>
      <c r="G4189" s="13" t="n">
        <v>7</v>
      </c>
      <c r="H4189" s="8" t="n">
        <v>3.2333</v>
      </c>
      <c r="I4189" s="8" t="n">
        <v>2.5302</v>
      </c>
      <c r="J4189" s="8" t="n">
        <v>2.998933333333333</v>
      </c>
      <c r="K4189" s="8" t="n"/>
      <c r="L4189" s="8" t="n"/>
      <c r="M4189" s="8" t="n"/>
      <c r="N4189" s="8" t="n"/>
      <c r="O4189" s="8" t="n"/>
      <c r="P4189" s="15" t="n">
        <v>9.103100000000001</v>
      </c>
      <c r="Q4189" s="8" t="n"/>
      <c r="R4189" s="8" t="n"/>
      <c r="S4189" s="8" t="n"/>
      <c r="T4189" s="7" t="inlineStr">
        <is>
          <t>NAZARIA</t>
        </is>
      </c>
      <c r="U4189" s="8" t="n">
        <v>9.103100000000001</v>
      </c>
      <c r="V4189" s="14">
        <f>U4189/J4189-1</f>
        <v/>
      </c>
      <c r="W4189" s="14">
        <f>U4189/H4189-1</f>
        <v/>
      </c>
      <c r="X4189" s="16" t="inlineStr">
        <is>
          <t>ACIMA +181.5%</t>
        </is>
      </c>
      <c r="Y4189" s="7" t="inlineStr">
        <is>
          <t>NAZARIA: conferir emb.</t>
        </is>
      </c>
    </row>
    <row r="4190">
      <c r="A4190" s="7" t="n">
        <v>643171</v>
      </c>
      <c r="B4190" s="12" t="inlineStr">
        <is>
          <t>7896422522823</t>
        </is>
      </c>
      <c r="C4190" s="7" t="inlineStr">
        <is>
          <t>SIMETICONA (N.S) 40MG CX 20 COMP</t>
        </is>
      </c>
      <c r="D4190" s="7" t="inlineStr">
        <is>
          <t>SIMILAR</t>
        </is>
      </c>
      <c r="E4190" s="7" t="inlineStr">
        <is>
          <t>A</t>
        </is>
      </c>
      <c r="F4190" s="13" t="n">
        <v>31</v>
      </c>
      <c r="G4190" s="13" t="n">
        <v>31</v>
      </c>
      <c r="H4190" s="8" t="n">
        <v>2.9995</v>
      </c>
      <c r="I4190" s="8" t="n">
        <v>2.9995</v>
      </c>
      <c r="J4190" s="8" t="n">
        <v>2.9995</v>
      </c>
      <c r="K4190" s="8" t="n"/>
      <c r="L4190" s="8" t="n"/>
      <c r="M4190" s="8" t="n"/>
      <c r="N4190" s="8" t="n"/>
      <c r="O4190" s="8" t="n"/>
      <c r="P4190" s="15" t="n">
        <v>6.177599999999999</v>
      </c>
      <c r="Q4190" s="8" t="n"/>
      <c r="R4190" s="8" t="n"/>
      <c r="S4190" s="8" t="n"/>
      <c r="T4190" s="7" t="inlineStr">
        <is>
          <t>NAZARIA</t>
        </is>
      </c>
      <c r="U4190" s="8" t="n">
        <v>6.177599999999999</v>
      </c>
      <c r="V4190" s="14">
        <f>U4190/J4190-1</f>
        <v/>
      </c>
      <c r="W4190" s="14">
        <f>U4190/H4190-1</f>
        <v/>
      </c>
      <c r="X4190" s="16" t="inlineStr">
        <is>
          <t>ACIMA +106.0%</t>
        </is>
      </c>
      <c r="Y4190" s="7" t="inlineStr">
        <is>
          <t>NAZARIA: conferir emb.</t>
        </is>
      </c>
    </row>
    <row r="4191">
      <c r="A4191" s="7" t="n">
        <v>638851</v>
      </c>
      <c r="B4191" s="12" t="inlineStr">
        <is>
          <t>7896422504744</t>
        </is>
      </c>
      <c r="C4191" s="7" t="inlineStr">
        <is>
          <t>SIMETICONA (N.S) 75MG/ML EMU FR GOT 15ML</t>
        </is>
      </c>
      <c r="D4191" s="7" t="inlineStr">
        <is>
          <t>SIMILAR</t>
        </is>
      </c>
      <c r="E4191" s="7" t="inlineStr">
        <is>
          <t>C</t>
        </is>
      </c>
      <c r="F4191" s="13" t="n">
        <v>10</v>
      </c>
      <c r="G4191" s="13" t="n">
        <v>10</v>
      </c>
      <c r="H4191" s="8" t="n">
        <v>2.5777</v>
      </c>
      <c r="I4191" s="8" t="n">
        <v>2.5777</v>
      </c>
      <c r="J4191" s="8" t="n">
        <v>2.5777</v>
      </c>
      <c r="K4191" s="8" t="n"/>
      <c r="L4191" s="8" t="n"/>
      <c r="M4191" s="8" t="n"/>
      <c r="N4191" s="8" t="n"/>
      <c r="O4191" s="8" t="n"/>
      <c r="P4191" s="15" t="n">
        <v>7.3834</v>
      </c>
      <c r="Q4191" s="8" t="n"/>
      <c r="R4191" s="8" t="n"/>
      <c r="S4191" s="8" t="n"/>
      <c r="T4191" s="7" t="inlineStr">
        <is>
          <t>NAZARIA</t>
        </is>
      </c>
      <c r="U4191" s="8" t="n">
        <v>7.3834</v>
      </c>
      <c r="V4191" s="14">
        <f>U4191/J4191-1</f>
        <v/>
      </c>
      <c r="W4191" s="14">
        <f>U4191/H4191-1</f>
        <v/>
      </c>
      <c r="X4191" s="16" t="inlineStr">
        <is>
          <t>ACIMA +186.4%</t>
        </is>
      </c>
      <c r="Y4191" s="7" t="inlineStr">
        <is>
          <t>NAZARIA: conferir emb.</t>
        </is>
      </c>
    </row>
    <row r="4192">
      <c r="A4192" s="7" t="n">
        <v>619851</v>
      </c>
      <c r="B4192" s="12" t="inlineStr">
        <is>
          <t>7899620912441</t>
        </is>
      </c>
      <c r="C4192" s="7" t="inlineStr">
        <is>
          <t>SIMETICONA (N.S.) 40MG CX 20 COMP</t>
        </is>
      </c>
      <c r="D4192" s="7" t="inlineStr">
        <is>
          <t>SIMILAR</t>
        </is>
      </c>
      <c r="E4192" s="7" t="inlineStr">
        <is>
          <t>B</t>
        </is>
      </c>
      <c r="F4192" s="13" t="n">
        <v>16</v>
      </c>
      <c r="G4192" s="13" t="n">
        <v>16</v>
      </c>
      <c r="H4192" s="8" t="n">
        <v>2.97</v>
      </c>
      <c r="I4192" s="8" t="n">
        <v>2.97</v>
      </c>
      <c r="J4192" s="8" t="n">
        <v>2.97</v>
      </c>
      <c r="K4192" s="15" t="n">
        <v>2.97</v>
      </c>
      <c r="L4192" s="8" t="n"/>
      <c r="M4192" s="8" t="n"/>
      <c r="N4192" s="8" t="n">
        <v>3.15</v>
      </c>
      <c r="O4192" s="8" t="n">
        <v>3.07</v>
      </c>
      <c r="P4192" s="8" t="n"/>
      <c r="Q4192" s="8" t="n"/>
      <c r="R4192" s="8" t="n"/>
      <c r="S4192" s="8" t="n"/>
      <c r="T4192" s="7" t="inlineStr">
        <is>
          <t>DIMEC</t>
        </is>
      </c>
      <c r="U4192" s="8" t="n">
        <v>2.97</v>
      </c>
      <c r="V4192" s="14">
        <f>U4192/J4192-1</f>
        <v/>
      </c>
      <c r="W4192" s="14">
        <f>U4192/H4192-1</f>
        <v/>
      </c>
      <c r="X4192" s="17" t="inlineStr">
        <is>
          <t>OK (≤ menor hist.)</t>
        </is>
      </c>
      <c r="Y4192" s="7" t="inlineStr"/>
    </row>
    <row r="4193">
      <c r="A4193" s="7" t="n">
        <v>555741</v>
      </c>
      <c r="B4193" s="12" t="inlineStr">
        <is>
          <t>7896523226675</t>
        </is>
      </c>
      <c r="C4193" s="7" t="inlineStr">
        <is>
          <t>SIMETICONA 125MG CAPS MOLE 1 BL X 10</t>
        </is>
      </c>
      <c r="D4193" s="7" t="inlineStr">
        <is>
          <t>SIMILAR</t>
        </is>
      </c>
      <c r="E4193" s="7" t="inlineStr">
        <is>
          <t>A</t>
        </is>
      </c>
      <c r="F4193" s="13" t="n">
        <v>63</v>
      </c>
      <c r="G4193" s="13" t="n">
        <v>63</v>
      </c>
      <c r="H4193" s="8" t="n">
        <v>2.32</v>
      </c>
      <c r="I4193" s="8" t="n">
        <v>2.23</v>
      </c>
      <c r="J4193" s="8" t="n">
        <v>2.26</v>
      </c>
      <c r="K4193" s="8" t="n"/>
      <c r="L4193" s="8" t="n"/>
      <c r="M4193" s="8" t="n"/>
      <c r="N4193" s="8" t="n"/>
      <c r="O4193" s="8" t="n"/>
      <c r="P4193" s="15" t="n">
        <v>14.12</v>
      </c>
      <c r="Q4193" s="8" t="n"/>
      <c r="R4193" s="8" t="n"/>
      <c r="S4193" s="8" t="n"/>
      <c r="T4193" s="7" t="inlineStr">
        <is>
          <t>NAZARIA</t>
        </is>
      </c>
      <c r="U4193" s="8" t="n">
        <v>14.12</v>
      </c>
      <c r="V4193" s="14">
        <f>U4193/J4193-1</f>
        <v/>
      </c>
      <c r="W4193" s="14">
        <f>U4193/H4193-1</f>
        <v/>
      </c>
      <c r="X4193" s="16" t="inlineStr">
        <is>
          <t>ACIMA +508.6%</t>
        </is>
      </c>
      <c r="Y4193" s="7" t="inlineStr">
        <is>
          <t>NAZARIA: conferir emb.</t>
        </is>
      </c>
    </row>
    <row r="4194">
      <c r="A4194" s="7" t="n">
        <v>2203</v>
      </c>
      <c r="B4194" s="12" t="inlineStr">
        <is>
          <t>7894164010844</t>
        </is>
      </c>
      <c r="C4194" s="7" t="inlineStr">
        <is>
          <t>SIMETICONA 75MG 10ML GTS</t>
        </is>
      </c>
      <c r="D4194" s="7" t="inlineStr">
        <is>
          <t>SIMILAR</t>
        </is>
      </c>
      <c r="E4194" s="7" t="inlineStr">
        <is>
          <t>B</t>
        </is>
      </c>
      <c r="F4194" s="13" t="n">
        <v>19</v>
      </c>
      <c r="G4194" s="13" t="n">
        <v>19</v>
      </c>
      <c r="H4194" s="8" t="n">
        <v>1.78</v>
      </c>
      <c r="I4194" s="8" t="n">
        <v>1.77</v>
      </c>
      <c r="J4194" s="8" t="n">
        <v>1.77</v>
      </c>
      <c r="K4194" s="8" t="n"/>
      <c r="L4194" s="8" t="n"/>
      <c r="M4194" s="8" t="n"/>
      <c r="N4194" s="15" t="n">
        <v>1.57</v>
      </c>
      <c r="O4194" s="8" t="n"/>
      <c r="P4194" s="8" t="n"/>
      <c r="Q4194" s="8" t="n"/>
      <c r="R4194" s="8" t="n"/>
      <c r="S4194" s="8" t="n"/>
      <c r="T4194" s="7" t="inlineStr">
        <is>
          <t>CENTROFARMA</t>
        </is>
      </c>
      <c r="U4194" s="8" t="n">
        <v>1.57</v>
      </c>
      <c r="V4194" s="14">
        <f>U4194/J4194-1</f>
        <v/>
      </c>
      <c r="W4194" s="14">
        <f>U4194/H4194-1</f>
        <v/>
      </c>
      <c r="X4194" s="17" t="inlineStr">
        <is>
          <t>OK (≤ menor hist.)</t>
        </is>
      </c>
      <c r="Y4194" s="7" t="inlineStr"/>
    </row>
    <row r="4195">
      <c r="A4195" s="7" t="n">
        <v>4963</v>
      </c>
      <c r="B4195" s="12" t="inlineStr">
        <is>
          <t>7894164010899</t>
        </is>
      </c>
      <c r="C4195" s="7" t="inlineStr">
        <is>
          <t>SIMETICONA 75MG 15ML GTS</t>
        </is>
      </c>
      <c r="D4195" s="7" t="inlineStr">
        <is>
          <t>SIMILAR</t>
        </is>
      </c>
      <c r="E4195" s="7" t="inlineStr">
        <is>
          <t>A</t>
        </is>
      </c>
      <c r="F4195" s="13" t="n">
        <v>1</v>
      </c>
      <c r="G4195" s="13" t="n">
        <v>1</v>
      </c>
      <c r="H4195" s="8" t="n">
        <v>2.28</v>
      </c>
      <c r="I4195" s="8" t="n">
        <v>2.28</v>
      </c>
      <c r="J4195" s="8" t="n">
        <v>2.28</v>
      </c>
      <c r="K4195" s="8" t="n"/>
      <c r="L4195" s="8" t="n"/>
      <c r="M4195" s="8" t="n"/>
      <c r="N4195" s="15" t="n">
        <v>2.31</v>
      </c>
      <c r="O4195" s="8" t="n"/>
      <c r="P4195" s="8" t="n"/>
      <c r="Q4195" s="8" t="n"/>
      <c r="R4195" s="8" t="n"/>
      <c r="S4195" s="8" t="n"/>
      <c r="T4195" s="7" t="inlineStr">
        <is>
          <t>CENTROFARMA</t>
        </is>
      </c>
      <c r="U4195" s="8" t="n">
        <v>2.31</v>
      </c>
      <c r="V4195" s="14">
        <f>U4195/J4195-1</f>
        <v/>
      </c>
      <c r="W4195" s="14">
        <f>U4195/H4195-1</f>
        <v/>
      </c>
      <c r="X4195" s="16" t="inlineStr">
        <is>
          <t>ACIMA +1.3%</t>
        </is>
      </c>
      <c r="Y4195" s="7" t="inlineStr"/>
    </row>
    <row r="4196">
      <c r="A4196" s="7" t="n">
        <v>555501</v>
      </c>
      <c r="B4196" s="12" t="inlineStr">
        <is>
          <t>7896523212319</t>
        </is>
      </c>
      <c r="C4196" s="7" t="inlineStr">
        <is>
          <t>SIMETICONA 75MG/ML EMU OR FR 15ML</t>
        </is>
      </c>
      <c r="D4196" s="7" t="inlineStr">
        <is>
          <t>SIMILAR</t>
        </is>
      </c>
      <c r="E4196" s="7" t="inlineStr">
        <is>
          <t>A</t>
        </is>
      </c>
      <c r="F4196" s="13" t="n">
        <v>40</v>
      </c>
      <c r="G4196" s="13" t="n">
        <v>40</v>
      </c>
      <c r="H4196" s="8" t="n">
        <v>2.09</v>
      </c>
      <c r="I4196" s="8" t="n">
        <v>1.82</v>
      </c>
      <c r="J4196" s="8" t="n">
        <v>1.91</v>
      </c>
      <c r="K4196" s="8" t="n"/>
      <c r="L4196" s="8" t="n"/>
      <c r="M4196" s="8" t="n"/>
      <c r="N4196" s="8" t="n"/>
      <c r="O4196" s="8" t="n"/>
      <c r="P4196" s="15" t="n">
        <v>10.41</v>
      </c>
      <c r="Q4196" s="8" t="n"/>
      <c r="R4196" s="8" t="n"/>
      <c r="S4196" s="8" t="n"/>
      <c r="T4196" s="7" t="inlineStr">
        <is>
          <t>NAZARIA</t>
        </is>
      </c>
      <c r="U4196" s="8" t="n">
        <v>10.41</v>
      </c>
      <c r="V4196" s="14">
        <f>U4196/J4196-1</f>
        <v/>
      </c>
      <c r="W4196" s="14">
        <f>U4196/H4196-1</f>
        <v/>
      </c>
      <c r="X4196" s="16" t="inlineStr">
        <is>
          <t>ACIMA +398.1%</t>
        </is>
      </c>
      <c r="Y4196" s="7" t="inlineStr">
        <is>
          <t>NAZARIA: conferir emb.</t>
        </is>
      </c>
    </row>
    <row r="4197">
      <c r="A4197" s="7" t="n">
        <v>110341</v>
      </c>
      <c r="B4197" s="12" t="inlineStr">
        <is>
          <t>7891317421748</t>
        </is>
      </c>
      <c r="C4197" s="7" t="inlineStr">
        <is>
          <t>SINOT CLAV 875+125MG FR 14 COMP</t>
        </is>
      </c>
      <c r="D4197" s="7" t="inlineStr">
        <is>
          <t>RX - SIMILAR - ATB</t>
        </is>
      </c>
      <c r="E4197" s="7" t="inlineStr">
        <is>
          <t>B</t>
        </is>
      </c>
      <c r="F4197" s="13" t="n">
        <v>2</v>
      </c>
      <c r="G4197" s="13" t="n">
        <v>2</v>
      </c>
      <c r="H4197" s="8" t="n">
        <v>61.45</v>
      </c>
      <c r="I4197" s="8" t="n">
        <v>59.13</v>
      </c>
      <c r="J4197" s="8" t="n">
        <v>59.90333333333334</v>
      </c>
      <c r="K4197" s="8" t="n"/>
      <c r="L4197" s="8" t="n"/>
      <c r="M4197" s="8" t="n"/>
      <c r="N4197" s="8" t="n"/>
      <c r="O4197" s="15" t="n">
        <v>59.77</v>
      </c>
      <c r="P4197" s="8" t="n">
        <v>62.3084</v>
      </c>
      <c r="Q4197" s="8" t="n"/>
      <c r="R4197" s="8" t="n"/>
      <c r="S4197" s="8" t="n"/>
      <c r="T4197" s="7" t="inlineStr">
        <is>
          <t>TAPAJOS</t>
        </is>
      </c>
      <c r="U4197" s="8" t="n">
        <v>59.77</v>
      </c>
      <c r="V4197" s="14">
        <f>U4197/J4197-1</f>
        <v/>
      </c>
      <c r="W4197" s="14">
        <f>U4197/H4197-1</f>
        <v/>
      </c>
      <c r="X4197" s="17" t="inlineStr">
        <is>
          <t>OK (≤ últ. compra)</t>
        </is>
      </c>
      <c r="Y4197" s="7" t="inlineStr"/>
    </row>
    <row r="4198">
      <c r="A4198" s="7" t="n">
        <v>219981</v>
      </c>
      <c r="B4198" s="12" t="inlineStr"/>
      <c r="C4198" s="7" t="inlineStr">
        <is>
          <t>SINTAFLAT (N.S.) 40MG CX 20 COMP</t>
        </is>
      </c>
      <c r="D4198" s="7" t="inlineStr">
        <is>
          <t>SIMILAR</t>
        </is>
      </c>
      <c r="E4198" s="7" t="inlineStr">
        <is>
          <t>C</t>
        </is>
      </c>
      <c r="F4198" s="13" t="n">
        <v>5</v>
      </c>
      <c r="G4198" s="13" t="n">
        <v>5</v>
      </c>
      <c r="H4198" s="8" t="n">
        <v>2.97</v>
      </c>
      <c r="I4198" s="8" t="n">
        <v>2.97</v>
      </c>
      <c r="J4198" s="8" t="n">
        <v>2.97</v>
      </c>
      <c r="K4198" s="8" t="n"/>
      <c r="L4198" s="8" t="n"/>
      <c r="M4198" s="8" t="n"/>
      <c r="N4198" s="8" t="n"/>
      <c r="O4198" s="8" t="n"/>
      <c r="P4198" s="8" t="n"/>
      <c r="Q4198" s="8" t="n"/>
      <c r="R4198" s="8" t="n"/>
      <c r="S4198" s="8" t="n"/>
      <c r="T4198" s="7" t="inlineStr">
        <is>
          <t>SEM COTAÇÃO</t>
        </is>
      </c>
      <c r="U4198" s="8" t="n"/>
      <c r="V4198" s="14" t="n"/>
      <c r="W4198" s="14" t="n"/>
      <c r="X4198" s="7" t="inlineStr"/>
      <c r="Y4198" s="7" t="inlineStr"/>
    </row>
    <row r="4199">
      <c r="A4199" s="7" t="n">
        <v>114821</v>
      </c>
      <c r="B4199" s="12" t="inlineStr">
        <is>
          <t>7896082900337</t>
        </is>
      </c>
      <c r="C4199" s="7" t="inlineStr">
        <is>
          <t>SINUSTRAT FR 10ML</t>
        </is>
      </c>
      <c r="D4199" s="7" t="inlineStr">
        <is>
          <t>RX - OTC</t>
        </is>
      </c>
      <c r="E4199" s="7" t="inlineStr">
        <is>
          <t>C</t>
        </is>
      </c>
      <c r="F4199" s="13" t="n">
        <v>1</v>
      </c>
      <c r="G4199" s="13" t="n">
        <v>1</v>
      </c>
      <c r="H4199" s="8" t="n">
        <v>13.3867</v>
      </c>
      <c r="I4199" s="8" t="n">
        <v>13.3867</v>
      </c>
      <c r="J4199" s="8" t="n">
        <v>13.3867</v>
      </c>
      <c r="K4199" s="8" t="n"/>
      <c r="L4199" s="8" t="n"/>
      <c r="M4199" s="15" t="n">
        <v>16.46</v>
      </c>
      <c r="N4199" s="8" t="n"/>
      <c r="O4199" s="8" t="n"/>
      <c r="P4199" s="8" t="n">
        <v>18.2574</v>
      </c>
      <c r="Q4199" s="8" t="n"/>
      <c r="R4199" s="8" t="n"/>
      <c r="S4199" s="8" t="n"/>
      <c r="T4199" s="7" t="inlineStr">
        <is>
          <t>EPAN</t>
        </is>
      </c>
      <c r="U4199" s="8" t="n">
        <v>16.46</v>
      </c>
      <c r="V4199" s="14">
        <f>U4199/J4199-1</f>
        <v/>
      </c>
      <c r="W4199" s="14">
        <f>U4199/H4199-1</f>
        <v/>
      </c>
      <c r="X4199" s="16" t="inlineStr">
        <is>
          <t>ACIMA +23.0%</t>
        </is>
      </c>
      <c r="Y4199" s="7" t="inlineStr"/>
    </row>
    <row r="4200">
      <c r="A4200" s="7" t="n">
        <v>438221</v>
      </c>
      <c r="B4200" s="12" t="inlineStr">
        <is>
          <t>7898060138091</t>
        </is>
      </c>
      <c r="C4200" s="7" t="inlineStr">
        <is>
          <t>SINVASMAX 40MG CX 30 COMP REV</t>
        </is>
      </c>
      <c r="D4200" s="7" t="inlineStr">
        <is>
          <t>SIMILAR</t>
        </is>
      </c>
      <c r="E4200" s="7" t="inlineStr">
        <is>
          <t>C</t>
        </is>
      </c>
      <c r="F4200" s="13" t="n">
        <v>3</v>
      </c>
      <c r="G4200" s="13" t="n">
        <v>3</v>
      </c>
      <c r="H4200" s="8" t="n">
        <v>5.09</v>
      </c>
      <c r="I4200" s="8" t="n">
        <v>5.09</v>
      </c>
      <c r="J4200" s="8" t="n">
        <v>5.09</v>
      </c>
      <c r="K4200" s="8" t="n"/>
      <c r="L4200" s="8" t="n"/>
      <c r="M4200" s="8" t="n"/>
      <c r="N4200" s="15" t="n">
        <v>5.46</v>
      </c>
      <c r="O4200" s="8" t="n"/>
      <c r="P4200" s="8" t="n"/>
      <c r="Q4200" s="8" t="n"/>
      <c r="R4200" s="8" t="n"/>
      <c r="S4200" s="8" t="n"/>
      <c r="T4200" s="7" t="inlineStr">
        <is>
          <t>CENTROFARMA</t>
        </is>
      </c>
      <c r="U4200" s="8" t="n">
        <v>5.46</v>
      </c>
      <c r="V4200" s="14">
        <f>U4200/J4200-1</f>
        <v/>
      </c>
      <c r="W4200" s="14">
        <f>U4200/H4200-1</f>
        <v/>
      </c>
      <c r="X4200" s="16" t="inlineStr">
        <is>
          <t>ACIMA +7.3%</t>
        </is>
      </c>
      <c r="Y4200" s="7" t="inlineStr"/>
    </row>
    <row r="4201">
      <c r="A4201" s="7" t="n">
        <v>435741</v>
      </c>
      <c r="B4201" s="12" t="inlineStr">
        <is>
          <t>7896523215235</t>
        </is>
      </c>
      <c r="C4201" s="7" t="inlineStr">
        <is>
          <t>SINVASTATINA 20MG CX 30 COMP REV</t>
        </is>
      </c>
      <c r="D4201" s="7" t="inlineStr">
        <is>
          <t>GENERICO</t>
        </is>
      </c>
      <c r="E4201" s="7" t="inlineStr">
        <is>
          <t>A</t>
        </is>
      </c>
      <c r="F4201" s="13" t="n">
        <v>26</v>
      </c>
      <c r="G4201" s="13" t="n">
        <v>26</v>
      </c>
      <c r="H4201" s="8" t="n">
        <v>2.65</v>
      </c>
      <c r="I4201" s="8" t="n">
        <v>2.55</v>
      </c>
      <c r="J4201" s="8" t="n">
        <v>2.616666666666667</v>
      </c>
      <c r="K4201" s="8" t="n"/>
      <c r="L4201" s="8" t="n"/>
      <c r="M4201" s="8" t="n"/>
      <c r="N4201" s="8" t="n"/>
      <c r="O4201" s="8" t="n"/>
      <c r="P4201" s="15" t="n">
        <v>12.67</v>
      </c>
      <c r="Q4201" s="8" t="n"/>
      <c r="R4201" s="8" t="n"/>
      <c r="S4201" s="8" t="n"/>
      <c r="T4201" s="7" t="inlineStr">
        <is>
          <t>NAZARIA</t>
        </is>
      </c>
      <c r="U4201" s="8" t="n">
        <v>12.67</v>
      </c>
      <c r="V4201" s="14">
        <f>U4201/J4201-1</f>
        <v/>
      </c>
      <c r="W4201" s="14">
        <f>U4201/H4201-1</f>
        <v/>
      </c>
      <c r="X4201" s="16" t="inlineStr">
        <is>
          <t>ACIMA +378.1%</t>
        </is>
      </c>
      <c r="Y4201" s="7" t="inlineStr">
        <is>
          <t>NAZARIA: conferir emb.</t>
        </is>
      </c>
    </row>
    <row r="4202">
      <c r="A4202" s="7" t="n">
        <v>435701</v>
      </c>
      <c r="B4202" s="12" t="inlineStr">
        <is>
          <t>7896523215273</t>
        </is>
      </c>
      <c r="C4202" s="7" t="inlineStr">
        <is>
          <t>SINVASTATINA 40MG CX 30 COMP REV</t>
        </is>
      </c>
      <c r="D4202" s="7" t="inlineStr">
        <is>
          <t>GENERICO</t>
        </is>
      </c>
      <c r="E4202" s="7" t="inlineStr">
        <is>
          <t>A</t>
        </is>
      </c>
      <c r="F4202" s="13" t="n">
        <v>24</v>
      </c>
      <c r="G4202" s="13" t="n">
        <v>24</v>
      </c>
      <c r="H4202" s="8" t="n">
        <v>5.09</v>
      </c>
      <c r="I4202" s="8" t="n">
        <v>4.8</v>
      </c>
      <c r="J4202" s="8" t="n">
        <v>4.896666666666667</v>
      </c>
      <c r="K4202" s="8" t="n"/>
      <c r="L4202" s="8" t="n"/>
      <c r="M4202" s="8" t="n"/>
      <c r="N4202" s="8" t="n"/>
      <c r="O4202" s="8" t="n"/>
      <c r="P4202" s="15" t="n">
        <v>18.37</v>
      </c>
      <c r="Q4202" s="8" t="n"/>
      <c r="R4202" s="8" t="n"/>
      <c r="S4202" s="8" t="n"/>
      <c r="T4202" s="7" t="inlineStr">
        <is>
          <t>NAZARIA</t>
        </is>
      </c>
      <c r="U4202" s="8" t="n">
        <v>18.37</v>
      </c>
      <c r="V4202" s="14">
        <f>U4202/J4202-1</f>
        <v/>
      </c>
      <c r="W4202" s="14">
        <f>U4202/H4202-1</f>
        <v/>
      </c>
      <c r="X4202" s="16" t="inlineStr">
        <is>
          <t>ACIMA +260.9%</t>
        </is>
      </c>
      <c r="Y4202" s="7" t="inlineStr">
        <is>
          <t>NAZARIA: conferir emb.</t>
        </is>
      </c>
    </row>
    <row r="4203">
      <c r="A4203" s="7" t="n">
        <v>436201</v>
      </c>
      <c r="B4203" s="12" t="inlineStr">
        <is>
          <t>7899620911079</t>
        </is>
      </c>
      <c r="C4203" s="7" t="inlineStr">
        <is>
          <t>SINVASTATINA 40MG CX 30 COMP REV</t>
        </is>
      </c>
      <c r="D4203" s="7" t="inlineStr">
        <is>
          <t>GENERICO</t>
        </is>
      </c>
      <c r="E4203" s="7" t="inlineStr">
        <is>
          <t>C</t>
        </is>
      </c>
      <c r="F4203" s="13" t="n">
        <v>3</v>
      </c>
      <c r="G4203" s="13" t="n">
        <v>3</v>
      </c>
      <c r="H4203" s="8" t="n">
        <v>5.79</v>
      </c>
      <c r="I4203" s="8" t="n">
        <v>5.79</v>
      </c>
      <c r="J4203" s="8" t="n">
        <v>5.79</v>
      </c>
      <c r="K4203" s="8" t="n">
        <v>6.13</v>
      </c>
      <c r="L4203" s="8" t="n"/>
      <c r="M4203" s="8" t="n"/>
      <c r="N4203" s="8" t="n">
        <v>6.21</v>
      </c>
      <c r="O4203" s="8" t="n"/>
      <c r="P4203" s="8" t="n"/>
      <c r="Q4203" s="8" t="n"/>
      <c r="R4203" s="15" t="n">
        <v>5.53</v>
      </c>
      <c r="S4203" s="8" t="n"/>
      <c r="T4203" s="7" t="inlineStr">
        <is>
          <t>BRASFARMA</t>
        </is>
      </c>
      <c r="U4203" s="8" t="n">
        <v>5.53</v>
      </c>
      <c r="V4203" s="14">
        <f>U4203/J4203-1</f>
        <v/>
      </c>
      <c r="W4203" s="14">
        <f>U4203/H4203-1</f>
        <v/>
      </c>
      <c r="X4203" s="17" t="inlineStr">
        <is>
          <t>OK (≤ menor hist.)</t>
        </is>
      </c>
      <c r="Y4203" s="7" t="inlineStr"/>
    </row>
    <row r="4204">
      <c r="A4204" s="7" t="n">
        <v>595781</v>
      </c>
      <c r="B4204" s="12" t="inlineStr">
        <is>
          <t>7897042013746</t>
        </is>
      </c>
      <c r="C4204" s="7" t="inlineStr">
        <is>
          <t>SKALA SH + CO 325ML ABACATE</t>
        </is>
      </c>
      <c r="D4204" s="7" t="inlineStr">
        <is>
          <t>COND/SHAM/CREM/SIMILARES</t>
        </is>
      </c>
      <c r="E4204" s="7" t="inlineStr">
        <is>
          <t>C</t>
        </is>
      </c>
      <c r="F4204" s="13" t="n">
        <v>1</v>
      </c>
      <c r="G4204" s="13" t="n">
        <v>1</v>
      </c>
      <c r="H4204" s="8" t="n">
        <v>9.56</v>
      </c>
      <c r="I4204" s="8" t="n">
        <v>9.56</v>
      </c>
      <c r="J4204" s="8" t="n">
        <v>9.56</v>
      </c>
      <c r="K4204" s="8" t="n"/>
      <c r="L4204" s="8" t="n"/>
      <c r="M4204" s="8" t="n"/>
      <c r="N4204" s="8" t="n"/>
      <c r="O4204" s="8" t="n"/>
      <c r="P4204" s="8" t="n"/>
      <c r="Q4204" s="8" t="n"/>
      <c r="R4204" s="8" t="n"/>
      <c r="S4204" s="8" t="n"/>
      <c r="T4204" s="7" t="inlineStr">
        <is>
          <t>SEM COTAÇÃO</t>
        </is>
      </c>
      <c r="U4204" s="8" t="n"/>
      <c r="V4204" s="14" t="n"/>
      <c r="W4204" s="14" t="n"/>
      <c r="X4204" s="7" t="inlineStr"/>
      <c r="Y4204" s="7" t="inlineStr"/>
    </row>
    <row r="4205">
      <c r="A4205" s="7" t="n">
        <v>529941</v>
      </c>
      <c r="B4205" s="12" t="inlineStr">
        <is>
          <t>7908134200552</t>
        </is>
      </c>
      <c r="C4205" s="7" t="inlineStr">
        <is>
          <t>SLINDA 4MG (CAIXA C/ 3 CARTELAS) C/28 COMP REV</t>
        </is>
      </c>
      <c r="D4205" s="7" t="inlineStr">
        <is>
          <t>RX</t>
        </is>
      </c>
      <c r="E4205" s="7" t="inlineStr">
        <is>
          <t>A</t>
        </is>
      </c>
      <c r="F4205" s="13" t="n">
        <v>2</v>
      </c>
      <c r="G4205" s="13" t="n">
        <v>2</v>
      </c>
      <c r="H4205" s="8" t="n">
        <v>226.51</v>
      </c>
      <c r="I4205" s="8" t="n">
        <v>67.41330000000001</v>
      </c>
      <c r="J4205" s="8" t="n">
        <v>121.7522</v>
      </c>
      <c r="K4205" s="8" t="n"/>
      <c r="L4205" s="8" t="n"/>
      <c r="M4205" s="8" t="n"/>
      <c r="N4205" s="8" t="n"/>
      <c r="O4205" s="8" t="n">
        <v>226.51</v>
      </c>
      <c r="P4205" s="15" t="n">
        <v>219.2827</v>
      </c>
      <c r="Q4205" s="8" t="n"/>
      <c r="R4205" s="8" t="n"/>
      <c r="S4205" s="8" t="n"/>
      <c r="T4205" s="7" t="inlineStr">
        <is>
          <t>NAZARIA</t>
        </is>
      </c>
      <c r="U4205" s="8" t="n">
        <v>219.2827</v>
      </c>
      <c r="V4205" s="14">
        <f>U4205/J4205-1</f>
        <v/>
      </c>
      <c r="W4205" s="14">
        <f>U4205/H4205-1</f>
        <v/>
      </c>
      <c r="X4205" s="17" t="inlineStr">
        <is>
          <t>OK (≤ últ. compra)</t>
        </is>
      </c>
      <c r="Y4205" s="7" t="inlineStr"/>
    </row>
    <row r="4206">
      <c r="A4206" s="7" t="n">
        <v>529921</v>
      </c>
      <c r="B4206" s="12" t="inlineStr">
        <is>
          <t>7908134200453</t>
        </is>
      </c>
      <c r="C4206" s="7" t="inlineStr">
        <is>
          <t>SLINDA 4MG CX 24 COMP REV+4 PLACEBOS</t>
        </is>
      </c>
      <c r="D4206" s="7" t="inlineStr">
        <is>
          <t>RX</t>
        </is>
      </c>
      <c r="E4206" s="7" t="inlineStr">
        <is>
          <t>A</t>
        </is>
      </c>
      <c r="F4206" s="13" t="n">
        <v>3</v>
      </c>
      <c r="G4206" s="13" t="n">
        <v>3</v>
      </c>
      <c r="H4206" s="8" t="n">
        <v>95.08</v>
      </c>
      <c r="I4206" s="8" t="n">
        <v>89.83499999999999</v>
      </c>
      <c r="J4206" s="8" t="n">
        <v>91.58333333333333</v>
      </c>
      <c r="K4206" s="8" t="n"/>
      <c r="L4206" s="8" t="n"/>
      <c r="M4206" s="8" t="n"/>
      <c r="N4206" s="8" t="n"/>
      <c r="O4206" s="8" t="n">
        <v>95.08</v>
      </c>
      <c r="P4206" s="15" t="n">
        <v>92.04650000000001</v>
      </c>
      <c r="Q4206" s="8" t="n"/>
      <c r="R4206" s="8" t="n"/>
      <c r="S4206" s="8" t="n"/>
      <c r="T4206" s="7" t="inlineStr">
        <is>
          <t>NAZARIA</t>
        </is>
      </c>
      <c r="U4206" s="8" t="n">
        <v>92.04650000000001</v>
      </c>
      <c r="V4206" s="14">
        <f>U4206/J4206-1</f>
        <v/>
      </c>
      <c r="W4206" s="14">
        <f>U4206/H4206-1</f>
        <v/>
      </c>
      <c r="X4206" s="17" t="inlineStr">
        <is>
          <t>OK (≤ últ. compra)</t>
        </is>
      </c>
      <c r="Y4206" s="7" t="inlineStr"/>
    </row>
    <row r="4207">
      <c r="A4207" s="7" t="n">
        <v>661611</v>
      </c>
      <c r="B4207" s="12" t="inlineStr">
        <is>
          <t>7892840822538</t>
        </is>
      </c>
      <c r="C4207" s="7" t="inlineStr">
        <is>
          <t>SNACK STIKSY 30G UN QTD. 10.00 UN</t>
        </is>
      </c>
      <c r="D4207" s="7" t="inlineStr">
        <is>
          <t>CONVENIENCIA</t>
        </is>
      </c>
      <c r="E4207" s="7" t="inlineStr">
        <is>
          <t>C</t>
        </is>
      </c>
      <c r="F4207" s="13" t="n">
        <v>3</v>
      </c>
      <c r="G4207" s="13" t="n">
        <v>3</v>
      </c>
      <c r="H4207" s="8" t="n">
        <v>2.64</v>
      </c>
      <c r="I4207" s="8" t="n">
        <v>2.64</v>
      </c>
      <c r="J4207" s="8" t="n">
        <v>2.64</v>
      </c>
      <c r="K4207" s="8" t="n"/>
      <c r="L4207" s="8" t="n"/>
      <c r="M4207" s="8" t="n"/>
      <c r="N4207" s="8" t="n"/>
      <c r="O4207" s="8" t="n"/>
      <c r="P4207" s="8" t="n"/>
      <c r="Q4207" s="8" t="n"/>
      <c r="R4207" s="8" t="n"/>
      <c r="S4207" s="8" t="n"/>
      <c r="T4207" s="7" t="inlineStr">
        <is>
          <t>SEM COTAÇÃO</t>
        </is>
      </c>
      <c r="U4207" s="8" t="n"/>
      <c r="V4207" s="14" t="n"/>
      <c r="W4207" s="14" t="n"/>
      <c r="X4207" s="7" t="inlineStr"/>
      <c r="Y4207" s="7" t="inlineStr"/>
    </row>
    <row r="4208">
      <c r="A4208" s="7" t="n">
        <v>609291</v>
      </c>
      <c r="B4208" s="12" t="inlineStr">
        <is>
          <t>7896423420180</t>
        </is>
      </c>
      <c r="C4208" s="7" t="inlineStr">
        <is>
          <t>SNICKERS ORIGINAL BARRA 45G</t>
        </is>
      </c>
      <c r="D4208" s="7" t="inlineStr">
        <is>
          <t>CONVENIENCIA</t>
        </is>
      </c>
      <c r="E4208" s="7" t="inlineStr">
        <is>
          <t>A</t>
        </is>
      </c>
      <c r="F4208" s="13" t="n">
        <v>44</v>
      </c>
      <c r="G4208" s="13" t="n">
        <v>44</v>
      </c>
      <c r="H4208" s="8" t="n">
        <v>3.2</v>
      </c>
      <c r="I4208" s="8" t="n">
        <v>2.99</v>
      </c>
      <c r="J4208" s="8" t="n">
        <v>3.06</v>
      </c>
      <c r="K4208" s="8" t="n"/>
      <c r="L4208" s="8" t="n"/>
      <c r="M4208" s="8" t="n"/>
      <c r="N4208" s="8" t="n"/>
      <c r="O4208" s="8" t="n"/>
      <c r="P4208" s="8" t="n"/>
      <c r="Q4208" s="8" t="n"/>
      <c r="R4208" s="8" t="n"/>
      <c r="S4208" s="8" t="n"/>
      <c r="T4208" s="7" t="inlineStr">
        <is>
          <t>SEM COTAÇÃO</t>
        </is>
      </c>
      <c r="U4208" s="8" t="n"/>
      <c r="V4208" s="14" t="n"/>
      <c r="W4208" s="14" t="n"/>
      <c r="X4208" s="7" t="inlineStr"/>
      <c r="Y4208" s="7" t="inlineStr"/>
    </row>
    <row r="4209">
      <c r="A4209" s="7" t="n">
        <v>645561</v>
      </c>
      <c r="B4209" s="12" t="inlineStr">
        <is>
          <t>7897930761209</t>
        </is>
      </c>
      <c r="C4209" s="7" t="inlineStr">
        <is>
          <t>SOAPEX 1% SAB 80G-DEMAIS PROD</t>
        </is>
      </c>
      <c r="D4209" s="7" t="inlineStr">
        <is>
          <t>RX - DERMO</t>
        </is>
      </c>
      <c r="E4209" s="7" t="inlineStr">
        <is>
          <t>C</t>
        </is>
      </c>
      <c r="F4209" s="13" t="n">
        <v>1</v>
      </c>
      <c r="G4209" s="13" t="n">
        <v>1</v>
      </c>
      <c r="H4209" s="8" t="n">
        <v>35.09</v>
      </c>
      <c r="I4209" s="8" t="n">
        <v>35.09</v>
      </c>
      <c r="J4209" s="8" t="n">
        <v>35.09</v>
      </c>
      <c r="K4209" s="8" t="n"/>
      <c r="L4209" s="8" t="n"/>
      <c r="M4209" s="8" t="n"/>
      <c r="N4209" s="8" t="n"/>
      <c r="O4209" s="8" t="n"/>
      <c r="P4209" s="8" t="n"/>
      <c r="Q4209" s="8" t="n"/>
      <c r="R4209" s="8" t="n"/>
      <c r="S4209" s="8" t="n"/>
      <c r="T4209" s="7" t="inlineStr">
        <is>
          <t>SEM COTAÇÃO</t>
        </is>
      </c>
      <c r="U4209" s="8" t="n"/>
      <c r="V4209" s="14" t="n"/>
      <c r="W4209" s="14" t="n"/>
      <c r="X4209" s="7" t="inlineStr"/>
      <c r="Y4209" s="7" t="inlineStr"/>
    </row>
    <row r="4210">
      <c r="A4210" s="7" t="n">
        <v>609041</v>
      </c>
      <c r="B4210" s="12" t="inlineStr">
        <is>
          <t>7897930750050</t>
        </is>
      </c>
      <c r="C4210" s="7" t="inlineStr">
        <is>
          <t>SOAPEX SAB CREMO 120ML</t>
        </is>
      </c>
      <c r="D4210" s="7" t="inlineStr">
        <is>
          <t>RX - DERMO</t>
        </is>
      </c>
      <c r="E4210" s="7" t="inlineStr">
        <is>
          <t>C</t>
        </is>
      </c>
      <c r="F4210" s="13" t="n">
        <v>1</v>
      </c>
      <c r="G4210" s="13" t="n">
        <v>1</v>
      </c>
      <c r="H4210" s="8" t="n">
        <v>38.78</v>
      </c>
      <c r="I4210" s="8" t="n">
        <v>38.78</v>
      </c>
      <c r="J4210" s="8" t="n">
        <v>38.78</v>
      </c>
      <c r="K4210" s="8" t="n"/>
      <c r="L4210" s="8" t="n"/>
      <c r="M4210" s="8" t="n"/>
      <c r="N4210" s="8" t="n"/>
      <c r="O4210" s="8" t="n"/>
      <c r="P4210" s="8" t="n"/>
      <c r="Q4210" s="8" t="n"/>
      <c r="R4210" s="8" t="n"/>
      <c r="S4210" s="8" t="n"/>
      <c r="T4210" s="7" t="inlineStr">
        <is>
          <t>SEM COTAÇÃO</t>
        </is>
      </c>
      <c r="U4210" s="8" t="n"/>
      <c r="V4210" s="14" t="n"/>
      <c r="W4210" s="14" t="n"/>
      <c r="X4210" s="7" t="inlineStr"/>
      <c r="Y4210" s="7" t="inlineStr"/>
    </row>
    <row r="4211">
      <c r="A4211" s="7" t="n">
        <v>651321</v>
      </c>
      <c r="B4211" s="12" t="inlineStr">
        <is>
          <t>7899706197946</t>
        </is>
      </c>
      <c r="C4211" s="7" t="inlineStr">
        <is>
          <t>SOLAR EXPERT ANTIOL F60 40G 3.0-DEMAIS PROD</t>
        </is>
      </c>
      <c r="D4211" s="7" t="inlineStr">
        <is>
          <t>DERMATOLOGICO</t>
        </is>
      </c>
      <c r="E4211" s="7" t="inlineStr">
        <is>
          <t>C</t>
        </is>
      </c>
      <c r="F4211" s="13" t="n">
        <v>1</v>
      </c>
      <c r="G4211" s="13" t="n">
        <v>1</v>
      </c>
      <c r="H4211" s="8" t="n">
        <v>34.79</v>
      </c>
      <c r="I4211" s="8" t="n">
        <v>34.79</v>
      </c>
      <c r="J4211" s="8" t="n">
        <v>34.79</v>
      </c>
      <c r="K4211" s="8" t="n"/>
      <c r="L4211" s="8" t="n"/>
      <c r="M4211" s="8" t="n"/>
      <c r="N4211" s="8" t="n"/>
      <c r="O4211" s="8" t="n"/>
      <c r="P4211" s="15" t="n">
        <v>44.1</v>
      </c>
      <c r="Q4211" s="8" t="n"/>
      <c r="R4211" s="8" t="n"/>
      <c r="S4211" s="8" t="n"/>
      <c r="T4211" s="7" t="inlineStr">
        <is>
          <t>NAZARIA</t>
        </is>
      </c>
      <c r="U4211" s="8" t="n">
        <v>44.1</v>
      </c>
      <c r="V4211" s="14">
        <f>U4211/J4211-1</f>
        <v/>
      </c>
      <c r="W4211" s="14">
        <f>U4211/H4211-1</f>
        <v/>
      </c>
      <c r="X4211" s="16" t="inlineStr">
        <is>
          <t>ACIMA +26.8%</t>
        </is>
      </c>
      <c r="Y4211" s="7" t="inlineStr"/>
    </row>
    <row r="4212">
      <c r="A4212" s="7" t="n">
        <v>672751</v>
      </c>
      <c r="B4212" s="12" t="inlineStr">
        <is>
          <t>7892643940040</t>
        </is>
      </c>
      <c r="C4212" s="7" t="inlineStr">
        <is>
          <t>SOLUCAO FISIOLOGICA 0,9% 1LT</t>
        </is>
      </c>
      <c r="D4212" s="7" t="inlineStr">
        <is>
          <t>UTENSILIOS</t>
        </is>
      </c>
      <c r="E4212" s="7" t="inlineStr">
        <is>
          <t>C</t>
        </is>
      </c>
      <c r="F4212" s="13" t="n">
        <v>11</v>
      </c>
      <c r="G4212" s="13" t="n">
        <v>11</v>
      </c>
      <c r="H4212" s="8" t="n">
        <v>6.49</v>
      </c>
      <c r="I4212" s="8" t="n">
        <v>6.49</v>
      </c>
      <c r="J4212" s="8" t="n">
        <v>6.489999999999999</v>
      </c>
      <c r="K4212" s="8" t="n"/>
      <c r="L4212" s="8" t="n"/>
      <c r="M4212" s="8" t="n"/>
      <c r="N4212" s="8" t="n"/>
      <c r="O4212" s="8" t="n"/>
      <c r="P4212" s="8" t="n"/>
      <c r="Q4212" s="8" t="n"/>
      <c r="R4212" s="8" t="n"/>
      <c r="S4212" s="8" t="n"/>
      <c r="T4212" s="7" t="inlineStr">
        <is>
          <t>SEM COTAÇÃO</t>
        </is>
      </c>
      <c r="U4212" s="8" t="n"/>
      <c r="V4212" s="14" t="n"/>
      <c r="W4212" s="14" t="n"/>
      <c r="X4212" s="7" t="inlineStr"/>
      <c r="Y4212" s="7" t="inlineStr"/>
    </row>
    <row r="4213">
      <c r="A4213" s="7" t="n">
        <v>588661</v>
      </c>
      <c r="B4213" s="12" t="inlineStr">
        <is>
          <t>7898031310594</t>
        </is>
      </c>
      <c r="C4213" s="7" t="inlineStr">
        <is>
          <t>SOLUCAO FISIOLOGICA 0,9% 250ML UN</t>
        </is>
      </c>
      <c r="D4213" s="7" t="inlineStr">
        <is>
          <t>OTC</t>
        </is>
      </c>
      <c r="E4213" s="7" t="inlineStr">
        <is>
          <t>C</t>
        </is>
      </c>
      <c r="F4213" s="13" t="n">
        <v>4</v>
      </c>
      <c r="G4213" s="13" t="n">
        <v>4</v>
      </c>
      <c r="H4213" s="8" t="n">
        <v>3.09</v>
      </c>
      <c r="I4213" s="8" t="n">
        <v>3.09</v>
      </c>
      <c r="J4213" s="8" t="n">
        <v>3.09</v>
      </c>
      <c r="K4213" s="15" t="n">
        <v>3.585</v>
      </c>
      <c r="L4213" s="8" t="n"/>
      <c r="M4213" s="8" t="n"/>
      <c r="N4213" s="8" t="n"/>
      <c r="O4213" s="8" t="n"/>
      <c r="P4213" s="8" t="n"/>
      <c r="Q4213" s="8" t="n"/>
      <c r="R4213" s="8" t="n"/>
      <c r="S4213" s="8" t="n"/>
      <c r="T4213" s="7" t="inlineStr">
        <is>
          <t>DIMEC</t>
        </is>
      </c>
      <c r="U4213" s="8" t="n">
        <v>3.585</v>
      </c>
      <c r="V4213" s="14">
        <f>U4213/J4213-1</f>
        <v/>
      </c>
      <c r="W4213" s="14">
        <f>U4213/H4213-1</f>
        <v/>
      </c>
      <c r="X4213" s="16" t="inlineStr">
        <is>
          <t>ACIMA +16.0%</t>
        </is>
      </c>
      <c r="Y4213" s="7" t="inlineStr"/>
    </row>
    <row r="4214">
      <c r="A4214" s="7" t="n">
        <v>553081</v>
      </c>
      <c r="B4214" s="12" t="inlineStr">
        <is>
          <t>7896138700072</t>
        </is>
      </c>
      <c r="C4214" s="7" t="inlineStr">
        <is>
          <t>SOLUCAO FISIOLOGICA 500ML</t>
        </is>
      </c>
      <c r="D4214" s="7" t="inlineStr">
        <is>
          <t>CURATIVO</t>
        </is>
      </c>
      <c r="E4214" s="7" t="inlineStr">
        <is>
          <t>A</t>
        </is>
      </c>
      <c r="F4214" s="13" t="n">
        <v>169</v>
      </c>
      <c r="G4214" s="13" t="n">
        <v>169</v>
      </c>
      <c r="H4214" s="8" t="n">
        <v>3.65</v>
      </c>
      <c r="I4214" s="8" t="n">
        <v>3.65</v>
      </c>
      <c r="J4214" s="8" t="n">
        <v>3.65</v>
      </c>
      <c r="K4214" s="8" t="n"/>
      <c r="L4214" s="8" t="n"/>
      <c r="M4214" s="8" t="n"/>
      <c r="N4214" s="8" t="n"/>
      <c r="O4214" s="8" t="n"/>
      <c r="P4214" s="8" t="n"/>
      <c r="Q4214" s="8" t="n"/>
      <c r="R4214" s="8" t="n"/>
      <c r="S4214" s="8" t="n"/>
      <c r="T4214" s="7" t="inlineStr">
        <is>
          <t>SEM COTAÇÃO</t>
        </is>
      </c>
      <c r="U4214" s="8" t="n"/>
      <c r="V4214" s="14" t="n"/>
      <c r="W4214" s="14" t="n"/>
      <c r="X4214" s="7" t="inlineStr"/>
      <c r="Y4214" s="7" t="inlineStr"/>
    </row>
    <row r="4215">
      <c r="A4215" s="7" t="n">
        <v>558381</v>
      </c>
      <c r="B4215" s="12" t="inlineStr">
        <is>
          <t>7896902212152</t>
        </is>
      </c>
      <c r="C4215" s="7" t="inlineStr">
        <is>
          <t>SOLUCAO SORIMAX 100 ML</t>
        </is>
      </c>
      <c r="D4215" s="7" t="inlineStr">
        <is>
          <t>CURATIVO</t>
        </is>
      </c>
      <c r="E4215" s="7" t="inlineStr">
        <is>
          <t>A</t>
        </is>
      </c>
      <c r="F4215" s="13" t="n">
        <v>50</v>
      </c>
      <c r="G4215" s="13" t="n">
        <v>50</v>
      </c>
      <c r="H4215" s="8" t="n">
        <v>2.69</v>
      </c>
      <c r="I4215" s="8" t="n">
        <v>2.69</v>
      </c>
      <c r="J4215" s="8" t="n">
        <v>2.69</v>
      </c>
      <c r="K4215" s="8" t="n">
        <v>2.72</v>
      </c>
      <c r="L4215" s="8" t="n"/>
      <c r="M4215" s="8" t="n"/>
      <c r="N4215" s="8" t="n">
        <v>2.7</v>
      </c>
      <c r="O4215" s="8" t="n"/>
      <c r="P4215" s="15" t="n">
        <v>2.39</v>
      </c>
      <c r="Q4215" s="8" t="n"/>
      <c r="R4215" s="8" t="n"/>
      <c r="S4215" s="8" t="n"/>
      <c r="T4215" s="7" t="inlineStr">
        <is>
          <t>NAZARIA</t>
        </is>
      </c>
      <c r="U4215" s="8" t="n">
        <v>2.39</v>
      </c>
      <c r="V4215" s="14">
        <f>U4215/J4215-1</f>
        <v/>
      </c>
      <c r="W4215" s="14">
        <f>U4215/H4215-1</f>
        <v/>
      </c>
      <c r="X4215" s="17" t="inlineStr">
        <is>
          <t>OK (≤ menor hist.)</t>
        </is>
      </c>
      <c r="Y4215" s="7" t="inlineStr"/>
    </row>
    <row r="4216">
      <c r="A4216" s="7" t="n">
        <v>264541</v>
      </c>
      <c r="B4216" s="12" t="inlineStr">
        <is>
          <t>7894916512107</t>
        </is>
      </c>
      <c r="C4216" s="7" t="inlineStr">
        <is>
          <t>SOMALGIN CARDIO 81MG 6 BLT 10 COMP REV-S</t>
        </is>
      </c>
      <c r="D4216" s="7" t="inlineStr">
        <is>
          <t>RX</t>
        </is>
      </c>
      <c r="E4216" s="7" t="inlineStr">
        <is>
          <t>B</t>
        </is>
      </c>
      <c r="F4216" s="13" t="n">
        <v>2</v>
      </c>
      <c r="G4216" s="13" t="n">
        <v>2</v>
      </c>
      <c r="H4216" s="8" t="n">
        <v>22.9</v>
      </c>
      <c r="I4216" s="8" t="n">
        <v>21.925</v>
      </c>
      <c r="J4216" s="8" t="n">
        <v>22.25</v>
      </c>
      <c r="K4216" s="8" t="n"/>
      <c r="L4216" s="8" t="n"/>
      <c r="M4216" s="8" t="n"/>
      <c r="N4216" s="8" t="n"/>
      <c r="O4216" s="8" t="n"/>
      <c r="P4216" s="15" t="n">
        <v>24.0045</v>
      </c>
      <c r="Q4216" s="8" t="n"/>
      <c r="R4216" s="8" t="n"/>
      <c r="S4216" s="8" t="n"/>
      <c r="T4216" s="7" t="inlineStr">
        <is>
          <t>NAZARIA</t>
        </is>
      </c>
      <c r="U4216" s="8" t="n">
        <v>24.0045</v>
      </c>
      <c r="V4216" s="14">
        <f>U4216/J4216-1</f>
        <v/>
      </c>
      <c r="W4216" s="14">
        <f>U4216/H4216-1</f>
        <v/>
      </c>
      <c r="X4216" s="16" t="inlineStr">
        <is>
          <t>ACIMA +4.8%</t>
        </is>
      </c>
      <c r="Y4216" s="7" t="inlineStr"/>
    </row>
    <row r="4217">
      <c r="A4217" s="7" t="n">
        <v>614861</v>
      </c>
      <c r="B4217" s="12" t="inlineStr">
        <is>
          <t>7891317011277</t>
        </is>
      </c>
      <c r="C4217" s="7" t="inlineStr">
        <is>
          <t>SONIC 50MG CX 60 COMP REV</t>
        </is>
      </c>
      <c r="D4217" s="7" t="inlineStr">
        <is>
          <t>RX - SIMILAR - CONTROLE</t>
        </is>
      </c>
      <c r="E4217" s="7" t="inlineStr">
        <is>
          <t>B</t>
        </is>
      </c>
      <c r="F4217" s="13" t="n">
        <v>2</v>
      </c>
      <c r="G4217" s="13" t="n">
        <v>2</v>
      </c>
      <c r="H4217" s="8" t="n">
        <v>41.02</v>
      </c>
      <c r="I4217" s="8" t="n">
        <v>37.98</v>
      </c>
      <c r="J4217" s="8" t="n">
        <v>38.99333333333333</v>
      </c>
      <c r="K4217" s="8" t="n"/>
      <c r="L4217" s="8" t="n"/>
      <c r="M4217" s="8" t="n"/>
      <c r="N4217" s="8" t="n"/>
      <c r="O4217" s="8" t="n"/>
      <c r="P4217" s="15" t="n">
        <v>41.5912</v>
      </c>
      <c r="Q4217" s="8" t="n"/>
      <c r="R4217" s="8" t="n"/>
      <c r="S4217" s="8" t="n"/>
      <c r="T4217" s="7" t="inlineStr">
        <is>
          <t>NAZARIA</t>
        </is>
      </c>
      <c r="U4217" s="8" t="n">
        <v>41.5912</v>
      </c>
      <c r="V4217" s="14">
        <f>U4217/J4217-1</f>
        <v/>
      </c>
      <c r="W4217" s="14">
        <f>U4217/H4217-1</f>
        <v/>
      </c>
      <c r="X4217" s="16" t="inlineStr">
        <is>
          <t>ACIMA +1.4%</t>
        </is>
      </c>
      <c r="Y4217" s="7" t="inlineStr"/>
    </row>
    <row r="4218">
      <c r="A4218" s="7" t="n">
        <v>614011</v>
      </c>
      <c r="B4218" s="12" t="inlineStr"/>
      <c r="C4218" s="7" t="inlineStr">
        <is>
          <t>SORALYT 450ML SABOR COCO</t>
        </is>
      </c>
      <c r="D4218" s="7" t="inlineStr">
        <is>
          <t>SIMILAR</t>
        </is>
      </c>
      <c r="E4218" s="7" t="inlineStr">
        <is>
          <t>A</t>
        </is>
      </c>
      <c r="F4218" s="13" t="n">
        <v>4</v>
      </c>
      <c r="G4218" s="13" t="n">
        <v>4</v>
      </c>
      <c r="H4218" s="8" t="n">
        <v>7.2</v>
      </c>
      <c r="I4218" s="8" t="n">
        <v>6.61</v>
      </c>
      <c r="J4218" s="8" t="n">
        <v>6.61</v>
      </c>
      <c r="K4218" s="8" t="n"/>
      <c r="L4218" s="8" t="n"/>
      <c r="M4218" s="8" t="n"/>
      <c r="N4218" s="8" t="n"/>
      <c r="O4218" s="8" t="n"/>
      <c r="P4218" s="8" t="n"/>
      <c r="Q4218" s="8" t="n"/>
      <c r="R4218" s="8" t="n"/>
      <c r="S4218" s="8" t="n"/>
      <c r="T4218" s="7" t="inlineStr">
        <is>
          <t>SEM COTAÇÃO</t>
        </is>
      </c>
      <c r="U4218" s="8" t="n"/>
      <c r="V4218" s="14" t="n"/>
      <c r="W4218" s="14" t="n"/>
      <c r="X4218" s="7" t="inlineStr"/>
      <c r="Y4218" s="7" t="inlineStr"/>
    </row>
    <row r="4219">
      <c r="A4219" s="7" t="n">
        <v>614021</v>
      </c>
      <c r="B4219" s="12" t="inlineStr">
        <is>
          <t>7897732608146</t>
        </is>
      </c>
      <c r="C4219" s="7" t="inlineStr">
        <is>
          <t>SORALYT 450ML SABOR MORANGO</t>
        </is>
      </c>
      <c r="D4219" s="7" t="inlineStr">
        <is>
          <t>SIMILAR</t>
        </is>
      </c>
      <c r="E4219" s="7" t="inlineStr">
        <is>
          <t>B</t>
        </is>
      </c>
      <c r="F4219" s="13" t="n">
        <v>7</v>
      </c>
      <c r="G4219" s="13" t="n">
        <v>7</v>
      </c>
      <c r="H4219" s="8" t="n">
        <v>6.55</v>
      </c>
      <c r="I4219" s="8" t="n">
        <v>6.55</v>
      </c>
      <c r="J4219" s="8" t="n">
        <v>6.55</v>
      </c>
      <c r="K4219" s="15" t="n">
        <v>6.67</v>
      </c>
      <c r="L4219" s="8" t="n"/>
      <c r="M4219" s="8" t="n"/>
      <c r="N4219" s="8" t="n">
        <v>7.06</v>
      </c>
      <c r="O4219" s="8" t="n"/>
      <c r="P4219" s="8" t="n">
        <v>7.94</v>
      </c>
      <c r="Q4219" s="8" t="n"/>
      <c r="R4219" s="8" t="n"/>
      <c r="S4219" s="8" t="n"/>
      <c r="T4219" s="7" t="inlineStr">
        <is>
          <t>DIMEC</t>
        </is>
      </c>
      <c r="U4219" s="8" t="n">
        <v>6.67</v>
      </c>
      <c r="V4219" s="14">
        <f>U4219/J4219-1</f>
        <v/>
      </c>
      <c r="W4219" s="14">
        <f>U4219/H4219-1</f>
        <v/>
      </c>
      <c r="X4219" s="16" t="inlineStr">
        <is>
          <t>ACIMA +1.8%</t>
        </is>
      </c>
      <c r="Y4219" s="7" t="inlineStr">
        <is>
          <t>NAZARIA: sem estoque</t>
        </is>
      </c>
    </row>
    <row r="4220">
      <c r="A4220" s="7" t="n">
        <v>611451</v>
      </c>
      <c r="B4220" s="12" t="inlineStr">
        <is>
          <t>7897732608108</t>
        </is>
      </c>
      <c r="C4220" s="7" t="inlineStr">
        <is>
          <t>SORALYT 450ML SABOR TRADICIONAL</t>
        </is>
      </c>
      <c r="D4220" s="7" t="inlineStr">
        <is>
          <t>SIMILAR</t>
        </is>
      </c>
      <c r="E4220" s="7" t="inlineStr">
        <is>
          <t>C</t>
        </is>
      </c>
      <c r="F4220" s="13" t="n">
        <v>2</v>
      </c>
      <c r="G4220" s="13" t="n">
        <v>2</v>
      </c>
      <c r="H4220" s="8" t="n">
        <v>6.75</v>
      </c>
      <c r="I4220" s="8" t="n">
        <v>6.75</v>
      </c>
      <c r="J4220" s="8" t="n">
        <v>6.75</v>
      </c>
      <c r="K4220" s="8" t="n"/>
      <c r="L4220" s="8" t="n"/>
      <c r="M4220" s="8" t="n"/>
      <c r="N4220" s="8" t="n"/>
      <c r="O4220" s="8" t="n"/>
      <c r="P4220" s="8" t="n"/>
      <c r="Q4220" s="8" t="n"/>
      <c r="R4220" s="8" t="n"/>
      <c r="S4220" s="8" t="n"/>
      <c r="T4220" s="7" t="inlineStr">
        <is>
          <t>SEM COTAÇÃO</t>
        </is>
      </c>
      <c r="U4220" s="8" t="n"/>
      <c r="V4220" s="14" t="n"/>
      <c r="W4220" s="14" t="n"/>
      <c r="X4220" s="7" t="inlineStr"/>
      <c r="Y4220" s="7" t="inlineStr"/>
    </row>
    <row r="4221">
      <c r="A4221" s="7" t="n">
        <v>658381</v>
      </c>
      <c r="B4221" s="12" t="inlineStr">
        <is>
          <t>7896658020315</t>
        </is>
      </c>
      <c r="C4221" s="7" t="inlineStr">
        <is>
          <t>SORINE SSC SOL NAS SPRAY 50ML-OUTROS</t>
        </is>
      </c>
      <c r="D4221" s="7" t="inlineStr">
        <is>
          <t>RX</t>
        </is>
      </c>
      <c r="E4221" s="7" t="inlineStr">
        <is>
          <t>C</t>
        </is>
      </c>
      <c r="F4221" s="13" t="n">
        <v>1</v>
      </c>
      <c r="G4221" s="13" t="n">
        <v>1</v>
      </c>
      <c r="H4221" s="8" t="n">
        <v>24.75</v>
      </c>
      <c r="I4221" s="8" t="n">
        <v>23.82</v>
      </c>
      <c r="J4221" s="8" t="n">
        <v>24.13</v>
      </c>
      <c r="K4221" s="8" t="n"/>
      <c r="L4221" s="8" t="n"/>
      <c r="M4221" s="8" t="n"/>
      <c r="N4221" s="8" t="n"/>
      <c r="O4221" s="15" t="n">
        <v>23.57</v>
      </c>
      <c r="P4221" s="8" t="n">
        <v>24.5686</v>
      </c>
      <c r="Q4221" s="8" t="n"/>
      <c r="R4221" s="8" t="n"/>
      <c r="S4221" s="8" t="n"/>
      <c r="T4221" s="7" t="inlineStr">
        <is>
          <t>TAPAJOS</t>
        </is>
      </c>
      <c r="U4221" s="8" t="n">
        <v>23.57</v>
      </c>
      <c r="V4221" s="14">
        <f>U4221/J4221-1</f>
        <v/>
      </c>
      <c r="W4221" s="14">
        <f>U4221/H4221-1</f>
        <v/>
      </c>
      <c r="X4221" s="17" t="inlineStr">
        <is>
          <t>OK (≤ menor hist.)</t>
        </is>
      </c>
      <c r="Y4221" s="7" t="inlineStr"/>
    </row>
    <row r="4222">
      <c r="A4222" s="7" t="n">
        <v>630531</v>
      </c>
      <c r="B4222" s="12" t="inlineStr">
        <is>
          <t>7892643940019</t>
        </is>
      </c>
      <c r="C4222" s="7" t="inlineStr">
        <is>
          <t>SORO FISIOLOGICO 0,9% 500ML - SANDOM</t>
        </is>
      </c>
      <c r="D4222" s="7" t="inlineStr">
        <is>
          <t>UTENSILIOS</t>
        </is>
      </c>
      <c r="E4222" s="7" t="inlineStr">
        <is>
          <t>A</t>
        </is>
      </c>
      <c r="F4222" s="13" t="n">
        <v>183</v>
      </c>
      <c r="G4222" s="13" t="n">
        <v>183</v>
      </c>
      <c r="H4222" s="8" t="n">
        <v>3.89</v>
      </c>
      <c r="I4222" s="8" t="n">
        <v>3.89</v>
      </c>
      <c r="J4222" s="8" t="n">
        <v>3.89</v>
      </c>
      <c r="K4222" s="8" t="n"/>
      <c r="L4222" s="15" t="n">
        <v>4.99</v>
      </c>
      <c r="M4222" s="8" t="n"/>
      <c r="N4222" s="8" t="n"/>
      <c r="O4222" s="8" t="n"/>
      <c r="P4222" s="8" t="n"/>
      <c r="Q4222" s="8" t="n"/>
      <c r="R4222" s="8" t="n"/>
      <c r="S4222" s="8" t="n"/>
      <c r="T4222" s="7" t="inlineStr">
        <is>
          <t>PLUSFARMA</t>
        </is>
      </c>
      <c r="U4222" s="8" t="n">
        <v>4.99</v>
      </c>
      <c r="V4222" s="14">
        <f>U4222/J4222-1</f>
        <v/>
      </c>
      <c r="W4222" s="14">
        <f>U4222/H4222-1</f>
        <v/>
      </c>
      <c r="X4222" s="16" t="inlineStr">
        <is>
          <t>ACIMA +28.3%</t>
        </is>
      </c>
      <c r="Y4222" s="7" t="inlineStr"/>
    </row>
    <row r="4223">
      <c r="A4223" s="7" t="n">
        <v>531861</v>
      </c>
      <c r="B4223" s="12" t="inlineStr">
        <is>
          <t>7898031310389</t>
        </is>
      </c>
      <c r="C4223" s="7" t="inlineStr">
        <is>
          <t>SORO FISIOLOGICO 9% 100ML</t>
        </is>
      </c>
      <c r="D4223" s="7" t="inlineStr">
        <is>
          <t>SIMILAR</t>
        </is>
      </c>
      <c r="E4223" s="7" t="inlineStr">
        <is>
          <t>A</t>
        </is>
      </c>
      <c r="F4223" s="13" t="n">
        <v>103</v>
      </c>
      <c r="G4223" s="13" t="n">
        <v>103</v>
      </c>
      <c r="H4223" s="8" t="n">
        <v>2.27</v>
      </c>
      <c r="I4223" s="8" t="n">
        <v>2.0228</v>
      </c>
      <c r="J4223" s="8" t="n">
        <v>2.094266666666666</v>
      </c>
      <c r="K4223" s="15" t="n">
        <v>2.28</v>
      </c>
      <c r="L4223" s="8" t="n"/>
      <c r="M4223" s="8" t="n"/>
      <c r="N4223" s="8" t="n">
        <v>2.78</v>
      </c>
      <c r="O4223" s="8" t="n"/>
      <c r="P4223" s="8" t="n">
        <v>2.55</v>
      </c>
      <c r="Q4223" s="8" t="n"/>
      <c r="R4223" s="8" t="n"/>
      <c r="S4223" s="8" t="n"/>
      <c r="T4223" s="7" t="inlineStr">
        <is>
          <t>DIMEC</t>
        </is>
      </c>
      <c r="U4223" s="8" t="n">
        <v>2.28</v>
      </c>
      <c r="V4223" s="14">
        <f>U4223/J4223-1</f>
        <v/>
      </c>
      <c r="W4223" s="14">
        <f>U4223/H4223-1</f>
        <v/>
      </c>
      <c r="X4223" s="16" t="inlineStr">
        <is>
          <t>ACIMA +0.4%</t>
        </is>
      </c>
      <c r="Y4223" s="7" t="inlineStr"/>
    </row>
    <row r="4224">
      <c r="A4224" s="7" t="n">
        <v>676171</v>
      </c>
      <c r="B4224" s="12" t="inlineStr">
        <is>
          <t>7898483530755</t>
        </is>
      </c>
      <c r="C4224" s="7" t="inlineStr">
        <is>
          <t>SOROFARMA - OLEO DE PEIXE - OMEGA 3 - 1000 MG - 120 CAPS - UNILIFE</t>
        </is>
      </c>
      <c r="D4224" s="7" t="inlineStr">
        <is>
          <t>VITAMINA E SIMILARES</t>
        </is>
      </c>
      <c r="E4224" s="7" t="inlineStr">
        <is>
          <t>B</t>
        </is>
      </c>
      <c r="F4224" s="13" t="n">
        <v>1</v>
      </c>
      <c r="G4224" s="13" t="n">
        <v>1</v>
      </c>
      <c r="H4224" s="8" t="n">
        <v>31.46</v>
      </c>
      <c r="I4224" s="8" t="n">
        <v>31.46</v>
      </c>
      <c r="J4224" s="8" t="n">
        <v>31.46</v>
      </c>
      <c r="K4224" s="8" t="n"/>
      <c r="L4224" s="8" t="n"/>
      <c r="M4224" s="8" t="n"/>
      <c r="N4224" s="8" t="n"/>
      <c r="O4224" s="8" t="n"/>
      <c r="P4224" s="8" t="n"/>
      <c r="Q4224" s="8" t="n"/>
      <c r="R4224" s="8" t="n"/>
      <c r="S4224" s="8" t="n"/>
      <c r="T4224" s="7" t="inlineStr">
        <is>
          <t>SEM COTAÇÃO</t>
        </is>
      </c>
      <c r="U4224" s="8" t="n"/>
      <c r="V4224" s="14" t="n"/>
      <c r="W4224" s="14" t="n"/>
      <c r="X4224" s="7" t="inlineStr"/>
      <c r="Y4224" s="7" t="inlineStr"/>
    </row>
    <row r="4225">
      <c r="A4225" s="7" t="n">
        <v>619991</v>
      </c>
      <c r="B4225" s="12" t="inlineStr">
        <is>
          <t>7898636193974</t>
        </is>
      </c>
      <c r="C4225" s="7" t="inlineStr">
        <is>
          <t>SOROX ABACAXI COM HORTELA 550ML</t>
        </is>
      </c>
      <c r="D4225" s="7" t="inlineStr">
        <is>
          <t>BEBIDAS GERAL</t>
        </is>
      </c>
      <c r="E4225" s="7" t="inlineStr">
        <is>
          <t>B</t>
        </is>
      </c>
      <c r="F4225" s="13" t="n">
        <v>4</v>
      </c>
      <c r="G4225" s="13" t="n">
        <v>4</v>
      </c>
      <c r="H4225" s="8" t="n">
        <v>6.5767</v>
      </c>
      <c r="I4225" s="8" t="n">
        <v>6.5767</v>
      </c>
      <c r="J4225" s="8" t="n">
        <v>6.5767</v>
      </c>
      <c r="K4225" s="8" t="n"/>
      <c r="L4225" s="8" t="n"/>
      <c r="M4225" s="8" t="n"/>
      <c r="N4225" s="8" t="n"/>
      <c r="O4225" s="8" t="n"/>
      <c r="P4225" s="15" t="n">
        <v>9.74</v>
      </c>
      <c r="Q4225" s="8" t="n"/>
      <c r="R4225" s="8" t="n"/>
      <c r="S4225" s="8" t="n"/>
      <c r="T4225" s="7" t="inlineStr">
        <is>
          <t>NAZARIA</t>
        </is>
      </c>
      <c r="U4225" s="8" t="n">
        <v>9.74</v>
      </c>
      <c r="V4225" s="14">
        <f>U4225/J4225-1</f>
        <v/>
      </c>
      <c r="W4225" s="14">
        <f>U4225/H4225-1</f>
        <v/>
      </c>
      <c r="X4225" s="16" t="inlineStr">
        <is>
          <t>ACIMA +48.1%</t>
        </is>
      </c>
      <c r="Y4225" s="7" t="inlineStr"/>
    </row>
    <row r="4226">
      <c r="A4226" s="7" t="n">
        <v>656951</v>
      </c>
      <c r="B4226" s="12" t="inlineStr">
        <is>
          <t>7898636194186</t>
        </is>
      </c>
      <c r="C4226" s="7" t="inlineStr">
        <is>
          <t>SOROX FRUTAS AMARELAS 550ML-DEMAIS PROD</t>
        </is>
      </c>
      <c r="D4226" s="7" t="inlineStr">
        <is>
          <t>BEBIDAS GERAL</t>
        </is>
      </c>
      <c r="E4226" s="7" t="inlineStr">
        <is>
          <t>C</t>
        </is>
      </c>
      <c r="F4226" s="13" t="n">
        <v>2</v>
      </c>
      <c r="G4226" s="13" t="n">
        <v>2</v>
      </c>
      <c r="H4226" s="8" t="n">
        <v>6.5767</v>
      </c>
      <c r="I4226" s="8" t="n">
        <v>6.5767</v>
      </c>
      <c r="J4226" s="8" t="n">
        <v>6.5767</v>
      </c>
      <c r="K4226" s="8" t="n"/>
      <c r="L4226" s="8" t="n"/>
      <c r="M4226" s="8" t="n"/>
      <c r="N4226" s="8" t="n"/>
      <c r="O4226" s="8" t="n"/>
      <c r="P4226" s="15" t="n">
        <v>9.74</v>
      </c>
      <c r="Q4226" s="8" t="n"/>
      <c r="R4226" s="8" t="n"/>
      <c r="S4226" s="8" t="n"/>
      <c r="T4226" s="7" t="inlineStr">
        <is>
          <t>NAZARIA</t>
        </is>
      </c>
      <c r="U4226" s="8" t="n">
        <v>9.74</v>
      </c>
      <c r="V4226" s="14">
        <f>U4226/J4226-1</f>
        <v/>
      </c>
      <c r="W4226" s="14">
        <f>U4226/H4226-1</f>
        <v/>
      </c>
      <c r="X4226" s="16" t="inlineStr">
        <is>
          <t>ACIMA +48.1%</t>
        </is>
      </c>
      <c r="Y4226" s="7" t="inlineStr"/>
    </row>
    <row r="4227">
      <c r="A4227" s="7" t="n">
        <v>620001</v>
      </c>
      <c r="B4227" s="12" t="inlineStr">
        <is>
          <t>7898636193882</t>
        </is>
      </c>
      <c r="C4227" s="7" t="inlineStr">
        <is>
          <t>SOROX FRUTAS VERMELHAS 550ML</t>
        </is>
      </c>
      <c r="D4227" s="7" t="inlineStr">
        <is>
          <t>BEBIDAS GERAL</t>
        </is>
      </c>
      <c r="E4227" s="7" t="inlineStr">
        <is>
          <t>B</t>
        </is>
      </c>
      <c r="F4227" s="13" t="n">
        <v>5</v>
      </c>
      <c r="G4227" s="13" t="n">
        <v>5</v>
      </c>
      <c r="H4227" s="8" t="n">
        <v>6.5767</v>
      </c>
      <c r="I4227" s="8" t="n">
        <v>6.5767</v>
      </c>
      <c r="J4227" s="8" t="n">
        <v>6.5767</v>
      </c>
      <c r="K4227" s="8" t="n"/>
      <c r="L4227" s="8" t="n"/>
      <c r="M4227" s="8" t="n"/>
      <c r="N4227" s="8" t="n"/>
      <c r="O4227" s="8" t="n"/>
      <c r="P4227" s="15" t="n">
        <v>9.74</v>
      </c>
      <c r="Q4227" s="8" t="n"/>
      <c r="R4227" s="8" t="n"/>
      <c r="S4227" s="8" t="n"/>
      <c r="T4227" s="7" t="inlineStr">
        <is>
          <t>NAZARIA</t>
        </is>
      </c>
      <c r="U4227" s="8" t="n">
        <v>9.74</v>
      </c>
      <c r="V4227" s="14">
        <f>U4227/J4227-1</f>
        <v/>
      </c>
      <c r="W4227" s="14">
        <f>U4227/H4227-1</f>
        <v/>
      </c>
      <c r="X4227" s="16" t="inlineStr">
        <is>
          <t>ACIMA +48.1%</t>
        </is>
      </c>
      <c r="Y4227" s="7" t="inlineStr"/>
    </row>
    <row r="4228">
      <c r="A4228" s="7" t="n">
        <v>609721</v>
      </c>
      <c r="B4228" s="12" t="inlineStr">
        <is>
          <t>7898636193493</t>
        </is>
      </c>
      <c r="C4228" s="7" t="inlineStr">
        <is>
          <t>SOROX LIMAO 550ML</t>
        </is>
      </c>
      <c r="D4228" s="7" t="inlineStr">
        <is>
          <t>BEBIDAS GERAL</t>
        </is>
      </c>
      <c r="E4228" s="7" t="inlineStr">
        <is>
          <t>C</t>
        </is>
      </c>
      <c r="F4228" s="13" t="n">
        <v>3</v>
      </c>
      <c r="G4228" s="13" t="n">
        <v>3</v>
      </c>
      <c r="H4228" s="8" t="n">
        <v>6.5767</v>
      </c>
      <c r="I4228" s="8" t="n">
        <v>6.5767</v>
      </c>
      <c r="J4228" s="8" t="n">
        <v>6.5767</v>
      </c>
      <c r="K4228" s="8" t="n"/>
      <c r="L4228" s="8" t="n"/>
      <c r="M4228" s="8" t="n"/>
      <c r="N4228" s="8" t="n"/>
      <c r="O4228" s="8" t="n"/>
      <c r="P4228" s="15" t="n">
        <v>9.74</v>
      </c>
      <c r="Q4228" s="8" t="n"/>
      <c r="R4228" s="8" t="n"/>
      <c r="S4228" s="8" t="n"/>
      <c r="T4228" s="7" t="inlineStr">
        <is>
          <t>NAZARIA</t>
        </is>
      </c>
      <c r="U4228" s="8" t="n">
        <v>9.74</v>
      </c>
      <c r="V4228" s="14">
        <f>U4228/J4228-1</f>
        <v/>
      </c>
      <c r="W4228" s="14">
        <f>U4228/H4228-1</f>
        <v/>
      </c>
      <c r="X4228" s="16" t="inlineStr">
        <is>
          <t>ACIMA +48.1%</t>
        </is>
      </c>
      <c r="Y4228" s="7" t="inlineStr"/>
    </row>
    <row r="4229">
      <c r="A4229" s="7" t="n">
        <v>655781</v>
      </c>
      <c r="B4229" s="12" t="inlineStr">
        <is>
          <t>7898636194193</t>
        </is>
      </c>
      <c r="C4229" s="7" t="inlineStr">
        <is>
          <t>SOROX MORANGOI COM LARANJA 550ML</t>
        </is>
      </c>
      <c r="D4229" s="7" t="inlineStr">
        <is>
          <t>BEBIDAS GERAL</t>
        </is>
      </c>
      <c r="E4229" s="7" t="inlineStr">
        <is>
          <t>C</t>
        </is>
      </c>
      <c r="F4229" s="13" t="n">
        <v>2</v>
      </c>
      <c r="G4229" s="13" t="n">
        <v>2</v>
      </c>
      <c r="H4229" s="8" t="n">
        <v>7.235</v>
      </c>
      <c r="I4229" s="8" t="n">
        <v>6.5767</v>
      </c>
      <c r="J4229" s="8" t="n">
        <v>7.015566666666667</v>
      </c>
      <c r="K4229" s="8" t="n"/>
      <c r="L4229" s="8" t="n"/>
      <c r="M4229" s="8" t="n"/>
      <c r="N4229" s="8" t="n"/>
      <c r="O4229" s="8" t="n"/>
      <c r="P4229" s="15" t="n">
        <v>9.74</v>
      </c>
      <c r="Q4229" s="8" t="n"/>
      <c r="R4229" s="8" t="n"/>
      <c r="S4229" s="8" t="n"/>
      <c r="T4229" s="7" t="inlineStr">
        <is>
          <t>NAZARIA</t>
        </is>
      </c>
      <c r="U4229" s="8" t="n">
        <v>9.74</v>
      </c>
      <c r="V4229" s="14">
        <f>U4229/J4229-1</f>
        <v/>
      </c>
      <c r="W4229" s="14">
        <f>U4229/H4229-1</f>
        <v/>
      </c>
      <c r="X4229" s="16" t="inlineStr">
        <is>
          <t>ACIMA +34.6%</t>
        </is>
      </c>
      <c r="Y4229" s="7" t="inlineStr"/>
    </row>
    <row r="4230">
      <c r="A4230" s="7" t="n">
        <v>609731</v>
      </c>
      <c r="B4230" s="12" t="inlineStr">
        <is>
          <t>7898636193509</t>
        </is>
      </c>
      <c r="C4230" s="7" t="inlineStr">
        <is>
          <t>SOROX TANGERINA 550ML</t>
        </is>
      </c>
      <c r="D4230" s="7" t="inlineStr">
        <is>
          <t>BEBIDAS GERAL</t>
        </is>
      </c>
      <c r="E4230" s="7" t="inlineStr">
        <is>
          <t>B</t>
        </is>
      </c>
      <c r="F4230" s="13" t="n">
        <v>9</v>
      </c>
      <c r="G4230" s="13" t="n">
        <v>9</v>
      </c>
      <c r="H4230" s="8" t="n">
        <v>6.5767</v>
      </c>
      <c r="I4230" s="8" t="n">
        <v>6.5767</v>
      </c>
      <c r="J4230" s="8" t="n">
        <v>6.5767</v>
      </c>
      <c r="K4230" s="8" t="n"/>
      <c r="L4230" s="8" t="n"/>
      <c r="M4230" s="8" t="n"/>
      <c r="N4230" s="8" t="n"/>
      <c r="O4230" s="8" t="n"/>
      <c r="P4230" s="15" t="n">
        <v>9.74</v>
      </c>
      <c r="Q4230" s="8" t="n"/>
      <c r="R4230" s="8" t="n"/>
      <c r="S4230" s="8" t="n"/>
      <c r="T4230" s="7" t="inlineStr">
        <is>
          <t>NAZARIA</t>
        </is>
      </c>
      <c r="U4230" s="8" t="n">
        <v>9.74</v>
      </c>
      <c r="V4230" s="14">
        <f>U4230/J4230-1</f>
        <v/>
      </c>
      <c r="W4230" s="14">
        <f>U4230/H4230-1</f>
        <v/>
      </c>
      <c r="X4230" s="16" t="inlineStr">
        <is>
          <t>ACIMA +48.1%</t>
        </is>
      </c>
      <c r="Y4230" s="7" t="inlineStr"/>
    </row>
    <row r="4231">
      <c r="A4231" s="7" t="n">
        <v>609741</v>
      </c>
      <c r="B4231" s="12" t="inlineStr">
        <is>
          <t>7898636193516</t>
        </is>
      </c>
      <c r="C4231" s="7" t="inlineStr">
        <is>
          <t>SOROX UVA 550ML</t>
        </is>
      </c>
      <c r="D4231" s="7" t="inlineStr">
        <is>
          <t>BEBIDAS GERAL</t>
        </is>
      </c>
      <c r="E4231" s="7" t="inlineStr">
        <is>
          <t>B</t>
        </is>
      </c>
      <c r="F4231" s="13" t="n">
        <v>4</v>
      </c>
      <c r="G4231" s="13" t="n">
        <v>4</v>
      </c>
      <c r="H4231" s="8" t="n">
        <v>6.5767</v>
      </c>
      <c r="I4231" s="8" t="n">
        <v>6.5767</v>
      </c>
      <c r="J4231" s="8" t="n">
        <v>6.5767</v>
      </c>
      <c r="K4231" s="8" t="n"/>
      <c r="L4231" s="8" t="n"/>
      <c r="M4231" s="8" t="n"/>
      <c r="N4231" s="8" t="n"/>
      <c r="O4231" s="8" t="n"/>
      <c r="P4231" s="15" t="n">
        <v>9.74</v>
      </c>
      <c r="Q4231" s="8" t="n"/>
      <c r="R4231" s="8" t="n"/>
      <c r="S4231" s="8" t="n"/>
      <c r="T4231" s="7" t="inlineStr">
        <is>
          <t>NAZARIA</t>
        </is>
      </c>
      <c r="U4231" s="8" t="n">
        <v>9.74</v>
      </c>
      <c r="V4231" s="14">
        <f>U4231/J4231-1</f>
        <v/>
      </c>
      <c r="W4231" s="14">
        <f>U4231/H4231-1</f>
        <v/>
      </c>
      <c r="X4231" s="16" t="inlineStr">
        <is>
          <t>ACIMA +48.1%</t>
        </is>
      </c>
      <c r="Y4231" s="7" t="inlineStr"/>
    </row>
    <row r="4232">
      <c r="A4232" s="7" t="n">
        <v>566021</v>
      </c>
      <c r="B4232" s="12" t="inlineStr"/>
      <c r="C4232" s="7" t="inlineStr">
        <is>
          <t>SORV POTE 200ML BRIGADEIRO</t>
        </is>
      </c>
      <c r="D4232" s="7" t="inlineStr">
        <is>
          <t>SORVETE E PICOLES</t>
        </is>
      </c>
      <c r="E4232" s="7" t="inlineStr">
        <is>
          <t>B</t>
        </is>
      </c>
      <c r="F4232" s="13" t="n">
        <v>1</v>
      </c>
      <c r="G4232" s="13" t="n">
        <v>1</v>
      </c>
      <c r="H4232" s="8" t="n">
        <v>23.5</v>
      </c>
      <c r="I4232" s="8" t="n">
        <v>23.5</v>
      </c>
      <c r="J4232" s="8" t="n">
        <v>23.5</v>
      </c>
      <c r="K4232" s="8" t="n"/>
      <c r="L4232" s="8" t="n"/>
      <c r="M4232" s="8" t="n"/>
      <c r="N4232" s="8" t="n"/>
      <c r="O4232" s="8" t="n"/>
      <c r="P4232" s="8" t="n"/>
      <c r="Q4232" s="8" t="n"/>
      <c r="R4232" s="8" t="n"/>
      <c r="S4232" s="8" t="n"/>
      <c r="T4232" s="7" t="inlineStr">
        <is>
          <t>SEM COTAÇÃO</t>
        </is>
      </c>
      <c r="U4232" s="8" t="n"/>
      <c r="V4232" s="14" t="n"/>
      <c r="W4232" s="14" t="n"/>
      <c r="X4232" s="7" t="inlineStr"/>
      <c r="Y4232" s="7" t="inlineStr"/>
    </row>
    <row r="4233">
      <c r="A4233" s="7" t="n">
        <v>560361</v>
      </c>
      <c r="B4233" s="12" t="inlineStr">
        <is>
          <t>7898918205043</t>
        </is>
      </c>
      <c r="C4233" s="7" t="inlineStr">
        <is>
          <t>SORVETE COPAO CREME CHOCOLATE 200ML</t>
        </is>
      </c>
      <c r="D4233" s="7" t="inlineStr">
        <is>
          <t>SORVETE E PICOLES</t>
        </is>
      </c>
      <c r="E4233" s="7" t="inlineStr">
        <is>
          <t>A</t>
        </is>
      </c>
      <c r="F4233" s="13" t="n">
        <v>1</v>
      </c>
      <c r="G4233" s="13" t="n">
        <v>16</v>
      </c>
      <c r="H4233" s="8" t="n">
        <v>7.6667</v>
      </c>
      <c r="I4233" s="8" t="n">
        <v>7.6667</v>
      </c>
      <c r="J4233" s="8" t="n">
        <v>7.6667</v>
      </c>
      <c r="K4233" s="8" t="n"/>
      <c r="L4233" s="8" t="n"/>
      <c r="M4233" s="8" t="n"/>
      <c r="N4233" s="8" t="n"/>
      <c r="O4233" s="8" t="n"/>
      <c r="P4233" s="8" t="n"/>
      <c r="Q4233" s="8" t="n"/>
      <c r="R4233" s="8" t="n"/>
      <c r="S4233" s="8" t="n"/>
      <c r="T4233" s="7" t="inlineStr">
        <is>
          <t>SEM COTAÇÃO</t>
        </is>
      </c>
      <c r="U4233" s="8" t="n"/>
      <c r="V4233" s="14" t="n"/>
      <c r="W4233" s="14" t="n"/>
      <c r="X4233" s="7" t="inlineStr"/>
      <c r="Y4233" s="7" t="inlineStr"/>
    </row>
    <row r="4234">
      <c r="A4234" s="7" t="n">
        <v>560401</v>
      </c>
      <c r="B4234" s="12" t="inlineStr">
        <is>
          <t>7898918205449</t>
        </is>
      </c>
      <c r="C4234" s="7" t="inlineStr">
        <is>
          <t>SORVETE EXCELLENCE COOKIES&amp;CREME 70G</t>
        </is>
      </c>
      <c r="D4234" s="7" t="inlineStr">
        <is>
          <t>SORVETE E PICOLES</t>
        </is>
      </c>
      <c r="E4234" s="7" t="inlineStr">
        <is>
          <t>A</t>
        </is>
      </c>
      <c r="F4234" s="13" t="n">
        <v>1</v>
      </c>
      <c r="G4234" s="13" t="n">
        <v>9</v>
      </c>
      <c r="H4234" s="8" t="n">
        <v>7.575</v>
      </c>
      <c r="I4234" s="8" t="n">
        <v>7.575</v>
      </c>
      <c r="J4234" s="8" t="n">
        <v>7.575</v>
      </c>
      <c r="K4234" s="8" t="n"/>
      <c r="L4234" s="8" t="n"/>
      <c r="M4234" s="8" t="n"/>
      <c r="N4234" s="8" t="n"/>
      <c r="O4234" s="8" t="n"/>
      <c r="P4234" s="8" t="n"/>
      <c r="Q4234" s="8" t="n"/>
      <c r="R4234" s="8" t="n"/>
      <c r="S4234" s="8" t="n"/>
      <c r="T4234" s="7" t="inlineStr">
        <is>
          <t>SEM COTAÇÃO</t>
        </is>
      </c>
      <c r="U4234" s="8" t="n"/>
      <c r="V4234" s="14" t="n"/>
      <c r="W4234" s="14" t="n"/>
      <c r="X4234" s="7" t="inlineStr"/>
      <c r="Y4234" s="7" t="inlineStr"/>
    </row>
    <row r="4235">
      <c r="A4235" s="7" t="n">
        <v>560381</v>
      </c>
      <c r="B4235" s="12" t="inlineStr">
        <is>
          <t>7898918205173</t>
        </is>
      </c>
      <c r="C4235" s="7" t="inlineStr">
        <is>
          <t>SORVETE MINI CUP QUY SORWETTO SORTIDOS</t>
        </is>
      </c>
      <c r="D4235" s="7" t="inlineStr">
        <is>
          <t>SORVETE E PICOLES</t>
        </is>
      </c>
      <c r="E4235" s="7" t="inlineStr">
        <is>
          <t>A</t>
        </is>
      </c>
      <c r="F4235" s="13" t="n">
        <v>1</v>
      </c>
      <c r="G4235" s="13" t="n">
        <v>8</v>
      </c>
      <c r="H4235" s="8" t="n">
        <v>3.1111</v>
      </c>
      <c r="I4235" s="8" t="n">
        <v>3.1111</v>
      </c>
      <c r="J4235" s="8" t="n">
        <v>3.1111</v>
      </c>
      <c r="K4235" s="8" t="n"/>
      <c r="L4235" s="8" t="n"/>
      <c r="M4235" s="8" t="n"/>
      <c r="N4235" s="8" t="n"/>
      <c r="O4235" s="8" t="n"/>
      <c r="P4235" s="8" t="n"/>
      <c r="Q4235" s="8" t="n"/>
      <c r="R4235" s="8" t="n"/>
      <c r="S4235" s="8" t="n"/>
      <c r="T4235" s="7" t="inlineStr">
        <is>
          <t>SEM COTAÇÃO</t>
        </is>
      </c>
      <c r="U4235" s="8" t="n"/>
      <c r="V4235" s="14" t="n"/>
      <c r="W4235" s="14" t="n"/>
      <c r="X4235" s="7" t="inlineStr"/>
      <c r="Y4235" s="7" t="inlineStr"/>
    </row>
    <row r="4236">
      <c r="A4236" s="7" t="n">
        <v>561941</v>
      </c>
      <c r="B4236" s="12" t="inlineStr">
        <is>
          <t>7898918205821</t>
        </is>
      </c>
      <c r="C4236" s="7" t="inlineStr">
        <is>
          <t>SORVETE POTE 1000ML CHOCOLATE</t>
        </is>
      </c>
      <c r="D4236" s="7" t="inlineStr">
        <is>
          <t>SORVETE E PICOLES</t>
        </is>
      </c>
      <c r="E4236" s="7" t="inlineStr">
        <is>
          <t>B</t>
        </is>
      </c>
      <c r="F4236" s="13" t="n">
        <v>2</v>
      </c>
      <c r="G4236" s="13" t="n">
        <v>2</v>
      </c>
      <c r="H4236" s="8" t="n">
        <v>17</v>
      </c>
      <c r="I4236" s="8" t="n">
        <v>17</v>
      </c>
      <c r="J4236" s="8" t="n">
        <v>17</v>
      </c>
      <c r="K4236" s="8" t="n"/>
      <c r="L4236" s="8" t="n"/>
      <c r="M4236" s="8" t="n"/>
      <c r="N4236" s="8" t="n"/>
      <c r="O4236" s="8" t="n"/>
      <c r="P4236" s="8" t="n"/>
      <c r="Q4236" s="8" t="n"/>
      <c r="R4236" s="8" t="n"/>
      <c r="S4236" s="8" t="n"/>
      <c r="T4236" s="7" t="inlineStr">
        <is>
          <t>SEM COTAÇÃO</t>
        </is>
      </c>
      <c r="U4236" s="8" t="n"/>
      <c r="V4236" s="14" t="n"/>
      <c r="W4236" s="14" t="n"/>
      <c r="X4236" s="7" t="inlineStr"/>
      <c r="Y4236" s="7" t="inlineStr"/>
    </row>
    <row r="4237">
      <c r="A4237" s="7" t="n">
        <v>561961</v>
      </c>
      <c r="B4237" s="12" t="inlineStr">
        <is>
          <t>7898918205791</t>
        </is>
      </c>
      <c r="C4237" s="7" t="inlineStr">
        <is>
          <t>SORVETE POTE 1000ML NAPOLITANO</t>
        </is>
      </c>
      <c r="D4237" s="7" t="inlineStr">
        <is>
          <t>SORVETE E PICOLES</t>
        </is>
      </c>
      <c r="E4237" s="7" t="inlineStr">
        <is>
          <t>A</t>
        </is>
      </c>
      <c r="F4237" s="13" t="n">
        <v>5</v>
      </c>
      <c r="G4237" s="13" t="n">
        <v>5</v>
      </c>
      <c r="H4237" s="8" t="n">
        <v>17</v>
      </c>
      <c r="I4237" s="8" t="n">
        <v>17</v>
      </c>
      <c r="J4237" s="8" t="n">
        <v>17</v>
      </c>
      <c r="K4237" s="8" t="n"/>
      <c r="L4237" s="8" t="n"/>
      <c r="M4237" s="8" t="n"/>
      <c r="N4237" s="8" t="n"/>
      <c r="O4237" s="8" t="n"/>
      <c r="P4237" s="8" t="n"/>
      <c r="Q4237" s="8" t="n"/>
      <c r="R4237" s="8" t="n"/>
      <c r="S4237" s="8" t="n"/>
      <c r="T4237" s="7" t="inlineStr">
        <is>
          <t>SEM COTAÇÃO</t>
        </is>
      </c>
      <c r="U4237" s="8" t="n"/>
      <c r="V4237" s="14" t="n"/>
      <c r="W4237" s="14" t="n"/>
      <c r="X4237" s="7" t="inlineStr"/>
      <c r="Y4237" s="7" t="inlineStr"/>
    </row>
    <row r="4238">
      <c r="A4238" s="7" t="n">
        <v>561981</v>
      </c>
      <c r="B4238" s="12" t="inlineStr">
        <is>
          <t>7898918205715</t>
        </is>
      </c>
      <c r="C4238" s="7" t="inlineStr">
        <is>
          <t>SORVETE POTE 2000ML FLOCOS</t>
        </is>
      </c>
      <c r="D4238" s="7" t="inlineStr">
        <is>
          <t>SORVETE E PICOLES</t>
        </is>
      </c>
      <c r="E4238" s="7" t="inlineStr">
        <is>
          <t>B</t>
        </is>
      </c>
      <c r="F4238" s="13" t="n">
        <v>2</v>
      </c>
      <c r="G4238" s="13" t="n">
        <v>2</v>
      </c>
      <c r="H4238" s="8" t="n">
        <v>23.5</v>
      </c>
      <c r="I4238" s="8" t="n">
        <v>23.5</v>
      </c>
      <c r="J4238" s="8" t="n">
        <v>23.5</v>
      </c>
      <c r="K4238" s="8" t="n"/>
      <c r="L4238" s="8" t="n"/>
      <c r="M4238" s="8" t="n"/>
      <c r="N4238" s="8" t="n"/>
      <c r="O4238" s="8" t="n"/>
      <c r="P4238" s="8" t="n"/>
      <c r="Q4238" s="8" t="n"/>
      <c r="R4238" s="8" t="n"/>
      <c r="S4238" s="8" t="n"/>
      <c r="T4238" s="7" t="inlineStr">
        <is>
          <t>SEM COTAÇÃO</t>
        </is>
      </c>
      <c r="U4238" s="8" t="n"/>
      <c r="V4238" s="14" t="n"/>
      <c r="W4238" s="14" t="n"/>
      <c r="X4238" s="7" t="inlineStr"/>
      <c r="Y4238" s="7" t="inlineStr"/>
    </row>
    <row r="4239">
      <c r="A4239" s="7" t="n">
        <v>562021</v>
      </c>
      <c r="B4239" s="12" t="inlineStr">
        <is>
          <t>7898918205135</t>
        </is>
      </c>
      <c r="C4239" s="7" t="inlineStr">
        <is>
          <t>SORVETE QUI CONE BRIGADEIRO 75G</t>
        </is>
      </c>
      <c r="D4239" s="7" t="inlineStr">
        <is>
          <t>SORVETE E PICOLES</t>
        </is>
      </c>
      <c r="E4239" s="7" t="inlineStr">
        <is>
          <t>A</t>
        </is>
      </c>
      <c r="F4239" s="13" t="n">
        <v>1</v>
      </c>
      <c r="G4239" s="13" t="n">
        <v>10</v>
      </c>
      <c r="H4239" s="8" t="n">
        <v>7.0625</v>
      </c>
      <c r="I4239" s="8" t="n">
        <v>7.0625</v>
      </c>
      <c r="J4239" s="8" t="n">
        <v>7.0625</v>
      </c>
      <c r="K4239" s="8" t="n"/>
      <c r="L4239" s="8" t="n"/>
      <c r="M4239" s="8" t="n"/>
      <c r="N4239" s="8" t="n"/>
      <c r="O4239" s="8" t="n"/>
      <c r="P4239" s="8" t="n"/>
      <c r="Q4239" s="8" t="n"/>
      <c r="R4239" s="8" t="n"/>
      <c r="S4239" s="8" t="n"/>
      <c r="T4239" s="7" t="inlineStr">
        <is>
          <t>SEM COTAÇÃO</t>
        </is>
      </c>
      <c r="U4239" s="8" t="n"/>
      <c r="V4239" s="14" t="n"/>
      <c r="W4239" s="14" t="n"/>
      <c r="X4239" s="7" t="inlineStr"/>
      <c r="Y4239" s="7" t="inlineStr"/>
    </row>
    <row r="4240">
      <c r="A4240" s="7" t="n">
        <v>546981</v>
      </c>
      <c r="B4240" s="12" t="inlineStr">
        <is>
          <t>7896523227412</t>
        </is>
      </c>
      <c r="C4240" s="7" t="inlineStr">
        <is>
          <t>SOSSEG 260MG COMP REV 2 BLX10</t>
        </is>
      </c>
      <c r="D4240" s="7" t="inlineStr">
        <is>
          <t>SIMILAR</t>
        </is>
      </c>
      <c r="E4240" s="7" t="inlineStr">
        <is>
          <t>A</t>
        </is>
      </c>
      <c r="F4240" s="13" t="n">
        <v>17</v>
      </c>
      <c r="G4240" s="13" t="n">
        <v>17</v>
      </c>
      <c r="H4240" s="8" t="n">
        <v>7.09</v>
      </c>
      <c r="I4240" s="8" t="n">
        <v>6.69</v>
      </c>
      <c r="J4240" s="8" t="n">
        <v>6.823333333333334</v>
      </c>
      <c r="K4240" s="8" t="n"/>
      <c r="L4240" s="8" t="n"/>
      <c r="M4240" s="8" t="n"/>
      <c r="N4240" s="8" t="n"/>
      <c r="O4240" s="8" t="n"/>
      <c r="P4240" s="8" t="n"/>
      <c r="Q4240" s="8" t="n"/>
      <c r="R4240" s="8" t="n"/>
      <c r="S4240" s="8" t="n"/>
      <c r="T4240" s="7" t="inlineStr">
        <is>
          <t>SEM COTAÇÃO</t>
        </is>
      </c>
      <c r="U4240" s="8" t="n"/>
      <c r="V4240" s="14" t="n"/>
      <c r="W4240" s="14" t="n"/>
      <c r="X4240" s="7" t="inlineStr"/>
      <c r="Y4240" s="7" t="inlineStr"/>
    </row>
    <row r="4241">
      <c r="A4241" s="7" t="n">
        <v>658091</v>
      </c>
      <c r="B4241" s="12" t="inlineStr">
        <is>
          <t>7896523228624</t>
        </is>
      </c>
      <c r="C4241" s="7" t="inlineStr">
        <is>
          <t>SOSSEG 500MG COMP REV 3BLX10</t>
        </is>
      </c>
      <c r="D4241" s="7" t="inlineStr">
        <is>
          <t>SIMILAR</t>
        </is>
      </c>
      <c r="E4241" s="7" t="inlineStr">
        <is>
          <t>B</t>
        </is>
      </c>
      <c r="F4241" s="13" t="n">
        <v>1</v>
      </c>
      <c r="G4241" s="13" t="n">
        <v>1</v>
      </c>
      <c r="H4241" s="8" t="n">
        <v>24.45</v>
      </c>
      <c r="I4241" s="8" t="n">
        <v>18.79</v>
      </c>
      <c r="J4241" s="8" t="n">
        <v>22.56333333333333</v>
      </c>
      <c r="K4241" s="8" t="n"/>
      <c r="L4241" s="8" t="n"/>
      <c r="M4241" s="8" t="n"/>
      <c r="N4241" s="8" t="n"/>
      <c r="O4241" s="8" t="n"/>
      <c r="P4241" s="8" t="n"/>
      <c r="Q4241" s="8" t="n"/>
      <c r="R4241" s="8" t="n"/>
      <c r="S4241" s="8" t="n"/>
      <c r="T4241" s="7" t="inlineStr">
        <is>
          <t>SEM COTAÇÃO</t>
        </is>
      </c>
      <c r="U4241" s="8" t="n"/>
      <c r="V4241" s="14" t="n"/>
      <c r="W4241" s="14" t="n"/>
      <c r="X4241" s="7" t="inlineStr"/>
      <c r="Y4241" s="7" t="inlineStr"/>
    </row>
    <row r="4242">
      <c r="A4242" s="7" t="n">
        <v>272541</v>
      </c>
      <c r="B4242" s="12" t="inlineStr">
        <is>
          <t>7898014561890</t>
        </is>
      </c>
      <c r="C4242" s="7" t="inlineStr">
        <is>
          <t>SOYNATI 150 MG CAP GEL DURA CT BL AL PLAS INC X 30</t>
        </is>
      </c>
      <c r="D4242" s="7" t="inlineStr">
        <is>
          <t>GENERICO</t>
        </is>
      </c>
      <c r="E4242" s="7" t="inlineStr">
        <is>
          <t>A</t>
        </is>
      </c>
      <c r="F4242" s="13" t="n">
        <v>5</v>
      </c>
      <c r="G4242" s="13" t="n">
        <v>5</v>
      </c>
      <c r="H4242" s="8" t="n">
        <v>17.54</v>
      </c>
      <c r="I4242" s="8" t="n">
        <v>17.54</v>
      </c>
      <c r="J4242" s="8" t="n">
        <v>17.54</v>
      </c>
      <c r="K4242" s="8" t="n"/>
      <c r="L4242" s="8" t="n"/>
      <c r="M4242" s="8" t="n"/>
      <c r="N4242" s="8" t="n"/>
      <c r="O4242" s="8" t="n"/>
      <c r="P4242" s="8" t="n"/>
      <c r="Q4242" s="8" t="n"/>
      <c r="R4242" s="8" t="n"/>
      <c r="S4242" s="8" t="n"/>
      <c r="T4242" s="7" t="inlineStr">
        <is>
          <t>SEM COTAÇÃO</t>
        </is>
      </c>
      <c r="U4242" s="8" t="n"/>
      <c r="V4242" s="14" t="n"/>
      <c r="W4242" s="14" t="n"/>
      <c r="X4242" s="7" t="inlineStr"/>
      <c r="Y4242" s="7" t="inlineStr"/>
    </row>
    <row r="4243">
      <c r="A4243" s="7" t="n">
        <v>297921</v>
      </c>
      <c r="B4243" s="12" t="inlineStr">
        <is>
          <t>7898074617803</t>
        </is>
      </c>
      <c r="C4243" s="7" t="inlineStr">
        <is>
          <t>SPIDUFEN 1155MG GRAN SOL CX 10 ENV 3G SB DAMASCO</t>
        </is>
      </c>
      <c r="D4243" s="7" t="inlineStr">
        <is>
          <t>RX</t>
        </is>
      </c>
      <c r="E4243" s="7" t="inlineStr">
        <is>
          <t>B</t>
        </is>
      </c>
      <c r="F4243" s="13" t="n">
        <v>1</v>
      </c>
      <c r="G4243" s="13" t="n">
        <v>1</v>
      </c>
      <c r="H4243" s="8" t="n">
        <v>42.05</v>
      </c>
      <c r="I4243" s="8" t="n">
        <v>36.49</v>
      </c>
      <c r="J4243" s="8" t="n">
        <v>40.19666666666667</v>
      </c>
      <c r="K4243" s="8" t="n"/>
      <c r="L4243" s="8" t="n"/>
      <c r="M4243" s="15" t="n">
        <v>42.05</v>
      </c>
      <c r="N4243" s="8" t="n"/>
      <c r="O4243" s="8" t="n"/>
      <c r="P4243" s="8" t="n">
        <v>42.59</v>
      </c>
      <c r="Q4243" s="8" t="n"/>
      <c r="R4243" s="8" t="n"/>
      <c r="S4243" s="8" t="n"/>
      <c r="T4243" s="7" t="inlineStr">
        <is>
          <t>EPAN</t>
        </is>
      </c>
      <c r="U4243" s="8" t="n">
        <v>42.05</v>
      </c>
      <c r="V4243" s="14">
        <f>U4243/J4243-1</f>
        <v/>
      </c>
      <c r="W4243" s="14">
        <f>U4243/H4243-1</f>
        <v/>
      </c>
      <c r="X4243" s="17" t="inlineStr">
        <is>
          <t>OK (≤ últ. compra)</t>
        </is>
      </c>
      <c r="Y4243" s="7" t="inlineStr"/>
    </row>
    <row r="4244">
      <c r="A4244" s="7" t="n">
        <v>634611</v>
      </c>
      <c r="B4244" s="12" t="inlineStr">
        <is>
          <t>7898074610354</t>
        </is>
      </c>
      <c r="C4244" s="7" t="inlineStr">
        <is>
          <t>SPIDUFEN 770MG CX 6 COMP REV</t>
        </is>
      </c>
      <c r="D4244" s="7" t="inlineStr">
        <is>
          <t>DESATIVADO</t>
        </is>
      </c>
      <c r="E4244" s="7" t="inlineStr">
        <is>
          <t>C</t>
        </is>
      </c>
      <c r="F4244" s="13" t="n">
        <v>1</v>
      </c>
      <c r="G4244" s="13" t="n">
        <v>1</v>
      </c>
      <c r="H4244" s="8" t="n">
        <v>16.65</v>
      </c>
      <c r="I4244" s="8" t="n">
        <v>16.65</v>
      </c>
      <c r="J4244" s="8" t="n">
        <v>16.65</v>
      </c>
      <c r="K4244" s="8" t="n"/>
      <c r="L4244" s="8" t="n"/>
      <c r="M4244" s="8" t="n"/>
      <c r="N4244" s="8" t="n"/>
      <c r="O4244" s="8" t="n"/>
      <c r="P4244" s="8" t="n"/>
      <c r="Q4244" s="8" t="n"/>
      <c r="R4244" s="8" t="n"/>
      <c r="S4244" s="8" t="n"/>
      <c r="T4244" s="7" t="inlineStr">
        <is>
          <t>SEM COTAÇÃO</t>
        </is>
      </c>
      <c r="U4244" s="8" t="n"/>
      <c r="V4244" s="14" t="n"/>
      <c r="W4244" s="14" t="n"/>
      <c r="X4244" s="7" t="inlineStr"/>
      <c r="Y4244" s="7" t="inlineStr"/>
    </row>
    <row r="4245">
      <c r="A4245" s="7" t="n">
        <v>661151</v>
      </c>
      <c r="B4245" s="12" t="inlineStr">
        <is>
          <t>7899852025469</t>
        </is>
      </c>
      <c r="C4245" s="7" t="inlineStr">
        <is>
          <t>SPR VULT RECARGA HIDRT 100ML-DEMAIS PROD</t>
        </is>
      </c>
      <c r="D4245" s="7" t="inlineStr">
        <is>
          <t>PERF/COSME</t>
        </is>
      </c>
      <c r="E4245" s="7" t="inlineStr">
        <is>
          <t>C</t>
        </is>
      </c>
      <c r="F4245" s="13" t="n">
        <v>1</v>
      </c>
      <c r="G4245" s="13" t="n">
        <v>1</v>
      </c>
      <c r="H4245" s="8" t="n">
        <v>27.51</v>
      </c>
      <c r="I4245" s="8" t="n">
        <v>27.51</v>
      </c>
      <c r="J4245" s="8" t="n">
        <v>27.51</v>
      </c>
      <c r="K4245" s="8" t="n"/>
      <c r="L4245" s="8" t="n"/>
      <c r="M4245" s="8" t="n"/>
      <c r="N4245" s="8" t="n"/>
      <c r="O4245" s="8" t="n"/>
      <c r="P4245" s="15" t="n">
        <v>27.38</v>
      </c>
      <c r="Q4245" s="8" t="n"/>
      <c r="R4245" s="8" t="n"/>
      <c r="S4245" s="8" t="n"/>
      <c r="T4245" s="7" t="inlineStr">
        <is>
          <t>NAZARIA</t>
        </is>
      </c>
      <c r="U4245" s="8" t="n">
        <v>27.38</v>
      </c>
      <c r="V4245" s="14">
        <f>U4245/J4245-1</f>
        <v/>
      </c>
      <c r="W4245" s="14">
        <f>U4245/H4245-1</f>
        <v/>
      </c>
      <c r="X4245" s="17" t="inlineStr">
        <is>
          <t>OK (≤ menor hist.)</t>
        </is>
      </c>
      <c r="Y4245" s="7" t="inlineStr"/>
    </row>
    <row r="4246">
      <c r="A4246" s="7" t="n">
        <v>587281</v>
      </c>
      <c r="B4246" s="12" t="inlineStr">
        <is>
          <t>7894900681017</t>
        </is>
      </c>
      <c r="C4246" s="7" t="inlineStr">
        <is>
          <t>SPRITE 350ML</t>
        </is>
      </c>
      <c r="D4246" s="7" t="inlineStr">
        <is>
          <t>BEBIDAS GERAL</t>
        </is>
      </c>
      <c r="E4246" s="7" t="inlineStr">
        <is>
          <t>C</t>
        </is>
      </c>
      <c r="F4246" s="13" t="n">
        <v>4</v>
      </c>
      <c r="G4246" s="13" t="n">
        <v>14</v>
      </c>
      <c r="H4246" s="8" t="n">
        <v>2.4889</v>
      </c>
      <c r="I4246" s="8" t="n">
        <v>2.2125</v>
      </c>
      <c r="J4246" s="8" t="n">
        <v>2.396766666666667</v>
      </c>
      <c r="K4246" s="8" t="n"/>
      <c r="L4246" s="8" t="n"/>
      <c r="M4246" s="8" t="n"/>
      <c r="N4246" s="8" t="n"/>
      <c r="O4246" s="8" t="n"/>
      <c r="P4246" s="8" t="n"/>
      <c r="Q4246" s="8" t="n"/>
      <c r="R4246" s="8" t="n"/>
      <c r="S4246" s="8" t="n"/>
      <c r="T4246" s="7" t="inlineStr">
        <is>
          <t>SEM COTAÇÃO</t>
        </is>
      </c>
      <c r="U4246" s="8" t="n"/>
      <c r="V4246" s="14" t="n"/>
      <c r="W4246" s="14" t="n"/>
      <c r="X4246" s="7" t="inlineStr"/>
      <c r="Y4246" s="7" t="inlineStr"/>
    </row>
    <row r="4247">
      <c r="A4247" s="7" t="n">
        <v>627001</v>
      </c>
      <c r="B4247" s="12" t="inlineStr">
        <is>
          <t>7894900680508</t>
        </is>
      </c>
      <c r="C4247" s="7" t="inlineStr">
        <is>
          <t>SPRITE LEMON FRESH 510ML</t>
        </is>
      </c>
      <c r="D4247" s="7" t="inlineStr">
        <is>
          <t>BEBIDAS GERAL</t>
        </is>
      </c>
      <c r="E4247" s="7" t="inlineStr">
        <is>
          <t>C</t>
        </is>
      </c>
      <c r="F4247" s="13" t="n">
        <v>1</v>
      </c>
      <c r="G4247" s="13" t="n">
        <v>1</v>
      </c>
      <c r="H4247" s="8" t="n"/>
      <c r="I4247" s="8" t="n"/>
      <c r="J4247" s="8" t="n"/>
      <c r="K4247" s="8" t="n"/>
      <c r="L4247" s="8" t="n"/>
      <c r="M4247" s="8" t="n"/>
      <c r="N4247" s="8" t="n"/>
      <c r="O4247" s="8" t="n"/>
      <c r="P4247" s="8" t="n"/>
      <c r="Q4247" s="8" t="n"/>
      <c r="R4247" s="8" t="n"/>
      <c r="S4247" s="8" t="n"/>
      <c r="T4247" s="7" t="inlineStr">
        <is>
          <t>SEM COTAÇÃO</t>
        </is>
      </c>
      <c r="U4247" s="8" t="n"/>
      <c r="V4247" s="14" t="n"/>
      <c r="W4247" s="14" t="n"/>
      <c r="X4247" s="7" t="inlineStr"/>
      <c r="Y4247" s="7" t="inlineStr"/>
    </row>
    <row r="4248">
      <c r="A4248" s="7" t="n">
        <v>3833</v>
      </c>
      <c r="B4248" s="12" t="inlineStr">
        <is>
          <t>7894900060010</t>
        </is>
      </c>
      <c r="C4248" s="7" t="inlineStr">
        <is>
          <t>SPRITE LIMAO SEM ACUCAR LT 350ML COLOR</t>
        </is>
      </c>
      <c r="D4248" s="7" t="inlineStr">
        <is>
          <t>BEBIDAS GERAL</t>
        </is>
      </c>
      <c r="E4248" s="7" t="inlineStr">
        <is>
          <t>C</t>
        </is>
      </c>
      <c r="F4248" s="13" t="n">
        <v>1</v>
      </c>
      <c r="G4248" s="13" t="n">
        <v>1</v>
      </c>
      <c r="H4248" s="8" t="n">
        <v>2.4</v>
      </c>
      <c r="I4248" s="8" t="n">
        <v>2.2133</v>
      </c>
      <c r="J4248" s="8" t="n">
        <v>2.2133</v>
      </c>
      <c r="K4248" s="8" t="n"/>
      <c r="L4248" s="8" t="n"/>
      <c r="M4248" s="8" t="n"/>
      <c r="N4248" s="8" t="n"/>
      <c r="O4248" s="8" t="n"/>
      <c r="P4248" s="8" t="n"/>
      <c r="Q4248" s="8" t="n"/>
      <c r="R4248" s="8" t="n"/>
      <c r="S4248" s="8" t="n"/>
      <c r="T4248" s="7" t="inlineStr">
        <is>
          <t>SEM COTAÇÃO</t>
        </is>
      </c>
      <c r="U4248" s="8" t="n"/>
      <c r="V4248" s="14" t="n"/>
      <c r="W4248" s="14" t="n"/>
      <c r="X4248" s="7" t="inlineStr"/>
      <c r="Y4248" s="7" t="inlineStr"/>
    </row>
    <row r="4249">
      <c r="A4249" s="7" t="n">
        <v>4333</v>
      </c>
      <c r="B4249" s="12" t="inlineStr">
        <is>
          <t>17894900681045</t>
        </is>
      </c>
      <c r="C4249" s="7" t="inlineStr">
        <is>
          <t>SPRITE ORIG LT 350ML COLOR</t>
        </is>
      </c>
      <c r="D4249" s="7" t="inlineStr">
        <is>
          <t>BEBIDAS GERAL</t>
        </is>
      </c>
      <c r="E4249" s="7" t="inlineStr">
        <is>
          <t>C</t>
        </is>
      </c>
      <c r="F4249" s="13" t="n">
        <v>1</v>
      </c>
      <c r="G4249" s="13" t="n">
        <v>1</v>
      </c>
      <c r="H4249" s="8" t="n">
        <v>2.2128</v>
      </c>
      <c r="I4249" s="8" t="n">
        <v>2.2128</v>
      </c>
      <c r="J4249" s="8" t="n">
        <v>2.2128</v>
      </c>
      <c r="K4249" s="8" t="n"/>
      <c r="L4249" s="8" t="n"/>
      <c r="M4249" s="8" t="n"/>
      <c r="N4249" s="8" t="n"/>
      <c r="O4249" s="8" t="n"/>
      <c r="P4249" s="8" t="n"/>
      <c r="Q4249" s="8" t="n"/>
      <c r="R4249" s="8" t="n"/>
      <c r="S4249" s="8" t="n"/>
      <c r="T4249" s="7" t="inlineStr">
        <is>
          <t>SEM COTAÇÃO</t>
        </is>
      </c>
      <c r="U4249" s="8" t="n"/>
      <c r="V4249" s="14" t="n"/>
      <c r="W4249" s="14" t="n"/>
      <c r="X4249" s="7" t="inlineStr"/>
      <c r="Y4249" s="7" t="inlineStr"/>
    </row>
    <row r="4250">
      <c r="A4250" s="7" t="n">
        <v>526121</v>
      </c>
      <c r="B4250" s="12" t="inlineStr">
        <is>
          <t>5060632508768</t>
        </is>
      </c>
      <c r="C4250" s="7" t="inlineStr">
        <is>
          <t>STEZZA 2,5+1,5MG CX 24 COMP REV+CALEND+4 PLACEBO</t>
        </is>
      </c>
      <c r="D4250" s="7" t="inlineStr">
        <is>
          <t>RX</t>
        </is>
      </c>
      <c r="E4250" s="7" t="inlineStr">
        <is>
          <t>A</t>
        </is>
      </c>
      <c r="F4250" s="13" t="n">
        <v>1</v>
      </c>
      <c r="G4250" s="13" t="n">
        <v>1</v>
      </c>
      <c r="H4250" s="8" t="n">
        <v>48.21</v>
      </c>
      <c r="I4250" s="8" t="n">
        <v>41.29</v>
      </c>
      <c r="J4250" s="8" t="n">
        <v>43.40666666666667</v>
      </c>
      <c r="K4250" s="8" t="n"/>
      <c r="L4250" s="8" t="n"/>
      <c r="M4250" s="8" t="n">
        <v>45.8</v>
      </c>
      <c r="N4250" s="8" t="n"/>
      <c r="O4250" s="8" t="n"/>
      <c r="P4250" s="15" t="n">
        <v>46.39</v>
      </c>
      <c r="Q4250" s="8" t="n"/>
      <c r="R4250" s="8" t="n"/>
      <c r="S4250" s="8" t="n"/>
      <c r="T4250" s="7" t="inlineStr">
        <is>
          <t>NAZARIA</t>
        </is>
      </c>
      <c r="U4250" s="8" t="n">
        <v>46.39</v>
      </c>
      <c r="V4250" s="14">
        <f>U4250/J4250-1</f>
        <v/>
      </c>
      <c r="W4250" s="14">
        <f>U4250/H4250-1</f>
        <v/>
      </c>
      <c r="X4250" s="17" t="inlineStr">
        <is>
          <t>OK (≤ últ. compra)</t>
        </is>
      </c>
      <c r="Y4250" s="7" t="inlineStr">
        <is>
          <t>EPAN: sem estoque</t>
        </is>
      </c>
    </row>
    <row r="4251">
      <c r="A4251" s="7" t="n">
        <v>625611</v>
      </c>
      <c r="B4251" s="12" t="inlineStr">
        <is>
          <t>7622210570116</t>
        </is>
      </c>
      <c r="C4251" s="7" t="inlineStr">
        <is>
          <t>STICK WAFER RECHEADO OURO BRANCO 25G CR 15</t>
        </is>
      </c>
      <c r="D4251" s="7" t="inlineStr">
        <is>
          <t>CONVENIENCIA</t>
        </is>
      </c>
      <c r="E4251" s="7" t="inlineStr">
        <is>
          <t>B</t>
        </is>
      </c>
      <c r="F4251" s="13" t="n">
        <v>17</v>
      </c>
      <c r="G4251" s="13" t="n">
        <v>17</v>
      </c>
      <c r="H4251" s="8" t="n">
        <v>2.09</v>
      </c>
      <c r="I4251" s="8" t="n">
        <v>2.09</v>
      </c>
      <c r="J4251" s="8" t="n">
        <v>2.09</v>
      </c>
      <c r="K4251" s="8" t="n"/>
      <c r="L4251" s="8" t="n"/>
      <c r="M4251" s="8" t="n"/>
      <c r="N4251" s="8" t="n"/>
      <c r="O4251" s="8" t="n"/>
      <c r="P4251" s="8" t="n"/>
      <c r="Q4251" s="8" t="n"/>
      <c r="R4251" s="8" t="n"/>
      <c r="S4251" s="8" t="n"/>
      <c r="T4251" s="7" t="inlineStr">
        <is>
          <t>SEM COTAÇÃO</t>
        </is>
      </c>
      <c r="U4251" s="8" t="n"/>
      <c r="V4251" s="14" t="n"/>
      <c r="W4251" s="14" t="n"/>
      <c r="X4251" s="7" t="inlineStr"/>
      <c r="Y4251" s="7" t="inlineStr"/>
    </row>
    <row r="4252">
      <c r="A4252" s="7" t="n">
        <v>211981</v>
      </c>
      <c r="B4252" s="12" t="inlineStr"/>
      <c r="C4252" s="7" t="inlineStr">
        <is>
          <t>STILL 1MG/ML SOL OFT FR 5ML</t>
        </is>
      </c>
      <c r="D4252" s="7" t="inlineStr">
        <is>
          <t>RX</t>
        </is>
      </c>
      <c r="E4252" s="7" t="inlineStr">
        <is>
          <t>B</t>
        </is>
      </c>
      <c r="F4252" s="13" t="n">
        <v>3</v>
      </c>
      <c r="G4252" s="13" t="n">
        <v>3</v>
      </c>
      <c r="H4252" s="8" t="n">
        <v>15.79</v>
      </c>
      <c r="I4252" s="8" t="n">
        <v>14.6775</v>
      </c>
      <c r="J4252" s="8" t="n">
        <v>15.41916666666667</v>
      </c>
      <c r="K4252" s="8" t="n"/>
      <c r="L4252" s="8" t="n"/>
      <c r="M4252" s="8" t="n"/>
      <c r="N4252" s="8" t="n"/>
      <c r="O4252" s="8" t="n"/>
      <c r="P4252" s="8" t="n"/>
      <c r="Q4252" s="8" t="n"/>
      <c r="R4252" s="8" t="n"/>
      <c r="S4252" s="8" t="n"/>
      <c r="T4252" s="7" t="inlineStr">
        <is>
          <t>SEM COTAÇÃO</t>
        </is>
      </c>
      <c r="U4252" s="8" t="n"/>
      <c r="V4252" s="14" t="n"/>
      <c r="W4252" s="14" t="n"/>
      <c r="X4252" s="7" t="inlineStr"/>
      <c r="Y4252" s="7" t="inlineStr"/>
    </row>
    <row r="4253">
      <c r="A4253" s="7" t="n">
        <v>624521</v>
      </c>
      <c r="B4253" s="12" t="inlineStr"/>
      <c r="C4253" s="7" t="inlineStr">
        <is>
          <t>SUAVICID CREME 10G</t>
        </is>
      </c>
      <c r="D4253" s="7" t="inlineStr">
        <is>
          <t>SIMILAR</t>
        </is>
      </c>
      <c r="E4253" s="7" t="inlineStr">
        <is>
          <t>A</t>
        </is>
      </c>
      <c r="F4253" s="13" t="n">
        <v>8</v>
      </c>
      <c r="G4253" s="13" t="n">
        <v>8</v>
      </c>
      <c r="H4253" s="8" t="n">
        <v>45.8775</v>
      </c>
      <c r="I4253" s="8" t="n">
        <v>44.14</v>
      </c>
      <c r="J4253" s="8" t="n">
        <v>45.29833333333332</v>
      </c>
      <c r="K4253" s="8" t="n"/>
      <c r="L4253" s="8" t="n"/>
      <c r="M4253" s="8" t="n"/>
      <c r="N4253" s="8" t="n"/>
      <c r="O4253" s="8" t="n"/>
      <c r="P4253" s="8" t="n"/>
      <c r="Q4253" s="8" t="n"/>
      <c r="R4253" s="8" t="n"/>
      <c r="S4253" s="8" t="n"/>
      <c r="T4253" s="7" t="inlineStr">
        <is>
          <t>SEM COTAÇÃO</t>
        </is>
      </c>
      <c r="U4253" s="8" t="n"/>
      <c r="V4253" s="14" t="n"/>
      <c r="W4253" s="14" t="n"/>
      <c r="X4253" s="7" t="inlineStr"/>
      <c r="Y4253" s="7" t="inlineStr"/>
    </row>
    <row r="4254">
      <c r="A4254" s="7" t="n">
        <v>444541</v>
      </c>
      <c r="B4254" s="12" t="inlineStr">
        <is>
          <t>7898216363209</t>
        </is>
      </c>
      <c r="C4254" s="7" t="inlineStr">
        <is>
          <t>SUCCINATO DE METOPROLOL 25MG CX 30 COMP REV LIB CONTROL</t>
        </is>
      </c>
      <c r="D4254" s="7" t="inlineStr">
        <is>
          <t>GENERICO</t>
        </is>
      </c>
      <c r="E4254" s="7" t="inlineStr">
        <is>
          <t>C</t>
        </is>
      </c>
      <c r="F4254" s="13" t="n">
        <v>5</v>
      </c>
      <c r="G4254" s="13" t="n">
        <v>5</v>
      </c>
      <c r="H4254" s="8" t="n">
        <v>13.51</v>
      </c>
      <c r="I4254" s="8" t="n">
        <v>13.51</v>
      </c>
      <c r="J4254" s="8" t="n">
        <v>13.51</v>
      </c>
      <c r="K4254" s="8" t="n"/>
      <c r="L4254" s="8" t="n"/>
      <c r="M4254" s="8" t="n"/>
      <c r="N4254" s="8" t="n"/>
      <c r="O4254" s="8" t="n"/>
      <c r="P4254" s="8" t="n"/>
      <c r="Q4254" s="8" t="n"/>
      <c r="R4254" s="8" t="n"/>
      <c r="S4254" s="8" t="n"/>
      <c r="T4254" s="7" t="inlineStr">
        <is>
          <t>SEM COTAÇÃO</t>
        </is>
      </c>
      <c r="U4254" s="8" t="n"/>
      <c r="V4254" s="14" t="n"/>
      <c r="W4254" s="14" t="n"/>
      <c r="X4254" s="7" t="inlineStr"/>
      <c r="Y4254" s="7" t="inlineStr"/>
    </row>
    <row r="4255">
      <c r="A4255" s="7" t="n">
        <v>505781</v>
      </c>
      <c r="B4255" s="12" t="inlineStr">
        <is>
          <t>7891058000950</t>
        </is>
      </c>
      <c r="C4255" s="7" t="inlineStr">
        <is>
          <t>SUCCINATO DE METOPROLOL 25MG CX 30 COMP REV LIB PROL</t>
        </is>
      </c>
      <c r="D4255" s="7" t="inlineStr">
        <is>
          <t>GENERICO</t>
        </is>
      </c>
      <c r="E4255" s="7" t="inlineStr">
        <is>
          <t>C</t>
        </is>
      </c>
      <c r="F4255" s="13" t="n">
        <v>5</v>
      </c>
      <c r="G4255" s="13" t="n">
        <v>5</v>
      </c>
      <c r="H4255" s="8" t="n">
        <v>16.3058</v>
      </c>
      <c r="I4255" s="8" t="n">
        <v>16.3058</v>
      </c>
      <c r="J4255" s="8" t="n">
        <v>16.3058</v>
      </c>
      <c r="K4255" s="8" t="n"/>
      <c r="L4255" s="8" t="n"/>
      <c r="M4255" s="8" t="n">
        <v>16.67</v>
      </c>
      <c r="N4255" s="8" t="n"/>
      <c r="O4255" s="8" t="n"/>
      <c r="P4255" s="15" t="n">
        <v>19.91</v>
      </c>
      <c r="Q4255" s="8" t="n"/>
      <c r="R4255" s="8" t="n"/>
      <c r="S4255" s="8" t="n"/>
      <c r="T4255" s="7" t="inlineStr">
        <is>
          <t>NAZARIA</t>
        </is>
      </c>
      <c r="U4255" s="8" t="n">
        <v>19.91</v>
      </c>
      <c r="V4255" s="14">
        <f>U4255/J4255-1</f>
        <v/>
      </c>
      <c r="W4255" s="14">
        <f>U4255/H4255-1</f>
        <v/>
      </c>
      <c r="X4255" s="16" t="inlineStr">
        <is>
          <t>ACIMA +22.1%</t>
        </is>
      </c>
      <c r="Y4255" s="7" t="inlineStr">
        <is>
          <t>EPAN: sem estoque</t>
        </is>
      </c>
    </row>
    <row r="4256">
      <c r="A4256" s="7" t="n">
        <v>505761</v>
      </c>
      <c r="B4256" s="12" t="inlineStr">
        <is>
          <t>7891058000943</t>
        </is>
      </c>
      <c r="C4256" s="7" t="inlineStr">
        <is>
          <t>SUCCINATO DE METOPROLOL 50MG CX 30 COMP REV LIB PROL</t>
        </is>
      </c>
      <c r="D4256" s="7" t="inlineStr">
        <is>
          <t>GENERICO</t>
        </is>
      </c>
      <c r="E4256" s="7" t="inlineStr">
        <is>
          <t>C</t>
        </is>
      </c>
      <c r="F4256" s="13" t="n">
        <v>1</v>
      </c>
      <c r="G4256" s="13" t="n">
        <v>1</v>
      </c>
      <c r="H4256" s="8" t="n">
        <v>20.52</v>
      </c>
      <c r="I4256" s="8" t="n">
        <v>18.785</v>
      </c>
      <c r="J4256" s="8" t="n">
        <v>19.94166666666667</v>
      </c>
      <c r="K4256" s="8" t="n"/>
      <c r="L4256" s="8" t="n"/>
      <c r="M4256" s="8" t="n"/>
      <c r="N4256" s="8" t="n"/>
      <c r="O4256" s="8" t="n"/>
      <c r="P4256" s="15" t="n">
        <v>35.1994</v>
      </c>
      <c r="Q4256" s="8" t="n"/>
      <c r="R4256" s="8" t="n"/>
      <c r="S4256" s="8" t="n"/>
      <c r="T4256" s="7" t="inlineStr">
        <is>
          <t>NAZARIA</t>
        </is>
      </c>
      <c r="U4256" s="8" t="n">
        <v>35.1994</v>
      </c>
      <c r="V4256" s="14">
        <f>U4256/J4256-1</f>
        <v/>
      </c>
      <c r="W4256" s="14">
        <f>U4256/H4256-1</f>
        <v/>
      </c>
      <c r="X4256" s="16" t="inlineStr">
        <is>
          <t>ACIMA +71.5%</t>
        </is>
      </c>
      <c r="Y4256" s="7" t="inlineStr"/>
    </row>
    <row r="4257">
      <c r="A4257" s="7" t="n">
        <v>616441</v>
      </c>
      <c r="B4257" s="12" t="inlineStr">
        <is>
          <t>7896523201542</t>
        </is>
      </c>
      <c r="C4257" s="7" t="inlineStr">
        <is>
          <t>SUCCINATO METOPROLOL 100MG CX 30 COMP REV</t>
        </is>
      </c>
      <c r="D4257" s="7" t="inlineStr">
        <is>
          <t>GENERICO</t>
        </is>
      </c>
      <c r="E4257" s="7" t="inlineStr">
        <is>
          <t>B</t>
        </is>
      </c>
      <c r="F4257" s="13" t="n">
        <v>1</v>
      </c>
      <c r="G4257" s="13" t="n">
        <v>1</v>
      </c>
      <c r="H4257" s="8" t="n">
        <v>18.99</v>
      </c>
      <c r="I4257" s="8" t="n">
        <v>17.03</v>
      </c>
      <c r="J4257" s="8" t="n">
        <v>18.23666666666667</v>
      </c>
      <c r="K4257" s="15" t="n">
        <v>0.01</v>
      </c>
      <c r="L4257" s="8" t="n"/>
      <c r="M4257" s="8" t="n"/>
      <c r="N4257" s="8" t="n"/>
      <c r="O4257" s="8" t="n"/>
      <c r="P4257" s="8" t="n">
        <v>66.59</v>
      </c>
      <c r="Q4257" s="8" t="n"/>
      <c r="R4257" s="8" t="n"/>
      <c r="S4257" s="8" t="n"/>
      <c r="T4257" s="7" t="inlineStr">
        <is>
          <t>DIMEC</t>
        </is>
      </c>
      <c r="U4257" s="8" t="n">
        <v>0.01</v>
      </c>
      <c r="V4257" s="14">
        <f>U4257/J4257-1</f>
        <v/>
      </c>
      <c r="W4257" s="14">
        <f>U4257/H4257-1</f>
        <v/>
      </c>
      <c r="X4257" s="17" t="inlineStr">
        <is>
          <t>OK (≤ menor hist.)</t>
        </is>
      </c>
      <c r="Y4257" s="7" t="inlineStr">
        <is>
          <t>DIMEC: conferir emb.; NAZARIA: conferir emb.</t>
        </is>
      </c>
    </row>
    <row r="4258">
      <c r="A4258" s="7" t="n">
        <v>16803</v>
      </c>
      <c r="B4258" s="12" t="inlineStr"/>
      <c r="C4258" s="7" t="inlineStr">
        <is>
          <t>SUCCINATO METOPROLOL 25MG C/30 CPR GEN</t>
        </is>
      </c>
      <c r="D4258" s="7" t="inlineStr">
        <is>
          <t>GENERICO</t>
        </is>
      </c>
      <c r="E4258" s="7" t="inlineStr">
        <is>
          <t>A</t>
        </is>
      </c>
      <c r="F4258" s="13" t="n">
        <v>1</v>
      </c>
      <c r="G4258" s="13" t="n">
        <v>1</v>
      </c>
      <c r="H4258" s="8" t="n">
        <v>15.81</v>
      </c>
      <c r="I4258" s="8" t="n">
        <v>10.4</v>
      </c>
      <c r="J4258" s="8" t="n">
        <v>12.20333333333333</v>
      </c>
      <c r="K4258" s="8" t="n"/>
      <c r="L4258" s="8" t="n"/>
      <c r="M4258" s="8" t="n"/>
      <c r="N4258" s="8" t="n"/>
      <c r="O4258" s="8" t="n"/>
      <c r="P4258" s="8" t="n"/>
      <c r="Q4258" s="8" t="n"/>
      <c r="R4258" s="8" t="n"/>
      <c r="S4258" s="8" t="n"/>
      <c r="T4258" s="7" t="inlineStr">
        <is>
          <t>SEM COTAÇÃO</t>
        </is>
      </c>
      <c r="U4258" s="8" t="n"/>
      <c r="V4258" s="14" t="n"/>
      <c r="W4258" s="14" t="n"/>
      <c r="X4258" s="7" t="inlineStr"/>
      <c r="Y4258" s="7" t="inlineStr"/>
    </row>
    <row r="4259">
      <c r="A4259" s="7" t="n">
        <v>618101</v>
      </c>
      <c r="B4259" s="12" t="inlineStr">
        <is>
          <t>17894900087052</t>
        </is>
      </c>
      <c r="C4259" s="7" t="inlineStr">
        <is>
          <t>SUCO ADES LARANJA 200ML</t>
        </is>
      </c>
      <c r="D4259" s="7" t="inlineStr">
        <is>
          <t>BEBIDAS GERAL</t>
        </is>
      </c>
      <c r="E4259" s="7" t="inlineStr">
        <is>
          <t>C</t>
        </is>
      </c>
      <c r="F4259" s="13" t="n">
        <v>1</v>
      </c>
      <c r="G4259" s="13" t="n">
        <v>1</v>
      </c>
      <c r="H4259" s="8" t="n">
        <v>2.65</v>
      </c>
      <c r="I4259" s="8" t="n">
        <v>2.65</v>
      </c>
      <c r="J4259" s="8" t="n">
        <v>2.65</v>
      </c>
      <c r="K4259" s="8" t="n"/>
      <c r="L4259" s="8" t="n"/>
      <c r="M4259" s="8" t="n"/>
      <c r="N4259" s="8" t="n"/>
      <c r="O4259" s="8" t="n"/>
      <c r="P4259" s="8" t="n"/>
      <c r="Q4259" s="8" t="n"/>
      <c r="R4259" s="8" t="n"/>
      <c r="S4259" s="8" t="n"/>
      <c r="T4259" s="7" t="inlineStr">
        <is>
          <t>SEM COTAÇÃO</t>
        </is>
      </c>
      <c r="U4259" s="8" t="n"/>
      <c r="V4259" s="14" t="n"/>
      <c r="W4259" s="14" t="n"/>
      <c r="X4259" s="7" t="inlineStr"/>
      <c r="Y4259" s="7" t="inlineStr"/>
    </row>
    <row r="4260">
      <c r="A4260" s="7" t="n">
        <v>618201</v>
      </c>
      <c r="B4260" s="12" t="inlineStr">
        <is>
          <t>7894900593716</t>
        </is>
      </c>
      <c r="C4260" s="7" t="inlineStr">
        <is>
          <t>SUCO KAPO UVA 200ML</t>
        </is>
      </c>
      <c r="D4260" s="7" t="inlineStr">
        <is>
          <t>BEBIDAS GERAL</t>
        </is>
      </c>
      <c r="E4260" s="7" t="inlineStr">
        <is>
          <t>B</t>
        </is>
      </c>
      <c r="F4260" s="13" t="n">
        <v>27</v>
      </c>
      <c r="G4260" s="13" t="n">
        <v>27</v>
      </c>
      <c r="H4260" s="8" t="n">
        <v>2.2633</v>
      </c>
      <c r="I4260" s="8" t="n">
        <v>2.1875</v>
      </c>
      <c r="J4260" s="8" t="n">
        <v>2.1875</v>
      </c>
      <c r="K4260" s="8" t="n"/>
      <c r="L4260" s="8" t="n"/>
      <c r="M4260" s="8" t="n"/>
      <c r="N4260" s="8" t="n"/>
      <c r="O4260" s="8" t="n"/>
      <c r="P4260" s="8" t="n"/>
      <c r="Q4260" s="8" t="n"/>
      <c r="R4260" s="8" t="n"/>
      <c r="S4260" s="8" t="n"/>
      <c r="T4260" s="7" t="inlineStr">
        <is>
          <t>SEM COTAÇÃO</t>
        </is>
      </c>
      <c r="U4260" s="8" t="n"/>
      <c r="V4260" s="14" t="n"/>
      <c r="W4260" s="14" t="n"/>
      <c r="X4260" s="7" t="inlineStr"/>
      <c r="Y4260" s="7" t="inlineStr"/>
    </row>
    <row r="4261">
      <c r="A4261" s="7" t="n">
        <v>606051</v>
      </c>
      <c r="B4261" s="12" t="inlineStr">
        <is>
          <t>7891000329856</t>
        </is>
      </c>
      <c r="C4261" s="7" t="inlineStr">
        <is>
          <t>SUFLAIR CHOCOLATE AO LEITE 80G</t>
        </is>
      </c>
      <c r="D4261" s="7" t="inlineStr">
        <is>
          <t>CONVENIENCIA</t>
        </is>
      </c>
      <c r="E4261" s="7" t="inlineStr">
        <is>
          <t>C</t>
        </is>
      </c>
      <c r="F4261" s="13" t="n">
        <v>1</v>
      </c>
      <c r="G4261" s="13" t="n">
        <v>15</v>
      </c>
      <c r="H4261" s="8" t="n">
        <v>7.2388</v>
      </c>
      <c r="I4261" s="8" t="n">
        <v>7.2388</v>
      </c>
      <c r="J4261" s="8" t="n">
        <v>7.2388</v>
      </c>
      <c r="K4261" s="8" t="n"/>
      <c r="L4261" s="8" t="n"/>
      <c r="M4261" s="8" t="n"/>
      <c r="N4261" s="8" t="n"/>
      <c r="O4261" s="8" t="n"/>
      <c r="P4261" s="8" t="n"/>
      <c r="Q4261" s="8" t="n"/>
      <c r="R4261" s="8" t="n"/>
      <c r="S4261" s="8" t="n"/>
      <c r="T4261" s="7" t="inlineStr">
        <is>
          <t>SEM COTAÇÃO</t>
        </is>
      </c>
      <c r="U4261" s="8" t="n"/>
      <c r="V4261" s="14" t="n"/>
      <c r="W4261" s="14" t="n"/>
      <c r="X4261" s="7" t="inlineStr"/>
      <c r="Y4261" s="7" t="inlineStr"/>
    </row>
    <row r="4262">
      <c r="A4262" s="7" t="n">
        <v>1034</v>
      </c>
      <c r="B4262" s="12" t="inlineStr">
        <is>
          <t>7891000460238</t>
        </is>
      </c>
      <c r="C4262" s="7" t="inlineStr">
        <is>
          <t>SUFLAIR DUO 50G</t>
        </is>
      </c>
      <c r="D4262" s="7" t="inlineStr">
        <is>
          <t>CHOCOLATES</t>
        </is>
      </c>
      <c r="E4262" s="7" t="inlineStr">
        <is>
          <t>B</t>
        </is>
      </c>
      <c r="F4262" s="13" t="n">
        <v>1</v>
      </c>
      <c r="G4262" s="13" t="n">
        <v>1</v>
      </c>
      <c r="H4262" s="8" t="n">
        <v>5.615</v>
      </c>
      <c r="I4262" s="8" t="n">
        <v>5.615</v>
      </c>
      <c r="J4262" s="8" t="n">
        <v>5.614999999999999</v>
      </c>
      <c r="K4262" s="8" t="n"/>
      <c r="L4262" s="8" t="n"/>
      <c r="M4262" s="8" t="n"/>
      <c r="N4262" s="8" t="n"/>
      <c r="O4262" s="8" t="n"/>
      <c r="P4262" s="8" t="n"/>
      <c r="Q4262" s="8" t="n"/>
      <c r="R4262" s="8" t="n"/>
      <c r="S4262" s="8" t="n"/>
      <c r="T4262" s="7" t="inlineStr">
        <is>
          <t>SEM COTAÇÃO</t>
        </is>
      </c>
      <c r="U4262" s="8" t="n"/>
      <c r="V4262" s="14" t="n"/>
      <c r="W4262" s="14" t="n"/>
      <c r="X4262" s="7" t="inlineStr"/>
      <c r="Y4262" s="7" t="inlineStr"/>
    </row>
    <row r="4263">
      <c r="A4263" s="7" t="n">
        <v>48521</v>
      </c>
      <c r="B4263" s="12" t="inlineStr">
        <is>
          <t>7896422504478</t>
        </is>
      </c>
      <c r="C4263" s="7" t="inlineStr">
        <is>
          <t>SULFATO DE NEOMICINA+BACITRACINA POM BG 50G</t>
        </is>
      </c>
      <c r="D4263" s="7" t="inlineStr">
        <is>
          <t>GENERICO</t>
        </is>
      </c>
      <c r="E4263" s="7" t="inlineStr">
        <is>
          <t>C</t>
        </is>
      </c>
      <c r="F4263" s="13" t="n">
        <v>1</v>
      </c>
      <c r="G4263" s="13" t="n">
        <v>1</v>
      </c>
      <c r="H4263" s="8" t="n">
        <v>7.9267</v>
      </c>
      <c r="I4263" s="8" t="n">
        <v>7.9267</v>
      </c>
      <c r="J4263" s="8" t="n">
        <v>7.9267</v>
      </c>
      <c r="K4263" s="8" t="n"/>
      <c r="L4263" s="8" t="n"/>
      <c r="M4263" s="8" t="n"/>
      <c r="N4263" s="8" t="n"/>
      <c r="O4263" s="8" t="n"/>
      <c r="P4263" s="15" t="n">
        <v>14.476</v>
      </c>
      <c r="Q4263" s="8" t="n"/>
      <c r="R4263" s="8" t="n"/>
      <c r="S4263" s="8" t="n"/>
      <c r="T4263" s="7" t="inlineStr">
        <is>
          <t>NAZARIA</t>
        </is>
      </c>
      <c r="U4263" s="8" t="n">
        <v>14.476</v>
      </c>
      <c r="V4263" s="14">
        <f>U4263/J4263-1</f>
        <v/>
      </c>
      <c r="W4263" s="14">
        <f>U4263/H4263-1</f>
        <v/>
      </c>
      <c r="X4263" s="16" t="inlineStr">
        <is>
          <t>ACIMA +82.6%</t>
        </is>
      </c>
      <c r="Y4263" s="7" t="inlineStr"/>
    </row>
    <row r="4264">
      <c r="A4264" s="7" t="n">
        <v>691001</v>
      </c>
      <c r="B4264" s="12" t="inlineStr">
        <is>
          <t>7898575780792</t>
        </is>
      </c>
      <c r="C4264" s="7" t="inlineStr">
        <is>
          <t>SULFATO FERROSO 125MG 120ML SUS..</t>
        </is>
      </c>
      <c r="D4264" s="7" t="inlineStr">
        <is>
          <t>VITAMINA E SIMILARES</t>
        </is>
      </c>
      <c r="E4264" s="7" t="inlineStr">
        <is>
          <t>B</t>
        </is>
      </c>
      <c r="F4264" s="13" t="n">
        <v>9</v>
      </c>
      <c r="G4264" s="13" t="n">
        <v>9</v>
      </c>
      <c r="H4264" s="8" t="n">
        <v>4.04</v>
      </c>
      <c r="I4264" s="8" t="n">
        <v>4.04</v>
      </c>
      <c r="J4264" s="8" t="n">
        <v>4.04</v>
      </c>
      <c r="K4264" s="15" t="n">
        <v>4.04</v>
      </c>
      <c r="L4264" s="8" t="n"/>
      <c r="M4264" s="8" t="n"/>
      <c r="N4264" s="8" t="n"/>
      <c r="O4264" s="8" t="n"/>
      <c r="P4264" s="8" t="n"/>
      <c r="Q4264" s="8" t="n"/>
      <c r="R4264" s="8" t="n"/>
      <c r="S4264" s="8" t="n"/>
      <c r="T4264" s="7" t="inlineStr">
        <is>
          <t>DIMEC</t>
        </is>
      </c>
      <c r="U4264" s="8" t="n">
        <v>4.04</v>
      </c>
      <c r="V4264" s="14">
        <f>U4264/J4264-1</f>
        <v/>
      </c>
      <c r="W4264" s="14">
        <f>U4264/H4264-1</f>
        <v/>
      </c>
      <c r="X4264" s="17" t="inlineStr">
        <is>
          <t>OK (≤ menor hist.)</t>
        </is>
      </c>
      <c r="Y4264" s="7" t="inlineStr"/>
    </row>
    <row r="4265">
      <c r="A4265" s="7" t="n">
        <v>3593</v>
      </c>
      <c r="B4265" s="12" t="inlineStr">
        <is>
          <t>7898575780808</t>
        </is>
      </c>
      <c r="C4265" s="7" t="inlineStr">
        <is>
          <t>SULFATO FERROSO 125MG 30ML GTS</t>
        </is>
      </c>
      <c r="D4265" s="7" t="inlineStr">
        <is>
          <t>SIMILAR</t>
        </is>
      </c>
      <c r="E4265" s="7" t="inlineStr">
        <is>
          <t>C</t>
        </is>
      </c>
      <c r="F4265" s="13" t="n">
        <v>3</v>
      </c>
      <c r="G4265" s="13" t="n">
        <v>3</v>
      </c>
      <c r="H4265" s="8" t="n">
        <v>2.69</v>
      </c>
      <c r="I4265" s="8" t="n">
        <v>2.69</v>
      </c>
      <c r="J4265" s="8" t="n">
        <v>2.69</v>
      </c>
      <c r="K4265" s="15" t="n">
        <v>2.69</v>
      </c>
      <c r="L4265" s="8" t="n"/>
      <c r="M4265" s="8" t="n"/>
      <c r="N4265" s="8" t="n"/>
      <c r="O4265" s="8" t="n"/>
      <c r="P4265" s="8" t="n"/>
      <c r="Q4265" s="8" t="n"/>
      <c r="R4265" s="8" t="n"/>
      <c r="S4265" s="8" t="n"/>
      <c r="T4265" s="7" t="inlineStr">
        <is>
          <t>DIMEC</t>
        </is>
      </c>
      <c r="U4265" s="8" t="n">
        <v>2.69</v>
      </c>
      <c r="V4265" s="14">
        <f>U4265/J4265-1</f>
        <v/>
      </c>
      <c r="W4265" s="14">
        <f>U4265/H4265-1</f>
        <v/>
      </c>
      <c r="X4265" s="17" t="inlineStr">
        <is>
          <t>OK (≤ menor hist.)</t>
        </is>
      </c>
      <c r="Y4265" s="7" t="inlineStr"/>
    </row>
    <row r="4266">
      <c r="A4266" s="7" t="n">
        <v>548381</v>
      </c>
      <c r="B4266" s="12" t="inlineStr">
        <is>
          <t>7897146600255</t>
        </is>
      </c>
      <c r="C4266" s="7" t="inlineStr">
        <is>
          <t>SULFATO FERROSO 200MG C/50 CPR</t>
        </is>
      </c>
      <c r="D4266" s="7" t="inlineStr">
        <is>
          <t>SIMILAR</t>
        </is>
      </c>
      <c r="E4266" s="7" t="inlineStr">
        <is>
          <t>B</t>
        </is>
      </c>
      <c r="F4266" s="13" t="n">
        <v>7</v>
      </c>
      <c r="G4266" s="13" t="n">
        <v>7</v>
      </c>
      <c r="H4266" s="8" t="n">
        <v>4.37</v>
      </c>
      <c r="I4266" s="8" t="n">
        <v>4.37</v>
      </c>
      <c r="J4266" s="8" t="n">
        <v>4.37</v>
      </c>
      <c r="K4266" s="15" t="n">
        <v>4.37</v>
      </c>
      <c r="L4266" s="8" t="n"/>
      <c r="M4266" s="8" t="n"/>
      <c r="N4266" s="8" t="n"/>
      <c r="O4266" s="8" t="n"/>
      <c r="P4266" s="8" t="n"/>
      <c r="Q4266" s="8" t="n"/>
      <c r="R4266" s="8" t="n"/>
      <c r="S4266" s="8" t="n"/>
      <c r="T4266" s="7" t="inlineStr">
        <is>
          <t>DIMEC</t>
        </is>
      </c>
      <c r="U4266" s="8" t="n">
        <v>4.37</v>
      </c>
      <c r="V4266" s="14">
        <f>U4266/J4266-1</f>
        <v/>
      </c>
      <c r="W4266" s="14">
        <f>U4266/H4266-1</f>
        <v/>
      </c>
      <c r="X4266" s="17" t="inlineStr">
        <is>
          <t>OK (≤ menor hist.)</t>
        </is>
      </c>
      <c r="Y4266" s="7" t="inlineStr"/>
    </row>
    <row r="4267">
      <c r="A4267" s="7" t="n">
        <v>639001</v>
      </c>
      <c r="B4267" s="12" t="inlineStr"/>
      <c r="C4267" s="7" t="inlineStr">
        <is>
          <t>SULFERMAX 40MG C/40 CPR</t>
        </is>
      </c>
      <c r="D4267" s="7" t="inlineStr">
        <is>
          <t>SIMILAR</t>
        </is>
      </c>
      <c r="E4267" s="7" t="inlineStr">
        <is>
          <t>C</t>
        </is>
      </c>
      <c r="F4267" s="13" t="n">
        <v>1</v>
      </c>
      <c r="G4267" s="13" t="n">
        <v>1</v>
      </c>
      <c r="H4267" s="8" t="n">
        <v>6.3</v>
      </c>
      <c r="I4267" s="8" t="n">
        <v>6.3</v>
      </c>
      <c r="J4267" s="8" t="n">
        <v>6.3</v>
      </c>
      <c r="K4267" s="8" t="n"/>
      <c r="L4267" s="8" t="n"/>
      <c r="M4267" s="8" t="n"/>
      <c r="N4267" s="8" t="n"/>
      <c r="O4267" s="8" t="n"/>
      <c r="P4267" s="8" t="n"/>
      <c r="Q4267" s="8" t="n"/>
      <c r="R4267" s="8" t="n"/>
      <c r="S4267" s="8" t="n"/>
      <c r="T4267" s="7" t="inlineStr">
        <is>
          <t>SEM COTAÇÃO</t>
        </is>
      </c>
      <c r="U4267" s="8" t="n"/>
      <c r="V4267" s="14" t="n"/>
      <c r="W4267" s="14" t="n"/>
      <c r="X4267" s="7" t="inlineStr"/>
      <c r="Y4267" s="7" t="inlineStr"/>
    </row>
    <row r="4268">
      <c r="A4268" s="7" t="n">
        <v>612291</v>
      </c>
      <c r="B4268" s="12" t="inlineStr">
        <is>
          <t>7894164005802</t>
        </is>
      </c>
      <c r="C4268" s="7" t="inlineStr">
        <is>
          <t>SULFERMAX GTS 30ML (SULFATO FERROSO)</t>
        </is>
      </c>
      <c r="D4268" s="7" t="inlineStr">
        <is>
          <t>SIMILAR</t>
        </is>
      </c>
      <c r="E4268" s="7" t="inlineStr">
        <is>
          <t>C</t>
        </is>
      </c>
      <c r="F4268" s="13" t="n">
        <v>3</v>
      </c>
      <c r="G4268" s="13" t="n">
        <v>3</v>
      </c>
      <c r="H4268" s="8" t="n">
        <v>3.17</v>
      </c>
      <c r="I4268" s="8" t="n">
        <v>3.08</v>
      </c>
      <c r="J4268" s="8" t="n">
        <v>3.123333333333334</v>
      </c>
      <c r="K4268" s="15" t="n">
        <v>3.29</v>
      </c>
      <c r="L4268" s="8" t="n"/>
      <c r="M4268" s="8" t="n"/>
      <c r="N4268" s="8" t="n">
        <v>3.34</v>
      </c>
      <c r="O4268" s="8" t="n"/>
      <c r="P4268" s="8" t="n"/>
      <c r="Q4268" s="8" t="n">
        <v>3.52</v>
      </c>
      <c r="R4268" s="8" t="n"/>
      <c r="S4268" s="8" t="n"/>
      <c r="T4268" s="7" t="inlineStr">
        <is>
          <t>DIMEC</t>
        </is>
      </c>
      <c r="U4268" s="8" t="n">
        <v>3.29</v>
      </c>
      <c r="V4268" s="14">
        <f>U4268/J4268-1</f>
        <v/>
      </c>
      <c r="W4268" s="14">
        <f>U4268/H4268-1</f>
        <v/>
      </c>
      <c r="X4268" s="16" t="inlineStr">
        <is>
          <t>ACIMA +3.8%</t>
        </is>
      </c>
      <c r="Y4268" s="7" t="inlineStr"/>
    </row>
    <row r="4269">
      <c r="A4269" s="7" t="n">
        <v>445201</v>
      </c>
      <c r="B4269" s="12" t="inlineStr">
        <is>
          <t>7896094201064</t>
        </is>
      </c>
      <c r="C4269" s="7" t="inlineStr">
        <is>
          <t>SUMAX 25MG CX 4 COMP REV</t>
        </is>
      </c>
      <c r="D4269" s="7" t="inlineStr">
        <is>
          <t>RX</t>
        </is>
      </c>
      <c r="E4269" s="7" t="inlineStr">
        <is>
          <t>A</t>
        </is>
      </c>
      <c r="F4269" s="13" t="n">
        <v>2</v>
      </c>
      <c r="G4269" s="13" t="n">
        <v>2</v>
      </c>
      <c r="H4269" s="8" t="n">
        <v>28.8</v>
      </c>
      <c r="I4269" s="8" t="n">
        <v>24.6367</v>
      </c>
      <c r="J4269" s="8" t="n">
        <v>26.59223333333334</v>
      </c>
      <c r="K4269" s="8" t="n"/>
      <c r="L4269" s="8" t="n"/>
      <c r="M4269" s="8" t="n">
        <v>28.8</v>
      </c>
      <c r="N4269" s="8" t="n"/>
      <c r="O4269" s="8" t="n"/>
      <c r="P4269" s="15" t="n">
        <v>28.2843</v>
      </c>
      <c r="Q4269" s="8" t="n"/>
      <c r="R4269" s="8" t="n"/>
      <c r="S4269" s="8" t="n"/>
      <c r="T4269" s="7" t="inlineStr">
        <is>
          <t>NAZARIA</t>
        </is>
      </c>
      <c r="U4269" s="8" t="n">
        <v>28.2843</v>
      </c>
      <c r="V4269" s="14">
        <f>U4269/J4269-1</f>
        <v/>
      </c>
      <c r="W4269" s="14">
        <f>U4269/H4269-1</f>
        <v/>
      </c>
      <c r="X4269" s="17" t="inlineStr">
        <is>
          <t>OK (≤ últ. compra)</t>
        </is>
      </c>
      <c r="Y4269" s="7" t="inlineStr"/>
    </row>
    <row r="4270">
      <c r="A4270" s="7" t="n">
        <v>445261</v>
      </c>
      <c r="B4270" s="12" t="inlineStr">
        <is>
          <t>7896094208278</t>
        </is>
      </c>
      <c r="C4270" s="7" t="inlineStr">
        <is>
          <t>SUMAXPRO 500+50MG CX 2 COMP REV</t>
        </is>
      </c>
      <c r="D4270" s="7" t="inlineStr">
        <is>
          <t>RX</t>
        </is>
      </c>
      <c r="E4270" s="7" t="inlineStr">
        <is>
          <t>A</t>
        </is>
      </c>
      <c r="F4270" s="13" t="n">
        <v>2</v>
      </c>
      <c r="G4270" s="13" t="n">
        <v>2</v>
      </c>
      <c r="H4270" s="8" t="n">
        <v>35.42</v>
      </c>
      <c r="I4270" s="8" t="n">
        <v>32.86</v>
      </c>
      <c r="J4270" s="8" t="n">
        <v>34.12333333333333</v>
      </c>
      <c r="K4270" s="8" t="n"/>
      <c r="L4270" s="8" t="n"/>
      <c r="M4270" s="8" t="n"/>
      <c r="N4270" s="8" t="n"/>
      <c r="O4270" s="8" t="n"/>
      <c r="P4270" s="15" t="n">
        <v>34.7787</v>
      </c>
      <c r="Q4270" s="8" t="n"/>
      <c r="R4270" s="8" t="n"/>
      <c r="S4270" s="8" t="n"/>
      <c r="T4270" s="7" t="inlineStr">
        <is>
          <t>NAZARIA</t>
        </is>
      </c>
      <c r="U4270" s="8" t="n">
        <v>34.7787</v>
      </c>
      <c r="V4270" s="14">
        <f>U4270/J4270-1</f>
        <v/>
      </c>
      <c r="W4270" s="14">
        <f>U4270/H4270-1</f>
        <v/>
      </c>
      <c r="X4270" s="17" t="inlineStr">
        <is>
          <t>OK (≤ últ. compra)</t>
        </is>
      </c>
      <c r="Y4270" s="7" t="inlineStr"/>
    </row>
    <row r="4271">
      <c r="A4271" s="7" t="n">
        <v>636811</v>
      </c>
      <c r="B4271" s="12" t="inlineStr"/>
      <c r="C4271" s="7" t="inlineStr">
        <is>
          <t>SUP GLIC ADT 12SUP</t>
        </is>
      </c>
      <c r="D4271" s="7" t="inlineStr">
        <is>
          <t>RX - OTC</t>
        </is>
      </c>
      <c r="E4271" s="7" t="inlineStr">
        <is>
          <t>A</t>
        </is>
      </c>
      <c r="F4271" s="13" t="n">
        <v>5</v>
      </c>
      <c r="G4271" s="13" t="n">
        <v>5</v>
      </c>
      <c r="H4271" s="8" t="n">
        <v>20.64</v>
      </c>
      <c r="I4271" s="8" t="n">
        <v>18.92</v>
      </c>
      <c r="J4271" s="8" t="n">
        <v>19.36946666666667</v>
      </c>
      <c r="K4271" s="8" t="n"/>
      <c r="L4271" s="8" t="n"/>
      <c r="M4271" s="8" t="n"/>
      <c r="N4271" s="8" t="n"/>
      <c r="O4271" s="8" t="n"/>
      <c r="P4271" s="8" t="n"/>
      <c r="Q4271" s="8" t="n"/>
      <c r="R4271" s="8" t="n"/>
      <c r="S4271" s="8" t="n"/>
      <c r="T4271" s="7" t="inlineStr">
        <is>
          <t>SEM COTAÇÃO</t>
        </is>
      </c>
      <c r="U4271" s="8" t="n"/>
      <c r="V4271" s="14" t="n"/>
      <c r="W4271" s="14" t="n"/>
      <c r="X4271" s="7" t="inlineStr"/>
      <c r="Y4271" s="7" t="inlineStr"/>
    </row>
    <row r="4272">
      <c r="A4272" s="7" t="n">
        <v>636821</v>
      </c>
      <c r="B4272" s="12" t="inlineStr"/>
      <c r="C4272" s="7" t="inlineStr">
        <is>
          <t>SUP GLIC INF 12SUP</t>
        </is>
      </c>
      <c r="D4272" s="7" t="inlineStr">
        <is>
          <t>SIMILAR</t>
        </is>
      </c>
      <c r="E4272" s="7" t="inlineStr">
        <is>
          <t>A</t>
        </is>
      </c>
      <c r="F4272" s="13" t="n">
        <v>1</v>
      </c>
      <c r="G4272" s="13" t="n">
        <v>1</v>
      </c>
      <c r="H4272" s="8" t="n">
        <v>18.0233</v>
      </c>
      <c r="I4272" s="8" t="n">
        <v>18.0233</v>
      </c>
      <c r="J4272" s="8" t="n">
        <v>18.0233</v>
      </c>
      <c r="K4272" s="8" t="n"/>
      <c r="L4272" s="8" t="n"/>
      <c r="M4272" s="8" t="n"/>
      <c r="N4272" s="8" t="n"/>
      <c r="O4272" s="8" t="n"/>
      <c r="P4272" s="8" t="n"/>
      <c r="Q4272" s="8" t="n"/>
      <c r="R4272" s="8" t="n"/>
      <c r="S4272" s="8" t="n"/>
      <c r="T4272" s="7" t="inlineStr">
        <is>
          <t>SEM COTAÇÃO</t>
        </is>
      </c>
      <c r="U4272" s="8" t="n"/>
      <c r="V4272" s="14" t="n"/>
      <c r="W4272" s="14" t="n"/>
      <c r="X4272" s="7" t="inlineStr"/>
      <c r="Y4272" s="7" t="inlineStr"/>
    </row>
    <row r="4273">
      <c r="A4273" s="7" t="n">
        <v>605081</v>
      </c>
      <c r="B4273" s="12" t="inlineStr">
        <is>
          <t>7898941911270</t>
        </is>
      </c>
      <c r="C4273" s="7" t="inlineStr">
        <is>
          <t>SUSTAGEN KIDS SACHET BAUNILHA 190GR UN QTD. 2.00 UN</t>
        </is>
      </c>
      <c r="D4273" s="7" t="inlineStr">
        <is>
          <t>VITAMINA E SIMILARES</t>
        </is>
      </c>
      <c r="E4273" s="7" t="inlineStr">
        <is>
          <t>C</t>
        </is>
      </c>
      <c r="F4273" s="13" t="n">
        <v>1</v>
      </c>
      <c r="G4273" s="13" t="n">
        <v>1</v>
      </c>
      <c r="H4273" s="8" t="n">
        <v>12.6617</v>
      </c>
      <c r="I4273" s="8" t="n">
        <v>12.6617</v>
      </c>
      <c r="J4273" s="8" t="n">
        <v>12.6617</v>
      </c>
      <c r="K4273" s="8" t="n"/>
      <c r="L4273" s="8" t="n"/>
      <c r="M4273" s="8" t="n"/>
      <c r="N4273" s="8" t="n"/>
      <c r="O4273" s="8" t="n"/>
      <c r="P4273" s="15" t="n">
        <v>16.8854</v>
      </c>
      <c r="Q4273" s="8" t="n"/>
      <c r="R4273" s="8" t="n"/>
      <c r="S4273" s="8" t="n"/>
      <c r="T4273" s="7" t="inlineStr">
        <is>
          <t>NAZARIA</t>
        </is>
      </c>
      <c r="U4273" s="8" t="n">
        <v>16.8854</v>
      </c>
      <c r="V4273" s="14">
        <f>U4273/J4273-1</f>
        <v/>
      </c>
      <c r="W4273" s="14">
        <f>U4273/H4273-1</f>
        <v/>
      </c>
      <c r="X4273" s="16" t="inlineStr">
        <is>
          <t>ACIMA +33.4%</t>
        </is>
      </c>
      <c r="Y4273" s="7" t="inlineStr"/>
    </row>
    <row r="4274">
      <c r="A4274" s="7" t="n">
        <v>413961</v>
      </c>
      <c r="B4274" s="12" t="inlineStr"/>
      <c r="C4274" s="7" t="inlineStr">
        <is>
          <t>SUSTRATE 10MG CX 50 COMP</t>
        </is>
      </c>
      <c r="D4274" s="7" t="inlineStr">
        <is>
          <t>RX</t>
        </is>
      </c>
      <c r="E4274" s="7" t="inlineStr">
        <is>
          <t>A</t>
        </is>
      </c>
      <c r="F4274" s="13" t="n">
        <v>1</v>
      </c>
      <c r="G4274" s="13" t="n">
        <v>1</v>
      </c>
      <c r="H4274" s="8" t="n">
        <v>28.86</v>
      </c>
      <c r="I4274" s="8" t="n">
        <v>25.705</v>
      </c>
      <c r="J4274" s="8" t="n">
        <v>27.30633333333333</v>
      </c>
      <c r="K4274" s="8" t="n"/>
      <c r="L4274" s="8" t="n"/>
      <c r="M4274" s="8" t="n"/>
      <c r="N4274" s="8" t="n"/>
      <c r="O4274" s="8" t="n"/>
      <c r="P4274" s="8" t="n"/>
      <c r="Q4274" s="8" t="n"/>
      <c r="R4274" s="8" t="n"/>
      <c r="S4274" s="8" t="n"/>
      <c r="T4274" s="7" t="inlineStr">
        <is>
          <t>SEM COTAÇÃO</t>
        </is>
      </c>
      <c r="U4274" s="8" t="n"/>
      <c r="V4274" s="14" t="n"/>
      <c r="W4274" s="14" t="n"/>
      <c r="X4274" s="7" t="inlineStr"/>
      <c r="Y4274" s="7" t="inlineStr"/>
    </row>
    <row r="4275">
      <c r="A4275" s="7" t="n">
        <v>539601</v>
      </c>
      <c r="B4275" s="12" t="inlineStr"/>
      <c r="C4275" s="7" t="inlineStr">
        <is>
          <t>SYSTANE ULTRA FCO X10ML</t>
        </is>
      </c>
      <c r="D4275" s="7" t="inlineStr">
        <is>
          <t>RX - OTC</t>
        </is>
      </c>
      <c r="E4275" s="7" t="inlineStr">
        <is>
          <t>A</t>
        </is>
      </c>
      <c r="F4275" s="13" t="n">
        <v>1</v>
      </c>
      <c r="G4275" s="13" t="n">
        <v>1</v>
      </c>
      <c r="H4275" s="8" t="n">
        <v>52.81</v>
      </c>
      <c r="I4275" s="8" t="n">
        <v>46.18</v>
      </c>
      <c r="J4275" s="8" t="n">
        <v>50.53</v>
      </c>
      <c r="K4275" s="8" t="n"/>
      <c r="L4275" s="8" t="n"/>
      <c r="M4275" s="8" t="n"/>
      <c r="N4275" s="8" t="n"/>
      <c r="O4275" s="8" t="n"/>
      <c r="P4275" s="8" t="n"/>
      <c r="Q4275" s="8" t="n"/>
      <c r="R4275" s="8" t="n"/>
      <c r="S4275" s="8" t="n"/>
      <c r="T4275" s="7" t="inlineStr">
        <is>
          <t>SEM COTAÇÃO</t>
        </is>
      </c>
      <c r="U4275" s="8" t="n"/>
      <c r="V4275" s="14" t="n"/>
      <c r="W4275" s="14" t="n"/>
      <c r="X4275" s="7" t="inlineStr"/>
      <c r="Y4275" s="7" t="inlineStr"/>
    </row>
    <row r="4276">
      <c r="A4276" s="7" t="n">
        <v>586261</v>
      </c>
      <c r="B4276" s="12" t="inlineStr">
        <is>
          <t>7896020159551</t>
        </is>
      </c>
      <c r="C4276" s="7" t="inlineStr">
        <is>
          <t>T XUXINHA SB 80G</t>
        </is>
      </c>
      <c r="D4276" s="7" t="inlineStr">
        <is>
          <t>BABY/KIDS</t>
        </is>
      </c>
      <c r="E4276" s="7" t="inlineStr">
        <is>
          <t>C</t>
        </is>
      </c>
      <c r="F4276" s="13" t="n">
        <v>5</v>
      </c>
      <c r="G4276" s="13" t="n">
        <v>5</v>
      </c>
      <c r="H4276" s="8" t="n">
        <v>4.09</v>
      </c>
      <c r="I4276" s="8" t="n">
        <v>4.09</v>
      </c>
      <c r="J4276" s="8" t="n">
        <v>4.09</v>
      </c>
      <c r="K4276" s="8" t="n"/>
      <c r="L4276" s="8" t="n"/>
      <c r="M4276" s="8" t="n"/>
      <c r="N4276" s="8" t="n"/>
      <c r="O4276" s="8" t="n"/>
      <c r="P4276" s="8" t="n"/>
      <c r="Q4276" s="8" t="n"/>
      <c r="R4276" s="8" t="n"/>
      <c r="S4276" s="8" t="n"/>
      <c r="T4276" s="7" t="inlineStr">
        <is>
          <t>SEM COTAÇÃO</t>
        </is>
      </c>
      <c r="U4276" s="8" t="n"/>
      <c r="V4276" s="14" t="n"/>
      <c r="W4276" s="14" t="n"/>
      <c r="X4276" s="7" t="inlineStr"/>
      <c r="Y4276" s="7" t="inlineStr"/>
    </row>
    <row r="4277">
      <c r="A4277" s="7" t="n">
        <v>600111</v>
      </c>
      <c r="B4277" s="12" t="inlineStr">
        <is>
          <t>7896020163077</t>
        </is>
      </c>
      <c r="C4277" s="7" t="inlineStr">
        <is>
          <t>T XUXINHA SB LIQ 210ML C/GLICERINA REFIL</t>
        </is>
      </c>
      <c r="D4277" s="7" t="inlineStr">
        <is>
          <t>BABY/KIDS</t>
        </is>
      </c>
      <c r="E4277" s="7" t="inlineStr">
        <is>
          <t>B</t>
        </is>
      </c>
      <c r="F4277" s="13" t="n">
        <v>1</v>
      </c>
      <c r="G4277" s="13" t="n">
        <v>1</v>
      </c>
      <c r="H4277" s="8" t="n">
        <v>9.7042</v>
      </c>
      <c r="I4277" s="8" t="n">
        <v>8.369999999999999</v>
      </c>
      <c r="J4277" s="8" t="n">
        <v>9.259466666666667</v>
      </c>
      <c r="K4277" s="8" t="n"/>
      <c r="L4277" s="8" t="n"/>
      <c r="M4277" s="8" t="n"/>
      <c r="N4277" s="8" t="n"/>
      <c r="O4277" s="8" t="n"/>
      <c r="P4277" s="8" t="n"/>
      <c r="Q4277" s="8" t="n"/>
      <c r="R4277" s="8" t="n"/>
      <c r="S4277" s="8" t="n"/>
      <c r="T4277" s="7" t="inlineStr">
        <is>
          <t>SEM COTAÇÃO</t>
        </is>
      </c>
      <c r="U4277" s="8" t="n"/>
      <c r="V4277" s="14" t="n"/>
      <c r="W4277" s="14" t="n"/>
      <c r="X4277" s="7" t="inlineStr"/>
      <c r="Y4277" s="7" t="inlineStr"/>
    </row>
    <row r="4278">
      <c r="A4278" s="7" t="n">
        <v>628561</v>
      </c>
      <c r="B4278" s="12" t="inlineStr">
        <is>
          <t>7896020163084</t>
        </is>
      </c>
      <c r="C4278" s="7" t="inlineStr">
        <is>
          <t>T XUXINHA SB LIQ 210ML S/CORANTE REFIL</t>
        </is>
      </c>
      <c r="D4278" s="7" t="inlineStr">
        <is>
          <t>BABY/KIDS</t>
        </is>
      </c>
      <c r="E4278" s="7" t="inlineStr">
        <is>
          <t>B</t>
        </is>
      </c>
      <c r="F4278" s="13" t="n">
        <v>5</v>
      </c>
      <c r="G4278" s="13" t="n">
        <v>5</v>
      </c>
      <c r="H4278" s="8" t="n">
        <v>9.7042</v>
      </c>
      <c r="I4278" s="8" t="n">
        <v>8.369999999999999</v>
      </c>
      <c r="J4278" s="8" t="n">
        <v>9.259466666666667</v>
      </c>
      <c r="K4278" s="8" t="n"/>
      <c r="L4278" s="8" t="n"/>
      <c r="M4278" s="8" t="n"/>
      <c r="N4278" s="8" t="n"/>
      <c r="O4278" s="8" t="n"/>
      <c r="P4278" s="8" t="n"/>
      <c r="Q4278" s="8" t="n"/>
      <c r="R4278" s="8" t="n"/>
      <c r="S4278" s="8" t="n"/>
      <c r="T4278" s="7" t="inlineStr">
        <is>
          <t>SEM COTAÇÃO</t>
        </is>
      </c>
      <c r="U4278" s="8" t="n"/>
      <c r="V4278" s="14" t="n"/>
      <c r="W4278" s="14" t="n"/>
      <c r="X4278" s="7" t="inlineStr"/>
      <c r="Y4278" s="7" t="inlineStr"/>
    </row>
    <row r="4279">
      <c r="A4279" s="7" t="n">
        <v>600121</v>
      </c>
      <c r="B4279" s="12" t="inlineStr">
        <is>
          <t>7896020163091</t>
        </is>
      </c>
      <c r="C4279" s="7" t="inlineStr">
        <is>
          <t>T XUXINHA SB LIQ 210ML SONO TRANQ REFIL</t>
        </is>
      </c>
      <c r="D4279" s="7" t="inlineStr">
        <is>
          <t>BABY/KIDS</t>
        </is>
      </c>
      <c r="E4279" s="7" t="inlineStr">
        <is>
          <t>B</t>
        </is>
      </c>
      <c r="F4279" s="13" t="n">
        <v>4</v>
      </c>
      <c r="G4279" s="13" t="n">
        <v>4</v>
      </c>
      <c r="H4279" s="8" t="n">
        <v>9.7042</v>
      </c>
      <c r="I4279" s="8" t="n">
        <v>9.300000000000001</v>
      </c>
      <c r="J4279" s="8" t="n">
        <v>9.569466666666667</v>
      </c>
      <c r="K4279" s="8" t="n"/>
      <c r="L4279" s="8" t="n"/>
      <c r="M4279" s="8" t="n"/>
      <c r="N4279" s="8" t="n"/>
      <c r="O4279" s="8" t="n"/>
      <c r="P4279" s="8" t="n"/>
      <c r="Q4279" s="8" t="n"/>
      <c r="R4279" s="8" t="n"/>
      <c r="S4279" s="8" t="n"/>
      <c r="T4279" s="7" t="inlineStr">
        <is>
          <t>SEM COTAÇÃO</t>
        </is>
      </c>
      <c r="U4279" s="8" t="n"/>
      <c r="V4279" s="14" t="n"/>
      <c r="W4279" s="14" t="n"/>
      <c r="X4279" s="7" t="inlineStr"/>
      <c r="Y4279" s="7" t="inlineStr"/>
    </row>
    <row r="4280">
      <c r="A4280" s="7" t="n">
        <v>608191</v>
      </c>
      <c r="B4280" s="12" t="inlineStr">
        <is>
          <t>7896020153931</t>
        </is>
      </c>
      <c r="C4280" s="7" t="inlineStr">
        <is>
          <t>T XUXINHA SH 210ML</t>
        </is>
      </c>
      <c r="D4280" s="7" t="inlineStr">
        <is>
          <t>PERF/COSME</t>
        </is>
      </c>
      <c r="E4280" s="7" t="inlineStr">
        <is>
          <t>C</t>
        </is>
      </c>
      <c r="F4280" s="13" t="n">
        <v>2</v>
      </c>
      <c r="G4280" s="13" t="n">
        <v>2</v>
      </c>
      <c r="H4280" s="8" t="n">
        <v>9.31</v>
      </c>
      <c r="I4280" s="8" t="n">
        <v>9.31</v>
      </c>
      <c r="J4280" s="8" t="n">
        <v>9.31</v>
      </c>
      <c r="K4280" s="8" t="n"/>
      <c r="L4280" s="8" t="n"/>
      <c r="M4280" s="8" t="n"/>
      <c r="N4280" s="8" t="n"/>
      <c r="O4280" s="8" t="n"/>
      <c r="P4280" s="8" t="n"/>
      <c r="Q4280" s="8" t="n"/>
      <c r="R4280" s="8" t="n"/>
      <c r="S4280" s="8" t="n"/>
      <c r="T4280" s="7" t="inlineStr">
        <is>
          <t>SEM COTAÇÃO</t>
        </is>
      </c>
      <c r="U4280" s="8" t="n"/>
      <c r="V4280" s="14" t="n"/>
      <c r="W4280" s="14" t="n"/>
      <c r="X4280" s="7" t="inlineStr"/>
      <c r="Y4280" s="7" t="inlineStr"/>
    </row>
    <row r="4281">
      <c r="A4281" s="7" t="n">
        <v>638751</v>
      </c>
      <c r="B4281" s="12" t="inlineStr">
        <is>
          <t>7896020162216</t>
        </is>
      </c>
      <c r="C4281" s="7" t="inlineStr">
        <is>
          <t>T XUXINHA SH400ML SONO TRANQUILO</t>
        </is>
      </c>
      <c r="D4281" s="7" t="inlineStr">
        <is>
          <t>BABY/KIDS</t>
        </is>
      </c>
      <c r="E4281" s="7" t="inlineStr">
        <is>
          <t>C</t>
        </is>
      </c>
      <c r="F4281" s="13" t="n">
        <v>1</v>
      </c>
      <c r="G4281" s="13" t="n">
        <v>1</v>
      </c>
      <c r="H4281" s="8" t="n"/>
      <c r="I4281" s="8" t="n"/>
      <c r="J4281" s="8" t="n"/>
      <c r="K4281" s="8" t="n"/>
      <c r="L4281" s="8" t="n"/>
      <c r="M4281" s="8" t="n"/>
      <c r="N4281" s="8" t="n"/>
      <c r="O4281" s="8" t="n"/>
      <c r="P4281" s="8" t="n"/>
      <c r="Q4281" s="8" t="n"/>
      <c r="R4281" s="8" t="n"/>
      <c r="S4281" s="8" t="n"/>
      <c r="T4281" s="7" t="inlineStr">
        <is>
          <t>SEM COTAÇÃO</t>
        </is>
      </c>
      <c r="U4281" s="8" t="n"/>
      <c r="V4281" s="14" t="n"/>
      <c r="W4281" s="14" t="n"/>
      <c r="X4281" s="7" t="inlineStr"/>
      <c r="Y4281" s="7" t="inlineStr"/>
    </row>
    <row r="4282">
      <c r="A4282" s="7" t="n">
        <v>601961</v>
      </c>
      <c r="B4282" s="12" t="inlineStr">
        <is>
          <t>7896020153986</t>
        </is>
      </c>
      <c r="C4282" s="7" t="inlineStr">
        <is>
          <t>T XUXINHA TALCO 100G POLVILHO</t>
        </is>
      </c>
      <c r="D4282" s="7" t="inlineStr">
        <is>
          <t>BABY/KIDS</t>
        </is>
      </c>
      <c r="E4282" s="7" t="inlineStr">
        <is>
          <t>C</t>
        </is>
      </c>
      <c r="F4282" s="13" t="n">
        <v>4</v>
      </c>
      <c r="G4282" s="13" t="n">
        <v>4</v>
      </c>
      <c r="H4282" s="8" t="n">
        <v>10.59</v>
      </c>
      <c r="I4282" s="8" t="n">
        <v>10.5</v>
      </c>
      <c r="J4282" s="8" t="n">
        <v>10.5</v>
      </c>
      <c r="K4282" s="8" t="n"/>
      <c r="L4282" s="8" t="n"/>
      <c r="M4282" s="8" t="n"/>
      <c r="N4282" s="8" t="n"/>
      <c r="O4282" s="8" t="n"/>
      <c r="P4282" s="8" t="n"/>
      <c r="Q4282" s="8" t="n"/>
      <c r="R4282" s="8" t="n"/>
      <c r="S4282" s="8" t="n"/>
      <c r="T4282" s="7" t="inlineStr">
        <is>
          <t>SEM COTAÇÃO</t>
        </is>
      </c>
      <c r="U4282" s="8" t="n"/>
      <c r="V4282" s="14" t="n"/>
      <c r="W4282" s="14" t="n"/>
      <c r="X4282" s="7" t="inlineStr"/>
      <c r="Y4282" s="7" t="inlineStr"/>
    </row>
    <row r="4283">
      <c r="A4283" s="7" t="n">
        <v>585961</v>
      </c>
      <c r="B4283" s="12" t="inlineStr">
        <is>
          <t>7908371200155</t>
        </is>
      </c>
      <c r="C4283" s="7" t="inlineStr">
        <is>
          <t>T. MONICA AGUINHA CL 100ML BONS TEMP LAVA</t>
        </is>
      </c>
      <c r="D4283" s="7" t="inlineStr">
        <is>
          <t>BABY/KIDS</t>
        </is>
      </c>
      <c r="E4283" s="7" t="inlineStr">
        <is>
          <t>C</t>
        </is>
      </c>
      <c r="F4283" s="13" t="n">
        <v>1</v>
      </c>
      <c r="G4283" s="13" t="n">
        <v>1</v>
      </c>
      <c r="H4283" s="8" t="n">
        <v>7.83</v>
      </c>
      <c r="I4283" s="8" t="n">
        <v>7.83</v>
      </c>
      <c r="J4283" s="8" t="n">
        <v>7.830000000000001</v>
      </c>
      <c r="K4283" s="8" t="n"/>
      <c r="L4283" s="8" t="n"/>
      <c r="M4283" s="8" t="n"/>
      <c r="N4283" s="8" t="n"/>
      <c r="O4283" s="8" t="n"/>
      <c r="P4283" s="8" t="n"/>
      <c r="Q4283" s="8" t="n"/>
      <c r="R4283" s="8" t="n"/>
      <c r="S4283" s="8" t="n"/>
      <c r="T4283" s="7" t="inlineStr">
        <is>
          <t>SEM COTAÇÃO</t>
        </is>
      </c>
      <c r="U4283" s="8" t="n"/>
      <c r="V4283" s="14" t="n"/>
      <c r="W4283" s="14" t="n"/>
      <c r="X4283" s="7" t="inlineStr"/>
      <c r="Y4283" s="7" t="inlineStr"/>
    </row>
    <row r="4284">
      <c r="A4284" s="7" t="n">
        <v>585981</v>
      </c>
      <c r="B4284" s="12" t="inlineStr">
        <is>
          <t>7908371200162</t>
        </is>
      </c>
      <c r="C4284" s="7" t="inlineStr">
        <is>
          <t>T. MONICA AGUINHA CL 100ML CHEIR MEU BEBE</t>
        </is>
      </c>
      <c r="D4284" s="7" t="inlineStr">
        <is>
          <t>BABY/KIDS</t>
        </is>
      </c>
      <c r="E4284" s="7" t="inlineStr">
        <is>
          <t>C</t>
        </is>
      </c>
      <c r="F4284" s="13" t="n">
        <v>2</v>
      </c>
      <c r="G4284" s="13" t="n">
        <v>2</v>
      </c>
      <c r="H4284" s="8" t="n">
        <v>8.19</v>
      </c>
      <c r="I4284" s="8" t="n">
        <v>8.19</v>
      </c>
      <c r="J4284" s="8" t="n">
        <v>8.19</v>
      </c>
      <c r="K4284" s="8" t="n"/>
      <c r="L4284" s="8" t="n"/>
      <c r="M4284" s="8" t="n"/>
      <c r="N4284" s="8" t="n"/>
      <c r="O4284" s="8" t="n"/>
      <c r="P4284" s="8" t="n"/>
      <c r="Q4284" s="8" t="n"/>
      <c r="R4284" s="8" t="n"/>
      <c r="S4284" s="8" t="n"/>
      <c r="T4284" s="7" t="inlineStr">
        <is>
          <t>SEM COTAÇÃO</t>
        </is>
      </c>
      <c r="U4284" s="8" t="n"/>
      <c r="V4284" s="14" t="n"/>
      <c r="W4284" s="14" t="n"/>
      <c r="X4284" s="7" t="inlineStr"/>
      <c r="Y4284" s="7" t="inlineStr"/>
    </row>
    <row r="4285">
      <c r="A4285" s="7" t="n">
        <v>585881</v>
      </c>
      <c r="B4285" s="12" t="inlineStr">
        <is>
          <t>7908371200070</t>
        </is>
      </c>
      <c r="C4285" s="7" t="inlineStr">
        <is>
          <t>T. MONICA CO 200ML SUAVE CABELINHOS DELIC</t>
        </is>
      </c>
      <c r="D4285" s="7" t="inlineStr">
        <is>
          <t>PERF/COSME</t>
        </is>
      </c>
      <c r="E4285" s="7" t="inlineStr">
        <is>
          <t>C</t>
        </is>
      </c>
      <c r="F4285" s="13" t="n">
        <v>1</v>
      </c>
      <c r="G4285" s="13" t="n">
        <v>1</v>
      </c>
      <c r="H4285" s="8" t="n">
        <v>9.140000000000001</v>
      </c>
      <c r="I4285" s="8" t="n">
        <v>9.140000000000001</v>
      </c>
      <c r="J4285" s="8" t="n">
        <v>9.140000000000001</v>
      </c>
      <c r="K4285" s="8" t="n"/>
      <c r="L4285" s="8" t="n"/>
      <c r="M4285" s="8" t="n"/>
      <c r="N4285" s="8" t="n"/>
      <c r="O4285" s="8" t="n"/>
      <c r="P4285" s="8" t="n"/>
      <c r="Q4285" s="8" t="n"/>
      <c r="R4285" s="8" t="n"/>
      <c r="S4285" s="8" t="n"/>
      <c r="T4285" s="7" t="inlineStr">
        <is>
          <t>SEM COTAÇÃO</t>
        </is>
      </c>
      <c r="U4285" s="8" t="n"/>
      <c r="V4285" s="14" t="n"/>
      <c r="W4285" s="14" t="n"/>
      <c r="X4285" s="7" t="inlineStr"/>
      <c r="Y4285" s="7" t="inlineStr"/>
    </row>
    <row r="4286">
      <c r="A4286" s="7" t="n">
        <v>586041</v>
      </c>
      <c r="B4286" s="12" t="inlineStr">
        <is>
          <t>7908371200216</t>
        </is>
      </c>
      <c r="C4286" s="7" t="inlineStr">
        <is>
          <t>T. MONICA TALCO VEGE 200G BONS TEMP LAVAN</t>
        </is>
      </c>
      <c r="D4286" s="7" t="inlineStr">
        <is>
          <t>PERF/COSME</t>
        </is>
      </c>
      <c r="E4286" s="7" t="inlineStr">
        <is>
          <t>C</t>
        </is>
      </c>
      <c r="F4286" s="13" t="n">
        <v>1</v>
      </c>
      <c r="G4286" s="13" t="n">
        <v>1</v>
      </c>
      <c r="H4286" s="8" t="n">
        <v>16.84</v>
      </c>
      <c r="I4286" s="8" t="n">
        <v>16.84</v>
      </c>
      <c r="J4286" s="8" t="n">
        <v>16.84</v>
      </c>
      <c r="K4286" s="8" t="n"/>
      <c r="L4286" s="8" t="n"/>
      <c r="M4286" s="8" t="n"/>
      <c r="N4286" s="8" t="n"/>
      <c r="O4286" s="8" t="n"/>
      <c r="P4286" s="8" t="n"/>
      <c r="Q4286" s="8" t="n"/>
      <c r="R4286" s="8" t="n"/>
      <c r="S4286" s="8" t="n"/>
      <c r="T4286" s="7" t="inlineStr">
        <is>
          <t>SEM COTAÇÃO</t>
        </is>
      </c>
      <c r="U4286" s="8" t="n"/>
      <c r="V4286" s="14" t="n"/>
      <c r="W4286" s="14" t="n"/>
      <c r="X4286" s="7" t="inlineStr"/>
      <c r="Y4286" s="7" t="inlineStr"/>
    </row>
    <row r="4287">
      <c r="A4287" s="7" t="n">
        <v>586061</v>
      </c>
      <c r="B4287" s="12" t="inlineStr">
        <is>
          <t>7908371200223</t>
        </is>
      </c>
      <c r="C4287" s="7" t="inlineStr">
        <is>
          <t>T. MONICA TALCO VEGE 200G CHEIR MEU BEBE</t>
        </is>
      </c>
      <c r="D4287" s="7" t="inlineStr">
        <is>
          <t>BABY/KIDS</t>
        </is>
      </c>
      <c r="E4287" s="7" t="inlineStr">
        <is>
          <t>C</t>
        </is>
      </c>
      <c r="F4287" s="13" t="n">
        <v>1</v>
      </c>
      <c r="G4287" s="13" t="n">
        <v>1</v>
      </c>
      <c r="H4287" s="8" t="n">
        <v>16.84</v>
      </c>
      <c r="I4287" s="8" t="n">
        <v>16.84</v>
      </c>
      <c r="J4287" s="8" t="n">
        <v>16.84</v>
      </c>
      <c r="K4287" s="8" t="n"/>
      <c r="L4287" s="8" t="n"/>
      <c r="M4287" s="8" t="n"/>
      <c r="N4287" s="8" t="n"/>
      <c r="O4287" s="8" t="n"/>
      <c r="P4287" s="8" t="n"/>
      <c r="Q4287" s="8" t="n"/>
      <c r="R4287" s="8" t="n"/>
      <c r="S4287" s="8" t="n"/>
      <c r="T4287" s="7" t="inlineStr">
        <is>
          <t>SEM COTAÇÃO</t>
        </is>
      </c>
      <c r="U4287" s="8" t="n"/>
      <c r="V4287" s="14" t="n"/>
      <c r="W4287" s="14" t="n"/>
      <c r="X4287" s="7" t="inlineStr"/>
      <c r="Y4287" s="7" t="inlineStr"/>
    </row>
    <row r="4288">
      <c r="A4288" s="7" t="n">
        <v>494421</v>
      </c>
      <c r="B4288" s="12" t="inlineStr"/>
      <c r="C4288" s="7" t="inlineStr">
        <is>
          <t>TADALAFILA 20MG CX 4 COMP</t>
        </is>
      </c>
      <c r="D4288" s="7" t="inlineStr">
        <is>
          <t>GENERICO</t>
        </is>
      </c>
      <c r="E4288" s="7" t="inlineStr">
        <is>
          <t>B</t>
        </is>
      </c>
      <c r="F4288" s="13" t="n">
        <v>36</v>
      </c>
      <c r="G4288" s="13" t="n">
        <v>36</v>
      </c>
      <c r="H4288" s="8" t="n">
        <v>1.55</v>
      </c>
      <c r="I4288" s="8" t="n">
        <v>1.46</v>
      </c>
      <c r="J4288" s="8" t="n">
        <v>1.49</v>
      </c>
      <c r="K4288" s="8" t="n"/>
      <c r="L4288" s="8" t="n"/>
      <c r="M4288" s="8" t="n"/>
      <c r="N4288" s="8" t="n"/>
      <c r="O4288" s="8" t="n"/>
      <c r="P4288" s="8" t="n"/>
      <c r="Q4288" s="8" t="n"/>
      <c r="R4288" s="8" t="n"/>
      <c r="S4288" s="8" t="n"/>
      <c r="T4288" s="7" t="inlineStr">
        <is>
          <t>SEM COTAÇÃO</t>
        </is>
      </c>
      <c r="U4288" s="8" t="n"/>
      <c r="V4288" s="14" t="n"/>
      <c r="W4288" s="14" t="n"/>
      <c r="X4288" s="7" t="inlineStr"/>
      <c r="Y4288" s="7" t="inlineStr"/>
    </row>
    <row r="4289">
      <c r="A4289" s="7" t="n">
        <v>457261</v>
      </c>
      <c r="B4289" s="12" t="inlineStr">
        <is>
          <t>7895296240031</t>
        </is>
      </c>
      <c r="C4289" s="7" t="inlineStr">
        <is>
          <t>TADALAFILA 5MG CX 2BL X 15 COMP REV</t>
        </is>
      </c>
      <c r="D4289" s="7" t="inlineStr">
        <is>
          <t>GENERICO</t>
        </is>
      </c>
      <c r="E4289" s="7" t="inlineStr">
        <is>
          <t>C</t>
        </is>
      </c>
      <c r="F4289" s="13" t="n">
        <v>2</v>
      </c>
      <c r="G4289" s="13" t="n">
        <v>2</v>
      </c>
      <c r="H4289" s="8" t="n">
        <v>3.74</v>
      </c>
      <c r="I4289" s="8" t="n">
        <v>3.74</v>
      </c>
      <c r="J4289" s="8" t="n">
        <v>3.74</v>
      </c>
      <c r="K4289" s="8" t="n">
        <v>3.74</v>
      </c>
      <c r="L4289" s="15" t="n">
        <v>3.69</v>
      </c>
      <c r="M4289" s="8" t="n"/>
      <c r="N4289" s="8" t="n"/>
      <c r="O4289" s="8" t="n">
        <v>3.84</v>
      </c>
      <c r="P4289" s="8" t="n">
        <v>95.26000000000001</v>
      </c>
      <c r="Q4289" s="8" t="n">
        <v>3.98</v>
      </c>
      <c r="R4289" s="8" t="n"/>
      <c r="S4289" s="8" t="n"/>
      <c r="T4289" s="7" t="inlineStr">
        <is>
          <t>PLUSFARMA</t>
        </is>
      </c>
      <c r="U4289" s="8" t="n">
        <v>3.69</v>
      </c>
      <c r="V4289" s="14">
        <f>U4289/J4289-1</f>
        <v/>
      </c>
      <c r="W4289" s="14">
        <f>U4289/H4289-1</f>
        <v/>
      </c>
      <c r="X4289" s="17" t="inlineStr">
        <is>
          <t>OK (≤ menor hist.)</t>
        </is>
      </c>
      <c r="Y4289" s="7" t="inlineStr">
        <is>
          <t>NAZARIA: sem estoque; conferir emb.</t>
        </is>
      </c>
    </row>
    <row r="4290">
      <c r="A4290" s="7" t="n">
        <v>494361</v>
      </c>
      <c r="B4290" s="12" t="inlineStr">
        <is>
          <t>7896523227450</t>
        </is>
      </c>
      <c r="C4290" s="7" t="inlineStr">
        <is>
          <t>TADALAFILA 5MG CX 30 COMP</t>
        </is>
      </c>
      <c r="D4290" s="7" t="inlineStr">
        <is>
          <t>GENERICO</t>
        </is>
      </c>
      <c r="E4290" s="7" t="inlineStr">
        <is>
          <t>C</t>
        </is>
      </c>
      <c r="F4290" s="13" t="n">
        <v>18</v>
      </c>
      <c r="G4290" s="13" t="n">
        <v>18</v>
      </c>
      <c r="H4290" s="8" t="n">
        <v>3.38</v>
      </c>
      <c r="I4290" s="8" t="n">
        <v>3.25</v>
      </c>
      <c r="J4290" s="8" t="n">
        <v>3.25</v>
      </c>
      <c r="K4290" s="8" t="n"/>
      <c r="L4290" s="8" t="n"/>
      <c r="M4290" s="8" t="n"/>
      <c r="N4290" s="8" t="n"/>
      <c r="O4290" s="8" t="n"/>
      <c r="P4290" s="8" t="n"/>
      <c r="Q4290" s="8" t="n"/>
      <c r="R4290" s="8" t="n"/>
      <c r="S4290" s="8" t="n"/>
      <c r="T4290" s="7" t="inlineStr">
        <is>
          <t>SEM COTAÇÃO</t>
        </is>
      </c>
      <c r="U4290" s="8" t="n"/>
      <c r="V4290" s="14" t="n"/>
      <c r="W4290" s="14" t="n"/>
      <c r="X4290" s="7" t="inlineStr"/>
      <c r="Y4290" s="7" t="inlineStr"/>
    </row>
    <row r="4291">
      <c r="A4291" s="7" t="n">
        <v>647511</v>
      </c>
      <c r="B4291" s="12" t="inlineStr">
        <is>
          <t>7896323208031</t>
        </is>
      </c>
      <c r="C4291" s="7" t="inlineStr">
        <is>
          <t>TALCO ALFAZEMA HALLEY 200G - LABATE</t>
        </is>
      </c>
      <c r="D4291" s="7" t="inlineStr">
        <is>
          <t>PERF/COSME</t>
        </is>
      </c>
      <c r="E4291" s="7" t="inlineStr">
        <is>
          <t>C</t>
        </is>
      </c>
      <c r="F4291" s="13" t="n">
        <v>5</v>
      </c>
      <c r="G4291" s="13" t="n">
        <v>5</v>
      </c>
      <c r="H4291" s="8" t="n">
        <v>9.869999999999999</v>
      </c>
      <c r="I4291" s="8" t="n">
        <v>9.869999999999999</v>
      </c>
      <c r="J4291" s="8" t="n">
        <v>9.869999999999999</v>
      </c>
      <c r="K4291" s="8" t="n"/>
      <c r="L4291" s="8" t="n"/>
      <c r="M4291" s="8" t="n"/>
      <c r="N4291" s="8" t="n"/>
      <c r="O4291" s="8" t="n"/>
      <c r="P4291" s="8" t="n"/>
      <c r="Q4291" s="8" t="n"/>
      <c r="R4291" s="8" t="n"/>
      <c r="S4291" s="8" t="n"/>
      <c r="T4291" s="7" t="inlineStr">
        <is>
          <t>SEM COTAÇÃO</t>
        </is>
      </c>
      <c r="U4291" s="8" t="n"/>
      <c r="V4291" s="14" t="n"/>
      <c r="W4291" s="14" t="n"/>
      <c r="X4291" s="7" t="inlineStr"/>
      <c r="Y4291" s="7" t="inlineStr"/>
    </row>
    <row r="4292">
      <c r="A4292" s="7" t="n">
        <v>534801</v>
      </c>
      <c r="B4292" s="12" t="inlineStr">
        <is>
          <t>7896806700069</t>
        </is>
      </c>
      <c r="C4292" s="7" t="inlineStr">
        <is>
          <t>TALCO ANTISSEPTICO PERFUMADO BARLA 80G</t>
        </is>
      </c>
      <c r="D4292" s="7" t="inlineStr">
        <is>
          <t>PERF/COSME</t>
        </is>
      </c>
      <c r="E4292" s="7" t="inlineStr">
        <is>
          <t>A</t>
        </is>
      </c>
      <c r="F4292" s="13" t="n">
        <v>19</v>
      </c>
      <c r="G4292" s="13" t="n">
        <v>19</v>
      </c>
      <c r="H4292" s="8" t="n">
        <v>3.99</v>
      </c>
      <c r="I4292" s="8" t="n">
        <v>3.78</v>
      </c>
      <c r="J4292" s="8" t="n">
        <v>3.92</v>
      </c>
      <c r="K4292" s="8" t="n"/>
      <c r="L4292" s="8" t="n"/>
      <c r="M4292" s="8" t="n"/>
      <c r="N4292" s="8" t="n"/>
      <c r="O4292" s="8" t="n"/>
      <c r="P4292" s="8" t="n"/>
      <c r="Q4292" s="8" t="n"/>
      <c r="R4292" s="8" t="n"/>
      <c r="S4292" s="8" t="n"/>
      <c r="T4292" s="7" t="inlineStr">
        <is>
          <t>SEM COTAÇÃO</t>
        </is>
      </c>
      <c r="U4292" s="8" t="n"/>
      <c r="V4292" s="14" t="n"/>
      <c r="W4292" s="14" t="n"/>
      <c r="X4292" s="7" t="inlineStr"/>
      <c r="Y4292" s="7" t="inlineStr"/>
    </row>
    <row r="4293">
      <c r="A4293" s="7" t="n">
        <v>559661</v>
      </c>
      <c r="B4293" s="12" t="inlineStr">
        <is>
          <t>7896806700076</t>
        </is>
      </c>
      <c r="C4293" s="7" t="inlineStr">
        <is>
          <t>TALCO ANTISSEPTICO PERFUMADO BARLA FRASCO 140G</t>
        </is>
      </c>
      <c r="D4293" s="7" t="inlineStr">
        <is>
          <t>PERF/COSME</t>
        </is>
      </c>
      <c r="E4293" s="7" t="inlineStr">
        <is>
          <t>A</t>
        </is>
      </c>
      <c r="F4293" s="13" t="n">
        <v>29</v>
      </c>
      <c r="G4293" s="13" t="n">
        <v>29</v>
      </c>
      <c r="H4293" s="8" t="n">
        <v>5.19</v>
      </c>
      <c r="I4293" s="8" t="n">
        <v>4.53</v>
      </c>
      <c r="J4293" s="8" t="n">
        <v>4.97</v>
      </c>
      <c r="K4293" s="8" t="n"/>
      <c r="L4293" s="8" t="n"/>
      <c r="M4293" s="8" t="n"/>
      <c r="N4293" s="8" t="n"/>
      <c r="O4293" s="8" t="n"/>
      <c r="P4293" s="8" t="n"/>
      <c r="Q4293" s="8" t="n"/>
      <c r="R4293" s="8" t="n"/>
      <c r="S4293" s="8" t="n"/>
      <c r="T4293" s="7" t="inlineStr">
        <is>
          <t>SEM COTAÇÃO</t>
        </is>
      </c>
      <c r="U4293" s="8" t="n"/>
      <c r="V4293" s="14" t="n"/>
      <c r="W4293" s="14" t="n"/>
      <c r="X4293" s="7" t="inlineStr"/>
      <c r="Y4293" s="7" t="inlineStr"/>
    </row>
    <row r="4294">
      <c r="A4294" s="7" t="n">
        <v>617111</v>
      </c>
      <c r="B4294" s="12" t="inlineStr">
        <is>
          <t>7896512914415</t>
        </is>
      </c>
      <c r="C4294" s="7" t="inlineStr">
        <is>
          <t>TALCO CREMOSO PINK 100GR</t>
        </is>
      </c>
      <c r="D4294" s="7" t="inlineStr">
        <is>
          <t>BABY/KIDS</t>
        </is>
      </c>
      <c r="E4294" s="7" t="inlineStr">
        <is>
          <t>C</t>
        </is>
      </c>
      <c r="F4294" s="13" t="n">
        <v>1</v>
      </c>
      <c r="G4294" s="13" t="n">
        <v>1</v>
      </c>
      <c r="H4294" s="8" t="n">
        <v>16.1917</v>
      </c>
      <c r="I4294" s="8" t="n">
        <v>16.1917</v>
      </c>
      <c r="J4294" s="8" t="n">
        <v>16.1917</v>
      </c>
      <c r="K4294" s="8" t="n"/>
      <c r="L4294" s="8" t="n"/>
      <c r="M4294" s="8" t="n"/>
      <c r="N4294" s="8" t="n"/>
      <c r="O4294" s="8" t="n"/>
      <c r="P4294" s="15" t="n">
        <v>24.62</v>
      </c>
      <c r="Q4294" s="8" t="n"/>
      <c r="R4294" s="8" t="n"/>
      <c r="S4294" s="8" t="n"/>
      <c r="T4294" s="7" t="inlineStr">
        <is>
          <t>NAZARIA</t>
        </is>
      </c>
      <c r="U4294" s="8" t="n">
        <v>24.62</v>
      </c>
      <c r="V4294" s="14">
        <f>U4294/J4294-1</f>
        <v/>
      </c>
      <c r="W4294" s="14">
        <f>U4294/H4294-1</f>
        <v/>
      </c>
      <c r="X4294" s="16" t="inlineStr">
        <is>
          <t>ACIMA +52.1%</t>
        </is>
      </c>
      <c r="Y4294" s="7" t="inlineStr"/>
    </row>
    <row r="4295">
      <c r="A4295" s="7" t="n">
        <v>637901</v>
      </c>
      <c r="B4295" s="12" t="inlineStr">
        <is>
          <t>7896512935557</t>
        </is>
      </c>
      <c r="C4295" s="7" t="inlineStr">
        <is>
          <t>TALCO GEL BEBE SENSIVEL 80G</t>
        </is>
      </c>
      <c r="D4295" s="7" t="inlineStr">
        <is>
          <t>PERF/COSME</t>
        </is>
      </c>
      <c r="E4295" s="7" t="inlineStr">
        <is>
          <t>C</t>
        </is>
      </c>
      <c r="F4295" s="13" t="n">
        <v>1</v>
      </c>
      <c r="G4295" s="13" t="n">
        <v>1</v>
      </c>
      <c r="H4295" s="8" t="n">
        <v>31.365</v>
      </c>
      <c r="I4295" s="8" t="n">
        <v>31.365</v>
      </c>
      <c r="J4295" s="8" t="n">
        <v>31.365</v>
      </c>
      <c r="K4295" s="8" t="n"/>
      <c r="L4295" s="8" t="n"/>
      <c r="M4295" s="8" t="n"/>
      <c r="N4295" s="8" t="n"/>
      <c r="O4295" s="8" t="n"/>
      <c r="P4295" s="8" t="n">
        <v>37.13</v>
      </c>
      <c r="Q4295" s="8" t="n"/>
      <c r="R4295" s="8" t="n"/>
      <c r="S4295" s="8" t="n"/>
      <c r="T4295" s="7" t="inlineStr">
        <is>
          <t>SEM COTAÇÃO</t>
        </is>
      </c>
      <c r="U4295" s="8" t="n"/>
      <c r="V4295" s="14" t="n"/>
      <c r="W4295" s="14" t="n"/>
      <c r="X4295" s="7" t="inlineStr"/>
      <c r="Y4295" s="7" t="inlineStr">
        <is>
          <t>NAZARIA: sem estoque</t>
        </is>
      </c>
    </row>
    <row r="4296">
      <c r="A4296" s="7" t="n">
        <v>540761</v>
      </c>
      <c r="B4296" s="12" t="inlineStr">
        <is>
          <t>7896512909190</t>
        </is>
      </c>
      <c r="C4296" s="7" t="inlineStr">
        <is>
          <t>TALCO GRANADO BEBE 100G</t>
        </is>
      </c>
      <c r="D4296" s="7" t="inlineStr">
        <is>
          <t>BABY/KIDS</t>
        </is>
      </c>
      <c r="E4296" s="7" t="inlineStr">
        <is>
          <t>A</t>
        </is>
      </c>
      <c r="F4296" s="13" t="n">
        <v>12</v>
      </c>
      <c r="G4296" s="13" t="n">
        <v>12</v>
      </c>
      <c r="H4296" s="8" t="n">
        <v>10.8358</v>
      </c>
      <c r="I4296" s="8" t="n">
        <v>10.8358</v>
      </c>
      <c r="J4296" s="8" t="n">
        <v>10.8358</v>
      </c>
      <c r="K4296" s="8" t="n"/>
      <c r="L4296" s="8" t="n"/>
      <c r="M4296" s="8" t="n"/>
      <c r="N4296" s="8" t="n"/>
      <c r="O4296" s="8" t="n"/>
      <c r="P4296" s="15" t="n">
        <v>14.43</v>
      </c>
      <c r="Q4296" s="8" t="n"/>
      <c r="R4296" s="8" t="n"/>
      <c r="S4296" s="8" t="n"/>
      <c r="T4296" s="7" t="inlineStr">
        <is>
          <t>NAZARIA</t>
        </is>
      </c>
      <c r="U4296" s="8" t="n">
        <v>14.43</v>
      </c>
      <c r="V4296" s="14">
        <f>U4296/J4296-1</f>
        <v/>
      </c>
      <c r="W4296" s="14">
        <f>U4296/H4296-1</f>
        <v/>
      </c>
      <c r="X4296" s="16" t="inlineStr">
        <is>
          <t>ACIMA +33.2%</t>
        </is>
      </c>
      <c r="Y4296" s="7" t="inlineStr"/>
    </row>
    <row r="4297">
      <c r="A4297" s="7" t="n">
        <v>667201</v>
      </c>
      <c r="B4297" s="12" t="inlineStr">
        <is>
          <t>7896049524736</t>
        </is>
      </c>
      <c r="C4297" s="7" t="inlineStr">
        <is>
          <t>TALCO HERBISSIMO 140G GRANDE</t>
        </is>
      </c>
      <c r="D4297" s="7" t="inlineStr">
        <is>
          <t>PERF/COSME</t>
        </is>
      </c>
      <c r="E4297" s="7" t="inlineStr">
        <is>
          <t>C</t>
        </is>
      </c>
      <c r="F4297" s="13" t="n">
        <v>2</v>
      </c>
      <c r="G4297" s="13" t="n">
        <v>2</v>
      </c>
      <c r="H4297" s="8" t="n">
        <v>7.11</v>
      </c>
      <c r="I4297" s="8" t="n">
        <v>7.11</v>
      </c>
      <c r="J4297" s="8" t="n">
        <v>7.11</v>
      </c>
      <c r="K4297" s="8" t="n"/>
      <c r="L4297" s="8" t="n"/>
      <c r="M4297" s="8" t="n"/>
      <c r="N4297" s="8" t="n"/>
      <c r="O4297" s="8" t="n"/>
      <c r="P4297" s="8" t="n"/>
      <c r="Q4297" s="8" t="n"/>
      <c r="R4297" s="8" t="n"/>
      <c r="S4297" s="8" t="n"/>
      <c r="T4297" s="7" t="inlineStr">
        <is>
          <t>SEM COTAÇÃO</t>
        </is>
      </c>
      <c r="U4297" s="8" t="n"/>
      <c r="V4297" s="14" t="n"/>
      <c r="W4297" s="14" t="n"/>
      <c r="X4297" s="7" t="inlineStr"/>
      <c r="Y4297" s="7" t="inlineStr"/>
    </row>
    <row r="4298">
      <c r="A4298" s="7" t="n">
        <v>667211</v>
      </c>
      <c r="B4298" s="12" t="inlineStr">
        <is>
          <t>7896049524729</t>
        </is>
      </c>
      <c r="C4298" s="7" t="inlineStr">
        <is>
          <t>TALCO HERBISSIMO 80G PEQUENO</t>
        </is>
      </c>
      <c r="D4298" s="7" t="inlineStr">
        <is>
          <t>PERF/COSME</t>
        </is>
      </c>
      <c r="E4298" s="7" t="inlineStr">
        <is>
          <t>C</t>
        </is>
      </c>
      <c r="F4298" s="13" t="n">
        <v>2</v>
      </c>
      <c r="G4298" s="13" t="n">
        <v>2</v>
      </c>
      <c r="H4298" s="8" t="n">
        <v>5.44</v>
      </c>
      <c r="I4298" s="8" t="n">
        <v>5.44</v>
      </c>
      <c r="J4298" s="8" t="n">
        <v>5.44</v>
      </c>
      <c r="K4298" s="8" t="n"/>
      <c r="L4298" s="8" t="n"/>
      <c r="M4298" s="8" t="n"/>
      <c r="N4298" s="8" t="n"/>
      <c r="O4298" s="8" t="n"/>
      <c r="P4298" s="8" t="n"/>
      <c r="Q4298" s="8" t="n"/>
      <c r="R4298" s="8" t="n"/>
      <c r="S4298" s="8" t="n"/>
      <c r="T4298" s="7" t="inlineStr">
        <is>
          <t>SEM COTAÇÃO</t>
        </is>
      </c>
      <c r="U4298" s="8" t="n"/>
      <c r="V4298" s="14" t="n"/>
      <c r="W4298" s="14" t="n"/>
      <c r="X4298" s="7" t="inlineStr"/>
      <c r="Y4298" s="7" t="inlineStr"/>
    </row>
    <row r="4299">
      <c r="A4299" s="7" t="n">
        <v>655681</v>
      </c>
      <c r="B4299" s="12" t="inlineStr">
        <is>
          <t>7896323203623</t>
        </is>
      </c>
      <c r="C4299" s="7" t="inlineStr">
        <is>
          <t>TALCO INF BABY AZUL HALLEY 200G CX/12 - LABATE</t>
        </is>
      </c>
      <c r="D4299" s="7" t="inlineStr">
        <is>
          <t>BABY/KIDS</t>
        </is>
      </c>
      <c r="E4299" s="7" t="inlineStr">
        <is>
          <t>C</t>
        </is>
      </c>
      <c r="F4299" s="13" t="n">
        <v>3</v>
      </c>
      <c r="G4299" s="13" t="n">
        <v>3</v>
      </c>
      <c r="H4299" s="8" t="n">
        <v>10.04</v>
      </c>
      <c r="I4299" s="8" t="n">
        <v>10.04</v>
      </c>
      <c r="J4299" s="8" t="n">
        <v>10.04</v>
      </c>
      <c r="K4299" s="8" t="n"/>
      <c r="L4299" s="8" t="n"/>
      <c r="M4299" s="8" t="n"/>
      <c r="N4299" s="8" t="n"/>
      <c r="O4299" s="8" t="n"/>
      <c r="P4299" s="8" t="n"/>
      <c r="Q4299" s="8" t="n"/>
      <c r="R4299" s="8" t="n"/>
      <c r="S4299" s="8" t="n"/>
      <c r="T4299" s="7" t="inlineStr">
        <is>
          <t>SEM COTAÇÃO</t>
        </is>
      </c>
      <c r="U4299" s="8" t="n"/>
      <c r="V4299" s="14" t="n"/>
      <c r="W4299" s="14" t="n"/>
      <c r="X4299" s="7" t="inlineStr"/>
      <c r="Y4299" s="7" t="inlineStr"/>
    </row>
    <row r="4300">
      <c r="A4300" s="7" t="n">
        <v>655691</v>
      </c>
      <c r="B4300" s="12" t="inlineStr">
        <is>
          <t>7896323203654</t>
        </is>
      </c>
      <c r="C4300" s="7" t="inlineStr">
        <is>
          <t>TALCO INF BABY ROSA HALLEY 200G CX/12 - LABATE</t>
        </is>
      </c>
      <c r="D4300" s="7" t="inlineStr">
        <is>
          <t>BABY/KIDS</t>
        </is>
      </c>
      <c r="E4300" s="7" t="inlineStr">
        <is>
          <t>C</t>
        </is>
      </c>
      <c r="F4300" s="13" t="n">
        <v>3</v>
      </c>
      <c r="G4300" s="13" t="n">
        <v>3</v>
      </c>
      <c r="H4300" s="8" t="n">
        <v>10.04</v>
      </c>
      <c r="I4300" s="8" t="n">
        <v>10.04</v>
      </c>
      <c r="J4300" s="8" t="n">
        <v>10.04</v>
      </c>
      <c r="K4300" s="8" t="n"/>
      <c r="L4300" s="8" t="n"/>
      <c r="M4300" s="8" t="n"/>
      <c r="N4300" s="8" t="n"/>
      <c r="O4300" s="8" t="n"/>
      <c r="P4300" s="8" t="n"/>
      <c r="Q4300" s="8" t="n"/>
      <c r="R4300" s="8" t="n"/>
      <c r="S4300" s="8" t="n"/>
      <c r="T4300" s="7" t="inlineStr">
        <is>
          <t>SEM COTAÇÃO</t>
        </is>
      </c>
      <c r="U4300" s="8" t="n"/>
      <c r="V4300" s="14" t="n"/>
      <c r="W4300" s="14" t="n"/>
      <c r="X4300" s="7" t="inlineStr"/>
      <c r="Y4300" s="7" t="inlineStr"/>
    </row>
    <row r="4301">
      <c r="A4301" s="7" t="n">
        <v>663411</v>
      </c>
      <c r="B4301" s="12" t="inlineStr">
        <is>
          <t>7896323208048</t>
        </is>
      </c>
      <c r="C4301" s="7" t="inlineStr">
        <is>
          <t>TALCO INGLES BABY LAVANDA/CAMOMILA HALLEY 200G</t>
        </is>
      </c>
      <c r="D4301" s="7" t="inlineStr">
        <is>
          <t>BABY/KIDS</t>
        </is>
      </c>
      <c r="E4301" s="7" t="inlineStr">
        <is>
          <t>C</t>
        </is>
      </c>
      <c r="F4301" s="13" t="n">
        <v>1</v>
      </c>
      <c r="G4301" s="13" t="n">
        <v>1</v>
      </c>
      <c r="H4301" s="8" t="n">
        <v>10.04</v>
      </c>
      <c r="I4301" s="8" t="n">
        <v>10.04</v>
      </c>
      <c r="J4301" s="8" t="n">
        <v>10.04</v>
      </c>
      <c r="K4301" s="8" t="n"/>
      <c r="L4301" s="8" t="n"/>
      <c r="M4301" s="8" t="n"/>
      <c r="N4301" s="8" t="n"/>
      <c r="O4301" s="8" t="n"/>
      <c r="P4301" s="8" t="n"/>
      <c r="Q4301" s="8" t="n"/>
      <c r="R4301" s="8" t="n"/>
      <c r="S4301" s="8" t="n"/>
      <c r="T4301" s="7" t="inlineStr">
        <is>
          <t>SEM COTAÇÃO</t>
        </is>
      </c>
      <c r="U4301" s="8" t="n"/>
      <c r="V4301" s="14" t="n"/>
      <c r="W4301" s="14" t="n"/>
      <c r="X4301" s="7" t="inlineStr"/>
      <c r="Y4301" s="7" t="inlineStr"/>
    </row>
    <row r="4302">
      <c r="A4302" s="7" t="n">
        <v>634101</v>
      </c>
      <c r="B4302" s="12" t="inlineStr">
        <is>
          <t>7702031244653</t>
        </is>
      </c>
      <c r="C4302" s="7" t="inlineStr">
        <is>
          <t>TALCO J J BABY HORA DO SONO 100G</t>
        </is>
      </c>
      <c r="D4302" s="7" t="inlineStr">
        <is>
          <t>BABY/KIDS</t>
        </is>
      </c>
      <c r="E4302" s="7" t="inlineStr">
        <is>
          <t>C</t>
        </is>
      </c>
      <c r="F4302" s="13" t="n">
        <v>3</v>
      </c>
      <c r="G4302" s="13" t="n">
        <v>3</v>
      </c>
      <c r="H4302" s="8" t="n">
        <v>22.87</v>
      </c>
      <c r="I4302" s="8" t="n">
        <v>17.9567</v>
      </c>
      <c r="J4302" s="8" t="n">
        <v>19.06113333333333</v>
      </c>
      <c r="K4302" s="8" t="n"/>
      <c r="L4302" s="8" t="n"/>
      <c r="M4302" s="15" t="n">
        <v>19.33</v>
      </c>
      <c r="N4302" s="8" t="n"/>
      <c r="O4302" s="8" t="n"/>
      <c r="P4302" s="8" t="n">
        <v>20.86</v>
      </c>
      <c r="Q4302" s="8" t="n"/>
      <c r="R4302" s="8" t="n"/>
      <c r="S4302" s="8" t="n"/>
      <c r="T4302" s="7" t="inlineStr">
        <is>
          <t>EPAN</t>
        </is>
      </c>
      <c r="U4302" s="8" t="n">
        <v>19.33</v>
      </c>
      <c r="V4302" s="14">
        <f>U4302/J4302-1</f>
        <v/>
      </c>
      <c r="W4302" s="14">
        <f>U4302/H4302-1</f>
        <v/>
      </c>
      <c r="X4302" s="17" t="inlineStr">
        <is>
          <t>OK (≤ últ. compra)</t>
        </is>
      </c>
      <c r="Y4302" s="7" t="inlineStr"/>
    </row>
    <row r="4303">
      <c r="A4303" s="7" t="n">
        <v>642701</v>
      </c>
      <c r="B4303" s="12" t="inlineStr">
        <is>
          <t>7896221807930</t>
        </is>
      </c>
      <c r="C4303" s="7" t="inlineStr">
        <is>
          <t>TALCO MARCIA FRESH 80G</t>
        </is>
      </c>
      <c r="D4303" s="7" t="inlineStr">
        <is>
          <t>PERF/COSME</t>
        </is>
      </c>
      <c r="E4303" s="7" t="inlineStr">
        <is>
          <t>C</t>
        </is>
      </c>
      <c r="F4303" s="13" t="n">
        <v>4</v>
      </c>
      <c r="G4303" s="13" t="n">
        <v>4</v>
      </c>
      <c r="H4303" s="8" t="n">
        <v>2.64</v>
      </c>
      <c r="I4303" s="8" t="n">
        <v>2.64</v>
      </c>
      <c r="J4303" s="8" t="n">
        <v>2.64</v>
      </c>
      <c r="K4303" s="8" t="n"/>
      <c r="L4303" s="8" t="n"/>
      <c r="M4303" s="8" t="n"/>
      <c r="N4303" s="8" t="n"/>
      <c r="O4303" s="8" t="n"/>
      <c r="P4303" s="8" t="n"/>
      <c r="Q4303" s="8" t="n"/>
      <c r="R4303" s="8" t="n"/>
      <c r="S4303" s="8" t="n"/>
      <c r="T4303" s="7" t="inlineStr">
        <is>
          <t>SEM COTAÇÃO</t>
        </is>
      </c>
      <c r="U4303" s="8" t="n"/>
      <c r="V4303" s="14" t="n"/>
      <c r="W4303" s="14" t="n"/>
      <c r="X4303" s="7" t="inlineStr"/>
      <c r="Y4303" s="7" t="inlineStr"/>
    </row>
    <row r="4304">
      <c r="A4304" s="7" t="n">
        <v>553381</v>
      </c>
      <c r="B4304" s="12" t="inlineStr">
        <is>
          <t>7896020160090</t>
        </is>
      </c>
      <c r="C4304" s="7" t="inlineStr">
        <is>
          <t>TALCO P/PES TENIS MINI TRADICIONAL 60G</t>
        </is>
      </c>
      <c r="D4304" s="7" t="inlineStr">
        <is>
          <t>PERF/COSME</t>
        </is>
      </c>
      <c r="E4304" s="7" t="inlineStr">
        <is>
          <t>C</t>
        </is>
      </c>
      <c r="F4304" s="13" t="n">
        <v>1</v>
      </c>
      <c r="G4304" s="13" t="n">
        <v>1</v>
      </c>
      <c r="H4304" s="8" t="n">
        <v>7.79</v>
      </c>
      <c r="I4304" s="8" t="n">
        <v>7.79</v>
      </c>
      <c r="J4304" s="8" t="n">
        <v>7.79</v>
      </c>
      <c r="K4304" s="8" t="n"/>
      <c r="L4304" s="8" t="n"/>
      <c r="M4304" s="8" t="n"/>
      <c r="N4304" s="8" t="n"/>
      <c r="O4304" s="8" t="n"/>
      <c r="P4304" s="8" t="n"/>
      <c r="Q4304" s="8" t="n"/>
      <c r="R4304" s="8" t="n"/>
      <c r="S4304" s="8" t="n"/>
      <c r="T4304" s="7" t="inlineStr">
        <is>
          <t>SEM COTAÇÃO</t>
        </is>
      </c>
      <c r="U4304" s="8" t="n"/>
      <c r="V4304" s="14" t="n"/>
      <c r="W4304" s="14" t="n"/>
      <c r="X4304" s="7" t="inlineStr"/>
      <c r="Y4304" s="7" t="inlineStr"/>
    </row>
    <row r="4305">
      <c r="A4305" s="7" t="n">
        <v>577041</v>
      </c>
      <c r="B4305" s="12" t="inlineStr">
        <is>
          <t>7896012800874</t>
        </is>
      </c>
      <c r="C4305" s="7" t="inlineStr">
        <is>
          <t>TALCO POM POM 200G</t>
        </is>
      </c>
      <c r="D4305" s="7" t="inlineStr">
        <is>
          <t>BABY/KIDS</t>
        </is>
      </c>
      <c r="E4305" s="7" t="inlineStr">
        <is>
          <t>B</t>
        </is>
      </c>
      <c r="F4305" s="13" t="n">
        <v>6</v>
      </c>
      <c r="G4305" s="13" t="n">
        <v>6</v>
      </c>
      <c r="H4305" s="8" t="n">
        <v>14.56</v>
      </c>
      <c r="I4305" s="8" t="n">
        <v>12.29</v>
      </c>
      <c r="J4305" s="8" t="n">
        <v>13.80333333333333</v>
      </c>
      <c r="K4305" s="8" t="n"/>
      <c r="L4305" s="8" t="n"/>
      <c r="M4305" s="8" t="n"/>
      <c r="N4305" s="8" t="n"/>
      <c r="O4305" s="8" t="n"/>
      <c r="P4305" s="8" t="n"/>
      <c r="Q4305" s="8" t="n"/>
      <c r="R4305" s="8" t="n"/>
      <c r="S4305" s="8" t="n"/>
      <c r="T4305" s="7" t="inlineStr">
        <is>
          <t>SEM COTAÇÃO</t>
        </is>
      </c>
      <c r="U4305" s="8" t="n"/>
      <c r="V4305" s="14" t="n"/>
      <c r="W4305" s="14" t="n"/>
      <c r="X4305" s="7" t="inlineStr"/>
      <c r="Y4305" s="7" t="inlineStr"/>
    </row>
    <row r="4306">
      <c r="A4306" s="7" t="n">
        <v>579601</v>
      </c>
      <c r="B4306" s="12" t="inlineStr">
        <is>
          <t>78907478</t>
        </is>
      </c>
      <c r="C4306" s="7" t="inlineStr">
        <is>
          <t>TALENTO CASTANHA DO PARA 25G</t>
        </is>
      </c>
      <c r="D4306" s="7" t="inlineStr">
        <is>
          <t>CONVENIENCIA</t>
        </is>
      </c>
      <c r="E4306" s="7" t="inlineStr">
        <is>
          <t>C</t>
        </is>
      </c>
      <c r="F4306" s="13" t="n">
        <v>2</v>
      </c>
      <c r="G4306" s="13" t="n">
        <v>19</v>
      </c>
      <c r="H4306" s="8" t="n">
        <v>2.8727</v>
      </c>
      <c r="I4306" s="8" t="n">
        <v>2.8442</v>
      </c>
      <c r="J4306" s="8" t="n">
        <v>2.8632</v>
      </c>
      <c r="K4306" s="8" t="n"/>
      <c r="L4306" s="8" t="n"/>
      <c r="M4306" s="8" t="n"/>
      <c r="N4306" s="8" t="n"/>
      <c r="O4306" s="8" t="n"/>
      <c r="P4306" s="8" t="n"/>
      <c r="Q4306" s="8" t="n"/>
      <c r="R4306" s="8" t="n"/>
      <c r="S4306" s="8" t="n"/>
      <c r="T4306" s="7" t="inlineStr">
        <is>
          <t>SEM COTAÇÃO</t>
        </is>
      </c>
      <c r="U4306" s="8" t="n"/>
      <c r="V4306" s="14" t="n"/>
      <c r="W4306" s="14" t="n"/>
      <c r="X4306" s="7" t="inlineStr"/>
      <c r="Y4306" s="7" t="inlineStr"/>
    </row>
    <row r="4307">
      <c r="A4307" s="7" t="n">
        <v>580061</v>
      </c>
      <c r="B4307" s="12" t="inlineStr">
        <is>
          <t>7891008121575</t>
        </is>
      </c>
      <c r="C4307" s="7" t="inlineStr">
        <is>
          <t>TALENTO MEIO AMARGO COM AMÊNDOAS GAROTO 85G</t>
        </is>
      </c>
      <c r="D4307" s="7" t="inlineStr">
        <is>
          <t>CONVENIENCIA</t>
        </is>
      </c>
      <c r="E4307" s="7" t="inlineStr">
        <is>
          <t>A</t>
        </is>
      </c>
      <c r="F4307" s="13" t="n">
        <v>9</v>
      </c>
      <c r="G4307" s="13" t="n">
        <v>9</v>
      </c>
      <c r="H4307" s="8" t="n"/>
      <c r="I4307" s="8" t="n"/>
      <c r="J4307" s="8" t="n"/>
      <c r="K4307" s="8" t="n"/>
      <c r="L4307" s="8" t="n"/>
      <c r="M4307" s="8" t="n"/>
      <c r="N4307" s="8" t="n"/>
      <c r="O4307" s="8" t="n"/>
      <c r="P4307" s="8" t="n"/>
      <c r="Q4307" s="8" t="n"/>
      <c r="R4307" s="8" t="n"/>
      <c r="S4307" s="8" t="n"/>
      <c r="T4307" s="7" t="inlineStr">
        <is>
          <t>SEM COTAÇÃO</t>
        </is>
      </c>
      <c r="U4307" s="8" t="n"/>
      <c r="V4307" s="14" t="n"/>
      <c r="W4307" s="14" t="n"/>
      <c r="X4307" s="7" t="inlineStr"/>
      <c r="Y4307" s="7" t="inlineStr"/>
    </row>
    <row r="4308">
      <c r="A4308" s="7" t="n">
        <v>597351</v>
      </c>
      <c r="B4308" s="12" t="inlineStr">
        <is>
          <t>78907485</t>
        </is>
      </c>
      <c r="C4308" s="7" t="inlineStr">
        <is>
          <t>TALENTO TAB CHOC BCO CER 25G</t>
        </is>
      </c>
      <c r="D4308" s="7" t="inlineStr">
        <is>
          <t>CONVENIENCIA</t>
        </is>
      </c>
      <c r="E4308" s="7" t="inlineStr">
        <is>
          <t>B</t>
        </is>
      </c>
      <c r="F4308" s="13" t="n">
        <v>1</v>
      </c>
      <c r="G4308" s="13" t="n">
        <v>4</v>
      </c>
      <c r="H4308" s="8" t="n">
        <v>2.93</v>
      </c>
      <c r="I4308" s="8" t="n">
        <v>2.8442</v>
      </c>
      <c r="J4308" s="8" t="n">
        <v>2.8632</v>
      </c>
      <c r="K4308" s="8" t="n"/>
      <c r="L4308" s="8" t="n"/>
      <c r="M4308" s="8" t="n"/>
      <c r="N4308" s="8" t="n"/>
      <c r="O4308" s="8" t="n"/>
      <c r="P4308" s="8" t="n"/>
      <c r="Q4308" s="8" t="n"/>
      <c r="R4308" s="8" t="n"/>
      <c r="S4308" s="8" t="n"/>
      <c r="T4308" s="7" t="inlineStr">
        <is>
          <t>SEM COTAÇÃO</t>
        </is>
      </c>
      <c r="U4308" s="8" t="n"/>
      <c r="V4308" s="14" t="n"/>
      <c r="W4308" s="14" t="n"/>
      <c r="X4308" s="7" t="inlineStr"/>
      <c r="Y4308" s="7" t="inlineStr"/>
    </row>
    <row r="4309">
      <c r="A4309" s="7" t="n">
        <v>595831</v>
      </c>
      <c r="B4309" s="12" t="inlineStr">
        <is>
          <t>78917125</t>
        </is>
      </c>
      <c r="C4309" s="7" t="inlineStr">
        <is>
          <t>TALENTO TAB DIET AVELAS 25G</t>
        </is>
      </c>
      <c r="D4309" s="7" t="inlineStr">
        <is>
          <t>CONVENIENCIA</t>
        </is>
      </c>
      <c r="E4309" s="7" t="inlineStr">
        <is>
          <t>C</t>
        </is>
      </c>
      <c r="F4309" s="13" t="n">
        <v>1</v>
      </c>
      <c r="G4309" s="13" t="n">
        <v>7</v>
      </c>
      <c r="H4309" s="8" t="n">
        <v>4.3222</v>
      </c>
      <c r="I4309" s="8" t="n">
        <v>4.3222</v>
      </c>
      <c r="J4309" s="8" t="n">
        <v>4.3222</v>
      </c>
      <c r="K4309" s="8" t="n"/>
      <c r="L4309" s="8" t="n"/>
      <c r="M4309" s="8" t="n"/>
      <c r="N4309" s="8" t="n"/>
      <c r="O4309" s="8" t="n"/>
      <c r="P4309" s="8" t="n"/>
      <c r="Q4309" s="8" t="n"/>
      <c r="R4309" s="8" t="n"/>
      <c r="S4309" s="8" t="n"/>
      <c r="T4309" s="7" t="inlineStr">
        <is>
          <t>SEM COTAÇÃO</t>
        </is>
      </c>
      <c r="U4309" s="8" t="n"/>
      <c r="V4309" s="14" t="n"/>
      <c r="W4309" s="14" t="n"/>
      <c r="X4309" s="7" t="inlineStr"/>
      <c r="Y4309" s="7" t="inlineStr"/>
    </row>
    <row r="4310">
      <c r="A4310" s="7" t="n">
        <v>595821</v>
      </c>
      <c r="B4310" s="12" t="inlineStr">
        <is>
          <t>78907492</t>
        </is>
      </c>
      <c r="C4310" s="7" t="inlineStr">
        <is>
          <t>TALENTO TAB LEITE AMEN PAS 25G</t>
        </is>
      </c>
      <c r="D4310" s="7" t="inlineStr">
        <is>
          <t>CONVENIENCIA</t>
        </is>
      </c>
      <c r="E4310" s="7" t="inlineStr">
        <is>
          <t>B</t>
        </is>
      </c>
      <c r="F4310" s="13" t="n">
        <v>1</v>
      </c>
      <c r="G4310" s="13" t="n">
        <v>13</v>
      </c>
      <c r="H4310" s="8" t="n">
        <v>2.93</v>
      </c>
      <c r="I4310" s="8" t="n">
        <v>2.8442</v>
      </c>
      <c r="J4310" s="8" t="n">
        <v>2.9014</v>
      </c>
      <c r="K4310" s="8" t="n"/>
      <c r="L4310" s="8" t="n"/>
      <c r="M4310" s="8" t="n"/>
      <c r="N4310" s="8" t="n"/>
      <c r="O4310" s="8" t="n"/>
      <c r="P4310" s="8" t="n"/>
      <c r="Q4310" s="8" t="n"/>
      <c r="R4310" s="8" t="n"/>
      <c r="S4310" s="8" t="n"/>
      <c r="T4310" s="7" t="inlineStr">
        <is>
          <t>SEM COTAÇÃO</t>
        </is>
      </c>
      <c r="U4310" s="8" t="n"/>
      <c r="V4310" s="14" t="n"/>
      <c r="W4310" s="14" t="n"/>
      <c r="X4310" s="7" t="inlineStr"/>
      <c r="Y4310" s="7" t="inlineStr"/>
    </row>
    <row r="4311">
      <c r="A4311" s="7" t="n">
        <v>623421</v>
      </c>
      <c r="B4311" s="12" t="inlineStr">
        <is>
          <t>78907355</t>
        </is>
      </c>
      <c r="C4311" s="7" t="inlineStr">
        <is>
          <t>TALENTO TABLETE MEIO AMARGO 25G</t>
        </is>
      </c>
      <c r="D4311" s="7" t="inlineStr">
        <is>
          <t>CONVENIENCIA</t>
        </is>
      </c>
      <c r="E4311" s="7" t="inlineStr">
        <is>
          <t>B</t>
        </is>
      </c>
      <c r="F4311" s="13" t="n">
        <v>1</v>
      </c>
      <c r="G4311" s="13" t="n">
        <v>12</v>
      </c>
      <c r="H4311" s="8" t="n">
        <v>2.93</v>
      </c>
      <c r="I4311" s="8" t="n">
        <v>2.8442</v>
      </c>
      <c r="J4311" s="8" t="n">
        <v>2.8632</v>
      </c>
      <c r="K4311" s="8" t="n"/>
      <c r="L4311" s="8" t="n"/>
      <c r="M4311" s="8" t="n"/>
      <c r="N4311" s="8" t="n"/>
      <c r="O4311" s="8" t="n"/>
      <c r="P4311" s="8" t="n"/>
      <c r="Q4311" s="8" t="n"/>
      <c r="R4311" s="8" t="n"/>
      <c r="S4311" s="8" t="n"/>
      <c r="T4311" s="7" t="inlineStr">
        <is>
          <t>SEM COTAÇÃO</t>
        </is>
      </c>
      <c r="U4311" s="8" t="n"/>
      <c r="V4311" s="14" t="n"/>
      <c r="W4311" s="14" t="n"/>
      <c r="X4311" s="7" t="inlineStr"/>
      <c r="Y4311" s="7" t="inlineStr"/>
    </row>
    <row r="4312">
      <c r="A4312" s="7" t="n">
        <v>590641</v>
      </c>
      <c r="B4312" s="12" t="inlineStr">
        <is>
          <t>7891008121582</t>
        </is>
      </c>
      <c r="C4312" s="7" t="inlineStr">
        <is>
          <t>TALENTO TABLETE MEIO AMARGO 85G</t>
        </is>
      </c>
      <c r="D4312" s="7" t="inlineStr">
        <is>
          <t>CONVENIENCIA</t>
        </is>
      </c>
      <c r="E4312" s="7" t="inlineStr">
        <is>
          <t>C</t>
        </is>
      </c>
      <c r="F4312" s="13" t="n">
        <v>1</v>
      </c>
      <c r="G4312" s="13" t="n">
        <v>1</v>
      </c>
      <c r="H4312" s="8" t="n">
        <v>7.7375</v>
      </c>
      <c r="I4312" s="8" t="n">
        <v>7.7375</v>
      </c>
      <c r="J4312" s="8" t="n">
        <v>7.7375</v>
      </c>
      <c r="K4312" s="8" t="n"/>
      <c r="L4312" s="8" t="n"/>
      <c r="M4312" s="8" t="n"/>
      <c r="N4312" s="8" t="n"/>
      <c r="O4312" s="8" t="n"/>
      <c r="P4312" s="8" t="n"/>
      <c r="Q4312" s="8" t="n"/>
      <c r="R4312" s="8" t="n"/>
      <c r="S4312" s="8" t="n"/>
      <c r="T4312" s="7" t="inlineStr">
        <is>
          <t>SEM COTAÇÃO</t>
        </is>
      </c>
      <c r="U4312" s="8" t="n"/>
      <c r="V4312" s="14" t="n"/>
      <c r="W4312" s="14" t="n"/>
      <c r="X4312" s="7" t="inlineStr"/>
      <c r="Y4312" s="7" t="inlineStr"/>
    </row>
    <row r="4313">
      <c r="A4313" s="7" t="n">
        <v>637801</v>
      </c>
      <c r="B4313" s="12" t="inlineStr">
        <is>
          <t>7891008122213</t>
        </is>
      </c>
      <c r="C4313" s="7" t="inlineStr">
        <is>
          <t>TALENTO TABLETE OPERETA 85G</t>
        </is>
      </c>
      <c r="D4313" s="7" t="inlineStr">
        <is>
          <t>CONVENIENCIA</t>
        </is>
      </c>
      <c r="E4313" s="7" t="inlineStr">
        <is>
          <t>C</t>
        </is>
      </c>
      <c r="F4313" s="13" t="n">
        <v>1</v>
      </c>
      <c r="G4313" s="13" t="n">
        <v>6</v>
      </c>
      <c r="H4313" s="8" t="n">
        <v>8.449199999999999</v>
      </c>
      <c r="I4313" s="8" t="n">
        <v>8.4483</v>
      </c>
      <c r="J4313" s="8" t="n">
        <v>8.4483</v>
      </c>
      <c r="K4313" s="8" t="n"/>
      <c r="L4313" s="8" t="n"/>
      <c r="M4313" s="8" t="n"/>
      <c r="N4313" s="8" t="n"/>
      <c r="O4313" s="8" t="n"/>
      <c r="P4313" s="8" t="n"/>
      <c r="Q4313" s="8" t="n"/>
      <c r="R4313" s="8" t="n"/>
      <c r="S4313" s="8" t="n"/>
      <c r="T4313" s="7" t="inlineStr">
        <is>
          <t>SEM COTAÇÃO</t>
        </is>
      </c>
      <c r="U4313" s="8" t="n"/>
      <c r="V4313" s="14" t="n"/>
      <c r="W4313" s="14" t="n"/>
      <c r="X4313" s="7" t="inlineStr"/>
      <c r="Y4313" s="7" t="inlineStr"/>
    </row>
    <row r="4314">
      <c r="A4314" s="7" t="n">
        <v>645201</v>
      </c>
      <c r="B4314" s="12" t="inlineStr">
        <is>
          <t>7891317009717</t>
        </is>
      </c>
      <c r="C4314" s="7" t="inlineStr">
        <is>
          <t>TAMISA NF 0,075+0,030MG CX 21 COMP REV</t>
        </is>
      </c>
      <c r="D4314" s="7" t="inlineStr">
        <is>
          <t>RX</t>
        </is>
      </c>
      <c r="E4314" s="7" t="inlineStr">
        <is>
          <t>A</t>
        </is>
      </c>
      <c r="F4314" s="13" t="n">
        <v>4</v>
      </c>
      <c r="G4314" s="13" t="n">
        <v>4</v>
      </c>
      <c r="H4314" s="8" t="n">
        <v>29.1975</v>
      </c>
      <c r="I4314" s="8" t="n">
        <v>26.225</v>
      </c>
      <c r="J4314" s="8" t="n">
        <v>27.875</v>
      </c>
      <c r="K4314" s="8" t="n"/>
      <c r="L4314" s="8" t="n"/>
      <c r="M4314" s="8" t="n">
        <v>29.2</v>
      </c>
      <c r="N4314" s="8" t="n"/>
      <c r="O4314" s="15" t="n">
        <v>28.4</v>
      </c>
      <c r="P4314" s="8" t="n">
        <v>29.6156</v>
      </c>
      <c r="Q4314" s="8" t="n"/>
      <c r="R4314" s="8" t="n"/>
      <c r="S4314" s="8" t="n"/>
      <c r="T4314" s="7" t="inlineStr">
        <is>
          <t>TAPAJOS</t>
        </is>
      </c>
      <c r="U4314" s="8" t="n">
        <v>28.4</v>
      </c>
      <c r="V4314" s="14">
        <f>U4314/J4314-1</f>
        <v/>
      </c>
      <c r="W4314" s="14">
        <f>U4314/H4314-1</f>
        <v/>
      </c>
      <c r="X4314" s="17" t="inlineStr">
        <is>
          <t>OK (≤ últ. compra)</t>
        </is>
      </c>
      <c r="Y4314" s="7" t="inlineStr"/>
    </row>
    <row r="4315">
      <c r="A4315" s="7" t="n">
        <v>572301</v>
      </c>
      <c r="B4315" s="12" t="inlineStr">
        <is>
          <t>7891317009755</t>
        </is>
      </c>
      <c r="C4315" s="7" t="inlineStr">
        <is>
          <t>TAMISA NF 0,075+0,030MG SEM PARAR (CAIXA C/ 3 CARTELAS)</t>
        </is>
      </c>
      <c r="D4315" s="7" t="inlineStr">
        <is>
          <t>RX</t>
        </is>
      </c>
      <c r="E4315" s="7" t="inlineStr">
        <is>
          <t>C</t>
        </is>
      </c>
      <c r="F4315" s="13" t="n">
        <v>4</v>
      </c>
      <c r="G4315" s="13" t="n">
        <v>4</v>
      </c>
      <c r="H4315" s="8" t="n">
        <v>30.3333</v>
      </c>
      <c r="I4315" s="8" t="n">
        <v>11.3522</v>
      </c>
      <c r="J4315" s="8" t="n">
        <v>12.07073333333333</v>
      </c>
      <c r="K4315" s="8" t="n"/>
      <c r="L4315" s="8" t="n"/>
      <c r="M4315" s="8" t="n"/>
      <c r="N4315" s="8" t="n"/>
      <c r="O4315" s="15" t="n">
        <v>36.9</v>
      </c>
      <c r="P4315" s="8" t="n">
        <v>38.4552</v>
      </c>
      <c r="Q4315" s="8" t="n"/>
      <c r="R4315" s="8" t="n"/>
      <c r="S4315" s="8" t="n"/>
      <c r="T4315" s="7" t="inlineStr">
        <is>
          <t>TAPAJOS</t>
        </is>
      </c>
      <c r="U4315" s="8" t="n">
        <v>36.9</v>
      </c>
      <c r="V4315" s="14">
        <f>U4315/J4315-1</f>
        <v/>
      </c>
      <c r="W4315" s="14">
        <f>U4315/H4315-1</f>
        <v/>
      </c>
      <c r="X4315" s="16" t="inlineStr">
        <is>
          <t>ACIMA +21.6%</t>
        </is>
      </c>
      <c r="Y4315" s="7" t="inlineStr">
        <is>
          <t>NAZARIA: preços divergentes entre EANs (usado menor)</t>
        </is>
      </c>
    </row>
    <row r="4316">
      <c r="A4316" s="7" t="n">
        <v>201</v>
      </c>
      <c r="B4316" s="12" t="inlineStr">
        <is>
          <t>7893454100678</t>
        </is>
      </c>
      <c r="C4316" s="7" t="inlineStr">
        <is>
          <t>TANDENE 125+50+300+30MG CX 15 COMP</t>
        </is>
      </c>
      <c r="D4316" s="7" t="inlineStr">
        <is>
          <t>SIMILAR</t>
        </is>
      </c>
      <c r="E4316" s="7" t="inlineStr">
        <is>
          <t>A</t>
        </is>
      </c>
      <c r="F4316" s="13" t="n">
        <v>26</v>
      </c>
      <c r="G4316" s="13" t="n">
        <v>26</v>
      </c>
      <c r="H4316" s="8" t="n">
        <v>3.91</v>
      </c>
      <c r="I4316" s="8" t="n">
        <v>3.77</v>
      </c>
      <c r="J4316" s="8" t="n">
        <v>3.776666666666667</v>
      </c>
      <c r="K4316" s="8" t="n">
        <v>4.26</v>
      </c>
      <c r="L4316" s="8" t="n"/>
      <c r="M4316" s="8" t="n"/>
      <c r="N4316" s="8" t="n">
        <v>4.35</v>
      </c>
      <c r="O4316" s="8" t="n"/>
      <c r="P4316" s="8" t="n"/>
      <c r="Q4316" s="8" t="n"/>
      <c r="R4316" s="15" t="n">
        <v>4.07</v>
      </c>
      <c r="S4316" s="8" t="n"/>
      <c r="T4316" s="7" t="inlineStr">
        <is>
          <t>BRASFARMA</t>
        </is>
      </c>
      <c r="U4316" s="8" t="n">
        <v>4.07</v>
      </c>
      <c r="V4316" s="14">
        <f>U4316/J4316-1</f>
        <v/>
      </c>
      <c r="W4316" s="14">
        <f>U4316/H4316-1</f>
        <v/>
      </c>
      <c r="X4316" s="16" t="inlineStr">
        <is>
          <t>ACIMA +4.1%</t>
        </is>
      </c>
      <c r="Y4316" s="7" t="inlineStr"/>
    </row>
    <row r="4317">
      <c r="A4317" s="7" t="n">
        <v>82461</v>
      </c>
      <c r="B4317" s="12" t="inlineStr">
        <is>
          <t>7893454100685</t>
        </is>
      </c>
      <c r="C4317" s="7" t="inlineStr">
        <is>
          <t>TANDENE 125+50+300+30MG CX 30 COMP</t>
        </is>
      </c>
      <c r="D4317" s="7" t="inlineStr">
        <is>
          <t>SIMILAR</t>
        </is>
      </c>
      <c r="E4317" s="7" t="inlineStr">
        <is>
          <t>A</t>
        </is>
      </c>
      <c r="F4317" s="13" t="n">
        <v>6</v>
      </c>
      <c r="G4317" s="13" t="n">
        <v>6</v>
      </c>
      <c r="H4317" s="8" t="n">
        <v>7.95</v>
      </c>
      <c r="I4317" s="8" t="n">
        <v>7.95</v>
      </c>
      <c r="J4317" s="8" t="n">
        <v>7.95</v>
      </c>
      <c r="K4317" s="8" t="n">
        <v>8.68</v>
      </c>
      <c r="L4317" s="8" t="n"/>
      <c r="M4317" s="8" t="n"/>
      <c r="N4317" s="8" t="n">
        <v>8.83</v>
      </c>
      <c r="O4317" s="8" t="n">
        <v>8.74</v>
      </c>
      <c r="P4317" s="8" t="n"/>
      <c r="Q4317" s="8" t="n"/>
      <c r="R4317" s="15" t="n">
        <v>7.98</v>
      </c>
      <c r="S4317" s="8" t="n"/>
      <c r="T4317" s="7" t="inlineStr">
        <is>
          <t>BRASFARMA</t>
        </is>
      </c>
      <c r="U4317" s="8" t="n">
        <v>7.98</v>
      </c>
      <c r="V4317" s="14">
        <f>U4317/J4317-1</f>
        <v/>
      </c>
      <c r="W4317" s="14">
        <f>U4317/H4317-1</f>
        <v/>
      </c>
      <c r="X4317" s="16" t="inlineStr">
        <is>
          <t>ACIMA +0.4%</t>
        </is>
      </c>
      <c r="Y4317" s="7" t="inlineStr"/>
    </row>
    <row r="4318">
      <c r="A4318" s="7" t="n">
        <v>658821</v>
      </c>
      <c r="B4318" s="12" t="inlineStr">
        <is>
          <t>7898442108483</t>
        </is>
      </c>
      <c r="C4318" s="7" t="inlineStr">
        <is>
          <t>TARADAO ESTIMULANTE SEXUAL C/60 COMPRIMIDOS</t>
        </is>
      </c>
      <c r="D4318" s="7" t="inlineStr">
        <is>
          <t>OTC</t>
        </is>
      </c>
      <c r="E4318" s="7" t="inlineStr">
        <is>
          <t>C</t>
        </is>
      </c>
      <c r="F4318" s="13" t="n">
        <v>1</v>
      </c>
      <c r="G4318" s="13" t="n">
        <v>1</v>
      </c>
      <c r="H4318" s="8" t="n">
        <v>24.99</v>
      </c>
      <c r="I4318" s="8" t="n">
        <v>24.99</v>
      </c>
      <c r="J4318" s="8" t="n">
        <v>24.99</v>
      </c>
      <c r="K4318" s="8" t="n"/>
      <c r="L4318" s="8" t="n"/>
      <c r="M4318" s="8" t="n"/>
      <c r="N4318" s="8" t="n"/>
      <c r="O4318" s="8" t="n"/>
      <c r="P4318" s="8" t="n"/>
      <c r="Q4318" s="8" t="n"/>
      <c r="R4318" s="8" t="n"/>
      <c r="S4318" s="8" t="n"/>
      <c r="T4318" s="7" t="inlineStr">
        <is>
          <t>SEM COTAÇÃO</t>
        </is>
      </c>
      <c r="U4318" s="8" t="n"/>
      <c r="V4318" s="14" t="n"/>
      <c r="W4318" s="14" t="n"/>
      <c r="X4318" s="7" t="inlineStr"/>
      <c r="Y4318" s="7" t="inlineStr"/>
    </row>
    <row r="4319">
      <c r="A4319" s="7" t="n">
        <v>658831</v>
      </c>
      <c r="B4319" s="12" t="inlineStr">
        <is>
          <t>7898442108452</t>
        </is>
      </c>
      <c r="C4319" s="7" t="inlineStr">
        <is>
          <t>TARADAO TONICO SEXUAL 500ML (12)</t>
        </is>
      </c>
      <c r="D4319" s="7" t="inlineStr">
        <is>
          <t>OTC</t>
        </is>
      </c>
      <c r="E4319" s="7" t="inlineStr">
        <is>
          <t>C</t>
        </is>
      </c>
      <c r="F4319" s="13" t="n">
        <v>1</v>
      </c>
      <c r="G4319" s="13" t="n">
        <v>1</v>
      </c>
      <c r="H4319" s="8" t="n">
        <v>13.99</v>
      </c>
      <c r="I4319" s="8" t="n">
        <v>13.99</v>
      </c>
      <c r="J4319" s="8" t="n">
        <v>13.99</v>
      </c>
      <c r="K4319" s="8" t="n"/>
      <c r="L4319" s="8" t="n"/>
      <c r="M4319" s="8" t="n"/>
      <c r="N4319" s="8" t="n"/>
      <c r="O4319" s="8" t="n"/>
      <c r="P4319" s="8" t="n"/>
      <c r="Q4319" s="8" t="n"/>
      <c r="R4319" s="8" t="n"/>
      <c r="S4319" s="8" t="n"/>
      <c r="T4319" s="7" t="inlineStr">
        <is>
          <t>SEM COTAÇÃO</t>
        </is>
      </c>
      <c r="U4319" s="8" t="n"/>
      <c r="V4319" s="14" t="n"/>
      <c r="W4319" s="14" t="n"/>
      <c r="X4319" s="7" t="inlineStr"/>
      <c r="Y4319" s="7" t="inlineStr"/>
    </row>
    <row r="4320">
      <c r="A4320" s="7" t="n">
        <v>455901</v>
      </c>
      <c r="B4320" s="12" t="inlineStr">
        <is>
          <t>7896094206014</t>
        </is>
      </c>
      <c r="C4320" s="7" t="inlineStr">
        <is>
          <t>TARFIC 0,3MG POM BG 10G</t>
        </is>
      </c>
      <c r="D4320" s="7" t="inlineStr">
        <is>
          <t>RX</t>
        </is>
      </c>
      <c r="E4320" s="7" t="inlineStr">
        <is>
          <t>C</t>
        </is>
      </c>
      <c r="F4320" s="13" t="n">
        <v>1</v>
      </c>
      <c r="G4320" s="13" t="n">
        <v>1</v>
      </c>
      <c r="H4320" s="8" t="n">
        <v>72.27</v>
      </c>
      <c r="I4320" s="8" t="n">
        <v>72.27</v>
      </c>
      <c r="J4320" s="8" t="n">
        <v>72.27</v>
      </c>
      <c r="K4320" s="8" t="n"/>
      <c r="L4320" s="8" t="n"/>
      <c r="M4320" s="8" t="n"/>
      <c r="N4320" s="8" t="n"/>
      <c r="O4320" s="8" t="n"/>
      <c r="P4320" s="8" t="n">
        <v>78.1011</v>
      </c>
      <c r="Q4320" s="8" t="n"/>
      <c r="R4320" s="8" t="n"/>
      <c r="S4320" s="8" t="n"/>
      <c r="T4320" s="7" t="inlineStr">
        <is>
          <t>SEM COTAÇÃO</t>
        </is>
      </c>
      <c r="U4320" s="8" t="n"/>
      <c r="V4320" s="14" t="n"/>
      <c r="W4320" s="14" t="n"/>
      <c r="X4320" s="7" t="inlineStr"/>
      <c r="Y4320" s="7" t="inlineStr">
        <is>
          <t>NAZARIA: sem estoque</t>
        </is>
      </c>
    </row>
    <row r="4321">
      <c r="A4321" s="7" t="n">
        <v>455861</v>
      </c>
      <c r="B4321" s="12" t="inlineStr">
        <is>
          <t>7896094206038</t>
        </is>
      </c>
      <c r="C4321" s="7" t="inlineStr">
        <is>
          <t>TARFIC 1,0MG POM BG 10G</t>
        </is>
      </c>
      <c r="D4321" s="7" t="inlineStr">
        <is>
          <t>RX</t>
        </is>
      </c>
      <c r="E4321" s="7" t="inlineStr">
        <is>
          <t>C</t>
        </is>
      </c>
      <c r="F4321" s="13" t="n">
        <v>1</v>
      </c>
      <c r="G4321" s="13" t="n">
        <v>1</v>
      </c>
      <c r="H4321" s="8" t="n">
        <v>72.27500000000001</v>
      </c>
      <c r="I4321" s="8" t="n">
        <v>72.27500000000001</v>
      </c>
      <c r="J4321" s="8" t="n">
        <v>72.27500000000001</v>
      </c>
      <c r="K4321" s="8" t="n"/>
      <c r="L4321" s="8" t="n"/>
      <c r="M4321" s="8" t="n"/>
      <c r="N4321" s="8" t="n"/>
      <c r="O4321" s="8" t="n"/>
      <c r="P4321" s="8" t="n">
        <v>78.111</v>
      </c>
      <c r="Q4321" s="8" t="n"/>
      <c r="R4321" s="8" t="n"/>
      <c r="S4321" s="8" t="n"/>
      <c r="T4321" s="7" t="inlineStr">
        <is>
          <t>SEM COTAÇÃO</t>
        </is>
      </c>
      <c r="U4321" s="8" t="n"/>
      <c r="V4321" s="14" t="n"/>
      <c r="W4321" s="14" t="n"/>
      <c r="X4321" s="7" t="inlineStr"/>
      <c r="Y4321" s="7" t="inlineStr">
        <is>
          <t>NAZARIA: sem estoque</t>
        </is>
      </c>
    </row>
    <row r="4322">
      <c r="A4322" s="7" t="n">
        <v>345721</v>
      </c>
      <c r="B4322" s="12" t="inlineStr">
        <is>
          <t>7892953101865</t>
        </is>
      </c>
      <c r="C4322" s="7" t="inlineStr">
        <is>
          <t>TECNOMET 2,5MG CX 20 COMP</t>
        </is>
      </c>
      <c r="D4322" s="7" t="inlineStr">
        <is>
          <t>RX</t>
        </is>
      </c>
      <c r="E4322" s="7" t="inlineStr">
        <is>
          <t>A</t>
        </is>
      </c>
      <c r="F4322" s="13" t="n">
        <v>9</v>
      </c>
      <c r="G4322" s="13" t="n">
        <v>9</v>
      </c>
      <c r="H4322" s="8" t="n">
        <v>31.91</v>
      </c>
      <c r="I4322" s="8" t="n">
        <v>27.316</v>
      </c>
      <c r="J4322" s="8" t="n">
        <v>29.852</v>
      </c>
      <c r="K4322" s="8" t="n"/>
      <c r="L4322" s="8" t="n"/>
      <c r="M4322" s="15" t="n">
        <v>31.91</v>
      </c>
      <c r="N4322" s="8" t="n"/>
      <c r="O4322" s="8" t="n">
        <v>32.51</v>
      </c>
      <c r="P4322" s="8" t="n">
        <v>33.8884</v>
      </c>
      <c r="Q4322" s="8" t="n"/>
      <c r="R4322" s="8" t="n"/>
      <c r="S4322" s="8" t="n"/>
      <c r="T4322" s="7" t="inlineStr">
        <is>
          <t>EPAN</t>
        </is>
      </c>
      <c r="U4322" s="8" t="n">
        <v>31.91</v>
      </c>
      <c r="V4322" s="14">
        <f>U4322/J4322-1</f>
        <v/>
      </c>
      <c r="W4322" s="14">
        <f>U4322/H4322-1</f>
        <v/>
      </c>
      <c r="X4322" s="17" t="inlineStr">
        <is>
          <t>OK (≤ últ. compra)</t>
        </is>
      </c>
      <c r="Y4322" s="7" t="inlineStr"/>
    </row>
    <row r="4323">
      <c r="A4323" s="7" t="n">
        <v>460261</v>
      </c>
      <c r="B4323" s="12" t="inlineStr">
        <is>
          <t>7898569762858</t>
        </is>
      </c>
      <c r="C4323" s="7" t="inlineStr">
        <is>
          <t>TELMISARTANA 80MG CX 30 COMP</t>
        </is>
      </c>
      <c r="D4323" s="7" t="inlineStr">
        <is>
          <t>GENERICO</t>
        </is>
      </c>
      <c r="E4323" s="7" t="inlineStr">
        <is>
          <t>C</t>
        </is>
      </c>
      <c r="F4323" s="13" t="n">
        <v>1</v>
      </c>
      <c r="G4323" s="13" t="n">
        <v>1</v>
      </c>
      <c r="H4323" s="8" t="n">
        <v>41.255</v>
      </c>
      <c r="I4323" s="8" t="n">
        <v>41.255</v>
      </c>
      <c r="J4323" s="8" t="n">
        <v>41.255</v>
      </c>
      <c r="K4323" s="8" t="n">
        <v>49.73</v>
      </c>
      <c r="L4323" s="15" t="n">
        <v>48.63</v>
      </c>
      <c r="M4323" s="8" t="n"/>
      <c r="N4323" s="8" t="n"/>
      <c r="O4323" s="8" t="n"/>
      <c r="P4323" s="8" t="n">
        <v>52.4458</v>
      </c>
      <c r="Q4323" s="8" t="n">
        <v>54.1</v>
      </c>
      <c r="R4323" s="8" t="n"/>
      <c r="S4323" s="8" t="n"/>
      <c r="T4323" s="7" t="inlineStr">
        <is>
          <t>PLUSFARMA</t>
        </is>
      </c>
      <c r="U4323" s="8" t="n">
        <v>48.63</v>
      </c>
      <c r="V4323" s="14">
        <f>U4323/J4323-1</f>
        <v/>
      </c>
      <c r="W4323" s="14">
        <f>U4323/H4323-1</f>
        <v/>
      </c>
      <c r="X4323" s="16" t="inlineStr">
        <is>
          <t>ACIMA +17.9%</t>
        </is>
      </c>
      <c r="Y4323" s="7" t="inlineStr">
        <is>
          <t>NAZARIA: sem estoque</t>
        </is>
      </c>
    </row>
    <row r="4324">
      <c r="A4324" s="7" t="n">
        <v>461121</v>
      </c>
      <c r="B4324" s="12" t="inlineStr">
        <is>
          <t>7896862910471</t>
        </is>
      </c>
      <c r="C4324" s="7" t="inlineStr">
        <is>
          <t>TENOXIL 20MG CX 10 COMP REV</t>
        </is>
      </c>
      <c r="D4324" s="7" t="inlineStr">
        <is>
          <t>SIMILAR</t>
        </is>
      </c>
      <c r="E4324" s="7" t="inlineStr">
        <is>
          <t>C</t>
        </is>
      </c>
      <c r="F4324" s="13" t="n">
        <v>1</v>
      </c>
      <c r="G4324" s="13" t="n">
        <v>1</v>
      </c>
      <c r="H4324" s="8" t="n">
        <v>6.4</v>
      </c>
      <c r="I4324" s="8" t="n">
        <v>6.4</v>
      </c>
      <c r="J4324" s="8" t="n">
        <v>6.400000000000001</v>
      </c>
      <c r="K4324" s="8" t="n"/>
      <c r="L4324" s="8" t="n"/>
      <c r="M4324" s="8" t="n"/>
      <c r="N4324" s="8" t="n"/>
      <c r="O4324" s="8" t="n"/>
      <c r="P4324" s="8" t="n"/>
      <c r="Q4324" s="8" t="n"/>
      <c r="R4324" s="8" t="n"/>
      <c r="S4324" s="8" t="n"/>
      <c r="T4324" s="7" t="inlineStr">
        <is>
          <t>SEM COTAÇÃO</t>
        </is>
      </c>
      <c r="U4324" s="8" t="n"/>
      <c r="V4324" s="14" t="n"/>
      <c r="W4324" s="14" t="n"/>
      <c r="X4324" s="7" t="inlineStr"/>
      <c r="Y4324" s="7" t="inlineStr"/>
    </row>
    <row r="4325">
      <c r="A4325" s="7" t="n">
        <v>651771</v>
      </c>
      <c r="B4325" s="12" t="inlineStr">
        <is>
          <t>7896020160076</t>
        </is>
      </c>
      <c r="C4325" s="7" t="inlineStr">
        <is>
          <t>TENYS PE BARUEL PO 100G MENTA FRESH</t>
        </is>
      </c>
      <c r="D4325" s="7" t="inlineStr">
        <is>
          <t>COND/SHAM/CREM/SIMILARES</t>
        </is>
      </c>
      <c r="E4325" s="7" t="inlineStr">
        <is>
          <t>C</t>
        </is>
      </c>
      <c r="F4325" s="13" t="n">
        <v>1</v>
      </c>
      <c r="G4325" s="13" t="n">
        <v>1</v>
      </c>
      <c r="H4325" s="8" t="n">
        <v>9.18</v>
      </c>
      <c r="I4325" s="8" t="n">
        <v>9.18</v>
      </c>
      <c r="J4325" s="8" t="n">
        <v>9.18</v>
      </c>
      <c r="K4325" s="8" t="n"/>
      <c r="L4325" s="8" t="n"/>
      <c r="M4325" s="8" t="n"/>
      <c r="N4325" s="8" t="n"/>
      <c r="O4325" s="8" t="n"/>
      <c r="P4325" s="8" t="n"/>
      <c r="Q4325" s="8" t="n"/>
      <c r="R4325" s="8" t="n"/>
      <c r="S4325" s="8" t="n"/>
      <c r="T4325" s="7" t="inlineStr">
        <is>
          <t>SEM COTAÇÃO</t>
        </is>
      </c>
      <c r="U4325" s="8" t="n"/>
      <c r="V4325" s="14" t="n"/>
      <c r="W4325" s="14" t="n"/>
      <c r="X4325" s="7" t="inlineStr"/>
      <c r="Y4325" s="7" t="inlineStr"/>
    </row>
    <row r="4326">
      <c r="A4326" s="7" t="n">
        <v>636481</v>
      </c>
      <c r="B4326" s="12" t="inlineStr">
        <is>
          <t>7896020163817</t>
        </is>
      </c>
      <c r="C4326" s="7" t="inlineStr">
        <is>
          <t>TENYS PE BARUEL PO LEVE 100 PAG 80 FRESH</t>
        </is>
      </c>
      <c r="D4326" s="7" t="inlineStr">
        <is>
          <t>PERF/COSME</t>
        </is>
      </c>
      <c r="E4326" s="7" t="inlineStr">
        <is>
          <t>C</t>
        </is>
      </c>
      <c r="F4326" s="13" t="n">
        <v>2</v>
      </c>
      <c r="G4326" s="13" t="n">
        <v>2</v>
      </c>
      <c r="H4326" s="8" t="n">
        <v>4.31</v>
      </c>
      <c r="I4326" s="8" t="n">
        <v>4.31</v>
      </c>
      <c r="J4326" s="8" t="n">
        <v>4.31</v>
      </c>
      <c r="K4326" s="8" t="n"/>
      <c r="L4326" s="8" t="n"/>
      <c r="M4326" s="8" t="n"/>
      <c r="N4326" s="8" t="n"/>
      <c r="O4326" s="8" t="n"/>
      <c r="P4326" s="8" t="n"/>
      <c r="Q4326" s="8" t="n"/>
      <c r="R4326" s="8" t="n"/>
      <c r="S4326" s="8" t="n"/>
      <c r="T4326" s="7" t="inlineStr">
        <is>
          <t>SEM COTAÇÃO</t>
        </is>
      </c>
      <c r="U4326" s="8" t="n"/>
      <c r="V4326" s="14" t="n"/>
      <c r="W4326" s="14" t="n"/>
      <c r="X4326" s="7" t="inlineStr"/>
      <c r="Y4326" s="7" t="inlineStr"/>
    </row>
    <row r="4327">
      <c r="A4327" s="7" t="n">
        <v>614131</v>
      </c>
      <c r="B4327" s="12" t="inlineStr">
        <is>
          <t>7896020160052</t>
        </is>
      </c>
      <c r="C4327" s="7" t="inlineStr">
        <is>
          <t>TENYS PE TC DESOD 100G ORIGINAL</t>
        </is>
      </c>
      <c r="D4327" s="7" t="inlineStr">
        <is>
          <t>PERF/COSME</t>
        </is>
      </c>
      <c r="E4327" s="7" t="inlineStr">
        <is>
          <t>C</t>
        </is>
      </c>
      <c r="F4327" s="13" t="n">
        <v>1</v>
      </c>
      <c r="G4327" s="13" t="n">
        <v>1</v>
      </c>
      <c r="H4327" s="8" t="n">
        <v>8.67</v>
      </c>
      <c r="I4327" s="8" t="n">
        <v>8.67</v>
      </c>
      <c r="J4327" s="8" t="n">
        <v>8.67</v>
      </c>
      <c r="K4327" s="8" t="n"/>
      <c r="L4327" s="8" t="n"/>
      <c r="M4327" s="8" t="n"/>
      <c r="N4327" s="8" t="n"/>
      <c r="O4327" s="8" t="n"/>
      <c r="P4327" s="8" t="n"/>
      <c r="Q4327" s="8" t="n"/>
      <c r="R4327" s="8" t="n"/>
      <c r="S4327" s="8" t="n"/>
      <c r="T4327" s="7" t="inlineStr">
        <is>
          <t>SEM COTAÇÃO</t>
        </is>
      </c>
      <c r="U4327" s="8" t="n"/>
      <c r="V4327" s="14" t="n"/>
      <c r="W4327" s="14" t="n"/>
      <c r="X4327" s="7" t="inlineStr"/>
      <c r="Y4327" s="7" t="inlineStr"/>
    </row>
    <row r="4328">
      <c r="A4328" s="7" t="n">
        <v>621841</v>
      </c>
      <c r="B4328" s="12" t="inlineStr">
        <is>
          <t>7896020160120</t>
        </is>
      </c>
      <c r="C4328" s="7" t="inlineStr">
        <is>
          <t>TENYS PE TC DESOD 110G AERO CANFORADO</t>
        </is>
      </c>
      <c r="D4328" s="7" t="inlineStr">
        <is>
          <t>PERF/COSME</t>
        </is>
      </c>
      <c r="E4328" s="7" t="inlineStr">
        <is>
          <t>B</t>
        </is>
      </c>
      <c r="F4328" s="13" t="n">
        <v>2</v>
      </c>
      <c r="G4328" s="13" t="n">
        <v>2</v>
      </c>
      <c r="H4328" s="8" t="n">
        <v>16.76</v>
      </c>
      <c r="I4328" s="8" t="n">
        <v>16.76</v>
      </c>
      <c r="J4328" s="8" t="n">
        <v>16.76</v>
      </c>
      <c r="K4328" s="8" t="n"/>
      <c r="L4328" s="8" t="n"/>
      <c r="M4328" s="8" t="n"/>
      <c r="N4328" s="8" t="n"/>
      <c r="O4328" s="8" t="n"/>
      <c r="P4328" s="8" t="n"/>
      <c r="Q4328" s="8" t="n"/>
      <c r="R4328" s="8" t="n"/>
      <c r="S4328" s="8" t="n"/>
      <c r="T4328" s="7" t="inlineStr">
        <is>
          <t>SEM COTAÇÃO</t>
        </is>
      </c>
      <c r="U4328" s="8" t="n"/>
      <c r="V4328" s="14" t="n"/>
      <c r="W4328" s="14" t="n"/>
      <c r="X4328" s="7" t="inlineStr"/>
      <c r="Y4328" s="7" t="inlineStr"/>
    </row>
    <row r="4329">
      <c r="A4329" s="7" t="n">
        <v>621831</v>
      </c>
      <c r="B4329" s="12" t="inlineStr">
        <is>
          <t>7896020160113</t>
        </is>
      </c>
      <c r="C4329" s="7" t="inlineStr">
        <is>
          <t>TENYS PE TC DESOD 110G AERO ORIGINAL</t>
        </is>
      </c>
      <c r="D4329" s="7" t="inlineStr">
        <is>
          <t>PERF/COSME</t>
        </is>
      </c>
      <c r="E4329" s="7" t="inlineStr">
        <is>
          <t>C</t>
        </is>
      </c>
      <c r="F4329" s="13" t="n">
        <v>2</v>
      </c>
      <c r="G4329" s="13" t="n">
        <v>2</v>
      </c>
      <c r="H4329" s="8" t="n">
        <v>17.31</v>
      </c>
      <c r="I4329" s="8" t="n">
        <v>17.31</v>
      </c>
      <c r="J4329" s="8" t="n">
        <v>17.31</v>
      </c>
      <c r="K4329" s="8" t="n"/>
      <c r="L4329" s="8" t="n"/>
      <c r="M4329" s="8" t="n"/>
      <c r="N4329" s="8" t="n"/>
      <c r="O4329" s="8" t="n"/>
      <c r="P4329" s="8" t="n"/>
      <c r="Q4329" s="8" t="n"/>
      <c r="R4329" s="8" t="n"/>
      <c r="S4329" s="8" t="n"/>
      <c r="T4329" s="7" t="inlineStr">
        <is>
          <t>SEM COTAÇÃO</t>
        </is>
      </c>
      <c r="U4329" s="8" t="n"/>
      <c r="V4329" s="14" t="n"/>
      <c r="W4329" s="14" t="n"/>
      <c r="X4329" s="7" t="inlineStr"/>
      <c r="Y4329" s="7" t="inlineStr"/>
    </row>
    <row r="4330">
      <c r="A4330" s="7" t="n">
        <v>575621</v>
      </c>
      <c r="B4330" s="12" t="inlineStr">
        <is>
          <t>7896020161714</t>
        </is>
      </c>
      <c r="C4330" s="7" t="inlineStr">
        <is>
          <t>TENYS PE TC DESOD 60G WOMAN</t>
        </is>
      </c>
      <c r="D4330" s="7" t="inlineStr">
        <is>
          <t>PERF/COSME</t>
        </is>
      </c>
      <c r="E4330" s="7" t="inlineStr">
        <is>
          <t>C</t>
        </is>
      </c>
      <c r="F4330" s="13" t="n">
        <v>1</v>
      </c>
      <c r="G4330" s="13" t="n">
        <v>1</v>
      </c>
      <c r="H4330" s="8" t="n">
        <v>7.79</v>
      </c>
      <c r="I4330" s="8" t="n">
        <v>7.79</v>
      </c>
      <c r="J4330" s="8" t="n">
        <v>7.79</v>
      </c>
      <c r="K4330" s="8" t="n"/>
      <c r="L4330" s="8" t="n"/>
      <c r="M4330" s="8" t="n"/>
      <c r="N4330" s="8" t="n"/>
      <c r="O4330" s="8" t="n"/>
      <c r="P4330" s="8" t="n"/>
      <c r="Q4330" s="8" t="n"/>
      <c r="R4330" s="8" t="n"/>
      <c r="S4330" s="8" t="n"/>
      <c r="T4330" s="7" t="inlineStr">
        <is>
          <t>SEM COTAÇÃO</t>
        </is>
      </c>
      <c r="U4330" s="8" t="n"/>
      <c r="V4330" s="14" t="n"/>
      <c r="W4330" s="14" t="n"/>
      <c r="X4330" s="7" t="inlineStr"/>
      <c r="Y4330" s="7" t="inlineStr"/>
    </row>
    <row r="4331">
      <c r="A4331" s="7" t="n">
        <v>180421</v>
      </c>
      <c r="B4331" s="12" t="inlineStr">
        <is>
          <t>7899824400911</t>
        </is>
      </c>
      <c r="C4331" s="7" t="inlineStr">
        <is>
          <t>TERICIN AT 25+12,5MG CREM VAG BG 45G+10APLIC</t>
        </is>
      </c>
      <c r="D4331" s="7" t="inlineStr">
        <is>
          <t>RX - SIMILAR - ATB</t>
        </is>
      </c>
      <c r="E4331" s="7" t="inlineStr">
        <is>
          <t>A</t>
        </is>
      </c>
      <c r="F4331" s="13" t="n">
        <v>1</v>
      </c>
      <c r="G4331" s="13" t="n">
        <v>1</v>
      </c>
      <c r="H4331" s="8" t="n">
        <v>73.98999999999999</v>
      </c>
      <c r="I4331" s="8" t="n">
        <v>54.77</v>
      </c>
      <c r="J4331" s="8" t="n">
        <v>58.53</v>
      </c>
      <c r="K4331" s="8" t="n"/>
      <c r="L4331" s="8" t="n"/>
      <c r="M4331" s="15" t="n">
        <v>60.41</v>
      </c>
      <c r="N4331" s="8" t="n"/>
      <c r="O4331" s="8" t="n"/>
      <c r="P4331" s="8" t="n">
        <v>61.2943</v>
      </c>
      <c r="Q4331" s="8" t="n"/>
      <c r="R4331" s="8" t="n"/>
      <c r="S4331" s="8" t="n"/>
      <c r="T4331" s="7" t="inlineStr">
        <is>
          <t>EPAN</t>
        </is>
      </c>
      <c r="U4331" s="8" t="n">
        <v>60.41</v>
      </c>
      <c r="V4331" s="14">
        <f>U4331/J4331-1</f>
        <v/>
      </c>
      <c r="W4331" s="14">
        <f>U4331/H4331-1</f>
        <v/>
      </c>
      <c r="X4331" s="17" t="inlineStr">
        <is>
          <t>OK (≤ últ. compra)</t>
        </is>
      </c>
      <c r="Y4331" s="7" t="inlineStr"/>
    </row>
    <row r="4332">
      <c r="A4332" s="7" t="n">
        <v>670121</v>
      </c>
      <c r="B4332" s="12" t="inlineStr">
        <is>
          <t>7896540789580</t>
        </is>
      </c>
      <c r="C4332" s="7" t="inlineStr">
        <is>
          <t>TERMOMETRO CLIN. DIG. AMARELO ENCARTELAD</t>
        </is>
      </c>
      <c r="D4332" s="7" t="inlineStr">
        <is>
          <t>UTENSILIOS</t>
        </is>
      </c>
      <c r="E4332" s="7" t="inlineStr">
        <is>
          <t>C</t>
        </is>
      </c>
      <c r="F4332" s="13" t="n">
        <v>1</v>
      </c>
      <c r="G4332" s="13" t="n">
        <v>1</v>
      </c>
      <c r="H4332" s="8" t="n"/>
      <c r="I4332" s="8" t="n"/>
      <c r="J4332" s="8" t="n"/>
      <c r="K4332" s="8" t="n"/>
      <c r="L4332" s="8" t="n"/>
      <c r="M4332" s="8" t="n"/>
      <c r="N4332" s="8" t="n"/>
      <c r="O4332" s="8" t="n"/>
      <c r="P4332" s="8" t="n">
        <v>13.62</v>
      </c>
      <c r="Q4332" s="15" t="n">
        <v>13.04</v>
      </c>
      <c r="R4332" s="8" t="n"/>
      <c r="S4332" s="8" t="n"/>
      <c r="T4332" s="7" t="inlineStr">
        <is>
          <t>MEDCENTRO</t>
        </is>
      </c>
      <c r="U4332" s="8" t="n">
        <v>13.04</v>
      </c>
      <c r="V4332" s="14" t="n"/>
      <c r="W4332" s="14" t="n"/>
      <c r="X4332" s="7" t="inlineStr">
        <is>
          <t>SEM HISTÓRICO</t>
        </is>
      </c>
      <c r="Y4332" s="7" t="inlineStr"/>
    </row>
    <row r="4333">
      <c r="A4333" s="7" t="n">
        <v>601291</v>
      </c>
      <c r="B4333" s="12" t="inlineStr">
        <is>
          <t>7898301056955</t>
        </is>
      </c>
      <c r="C4333" s="7" t="inlineStr">
        <is>
          <t>TERMOMETRO CLIN. DIG. AZUL G-TECH</t>
        </is>
      </c>
      <c r="D4333" s="7" t="inlineStr">
        <is>
          <t>UTENSILIOS</t>
        </is>
      </c>
      <c r="E4333" s="7" t="inlineStr">
        <is>
          <t>C</t>
        </is>
      </c>
      <c r="F4333" s="13" t="n">
        <v>1</v>
      </c>
      <c r="G4333" s="13" t="n">
        <v>1</v>
      </c>
      <c r="H4333" s="8" t="n">
        <v>12.56</v>
      </c>
      <c r="I4333" s="8" t="n">
        <v>12.56</v>
      </c>
      <c r="J4333" s="8" t="n">
        <v>12.56</v>
      </c>
      <c r="K4333" s="15" t="n">
        <v>13.33</v>
      </c>
      <c r="L4333" s="8" t="n"/>
      <c r="M4333" s="8" t="n"/>
      <c r="N4333" s="8" t="n">
        <v>14.18</v>
      </c>
      <c r="O4333" s="8" t="n"/>
      <c r="P4333" s="8" t="n"/>
      <c r="Q4333" s="8" t="n"/>
      <c r="R4333" s="8" t="n"/>
      <c r="S4333" s="8" t="n"/>
      <c r="T4333" s="7" t="inlineStr">
        <is>
          <t>DIMEC</t>
        </is>
      </c>
      <c r="U4333" s="8" t="n">
        <v>13.33</v>
      </c>
      <c r="V4333" s="14">
        <f>U4333/J4333-1</f>
        <v/>
      </c>
      <c r="W4333" s="14">
        <f>U4333/H4333-1</f>
        <v/>
      </c>
      <c r="X4333" s="16" t="inlineStr">
        <is>
          <t>ACIMA +6.1%</t>
        </is>
      </c>
      <c r="Y4333" s="7" t="inlineStr"/>
    </row>
    <row r="4334">
      <c r="A4334" s="7" t="n">
        <v>670111</v>
      </c>
      <c r="B4334" s="12" t="inlineStr">
        <is>
          <t>7898506470761</t>
        </is>
      </c>
      <c r="C4334" s="7" t="inlineStr">
        <is>
          <t>TERMOMETRO CLIN. DIG. BRANCO MULTILASER</t>
        </is>
      </c>
      <c r="D4334" s="7" t="inlineStr">
        <is>
          <t>UTENSILIOS</t>
        </is>
      </c>
      <c r="E4334" s="7" t="inlineStr">
        <is>
          <t>B</t>
        </is>
      </c>
      <c r="F4334" s="13" t="n">
        <v>8</v>
      </c>
      <c r="G4334" s="13" t="n">
        <v>8</v>
      </c>
      <c r="H4334" s="8" t="n">
        <v>9.69</v>
      </c>
      <c r="I4334" s="8" t="n">
        <v>9.69</v>
      </c>
      <c r="J4334" s="8" t="n">
        <v>9.69</v>
      </c>
      <c r="K4334" s="8" t="n"/>
      <c r="L4334" s="8" t="n"/>
      <c r="M4334" s="8" t="n"/>
      <c r="N4334" s="8" t="n"/>
      <c r="O4334" s="8" t="n"/>
      <c r="P4334" s="8" t="n"/>
      <c r="Q4334" s="8" t="n"/>
      <c r="R4334" s="8" t="n"/>
      <c r="S4334" s="8" t="n"/>
      <c r="T4334" s="7" t="inlineStr">
        <is>
          <t>SEM COTAÇÃO</t>
        </is>
      </c>
      <c r="U4334" s="8" t="n"/>
      <c r="V4334" s="14" t="n"/>
      <c r="W4334" s="14" t="n"/>
      <c r="X4334" s="7" t="inlineStr"/>
      <c r="Y4334" s="7" t="inlineStr"/>
    </row>
    <row r="4335">
      <c r="A4335" s="7" t="n">
        <v>578801</v>
      </c>
      <c r="B4335" s="12" t="inlineStr">
        <is>
          <t>7898301056986</t>
        </is>
      </c>
      <c r="C4335" s="7" t="inlineStr">
        <is>
          <t>TERMOMETRO DIGITAL CLINICO TH150 LARANJA</t>
        </is>
      </c>
      <c r="D4335" s="7" t="inlineStr">
        <is>
          <t>UTENSILIOS</t>
        </is>
      </c>
      <c r="E4335" s="7" t="inlineStr">
        <is>
          <t>C</t>
        </is>
      </c>
      <c r="F4335" s="13" t="n">
        <v>1</v>
      </c>
      <c r="G4335" s="13" t="n">
        <v>1</v>
      </c>
      <c r="H4335" s="8" t="n">
        <v>12.59</v>
      </c>
      <c r="I4335" s="8" t="n">
        <v>12.59</v>
      </c>
      <c r="J4335" s="8" t="n">
        <v>12.59</v>
      </c>
      <c r="K4335" s="15" t="n">
        <v>11.88</v>
      </c>
      <c r="L4335" s="8" t="n"/>
      <c r="M4335" s="8" t="n"/>
      <c r="N4335" s="8" t="n">
        <v>14.4</v>
      </c>
      <c r="O4335" s="8" t="n"/>
      <c r="P4335" s="8" t="n"/>
      <c r="Q4335" s="8" t="n"/>
      <c r="R4335" s="8" t="n"/>
      <c r="S4335" s="8" t="n"/>
      <c r="T4335" s="7" t="inlineStr">
        <is>
          <t>DIMEC</t>
        </is>
      </c>
      <c r="U4335" s="8" t="n">
        <v>11.88</v>
      </c>
      <c r="V4335" s="14">
        <f>U4335/J4335-1</f>
        <v/>
      </c>
      <c r="W4335" s="14">
        <f>U4335/H4335-1</f>
        <v/>
      </c>
      <c r="X4335" s="17" t="inlineStr">
        <is>
          <t>OK (≤ menor hist.)</t>
        </is>
      </c>
      <c r="Y4335" s="7" t="inlineStr"/>
    </row>
    <row r="4336">
      <c r="A4336" s="7" t="n">
        <v>651041</v>
      </c>
      <c r="B4336" s="12" t="inlineStr">
        <is>
          <t>7898639694324</t>
        </is>
      </c>
      <c r="C4336" s="7" t="inlineStr">
        <is>
          <t>TERMOMETRO DIGITAL CORES SORTIDAS M24</t>
        </is>
      </c>
      <c r="D4336" s="7" t="inlineStr">
        <is>
          <t>UTENSILIOS</t>
        </is>
      </c>
      <c r="E4336" s="7" t="inlineStr">
        <is>
          <t>C</t>
        </is>
      </c>
      <c r="F4336" s="13" t="n">
        <v>5</v>
      </c>
      <c r="G4336" s="13" t="n">
        <v>5</v>
      </c>
      <c r="H4336" s="8" t="n">
        <v>10.32</v>
      </c>
      <c r="I4336" s="8" t="n">
        <v>7.9875</v>
      </c>
      <c r="J4336" s="8" t="n">
        <v>9.5425</v>
      </c>
      <c r="K4336" s="8" t="n"/>
      <c r="L4336" s="8" t="n"/>
      <c r="M4336" s="8" t="n"/>
      <c r="N4336" s="15" t="n">
        <v>10.86</v>
      </c>
      <c r="O4336" s="8" t="n"/>
      <c r="P4336" s="8" t="n"/>
      <c r="Q4336" s="8" t="n"/>
      <c r="R4336" s="8" t="n"/>
      <c r="S4336" s="8" t="n"/>
      <c r="T4336" s="7" t="inlineStr">
        <is>
          <t>CENTROFARMA</t>
        </is>
      </c>
      <c r="U4336" s="8" t="n">
        <v>10.86</v>
      </c>
      <c r="V4336" s="14">
        <f>U4336/J4336-1</f>
        <v/>
      </c>
      <c r="W4336" s="14">
        <f>U4336/H4336-1</f>
        <v/>
      </c>
      <c r="X4336" s="16" t="inlineStr">
        <is>
          <t>ACIMA +5.2%</t>
        </is>
      </c>
      <c r="Y4336" s="7" t="inlineStr"/>
    </row>
    <row r="4337">
      <c r="A4337" s="7" t="n">
        <v>602751</v>
      </c>
      <c r="B4337" s="12" t="inlineStr">
        <is>
          <t>7899838899671</t>
        </is>
      </c>
      <c r="C4337" s="7" t="inlineStr">
        <is>
          <t>TERMOMETRO DIGITAL DE TESTA MC-720</t>
        </is>
      </c>
      <c r="D4337" s="7" t="inlineStr">
        <is>
          <t>UTENSILIOS</t>
        </is>
      </c>
      <c r="E4337" s="7" t="inlineStr">
        <is>
          <t>C</t>
        </is>
      </c>
      <c r="F4337" s="13" t="n">
        <v>1</v>
      </c>
      <c r="G4337" s="13" t="n">
        <v>1</v>
      </c>
      <c r="H4337" s="8" t="n">
        <v>225.58</v>
      </c>
      <c r="I4337" s="8" t="n">
        <v>225.58</v>
      </c>
      <c r="J4337" s="8" t="n">
        <v>225.58</v>
      </c>
      <c r="K4337" s="8" t="n"/>
      <c r="L4337" s="8" t="n"/>
      <c r="M4337" s="8" t="n"/>
      <c r="N4337" s="8" t="n"/>
      <c r="O4337" s="8" t="n"/>
      <c r="P4337" s="8" t="n"/>
      <c r="Q4337" s="8" t="n"/>
      <c r="R4337" s="8" t="n"/>
      <c r="S4337" s="8" t="n"/>
      <c r="T4337" s="7" t="inlineStr">
        <is>
          <t>SEM COTAÇÃO</t>
        </is>
      </c>
      <c r="U4337" s="8" t="n"/>
      <c r="V4337" s="14" t="n"/>
      <c r="W4337" s="14" t="n"/>
      <c r="X4337" s="7" t="inlineStr"/>
      <c r="Y4337" s="7" t="inlineStr"/>
    </row>
    <row r="4338">
      <c r="A4338" s="7" t="n">
        <v>543341</v>
      </c>
      <c r="B4338" s="12" t="inlineStr">
        <is>
          <t>7898301056979</t>
        </is>
      </c>
      <c r="C4338" s="7" t="inlineStr">
        <is>
          <t>TERMOMETRO DIGITAL G-TECH ROSA UNIDADE</t>
        </is>
      </c>
      <c r="D4338" s="7" t="inlineStr">
        <is>
          <t>USO INTERNO</t>
        </is>
      </c>
      <c r="E4338" s="7" t="inlineStr">
        <is>
          <t>C</t>
        </is>
      </c>
      <c r="F4338" s="13" t="n">
        <v>1</v>
      </c>
      <c r="G4338" s="13" t="n">
        <v>1</v>
      </c>
      <c r="H4338" s="8" t="n">
        <v>12.59</v>
      </c>
      <c r="I4338" s="8" t="n">
        <v>12.59</v>
      </c>
      <c r="J4338" s="8" t="n">
        <v>12.59</v>
      </c>
      <c r="K4338" s="15" t="n">
        <v>13.33</v>
      </c>
      <c r="L4338" s="8" t="n"/>
      <c r="M4338" s="8" t="n"/>
      <c r="N4338" s="8" t="n">
        <v>14.19</v>
      </c>
      <c r="O4338" s="8" t="n"/>
      <c r="P4338" s="8" t="n"/>
      <c r="Q4338" s="8" t="n"/>
      <c r="R4338" s="8" t="n"/>
      <c r="S4338" s="8" t="n"/>
      <c r="T4338" s="7" t="inlineStr">
        <is>
          <t>DIMEC</t>
        </is>
      </c>
      <c r="U4338" s="8" t="n">
        <v>13.33</v>
      </c>
      <c r="V4338" s="14">
        <f>U4338/J4338-1</f>
        <v/>
      </c>
      <c r="W4338" s="14">
        <f>U4338/H4338-1</f>
        <v/>
      </c>
      <c r="X4338" s="16" t="inlineStr">
        <is>
          <t>ACIMA +5.9%</t>
        </is>
      </c>
      <c r="Y4338" s="7" t="inlineStr"/>
    </row>
    <row r="4339">
      <c r="A4339" s="7" t="n">
        <v>543361</v>
      </c>
      <c r="B4339" s="12" t="inlineStr">
        <is>
          <t>7898301056962</t>
        </is>
      </c>
      <c r="C4339" s="7" t="inlineStr">
        <is>
          <t>TERMÔMETRO DIGITAL G-TECH COM PONTA RIGIDA THGTH150V - VERDE</t>
        </is>
      </c>
      <c r="D4339" s="7" t="inlineStr">
        <is>
          <t>USO INTERNO</t>
        </is>
      </c>
      <c r="E4339" s="7" t="inlineStr">
        <is>
          <t>C</t>
        </is>
      </c>
      <c r="F4339" s="13" t="n">
        <v>1</v>
      </c>
      <c r="G4339" s="13" t="n">
        <v>1</v>
      </c>
      <c r="H4339" s="8" t="n">
        <v>12.59</v>
      </c>
      <c r="I4339" s="8" t="n">
        <v>12.59</v>
      </c>
      <c r="J4339" s="8" t="n">
        <v>12.59</v>
      </c>
      <c r="K4339" s="15" t="n">
        <v>13.33</v>
      </c>
      <c r="L4339" s="8" t="n"/>
      <c r="M4339" s="8" t="n"/>
      <c r="N4339" s="8" t="n">
        <v>14.24</v>
      </c>
      <c r="O4339" s="8" t="n"/>
      <c r="P4339" s="8" t="n"/>
      <c r="Q4339" s="8" t="n"/>
      <c r="R4339" s="8" t="n"/>
      <c r="S4339" s="8" t="n"/>
      <c r="T4339" s="7" t="inlineStr">
        <is>
          <t>DIMEC</t>
        </is>
      </c>
      <c r="U4339" s="8" t="n">
        <v>13.33</v>
      </c>
      <c r="V4339" s="14">
        <f>U4339/J4339-1</f>
        <v/>
      </c>
      <c r="W4339" s="14">
        <f>U4339/H4339-1</f>
        <v/>
      </c>
      <c r="X4339" s="16" t="inlineStr">
        <is>
          <t>ACIMA +5.9%</t>
        </is>
      </c>
      <c r="Y4339" s="7" t="inlineStr"/>
    </row>
    <row r="4340">
      <c r="A4340" s="7" t="n">
        <v>532641</v>
      </c>
      <c r="B4340" s="12" t="inlineStr">
        <is>
          <t>7898126050022</t>
        </is>
      </c>
      <c r="C4340" s="7" t="inlineStr">
        <is>
          <t>TESTE CONFIRME C/01 UND</t>
        </is>
      </c>
      <c r="D4340" s="7" t="inlineStr">
        <is>
          <t>UTENSILIOS</t>
        </is>
      </c>
      <c r="E4340" s="7" t="inlineStr">
        <is>
          <t>C</t>
        </is>
      </c>
      <c r="F4340" s="13" t="n">
        <v>4</v>
      </c>
      <c r="G4340" s="13" t="n">
        <v>4</v>
      </c>
      <c r="H4340" s="8" t="n">
        <v>1.69</v>
      </c>
      <c r="I4340" s="8" t="n">
        <v>1.69</v>
      </c>
      <c r="J4340" s="8" t="n">
        <v>1.69</v>
      </c>
      <c r="K4340" s="15" t="n">
        <v>1.69</v>
      </c>
      <c r="L4340" s="8" t="n"/>
      <c r="M4340" s="8" t="n"/>
      <c r="N4340" s="8" t="n"/>
      <c r="O4340" s="8" t="n"/>
      <c r="P4340" s="8" t="n"/>
      <c r="Q4340" s="8" t="n"/>
      <c r="R4340" s="8" t="n"/>
      <c r="S4340" s="8" t="n"/>
      <c r="T4340" s="7" t="inlineStr">
        <is>
          <t>DIMEC</t>
        </is>
      </c>
      <c r="U4340" s="8" t="n">
        <v>1.69</v>
      </c>
      <c r="V4340" s="14">
        <f>U4340/J4340-1</f>
        <v/>
      </c>
      <c r="W4340" s="14">
        <f>U4340/H4340-1</f>
        <v/>
      </c>
      <c r="X4340" s="17" t="inlineStr">
        <is>
          <t>OK (≤ menor hist.)</t>
        </is>
      </c>
      <c r="Y4340" s="7" t="inlineStr"/>
    </row>
    <row r="4341">
      <c r="A4341" s="7" t="n">
        <v>572341</v>
      </c>
      <c r="B4341" s="12" t="inlineStr">
        <is>
          <t>7500435171090</t>
        </is>
      </c>
      <c r="C4341" s="7" t="inlineStr">
        <is>
          <t>TESTE DE GRAVIDEZ CLEARBLUE DIGIT 1UN</t>
        </is>
      </c>
      <c r="D4341" s="7" t="inlineStr">
        <is>
          <t>RX - OTC</t>
        </is>
      </c>
      <c r="E4341" s="7" t="inlineStr">
        <is>
          <t>A</t>
        </is>
      </c>
      <c r="F4341" s="13" t="n">
        <v>1</v>
      </c>
      <c r="G4341" s="13" t="n">
        <v>1</v>
      </c>
      <c r="H4341" s="8" t="n">
        <v>38.38</v>
      </c>
      <c r="I4341" s="8" t="n">
        <v>37.55</v>
      </c>
      <c r="J4341" s="8" t="n">
        <v>37.55</v>
      </c>
      <c r="K4341" s="8" t="n"/>
      <c r="L4341" s="8" t="n"/>
      <c r="M4341" s="8" t="n"/>
      <c r="N4341" s="8" t="n"/>
      <c r="O4341" s="15" t="n">
        <v>38.39</v>
      </c>
      <c r="P4341" s="8" t="n">
        <v>49.58</v>
      </c>
      <c r="Q4341" s="8" t="n"/>
      <c r="R4341" s="8" t="n"/>
      <c r="S4341" s="8" t="n"/>
      <c r="T4341" s="7" t="inlineStr">
        <is>
          <t>TAPAJOS</t>
        </is>
      </c>
      <c r="U4341" s="8" t="n">
        <v>38.39</v>
      </c>
      <c r="V4341" s="14">
        <f>U4341/J4341-1</f>
        <v/>
      </c>
      <c r="W4341" s="14">
        <f>U4341/H4341-1</f>
        <v/>
      </c>
      <c r="X4341" s="16" t="inlineStr">
        <is>
          <t>ACIMA +0.0%</t>
        </is>
      </c>
      <c r="Y4341" s="7" t="inlineStr"/>
    </row>
    <row r="4342">
      <c r="A4342" s="7" t="n">
        <v>632761</v>
      </c>
      <c r="B4342" s="12" t="inlineStr"/>
      <c r="C4342" s="7" t="inlineStr">
        <is>
          <t>TESTE DE GRAVIDEZ CLEARBLUE PLUS-DEMAIS PROD</t>
        </is>
      </c>
      <c r="D4342" s="7" t="inlineStr">
        <is>
          <t>RX - OTC</t>
        </is>
      </c>
      <c r="E4342" s="7" t="inlineStr">
        <is>
          <t>A</t>
        </is>
      </c>
      <c r="F4342" s="13" t="n">
        <v>3</v>
      </c>
      <c r="G4342" s="13" t="n">
        <v>3</v>
      </c>
      <c r="H4342" s="8" t="n">
        <v>15.1625</v>
      </c>
      <c r="I4342" s="8" t="n">
        <v>13.3871</v>
      </c>
      <c r="J4342" s="8" t="n">
        <v>14.30236666666667</v>
      </c>
      <c r="K4342" s="8" t="n"/>
      <c r="L4342" s="8" t="n"/>
      <c r="M4342" s="8" t="n"/>
      <c r="N4342" s="8" t="n"/>
      <c r="O4342" s="8" t="n"/>
      <c r="P4342" s="8" t="n"/>
      <c r="Q4342" s="8" t="n"/>
      <c r="R4342" s="8" t="n"/>
      <c r="S4342" s="8" t="n"/>
      <c r="T4342" s="7" t="inlineStr">
        <is>
          <t>SEM COTAÇÃO</t>
        </is>
      </c>
      <c r="U4342" s="8" t="n"/>
      <c r="V4342" s="14" t="n"/>
      <c r="W4342" s="14" t="n"/>
      <c r="X4342" s="7" t="inlineStr"/>
      <c r="Y4342" s="7" t="inlineStr"/>
    </row>
    <row r="4343">
      <c r="A4343" s="7" t="n">
        <v>591661</v>
      </c>
      <c r="B4343" s="12" t="inlineStr">
        <is>
          <t>7898108640609</t>
        </is>
      </c>
      <c r="C4343" s="7" t="inlineStr">
        <is>
          <t>TESTE DE GRAVIDEZ CONFIRA</t>
        </is>
      </c>
      <c r="D4343" s="7" t="inlineStr">
        <is>
          <t>UTENSILIOS</t>
        </is>
      </c>
      <c r="E4343" s="7" t="inlineStr">
        <is>
          <t>A</t>
        </is>
      </c>
      <c r="F4343" s="13" t="n">
        <v>22</v>
      </c>
      <c r="G4343" s="13" t="n">
        <v>22</v>
      </c>
      <c r="H4343" s="8" t="n">
        <v>1.15</v>
      </c>
      <c r="I4343" s="8" t="n">
        <v>1.15</v>
      </c>
      <c r="J4343" s="8" t="n">
        <v>1.15</v>
      </c>
      <c r="K4343" s="8" t="n">
        <v>1.28</v>
      </c>
      <c r="L4343" s="8" t="n"/>
      <c r="M4343" s="8" t="n"/>
      <c r="N4343" s="15" t="n">
        <v>1.21</v>
      </c>
      <c r="O4343" s="8" t="n"/>
      <c r="P4343" s="8" t="n">
        <v>1.5865</v>
      </c>
      <c r="Q4343" s="8" t="n">
        <v>1.59</v>
      </c>
      <c r="R4343" s="8" t="n">
        <v>1.49</v>
      </c>
      <c r="S4343" s="8" t="n"/>
      <c r="T4343" s="7" t="inlineStr">
        <is>
          <t>CENTROFARMA</t>
        </is>
      </c>
      <c r="U4343" s="8" t="n">
        <v>1.21</v>
      </c>
      <c r="V4343" s="14">
        <f>U4343/J4343-1</f>
        <v/>
      </c>
      <c r="W4343" s="14">
        <f>U4343/H4343-1</f>
        <v/>
      </c>
      <c r="X4343" s="16" t="inlineStr">
        <is>
          <t>ACIMA +5.2%</t>
        </is>
      </c>
      <c r="Y4343" s="7" t="inlineStr"/>
    </row>
    <row r="4344">
      <c r="A4344" s="7" t="n">
        <v>588881</v>
      </c>
      <c r="B4344" s="12" t="inlineStr">
        <is>
          <t>7898108611968</t>
        </is>
      </c>
      <c r="C4344" s="7" t="inlineStr">
        <is>
          <t>TESTE DE GRAVIDEZ CONFIRA PRATIC CANETA</t>
        </is>
      </c>
      <c r="D4344" s="7" t="inlineStr">
        <is>
          <t>UTENSILIOS</t>
        </is>
      </c>
      <c r="E4344" s="7" t="inlineStr">
        <is>
          <t>B</t>
        </is>
      </c>
      <c r="F4344" s="13" t="n">
        <v>8</v>
      </c>
      <c r="G4344" s="13" t="n">
        <v>8</v>
      </c>
      <c r="H4344" s="8" t="n">
        <v>4.91</v>
      </c>
      <c r="I4344" s="8" t="n">
        <v>4.91</v>
      </c>
      <c r="J4344" s="8" t="n">
        <v>4.91</v>
      </c>
      <c r="K4344" s="15" t="n">
        <v>5.57</v>
      </c>
      <c r="L4344" s="8" t="n"/>
      <c r="M4344" s="8" t="n"/>
      <c r="N4344" s="8" t="n">
        <v>5.97</v>
      </c>
      <c r="O4344" s="8" t="n"/>
      <c r="P4344" s="8" t="n">
        <v>6.507499999999999</v>
      </c>
      <c r="Q4344" s="8" t="n">
        <v>7.42</v>
      </c>
      <c r="R4344" s="8" t="n"/>
      <c r="S4344" s="8" t="n"/>
      <c r="T4344" s="7" t="inlineStr">
        <is>
          <t>DIMEC</t>
        </is>
      </c>
      <c r="U4344" s="8" t="n">
        <v>5.57</v>
      </c>
      <c r="V4344" s="14">
        <f>U4344/J4344-1</f>
        <v/>
      </c>
      <c r="W4344" s="14">
        <f>U4344/H4344-1</f>
        <v/>
      </c>
      <c r="X4344" s="16" t="inlineStr">
        <is>
          <t>ACIMA +13.4%</t>
        </is>
      </c>
      <c r="Y4344" s="7" t="inlineStr"/>
    </row>
    <row r="4345">
      <c r="A4345" s="7" t="n">
        <v>21903</v>
      </c>
      <c r="B4345" s="12" t="inlineStr">
        <is>
          <t>7898994475125</t>
        </is>
      </c>
      <c r="C4345" s="7" t="inlineStr">
        <is>
          <t>TESTE DE GRAVIDEZ FASTUN</t>
        </is>
      </c>
      <c r="D4345" s="7" t="inlineStr">
        <is>
          <t>UTENSILIOS</t>
        </is>
      </c>
      <c r="E4345" s="7" t="inlineStr">
        <is>
          <t>A</t>
        </is>
      </c>
      <c r="F4345" s="13" t="n">
        <v>18</v>
      </c>
      <c r="G4345" s="13" t="n">
        <v>18</v>
      </c>
      <c r="H4345" s="8" t="n">
        <v>1.15</v>
      </c>
      <c r="I4345" s="8" t="n">
        <v>1.15</v>
      </c>
      <c r="J4345" s="8" t="n">
        <v>1.15</v>
      </c>
      <c r="K4345" s="8" t="n"/>
      <c r="L4345" s="8" t="n"/>
      <c r="M4345" s="8" t="n"/>
      <c r="N4345" s="8" t="n"/>
      <c r="O4345" s="8" t="n"/>
      <c r="P4345" s="8" t="n"/>
      <c r="Q4345" s="8" t="n"/>
      <c r="R4345" s="8" t="n"/>
      <c r="S4345" s="8" t="n"/>
      <c r="T4345" s="7" t="inlineStr">
        <is>
          <t>SEM COTAÇÃO</t>
        </is>
      </c>
      <c r="U4345" s="8" t="n"/>
      <c r="V4345" s="14" t="n"/>
      <c r="W4345" s="14" t="n"/>
      <c r="X4345" s="7" t="inlineStr"/>
      <c r="Y4345" s="7" t="inlineStr"/>
    </row>
    <row r="4346">
      <c r="A4346" s="7" t="n">
        <v>21803</v>
      </c>
      <c r="B4346" s="12" t="inlineStr">
        <is>
          <t>7898960950328</t>
        </is>
      </c>
      <c r="C4346" s="7" t="inlineStr">
        <is>
          <t>TESTE DE GRAVIDEZ SEMANASUN</t>
        </is>
      </c>
      <c r="D4346" s="7" t="inlineStr">
        <is>
          <t>UTENSILIOS</t>
        </is>
      </c>
      <c r="E4346" s="7" t="inlineStr">
        <is>
          <t>B</t>
        </is>
      </c>
      <c r="F4346" s="13" t="n">
        <v>2</v>
      </c>
      <c r="G4346" s="13" t="n">
        <v>2</v>
      </c>
      <c r="H4346" s="8" t="n">
        <v>10.4</v>
      </c>
      <c r="I4346" s="8" t="n">
        <v>10.4</v>
      </c>
      <c r="J4346" s="8" t="n">
        <v>10.4</v>
      </c>
      <c r="K4346" s="8" t="n"/>
      <c r="L4346" s="8" t="n"/>
      <c r="M4346" s="8" t="n"/>
      <c r="N4346" s="8" t="n"/>
      <c r="O4346" s="8" t="n"/>
      <c r="P4346" s="8" t="n"/>
      <c r="Q4346" s="8" t="n"/>
      <c r="R4346" s="8" t="n"/>
      <c r="S4346" s="8" t="n"/>
      <c r="T4346" s="7" t="inlineStr">
        <is>
          <t>SEM COTAÇÃO</t>
        </is>
      </c>
      <c r="U4346" s="8" t="n"/>
      <c r="V4346" s="14" t="n"/>
      <c r="W4346" s="14" t="n"/>
      <c r="X4346" s="7" t="inlineStr"/>
      <c r="Y4346" s="7" t="inlineStr"/>
    </row>
    <row r="4347">
      <c r="A4347" s="7" t="n">
        <v>532741</v>
      </c>
      <c r="B4347" s="12" t="inlineStr">
        <is>
          <t>7898126050091</t>
        </is>
      </c>
      <c r="C4347" s="7" t="inlineStr">
        <is>
          <t>TESTE DE GRAVIDEZ VERIFIK C/01 UND</t>
        </is>
      </c>
      <c r="D4347" s="7" t="inlineStr">
        <is>
          <t>UTENSILIOS</t>
        </is>
      </c>
      <c r="E4347" s="7" t="inlineStr">
        <is>
          <t>B</t>
        </is>
      </c>
      <c r="F4347" s="13" t="n">
        <v>38</v>
      </c>
      <c r="G4347" s="13" t="n">
        <v>38</v>
      </c>
      <c r="H4347" s="8" t="n">
        <v>1.17</v>
      </c>
      <c r="I4347" s="8" t="n">
        <v>1.17</v>
      </c>
      <c r="J4347" s="8" t="n">
        <v>1.17</v>
      </c>
      <c r="K4347" s="15" t="n">
        <v>1.35</v>
      </c>
      <c r="L4347" s="8" t="n"/>
      <c r="M4347" s="8" t="n"/>
      <c r="N4347" s="8" t="n">
        <v>1.44</v>
      </c>
      <c r="O4347" s="8" t="n"/>
      <c r="P4347" s="8" t="n"/>
      <c r="Q4347" s="8" t="n"/>
      <c r="R4347" s="8" t="n"/>
      <c r="S4347" s="8" t="n"/>
      <c r="T4347" s="7" t="inlineStr">
        <is>
          <t>DIMEC</t>
        </is>
      </c>
      <c r="U4347" s="8" t="n">
        <v>1.35</v>
      </c>
      <c r="V4347" s="14">
        <f>U4347/J4347-1</f>
        <v/>
      </c>
      <c r="W4347" s="14">
        <f>U4347/H4347-1</f>
        <v/>
      </c>
      <c r="X4347" s="16" t="inlineStr">
        <is>
          <t>ACIMA +15.4%</t>
        </is>
      </c>
      <c r="Y4347" s="7" t="inlineStr"/>
    </row>
    <row r="4348">
      <c r="A4348" s="7" t="n">
        <v>624141</v>
      </c>
      <c r="B4348" s="12" t="inlineStr">
        <is>
          <t>7506339305142</t>
        </is>
      </c>
      <c r="C4348" s="7" t="inlineStr">
        <is>
          <t>TESTE GRAV CLEARBLUE PLUS 2UNI-DEMAIS PROD</t>
        </is>
      </c>
      <c r="D4348" s="7" t="inlineStr">
        <is>
          <t>RX - OTC</t>
        </is>
      </c>
      <c r="E4348" s="7" t="inlineStr">
        <is>
          <t>B</t>
        </is>
      </c>
      <c r="F4348" s="13" t="n">
        <v>2</v>
      </c>
      <c r="G4348" s="13" t="n">
        <v>2</v>
      </c>
      <c r="H4348" s="8" t="n">
        <v>24.7675</v>
      </c>
      <c r="I4348" s="8" t="n">
        <v>23.11</v>
      </c>
      <c r="J4348" s="8" t="n">
        <v>24.215</v>
      </c>
      <c r="K4348" s="8" t="n"/>
      <c r="L4348" s="8" t="n"/>
      <c r="M4348" s="8" t="n"/>
      <c r="N4348" s="8" t="n"/>
      <c r="O4348" s="8" t="n">
        <v>27.51</v>
      </c>
      <c r="P4348" s="15" t="n">
        <v>23.84</v>
      </c>
      <c r="Q4348" s="8" t="n"/>
      <c r="R4348" s="8" t="n"/>
      <c r="S4348" s="8" t="n"/>
      <c r="T4348" s="7" t="inlineStr">
        <is>
          <t>NAZARIA</t>
        </is>
      </c>
      <c r="U4348" s="8" t="n">
        <v>23.84</v>
      </c>
      <c r="V4348" s="14">
        <f>U4348/J4348-1</f>
        <v/>
      </c>
      <c r="W4348" s="14">
        <f>U4348/H4348-1</f>
        <v/>
      </c>
      <c r="X4348" s="17" t="inlineStr">
        <is>
          <t>OK (≤ últ. compra)</t>
        </is>
      </c>
      <c r="Y4348" s="7" t="inlineStr"/>
    </row>
    <row r="4349">
      <c r="A4349" s="7" t="n">
        <v>622921</v>
      </c>
      <c r="B4349" s="12" t="inlineStr">
        <is>
          <t>7500435137959</t>
        </is>
      </c>
      <c r="C4349" s="7" t="inlineStr">
        <is>
          <t>TESTE GRAV CLEARBLUE SAIBA ANTES-DEMAIS PROD</t>
        </is>
      </c>
      <c r="D4349" s="7" t="inlineStr">
        <is>
          <t>RX - OTC</t>
        </is>
      </c>
      <c r="E4349" s="7" t="inlineStr">
        <is>
          <t>A</t>
        </is>
      </c>
      <c r="F4349" s="13" t="n">
        <v>8</v>
      </c>
      <c r="G4349" s="13" t="n">
        <v>8</v>
      </c>
      <c r="H4349" s="8" t="n">
        <v>21.65</v>
      </c>
      <c r="I4349" s="8" t="n">
        <v>19.62</v>
      </c>
      <c r="J4349" s="8" t="n">
        <v>20.60666666666667</v>
      </c>
      <c r="K4349" s="8" t="n"/>
      <c r="L4349" s="8" t="n"/>
      <c r="M4349" s="8" t="n">
        <v>20.95</v>
      </c>
      <c r="N4349" s="8" t="n"/>
      <c r="O4349" s="8" t="n">
        <v>22.77</v>
      </c>
      <c r="P4349" s="15" t="n">
        <v>18.753</v>
      </c>
      <c r="Q4349" s="8" t="n"/>
      <c r="R4349" s="8" t="n"/>
      <c r="S4349" s="8" t="n"/>
      <c r="T4349" s="7" t="inlineStr">
        <is>
          <t>NAZARIA</t>
        </is>
      </c>
      <c r="U4349" s="8" t="n">
        <v>18.753</v>
      </c>
      <c r="V4349" s="14">
        <f>U4349/J4349-1</f>
        <v/>
      </c>
      <c r="W4349" s="14">
        <f>U4349/H4349-1</f>
        <v/>
      </c>
      <c r="X4349" s="17" t="inlineStr">
        <is>
          <t>OK (≤ menor hist.)</t>
        </is>
      </c>
      <c r="Y4349" s="7" t="inlineStr"/>
    </row>
    <row r="4350">
      <c r="A4350" s="7" t="n">
        <v>676401</v>
      </c>
      <c r="B4350" s="12" t="inlineStr">
        <is>
          <t>7896480696887</t>
        </is>
      </c>
      <c r="C4350" s="7" t="inlineStr">
        <is>
          <t>TESTE GRAVIDEZ CANETA ENLACE</t>
        </is>
      </c>
      <c r="D4350" s="7" t="inlineStr">
        <is>
          <t>UTENSILIOS</t>
        </is>
      </c>
      <c r="E4350" s="7" t="inlineStr">
        <is>
          <t>C</t>
        </is>
      </c>
      <c r="F4350" s="13" t="n">
        <v>3</v>
      </c>
      <c r="G4350" s="13" t="n">
        <v>3</v>
      </c>
      <c r="H4350" s="8" t="n">
        <v>4.49</v>
      </c>
      <c r="I4350" s="8" t="n">
        <v>4.49</v>
      </c>
      <c r="J4350" s="8" t="n">
        <v>4.49</v>
      </c>
      <c r="K4350" s="8" t="n"/>
      <c r="L4350" s="8" t="n"/>
      <c r="M4350" s="8" t="n"/>
      <c r="N4350" s="8" t="n"/>
      <c r="O4350" s="8" t="n"/>
      <c r="P4350" s="8" t="n"/>
      <c r="Q4350" s="8" t="n"/>
      <c r="R4350" s="8" t="n"/>
      <c r="S4350" s="8" t="n"/>
      <c r="T4350" s="7" t="inlineStr">
        <is>
          <t>SEM COTAÇÃO</t>
        </is>
      </c>
      <c r="U4350" s="8" t="n"/>
      <c r="V4350" s="14" t="n"/>
      <c r="W4350" s="14" t="n"/>
      <c r="X4350" s="7" t="inlineStr"/>
      <c r="Y4350" s="7" t="inlineStr"/>
    </row>
    <row r="4351">
      <c r="A4351" s="7" t="n">
        <v>640411</v>
      </c>
      <c r="B4351" s="12" t="inlineStr">
        <is>
          <t>7898126050220</t>
        </is>
      </c>
      <c r="C4351" s="7" t="inlineStr">
        <is>
          <t>TESTE GRAVIDEZ CONFIRME SEMANAS TIRA C/1</t>
        </is>
      </c>
      <c r="D4351" s="7" t="inlineStr">
        <is>
          <t>UTENSILIOS</t>
        </is>
      </c>
      <c r="E4351" s="7" t="inlineStr">
        <is>
          <t>C</t>
        </is>
      </c>
      <c r="F4351" s="13" t="n">
        <v>2</v>
      </c>
      <c r="G4351" s="13" t="n">
        <v>2</v>
      </c>
      <c r="H4351" s="8" t="n">
        <v>10.85</v>
      </c>
      <c r="I4351" s="8" t="n">
        <v>10.85</v>
      </c>
      <c r="J4351" s="8" t="n">
        <v>10.85</v>
      </c>
      <c r="K4351" s="15" t="n">
        <v>7.71</v>
      </c>
      <c r="L4351" s="8" t="n"/>
      <c r="M4351" s="8" t="n"/>
      <c r="N4351" s="8" t="n">
        <v>12.57</v>
      </c>
      <c r="O4351" s="8" t="n"/>
      <c r="P4351" s="8" t="n"/>
      <c r="Q4351" s="8" t="n">
        <v>10.22</v>
      </c>
      <c r="R4351" s="8" t="n"/>
      <c r="S4351" s="8" t="n"/>
      <c r="T4351" s="7" t="inlineStr">
        <is>
          <t>DIMEC</t>
        </is>
      </c>
      <c r="U4351" s="8" t="n">
        <v>7.71</v>
      </c>
      <c r="V4351" s="14">
        <f>U4351/J4351-1</f>
        <v/>
      </c>
      <c r="W4351" s="14">
        <f>U4351/H4351-1</f>
        <v/>
      </c>
      <c r="X4351" s="17" t="inlineStr">
        <is>
          <t>OK (≤ menor hist.)</t>
        </is>
      </c>
      <c r="Y4351" s="7" t="inlineStr"/>
    </row>
    <row r="4352">
      <c r="A4352" s="7" t="n">
        <v>4313</v>
      </c>
      <c r="B4352" s="12" t="inlineStr">
        <is>
          <t>7898226050359</t>
        </is>
      </c>
      <c r="C4352" s="7" t="inlineStr">
        <is>
          <t>TESTE GRAVIDEZ CXT 01 GRAVICHECK</t>
        </is>
      </c>
      <c r="D4352" s="7" t="inlineStr">
        <is>
          <t>UTENSILIOS</t>
        </is>
      </c>
      <c r="E4352" s="7" t="inlineStr">
        <is>
          <t>B</t>
        </is>
      </c>
      <c r="F4352" s="13" t="n">
        <v>102</v>
      </c>
      <c r="G4352" s="13" t="n">
        <v>102</v>
      </c>
      <c r="H4352" s="8" t="n">
        <v>1.06</v>
      </c>
      <c r="I4352" s="8" t="n">
        <v>1.06</v>
      </c>
      <c r="J4352" s="8" t="n">
        <v>1.06</v>
      </c>
      <c r="K4352" s="8" t="n"/>
      <c r="L4352" s="8" t="n"/>
      <c r="M4352" s="8" t="n"/>
      <c r="N4352" s="8" t="n"/>
      <c r="O4352" s="8" t="n"/>
      <c r="P4352" s="8" t="n"/>
      <c r="Q4352" s="8" t="n"/>
      <c r="R4352" s="8" t="n"/>
      <c r="S4352" s="8" t="n"/>
      <c r="T4352" s="7" t="inlineStr">
        <is>
          <t>SEM COTAÇÃO</t>
        </is>
      </c>
      <c r="U4352" s="8" t="n"/>
      <c r="V4352" s="14" t="n"/>
      <c r="W4352" s="14" t="n"/>
      <c r="X4352" s="7" t="inlineStr"/>
      <c r="Y4352" s="7" t="inlineStr"/>
    </row>
    <row r="4353">
      <c r="A4353" s="7" t="n">
        <v>676501</v>
      </c>
      <c r="B4353" s="12" t="inlineStr">
        <is>
          <t>7896480696870</t>
        </is>
      </c>
      <c r="C4353" s="7" t="inlineStr">
        <is>
          <t>TESTE GRAVIDEZ TIRA ENLACE</t>
        </is>
      </c>
      <c r="D4353" s="7" t="inlineStr">
        <is>
          <t>UTENSILIOS</t>
        </is>
      </c>
      <c r="E4353" s="7" t="inlineStr">
        <is>
          <t>C</t>
        </is>
      </c>
      <c r="F4353" s="13" t="n">
        <v>2</v>
      </c>
      <c r="G4353" s="13" t="n">
        <v>2</v>
      </c>
      <c r="H4353" s="8" t="n">
        <v>1.39</v>
      </c>
      <c r="I4353" s="8" t="n">
        <v>1.39</v>
      </c>
      <c r="J4353" s="8" t="n">
        <v>1.39</v>
      </c>
      <c r="K4353" s="8" t="n"/>
      <c r="L4353" s="8" t="n"/>
      <c r="M4353" s="8" t="n"/>
      <c r="N4353" s="8" t="n"/>
      <c r="O4353" s="8" t="n"/>
      <c r="P4353" s="8" t="n"/>
      <c r="Q4353" s="8" t="n"/>
      <c r="R4353" s="8" t="n"/>
      <c r="S4353" s="8" t="n"/>
      <c r="T4353" s="7" t="inlineStr">
        <is>
          <t>SEM COTAÇÃO</t>
        </is>
      </c>
      <c r="U4353" s="8" t="n"/>
      <c r="V4353" s="14" t="n"/>
      <c r="W4353" s="14" t="n"/>
      <c r="X4353" s="7" t="inlineStr"/>
      <c r="Y4353" s="7" t="inlineStr"/>
    </row>
    <row r="4354">
      <c r="A4354" s="7" t="n">
        <v>180141</v>
      </c>
      <c r="B4354" s="12" t="inlineStr">
        <is>
          <t>7896862970031</t>
        </is>
      </c>
      <c r="C4354" s="7" t="inlineStr">
        <is>
          <t>TETRAMED 500MG CART C/ 4CP</t>
        </is>
      </c>
      <c r="D4354" s="7" t="inlineStr">
        <is>
          <t>SIMILAR - ATB</t>
        </is>
      </c>
      <c r="E4354" s="7" t="inlineStr">
        <is>
          <t>C</t>
        </is>
      </c>
      <c r="F4354" s="13" t="n">
        <v>1</v>
      </c>
      <c r="G4354" s="13" t="n">
        <v>21</v>
      </c>
      <c r="H4354" s="8" t="n">
        <v>1.4796</v>
      </c>
      <c r="I4354" s="8" t="n">
        <v>1.4796</v>
      </c>
      <c r="J4354" s="8" t="n">
        <v>1.4796</v>
      </c>
      <c r="K4354" s="15" t="n">
        <v>1.6648</v>
      </c>
      <c r="L4354" s="8" t="n"/>
      <c r="M4354" s="8" t="n"/>
      <c r="N4354" s="8" t="n">
        <v>44.44</v>
      </c>
      <c r="O4354" s="8" t="n"/>
      <c r="P4354" s="8" t="n">
        <v>43.51031</v>
      </c>
      <c r="Q4354" s="8" t="n">
        <v>45.98</v>
      </c>
      <c r="R4354" s="8" t="n">
        <v>42.18</v>
      </c>
      <c r="S4354" s="8" t="n"/>
      <c r="T4354" s="7" t="inlineStr">
        <is>
          <t>DIMEC</t>
        </is>
      </c>
      <c r="U4354" s="8" t="n">
        <v>1.6648</v>
      </c>
      <c r="V4354" s="14">
        <f>U4354/J4354-1</f>
        <v/>
      </c>
      <c r="W4354" s="14">
        <f>U4354/H4354-1</f>
        <v/>
      </c>
      <c r="X4354" s="16" t="inlineStr">
        <is>
          <t>ACIMA +12.5%</t>
        </is>
      </c>
      <c r="Y4354" s="7" t="inlineStr">
        <is>
          <t>DIMEC: 1 emb = 25 un; CENTROFARMA: conferir emb.; NAZARIA: conferir emb.; MEDCENTRO: conferir emb.; BRASFARMA: conferir emb.</t>
        </is>
      </c>
    </row>
    <row r="4355">
      <c r="A4355" s="7" t="n">
        <v>568541</v>
      </c>
      <c r="B4355" s="12" t="inlineStr">
        <is>
          <t>7896862970208</t>
        </is>
      </c>
      <c r="C4355" s="7" t="inlineStr">
        <is>
          <t>TETRAMED 500MG CX100 CAP (10X10)</t>
        </is>
      </c>
      <c r="D4355" s="7" t="inlineStr">
        <is>
          <t>SIMILAR</t>
        </is>
      </c>
      <c r="E4355" s="7" t="inlineStr">
        <is>
          <t>C</t>
        </is>
      </c>
      <c r="F4355" s="13" t="n">
        <v>1</v>
      </c>
      <c r="G4355" s="13" t="n">
        <v>6</v>
      </c>
      <c r="H4355" s="8" t="n">
        <v>3.69</v>
      </c>
      <c r="I4355" s="8" t="n">
        <v>3.69</v>
      </c>
      <c r="J4355" s="8" t="n">
        <v>3.69</v>
      </c>
      <c r="K4355" s="15" t="n">
        <v>4.372</v>
      </c>
      <c r="L4355" s="8" t="n">
        <v>44.75</v>
      </c>
      <c r="M4355" s="8" t="n"/>
      <c r="N4355" s="8" t="n">
        <v>44.87</v>
      </c>
      <c r="O4355" s="8" t="n"/>
      <c r="P4355" s="8" t="n">
        <v>43.11002000000001</v>
      </c>
      <c r="Q4355" s="8" t="n"/>
      <c r="R4355" s="8" t="n">
        <v>41.8</v>
      </c>
      <c r="S4355" s="8" t="n"/>
      <c r="T4355" s="7" t="inlineStr">
        <is>
          <t>DIMEC</t>
        </is>
      </c>
      <c r="U4355" s="8" t="n">
        <v>4.372</v>
      </c>
      <c r="V4355" s="14">
        <f>U4355/J4355-1</f>
        <v/>
      </c>
      <c r="W4355" s="14">
        <f>U4355/H4355-1</f>
        <v/>
      </c>
      <c r="X4355" s="16" t="inlineStr">
        <is>
          <t>ACIMA +18.5%</t>
        </is>
      </c>
      <c r="Y4355" s="7" t="inlineStr">
        <is>
          <t>DIMEC: 1 emb = 10 un; PLUSFARMA: conferir emb.; CENTROFARMA: conferir emb.; NAZARIA: conferir emb.; BRASFARMA: conferir emb.</t>
        </is>
      </c>
    </row>
    <row r="4356">
      <c r="A4356" s="7" t="n">
        <v>661471</v>
      </c>
      <c r="B4356" s="12" t="inlineStr">
        <is>
          <t>7897104907181</t>
        </is>
      </c>
      <c r="C4356" s="7" t="inlineStr">
        <is>
          <t>THERMO ABDOMEN BODYACTION 120 TABLETES</t>
        </is>
      </c>
      <c r="D4356" s="7" t="inlineStr">
        <is>
          <t>SUPLEMENTO</t>
        </is>
      </c>
      <c r="E4356" s="7" t="inlineStr">
        <is>
          <t>B</t>
        </is>
      </c>
      <c r="F4356" s="13" t="n">
        <v>1</v>
      </c>
      <c r="G4356" s="13" t="n">
        <v>1</v>
      </c>
      <c r="H4356" s="8" t="n">
        <v>71.26000000000001</v>
      </c>
      <c r="I4356" s="8" t="n">
        <v>71.26000000000001</v>
      </c>
      <c r="J4356" s="8" t="n">
        <v>71.26000000000001</v>
      </c>
      <c r="K4356" s="8" t="n"/>
      <c r="L4356" s="8" t="n"/>
      <c r="M4356" s="8" t="n"/>
      <c r="N4356" s="8" t="n"/>
      <c r="O4356" s="8" t="n"/>
      <c r="P4356" s="8" t="n"/>
      <c r="Q4356" s="8" t="n"/>
      <c r="R4356" s="8" t="n"/>
      <c r="S4356" s="8" t="n"/>
      <c r="T4356" s="7" t="inlineStr">
        <is>
          <t>SEM COTAÇÃO</t>
        </is>
      </c>
      <c r="U4356" s="8" t="n"/>
      <c r="V4356" s="14" t="n"/>
      <c r="W4356" s="14" t="n"/>
      <c r="X4356" s="7" t="inlineStr"/>
      <c r="Y4356" s="7" t="inlineStr"/>
    </row>
    <row r="4357">
      <c r="A4357" s="7" t="n">
        <v>661461</v>
      </c>
      <c r="B4357" s="12" t="inlineStr">
        <is>
          <t>7898708731516</t>
        </is>
      </c>
      <c r="C4357" s="7" t="inlineStr">
        <is>
          <t>THERMO FLAME CAVEIRAPRETA 120 TABLETES</t>
        </is>
      </c>
      <c r="D4357" s="7" t="inlineStr">
        <is>
          <t>SUPLEMENTO</t>
        </is>
      </c>
      <c r="E4357" s="7" t="inlineStr">
        <is>
          <t>B</t>
        </is>
      </c>
      <c r="F4357" s="13" t="n">
        <v>1</v>
      </c>
      <c r="G4357" s="13" t="n">
        <v>1</v>
      </c>
      <c r="H4357" s="8" t="n">
        <v>39.65</v>
      </c>
      <c r="I4357" s="8" t="n">
        <v>39.65</v>
      </c>
      <c r="J4357" s="8" t="n">
        <v>39.65</v>
      </c>
      <c r="K4357" s="8" t="n"/>
      <c r="L4357" s="8" t="n"/>
      <c r="M4357" s="8" t="n"/>
      <c r="N4357" s="8" t="n"/>
      <c r="O4357" s="8" t="n"/>
      <c r="P4357" s="8" t="n"/>
      <c r="Q4357" s="8" t="n"/>
      <c r="R4357" s="8" t="n"/>
      <c r="S4357" s="15" t="n">
        <v>22</v>
      </c>
      <c r="T4357" s="7" t="inlineStr">
        <is>
          <t>AT_SUPLEMENTOS</t>
        </is>
      </c>
      <c r="U4357" s="8" t="n">
        <v>22</v>
      </c>
      <c r="V4357" s="14">
        <f>U4357/J4357-1</f>
        <v/>
      </c>
      <c r="W4357" s="14">
        <f>U4357/H4357-1</f>
        <v/>
      </c>
      <c r="X4357" s="17" t="inlineStr">
        <is>
          <t>OK (≤ menor hist.)</t>
        </is>
      </c>
      <c r="Y4357" s="7" t="inlineStr"/>
    </row>
    <row r="4358">
      <c r="A4358" s="7" t="n">
        <v>461941</v>
      </c>
      <c r="B4358" s="12" t="inlineStr">
        <is>
          <t>7893454100715</t>
        </is>
      </c>
      <c r="C4358" s="7" t="inlineStr">
        <is>
          <t>TIADOL 50MG/G POM DERM BG 20G</t>
        </is>
      </c>
      <c r="D4358" s="7" t="inlineStr">
        <is>
          <t>SIMILAR</t>
        </is>
      </c>
      <c r="E4358" s="7" t="inlineStr">
        <is>
          <t>A</t>
        </is>
      </c>
      <c r="F4358" s="13" t="n">
        <v>3</v>
      </c>
      <c r="G4358" s="13" t="n">
        <v>3</v>
      </c>
      <c r="H4358" s="8" t="n">
        <v>13.36</v>
      </c>
      <c r="I4358" s="8" t="n">
        <v>13.36</v>
      </c>
      <c r="J4358" s="8" t="n">
        <v>13.36</v>
      </c>
      <c r="K4358" s="15" t="n">
        <v>13.89</v>
      </c>
      <c r="L4358" s="8" t="n"/>
      <c r="M4358" s="8" t="n"/>
      <c r="N4358" s="8" t="n">
        <v>14.07</v>
      </c>
      <c r="O4358" s="8" t="n"/>
      <c r="P4358" s="8" t="n"/>
      <c r="Q4358" s="8" t="n"/>
      <c r="R4358" s="8" t="n">
        <v>17.95</v>
      </c>
      <c r="S4358" s="8" t="n"/>
      <c r="T4358" s="7" t="inlineStr">
        <is>
          <t>DIMEC</t>
        </is>
      </c>
      <c r="U4358" s="8" t="n">
        <v>13.89</v>
      </c>
      <c r="V4358" s="14">
        <f>U4358/J4358-1</f>
        <v/>
      </c>
      <c r="W4358" s="14">
        <f>U4358/H4358-1</f>
        <v/>
      </c>
      <c r="X4358" s="16" t="inlineStr">
        <is>
          <t>ACIMA +4.0%</t>
        </is>
      </c>
      <c r="Y4358" s="7" t="inlineStr"/>
    </row>
    <row r="4359">
      <c r="A4359" s="7" t="n">
        <v>462441</v>
      </c>
      <c r="B4359" s="12" t="inlineStr">
        <is>
          <t>7895296132039</t>
        </is>
      </c>
      <c r="C4359" s="7" t="inlineStr">
        <is>
          <t>TIBOLONA 2,5MG  CX 30 COMP</t>
        </is>
      </c>
      <c r="D4359" s="7" t="inlineStr">
        <is>
          <t>GENERICO</t>
        </is>
      </c>
      <c r="E4359" s="7" t="inlineStr">
        <is>
          <t>A</t>
        </is>
      </c>
      <c r="F4359" s="13" t="n">
        <v>3</v>
      </c>
      <c r="G4359" s="13" t="n">
        <v>3</v>
      </c>
      <c r="H4359" s="8" t="n">
        <v>25.2</v>
      </c>
      <c r="I4359" s="8" t="n">
        <v>24.21</v>
      </c>
      <c r="J4359" s="8" t="n">
        <v>24.54</v>
      </c>
      <c r="K4359" s="8" t="n">
        <v>25.17</v>
      </c>
      <c r="L4359" s="15" t="n">
        <v>24.85</v>
      </c>
      <c r="M4359" s="8" t="n"/>
      <c r="N4359" s="8" t="n"/>
      <c r="O4359" s="8" t="n"/>
      <c r="P4359" s="8" t="n">
        <v>65.64</v>
      </c>
      <c r="Q4359" s="8" t="n">
        <v>26.87</v>
      </c>
      <c r="R4359" s="8" t="n">
        <v>25.26</v>
      </c>
      <c r="S4359" s="8" t="n"/>
      <c r="T4359" s="7" t="inlineStr">
        <is>
          <t>PLUSFARMA</t>
        </is>
      </c>
      <c r="U4359" s="8" t="n">
        <v>24.85</v>
      </c>
      <c r="V4359" s="14">
        <f>U4359/J4359-1</f>
        <v/>
      </c>
      <c r="W4359" s="14">
        <f>U4359/H4359-1</f>
        <v/>
      </c>
      <c r="X4359" s="17" t="inlineStr">
        <is>
          <t>OK (≤ últ. compra)</t>
        </is>
      </c>
      <c r="Y4359" s="7" t="inlineStr">
        <is>
          <t>NAZARIA: sem estoque; conferir emb.</t>
        </is>
      </c>
    </row>
    <row r="4360">
      <c r="A4360" s="7" t="n">
        <v>666471</v>
      </c>
      <c r="B4360" s="12" t="inlineStr">
        <is>
          <t>78946033</t>
        </is>
      </c>
      <c r="C4360" s="7" t="inlineStr">
        <is>
          <t>TIC TAC CITRUS MIX T30 14,5G CR 14X14,5GR QTD. 3.00 CR</t>
        </is>
      </c>
      <c r="D4360" s="7" t="inlineStr">
        <is>
          <t>CONVENIENCIA</t>
        </is>
      </c>
      <c r="E4360" s="7" t="inlineStr">
        <is>
          <t>C</t>
        </is>
      </c>
      <c r="F4360" s="13" t="n">
        <v>2</v>
      </c>
      <c r="G4360" s="13" t="n">
        <v>2</v>
      </c>
      <c r="H4360" s="8" t="n">
        <v>2.62</v>
      </c>
      <c r="I4360" s="8" t="n">
        <v>2.62</v>
      </c>
      <c r="J4360" s="8" t="n">
        <v>2.62</v>
      </c>
      <c r="K4360" s="8" t="n"/>
      <c r="L4360" s="8" t="n"/>
      <c r="M4360" s="8" t="n"/>
      <c r="N4360" s="8" t="n"/>
      <c r="O4360" s="8" t="n"/>
      <c r="P4360" s="8" t="n"/>
      <c r="Q4360" s="8" t="n"/>
      <c r="R4360" s="8" t="n"/>
      <c r="S4360" s="8" t="n"/>
      <c r="T4360" s="7" t="inlineStr">
        <is>
          <t>SEM COTAÇÃO</t>
        </is>
      </c>
      <c r="U4360" s="8" t="n"/>
      <c r="V4360" s="14" t="n"/>
      <c r="W4360" s="14" t="n"/>
      <c r="X4360" s="7" t="inlineStr"/>
      <c r="Y4360" s="7" t="inlineStr"/>
    </row>
    <row r="4361">
      <c r="A4361" s="7" t="n">
        <v>599701</v>
      </c>
      <c r="B4361" s="12" t="inlineStr">
        <is>
          <t>78945463</t>
        </is>
      </c>
      <c r="C4361" s="7" t="inlineStr">
        <is>
          <t>TIC TAC FRUTAS T30 14,5G</t>
        </is>
      </c>
      <c r="D4361" s="7" t="inlineStr">
        <is>
          <t>CONVENIENCIA</t>
        </is>
      </c>
      <c r="E4361" s="7" t="inlineStr">
        <is>
          <t>C</t>
        </is>
      </c>
      <c r="F4361" s="13" t="n">
        <v>1</v>
      </c>
      <c r="G4361" s="13" t="n">
        <v>1</v>
      </c>
      <c r="H4361" s="8" t="n">
        <v>2.62</v>
      </c>
      <c r="I4361" s="8" t="n">
        <v>2.62</v>
      </c>
      <c r="J4361" s="8" t="n">
        <v>2.62</v>
      </c>
      <c r="K4361" s="8" t="n"/>
      <c r="L4361" s="8" t="n"/>
      <c r="M4361" s="8" t="n"/>
      <c r="N4361" s="8" t="n"/>
      <c r="O4361" s="8" t="n"/>
      <c r="P4361" s="8" t="n"/>
      <c r="Q4361" s="8" t="n"/>
      <c r="R4361" s="8" t="n"/>
      <c r="S4361" s="8" t="n"/>
      <c r="T4361" s="7" t="inlineStr">
        <is>
          <t>SEM COTAÇÃO</t>
        </is>
      </c>
      <c r="U4361" s="8" t="n"/>
      <c r="V4361" s="14" t="n"/>
      <c r="W4361" s="14" t="n"/>
      <c r="X4361" s="7" t="inlineStr"/>
      <c r="Y4361" s="7" t="inlineStr"/>
    </row>
    <row r="4362">
      <c r="A4362" s="7" t="n">
        <v>605061</v>
      </c>
      <c r="B4362" s="12" t="inlineStr">
        <is>
          <t>78945494</t>
        </is>
      </c>
      <c r="C4362" s="7" t="inlineStr">
        <is>
          <t>TIC TAC MENTA FRESH T30 14,5G CR 14XUN QTD. 1.00 CR</t>
        </is>
      </c>
      <c r="D4362" s="7" t="inlineStr">
        <is>
          <t>CONVENIENCIA</t>
        </is>
      </c>
      <c r="E4362" s="7" t="inlineStr">
        <is>
          <t>C</t>
        </is>
      </c>
      <c r="F4362" s="13" t="n">
        <v>2</v>
      </c>
      <c r="G4362" s="13" t="n">
        <v>2</v>
      </c>
      <c r="H4362" s="8" t="n">
        <v>2.62</v>
      </c>
      <c r="I4362" s="8" t="n">
        <v>2.62</v>
      </c>
      <c r="J4362" s="8" t="n">
        <v>2.62</v>
      </c>
      <c r="K4362" s="8" t="n"/>
      <c r="L4362" s="8" t="n"/>
      <c r="M4362" s="8" t="n"/>
      <c r="N4362" s="8" t="n"/>
      <c r="O4362" s="8" t="n"/>
      <c r="P4362" s="8" t="n"/>
      <c r="Q4362" s="8" t="n"/>
      <c r="R4362" s="8" t="n"/>
      <c r="S4362" s="8" t="n"/>
      <c r="T4362" s="7" t="inlineStr">
        <is>
          <t>SEM COTAÇÃO</t>
        </is>
      </c>
      <c r="U4362" s="8" t="n"/>
      <c r="V4362" s="14" t="n"/>
      <c r="W4362" s="14" t="n"/>
      <c r="X4362" s="7" t="inlineStr"/>
      <c r="Y4362" s="7" t="inlineStr"/>
    </row>
    <row r="4363">
      <c r="A4363" s="7" t="n">
        <v>630121</v>
      </c>
      <c r="B4363" s="12" t="inlineStr">
        <is>
          <t>7891350038927</t>
        </is>
      </c>
      <c r="C4363" s="7" t="inlineStr">
        <is>
          <t>TINT BIO AMP BOZZANO PRETO</t>
        </is>
      </c>
      <c r="D4363" s="7" t="inlineStr">
        <is>
          <t>TINTAS/DESCOLORANTES</t>
        </is>
      </c>
      <c r="E4363" s="7" t="inlineStr">
        <is>
          <t>C</t>
        </is>
      </c>
      <c r="F4363" s="13" t="n">
        <v>1</v>
      </c>
      <c r="G4363" s="13" t="n">
        <v>1</v>
      </c>
      <c r="H4363" s="8" t="n">
        <v>19.13</v>
      </c>
      <c r="I4363" s="8" t="n">
        <v>19.13</v>
      </c>
      <c r="J4363" s="8" t="n">
        <v>19.13</v>
      </c>
      <c r="K4363" s="8" t="n"/>
      <c r="L4363" s="8" t="n"/>
      <c r="M4363" s="8" t="n"/>
      <c r="N4363" s="8" t="n"/>
      <c r="O4363" s="8" t="n"/>
      <c r="P4363" s="8" t="n"/>
      <c r="Q4363" s="8" t="n"/>
      <c r="R4363" s="8" t="n"/>
      <c r="S4363" s="8" t="n"/>
      <c r="T4363" s="7" t="inlineStr">
        <is>
          <t>SEM COTAÇÃO</t>
        </is>
      </c>
      <c r="U4363" s="8" t="n"/>
      <c r="V4363" s="14" t="n"/>
      <c r="W4363" s="14" t="n"/>
      <c r="X4363" s="7" t="inlineStr"/>
      <c r="Y4363" s="7" t="inlineStr"/>
    </row>
    <row r="4364">
      <c r="A4364" s="7" t="n">
        <v>630111</v>
      </c>
      <c r="B4364" s="12" t="inlineStr">
        <is>
          <t>7891350038897</t>
        </is>
      </c>
      <c r="C4364" s="7" t="inlineStr">
        <is>
          <t>TINT BIO&amp;AMP BOZZANO CAST CLARO</t>
        </is>
      </c>
      <c r="D4364" s="7" t="inlineStr">
        <is>
          <t>TINTAS/DESCOLORANTES</t>
        </is>
      </c>
      <c r="E4364" s="7" t="inlineStr">
        <is>
          <t>C</t>
        </is>
      </c>
      <c r="F4364" s="13" t="n">
        <v>1</v>
      </c>
      <c r="G4364" s="13" t="n">
        <v>1</v>
      </c>
      <c r="H4364" s="8" t="n">
        <v>19.13</v>
      </c>
      <c r="I4364" s="8" t="n">
        <v>19.13</v>
      </c>
      <c r="J4364" s="8" t="n">
        <v>19.13</v>
      </c>
      <c r="K4364" s="8" t="n"/>
      <c r="L4364" s="8" t="n"/>
      <c r="M4364" s="8" t="n"/>
      <c r="N4364" s="8" t="n"/>
      <c r="O4364" s="8" t="n"/>
      <c r="P4364" s="8" t="n"/>
      <c r="Q4364" s="8" t="n"/>
      <c r="R4364" s="8" t="n"/>
      <c r="S4364" s="8" t="n"/>
      <c r="T4364" s="7" t="inlineStr">
        <is>
          <t>SEM COTAÇÃO</t>
        </is>
      </c>
      <c r="U4364" s="8" t="n"/>
      <c r="V4364" s="14" t="n"/>
      <c r="W4364" s="14" t="n"/>
      <c r="X4364" s="7" t="inlineStr"/>
      <c r="Y4364" s="7" t="inlineStr"/>
    </row>
    <row r="4365">
      <c r="A4365" s="7" t="n">
        <v>650471</v>
      </c>
      <c r="B4365" s="12" t="inlineStr">
        <is>
          <t>7891350038903</t>
        </is>
      </c>
      <c r="C4365" s="7" t="inlineStr">
        <is>
          <t>TINT BIOCOLOR CASTANHO MEDIO</t>
        </is>
      </c>
      <c r="D4365" s="7" t="inlineStr">
        <is>
          <t>TINTAS/DESCOLORANTES</t>
        </is>
      </c>
      <c r="E4365" s="7" t="inlineStr">
        <is>
          <t>C</t>
        </is>
      </c>
      <c r="F4365" s="13" t="n">
        <v>1</v>
      </c>
      <c r="G4365" s="13" t="n">
        <v>1</v>
      </c>
      <c r="H4365" s="8" t="n"/>
      <c r="I4365" s="8" t="n"/>
      <c r="J4365" s="8" t="n"/>
      <c r="K4365" s="8" t="n"/>
      <c r="L4365" s="8" t="n"/>
      <c r="M4365" s="8" t="n"/>
      <c r="N4365" s="8" t="n"/>
      <c r="O4365" s="8" t="n"/>
      <c r="P4365" s="8" t="n"/>
      <c r="Q4365" s="8" t="n"/>
      <c r="R4365" s="8" t="n"/>
      <c r="S4365" s="8" t="n"/>
      <c r="T4365" s="7" t="inlineStr">
        <is>
          <t>SEM COTAÇÃO</t>
        </is>
      </c>
      <c r="U4365" s="8" t="n"/>
      <c r="V4365" s="14" t="n"/>
      <c r="W4365" s="14" t="n"/>
      <c r="X4365" s="7" t="inlineStr"/>
      <c r="Y4365" s="7" t="inlineStr"/>
    </row>
    <row r="4366">
      <c r="A4366" s="7" t="n">
        <v>672181</v>
      </c>
      <c r="B4366" s="12" t="inlineStr">
        <is>
          <t>7896014183067</t>
        </is>
      </c>
      <c r="C4366" s="7" t="inlineStr">
        <is>
          <t>TINT CASTING CASTANHO ESCURO 300-DEMAIS PROD</t>
        </is>
      </c>
      <c r="D4366" s="7" t="inlineStr">
        <is>
          <t>TINTAS/DESCOLORANTES</t>
        </is>
      </c>
      <c r="E4366" s="7" t="inlineStr">
        <is>
          <t>A</t>
        </is>
      </c>
      <c r="F4366" s="13" t="n">
        <v>2</v>
      </c>
      <c r="G4366" s="13" t="n">
        <v>2</v>
      </c>
      <c r="H4366" s="8" t="n">
        <v>25.3429</v>
      </c>
      <c r="I4366" s="8" t="n">
        <v>25.3429</v>
      </c>
      <c r="J4366" s="8" t="n">
        <v>25.3429</v>
      </c>
      <c r="K4366" s="8" t="n"/>
      <c r="L4366" s="8" t="n"/>
      <c r="M4366" s="8" t="n"/>
      <c r="N4366" s="8" t="n"/>
      <c r="O4366" s="8" t="n"/>
      <c r="P4366" s="15" t="n">
        <v>28.51</v>
      </c>
      <c r="Q4366" s="8" t="n"/>
      <c r="R4366" s="8" t="n"/>
      <c r="S4366" s="8" t="n"/>
      <c r="T4366" s="7" t="inlineStr">
        <is>
          <t>NAZARIA</t>
        </is>
      </c>
      <c r="U4366" s="8" t="n">
        <v>28.51</v>
      </c>
      <c r="V4366" s="14">
        <f>U4366/J4366-1</f>
        <v/>
      </c>
      <c r="W4366" s="14">
        <f>U4366/H4366-1</f>
        <v/>
      </c>
      <c r="X4366" s="16" t="inlineStr">
        <is>
          <t>ACIMA +12.5%</t>
        </is>
      </c>
      <c r="Y4366" s="7" t="inlineStr"/>
    </row>
    <row r="4367">
      <c r="A4367" s="7" t="n">
        <v>672211</v>
      </c>
      <c r="B4367" s="12" t="inlineStr">
        <is>
          <t>7896014183210</t>
        </is>
      </c>
      <c r="C4367" s="7" t="inlineStr">
        <is>
          <t>TINT CASTING LOURO NATURAL 700-DEMAIS PROD</t>
        </is>
      </c>
      <c r="D4367" s="7" t="inlineStr">
        <is>
          <t>TINTAS/DESCOLORANTES</t>
        </is>
      </c>
      <c r="E4367" s="7" t="inlineStr">
        <is>
          <t>B</t>
        </is>
      </c>
      <c r="F4367" s="13" t="n">
        <v>5</v>
      </c>
      <c r="G4367" s="13" t="n">
        <v>5</v>
      </c>
      <c r="H4367" s="8" t="n">
        <v>26.1</v>
      </c>
      <c r="I4367" s="8" t="n">
        <v>26.1</v>
      </c>
      <c r="J4367" s="8" t="n">
        <v>26.1</v>
      </c>
      <c r="K4367" s="8" t="n"/>
      <c r="L4367" s="8" t="n"/>
      <c r="M4367" s="8" t="n"/>
      <c r="N4367" s="8" t="n"/>
      <c r="O4367" s="8" t="n"/>
      <c r="P4367" s="15" t="n">
        <v>28.51</v>
      </c>
      <c r="Q4367" s="8" t="n"/>
      <c r="R4367" s="8" t="n"/>
      <c r="S4367" s="8" t="n"/>
      <c r="T4367" s="7" t="inlineStr">
        <is>
          <t>NAZARIA</t>
        </is>
      </c>
      <c r="U4367" s="8" t="n">
        <v>28.51</v>
      </c>
      <c r="V4367" s="14">
        <f>U4367/J4367-1</f>
        <v/>
      </c>
      <c r="W4367" s="14">
        <f>U4367/H4367-1</f>
        <v/>
      </c>
      <c r="X4367" s="16" t="inlineStr">
        <is>
          <t>ACIMA +9.2%</t>
        </is>
      </c>
      <c r="Y4367" s="7" t="inlineStr"/>
    </row>
    <row r="4368">
      <c r="A4368" s="7" t="n">
        <v>668591</v>
      </c>
      <c r="B4368" s="12" t="inlineStr">
        <is>
          <t>7896014183043</t>
        </is>
      </c>
      <c r="C4368" s="7" t="inlineStr">
        <is>
          <t>TINT CASTING PRETO 200-DEMAIS PROD</t>
        </is>
      </c>
      <c r="D4368" s="7" t="inlineStr">
        <is>
          <t>TINTAS/DESCOLORANTES</t>
        </is>
      </c>
      <c r="E4368" s="7" t="inlineStr">
        <is>
          <t>A</t>
        </is>
      </c>
      <c r="F4368" s="13" t="n">
        <v>2</v>
      </c>
      <c r="G4368" s="13" t="n">
        <v>2</v>
      </c>
      <c r="H4368" s="8" t="n">
        <v>27.57</v>
      </c>
      <c r="I4368" s="8" t="n">
        <v>22.45</v>
      </c>
      <c r="J4368" s="8" t="n">
        <v>25.86333333333333</v>
      </c>
      <c r="K4368" s="8" t="n"/>
      <c r="L4368" s="8" t="n"/>
      <c r="M4368" s="8" t="n"/>
      <c r="N4368" s="8" t="n"/>
      <c r="O4368" s="8" t="n"/>
      <c r="P4368" s="15" t="n">
        <v>28.51</v>
      </c>
      <c r="Q4368" s="8" t="n"/>
      <c r="R4368" s="8" t="n"/>
      <c r="S4368" s="8" t="n"/>
      <c r="T4368" s="7" t="inlineStr">
        <is>
          <t>NAZARIA</t>
        </is>
      </c>
      <c r="U4368" s="8" t="n">
        <v>28.51</v>
      </c>
      <c r="V4368" s="14">
        <f>U4368/J4368-1</f>
        <v/>
      </c>
      <c r="W4368" s="14">
        <f>U4368/H4368-1</f>
        <v/>
      </c>
      <c r="X4368" s="16" t="inlineStr">
        <is>
          <t>ACIMA +3.4%</t>
        </is>
      </c>
      <c r="Y4368" s="7" t="inlineStr"/>
    </row>
    <row r="4369">
      <c r="A4369" s="7" t="n">
        <v>672231</v>
      </c>
      <c r="B4369" s="12" t="inlineStr">
        <is>
          <t>7898587762564</t>
        </is>
      </c>
      <c r="C4369" s="7" t="inlineStr">
        <is>
          <t>TINT CASTING PRETO NOITE 100-DEMAIS PROD</t>
        </is>
      </c>
      <c r="D4369" s="7" t="inlineStr">
        <is>
          <t>TINTAS/DESCOLORANTES</t>
        </is>
      </c>
      <c r="E4369" s="7" t="inlineStr">
        <is>
          <t>B</t>
        </is>
      </c>
      <c r="F4369" s="13" t="n">
        <v>1</v>
      </c>
      <c r="G4369" s="13" t="n">
        <v>1</v>
      </c>
      <c r="H4369" s="8" t="n">
        <v>25.34</v>
      </c>
      <c r="I4369" s="8" t="n">
        <v>25.34</v>
      </c>
      <c r="J4369" s="8" t="n">
        <v>25.34</v>
      </c>
      <c r="K4369" s="8" t="n"/>
      <c r="L4369" s="8" t="n"/>
      <c r="M4369" s="8" t="n"/>
      <c r="N4369" s="8" t="n"/>
      <c r="O4369" s="8" t="n"/>
      <c r="P4369" s="15" t="n">
        <v>28.51</v>
      </c>
      <c r="Q4369" s="8" t="n"/>
      <c r="R4369" s="8" t="n"/>
      <c r="S4369" s="8" t="n"/>
      <c r="T4369" s="7" t="inlineStr">
        <is>
          <t>NAZARIA</t>
        </is>
      </c>
      <c r="U4369" s="8" t="n">
        <v>28.51</v>
      </c>
      <c r="V4369" s="14">
        <f>U4369/J4369-1</f>
        <v/>
      </c>
      <c r="W4369" s="14">
        <f>U4369/H4369-1</f>
        <v/>
      </c>
      <c r="X4369" s="16" t="inlineStr">
        <is>
          <t>ACIMA +12.5%</t>
        </is>
      </c>
      <c r="Y4369" s="7" t="inlineStr"/>
    </row>
    <row r="4370">
      <c r="A4370" s="7" t="n">
        <v>590011</v>
      </c>
      <c r="B4370" s="12" t="inlineStr">
        <is>
          <t>7896000706034</t>
        </is>
      </c>
      <c r="C4370" s="7" t="inlineStr">
        <is>
          <t>TINT COR &amp; TON 8.0 LOU CL 50G</t>
        </is>
      </c>
      <c r="D4370" s="7" t="inlineStr">
        <is>
          <t>TINTAS/DESCOLORANTES</t>
        </is>
      </c>
      <c r="E4370" s="7" t="inlineStr">
        <is>
          <t>B</t>
        </is>
      </c>
      <c r="F4370" s="13" t="n">
        <v>3</v>
      </c>
      <c r="G4370" s="13" t="n">
        <v>3</v>
      </c>
      <c r="H4370" s="8" t="n">
        <v>11.3</v>
      </c>
      <c r="I4370" s="8" t="n">
        <v>10.5</v>
      </c>
      <c r="J4370" s="8" t="n">
        <v>11.03333333333333</v>
      </c>
      <c r="K4370" s="8" t="n"/>
      <c r="L4370" s="8" t="n"/>
      <c r="M4370" s="8" t="n"/>
      <c r="N4370" s="8" t="n"/>
      <c r="O4370" s="8" t="n"/>
      <c r="P4370" s="15" t="n">
        <v>12.87</v>
      </c>
      <c r="Q4370" s="8" t="n"/>
      <c r="R4370" s="8" t="n"/>
      <c r="S4370" s="8" t="n"/>
      <c r="T4370" s="7" t="inlineStr">
        <is>
          <t>NAZARIA</t>
        </is>
      </c>
      <c r="U4370" s="8" t="n">
        <v>12.87</v>
      </c>
      <c r="V4370" s="14">
        <f>U4370/J4370-1</f>
        <v/>
      </c>
      <c r="W4370" s="14">
        <f>U4370/H4370-1</f>
        <v/>
      </c>
      <c r="X4370" s="16" t="inlineStr">
        <is>
          <t>ACIMA +13.9%</t>
        </is>
      </c>
      <c r="Y4370" s="7" t="inlineStr"/>
    </row>
    <row r="4371">
      <c r="A4371" s="7" t="n">
        <v>562981</v>
      </c>
      <c r="B4371" s="12" t="inlineStr">
        <is>
          <t>7896000705945</t>
        </is>
      </c>
      <c r="C4371" s="7" t="inlineStr">
        <is>
          <t>TINT COR &amp;TON 1.0 PRETO AZULADO</t>
        </is>
      </c>
      <c r="D4371" s="7" t="inlineStr">
        <is>
          <t>TINTAS/DESCOLORANTES</t>
        </is>
      </c>
      <c r="E4371" s="7" t="inlineStr">
        <is>
          <t>B</t>
        </is>
      </c>
      <c r="F4371" s="13" t="n">
        <v>9</v>
      </c>
      <c r="G4371" s="13" t="n">
        <v>9</v>
      </c>
      <c r="H4371" s="8" t="n">
        <v>12.58</v>
      </c>
      <c r="I4371" s="8" t="n">
        <v>9.585000000000001</v>
      </c>
      <c r="J4371" s="8" t="n">
        <v>10.72833333333333</v>
      </c>
      <c r="K4371" s="8" t="n"/>
      <c r="L4371" s="8" t="n"/>
      <c r="M4371" s="8" t="n"/>
      <c r="N4371" s="8" t="n"/>
      <c r="O4371" s="8" t="n"/>
      <c r="P4371" s="15" t="n">
        <v>12.87</v>
      </c>
      <c r="Q4371" s="8" t="n"/>
      <c r="R4371" s="8" t="n"/>
      <c r="S4371" s="8" t="n"/>
      <c r="T4371" s="7" t="inlineStr">
        <is>
          <t>NAZARIA</t>
        </is>
      </c>
      <c r="U4371" s="8" t="n">
        <v>12.87</v>
      </c>
      <c r="V4371" s="14">
        <f>U4371/J4371-1</f>
        <v/>
      </c>
      <c r="W4371" s="14">
        <f>U4371/H4371-1</f>
        <v/>
      </c>
      <c r="X4371" s="16" t="inlineStr">
        <is>
          <t>ACIMA +2.3%</t>
        </is>
      </c>
      <c r="Y4371" s="7" t="inlineStr"/>
    </row>
    <row r="4372">
      <c r="A4372" s="7" t="n">
        <v>591861</v>
      </c>
      <c r="B4372" s="12" t="inlineStr">
        <is>
          <t>7896000722799</t>
        </is>
      </c>
      <c r="C4372" s="7" t="inlineStr">
        <is>
          <t>TINT COR&amp;TON 11.11 LO.C.PR. 50ML</t>
        </is>
      </c>
      <c r="D4372" s="7" t="inlineStr">
        <is>
          <t>TINTAS/DESCOLORANTES</t>
        </is>
      </c>
      <c r="E4372" s="7" t="inlineStr">
        <is>
          <t>C</t>
        </is>
      </c>
      <c r="F4372" s="13" t="n">
        <v>1</v>
      </c>
      <c r="G4372" s="13" t="n">
        <v>1</v>
      </c>
      <c r="H4372" s="8" t="n">
        <v>12.86</v>
      </c>
      <c r="I4372" s="8" t="n">
        <v>12.86</v>
      </c>
      <c r="J4372" s="8" t="n">
        <v>12.86</v>
      </c>
      <c r="K4372" s="8" t="n"/>
      <c r="L4372" s="8" t="n"/>
      <c r="M4372" s="8" t="n"/>
      <c r="N4372" s="8" t="n"/>
      <c r="O4372" s="8" t="n"/>
      <c r="P4372" s="8" t="n"/>
      <c r="Q4372" s="8" t="n"/>
      <c r="R4372" s="8" t="n"/>
      <c r="S4372" s="8" t="n"/>
      <c r="T4372" s="7" t="inlineStr">
        <is>
          <t>SEM COTAÇÃO</t>
        </is>
      </c>
      <c r="U4372" s="8" t="n"/>
      <c r="V4372" s="14" t="n"/>
      <c r="W4372" s="14" t="n"/>
      <c r="X4372" s="7" t="inlineStr"/>
      <c r="Y4372" s="7" t="inlineStr"/>
    </row>
    <row r="4373">
      <c r="A4373" s="7" t="n">
        <v>591871</v>
      </c>
      <c r="B4373" s="12" t="inlineStr">
        <is>
          <t>7896000722805</t>
        </is>
      </c>
      <c r="C4373" s="7" t="inlineStr">
        <is>
          <t>TINT COR&amp;TON 12.11 LOU PLA 50ML</t>
        </is>
      </c>
      <c r="D4373" s="7" t="inlineStr">
        <is>
          <t>TINTAS/DESCOLORANTES</t>
        </is>
      </c>
      <c r="E4373" s="7" t="inlineStr">
        <is>
          <t>C</t>
        </is>
      </c>
      <c r="F4373" s="13" t="n">
        <v>2</v>
      </c>
      <c r="G4373" s="13" t="n">
        <v>2</v>
      </c>
      <c r="H4373" s="8" t="n">
        <v>10.99</v>
      </c>
      <c r="I4373" s="8" t="n">
        <v>10.5</v>
      </c>
      <c r="J4373" s="8" t="n">
        <v>10.5</v>
      </c>
      <c r="K4373" s="8" t="n"/>
      <c r="L4373" s="8" t="n"/>
      <c r="M4373" s="8" t="n"/>
      <c r="N4373" s="8" t="n"/>
      <c r="O4373" s="8" t="n"/>
      <c r="P4373" s="8" t="n"/>
      <c r="Q4373" s="8" t="n"/>
      <c r="R4373" s="8" t="n"/>
      <c r="S4373" s="8" t="n"/>
      <c r="T4373" s="7" t="inlineStr">
        <is>
          <t>SEM COTAÇÃO</t>
        </is>
      </c>
      <c r="U4373" s="8" t="n"/>
      <c r="V4373" s="14" t="n"/>
      <c r="W4373" s="14" t="n"/>
      <c r="X4373" s="7" t="inlineStr"/>
      <c r="Y4373" s="7" t="inlineStr"/>
    </row>
    <row r="4374">
      <c r="A4374" s="7" t="n">
        <v>563001</v>
      </c>
      <c r="B4374" s="12" t="inlineStr">
        <is>
          <t>7896000705952</t>
        </is>
      </c>
      <c r="C4374" s="7" t="inlineStr">
        <is>
          <t>TINT COR&amp;TON 2.0 PRETO</t>
        </is>
      </c>
      <c r="D4374" s="7" t="inlineStr">
        <is>
          <t>TINTAS/DESCOLORANTES</t>
        </is>
      </c>
      <c r="E4374" s="7" t="inlineStr">
        <is>
          <t>B</t>
        </is>
      </c>
      <c r="F4374" s="13" t="n">
        <v>1</v>
      </c>
      <c r="G4374" s="13" t="n">
        <v>1</v>
      </c>
      <c r="H4374" s="8" t="n">
        <v>11.3</v>
      </c>
      <c r="I4374" s="8" t="n">
        <v>10.5</v>
      </c>
      <c r="J4374" s="8" t="n">
        <v>10.79</v>
      </c>
      <c r="K4374" s="8" t="n"/>
      <c r="L4374" s="8" t="n"/>
      <c r="M4374" s="8" t="n"/>
      <c r="N4374" s="8" t="n"/>
      <c r="O4374" s="8" t="n"/>
      <c r="P4374" s="15" t="n">
        <v>12.87</v>
      </c>
      <c r="Q4374" s="8" t="n"/>
      <c r="R4374" s="8" t="n"/>
      <c r="S4374" s="8" t="n"/>
      <c r="T4374" s="7" t="inlineStr">
        <is>
          <t>NAZARIA</t>
        </is>
      </c>
      <c r="U4374" s="8" t="n">
        <v>12.87</v>
      </c>
      <c r="V4374" s="14">
        <f>U4374/J4374-1</f>
        <v/>
      </c>
      <c r="W4374" s="14">
        <f>U4374/H4374-1</f>
        <v/>
      </c>
      <c r="X4374" s="16" t="inlineStr">
        <is>
          <t>ACIMA +13.9%</t>
        </is>
      </c>
      <c r="Y4374" s="7" t="inlineStr"/>
    </row>
    <row r="4375">
      <c r="A4375" s="7" t="n">
        <v>649851</v>
      </c>
      <c r="B4375" s="12" t="inlineStr">
        <is>
          <t>7908615086156</t>
        </is>
      </c>
      <c r="C4375" s="7" t="inlineStr">
        <is>
          <t>TINT COR&amp;TON 2.8 PRETO AZULADO ESPELHADO</t>
        </is>
      </c>
      <c r="D4375" s="7" t="inlineStr">
        <is>
          <t>TINTAS/DESCOLORANTES</t>
        </is>
      </c>
      <c r="E4375" s="7" t="inlineStr">
        <is>
          <t>C</t>
        </is>
      </c>
      <c r="F4375" s="13" t="n">
        <v>1</v>
      </c>
      <c r="G4375" s="13" t="n">
        <v>1</v>
      </c>
      <c r="H4375" s="8" t="n">
        <v>12.58</v>
      </c>
      <c r="I4375" s="8" t="n">
        <v>10.5</v>
      </c>
      <c r="J4375" s="8" t="n">
        <v>11.88666666666666</v>
      </c>
      <c r="K4375" s="8" t="n"/>
      <c r="L4375" s="8" t="n"/>
      <c r="M4375" s="8" t="n"/>
      <c r="N4375" s="8" t="n"/>
      <c r="O4375" s="8" t="n"/>
      <c r="P4375" s="8" t="n">
        <v>12.87</v>
      </c>
      <c r="Q4375" s="8" t="n"/>
      <c r="R4375" s="8" t="n"/>
      <c r="S4375" s="8" t="n"/>
      <c r="T4375" s="7" t="inlineStr">
        <is>
          <t>SEM COTAÇÃO</t>
        </is>
      </c>
      <c r="U4375" s="8" t="n"/>
      <c r="V4375" s="14" t="n"/>
      <c r="W4375" s="14" t="n"/>
      <c r="X4375" s="7" t="inlineStr"/>
      <c r="Y4375" s="7" t="inlineStr">
        <is>
          <t>NAZARIA: sem estoque</t>
        </is>
      </c>
    </row>
    <row r="4376">
      <c r="A4376" s="7" t="n">
        <v>563061</v>
      </c>
      <c r="B4376" s="12" t="inlineStr">
        <is>
          <t>7896000705938</t>
        </is>
      </c>
      <c r="C4376" s="7" t="inlineStr">
        <is>
          <t>TINT COR&amp;TON 7.7 MARROM DOURADO</t>
        </is>
      </c>
      <c r="D4376" s="7" t="inlineStr">
        <is>
          <t>TINTAS/DESCOLORANTES</t>
        </is>
      </c>
      <c r="E4376" s="7" t="inlineStr">
        <is>
          <t>C</t>
        </is>
      </c>
      <c r="F4376" s="13" t="n">
        <v>2</v>
      </c>
      <c r="G4376" s="13" t="n">
        <v>2</v>
      </c>
      <c r="H4376" s="8" t="n">
        <v>10.99</v>
      </c>
      <c r="I4376" s="8" t="n">
        <v>10.5</v>
      </c>
      <c r="J4376" s="8" t="n">
        <v>10.5</v>
      </c>
      <c r="K4376" s="8" t="n"/>
      <c r="L4376" s="8" t="n"/>
      <c r="M4376" s="8" t="n"/>
      <c r="N4376" s="8" t="n"/>
      <c r="O4376" s="8" t="n"/>
      <c r="P4376" s="15" t="n">
        <v>12.87</v>
      </c>
      <c r="Q4376" s="8" t="n"/>
      <c r="R4376" s="8" t="n"/>
      <c r="S4376" s="8" t="n"/>
      <c r="T4376" s="7" t="inlineStr">
        <is>
          <t>NAZARIA</t>
        </is>
      </c>
      <c r="U4376" s="8" t="n">
        <v>12.87</v>
      </c>
      <c r="V4376" s="14">
        <f>U4376/J4376-1</f>
        <v/>
      </c>
      <c r="W4376" s="14">
        <f>U4376/H4376-1</f>
        <v/>
      </c>
      <c r="X4376" s="16" t="inlineStr">
        <is>
          <t>ACIMA +17.1%</t>
        </is>
      </c>
      <c r="Y4376" s="7" t="inlineStr"/>
    </row>
    <row r="4377">
      <c r="A4377" s="7" t="n">
        <v>623161</v>
      </c>
      <c r="B4377" s="12" t="inlineStr">
        <is>
          <t>7896000706171</t>
        </is>
      </c>
      <c r="C4377" s="7" t="inlineStr">
        <is>
          <t>TINT COR&amp;TON 8.30 LOURO CLARO DOUR</t>
        </is>
      </c>
      <c r="D4377" s="7" t="inlineStr">
        <is>
          <t>TINTAS/DESCOLORANTES</t>
        </is>
      </c>
      <c r="E4377" s="7" t="inlineStr">
        <is>
          <t>B</t>
        </is>
      </c>
      <c r="F4377" s="13" t="n">
        <v>3</v>
      </c>
      <c r="G4377" s="13" t="n">
        <v>3</v>
      </c>
      <c r="H4377" s="8" t="n">
        <v>12.09</v>
      </c>
      <c r="I4377" s="8" t="n">
        <v>10.5</v>
      </c>
      <c r="J4377" s="8" t="n">
        <v>11.56</v>
      </c>
      <c r="K4377" s="8" t="n"/>
      <c r="L4377" s="8" t="n"/>
      <c r="M4377" s="8" t="n"/>
      <c r="N4377" s="8" t="n"/>
      <c r="O4377" s="8" t="n"/>
      <c r="P4377" s="8" t="n">
        <v>12.87</v>
      </c>
      <c r="Q4377" s="8" t="n"/>
      <c r="R4377" s="8" t="n"/>
      <c r="S4377" s="8" t="n"/>
      <c r="T4377" s="7" t="inlineStr">
        <is>
          <t>SEM COTAÇÃO</t>
        </is>
      </c>
      <c r="U4377" s="8" t="n"/>
      <c r="V4377" s="14" t="n"/>
      <c r="W4377" s="14" t="n"/>
      <c r="X4377" s="7" t="inlineStr"/>
      <c r="Y4377" s="7" t="inlineStr">
        <is>
          <t>NAZARIA: sem estoque</t>
        </is>
      </c>
    </row>
    <row r="4378">
      <c r="A4378" s="7" t="n">
        <v>623171</v>
      </c>
      <c r="B4378" s="12" t="inlineStr">
        <is>
          <t>7899706187930</t>
        </is>
      </c>
      <c r="C4378" s="7" t="inlineStr">
        <is>
          <t>TINT COR&amp;TON 9.1 LOURO CLARO CINZA</t>
        </is>
      </c>
      <c r="D4378" s="7" t="inlineStr">
        <is>
          <t>TINTAS/DESCOLORANTES</t>
        </is>
      </c>
      <c r="E4378" s="7" t="inlineStr">
        <is>
          <t>C</t>
        </is>
      </c>
      <c r="F4378" s="13" t="n">
        <v>1</v>
      </c>
      <c r="G4378" s="13" t="n">
        <v>1</v>
      </c>
      <c r="H4378" s="8" t="n">
        <v>11.21</v>
      </c>
      <c r="I4378" s="8" t="n">
        <v>11.21</v>
      </c>
      <c r="J4378" s="8" t="n">
        <v>11.21</v>
      </c>
      <c r="K4378" s="8" t="n"/>
      <c r="L4378" s="8" t="n"/>
      <c r="M4378" s="8" t="n"/>
      <c r="N4378" s="8" t="n"/>
      <c r="O4378" s="8" t="n"/>
      <c r="P4378" s="8" t="n"/>
      <c r="Q4378" s="8" t="n"/>
      <c r="R4378" s="8" t="n"/>
      <c r="S4378" s="8" t="n"/>
      <c r="T4378" s="7" t="inlineStr">
        <is>
          <t>SEM COTAÇÃO</t>
        </is>
      </c>
      <c r="U4378" s="8" t="n"/>
      <c r="V4378" s="14" t="n"/>
      <c r="W4378" s="14" t="n"/>
      <c r="X4378" s="7" t="inlineStr"/>
      <c r="Y4378" s="7" t="inlineStr"/>
    </row>
    <row r="4379">
      <c r="A4379" s="7" t="n">
        <v>614501</v>
      </c>
      <c r="B4379" s="12" t="inlineStr">
        <is>
          <t>7908615062457</t>
        </is>
      </c>
      <c r="C4379" s="7" t="inlineStr">
        <is>
          <t>TINT COR&amp;TON S/AMONIA 1.0 PRETO INTENSO</t>
        </is>
      </c>
      <c r="D4379" s="7" t="inlineStr">
        <is>
          <t>TINTAS/DESCOLORANTES</t>
        </is>
      </c>
      <c r="E4379" s="7" t="inlineStr">
        <is>
          <t>B</t>
        </is>
      </c>
      <c r="F4379" s="13" t="n">
        <v>2</v>
      </c>
      <c r="G4379" s="13" t="n">
        <v>2</v>
      </c>
      <c r="H4379" s="8" t="n">
        <v>15.73</v>
      </c>
      <c r="I4379" s="8" t="n">
        <v>13.39</v>
      </c>
      <c r="J4379" s="8" t="n">
        <v>14.17</v>
      </c>
      <c r="K4379" s="8" t="n"/>
      <c r="L4379" s="8" t="n"/>
      <c r="M4379" s="8" t="n"/>
      <c r="N4379" s="8" t="n"/>
      <c r="O4379" s="8" t="n"/>
      <c r="P4379" s="15" t="n">
        <v>16.09</v>
      </c>
      <c r="Q4379" s="8" t="n"/>
      <c r="R4379" s="8" t="n"/>
      <c r="S4379" s="8" t="n"/>
      <c r="T4379" s="7" t="inlineStr">
        <is>
          <t>NAZARIA</t>
        </is>
      </c>
      <c r="U4379" s="8" t="n">
        <v>16.09</v>
      </c>
      <c r="V4379" s="14">
        <f>U4379/J4379-1</f>
        <v/>
      </c>
      <c r="W4379" s="14">
        <f>U4379/H4379-1</f>
        <v/>
      </c>
      <c r="X4379" s="16" t="inlineStr">
        <is>
          <t>ACIMA +2.3%</t>
        </is>
      </c>
      <c r="Y4379" s="7" t="inlineStr"/>
    </row>
    <row r="4380">
      <c r="A4380" s="7" t="n">
        <v>614511</v>
      </c>
      <c r="B4380" s="12" t="inlineStr"/>
      <c r="C4380" s="7" t="inlineStr">
        <is>
          <t>TINT COR&amp;TON S/AMONIA 1.7 PRETO AZUL ESP</t>
        </is>
      </c>
      <c r="D4380" s="7" t="inlineStr">
        <is>
          <t>TINTAS/DESCOLORANTES</t>
        </is>
      </c>
      <c r="E4380" s="7" t="inlineStr">
        <is>
          <t>A</t>
        </is>
      </c>
      <c r="F4380" s="13" t="n">
        <v>1</v>
      </c>
      <c r="G4380" s="13" t="n">
        <v>1</v>
      </c>
      <c r="H4380" s="8" t="n">
        <v>15.73</v>
      </c>
      <c r="I4380" s="8" t="n">
        <v>11.885</v>
      </c>
      <c r="J4380" s="8" t="n">
        <v>13.18166666666667</v>
      </c>
      <c r="K4380" s="8" t="n"/>
      <c r="L4380" s="8" t="n"/>
      <c r="M4380" s="8" t="n"/>
      <c r="N4380" s="8" t="n"/>
      <c r="O4380" s="8" t="n"/>
      <c r="P4380" s="8" t="n"/>
      <c r="Q4380" s="8" t="n"/>
      <c r="R4380" s="8" t="n"/>
      <c r="S4380" s="8" t="n"/>
      <c r="T4380" s="7" t="inlineStr">
        <is>
          <t>SEM COTAÇÃO</t>
        </is>
      </c>
      <c r="U4380" s="8" t="n"/>
      <c r="V4380" s="14" t="n"/>
      <c r="W4380" s="14" t="n"/>
      <c r="X4380" s="7" t="inlineStr"/>
      <c r="Y4380" s="7" t="inlineStr"/>
    </row>
    <row r="4381">
      <c r="A4381" s="7" t="n">
        <v>614521</v>
      </c>
      <c r="B4381" s="12" t="inlineStr">
        <is>
          <t>7908615062372</t>
        </is>
      </c>
      <c r="C4381" s="7" t="inlineStr">
        <is>
          <t>TINT COR&amp;TON S/AMONIA 2.0 PRETO</t>
        </is>
      </c>
      <c r="D4381" s="7" t="inlineStr">
        <is>
          <t>TINTAS/DESCOLORANTES</t>
        </is>
      </c>
      <c r="E4381" s="7" t="inlineStr">
        <is>
          <t>A</t>
        </is>
      </c>
      <c r="F4381" s="13" t="n">
        <v>4</v>
      </c>
      <c r="G4381" s="13" t="n">
        <v>4</v>
      </c>
      <c r="H4381" s="8" t="n">
        <v>15.73</v>
      </c>
      <c r="I4381" s="8" t="n">
        <v>12.0267</v>
      </c>
      <c r="J4381" s="8" t="n">
        <v>14.3489</v>
      </c>
      <c r="K4381" s="8" t="n"/>
      <c r="L4381" s="8" t="n"/>
      <c r="M4381" s="8" t="n"/>
      <c r="N4381" s="8" t="n"/>
      <c r="O4381" s="8" t="n"/>
      <c r="P4381" s="15" t="n">
        <v>16.09</v>
      </c>
      <c r="Q4381" s="8" t="n"/>
      <c r="R4381" s="8" t="n"/>
      <c r="S4381" s="8" t="n"/>
      <c r="T4381" s="7" t="inlineStr">
        <is>
          <t>NAZARIA</t>
        </is>
      </c>
      <c r="U4381" s="8" t="n">
        <v>16.09</v>
      </c>
      <c r="V4381" s="14">
        <f>U4381/J4381-1</f>
        <v/>
      </c>
      <c r="W4381" s="14">
        <f>U4381/H4381-1</f>
        <v/>
      </c>
      <c r="X4381" s="16" t="inlineStr">
        <is>
          <t>ACIMA +2.3%</t>
        </is>
      </c>
      <c r="Y4381" s="7" t="inlineStr"/>
    </row>
    <row r="4382">
      <c r="A4382" s="7" t="n">
        <v>614551</v>
      </c>
      <c r="B4382" s="12" t="inlineStr">
        <is>
          <t>7908615062433</t>
        </is>
      </c>
      <c r="C4382" s="7" t="inlineStr">
        <is>
          <t>TINT COR&amp;TON S/AMONIA 5.0 CASTANHO CLAR</t>
        </is>
      </c>
      <c r="D4382" s="7" t="inlineStr">
        <is>
          <t>TINTAS/DESCOLORANTES</t>
        </is>
      </c>
      <c r="E4382" s="7" t="inlineStr">
        <is>
          <t>A</t>
        </is>
      </c>
      <c r="F4382" s="13" t="n">
        <v>9</v>
      </c>
      <c r="G4382" s="13" t="n">
        <v>9</v>
      </c>
      <c r="H4382" s="8" t="n">
        <v>15.73</v>
      </c>
      <c r="I4382" s="8" t="n">
        <v>13.99</v>
      </c>
      <c r="J4382" s="8" t="n">
        <v>14.64333333333333</v>
      </c>
      <c r="K4382" s="8" t="n"/>
      <c r="L4382" s="8" t="n"/>
      <c r="M4382" s="8" t="n"/>
      <c r="N4382" s="8" t="n"/>
      <c r="O4382" s="8" t="n"/>
      <c r="P4382" s="15" t="n">
        <v>16.09</v>
      </c>
      <c r="Q4382" s="8" t="n"/>
      <c r="R4382" s="8" t="n"/>
      <c r="S4382" s="8" t="n"/>
      <c r="T4382" s="7" t="inlineStr">
        <is>
          <t>NAZARIA</t>
        </is>
      </c>
      <c r="U4382" s="8" t="n">
        <v>16.09</v>
      </c>
      <c r="V4382" s="14">
        <f>U4382/J4382-1</f>
        <v/>
      </c>
      <c r="W4382" s="14">
        <f>U4382/H4382-1</f>
        <v/>
      </c>
      <c r="X4382" s="16" t="inlineStr">
        <is>
          <t>ACIMA +2.3%</t>
        </is>
      </c>
      <c r="Y4382" s="7" t="inlineStr">
        <is>
          <t>NAZARIA: estoque parcial (5 un)</t>
        </is>
      </c>
    </row>
    <row r="4383">
      <c r="A4383" s="7" t="n">
        <v>672291</v>
      </c>
      <c r="B4383" s="12" t="inlineStr">
        <is>
          <t>7896014140527</t>
        </is>
      </c>
      <c r="C4383" s="7" t="inlineStr">
        <is>
          <t>TINT IMEDIA EXC LOURO ESCURO 6-DEMAIS PROD</t>
        </is>
      </c>
      <c r="D4383" s="7" t="inlineStr">
        <is>
          <t>TINTAS/DESCOLORANTES</t>
        </is>
      </c>
      <c r="E4383" s="7" t="inlineStr">
        <is>
          <t>C</t>
        </is>
      </c>
      <c r="F4383" s="13" t="n">
        <v>1</v>
      </c>
      <c r="G4383" s="13" t="n">
        <v>1</v>
      </c>
      <c r="H4383" s="8" t="n">
        <v>24.27</v>
      </c>
      <c r="I4383" s="8" t="n">
        <v>24.27</v>
      </c>
      <c r="J4383" s="8" t="n">
        <v>24.27</v>
      </c>
      <c r="K4383" s="8" t="n"/>
      <c r="L4383" s="8" t="n"/>
      <c r="M4383" s="8" t="n"/>
      <c r="N4383" s="8" t="n"/>
      <c r="O4383" s="8" t="n"/>
      <c r="P4383" s="15" t="n">
        <v>27.3</v>
      </c>
      <c r="Q4383" s="8" t="n"/>
      <c r="R4383" s="8" t="n"/>
      <c r="S4383" s="8" t="n"/>
      <c r="T4383" s="7" t="inlineStr">
        <is>
          <t>NAZARIA</t>
        </is>
      </c>
      <c r="U4383" s="8" t="n">
        <v>27.3</v>
      </c>
      <c r="V4383" s="14">
        <f>U4383/J4383-1</f>
        <v/>
      </c>
      <c r="W4383" s="14">
        <f>U4383/H4383-1</f>
        <v/>
      </c>
      <c r="X4383" s="16" t="inlineStr">
        <is>
          <t>ACIMA +12.5%</t>
        </is>
      </c>
      <c r="Y4383" s="7" t="inlineStr"/>
    </row>
    <row r="4384">
      <c r="A4384" s="7" t="n">
        <v>649091</v>
      </c>
      <c r="B4384" s="12" t="inlineStr">
        <is>
          <t>7896013501244</t>
        </is>
      </c>
      <c r="C4384" s="7" t="inlineStr">
        <is>
          <t>TINT MAXGLOW S/AMONIA 1.0 PRETO</t>
        </is>
      </c>
      <c r="D4384" s="7" t="inlineStr">
        <is>
          <t>TINTAS/DESCOLORANTES</t>
        </is>
      </c>
      <c r="E4384" s="7" t="inlineStr">
        <is>
          <t>C</t>
        </is>
      </c>
      <c r="F4384" s="13" t="n">
        <v>1</v>
      </c>
      <c r="G4384" s="13" t="n">
        <v>1</v>
      </c>
      <c r="H4384" s="8" t="n">
        <v>11.08</v>
      </c>
      <c r="I4384" s="8" t="n">
        <v>11.08</v>
      </c>
      <c r="J4384" s="8" t="n">
        <v>11.08</v>
      </c>
      <c r="K4384" s="8" t="n"/>
      <c r="L4384" s="8" t="n"/>
      <c r="M4384" s="8" t="n"/>
      <c r="N4384" s="8" t="n"/>
      <c r="O4384" s="8" t="n"/>
      <c r="P4384" s="8" t="n"/>
      <c r="Q4384" s="8" t="n"/>
      <c r="R4384" s="8" t="n"/>
      <c r="S4384" s="8" t="n"/>
      <c r="T4384" s="7" t="inlineStr">
        <is>
          <t>SEM COTAÇÃO</t>
        </is>
      </c>
      <c r="U4384" s="8" t="n"/>
      <c r="V4384" s="14" t="n"/>
      <c r="W4384" s="14" t="n"/>
      <c r="X4384" s="7" t="inlineStr"/>
      <c r="Y4384" s="7" t="inlineStr"/>
    </row>
    <row r="4385">
      <c r="A4385" s="7" t="n">
        <v>649101</v>
      </c>
      <c r="B4385" s="12" t="inlineStr">
        <is>
          <t>7896013501237</t>
        </is>
      </c>
      <c r="C4385" s="7" t="inlineStr">
        <is>
          <t>TINT MAXGLOW S/AMONIA 1.7 PRETO AZULADO</t>
        </is>
      </c>
      <c r="D4385" s="7" t="inlineStr">
        <is>
          <t>TINTAS/DESCOLORANTES</t>
        </is>
      </c>
      <c r="E4385" s="7" t="inlineStr">
        <is>
          <t>C</t>
        </is>
      </c>
      <c r="F4385" s="13" t="n">
        <v>2</v>
      </c>
      <c r="G4385" s="13" t="n">
        <v>2</v>
      </c>
      <c r="H4385" s="8" t="n">
        <v>11.08</v>
      </c>
      <c r="I4385" s="8" t="n">
        <v>11.08</v>
      </c>
      <c r="J4385" s="8" t="n">
        <v>11.08</v>
      </c>
      <c r="K4385" s="8" t="n"/>
      <c r="L4385" s="8" t="n"/>
      <c r="M4385" s="8" t="n"/>
      <c r="N4385" s="8" t="n"/>
      <c r="O4385" s="8" t="n"/>
      <c r="P4385" s="8" t="n"/>
      <c r="Q4385" s="8" t="n"/>
      <c r="R4385" s="8" t="n"/>
      <c r="S4385" s="8" t="n"/>
      <c r="T4385" s="7" t="inlineStr">
        <is>
          <t>SEM COTAÇÃO</t>
        </is>
      </c>
      <c r="U4385" s="8" t="n"/>
      <c r="V4385" s="14" t="n"/>
      <c r="W4385" s="14" t="n"/>
      <c r="X4385" s="7" t="inlineStr"/>
      <c r="Y4385" s="7" t="inlineStr"/>
    </row>
    <row r="4386">
      <c r="A4386" s="7" t="n">
        <v>649131</v>
      </c>
      <c r="B4386" s="12" t="inlineStr">
        <is>
          <t>7896013506607</t>
        </is>
      </c>
      <c r="C4386" s="7" t="inlineStr">
        <is>
          <t>TINT MAXTON 1.0 PRETO C/2 +RECARG QUERAT</t>
        </is>
      </c>
      <c r="D4386" s="7" t="inlineStr">
        <is>
          <t>TINTAS/DESCOLORANTES</t>
        </is>
      </c>
      <c r="E4386" s="7" t="inlineStr">
        <is>
          <t>C</t>
        </is>
      </c>
      <c r="F4386" s="13" t="n">
        <v>1</v>
      </c>
      <c r="G4386" s="13" t="n">
        <v>1</v>
      </c>
      <c r="H4386" s="8" t="n">
        <v>22.76</v>
      </c>
      <c r="I4386" s="8" t="n">
        <v>22.76</v>
      </c>
      <c r="J4386" s="8" t="n">
        <v>22.76</v>
      </c>
      <c r="K4386" s="8" t="n"/>
      <c r="L4386" s="8" t="n"/>
      <c r="M4386" s="8" t="n"/>
      <c r="N4386" s="8" t="n"/>
      <c r="O4386" s="8" t="n"/>
      <c r="P4386" s="8" t="n"/>
      <c r="Q4386" s="8" t="n"/>
      <c r="R4386" s="8" t="n"/>
      <c r="S4386" s="8" t="n"/>
      <c r="T4386" s="7" t="inlineStr">
        <is>
          <t>SEM COTAÇÃO</t>
        </is>
      </c>
      <c r="U4386" s="8" t="n"/>
      <c r="V4386" s="14" t="n"/>
      <c r="W4386" s="14" t="n"/>
      <c r="X4386" s="7" t="inlineStr"/>
      <c r="Y4386" s="7" t="inlineStr"/>
    </row>
    <row r="4387">
      <c r="A4387" s="7" t="n">
        <v>598181</v>
      </c>
      <c r="B4387" s="12" t="inlineStr">
        <is>
          <t>7896013503958</t>
        </is>
      </c>
      <c r="C4387" s="7" t="inlineStr">
        <is>
          <t>TINT MAXTON 11.111 LOU CZ MUI CL SUP INT</t>
        </is>
      </c>
      <c r="D4387" s="7" t="inlineStr">
        <is>
          <t>TINTAS/DESCOLORANTES</t>
        </is>
      </c>
      <c r="E4387" s="7" t="inlineStr">
        <is>
          <t>C</t>
        </is>
      </c>
      <c r="F4387" s="13" t="n">
        <v>1</v>
      </c>
      <c r="G4387" s="13" t="n">
        <v>1</v>
      </c>
      <c r="H4387" s="8" t="n">
        <v>10.57</v>
      </c>
      <c r="I4387" s="8" t="n">
        <v>10.57</v>
      </c>
      <c r="J4387" s="8" t="n">
        <v>10.57</v>
      </c>
      <c r="K4387" s="8" t="n"/>
      <c r="L4387" s="8" t="n"/>
      <c r="M4387" s="8" t="n"/>
      <c r="N4387" s="8" t="n"/>
      <c r="O4387" s="8" t="n"/>
      <c r="P4387" s="8" t="n"/>
      <c r="Q4387" s="8" t="n"/>
      <c r="R4387" s="8" t="n"/>
      <c r="S4387" s="8" t="n"/>
      <c r="T4387" s="7" t="inlineStr">
        <is>
          <t>SEM COTAÇÃO</t>
        </is>
      </c>
      <c r="U4387" s="8" t="n"/>
      <c r="V4387" s="14" t="n"/>
      <c r="W4387" s="14" t="n"/>
      <c r="X4387" s="7" t="inlineStr"/>
      <c r="Y4387" s="7" t="inlineStr"/>
    </row>
    <row r="4388">
      <c r="A4388" s="7" t="n">
        <v>649051</v>
      </c>
      <c r="B4388" s="12" t="inlineStr">
        <is>
          <t>7896013506324</t>
        </is>
      </c>
      <c r="C4388" s="7" t="inlineStr">
        <is>
          <t>TINT MAXTON 12.89 LOU EXTRA CLARO PEROLA</t>
        </is>
      </c>
      <c r="D4388" s="7" t="inlineStr">
        <is>
          <t>TINTAS/DESCOLORANTES</t>
        </is>
      </c>
      <c r="E4388" s="7" t="inlineStr">
        <is>
          <t>C</t>
        </is>
      </c>
      <c r="F4388" s="13" t="n">
        <v>2</v>
      </c>
      <c r="G4388" s="13" t="n">
        <v>2</v>
      </c>
      <c r="H4388" s="8" t="n">
        <v>10.57</v>
      </c>
      <c r="I4388" s="8" t="n">
        <v>10.57</v>
      </c>
      <c r="J4388" s="8" t="n">
        <v>10.57</v>
      </c>
      <c r="K4388" s="8" t="n"/>
      <c r="L4388" s="8" t="n"/>
      <c r="M4388" s="8" t="n"/>
      <c r="N4388" s="8" t="n"/>
      <c r="O4388" s="8" t="n"/>
      <c r="P4388" s="8" t="n"/>
      <c r="Q4388" s="8" t="n"/>
      <c r="R4388" s="8" t="n"/>
      <c r="S4388" s="8" t="n"/>
      <c r="T4388" s="7" t="inlineStr">
        <is>
          <t>SEM COTAÇÃO</t>
        </is>
      </c>
      <c r="U4388" s="8" t="n"/>
      <c r="V4388" s="14" t="n"/>
      <c r="W4388" s="14" t="n"/>
      <c r="X4388" s="7" t="inlineStr"/>
      <c r="Y4388" s="7" t="inlineStr"/>
    </row>
    <row r="4389">
      <c r="A4389" s="7" t="n">
        <v>598111</v>
      </c>
      <c r="B4389" s="12" t="inlineStr">
        <is>
          <t>7896013502319</t>
        </is>
      </c>
      <c r="C4389" s="7" t="inlineStr">
        <is>
          <t>TINT MAXTON 7.2 LOURO MEDIO MATE (N)</t>
        </is>
      </c>
      <c r="D4389" s="7" t="inlineStr">
        <is>
          <t>TINTAS/DESCOLORANTES</t>
        </is>
      </c>
      <c r="E4389" s="7" t="inlineStr">
        <is>
          <t>C</t>
        </is>
      </c>
      <c r="F4389" s="13" t="n">
        <v>1</v>
      </c>
      <c r="G4389" s="13" t="n">
        <v>1</v>
      </c>
      <c r="H4389" s="8" t="n">
        <v>8.99</v>
      </c>
      <c r="I4389" s="8" t="n">
        <v>8.99</v>
      </c>
      <c r="J4389" s="8" t="n">
        <v>8.99</v>
      </c>
      <c r="K4389" s="8" t="n"/>
      <c r="L4389" s="8" t="n"/>
      <c r="M4389" s="8" t="n"/>
      <c r="N4389" s="8" t="n"/>
      <c r="O4389" s="8" t="n"/>
      <c r="P4389" s="8" t="n"/>
      <c r="Q4389" s="8" t="n"/>
      <c r="R4389" s="8" t="n"/>
      <c r="S4389" s="8" t="n"/>
      <c r="T4389" s="7" t="inlineStr">
        <is>
          <t>SEM COTAÇÃO</t>
        </is>
      </c>
      <c r="U4389" s="8" t="n"/>
      <c r="V4389" s="14" t="n"/>
      <c r="W4389" s="14" t="n"/>
      <c r="X4389" s="7" t="inlineStr"/>
      <c r="Y4389" s="7" t="inlineStr"/>
    </row>
    <row r="4390">
      <c r="A4390" s="7" t="n">
        <v>649081</v>
      </c>
      <c r="B4390" s="12" t="inlineStr">
        <is>
          <t>7896013507444</t>
        </is>
      </c>
      <c r="C4390" s="7" t="inlineStr">
        <is>
          <t>TINT MAXTON 7.37 MARROM CARAMELO</t>
        </is>
      </c>
      <c r="D4390" s="7" t="inlineStr">
        <is>
          <t>TINTAS/DESCOLORANTES</t>
        </is>
      </c>
      <c r="E4390" s="7" t="inlineStr">
        <is>
          <t>C</t>
        </is>
      </c>
      <c r="F4390" s="13" t="n">
        <v>2</v>
      </c>
      <c r="G4390" s="13" t="n">
        <v>2</v>
      </c>
      <c r="H4390" s="8" t="n">
        <v>10.57</v>
      </c>
      <c r="I4390" s="8" t="n">
        <v>10.57</v>
      </c>
      <c r="J4390" s="8" t="n">
        <v>10.57</v>
      </c>
      <c r="K4390" s="8" t="n"/>
      <c r="L4390" s="8" t="n"/>
      <c r="M4390" s="8" t="n"/>
      <c r="N4390" s="8" t="n"/>
      <c r="O4390" s="8" t="n"/>
      <c r="P4390" s="8" t="n"/>
      <c r="Q4390" s="8" t="n"/>
      <c r="R4390" s="8" t="n"/>
      <c r="S4390" s="8" t="n"/>
      <c r="T4390" s="7" t="inlineStr">
        <is>
          <t>SEM COTAÇÃO</t>
        </is>
      </c>
      <c r="U4390" s="8" t="n"/>
      <c r="V4390" s="14" t="n"/>
      <c r="W4390" s="14" t="n"/>
      <c r="X4390" s="7" t="inlineStr"/>
      <c r="Y4390" s="7" t="inlineStr"/>
    </row>
    <row r="4391">
      <c r="A4391" s="7" t="n">
        <v>598121</v>
      </c>
      <c r="B4391" s="12" t="inlineStr">
        <is>
          <t>7896013563815</t>
        </is>
      </c>
      <c r="C4391" s="7" t="inlineStr">
        <is>
          <t>TINT MAXTON 7.40 LOURO MED ACOBREADO</t>
        </is>
      </c>
      <c r="D4391" s="7" t="inlineStr">
        <is>
          <t>TINTAS/DESCOLORANTES</t>
        </is>
      </c>
      <c r="E4391" s="7" t="inlineStr">
        <is>
          <t>B</t>
        </is>
      </c>
      <c r="F4391" s="13" t="n">
        <v>5</v>
      </c>
      <c r="G4391" s="13" t="n">
        <v>5</v>
      </c>
      <c r="H4391" s="8" t="n">
        <v>12.75</v>
      </c>
      <c r="I4391" s="8" t="n">
        <v>9.73</v>
      </c>
      <c r="J4391" s="8" t="n">
        <v>11.34333333333333</v>
      </c>
      <c r="K4391" s="8" t="n"/>
      <c r="L4391" s="8" t="n"/>
      <c r="M4391" s="8" t="n"/>
      <c r="N4391" s="8" t="n"/>
      <c r="O4391" s="8" t="n"/>
      <c r="P4391" s="8" t="n"/>
      <c r="Q4391" s="8" t="n"/>
      <c r="R4391" s="8" t="n"/>
      <c r="S4391" s="8" t="n"/>
      <c r="T4391" s="7" t="inlineStr">
        <is>
          <t>SEM COTAÇÃO</t>
        </is>
      </c>
      <c r="U4391" s="8" t="n"/>
      <c r="V4391" s="14" t="n"/>
      <c r="W4391" s="14" t="n"/>
      <c r="X4391" s="7" t="inlineStr"/>
      <c r="Y4391" s="7" t="inlineStr"/>
    </row>
    <row r="4392">
      <c r="A4392" s="7" t="n">
        <v>598131</v>
      </c>
      <c r="B4392" s="12" t="inlineStr">
        <is>
          <t>7896013502302</t>
        </is>
      </c>
      <c r="C4392" s="7" t="inlineStr">
        <is>
          <t>TINT MAXTON 7.44 LOURO MED ACOBR INT (N)</t>
        </is>
      </c>
      <c r="D4392" s="7" t="inlineStr">
        <is>
          <t>TINTAS/DESCOLORANTES</t>
        </is>
      </c>
      <c r="E4392" s="7" t="inlineStr">
        <is>
          <t>C</t>
        </is>
      </c>
      <c r="F4392" s="13" t="n">
        <v>2</v>
      </c>
      <c r="G4392" s="13" t="n">
        <v>2</v>
      </c>
      <c r="H4392" s="8" t="n">
        <v>9.73</v>
      </c>
      <c r="I4392" s="8" t="n">
        <v>9.73</v>
      </c>
      <c r="J4392" s="8" t="n">
        <v>9.73</v>
      </c>
      <c r="K4392" s="8" t="n"/>
      <c r="L4392" s="8" t="n"/>
      <c r="M4392" s="8" t="n"/>
      <c r="N4392" s="8" t="n"/>
      <c r="O4392" s="8" t="n"/>
      <c r="P4392" s="8" t="n"/>
      <c r="Q4392" s="8" t="n"/>
      <c r="R4392" s="8" t="n"/>
      <c r="S4392" s="8" t="n"/>
      <c r="T4392" s="7" t="inlineStr">
        <is>
          <t>SEM COTAÇÃO</t>
        </is>
      </c>
      <c r="U4392" s="8" t="n"/>
      <c r="V4392" s="14" t="n"/>
      <c r="W4392" s="14" t="n"/>
      <c r="X4392" s="7" t="inlineStr"/>
      <c r="Y4392" s="7" t="inlineStr"/>
    </row>
    <row r="4393">
      <c r="A4393" s="7" t="n">
        <v>649151</v>
      </c>
      <c r="B4393" s="12" t="inlineStr">
        <is>
          <t>7896013507567</t>
        </is>
      </c>
      <c r="C4393" s="7" t="inlineStr">
        <is>
          <t>TINT MAXTON 7.7 MARROM AVELA</t>
        </is>
      </c>
      <c r="D4393" s="7" t="inlineStr">
        <is>
          <t>TINTAS/DESCOLORANTES</t>
        </is>
      </c>
      <c r="E4393" s="7" t="inlineStr">
        <is>
          <t>C</t>
        </is>
      </c>
      <c r="F4393" s="13" t="n">
        <v>2</v>
      </c>
      <c r="G4393" s="13" t="n">
        <v>2</v>
      </c>
      <c r="H4393" s="8" t="n">
        <v>10.57</v>
      </c>
      <c r="I4393" s="8" t="n">
        <v>10.57</v>
      </c>
      <c r="J4393" s="8" t="n">
        <v>10.57</v>
      </c>
      <c r="K4393" s="8" t="n"/>
      <c r="L4393" s="8" t="n"/>
      <c r="M4393" s="8" t="n"/>
      <c r="N4393" s="8" t="n"/>
      <c r="O4393" s="8" t="n"/>
      <c r="P4393" s="8" t="n"/>
      <c r="Q4393" s="8" t="n"/>
      <c r="R4393" s="8" t="n"/>
      <c r="S4393" s="8" t="n"/>
      <c r="T4393" s="7" t="inlineStr">
        <is>
          <t>SEM COTAÇÃO</t>
        </is>
      </c>
      <c r="U4393" s="8" t="n"/>
      <c r="V4393" s="14" t="n"/>
      <c r="W4393" s="14" t="n"/>
      <c r="X4393" s="7" t="inlineStr"/>
      <c r="Y4393" s="7" t="inlineStr"/>
    </row>
    <row r="4394">
      <c r="A4394" s="7" t="n">
        <v>598151</v>
      </c>
      <c r="B4394" s="12" t="inlineStr">
        <is>
          <t>7896013563839</t>
        </is>
      </c>
      <c r="C4394" s="7" t="inlineStr">
        <is>
          <t>TINT MAXTON 8.26 VERMELHO MARSALA</t>
        </is>
      </c>
      <c r="D4394" s="7" t="inlineStr">
        <is>
          <t>TINTAS/DESCOLORANTES</t>
        </is>
      </c>
      <c r="E4394" s="7" t="inlineStr">
        <is>
          <t>A</t>
        </is>
      </c>
      <c r="F4394" s="13" t="n">
        <v>7</v>
      </c>
      <c r="G4394" s="13" t="n">
        <v>7</v>
      </c>
      <c r="H4394" s="8" t="n">
        <v>12.75</v>
      </c>
      <c r="I4394" s="8" t="n">
        <v>10.76</v>
      </c>
      <c r="J4394" s="8" t="n">
        <v>11.68666666666667</v>
      </c>
      <c r="K4394" s="8" t="n"/>
      <c r="L4394" s="8" t="n"/>
      <c r="M4394" s="8" t="n"/>
      <c r="N4394" s="8" t="n"/>
      <c r="O4394" s="8" t="n"/>
      <c r="P4394" s="8" t="n"/>
      <c r="Q4394" s="8" t="n"/>
      <c r="R4394" s="8" t="n"/>
      <c r="S4394" s="8" t="n"/>
      <c r="T4394" s="7" t="inlineStr">
        <is>
          <t>SEM COTAÇÃO</t>
        </is>
      </c>
      <c r="U4394" s="8" t="n"/>
      <c r="V4394" s="14" t="n"/>
      <c r="W4394" s="14" t="n"/>
      <c r="X4394" s="7" t="inlineStr"/>
      <c r="Y4394" s="7" t="inlineStr"/>
    </row>
    <row r="4395">
      <c r="A4395" s="7" t="n">
        <v>607621</v>
      </c>
      <c r="B4395" s="12" t="inlineStr">
        <is>
          <t>7896013506317</t>
        </is>
      </c>
      <c r="C4395" s="7" t="inlineStr">
        <is>
          <t>TINT MAXTON 8.4 LOURO CLARO ACOBREADO</t>
        </is>
      </c>
      <c r="D4395" s="7" t="inlineStr">
        <is>
          <t>TINTAS/DESCOLORANTES</t>
        </is>
      </c>
      <c r="E4395" s="7" t="inlineStr">
        <is>
          <t>C</t>
        </is>
      </c>
      <c r="F4395" s="13" t="n">
        <v>2</v>
      </c>
      <c r="G4395" s="13" t="n">
        <v>2</v>
      </c>
      <c r="H4395" s="8" t="n">
        <v>11.41</v>
      </c>
      <c r="I4395" s="8" t="n">
        <v>11.41</v>
      </c>
      <c r="J4395" s="8" t="n">
        <v>11.41</v>
      </c>
      <c r="K4395" s="8" t="n"/>
      <c r="L4395" s="8" t="n"/>
      <c r="M4395" s="8" t="n"/>
      <c r="N4395" s="8" t="n"/>
      <c r="O4395" s="8" t="n"/>
      <c r="P4395" s="8" t="n"/>
      <c r="Q4395" s="8" t="n"/>
      <c r="R4395" s="8" t="n"/>
      <c r="S4395" s="8" t="n"/>
      <c r="T4395" s="7" t="inlineStr">
        <is>
          <t>SEM COTAÇÃO</t>
        </is>
      </c>
      <c r="U4395" s="8" t="n"/>
      <c r="V4395" s="14" t="n"/>
      <c r="W4395" s="14" t="n"/>
      <c r="X4395" s="7" t="inlineStr"/>
      <c r="Y4395" s="7" t="inlineStr"/>
    </row>
    <row r="4396">
      <c r="A4396" s="7" t="n">
        <v>598161</v>
      </c>
      <c r="B4396" s="12" t="inlineStr">
        <is>
          <t>7896013502272</t>
        </is>
      </c>
      <c r="C4396" s="7" t="inlineStr">
        <is>
          <t>TINT MAXTON 9.0 LOURO MUITO CLARO (N)</t>
        </is>
      </c>
      <c r="D4396" s="7" t="inlineStr">
        <is>
          <t>TINTAS/DESCOLORANTES</t>
        </is>
      </c>
      <c r="E4396" s="7" t="inlineStr">
        <is>
          <t>C</t>
        </is>
      </c>
      <c r="F4396" s="13" t="n">
        <v>3</v>
      </c>
      <c r="G4396" s="13" t="n">
        <v>3</v>
      </c>
      <c r="H4396" s="8" t="n">
        <v>9.73</v>
      </c>
      <c r="I4396" s="8" t="n">
        <v>9.73</v>
      </c>
      <c r="J4396" s="8" t="n">
        <v>9.73</v>
      </c>
      <c r="K4396" s="8" t="n"/>
      <c r="L4396" s="8" t="n"/>
      <c r="M4396" s="8" t="n"/>
      <c r="N4396" s="8" t="n"/>
      <c r="O4396" s="8" t="n"/>
      <c r="P4396" s="8" t="n"/>
      <c r="Q4396" s="8" t="n"/>
      <c r="R4396" s="8" t="n"/>
      <c r="S4396" s="8" t="n"/>
      <c r="T4396" s="7" t="inlineStr">
        <is>
          <t>SEM COTAÇÃO</t>
        </is>
      </c>
      <c r="U4396" s="8" t="n"/>
      <c r="V4396" s="14" t="n"/>
      <c r="W4396" s="14" t="n"/>
      <c r="X4396" s="7" t="inlineStr"/>
      <c r="Y4396" s="7" t="inlineStr"/>
    </row>
    <row r="4397">
      <c r="A4397" s="7" t="n">
        <v>640741</v>
      </c>
      <c r="B4397" s="12" t="inlineStr">
        <is>
          <t>7896013548409</t>
        </is>
      </c>
      <c r="C4397" s="7" t="inlineStr">
        <is>
          <t>TINT NATUCOR 1.00 PRETO INTENSO</t>
        </is>
      </c>
      <c r="D4397" s="7" t="inlineStr">
        <is>
          <t>TINTAS/DESCOLORANTES</t>
        </is>
      </c>
      <c r="E4397" s="7" t="inlineStr">
        <is>
          <t>C</t>
        </is>
      </c>
      <c r="F4397" s="13" t="n">
        <v>3</v>
      </c>
      <c r="G4397" s="13" t="n">
        <v>3</v>
      </c>
      <c r="H4397" s="8" t="n">
        <v>10.16</v>
      </c>
      <c r="I4397" s="8" t="n">
        <v>10.16</v>
      </c>
      <c r="J4397" s="8" t="n">
        <v>10.16</v>
      </c>
      <c r="K4397" s="8" t="n"/>
      <c r="L4397" s="8" t="n"/>
      <c r="M4397" s="8" t="n"/>
      <c r="N4397" s="8" t="n"/>
      <c r="O4397" s="8" t="n"/>
      <c r="P4397" s="8" t="n"/>
      <c r="Q4397" s="8" t="n"/>
      <c r="R4397" s="8" t="n"/>
      <c r="S4397" s="8" t="n"/>
      <c r="T4397" s="7" t="inlineStr">
        <is>
          <t>SEM COTAÇÃO</t>
        </is>
      </c>
      <c r="U4397" s="8" t="n"/>
      <c r="V4397" s="14" t="n"/>
      <c r="W4397" s="14" t="n"/>
      <c r="X4397" s="7" t="inlineStr"/>
      <c r="Y4397" s="7" t="inlineStr"/>
    </row>
    <row r="4398">
      <c r="A4398" s="7" t="n">
        <v>640751</v>
      </c>
      <c r="B4398" s="12" t="inlineStr">
        <is>
          <t>7896013566069</t>
        </is>
      </c>
      <c r="C4398" s="7" t="inlineStr">
        <is>
          <t>TINT NATUCOR 1.01 PRETO CARVAO</t>
        </is>
      </c>
      <c r="D4398" s="7" t="inlineStr">
        <is>
          <t>TINTAS/DESCOLORANTES</t>
        </is>
      </c>
      <c r="E4398" s="7" t="inlineStr">
        <is>
          <t>C</t>
        </is>
      </c>
      <c r="F4398" s="13" t="n">
        <v>2</v>
      </c>
      <c r="G4398" s="13" t="n">
        <v>2</v>
      </c>
      <c r="H4398" s="8" t="n">
        <v>9.65</v>
      </c>
      <c r="I4398" s="8" t="n">
        <v>9.65</v>
      </c>
      <c r="J4398" s="8" t="n">
        <v>9.65</v>
      </c>
      <c r="K4398" s="8" t="n"/>
      <c r="L4398" s="8" t="n"/>
      <c r="M4398" s="8" t="n"/>
      <c r="N4398" s="8" t="n"/>
      <c r="O4398" s="8" t="n"/>
      <c r="P4398" s="8" t="n"/>
      <c r="Q4398" s="8" t="n"/>
      <c r="R4398" s="8" t="n"/>
      <c r="S4398" s="8" t="n"/>
      <c r="T4398" s="7" t="inlineStr">
        <is>
          <t>SEM COTAÇÃO</t>
        </is>
      </c>
      <c r="U4398" s="8" t="n"/>
      <c r="V4398" s="14" t="n"/>
      <c r="W4398" s="14" t="n"/>
      <c r="X4398" s="7" t="inlineStr"/>
      <c r="Y4398" s="7" t="inlineStr"/>
    </row>
    <row r="4399">
      <c r="A4399" s="7" t="n">
        <v>598001</v>
      </c>
      <c r="B4399" s="12" t="inlineStr">
        <is>
          <t>7896013502906</t>
        </is>
      </c>
      <c r="C4399" s="7" t="inlineStr">
        <is>
          <t>TINT NATUCOR 1.7 PRETO AZULADO</t>
        </is>
      </c>
      <c r="D4399" s="7" t="inlineStr">
        <is>
          <t>TINTAS/DESCOLORANTES</t>
        </is>
      </c>
      <c r="E4399" s="7" t="inlineStr">
        <is>
          <t>C</t>
        </is>
      </c>
      <c r="F4399" s="13" t="n">
        <v>4</v>
      </c>
      <c r="G4399" s="13" t="n">
        <v>4</v>
      </c>
      <c r="H4399" s="8" t="n">
        <v>10.16</v>
      </c>
      <c r="I4399" s="8" t="n">
        <v>9.65</v>
      </c>
      <c r="J4399" s="8" t="n">
        <v>9.65</v>
      </c>
      <c r="K4399" s="8" t="n"/>
      <c r="L4399" s="8" t="n"/>
      <c r="M4399" s="8" t="n"/>
      <c r="N4399" s="8" t="n"/>
      <c r="O4399" s="8" t="n"/>
      <c r="P4399" s="8" t="n"/>
      <c r="Q4399" s="8" t="n"/>
      <c r="R4399" s="8" t="n"/>
      <c r="S4399" s="8" t="n"/>
      <c r="T4399" s="7" t="inlineStr">
        <is>
          <t>SEM COTAÇÃO</t>
        </is>
      </c>
      <c r="U4399" s="8" t="n"/>
      <c r="V4399" s="14" t="n"/>
      <c r="W4399" s="14" t="n"/>
      <c r="X4399" s="7" t="inlineStr"/>
      <c r="Y4399" s="7" t="inlineStr"/>
    </row>
    <row r="4400">
      <c r="A4400" s="7" t="n">
        <v>598011</v>
      </c>
      <c r="B4400" s="12" t="inlineStr">
        <is>
          <t>7896013502944</t>
        </is>
      </c>
      <c r="C4400" s="7" t="inlineStr">
        <is>
          <t>TINT NATUCOR 2.0 PRETO SUAVE</t>
        </is>
      </c>
      <c r="D4400" s="7" t="inlineStr">
        <is>
          <t>TINTAS/DESCOLORANTES</t>
        </is>
      </c>
      <c r="E4400" s="7" t="inlineStr">
        <is>
          <t>C</t>
        </is>
      </c>
      <c r="F4400" s="13" t="n">
        <v>3</v>
      </c>
      <c r="G4400" s="13" t="n">
        <v>3</v>
      </c>
      <c r="H4400" s="8" t="n">
        <v>10.69</v>
      </c>
      <c r="I4400" s="8" t="n">
        <v>10.69</v>
      </c>
      <c r="J4400" s="8" t="n">
        <v>10.69</v>
      </c>
      <c r="K4400" s="8" t="n"/>
      <c r="L4400" s="8" t="n"/>
      <c r="M4400" s="8" t="n"/>
      <c r="N4400" s="8" t="n"/>
      <c r="O4400" s="8" t="n"/>
      <c r="P4400" s="8" t="n"/>
      <c r="Q4400" s="8" t="n"/>
      <c r="R4400" s="8" t="n"/>
      <c r="S4400" s="8" t="n"/>
      <c r="T4400" s="7" t="inlineStr">
        <is>
          <t>SEM COTAÇÃO</t>
        </is>
      </c>
      <c r="U4400" s="8" t="n"/>
      <c r="V4400" s="14" t="n"/>
      <c r="W4400" s="14" t="n"/>
      <c r="X4400" s="7" t="inlineStr"/>
      <c r="Y4400" s="7" t="inlineStr"/>
    </row>
    <row r="4401">
      <c r="A4401" s="7" t="n">
        <v>598021</v>
      </c>
      <c r="B4401" s="12" t="inlineStr">
        <is>
          <t>7896013502166</t>
        </is>
      </c>
      <c r="C4401" s="7" t="inlineStr">
        <is>
          <t>TINT NATUCOR 3.0 CASTANHO ESCURO</t>
        </is>
      </c>
      <c r="D4401" s="7" t="inlineStr">
        <is>
          <t>TINTAS/DESCOLORANTES</t>
        </is>
      </c>
      <c r="E4401" s="7" t="inlineStr">
        <is>
          <t>B</t>
        </is>
      </c>
      <c r="F4401" s="13" t="n">
        <v>8</v>
      </c>
      <c r="G4401" s="13" t="n">
        <v>8</v>
      </c>
      <c r="H4401" s="8" t="n">
        <v>11.12</v>
      </c>
      <c r="I4401" s="8" t="n">
        <v>11.12</v>
      </c>
      <c r="J4401" s="8" t="n">
        <v>11.12</v>
      </c>
      <c r="K4401" s="8" t="n"/>
      <c r="L4401" s="8" t="n"/>
      <c r="M4401" s="8" t="n"/>
      <c r="N4401" s="8" t="n"/>
      <c r="O4401" s="8" t="n"/>
      <c r="P4401" s="8" t="n"/>
      <c r="Q4401" s="8" t="n"/>
      <c r="R4401" s="8" t="n"/>
      <c r="S4401" s="8" t="n"/>
      <c r="T4401" s="7" t="inlineStr">
        <is>
          <t>SEM COTAÇÃO</t>
        </is>
      </c>
      <c r="U4401" s="8" t="n"/>
      <c r="V4401" s="14" t="n"/>
      <c r="W4401" s="14" t="n"/>
      <c r="X4401" s="7" t="inlineStr"/>
      <c r="Y4401" s="7" t="inlineStr"/>
    </row>
    <row r="4402">
      <c r="A4402" s="7" t="n">
        <v>598041</v>
      </c>
      <c r="B4402" s="12" t="inlineStr">
        <is>
          <t>7896013567400</t>
        </is>
      </c>
      <c r="C4402" s="7" t="inlineStr">
        <is>
          <t>TINT NATUCOR 5.26 MARSALA ESCURO</t>
        </is>
      </c>
      <c r="D4402" s="7" t="inlineStr">
        <is>
          <t>TINTAS/DESCOLORANTES</t>
        </is>
      </c>
      <c r="E4402" s="7" t="inlineStr">
        <is>
          <t>C</t>
        </is>
      </c>
      <c r="F4402" s="13" t="n">
        <v>2</v>
      </c>
      <c r="G4402" s="13" t="n">
        <v>2</v>
      </c>
      <c r="H4402" s="8" t="n">
        <v>9.65</v>
      </c>
      <c r="I4402" s="8" t="n">
        <v>9.65</v>
      </c>
      <c r="J4402" s="8" t="n">
        <v>9.65</v>
      </c>
      <c r="K4402" s="8" t="n"/>
      <c r="L4402" s="8" t="n"/>
      <c r="M4402" s="8" t="n"/>
      <c r="N4402" s="8" t="n"/>
      <c r="O4402" s="8" t="n"/>
      <c r="P4402" s="8" t="n"/>
      <c r="Q4402" s="8" t="n"/>
      <c r="R4402" s="8" t="n"/>
      <c r="S4402" s="8" t="n"/>
      <c r="T4402" s="7" t="inlineStr">
        <is>
          <t>SEM COTAÇÃO</t>
        </is>
      </c>
      <c r="U4402" s="8" t="n"/>
      <c r="V4402" s="14" t="n"/>
      <c r="W4402" s="14" t="n"/>
      <c r="X4402" s="7" t="inlineStr"/>
      <c r="Y4402" s="7" t="inlineStr"/>
    </row>
    <row r="4403">
      <c r="A4403" s="7" t="n">
        <v>598061</v>
      </c>
      <c r="B4403" s="12" t="inlineStr">
        <is>
          <t>7896013516231</t>
        </is>
      </c>
      <c r="C4403" s="7" t="inlineStr">
        <is>
          <t>TINT NATUCOR 6.7 CHOCOLATE</t>
        </is>
      </c>
      <c r="D4403" s="7" t="inlineStr">
        <is>
          <t>TINTAS/DESCOLORANTES</t>
        </is>
      </c>
      <c r="E4403" s="7" t="inlineStr">
        <is>
          <t>C</t>
        </is>
      </c>
      <c r="F4403" s="13" t="n">
        <v>2</v>
      </c>
      <c r="G4403" s="13" t="n">
        <v>2</v>
      </c>
      <c r="H4403" s="8" t="n">
        <v>9.65</v>
      </c>
      <c r="I4403" s="8" t="n">
        <v>9.65</v>
      </c>
      <c r="J4403" s="8" t="n">
        <v>9.65</v>
      </c>
      <c r="K4403" s="8" t="n"/>
      <c r="L4403" s="8" t="n"/>
      <c r="M4403" s="8" t="n"/>
      <c r="N4403" s="8" t="n"/>
      <c r="O4403" s="8" t="n"/>
      <c r="P4403" s="8" t="n"/>
      <c r="Q4403" s="8" t="n"/>
      <c r="R4403" s="8" t="n"/>
      <c r="S4403" s="8" t="n"/>
      <c r="T4403" s="7" t="inlineStr">
        <is>
          <t>SEM COTAÇÃO</t>
        </is>
      </c>
      <c r="U4403" s="8" t="n"/>
      <c r="V4403" s="14" t="n"/>
      <c r="W4403" s="14" t="n"/>
      <c r="X4403" s="7" t="inlineStr"/>
      <c r="Y4403" s="7" t="inlineStr"/>
    </row>
    <row r="4404">
      <c r="A4404" s="7" t="n">
        <v>652911</v>
      </c>
      <c r="B4404" s="12" t="inlineStr">
        <is>
          <t>7896013567196</t>
        </is>
      </c>
      <c r="C4404" s="7" t="inlineStr">
        <is>
          <t>TINT NATUCOR 8.0 LOURO CLARO</t>
        </is>
      </c>
      <c r="D4404" s="7" t="inlineStr">
        <is>
          <t>TINTAS/DESCOLORANTES</t>
        </is>
      </c>
      <c r="E4404" s="7" t="inlineStr">
        <is>
          <t>C</t>
        </is>
      </c>
      <c r="F4404" s="13" t="n">
        <v>2</v>
      </c>
      <c r="G4404" s="13" t="n">
        <v>2</v>
      </c>
      <c r="H4404" s="8" t="n">
        <v>9.65</v>
      </c>
      <c r="I4404" s="8" t="n">
        <v>9.65</v>
      </c>
      <c r="J4404" s="8" t="n">
        <v>9.65</v>
      </c>
      <c r="K4404" s="8" t="n"/>
      <c r="L4404" s="8" t="n"/>
      <c r="M4404" s="8" t="n"/>
      <c r="N4404" s="8" t="n"/>
      <c r="O4404" s="8" t="n"/>
      <c r="P4404" s="8" t="n"/>
      <c r="Q4404" s="8" t="n"/>
      <c r="R4404" s="8" t="n"/>
      <c r="S4404" s="8" t="n"/>
      <c r="T4404" s="7" t="inlineStr">
        <is>
          <t>SEM COTAÇÃO</t>
        </is>
      </c>
      <c r="U4404" s="8" t="n"/>
      <c r="V4404" s="14" t="n"/>
      <c r="W4404" s="14" t="n"/>
      <c r="X4404" s="7" t="inlineStr"/>
      <c r="Y4404" s="7" t="inlineStr"/>
    </row>
    <row r="4405">
      <c r="A4405" s="7" t="n">
        <v>534301</v>
      </c>
      <c r="B4405" s="12" t="inlineStr">
        <is>
          <t>7896014125265</t>
        </is>
      </c>
      <c r="C4405" s="7" t="inlineStr">
        <is>
          <t>TINT. NUTRISSE 30 GRAFITE</t>
        </is>
      </c>
      <c r="D4405" s="7" t="inlineStr">
        <is>
          <t>TINTAS/DESCOLORANTES</t>
        </is>
      </c>
      <c r="E4405" s="7" t="inlineStr">
        <is>
          <t>B</t>
        </is>
      </c>
      <c r="F4405" s="13" t="n">
        <v>1</v>
      </c>
      <c r="G4405" s="13" t="n">
        <v>1</v>
      </c>
      <c r="H4405" s="8" t="n">
        <v>17.14</v>
      </c>
      <c r="I4405" s="8" t="n">
        <v>17.14</v>
      </c>
      <c r="J4405" s="8" t="n">
        <v>17.14</v>
      </c>
      <c r="K4405" s="8" t="n"/>
      <c r="L4405" s="8" t="n"/>
      <c r="M4405" s="8" t="n"/>
      <c r="N4405" s="8" t="n"/>
      <c r="O4405" s="8" t="n"/>
      <c r="P4405" s="15" t="n">
        <v>19.68</v>
      </c>
      <c r="Q4405" s="8" t="n"/>
      <c r="R4405" s="8" t="n"/>
      <c r="S4405" s="8" t="n"/>
      <c r="T4405" s="7" t="inlineStr">
        <is>
          <t>NAZARIA</t>
        </is>
      </c>
      <c r="U4405" s="8" t="n">
        <v>19.68</v>
      </c>
      <c r="V4405" s="14">
        <f>U4405/J4405-1</f>
        <v/>
      </c>
      <c r="W4405" s="14">
        <f>U4405/H4405-1</f>
        <v/>
      </c>
      <c r="X4405" s="16" t="inlineStr">
        <is>
          <t>ACIMA +14.8%</t>
        </is>
      </c>
      <c r="Y4405" s="7" t="inlineStr"/>
    </row>
    <row r="4406">
      <c r="A4406" s="7" t="n">
        <v>563021</v>
      </c>
      <c r="B4406" s="12" t="inlineStr">
        <is>
          <t>7896000706072</t>
        </is>
      </c>
      <c r="C4406" s="7" t="inlineStr">
        <is>
          <t>TINT.COR&amp;TON 8.1 LOURO CINZA CLARO</t>
        </is>
      </c>
      <c r="D4406" s="7" t="inlineStr">
        <is>
          <t>TINTAS/DESCOLORANTES</t>
        </is>
      </c>
      <c r="E4406" s="7" t="inlineStr">
        <is>
          <t>A</t>
        </is>
      </c>
      <c r="F4406" s="13" t="n">
        <v>1</v>
      </c>
      <c r="G4406" s="13" t="n">
        <v>1</v>
      </c>
      <c r="H4406" s="8" t="n">
        <v>12.09</v>
      </c>
      <c r="I4406" s="8" t="n">
        <v>9.82</v>
      </c>
      <c r="J4406" s="8" t="n">
        <v>11.33333333333333</v>
      </c>
      <c r="K4406" s="8" t="n"/>
      <c r="L4406" s="8" t="n"/>
      <c r="M4406" s="8" t="n"/>
      <c r="N4406" s="8" t="n"/>
      <c r="O4406" s="8" t="n"/>
      <c r="P4406" s="15" t="n">
        <v>12.87</v>
      </c>
      <c r="Q4406" s="8" t="n"/>
      <c r="R4406" s="8" t="n"/>
      <c r="S4406" s="8" t="n"/>
      <c r="T4406" s="7" t="inlineStr">
        <is>
          <t>NAZARIA</t>
        </is>
      </c>
      <c r="U4406" s="8" t="n">
        <v>12.87</v>
      </c>
      <c r="V4406" s="14">
        <f>U4406/J4406-1</f>
        <v/>
      </c>
      <c r="W4406" s="14">
        <f>U4406/H4406-1</f>
        <v/>
      </c>
      <c r="X4406" s="16" t="inlineStr">
        <is>
          <t>ACIMA +6.5%</t>
        </is>
      </c>
      <c r="Y4406" s="7" t="inlineStr"/>
    </row>
    <row r="4407">
      <c r="A4407" s="7" t="n">
        <v>605361</v>
      </c>
      <c r="B4407" s="12" t="inlineStr">
        <is>
          <t>7891182016537</t>
        </is>
      </c>
      <c r="C4407" s="7" t="inlineStr">
        <is>
          <t>TINT.KOLESTON 1281 LOU.DOU.55</t>
        </is>
      </c>
      <c r="D4407" s="7" t="inlineStr">
        <is>
          <t>TINTAS/DESCOLORANTES</t>
        </is>
      </c>
      <c r="E4407" s="7" t="inlineStr">
        <is>
          <t>C</t>
        </is>
      </c>
      <c r="F4407" s="13" t="n">
        <v>1</v>
      </c>
      <c r="G4407" s="13" t="n">
        <v>1</v>
      </c>
      <c r="H4407" s="8" t="n">
        <v>15.6</v>
      </c>
      <c r="I4407" s="8" t="n">
        <v>15.6</v>
      </c>
      <c r="J4407" s="8" t="n">
        <v>15.6</v>
      </c>
      <c r="K4407" s="8" t="n"/>
      <c r="L4407" s="8" t="n"/>
      <c r="M4407" s="8" t="n"/>
      <c r="N4407" s="8" t="n"/>
      <c r="O4407" s="8" t="n"/>
      <c r="P4407" s="8" t="n"/>
      <c r="Q4407" s="8" t="n"/>
      <c r="R4407" s="8" t="n"/>
      <c r="S4407" s="8" t="n"/>
      <c r="T4407" s="7" t="inlineStr">
        <is>
          <t>SEM COTAÇÃO</t>
        </is>
      </c>
      <c r="U4407" s="8" t="n"/>
      <c r="V4407" s="14" t="n"/>
      <c r="W4407" s="14" t="n"/>
      <c r="X4407" s="7" t="inlineStr"/>
      <c r="Y4407" s="7" t="inlineStr"/>
    </row>
    <row r="4408">
      <c r="A4408" s="7" t="n">
        <v>534361</v>
      </c>
      <c r="B4408" s="12" t="inlineStr">
        <is>
          <t>7896014125241</t>
        </is>
      </c>
      <c r="C4408" s="7" t="inlineStr">
        <is>
          <t>TINT.NUTRISSE 10 PRETO ONIX</t>
        </is>
      </c>
      <c r="D4408" s="7" t="inlineStr">
        <is>
          <t>TINTAS/DESCOLORANTES</t>
        </is>
      </c>
      <c r="E4408" s="7" t="inlineStr">
        <is>
          <t>C</t>
        </is>
      </c>
      <c r="F4408" s="13" t="n">
        <v>2</v>
      </c>
      <c r="G4408" s="13" t="n">
        <v>2</v>
      </c>
      <c r="H4408" s="8" t="n">
        <v>17.14</v>
      </c>
      <c r="I4408" s="8" t="n">
        <v>17.14</v>
      </c>
      <c r="J4408" s="8" t="n">
        <v>17.14</v>
      </c>
      <c r="K4408" s="8" t="n"/>
      <c r="L4408" s="8" t="n"/>
      <c r="M4408" s="8" t="n"/>
      <c r="N4408" s="8" t="n"/>
      <c r="O4408" s="8" t="n"/>
      <c r="P4408" s="15" t="n">
        <v>19.68</v>
      </c>
      <c r="Q4408" s="8" t="n"/>
      <c r="R4408" s="8" t="n"/>
      <c r="S4408" s="8" t="n"/>
      <c r="T4408" s="7" t="inlineStr">
        <is>
          <t>NAZARIA</t>
        </is>
      </c>
      <c r="U4408" s="8" t="n">
        <v>19.68</v>
      </c>
      <c r="V4408" s="14">
        <f>U4408/J4408-1</f>
        <v/>
      </c>
      <c r="W4408" s="14">
        <f>U4408/H4408-1</f>
        <v/>
      </c>
      <c r="X4408" s="16" t="inlineStr">
        <is>
          <t>ACIMA +14.8%</t>
        </is>
      </c>
      <c r="Y4408" s="7" t="inlineStr"/>
    </row>
    <row r="4409">
      <c r="A4409" s="7" t="n">
        <v>551681</v>
      </c>
      <c r="B4409" s="12" t="inlineStr">
        <is>
          <t>7896013544197</t>
        </is>
      </c>
      <c r="C4409" s="7" t="inlineStr">
        <is>
          <t>TINTURA CREME 1.7 PRETO AZULADO MAXTON</t>
        </is>
      </c>
      <c r="D4409" s="7" t="inlineStr">
        <is>
          <t>TINTAS/DESCOLORANTES</t>
        </is>
      </c>
      <c r="E4409" s="7" t="inlineStr">
        <is>
          <t>B</t>
        </is>
      </c>
      <c r="F4409" s="13" t="n">
        <v>3</v>
      </c>
      <c r="G4409" s="13" t="n">
        <v>3</v>
      </c>
      <c r="H4409" s="8" t="n">
        <v>12.75</v>
      </c>
      <c r="I4409" s="8" t="n">
        <v>9.73</v>
      </c>
      <c r="J4409" s="8" t="n">
        <v>11.74333333333333</v>
      </c>
      <c r="K4409" s="8" t="n"/>
      <c r="L4409" s="8" t="n"/>
      <c r="M4409" s="8" t="n"/>
      <c r="N4409" s="8" t="n"/>
      <c r="O4409" s="8" t="n"/>
      <c r="P4409" s="8" t="n"/>
      <c r="Q4409" s="8" t="n"/>
      <c r="R4409" s="8" t="n"/>
      <c r="S4409" s="8" t="n"/>
      <c r="T4409" s="7" t="inlineStr">
        <is>
          <t>SEM COTAÇÃO</t>
        </is>
      </c>
      <c r="U4409" s="8" t="n"/>
      <c r="V4409" s="14" t="n"/>
      <c r="W4409" s="14" t="n"/>
      <c r="X4409" s="7" t="inlineStr"/>
      <c r="Y4409" s="7" t="inlineStr"/>
    </row>
    <row r="4410">
      <c r="A4410" s="7" t="n">
        <v>540941</v>
      </c>
      <c r="B4410" s="12" t="inlineStr">
        <is>
          <t>7898031310952</t>
        </is>
      </c>
      <c r="C4410" s="7" t="inlineStr">
        <is>
          <t>TINTURA DE ARNICA 30ML</t>
        </is>
      </c>
      <c r="D4410" s="7" t="inlineStr">
        <is>
          <t>SIMILAR</t>
        </is>
      </c>
      <c r="E4410" s="7" t="inlineStr">
        <is>
          <t>A</t>
        </is>
      </c>
      <c r="F4410" s="13" t="n">
        <v>19</v>
      </c>
      <c r="G4410" s="13" t="n">
        <v>19</v>
      </c>
      <c r="H4410" s="8" t="n">
        <v>4.31</v>
      </c>
      <c r="I4410" s="8" t="n">
        <v>4.31</v>
      </c>
      <c r="J4410" s="8" t="n">
        <v>4.31</v>
      </c>
      <c r="K4410" s="15" t="n">
        <v>4.31</v>
      </c>
      <c r="L4410" s="8" t="n"/>
      <c r="M4410" s="8" t="n"/>
      <c r="N4410" s="8" t="n">
        <v>4.58</v>
      </c>
      <c r="O4410" s="8" t="n"/>
      <c r="P4410" s="8" t="n">
        <v>5.88</v>
      </c>
      <c r="Q4410" s="8" t="n">
        <v>5.27</v>
      </c>
      <c r="R4410" s="8" t="n"/>
      <c r="S4410" s="8" t="n"/>
      <c r="T4410" s="7" t="inlineStr">
        <is>
          <t>DIMEC</t>
        </is>
      </c>
      <c r="U4410" s="8" t="n">
        <v>4.31</v>
      </c>
      <c r="V4410" s="14">
        <f>U4410/J4410-1</f>
        <v/>
      </c>
      <c r="W4410" s="14">
        <f>U4410/H4410-1</f>
        <v/>
      </c>
      <c r="X4410" s="17" t="inlineStr">
        <is>
          <t>OK (≤ menor hist.)</t>
        </is>
      </c>
      <c r="Y4410" s="7" t="inlineStr"/>
    </row>
    <row r="4411">
      <c r="A4411" s="7" t="n">
        <v>535061</v>
      </c>
      <c r="B4411" s="12" t="inlineStr">
        <is>
          <t>7896000706041</t>
        </is>
      </c>
      <c r="C4411" s="7" t="inlineStr">
        <is>
          <t>TINTURA PERMANENTE CORTON 50G 9.0 LOURO CLARISSIMO UNIT</t>
        </is>
      </c>
      <c r="D4411" s="7" t="inlineStr">
        <is>
          <t>TINTAS/DESCOLORANTES</t>
        </is>
      </c>
      <c r="E4411" s="7" t="inlineStr">
        <is>
          <t>C</t>
        </is>
      </c>
      <c r="F4411" s="13" t="n">
        <v>1</v>
      </c>
      <c r="G4411" s="13" t="n">
        <v>1</v>
      </c>
      <c r="H4411" s="8" t="n">
        <v>10.5</v>
      </c>
      <c r="I4411" s="8" t="n">
        <v>10.5</v>
      </c>
      <c r="J4411" s="8" t="n">
        <v>10.5</v>
      </c>
      <c r="K4411" s="8" t="n"/>
      <c r="L4411" s="8" t="n"/>
      <c r="M4411" s="8" t="n"/>
      <c r="N4411" s="8" t="n"/>
      <c r="O4411" s="8" t="n"/>
      <c r="P4411" s="15" t="n">
        <v>12.87</v>
      </c>
      <c r="Q4411" s="8" t="n"/>
      <c r="R4411" s="8" t="n"/>
      <c r="S4411" s="8" t="n"/>
      <c r="T4411" s="7" t="inlineStr">
        <is>
          <t>NAZARIA</t>
        </is>
      </c>
      <c r="U4411" s="8" t="n">
        <v>12.87</v>
      </c>
      <c r="V4411" s="14">
        <f>U4411/J4411-1</f>
        <v/>
      </c>
      <c r="W4411" s="14">
        <f>U4411/H4411-1</f>
        <v/>
      </c>
      <c r="X4411" s="16" t="inlineStr">
        <is>
          <t>ACIMA +22.6%</t>
        </is>
      </c>
      <c r="Y4411" s="7" t="inlineStr"/>
    </row>
    <row r="4412">
      <c r="A4412" s="7" t="n">
        <v>983</v>
      </c>
      <c r="B4412" s="12" t="inlineStr">
        <is>
          <t>7898636191581</t>
        </is>
      </c>
      <c r="C4412" s="7" t="inlineStr">
        <is>
          <t>TIO NACHO SH+CON ENGROS 415ML</t>
        </is>
      </c>
      <c r="D4412" s="7" t="inlineStr">
        <is>
          <t>PERF/COSME</t>
        </is>
      </c>
      <c r="E4412" s="7" t="inlineStr">
        <is>
          <t>C</t>
        </is>
      </c>
      <c r="F4412" s="13" t="n">
        <v>1</v>
      </c>
      <c r="G4412" s="13" t="n">
        <v>1</v>
      </c>
      <c r="H4412" s="8" t="n">
        <v>44.6</v>
      </c>
      <c r="I4412" s="8" t="n">
        <v>44.6</v>
      </c>
      <c r="J4412" s="8" t="n">
        <v>44.6</v>
      </c>
      <c r="K4412" s="8" t="n"/>
      <c r="L4412" s="8" t="n"/>
      <c r="M4412" s="8" t="n"/>
      <c r="N4412" s="8" t="n"/>
      <c r="O4412" s="8" t="n"/>
      <c r="P4412" s="15" t="n">
        <v>48.66</v>
      </c>
      <c r="Q4412" s="8" t="n"/>
      <c r="R4412" s="8" t="n"/>
      <c r="S4412" s="8" t="n"/>
      <c r="T4412" s="7" t="inlineStr">
        <is>
          <t>NAZARIA</t>
        </is>
      </c>
      <c r="U4412" s="8" t="n">
        <v>48.66</v>
      </c>
      <c r="V4412" s="14">
        <f>U4412/J4412-1</f>
        <v/>
      </c>
      <c r="W4412" s="14">
        <f>U4412/H4412-1</f>
        <v/>
      </c>
      <c r="X4412" s="16" t="inlineStr">
        <is>
          <t>ACIMA +9.1%</t>
        </is>
      </c>
      <c r="Y4412" s="7" t="inlineStr"/>
    </row>
    <row r="4413">
      <c r="A4413" s="7" t="n">
        <v>416441</v>
      </c>
      <c r="B4413" s="12" t="inlineStr"/>
      <c r="C4413" s="7" t="inlineStr">
        <is>
          <t>TIORFAN 100MG CX 9 CAP</t>
        </is>
      </c>
      <c r="D4413" s="7" t="inlineStr">
        <is>
          <t>RX</t>
        </is>
      </c>
      <c r="E4413" s="7" t="inlineStr">
        <is>
          <t>A</t>
        </is>
      </c>
      <c r="F4413" s="13" t="n">
        <v>10</v>
      </c>
      <c r="G4413" s="13" t="n">
        <v>10</v>
      </c>
      <c r="H4413" s="8" t="n">
        <v>42.4033</v>
      </c>
      <c r="I4413" s="8" t="n">
        <v>38.6471</v>
      </c>
      <c r="J4413" s="8" t="n">
        <v>40.61746666666667</v>
      </c>
      <c r="K4413" s="8" t="n"/>
      <c r="L4413" s="8" t="n"/>
      <c r="M4413" s="8" t="n"/>
      <c r="N4413" s="8" t="n"/>
      <c r="O4413" s="8" t="n"/>
      <c r="P4413" s="8" t="n"/>
      <c r="Q4413" s="8" t="n"/>
      <c r="R4413" s="8" t="n"/>
      <c r="S4413" s="8" t="n"/>
      <c r="T4413" s="7" t="inlineStr">
        <is>
          <t>SEM COTAÇÃO</t>
        </is>
      </c>
      <c r="U4413" s="8" t="n"/>
      <c r="V4413" s="14" t="n"/>
      <c r="W4413" s="14" t="n"/>
      <c r="X4413" s="7" t="inlineStr"/>
      <c r="Y4413" s="7" t="inlineStr"/>
    </row>
    <row r="4414">
      <c r="A4414" s="7" t="n">
        <v>619311</v>
      </c>
      <c r="B4414" s="12" t="inlineStr">
        <is>
          <t>7898601062984</t>
        </is>
      </c>
      <c r="C4414" s="7" t="inlineStr">
        <is>
          <t>TIPOIA ORTOPEDICA INF MASC AZUL M KSN058</t>
        </is>
      </c>
      <c r="D4414" s="7" t="inlineStr">
        <is>
          <t>ORTOPEDICO</t>
        </is>
      </c>
      <c r="E4414" s="7" t="inlineStr">
        <is>
          <t>B</t>
        </is>
      </c>
      <c r="F4414" s="13" t="n">
        <v>1</v>
      </c>
      <c r="G4414" s="13" t="n">
        <v>1</v>
      </c>
      <c r="H4414" s="8" t="n">
        <v>49.55</v>
      </c>
      <c r="I4414" s="8" t="n">
        <v>49.55</v>
      </c>
      <c r="J4414" s="8" t="n">
        <v>49.54999999999999</v>
      </c>
      <c r="K4414" s="8" t="n"/>
      <c r="L4414" s="8" t="n"/>
      <c r="M4414" s="8" t="n"/>
      <c r="N4414" s="15" t="n">
        <v>52.58</v>
      </c>
      <c r="O4414" s="8" t="n"/>
      <c r="P4414" s="8" t="n"/>
      <c r="Q4414" s="8" t="n"/>
      <c r="R4414" s="8" t="n"/>
      <c r="S4414" s="8" t="n"/>
      <c r="T4414" s="7" t="inlineStr">
        <is>
          <t>CENTROFARMA</t>
        </is>
      </c>
      <c r="U4414" s="8" t="n">
        <v>52.58</v>
      </c>
      <c r="V4414" s="14">
        <f>U4414/J4414-1</f>
        <v/>
      </c>
      <c r="W4414" s="14">
        <f>U4414/H4414-1</f>
        <v/>
      </c>
      <c r="X4414" s="16" t="inlineStr">
        <is>
          <t>ACIMA +6.1%</t>
        </is>
      </c>
      <c r="Y4414" s="7" t="inlineStr"/>
    </row>
    <row r="4415">
      <c r="A4415" s="7" t="n">
        <v>3153</v>
      </c>
      <c r="B4415" s="12" t="inlineStr">
        <is>
          <t>7898301056757</t>
        </is>
      </c>
      <c r="C4415" s="7" t="inlineStr">
        <is>
          <t>TIRA DE TESTE DE GLICOSE C/25 UND FREE 1</t>
        </is>
      </c>
      <c r="D4415" s="7" t="inlineStr">
        <is>
          <t>RX - DIABETES</t>
        </is>
      </c>
      <c r="E4415" s="7" t="inlineStr">
        <is>
          <t>A</t>
        </is>
      </c>
      <c r="F4415" s="13" t="n">
        <v>5</v>
      </c>
      <c r="G4415" s="13" t="n">
        <v>5</v>
      </c>
      <c r="H4415" s="8" t="n">
        <v>46.42</v>
      </c>
      <c r="I4415" s="8" t="n">
        <v>43.95</v>
      </c>
      <c r="J4415" s="8" t="n">
        <v>45.59333333333333</v>
      </c>
      <c r="K4415" s="8" t="n">
        <v>51.3</v>
      </c>
      <c r="L4415" s="8" t="n"/>
      <c r="M4415" s="15" t="n">
        <v>39.88</v>
      </c>
      <c r="N4415" s="8" t="n">
        <v>54.55</v>
      </c>
      <c r="O4415" s="8" t="n"/>
      <c r="P4415" s="8" t="n"/>
      <c r="Q4415" s="8" t="n"/>
      <c r="R4415" s="8" t="n"/>
      <c r="S4415" s="8" t="n"/>
      <c r="T4415" s="7" t="inlineStr">
        <is>
          <t>EPAN</t>
        </is>
      </c>
      <c r="U4415" s="8" t="n">
        <v>39.88</v>
      </c>
      <c r="V4415" s="14">
        <f>U4415/J4415-1</f>
        <v/>
      </c>
      <c r="W4415" s="14">
        <f>U4415/H4415-1</f>
        <v/>
      </c>
      <c r="X4415" s="17" t="inlineStr">
        <is>
          <t>OK (≤ menor hist.)</t>
        </is>
      </c>
      <c r="Y4415" s="7" t="inlineStr"/>
    </row>
    <row r="4416">
      <c r="A4416" s="7" t="n">
        <v>648221</v>
      </c>
      <c r="B4416" s="12" t="inlineStr">
        <is>
          <t>6939184632407</t>
        </is>
      </c>
      <c r="C4416" s="7" t="inlineStr">
        <is>
          <t>TIRA DE TESTE DE GLICOSE C/50 UND</t>
        </is>
      </c>
      <c r="D4416" s="7" t="inlineStr">
        <is>
          <t>UTENSILIOS</t>
        </is>
      </c>
      <c r="E4416" s="7" t="inlineStr">
        <is>
          <t>C</t>
        </is>
      </c>
      <c r="F4416" s="13" t="n">
        <v>2</v>
      </c>
      <c r="G4416" s="13" t="n">
        <v>2</v>
      </c>
      <c r="H4416" s="8" t="n">
        <v>44.53</v>
      </c>
      <c r="I4416" s="8" t="n">
        <v>44.53</v>
      </c>
      <c r="J4416" s="8" t="n">
        <v>44.53</v>
      </c>
      <c r="K4416" s="8" t="n"/>
      <c r="L4416" s="15" t="n">
        <v>29.9</v>
      </c>
      <c r="M4416" s="8" t="n"/>
      <c r="N4416" s="8" t="n"/>
      <c r="O4416" s="8" t="n"/>
      <c r="P4416" s="8" t="n"/>
      <c r="Q4416" s="8" t="n"/>
      <c r="R4416" s="8" t="n"/>
      <c r="S4416" s="8" t="n"/>
      <c r="T4416" s="7" t="inlineStr">
        <is>
          <t>PLUSFARMA</t>
        </is>
      </c>
      <c r="U4416" s="8" t="n">
        <v>29.9</v>
      </c>
      <c r="V4416" s="14">
        <f>U4416/J4416-1</f>
        <v/>
      </c>
      <c r="W4416" s="14">
        <f>U4416/H4416-1</f>
        <v/>
      </c>
      <c r="X4416" s="17" t="inlineStr">
        <is>
          <t>OK (≤ menor hist.)</t>
        </is>
      </c>
      <c r="Y4416" s="7" t="inlineStr"/>
    </row>
    <row r="4417">
      <c r="A4417" s="7" t="n">
        <v>3163</v>
      </c>
      <c r="B4417" s="12" t="inlineStr">
        <is>
          <t>7898301056740</t>
        </is>
      </c>
      <c r="C4417" s="7" t="inlineStr">
        <is>
          <t>TIRA DE TESTE DE GLICOSE C/50 UND FREE 1</t>
        </is>
      </c>
      <c r="D4417" s="7" t="inlineStr">
        <is>
          <t>RX - DIABETES</t>
        </is>
      </c>
      <c r="E4417" s="7" t="inlineStr">
        <is>
          <t>A</t>
        </is>
      </c>
      <c r="F4417" s="13" t="n">
        <v>23</v>
      </c>
      <c r="G4417" s="13" t="n">
        <v>23</v>
      </c>
      <c r="H4417" s="8" t="n">
        <v>51.625</v>
      </c>
      <c r="I4417" s="8" t="n">
        <v>48.88</v>
      </c>
      <c r="J4417" s="8" t="n">
        <v>50.70886666666667</v>
      </c>
      <c r="K4417" s="8" t="n">
        <v>67.45999999999999</v>
      </c>
      <c r="L4417" s="8" t="n"/>
      <c r="M4417" s="15" t="n">
        <v>52.34</v>
      </c>
      <c r="N4417" s="8" t="n">
        <v>68.90000000000001</v>
      </c>
      <c r="O4417" s="8" t="n"/>
      <c r="P4417" s="8" t="n"/>
      <c r="Q4417" s="8" t="n">
        <v>77.98</v>
      </c>
      <c r="R4417" s="8" t="n"/>
      <c r="S4417" s="8" t="n"/>
      <c r="T4417" s="7" t="inlineStr">
        <is>
          <t>EPAN</t>
        </is>
      </c>
      <c r="U4417" s="8" t="n">
        <v>52.34</v>
      </c>
      <c r="V4417" s="14">
        <f>U4417/J4417-1</f>
        <v/>
      </c>
      <c r="W4417" s="14">
        <f>U4417/H4417-1</f>
        <v/>
      </c>
      <c r="X4417" s="16" t="inlineStr">
        <is>
          <t>ACIMA +1.4%</t>
        </is>
      </c>
      <c r="Y4417" s="7" t="inlineStr"/>
    </row>
    <row r="4418">
      <c r="A4418" s="7" t="n">
        <v>616151</v>
      </c>
      <c r="B4418" s="12" t="inlineStr"/>
      <c r="C4418" s="7" t="inlineStr">
        <is>
          <t>TIRA DE TESTE DE GLICOSE LITE C/50 UND</t>
        </is>
      </c>
      <c r="D4418" s="7" t="inlineStr">
        <is>
          <t>RX - OTC</t>
        </is>
      </c>
      <c r="E4418" s="7" t="inlineStr">
        <is>
          <t>A</t>
        </is>
      </c>
      <c r="F4418" s="13" t="n">
        <v>1</v>
      </c>
      <c r="G4418" s="13" t="n">
        <v>1</v>
      </c>
      <c r="H4418" s="8" t="n">
        <v>53.35</v>
      </c>
      <c r="I4418" s="8" t="n">
        <v>52.79</v>
      </c>
      <c r="J4418" s="8" t="n">
        <v>53.16333333333333</v>
      </c>
      <c r="K4418" s="8" t="n"/>
      <c r="L4418" s="8" t="n"/>
      <c r="M4418" s="8" t="n"/>
      <c r="N4418" s="8" t="n"/>
      <c r="O4418" s="8" t="n"/>
      <c r="P4418" s="8" t="n"/>
      <c r="Q4418" s="8" t="n"/>
      <c r="R4418" s="8" t="n"/>
      <c r="S4418" s="8" t="n"/>
      <c r="T4418" s="7" t="inlineStr">
        <is>
          <t>SEM COTAÇÃO</t>
        </is>
      </c>
      <c r="U4418" s="8" t="n"/>
      <c r="V4418" s="14" t="n"/>
      <c r="W4418" s="14" t="n"/>
      <c r="X4418" s="7" t="inlineStr"/>
      <c r="Y4418" s="7" t="inlineStr"/>
    </row>
    <row r="4419">
      <c r="A4419" s="7" t="n">
        <v>600561</v>
      </c>
      <c r="B4419" s="12" t="inlineStr">
        <is>
          <t>7898653620033</t>
        </is>
      </c>
      <c r="C4419" s="7" t="inlineStr">
        <is>
          <t>TIRAS ACCU-CHEK CAIXA C/ 3 CX C/ 50UN</t>
        </is>
      </c>
      <c r="D4419" s="7" t="inlineStr">
        <is>
          <t>RX - DIABETES</t>
        </is>
      </c>
      <c r="E4419" s="7" t="inlineStr">
        <is>
          <t>B</t>
        </is>
      </c>
      <c r="F4419" s="13" t="n">
        <v>1</v>
      </c>
      <c r="G4419" s="13" t="n">
        <v>1</v>
      </c>
      <c r="H4419" s="8" t="n">
        <v>64.9867</v>
      </c>
      <c r="I4419" s="8" t="n">
        <v>50.8467</v>
      </c>
      <c r="J4419" s="8" t="n">
        <v>60.27336666666667</v>
      </c>
      <c r="K4419" s="8" t="n"/>
      <c r="L4419" s="8" t="n"/>
      <c r="M4419" s="15" t="n">
        <v>175.73</v>
      </c>
      <c r="N4419" s="8" t="n"/>
      <c r="O4419" s="8" t="n"/>
      <c r="P4419" s="8" t="n">
        <v>211.55</v>
      </c>
      <c r="Q4419" s="8" t="n"/>
      <c r="R4419" s="8" t="n"/>
      <c r="S4419" s="8" t="n"/>
      <c r="T4419" s="7" t="inlineStr">
        <is>
          <t>EPAN</t>
        </is>
      </c>
      <c r="U4419" s="8" t="n">
        <v>175.73</v>
      </c>
      <c r="V4419" s="14">
        <f>U4419/J4419-1</f>
        <v/>
      </c>
      <c r="W4419" s="14">
        <f>U4419/H4419-1</f>
        <v/>
      </c>
      <c r="X4419" s="16" t="inlineStr">
        <is>
          <t>ACIMA +170.4%</t>
        </is>
      </c>
      <c r="Y4419" s="7" t="inlineStr">
        <is>
          <t>EPAN: conferir emb.; NAZARIA: conferir emb.</t>
        </is>
      </c>
    </row>
    <row r="4420">
      <c r="A4420" s="7" t="n">
        <v>619341</v>
      </c>
      <c r="B4420" s="12" t="inlineStr"/>
      <c r="C4420" s="7" t="inlineStr">
        <is>
          <t>TIRAS P/ MEDIR GLICOSE C/25 LITE</t>
        </is>
      </c>
      <c r="D4420" s="7" t="inlineStr">
        <is>
          <t>RX - OTC</t>
        </is>
      </c>
      <c r="E4420" s="7" t="inlineStr">
        <is>
          <t>A</t>
        </is>
      </c>
      <c r="F4420" s="13" t="n">
        <v>2</v>
      </c>
      <c r="G4420" s="13" t="n">
        <v>2</v>
      </c>
      <c r="H4420" s="8" t="n">
        <v>32.13</v>
      </c>
      <c r="I4420" s="8" t="n">
        <v>32.1293</v>
      </c>
      <c r="J4420" s="8" t="n">
        <v>32.12976666666667</v>
      </c>
      <c r="K4420" s="8" t="n"/>
      <c r="L4420" s="8" t="n"/>
      <c r="M4420" s="8" t="n"/>
      <c r="N4420" s="8" t="n"/>
      <c r="O4420" s="8" t="n"/>
      <c r="P4420" s="8" t="n"/>
      <c r="Q4420" s="8" t="n"/>
      <c r="R4420" s="8" t="n"/>
      <c r="S4420" s="8" t="n"/>
      <c r="T4420" s="7" t="inlineStr">
        <is>
          <t>SEM COTAÇÃO</t>
        </is>
      </c>
      <c r="U4420" s="8" t="n"/>
      <c r="V4420" s="14" t="n"/>
      <c r="W4420" s="14" t="n"/>
      <c r="X4420" s="7" t="inlineStr"/>
      <c r="Y4420" s="7" t="inlineStr"/>
    </row>
    <row r="4421">
      <c r="A4421" s="7" t="n">
        <v>21703</v>
      </c>
      <c r="B4421" s="12" t="inlineStr">
        <is>
          <t>6936268401911</t>
        </is>
      </c>
      <c r="C4421" s="7" t="inlineStr">
        <is>
          <t>TIRAS TESTE GLICOSE GH83 C/50 TIRASCX</t>
        </is>
      </c>
      <c r="D4421" s="7" t="inlineStr">
        <is>
          <t>UTENSILIOS</t>
        </is>
      </c>
      <c r="E4421" s="7" t="inlineStr">
        <is>
          <t>A</t>
        </is>
      </c>
      <c r="F4421" s="13" t="n">
        <v>1</v>
      </c>
      <c r="G4421" s="13" t="n">
        <v>1</v>
      </c>
      <c r="H4421" s="8" t="n">
        <v>39.9</v>
      </c>
      <c r="I4421" s="8" t="n">
        <v>39.9</v>
      </c>
      <c r="J4421" s="8" t="n">
        <v>39.9</v>
      </c>
      <c r="K4421" s="8" t="n"/>
      <c r="L4421" s="8" t="n"/>
      <c r="M4421" s="8" t="n"/>
      <c r="N4421" s="8" t="n"/>
      <c r="O4421" s="8" t="n"/>
      <c r="P4421" s="8" t="n"/>
      <c r="Q4421" s="8" t="n"/>
      <c r="R4421" s="8" t="n"/>
      <c r="S4421" s="8" t="n"/>
      <c r="T4421" s="7" t="inlineStr">
        <is>
          <t>SEM COTAÇÃO</t>
        </is>
      </c>
      <c r="U4421" s="8" t="n"/>
      <c r="V4421" s="14" t="n"/>
      <c r="W4421" s="14" t="n"/>
      <c r="X4421" s="7" t="inlineStr"/>
      <c r="Y4421" s="7" t="inlineStr"/>
    </row>
    <row r="4422">
      <c r="A4422" s="7" t="n">
        <v>640121</v>
      </c>
      <c r="B4422" s="12" t="inlineStr">
        <is>
          <t>17898966448116</t>
        </is>
      </c>
      <c r="C4422" s="7" t="inlineStr">
        <is>
          <t>TOALHA BEBE LIMPINHO C/140UN CX/24</t>
        </is>
      </c>
      <c r="D4422" s="7" t="inlineStr">
        <is>
          <t>BABY/KIDS</t>
        </is>
      </c>
      <c r="E4422" s="7" t="inlineStr">
        <is>
          <t>A</t>
        </is>
      </c>
      <c r="F4422" s="13" t="n">
        <v>58</v>
      </c>
      <c r="G4422" s="13" t="n">
        <v>58</v>
      </c>
      <c r="H4422" s="8" t="n">
        <v>7.09</v>
      </c>
      <c r="I4422" s="8" t="n">
        <v>5.85</v>
      </c>
      <c r="J4422" s="8" t="n">
        <v>6.03</v>
      </c>
      <c r="K4422" s="8" t="n"/>
      <c r="L4422" s="8" t="n"/>
      <c r="M4422" s="8" t="n"/>
      <c r="N4422" s="8" t="n"/>
      <c r="O4422" s="8" t="n"/>
      <c r="P4422" s="8" t="n"/>
      <c r="Q4422" s="8" t="n"/>
      <c r="R4422" s="8" t="n"/>
      <c r="S4422" s="8" t="n"/>
      <c r="T4422" s="7" t="inlineStr">
        <is>
          <t>SEM COTAÇÃO</t>
        </is>
      </c>
      <c r="U4422" s="8" t="n"/>
      <c r="V4422" s="14" t="n"/>
      <c r="W4422" s="14" t="n"/>
      <c r="X4422" s="7" t="inlineStr"/>
      <c r="Y4422" s="7" t="inlineStr"/>
    </row>
    <row r="4423">
      <c r="A4423" s="7" t="n">
        <v>1273</v>
      </c>
      <c r="B4423" s="12" t="inlineStr">
        <is>
          <t>7898994747581</t>
        </is>
      </c>
      <c r="C4423" s="7" t="inlineStr">
        <is>
          <t>TOALHA BEBE LIMPINHO C/45UN</t>
        </is>
      </c>
      <c r="D4423" s="7" t="inlineStr">
        <is>
          <t>BABY/KIDS</t>
        </is>
      </c>
      <c r="E4423" s="7" t="inlineStr">
        <is>
          <t>C</t>
        </is>
      </c>
      <c r="F4423" s="13" t="n">
        <v>12</v>
      </c>
      <c r="G4423" s="13" t="n">
        <v>12</v>
      </c>
      <c r="H4423" s="8" t="n">
        <v>2.79</v>
      </c>
      <c r="I4423" s="8" t="n">
        <v>2.79</v>
      </c>
      <c r="J4423" s="8" t="n">
        <v>2.79</v>
      </c>
      <c r="K4423" s="8" t="n"/>
      <c r="L4423" s="8" t="n"/>
      <c r="M4423" s="8" t="n"/>
      <c r="N4423" s="8" t="n"/>
      <c r="O4423" s="8" t="n"/>
      <c r="P4423" s="8" t="n"/>
      <c r="Q4423" s="8" t="n"/>
      <c r="R4423" s="8" t="n"/>
      <c r="S4423" s="8" t="n"/>
      <c r="T4423" s="7" t="inlineStr">
        <is>
          <t>SEM COTAÇÃO</t>
        </is>
      </c>
      <c r="U4423" s="8" t="n"/>
      <c r="V4423" s="14" t="n"/>
      <c r="W4423" s="14" t="n"/>
      <c r="X4423" s="7" t="inlineStr"/>
      <c r="Y4423" s="7" t="inlineStr"/>
    </row>
    <row r="4424">
      <c r="A4424" s="7" t="n">
        <v>630261</v>
      </c>
      <c r="B4424" s="12" t="inlineStr">
        <is>
          <t>7898966448393</t>
        </is>
      </c>
      <c r="C4424" s="7" t="inlineStr">
        <is>
          <t>TOALHA HUMIDECIDA BEBE LIMPINHO 90UN</t>
        </is>
      </c>
      <c r="D4424" s="7" t="inlineStr">
        <is>
          <t>BABY/KIDS</t>
        </is>
      </c>
      <c r="E4424" s="7" t="inlineStr">
        <is>
          <t>A</t>
        </is>
      </c>
      <c r="F4424" s="13" t="n">
        <v>9</v>
      </c>
      <c r="G4424" s="13" t="n">
        <v>9</v>
      </c>
      <c r="H4424" s="8" t="n">
        <v>5.27</v>
      </c>
      <c r="I4424" s="8" t="n">
        <v>5.27</v>
      </c>
      <c r="J4424" s="8" t="n">
        <v>5.27</v>
      </c>
      <c r="K4424" s="8" t="n"/>
      <c r="L4424" s="8" t="n"/>
      <c r="M4424" s="8" t="n"/>
      <c r="N4424" s="8" t="n"/>
      <c r="O4424" s="8" t="n"/>
      <c r="P4424" s="8" t="n"/>
      <c r="Q4424" s="8" t="n"/>
      <c r="R4424" s="8" t="n"/>
      <c r="S4424" s="8" t="n"/>
      <c r="T4424" s="7" t="inlineStr">
        <is>
          <t>SEM COTAÇÃO</t>
        </is>
      </c>
      <c r="U4424" s="8" t="n"/>
      <c r="V4424" s="14" t="n"/>
      <c r="W4424" s="14" t="n"/>
      <c r="X4424" s="7" t="inlineStr"/>
      <c r="Y4424" s="7" t="inlineStr"/>
    </row>
    <row r="4425">
      <c r="A4425" s="7" t="n">
        <v>637331</v>
      </c>
      <c r="B4425" s="12" t="inlineStr">
        <is>
          <t>7898136151450</t>
        </is>
      </c>
      <c r="C4425" s="7" t="inlineStr">
        <is>
          <t>TOALHA NATHY SENTIRBEM 36UN</t>
        </is>
      </c>
      <c r="D4425" s="7" t="inlineStr">
        <is>
          <t>PERF/COSME</t>
        </is>
      </c>
      <c r="E4425" s="7" t="inlineStr">
        <is>
          <t>C</t>
        </is>
      </c>
      <c r="F4425" s="13" t="n">
        <v>2</v>
      </c>
      <c r="G4425" s="13" t="n">
        <v>2</v>
      </c>
      <c r="H4425" s="8" t="n">
        <v>7.83</v>
      </c>
      <c r="I4425" s="8" t="n">
        <v>7.83</v>
      </c>
      <c r="J4425" s="8" t="n">
        <v>7.830000000000001</v>
      </c>
      <c r="K4425" s="8" t="n"/>
      <c r="L4425" s="8" t="n"/>
      <c r="M4425" s="8" t="n"/>
      <c r="N4425" s="8" t="n"/>
      <c r="O4425" s="8" t="n"/>
      <c r="P4425" s="8" t="n"/>
      <c r="Q4425" s="8" t="n"/>
      <c r="R4425" s="8" t="n"/>
      <c r="S4425" s="8" t="n"/>
      <c r="T4425" s="7" t="inlineStr">
        <is>
          <t>SEM COTAÇÃO</t>
        </is>
      </c>
      <c r="U4425" s="8" t="n"/>
      <c r="V4425" s="14" t="n"/>
      <c r="W4425" s="14" t="n"/>
      <c r="X4425" s="7" t="inlineStr"/>
      <c r="Y4425" s="7" t="inlineStr"/>
    </row>
    <row r="4426">
      <c r="A4426" s="7" t="n">
        <v>602221</v>
      </c>
      <c r="B4426" s="12" t="inlineStr">
        <is>
          <t>7896018703636</t>
        </is>
      </c>
      <c r="C4426" s="7" t="inlineStr">
        <is>
          <t>TOALHA UMD HUGGIES ONE&amp;DONE C/48</t>
        </is>
      </c>
      <c r="D4426" s="7" t="inlineStr">
        <is>
          <t>FRALDAS INFANTIL</t>
        </is>
      </c>
      <c r="E4426" s="7" t="inlineStr">
        <is>
          <t>C</t>
        </is>
      </c>
      <c r="F4426" s="13" t="n">
        <v>8</v>
      </c>
      <c r="G4426" s="13" t="n">
        <v>8</v>
      </c>
      <c r="H4426" s="8" t="n">
        <v>6.93</v>
      </c>
      <c r="I4426" s="8" t="n">
        <v>6.93</v>
      </c>
      <c r="J4426" s="8" t="n">
        <v>6.93</v>
      </c>
      <c r="K4426" s="8" t="n"/>
      <c r="L4426" s="8" t="n"/>
      <c r="M4426" s="8" t="n"/>
      <c r="N4426" s="8" t="n"/>
      <c r="O4426" s="8" t="n"/>
      <c r="P4426" s="15" t="n">
        <v>12.19</v>
      </c>
      <c r="Q4426" s="8" t="n"/>
      <c r="R4426" s="8" t="n"/>
      <c r="S4426" s="8" t="n"/>
      <c r="T4426" s="7" t="inlineStr">
        <is>
          <t>NAZARIA</t>
        </is>
      </c>
      <c r="U4426" s="8" t="n">
        <v>12.19</v>
      </c>
      <c r="V4426" s="14">
        <f>U4426/J4426-1</f>
        <v/>
      </c>
      <c r="W4426" s="14">
        <f>U4426/H4426-1</f>
        <v/>
      </c>
      <c r="X4426" s="16" t="inlineStr">
        <is>
          <t>ACIMA +75.9%</t>
        </is>
      </c>
      <c r="Y4426" s="7" t="inlineStr"/>
    </row>
    <row r="4427">
      <c r="A4427" s="7" t="n">
        <v>631661</v>
      </c>
      <c r="B4427" s="12" t="inlineStr">
        <is>
          <t>7898656390513</t>
        </is>
      </c>
      <c r="C4427" s="7" t="inlineStr">
        <is>
          <t>TOALHA UMD MAMYPOKO RN 50UN</t>
        </is>
      </c>
      <c r="D4427" s="7" t="inlineStr">
        <is>
          <t>BABY/KIDS</t>
        </is>
      </c>
      <c r="E4427" s="7" t="inlineStr">
        <is>
          <t>C</t>
        </is>
      </c>
      <c r="F4427" s="13" t="n">
        <v>1</v>
      </c>
      <c r="G4427" s="13" t="n">
        <v>1</v>
      </c>
      <c r="H4427" s="8" t="n">
        <v>32.61</v>
      </c>
      <c r="I4427" s="8" t="n">
        <v>32.61</v>
      </c>
      <c r="J4427" s="8" t="n">
        <v>32.61</v>
      </c>
      <c r="K4427" s="8" t="n"/>
      <c r="L4427" s="8" t="n"/>
      <c r="M4427" s="8" t="n"/>
      <c r="N4427" s="8" t="n"/>
      <c r="O4427" s="8" t="n"/>
      <c r="P4427" s="8" t="n"/>
      <c r="Q4427" s="8" t="n"/>
      <c r="R4427" s="8" t="n"/>
      <c r="S4427" s="8" t="n"/>
      <c r="T4427" s="7" t="inlineStr">
        <is>
          <t>SEM COTAÇÃO</t>
        </is>
      </c>
      <c r="U4427" s="8" t="n"/>
      <c r="V4427" s="14" t="n"/>
      <c r="W4427" s="14" t="n"/>
      <c r="X4427" s="7" t="inlineStr"/>
      <c r="Y4427" s="7" t="inlineStr"/>
    </row>
    <row r="4428">
      <c r="A4428" s="7" t="n">
        <v>674401</v>
      </c>
      <c r="B4428" s="12" t="inlineStr">
        <is>
          <t>7898966448409</t>
        </is>
      </c>
      <c r="C4428" s="7" t="inlineStr">
        <is>
          <t>TOALHA UMED BEBE LIMP PREM X 140 CX 24</t>
        </is>
      </c>
      <c r="D4428" s="7" t="inlineStr">
        <is>
          <t>FRALDAS INFANTIL</t>
        </is>
      </c>
      <c r="E4428" s="7" t="inlineStr">
        <is>
          <t>A</t>
        </is>
      </c>
      <c r="F4428" s="13" t="n">
        <v>8</v>
      </c>
      <c r="G4428" s="13" t="n">
        <v>8</v>
      </c>
      <c r="H4428" s="8" t="n">
        <v>6.52</v>
      </c>
      <c r="I4428" s="8" t="n">
        <v>6.52</v>
      </c>
      <c r="J4428" s="8" t="n">
        <v>6.52</v>
      </c>
      <c r="K4428" s="8" t="n"/>
      <c r="L4428" s="8" t="n"/>
      <c r="M4428" s="8" t="n"/>
      <c r="N4428" s="8" t="n"/>
      <c r="O4428" s="8" t="n"/>
      <c r="P4428" s="15" t="n">
        <v>13.3</v>
      </c>
      <c r="Q4428" s="8" t="n"/>
      <c r="R4428" s="8" t="n"/>
      <c r="S4428" s="8" t="n"/>
      <c r="T4428" s="7" t="inlineStr">
        <is>
          <t>NAZARIA</t>
        </is>
      </c>
      <c r="U4428" s="8" t="n">
        <v>13.3</v>
      </c>
      <c r="V4428" s="14">
        <f>U4428/J4428-1</f>
        <v/>
      </c>
      <c r="W4428" s="14">
        <f>U4428/H4428-1</f>
        <v/>
      </c>
      <c r="X4428" s="16" t="inlineStr">
        <is>
          <t>ACIMA +104.0%</t>
        </is>
      </c>
      <c r="Y4428" s="7" t="inlineStr">
        <is>
          <t>NAZARIA: conferir emb.</t>
        </is>
      </c>
    </row>
    <row r="4429">
      <c r="A4429" s="7" t="n">
        <v>657961</v>
      </c>
      <c r="B4429" s="12" t="inlineStr">
        <is>
          <t>7896227672037</t>
        </is>
      </c>
      <c r="C4429" s="7" t="inlineStr">
        <is>
          <t>TOALHA UMED COTTONBABY REC NASCI 50UN</t>
        </is>
      </c>
      <c r="D4429" s="7" t="inlineStr">
        <is>
          <t>BABY/KIDS</t>
        </is>
      </c>
      <c r="E4429" s="7" t="inlineStr">
        <is>
          <t>C</t>
        </is>
      </c>
      <c r="F4429" s="13" t="n">
        <v>2</v>
      </c>
      <c r="G4429" s="13" t="n">
        <v>2</v>
      </c>
      <c r="H4429" s="8" t="n">
        <v>5.91</v>
      </c>
      <c r="I4429" s="8" t="n">
        <v>5.91</v>
      </c>
      <c r="J4429" s="8" t="n">
        <v>5.91</v>
      </c>
      <c r="K4429" s="8" t="n"/>
      <c r="L4429" s="8" t="n"/>
      <c r="M4429" s="8" t="n"/>
      <c r="N4429" s="8" t="n"/>
      <c r="O4429" s="8" t="n"/>
      <c r="P4429" s="8" t="n"/>
      <c r="Q4429" s="8" t="n"/>
      <c r="R4429" s="8" t="n"/>
      <c r="S4429" s="8" t="n"/>
      <c r="T4429" s="7" t="inlineStr">
        <is>
          <t>SEM COTAÇÃO</t>
        </is>
      </c>
      <c r="U4429" s="8" t="n"/>
      <c r="V4429" s="14" t="n"/>
      <c r="W4429" s="14" t="n"/>
      <c r="X4429" s="7" t="inlineStr"/>
      <c r="Y4429" s="7" t="inlineStr"/>
    </row>
    <row r="4430">
      <c r="A4430" s="7" t="n">
        <v>620051</v>
      </c>
      <c r="B4430" s="12" t="inlineStr">
        <is>
          <t>7898136151443</t>
        </is>
      </c>
      <c r="C4430" s="7" t="inlineStr">
        <is>
          <t>TOALHA UMED DEMAQUILANTE MICELAR NATHY</t>
        </is>
      </c>
      <c r="D4430" s="7" t="inlineStr">
        <is>
          <t>PERF/COSME</t>
        </is>
      </c>
      <c r="E4430" s="7" t="inlineStr">
        <is>
          <t>C</t>
        </is>
      </c>
      <c r="F4430" s="13" t="n">
        <v>2</v>
      </c>
      <c r="G4430" s="13" t="n">
        <v>2</v>
      </c>
      <c r="H4430" s="8" t="n">
        <v>6.87</v>
      </c>
      <c r="I4430" s="8" t="n">
        <v>6.87</v>
      </c>
      <c r="J4430" s="8" t="n">
        <v>6.87</v>
      </c>
      <c r="K4430" s="8" t="n"/>
      <c r="L4430" s="8" t="n"/>
      <c r="M4430" s="8" t="n"/>
      <c r="N4430" s="8" t="n"/>
      <c r="O4430" s="8" t="n"/>
      <c r="P4430" s="8" t="n"/>
      <c r="Q4430" s="8" t="n"/>
      <c r="R4430" s="8" t="n"/>
      <c r="S4430" s="8" t="n"/>
      <c r="T4430" s="7" t="inlineStr">
        <is>
          <t>SEM COTAÇÃO</t>
        </is>
      </c>
      <c r="U4430" s="8" t="n"/>
      <c r="V4430" s="14" t="n"/>
      <c r="W4430" s="14" t="n"/>
      <c r="X4430" s="7" t="inlineStr"/>
      <c r="Y4430" s="7" t="inlineStr"/>
    </row>
    <row r="4431">
      <c r="A4431" s="7" t="n">
        <v>661761</v>
      </c>
      <c r="B4431" s="12" t="inlineStr">
        <is>
          <t>7896018703551</t>
        </is>
      </c>
      <c r="C4431" s="7" t="inlineStr">
        <is>
          <t>TOALHA UMED PLENITUD ADULTO 42UN</t>
        </is>
      </c>
      <c r="D4431" s="7" t="inlineStr">
        <is>
          <t>FRALDAS GERIATRICAS</t>
        </is>
      </c>
      <c r="E4431" s="7" t="inlineStr">
        <is>
          <t>C</t>
        </is>
      </c>
      <c r="F4431" s="13" t="n">
        <v>3</v>
      </c>
      <c r="G4431" s="13" t="n">
        <v>3</v>
      </c>
      <c r="H4431" s="8" t="n">
        <v>18.1263</v>
      </c>
      <c r="I4431" s="8" t="n">
        <v>18.1263</v>
      </c>
      <c r="J4431" s="8" t="n">
        <v>18.1263</v>
      </c>
      <c r="K4431" s="8" t="n"/>
      <c r="L4431" s="8" t="n"/>
      <c r="M4431" s="8" t="n"/>
      <c r="N4431" s="8" t="n"/>
      <c r="O4431" s="8" t="n"/>
      <c r="P4431" s="8" t="n">
        <v>28.15</v>
      </c>
      <c r="Q4431" s="8" t="n"/>
      <c r="R4431" s="8" t="n"/>
      <c r="S4431" s="8" t="n"/>
      <c r="T4431" s="7" t="inlineStr">
        <is>
          <t>SEM COTAÇÃO</t>
        </is>
      </c>
      <c r="U4431" s="8" t="n"/>
      <c r="V4431" s="14" t="n"/>
      <c r="W4431" s="14" t="n"/>
      <c r="X4431" s="7" t="inlineStr"/>
      <c r="Y4431" s="7" t="inlineStr">
        <is>
          <t>NAZARIA: sem estoque</t>
        </is>
      </c>
    </row>
    <row r="4432">
      <c r="A4432" s="7" t="n">
        <v>552081</v>
      </c>
      <c r="B4432" s="12" t="inlineStr">
        <is>
          <t>7896018700604</t>
        </is>
      </c>
      <c r="C4432" s="7" t="inlineStr">
        <is>
          <t>TOALHA UMEDECIDA DISNEY BABY HUGGIES SUPREME CARE PACOTE 48 UNIDADES</t>
        </is>
      </c>
      <c r="D4432" s="7" t="inlineStr">
        <is>
          <t>BABY/KIDS</t>
        </is>
      </c>
      <c r="E4432" s="7" t="inlineStr">
        <is>
          <t>C</t>
        </is>
      </c>
      <c r="F4432" s="13" t="n">
        <v>3</v>
      </c>
      <c r="G4432" s="13" t="n">
        <v>3</v>
      </c>
      <c r="H4432" s="8" t="n">
        <v>9.011200000000001</v>
      </c>
      <c r="I4432" s="8" t="n">
        <v>9.011200000000001</v>
      </c>
      <c r="J4432" s="8" t="n">
        <v>9.011200000000001</v>
      </c>
      <c r="K4432" s="8" t="n"/>
      <c r="L4432" s="8" t="n"/>
      <c r="M4432" s="8" t="n"/>
      <c r="N4432" s="8" t="n"/>
      <c r="O4432" s="8" t="n"/>
      <c r="P4432" s="15" t="n">
        <v>14.87</v>
      </c>
      <c r="Q4432" s="8" t="n"/>
      <c r="R4432" s="8" t="n"/>
      <c r="S4432" s="8" t="n"/>
      <c r="T4432" s="7" t="inlineStr">
        <is>
          <t>NAZARIA</t>
        </is>
      </c>
      <c r="U4432" s="8" t="n">
        <v>14.87</v>
      </c>
      <c r="V4432" s="14">
        <f>U4432/J4432-1</f>
        <v/>
      </c>
      <c r="W4432" s="14">
        <f>U4432/H4432-1</f>
        <v/>
      </c>
      <c r="X4432" s="16" t="inlineStr">
        <is>
          <t>ACIMA +65.0%</t>
        </is>
      </c>
      <c r="Y4432" s="7" t="inlineStr"/>
    </row>
    <row r="4433">
      <c r="A4433" s="7" t="n">
        <v>536741</v>
      </c>
      <c r="B4433" s="12" t="inlineStr">
        <is>
          <t>7896104996621</t>
        </is>
      </c>
      <c r="C4433" s="7" t="inlineStr">
        <is>
          <t>TOALHA UMEDECIDA MILI PACOTE 50 UNIDADES</t>
        </is>
      </c>
      <c r="D4433" s="7" t="inlineStr">
        <is>
          <t>FRALDAS INFANTIL</t>
        </is>
      </c>
      <c r="E4433" s="7" t="inlineStr">
        <is>
          <t>C</t>
        </is>
      </c>
      <c r="F4433" s="13" t="n">
        <v>1</v>
      </c>
      <c r="G4433" s="13" t="n">
        <v>1</v>
      </c>
      <c r="H4433" s="8" t="n">
        <v>5.93</v>
      </c>
      <c r="I4433" s="8" t="n">
        <v>5.93</v>
      </c>
      <c r="J4433" s="8" t="n">
        <v>5.93</v>
      </c>
      <c r="K4433" s="8" t="n"/>
      <c r="L4433" s="8" t="n"/>
      <c r="M4433" s="8" t="n"/>
      <c r="N4433" s="8" t="n"/>
      <c r="O4433" s="8" t="n"/>
      <c r="P4433" s="8" t="n"/>
      <c r="Q4433" s="8" t="n"/>
      <c r="R4433" s="8" t="n"/>
      <c r="S4433" s="8" t="n"/>
      <c r="T4433" s="7" t="inlineStr">
        <is>
          <t>SEM COTAÇÃO</t>
        </is>
      </c>
      <c r="U4433" s="8" t="n"/>
      <c r="V4433" s="14" t="n"/>
      <c r="W4433" s="14" t="n"/>
      <c r="X4433" s="7" t="inlineStr"/>
      <c r="Y4433" s="7" t="inlineStr"/>
    </row>
    <row r="4434">
      <c r="A4434" s="7" t="n">
        <v>548561</v>
      </c>
      <c r="B4434" s="12" t="inlineStr">
        <is>
          <t>7500435158077</t>
        </is>
      </c>
      <c r="C4434" s="7" t="inlineStr">
        <is>
          <t>TOALHA UMEDECIDA PAMPERS SPLASH 48 UNIDADES</t>
        </is>
      </c>
      <c r="D4434" s="7" t="inlineStr">
        <is>
          <t>BABY/KIDS</t>
        </is>
      </c>
      <c r="E4434" s="7" t="inlineStr">
        <is>
          <t>C</t>
        </is>
      </c>
      <c r="F4434" s="13" t="n">
        <v>1</v>
      </c>
      <c r="G4434" s="13" t="n">
        <v>1</v>
      </c>
      <c r="H4434" s="8" t="n">
        <v>13.9</v>
      </c>
      <c r="I4434" s="8" t="n">
        <v>13.9</v>
      </c>
      <c r="J4434" s="8" t="n">
        <v>13.9</v>
      </c>
      <c r="K4434" s="8" t="n"/>
      <c r="L4434" s="8" t="n"/>
      <c r="M4434" s="8" t="n"/>
      <c r="N4434" s="8" t="n"/>
      <c r="O4434" s="8" t="n"/>
      <c r="P4434" s="8" t="n"/>
      <c r="Q4434" s="8" t="n"/>
      <c r="R4434" s="8" t="n"/>
      <c r="S4434" s="8" t="n"/>
      <c r="T4434" s="7" t="inlineStr">
        <is>
          <t>SEM COTAÇÃO</t>
        </is>
      </c>
      <c r="U4434" s="8" t="n"/>
      <c r="V4434" s="14" t="n"/>
      <c r="W4434" s="14" t="n"/>
      <c r="X4434" s="7" t="inlineStr"/>
      <c r="Y4434" s="7" t="inlineStr"/>
    </row>
    <row r="4435">
      <c r="A4435" s="7" t="n">
        <v>598641</v>
      </c>
      <c r="B4435" s="12" t="inlineStr">
        <is>
          <t>7898095298159</t>
        </is>
      </c>
      <c r="C4435" s="7" t="inlineStr">
        <is>
          <t>TOALHAS DEMAQ. SENSITIVE CARE 36X24UN</t>
        </is>
      </c>
      <c r="D4435" s="7" t="inlineStr">
        <is>
          <t>PERF/COSME</t>
        </is>
      </c>
      <c r="E4435" s="7" t="inlineStr">
        <is>
          <t>C</t>
        </is>
      </c>
      <c r="F4435" s="13" t="n">
        <v>1</v>
      </c>
      <c r="G4435" s="13" t="n">
        <v>1</v>
      </c>
      <c r="H4435" s="8" t="n">
        <v>4.5</v>
      </c>
      <c r="I4435" s="8" t="n">
        <v>4.5</v>
      </c>
      <c r="J4435" s="8" t="n">
        <v>4.5</v>
      </c>
      <c r="K4435" s="8" t="n"/>
      <c r="L4435" s="8" t="n"/>
      <c r="M4435" s="8" t="n"/>
      <c r="N4435" s="8" t="n"/>
      <c r="O4435" s="8" t="n"/>
      <c r="P4435" s="8" t="n"/>
      <c r="Q4435" s="8" t="n"/>
      <c r="R4435" s="8" t="n"/>
      <c r="S4435" s="8" t="n"/>
      <c r="T4435" s="7" t="inlineStr">
        <is>
          <t>SEM COTAÇÃO</t>
        </is>
      </c>
      <c r="U4435" s="8" t="n"/>
      <c r="V4435" s="14" t="n"/>
      <c r="W4435" s="14" t="n"/>
      <c r="X4435" s="7" t="inlineStr"/>
      <c r="Y4435" s="7" t="inlineStr"/>
    </row>
    <row r="4436">
      <c r="A4436" s="7" t="n">
        <v>645621</v>
      </c>
      <c r="B4436" s="12" t="inlineStr">
        <is>
          <t>7898067951600</t>
        </is>
      </c>
      <c r="C4436" s="7" t="inlineStr">
        <is>
          <t>TOALHAS UMD CLIN-OFF CUIDAD CARINH C/50</t>
        </is>
      </c>
      <c r="D4436" s="7" t="inlineStr">
        <is>
          <t>FRALDAS INFANTIL</t>
        </is>
      </c>
      <c r="E4436" s="7" t="inlineStr">
        <is>
          <t>C</t>
        </is>
      </c>
      <c r="F4436" s="13" t="n">
        <v>4</v>
      </c>
      <c r="G4436" s="13" t="n">
        <v>4</v>
      </c>
      <c r="H4436" s="8" t="n">
        <v>4.34</v>
      </c>
      <c r="I4436" s="8" t="n">
        <v>4.34</v>
      </c>
      <c r="J4436" s="8" t="n">
        <v>4.34</v>
      </c>
      <c r="K4436" s="8" t="n"/>
      <c r="L4436" s="8" t="n"/>
      <c r="M4436" s="8" t="n"/>
      <c r="N4436" s="8" t="n"/>
      <c r="O4436" s="8" t="n"/>
      <c r="P4436" s="8" t="n"/>
      <c r="Q4436" s="8" t="n"/>
      <c r="R4436" s="8" t="n"/>
      <c r="S4436" s="8" t="n"/>
      <c r="T4436" s="7" t="inlineStr">
        <is>
          <t>SEM COTAÇÃO</t>
        </is>
      </c>
      <c r="U4436" s="8" t="n"/>
      <c r="V4436" s="14" t="n"/>
      <c r="W4436" s="14" t="n"/>
      <c r="X4436" s="7" t="inlineStr"/>
      <c r="Y4436" s="7" t="inlineStr"/>
    </row>
    <row r="4437">
      <c r="A4437" s="7" t="n">
        <v>646971</v>
      </c>
      <c r="B4437" s="12" t="inlineStr">
        <is>
          <t>7896480688233</t>
        </is>
      </c>
      <c r="C4437" s="7" t="inlineStr">
        <is>
          <t>TOALHAS UME.ENLACE 40X1</t>
        </is>
      </c>
      <c r="D4437" s="7" t="inlineStr">
        <is>
          <t>FRALDAS INFANTIL</t>
        </is>
      </c>
      <c r="E4437" s="7" t="inlineStr">
        <is>
          <t>A</t>
        </is>
      </c>
      <c r="F4437" s="13" t="n">
        <v>33</v>
      </c>
      <c r="G4437" s="13" t="n">
        <v>33</v>
      </c>
      <c r="H4437" s="8" t="n">
        <v>2.69</v>
      </c>
      <c r="I4437" s="8" t="n">
        <v>2.38</v>
      </c>
      <c r="J4437" s="8" t="n">
        <v>2.38</v>
      </c>
      <c r="K4437" s="8" t="n"/>
      <c r="L4437" s="8" t="n"/>
      <c r="M4437" s="8" t="n"/>
      <c r="N4437" s="8" t="n"/>
      <c r="O4437" s="8" t="n"/>
      <c r="P4437" s="8" t="n"/>
      <c r="Q4437" s="8" t="n"/>
      <c r="R4437" s="8" t="n"/>
      <c r="S4437" s="8" t="n"/>
      <c r="T4437" s="7" t="inlineStr">
        <is>
          <t>SEM COTAÇÃO</t>
        </is>
      </c>
      <c r="U4437" s="8" t="n"/>
      <c r="V4437" s="14" t="n"/>
      <c r="W4437" s="14" t="n"/>
      <c r="X4437" s="7" t="inlineStr"/>
      <c r="Y4437" s="7" t="inlineStr"/>
    </row>
    <row r="4438">
      <c r="A4438" s="7" t="n">
        <v>610651</v>
      </c>
      <c r="B4438" s="12" t="inlineStr">
        <is>
          <t>7908032300866</t>
        </is>
      </c>
      <c r="C4438" s="7" t="inlineStr">
        <is>
          <t>TOALHAS UMED PIQUITUCHO PRATIC C/48UND</t>
        </is>
      </c>
      <c r="D4438" s="7" t="inlineStr">
        <is>
          <t>BABY/KIDS</t>
        </is>
      </c>
      <c r="E4438" s="7" t="inlineStr">
        <is>
          <t>C</t>
        </is>
      </c>
      <c r="F4438" s="13" t="n">
        <v>9</v>
      </c>
      <c r="G4438" s="13" t="n">
        <v>9</v>
      </c>
      <c r="H4438" s="8" t="n">
        <v>6.03</v>
      </c>
      <c r="I4438" s="8" t="n">
        <v>6.03</v>
      </c>
      <c r="J4438" s="8" t="n">
        <v>6.03</v>
      </c>
      <c r="K4438" s="8" t="n"/>
      <c r="L4438" s="8" t="n"/>
      <c r="M4438" s="8" t="n"/>
      <c r="N4438" s="8" t="n"/>
      <c r="O4438" s="8" t="n"/>
      <c r="P4438" s="15" t="n">
        <v>4.0255</v>
      </c>
      <c r="Q4438" s="8" t="n"/>
      <c r="R4438" s="8" t="n"/>
      <c r="S4438" s="8" t="n"/>
      <c r="T4438" s="7" t="inlineStr">
        <is>
          <t>NAZARIA</t>
        </is>
      </c>
      <c r="U4438" s="8" t="n">
        <v>4.0255</v>
      </c>
      <c r="V4438" s="14">
        <f>U4438/J4438-1</f>
        <v/>
      </c>
      <c r="W4438" s="14">
        <f>U4438/H4438-1</f>
        <v/>
      </c>
      <c r="X4438" s="17" t="inlineStr">
        <is>
          <t>OK (≤ menor hist.)</t>
        </is>
      </c>
      <c r="Y4438" s="7" t="inlineStr"/>
    </row>
    <row r="4439">
      <c r="A4439" s="7" t="n">
        <v>623761</v>
      </c>
      <c r="B4439" s="12" t="inlineStr">
        <is>
          <t>7898136151306</t>
        </is>
      </c>
      <c r="C4439" s="7" t="inlineStr">
        <is>
          <t>TOALHAS UMEDECIDAS NATHY 48UN</t>
        </is>
      </c>
      <c r="D4439" s="7" t="inlineStr">
        <is>
          <t>PERF/COSME</t>
        </is>
      </c>
      <c r="E4439" s="7" t="inlineStr">
        <is>
          <t>C</t>
        </is>
      </c>
      <c r="F4439" s="13" t="n">
        <v>2</v>
      </c>
      <c r="G4439" s="13" t="n">
        <v>2</v>
      </c>
      <c r="H4439" s="8" t="n">
        <v>4.12</v>
      </c>
      <c r="I4439" s="8" t="n">
        <v>4.12</v>
      </c>
      <c r="J4439" s="8" t="n">
        <v>4.12</v>
      </c>
      <c r="K4439" s="8" t="n"/>
      <c r="L4439" s="8" t="n"/>
      <c r="M4439" s="8" t="n"/>
      <c r="N4439" s="8" t="n"/>
      <c r="O4439" s="8" t="n"/>
      <c r="P4439" s="8" t="n"/>
      <c r="Q4439" s="8" t="n"/>
      <c r="R4439" s="8" t="n"/>
      <c r="S4439" s="8" t="n"/>
      <c r="T4439" s="7" t="inlineStr">
        <is>
          <t>SEM COTAÇÃO</t>
        </is>
      </c>
      <c r="U4439" s="8" t="n"/>
      <c r="V4439" s="14" t="n"/>
      <c r="W4439" s="14" t="n"/>
      <c r="X4439" s="7" t="inlineStr"/>
      <c r="Y4439" s="7" t="inlineStr"/>
    </row>
    <row r="4440">
      <c r="A4440" s="7" t="n">
        <v>603731</v>
      </c>
      <c r="B4440" s="12" t="inlineStr">
        <is>
          <t>7500435148436</t>
        </is>
      </c>
      <c r="C4440" s="7" t="inlineStr">
        <is>
          <t>TOALHINHAS PAMPERS LAVANDA CX/12</t>
        </is>
      </c>
      <c r="D4440" s="7" t="inlineStr">
        <is>
          <t>FRALDAS INFANTIL</t>
        </is>
      </c>
      <c r="E4440" s="7" t="inlineStr">
        <is>
          <t>C</t>
        </is>
      </c>
      <c r="F4440" s="13" t="n">
        <v>3</v>
      </c>
      <c r="G4440" s="13" t="n">
        <v>3</v>
      </c>
      <c r="H4440" s="8" t="n">
        <v>15.7</v>
      </c>
      <c r="I4440" s="8" t="n">
        <v>15.7</v>
      </c>
      <c r="J4440" s="8" t="n">
        <v>15.7</v>
      </c>
      <c r="K4440" s="8" t="n"/>
      <c r="L4440" s="8" t="n"/>
      <c r="M4440" s="8" t="n"/>
      <c r="N4440" s="8" t="n"/>
      <c r="O4440" s="8" t="n"/>
      <c r="P4440" s="8" t="n"/>
      <c r="Q4440" s="8" t="n"/>
      <c r="R4440" s="8" t="n"/>
      <c r="S4440" s="8" t="n"/>
      <c r="T4440" s="7" t="inlineStr">
        <is>
          <t>SEM COTAÇÃO</t>
        </is>
      </c>
      <c r="U4440" s="8" t="n"/>
      <c r="V4440" s="14" t="n"/>
      <c r="W4440" s="14" t="n"/>
      <c r="X4440" s="7" t="inlineStr"/>
      <c r="Y4440" s="7" t="inlineStr"/>
    </row>
    <row r="4441">
      <c r="A4441" s="7" t="n">
        <v>464681</v>
      </c>
      <c r="B4441" s="12" t="inlineStr">
        <is>
          <t>7894916145541</t>
        </is>
      </c>
      <c r="C4441" s="7" t="inlineStr">
        <is>
          <t>TOBRAMICINA 3MG SOL OFT FR 5ML</t>
        </is>
      </c>
      <c r="D4441" s="7" t="inlineStr">
        <is>
          <t>GENERICO - ATB</t>
        </is>
      </c>
      <c r="E4441" s="7" t="inlineStr">
        <is>
          <t>B</t>
        </is>
      </c>
      <c r="F4441" s="13" t="n">
        <v>5</v>
      </c>
      <c r="G4441" s="13" t="n">
        <v>5</v>
      </c>
      <c r="H4441" s="8" t="n">
        <v>11.61</v>
      </c>
      <c r="I4441" s="8" t="n">
        <v>10.1</v>
      </c>
      <c r="J4441" s="8" t="n">
        <v>10.51666666666667</v>
      </c>
      <c r="K4441" s="8" t="n"/>
      <c r="L4441" s="8" t="n"/>
      <c r="M4441" s="8" t="n"/>
      <c r="N4441" s="8" t="n"/>
      <c r="O4441" s="8" t="n"/>
      <c r="P4441" s="8" t="n"/>
      <c r="Q4441" s="15" t="n">
        <v>7.38</v>
      </c>
      <c r="R4441" s="8" t="n">
        <v>11.18</v>
      </c>
      <c r="S4441" s="8" t="n"/>
      <c r="T4441" s="7" t="inlineStr">
        <is>
          <t>MEDCENTRO</t>
        </is>
      </c>
      <c r="U4441" s="8" t="n">
        <v>7.38</v>
      </c>
      <c r="V4441" s="14">
        <f>U4441/J4441-1</f>
        <v/>
      </c>
      <c r="W4441" s="14">
        <f>U4441/H4441-1</f>
        <v/>
      </c>
      <c r="X4441" s="17" t="inlineStr">
        <is>
          <t>OK (≤ menor hist.)</t>
        </is>
      </c>
      <c r="Y4441" s="7" t="inlineStr"/>
    </row>
    <row r="4442">
      <c r="A4442" s="7" t="n">
        <v>464521</v>
      </c>
      <c r="B4442" s="12" t="inlineStr">
        <is>
          <t>7896548112717</t>
        </is>
      </c>
      <c r="C4442" s="7" t="inlineStr">
        <is>
          <t>TOBREX 3MG SOL OFT FR GTS 5ML</t>
        </is>
      </c>
      <c r="D4442" s="7" t="inlineStr">
        <is>
          <t>RX - REFERENCIA - ATB</t>
        </is>
      </c>
      <c r="E4442" s="7" t="inlineStr">
        <is>
          <t>C</t>
        </is>
      </c>
      <c r="F4442" s="13" t="n">
        <v>1</v>
      </c>
      <c r="G4442" s="13" t="n">
        <v>1</v>
      </c>
      <c r="H4442" s="8" t="n">
        <v>28.09</v>
      </c>
      <c r="I4442" s="8" t="n">
        <v>26.69</v>
      </c>
      <c r="J4442" s="8" t="n">
        <v>27.62333333333333</v>
      </c>
      <c r="K4442" s="8" t="n"/>
      <c r="L4442" s="8" t="n"/>
      <c r="M4442" s="8" t="n"/>
      <c r="N4442" s="8" t="n"/>
      <c r="O4442" s="15" t="n">
        <v>28.22</v>
      </c>
      <c r="P4442" s="8" t="n">
        <v>28.8288</v>
      </c>
      <c r="Q4442" s="8" t="n"/>
      <c r="R4442" s="8" t="n"/>
      <c r="S4442" s="8" t="n"/>
      <c r="T4442" s="7" t="inlineStr">
        <is>
          <t>TAPAJOS</t>
        </is>
      </c>
      <c r="U4442" s="8" t="n">
        <v>28.22</v>
      </c>
      <c r="V4442" s="14">
        <f>U4442/J4442-1</f>
        <v/>
      </c>
      <c r="W4442" s="14">
        <f>U4442/H4442-1</f>
        <v/>
      </c>
      <c r="X4442" s="16" t="inlineStr">
        <is>
          <t>ACIMA +0.5%</t>
        </is>
      </c>
      <c r="Y4442" s="7" t="inlineStr"/>
    </row>
    <row r="4443">
      <c r="A4443" s="7" t="n">
        <v>613801</v>
      </c>
      <c r="B4443" s="12" t="inlineStr">
        <is>
          <t>7894321242521</t>
        </is>
      </c>
      <c r="C4443" s="7" t="inlineStr">
        <is>
          <t>TODDYNHO LEVINHO 200ML</t>
        </is>
      </c>
      <c r="D4443" s="7" t="inlineStr">
        <is>
          <t>BEBIDAS GERAL</t>
        </is>
      </c>
      <c r="E4443" s="7" t="inlineStr">
        <is>
          <t>C</t>
        </is>
      </c>
      <c r="F4443" s="13" t="n">
        <v>6</v>
      </c>
      <c r="G4443" s="13" t="n">
        <v>6</v>
      </c>
      <c r="H4443" s="8" t="n">
        <v>2.59</v>
      </c>
      <c r="I4443" s="8" t="n">
        <v>2.59</v>
      </c>
      <c r="J4443" s="8" t="n">
        <v>2.59</v>
      </c>
      <c r="K4443" s="8" t="n"/>
      <c r="L4443" s="8" t="n"/>
      <c r="M4443" s="8" t="n"/>
      <c r="N4443" s="8" t="n"/>
      <c r="O4443" s="8" t="n"/>
      <c r="P4443" s="8" t="n"/>
      <c r="Q4443" s="8" t="n"/>
      <c r="R4443" s="8" t="n"/>
      <c r="S4443" s="8" t="n"/>
      <c r="T4443" s="7" t="inlineStr">
        <is>
          <t>SEM COTAÇÃO</t>
        </is>
      </c>
      <c r="U4443" s="8" t="n"/>
      <c r="V4443" s="14" t="n"/>
      <c r="W4443" s="14" t="n"/>
      <c r="X4443" s="7" t="inlineStr"/>
      <c r="Y4443" s="7" t="inlineStr"/>
    </row>
    <row r="4444">
      <c r="A4444" s="7" t="n">
        <v>673871</v>
      </c>
      <c r="B4444" s="12" t="inlineStr">
        <is>
          <t>0619205349229</t>
        </is>
      </c>
      <c r="C4444" s="7" t="inlineStr">
        <is>
          <t>TONICO CAPILAR CRESCIMENTO E HIDR. 30 ML</t>
        </is>
      </c>
      <c r="D4444" s="7" t="inlineStr">
        <is>
          <t>USO INTERNO</t>
        </is>
      </c>
      <c r="E4444" s="7" t="inlineStr">
        <is>
          <t>C</t>
        </is>
      </c>
      <c r="F4444" s="13" t="n">
        <v>1</v>
      </c>
      <c r="G4444" s="13" t="n">
        <v>1</v>
      </c>
      <c r="H4444" s="8" t="n"/>
      <c r="I4444" s="8" t="n"/>
      <c r="J4444" s="8" t="n"/>
      <c r="K4444" s="8" t="n"/>
      <c r="L4444" s="8" t="n"/>
      <c r="M4444" s="8" t="n"/>
      <c r="N4444" s="8" t="n"/>
      <c r="O4444" s="8" t="n"/>
      <c r="P4444" s="8" t="n"/>
      <c r="Q4444" s="8" t="n"/>
      <c r="R4444" s="8" t="n"/>
      <c r="S4444" s="8" t="n"/>
      <c r="T4444" s="7" t="inlineStr">
        <is>
          <t>SEM COTAÇÃO</t>
        </is>
      </c>
      <c r="U4444" s="8" t="n"/>
      <c r="V4444" s="14" t="n"/>
      <c r="W4444" s="14" t="n"/>
      <c r="X4444" s="7" t="inlineStr"/>
      <c r="Y4444" s="7" t="inlineStr"/>
    </row>
    <row r="4445">
      <c r="A4445" s="7" t="n">
        <v>611011</v>
      </c>
      <c r="B4445" s="12" t="inlineStr">
        <is>
          <t>4005900957726</t>
        </is>
      </c>
      <c r="C4445" s="7" t="inlineStr">
        <is>
          <t>TONICO NIVEA ACNE CONTROL 200ML</t>
        </is>
      </c>
      <c r="D4445" s="7" t="inlineStr">
        <is>
          <t>DERMOCOSMETICOS/COSMETICOS</t>
        </is>
      </c>
      <c r="E4445" s="7" t="inlineStr">
        <is>
          <t>C</t>
        </is>
      </c>
      <c r="F4445" s="13" t="n">
        <v>1</v>
      </c>
      <c r="G4445" s="13" t="n">
        <v>1</v>
      </c>
      <c r="H4445" s="8" t="n">
        <v>30.55</v>
      </c>
      <c r="I4445" s="8" t="n">
        <v>30.55</v>
      </c>
      <c r="J4445" s="8" t="n">
        <v>30.55</v>
      </c>
      <c r="K4445" s="8" t="n"/>
      <c r="L4445" s="8" t="n"/>
      <c r="M4445" s="8" t="n"/>
      <c r="N4445" s="8" t="n"/>
      <c r="O4445" s="8" t="n"/>
      <c r="P4445" s="8" t="n"/>
      <c r="Q4445" s="8" t="n"/>
      <c r="R4445" s="8" t="n"/>
      <c r="S4445" s="8" t="n"/>
      <c r="T4445" s="7" t="inlineStr">
        <is>
          <t>SEM COTAÇÃO</t>
        </is>
      </c>
      <c r="U4445" s="8" t="n"/>
      <c r="V4445" s="14" t="n"/>
      <c r="W4445" s="14" t="n"/>
      <c r="X4445" s="7" t="inlineStr"/>
      <c r="Y4445" s="7" t="inlineStr"/>
    </row>
    <row r="4446">
      <c r="A4446" s="7" t="n">
        <v>615421</v>
      </c>
      <c r="B4446" s="12" t="inlineStr">
        <is>
          <t>4005900889737</t>
        </is>
      </c>
      <c r="C4446" s="7" t="inlineStr">
        <is>
          <t>TONICO NIVEA AQUA ROSE 200ML</t>
        </is>
      </c>
      <c r="D4446" s="7" t="inlineStr">
        <is>
          <t>RX - DERMO</t>
        </is>
      </c>
      <c r="E4446" s="7" t="inlineStr">
        <is>
          <t>C</t>
        </is>
      </c>
      <c r="F4446" s="13" t="n">
        <v>1</v>
      </c>
      <c r="G4446" s="13" t="n">
        <v>1</v>
      </c>
      <c r="H4446" s="8" t="n">
        <v>26.69</v>
      </c>
      <c r="I4446" s="8" t="n">
        <v>26.69</v>
      </c>
      <c r="J4446" s="8" t="n">
        <v>26.69</v>
      </c>
      <c r="K4446" s="8" t="n"/>
      <c r="L4446" s="8" t="n"/>
      <c r="M4446" s="8" t="n"/>
      <c r="N4446" s="8" t="n"/>
      <c r="O4446" s="8" t="n"/>
      <c r="P4446" s="8" t="n"/>
      <c r="Q4446" s="8" t="n"/>
      <c r="R4446" s="8" t="n"/>
      <c r="S4446" s="8" t="n"/>
      <c r="T4446" s="7" t="inlineStr">
        <is>
          <t>SEM COTAÇÃO</t>
        </is>
      </c>
      <c r="U4446" s="8" t="n"/>
      <c r="V4446" s="14" t="n"/>
      <c r="W4446" s="14" t="n"/>
      <c r="X4446" s="7" t="inlineStr"/>
      <c r="Y4446" s="7" t="inlineStr"/>
    </row>
    <row r="4447">
      <c r="A4447" s="7" t="n">
        <v>596521</v>
      </c>
      <c r="B4447" s="12" t="inlineStr">
        <is>
          <t>7894916516006</t>
        </is>
      </c>
      <c r="C4447" s="7" t="inlineStr">
        <is>
          <t>TORAGESIC 10MG PEEL OFF CX 10 COMP</t>
        </is>
      </c>
      <c r="D4447" s="7" t="inlineStr">
        <is>
          <t>RX</t>
        </is>
      </c>
      <c r="E4447" s="7" t="inlineStr">
        <is>
          <t>A</t>
        </is>
      </c>
      <c r="F4447" s="13" t="n">
        <v>10</v>
      </c>
      <c r="G4447" s="13" t="n">
        <v>10</v>
      </c>
      <c r="H4447" s="8" t="n">
        <v>26.0814</v>
      </c>
      <c r="I4447" s="8" t="n">
        <v>23.048</v>
      </c>
      <c r="J4447" s="8" t="n">
        <v>23.76266666666666</v>
      </c>
      <c r="K4447" s="8" t="n"/>
      <c r="L4447" s="8" t="n"/>
      <c r="M4447" s="15" t="n">
        <v>26.08</v>
      </c>
      <c r="N4447" s="8" t="n"/>
      <c r="O4447" s="8" t="n">
        <v>26.81</v>
      </c>
      <c r="P4447" s="8" t="n">
        <v>27.807</v>
      </c>
      <c r="Q4447" s="8" t="n"/>
      <c r="R4447" s="8" t="n"/>
      <c r="S4447" s="8" t="n"/>
      <c r="T4447" s="7" t="inlineStr">
        <is>
          <t>EPAN</t>
        </is>
      </c>
      <c r="U4447" s="8" t="n">
        <v>26.08</v>
      </c>
      <c r="V4447" s="14">
        <f>U4447/J4447-1</f>
        <v/>
      </c>
      <c r="W4447" s="14">
        <f>U4447/H4447-1</f>
        <v/>
      </c>
      <c r="X4447" s="17" t="inlineStr">
        <is>
          <t>OK (≤ últ. compra)</t>
        </is>
      </c>
      <c r="Y4447" s="7" t="inlineStr"/>
    </row>
    <row r="4448">
      <c r="A4448" s="7" t="n">
        <v>632821</v>
      </c>
      <c r="B4448" s="12" t="inlineStr"/>
      <c r="C4448" s="7" t="inlineStr">
        <is>
          <t>TORAGESIC 10MG PEEL OFF CX 20 COMP</t>
        </is>
      </c>
      <c r="D4448" s="7" t="inlineStr">
        <is>
          <t>RX</t>
        </is>
      </c>
      <c r="E4448" s="7" t="inlineStr">
        <is>
          <t>A</t>
        </is>
      </c>
      <c r="F4448" s="13" t="n">
        <v>5</v>
      </c>
      <c r="G4448" s="13" t="n">
        <v>5</v>
      </c>
      <c r="H4448" s="8" t="n">
        <v>28.174</v>
      </c>
      <c r="I4448" s="8" t="n">
        <v>23.7392</v>
      </c>
      <c r="J4448" s="8" t="n">
        <v>26.69573333333333</v>
      </c>
      <c r="K4448" s="8" t="n"/>
      <c r="L4448" s="8" t="n"/>
      <c r="M4448" s="8" t="n"/>
      <c r="N4448" s="8" t="n"/>
      <c r="O4448" s="8" t="n"/>
      <c r="P4448" s="8" t="n"/>
      <c r="Q4448" s="8" t="n"/>
      <c r="R4448" s="8" t="n"/>
      <c r="S4448" s="8" t="n"/>
      <c r="T4448" s="7" t="inlineStr">
        <is>
          <t>SEM COTAÇÃO</t>
        </is>
      </c>
      <c r="U4448" s="8" t="n"/>
      <c r="V4448" s="14" t="n"/>
      <c r="W4448" s="14" t="n"/>
      <c r="X4448" s="7" t="inlineStr"/>
      <c r="Y4448" s="7" t="inlineStr"/>
    </row>
    <row r="4449">
      <c r="A4449" s="7" t="n">
        <v>558541</v>
      </c>
      <c r="B4449" s="12" t="inlineStr">
        <is>
          <t>7891317015985</t>
        </is>
      </c>
      <c r="C4449" s="7" t="inlineStr">
        <is>
          <t>TORANTE 15MG/ML XPE FR 100ML+COP</t>
        </is>
      </c>
      <c r="D4449" s="7" t="inlineStr">
        <is>
          <t>RX</t>
        </is>
      </c>
      <c r="E4449" s="7" t="inlineStr">
        <is>
          <t>A</t>
        </is>
      </c>
      <c r="F4449" s="13" t="n">
        <v>1</v>
      </c>
      <c r="G4449" s="13" t="n">
        <v>1</v>
      </c>
      <c r="H4449" s="8" t="n">
        <v>50.52</v>
      </c>
      <c r="I4449" s="8" t="n">
        <v>44.8</v>
      </c>
      <c r="J4449" s="8" t="n">
        <v>47.88776666666666</v>
      </c>
      <c r="K4449" s="8" t="n"/>
      <c r="L4449" s="8" t="n"/>
      <c r="M4449" s="8" t="n"/>
      <c r="N4449" s="8" t="n"/>
      <c r="O4449" s="8" t="n"/>
      <c r="P4449" s="15" t="n">
        <v>51.2246</v>
      </c>
      <c r="Q4449" s="8" t="n"/>
      <c r="R4449" s="8" t="n"/>
      <c r="S4449" s="8" t="n"/>
      <c r="T4449" s="7" t="inlineStr">
        <is>
          <t>NAZARIA</t>
        </is>
      </c>
      <c r="U4449" s="8" t="n">
        <v>51.2246</v>
      </c>
      <c r="V4449" s="14">
        <f>U4449/J4449-1</f>
        <v/>
      </c>
      <c r="W4449" s="14">
        <f>U4449/H4449-1</f>
        <v/>
      </c>
      <c r="X4449" s="16" t="inlineStr">
        <is>
          <t>ACIMA +1.4%</t>
        </is>
      </c>
      <c r="Y4449" s="7" t="inlineStr"/>
    </row>
    <row r="4450">
      <c r="A4450" s="7" t="n">
        <v>684801</v>
      </c>
      <c r="B4450" s="12" t="inlineStr">
        <is>
          <t>7898142863132</t>
        </is>
      </c>
      <c r="C4450" s="7" t="inlineStr">
        <is>
          <t>TORTUGUITA CONFEITO 40G</t>
        </is>
      </c>
      <c r="D4450" s="7" t="inlineStr">
        <is>
          <t>CHOCOLATES</t>
        </is>
      </c>
      <c r="E4450" s="7" t="inlineStr">
        <is>
          <t>B</t>
        </is>
      </c>
      <c r="F4450" s="13" t="n">
        <v>1</v>
      </c>
      <c r="G4450" s="13" t="n">
        <v>10</v>
      </c>
      <c r="H4450" s="8" t="n">
        <v>3.3814</v>
      </c>
      <c r="I4450" s="8" t="n">
        <v>3.3814</v>
      </c>
      <c r="J4450" s="8" t="n">
        <v>3.381400000000001</v>
      </c>
      <c r="K4450" s="8" t="n"/>
      <c r="L4450" s="8" t="n"/>
      <c r="M4450" s="8" t="n"/>
      <c r="N4450" s="8" t="n"/>
      <c r="O4450" s="8" t="n"/>
      <c r="P4450" s="8" t="n"/>
      <c r="Q4450" s="8" t="n"/>
      <c r="R4450" s="8" t="n"/>
      <c r="S4450" s="8" t="n"/>
      <c r="T4450" s="7" t="inlineStr">
        <is>
          <t>SEM COTAÇÃO</t>
        </is>
      </c>
      <c r="U4450" s="8" t="n"/>
      <c r="V4450" s="14" t="n"/>
      <c r="W4450" s="14" t="n"/>
      <c r="X4450" s="7" t="inlineStr"/>
      <c r="Y4450" s="7" t="inlineStr"/>
    </row>
    <row r="4451">
      <c r="A4451" s="7" t="n">
        <v>629251</v>
      </c>
      <c r="B4451" s="12" t="inlineStr">
        <is>
          <t>7896115705106</t>
        </is>
      </c>
      <c r="C4451" s="7" t="inlineStr">
        <is>
          <t>TRALALA BABY SB LIQ 250ML BEM ESTAR 2X1</t>
        </is>
      </c>
      <c r="D4451" s="7" t="inlineStr">
        <is>
          <t>PERF/COSME</t>
        </is>
      </c>
      <c r="E4451" s="7" t="inlineStr">
        <is>
          <t>C</t>
        </is>
      </c>
      <c r="F4451" s="13" t="n">
        <v>1</v>
      </c>
      <c r="G4451" s="13" t="n">
        <v>1</v>
      </c>
      <c r="H4451" s="8" t="n">
        <v>15.86</v>
      </c>
      <c r="I4451" s="8" t="n">
        <v>15.86</v>
      </c>
      <c r="J4451" s="8" t="n">
        <v>15.86</v>
      </c>
      <c r="K4451" s="8" t="n"/>
      <c r="L4451" s="8" t="n"/>
      <c r="M4451" s="8" t="n"/>
      <c r="N4451" s="8" t="n"/>
      <c r="O4451" s="8" t="n"/>
      <c r="P4451" s="8" t="n"/>
      <c r="Q4451" s="8" t="n"/>
      <c r="R4451" s="8" t="n"/>
      <c r="S4451" s="8" t="n"/>
      <c r="T4451" s="7" t="inlineStr">
        <is>
          <t>SEM COTAÇÃO</t>
        </is>
      </c>
      <c r="U4451" s="8" t="n"/>
      <c r="V4451" s="14" t="n"/>
      <c r="W4451" s="14" t="n"/>
      <c r="X4451" s="7" t="inlineStr"/>
      <c r="Y4451" s="7" t="inlineStr"/>
    </row>
    <row r="4452">
      <c r="A4452" s="7" t="n">
        <v>596341</v>
      </c>
      <c r="B4452" s="12" t="inlineStr">
        <is>
          <t>7896115700408</t>
        </is>
      </c>
      <c r="C4452" s="7" t="inlineStr">
        <is>
          <t>TRALALA BABY TALCO 160G HIDRATA</t>
        </is>
      </c>
      <c r="D4452" s="7" t="inlineStr">
        <is>
          <t>PERF/COSME</t>
        </is>
      </c>
      <c r="E4452" s="7" t="inlineStr">
        <is>
          <t>B</t>
        </is>
      </c>
      <c r="F4452" s="13" t="n">
        <v>2</v>
      </c>
      <c r="G4452" s="13" t="n">
        <v>2</v>
      </c>
      <c r="H4452" s="8" t="n">
        <v>12.35</v>
      </c>
      <c r="I4452" s="8" t="n">
        <v>12.35</v>
      </c>
      <c r="J4452" s="8" t="n">
        <v>12.35</v>
      </c>
      <c r="K4452" s="8" t="n"/>
      <c r="L4452" s="8" t="n"/>
      <c r="M4452" s="8" t="n"/>
      <c r="N4452" s="8" t="n"/>
      <c r="O4452" s="8" t="n"/>
      <c r="P4452" s="8" t="n"/>
      <c r="Q4452" s="8" t="n"/>
      <c r="R4452" s="8" t="n"/>
      <c r="S4452" s="8" t="n"/>
      <c r="T4452" s="7" t="inlineStr">
        <is>
          <t>SEM COTAÇÃO</t>
        </is>
      </c>
      <c r="U4452" s="8" t="n"/>
      <c r="V4452" s="14" t="n"/>
      <c r="W4452" s="14" t="n"/>
      <c r="X4452" s="7" t="inlineStr"/>
      <c r="Y4452" s="7" t="inlineStr"/>
    </row>
    <row r="4453">
      <c r="A4453" s="7" t="n">
        <v>629271</v>
      </c>
      <c r="B4453" s="12" t="inlineStr">
        <is>
          <t>7896115705526</t>
        </is>
      </c>
      <c r="C4453" s="7" t="inlineStr">
        <is>
          <t>TRALALA KIDS SH 250ML 2X1 AVENT PA PUM</t>
        </is>
      </c>
      <c r="D4453" s="7" t="inlineStr">
        <is>
          <t>PERF/COSME</t>
        </is>
      </c>
      <c r="E4453" s="7" t="inlineStr">
        <is>
          <t>C</t>
        </is>
      </c>
      <c r="F4453" s="13" t="n">
        <v>1</v>
      </c>
      <c r="G4453" s="13" t="n">
        <v>1</v>
      </c>
      <c r="H4453" s="8" t="n">
        <v>7.46</v>
      </c>
      <c r="I4453" s="8" t="n">
        <v>7.46</v>
      </c>
      <c r="J4453" s="8" t="n">
        <v>7.46</v>
      </c>
      <c r="K4453" s="8" t="n"/>
      <c r="L4453" s="8" t="n"/>
      <c r="M4453" s="8" t="n"/>
      <c r="N4453" s="8" t="n"/>
      <c r="O4453" s="8" t="n"/>
      <c r="P4453" s="8" t="n"/>
      <c r="Q4453" s="8" t="n"/>
      <c r="R4453" s="8" t="n"/>
      <c r="S4453" s="8" t="n"/>
      <c r="T4453" s="7" t="inlineStr">
        <is>
          <t>SEM COTAÇÃO</t>
        </is>
      </c>
      <c r="U4453" s="8" t="n"/>
      <c r="V4453" s="14" t="n"/>
      <c r="W4453" s="14" t="n"/>
      <c r="X4453" s="7" t="inlineStr"/>
      <c r="Y4453" s="7" t="inlineStr"/>
    </row>
    <row r="4454">
      <c r="A4454" s="7" t="n">
        <v>629161</v>
      </c>
      <c r="B4454" s="12" t="inlineStr">
        <is>
          <t>7896115702686</t>
        </is>
      </c>
      <c r="C4454" s="7" t="inlineStr">
        <is>
          <t>TRALALA KIDS SPRAY 300ML HIDRAKIDS</t>
        </is>
      </c>
      <c r="D4454" s="7" t="inlineStr">
        <is>
          <t>PERF/COSME</t>
        </is>
      </c>
      <c r="E4454" s="7" t="inlineStr">
        <is>
          <t>C</t>
        </is>
      </c>
      <c r="F4454" s="13" t="n">
        <v>1</v>
      </c>
      <c r="G4454" s="13" t="n">
        <v>1</v>
      </c>
      <c r="H4454" s="8" t="n">
        <v>12.03</v>
      </c>
      <c r="I4454" s="8" t="n">
        <v>12.03</v>
      </c>
      <c r="J4454" s="8" t="n">
        <v>12.03</v>
      </c>
      <c r="K4454" s="8" t="n"/>
      <c r="L4454" s="8" t="n"/>
      <c r="M4454" s="8" t="n"/>
      <c r="N4454" s="8" t="n"/>
      <c r="O4454" s="8" t="n"/>
      <c r="P4454" s="8" t="n"/>
      <c r="Q4454" s="8" t="n"/>
      <c r="R4454" s="8" t="n"/>
      <c r="S4454" s="8" t="n"/>
      <c r="T4454" s="7" t="inlineStr">
        <is>
          <t>SEM COTAÇÃO</t>
        </is>
      </c>
      <c r="U4454" s="8" t="n"/>
      <c r="V4454" s="14" t="n"/>
      <c r="W4454" s="14" t="n"/>
      <c r="X4454" s="7" t="inlineStr"/>
      <c r="Y4454" s="7" t="inlineStr"/>
    </row>
    <row r="4455">
      <c r="A4455" s="7" t="n">
        <v>637381</v>
      </c>
      <c r="B4455" s="12" t="inlineStr">
        <is>
          <t>7908041912586</t>
        </is>
      </c>
      <c r="C4455" s="7" t="inlineStr">
        <is>
          <t>TREONATO MAGNESIO+TREONINA 600MG 60CAPS</t>
        </is>
      </c>
      <c r="D4455" s="7" t="inlineStr">
        <is>
          <t>VITAMINA E SIMILARES</t>
        </is>
      </c>
      <c r="E4455" s="7" t="inlineStr">
        <is>
          <t>B</t>
        </is>
      </c>
      <c r="F4455" s="13" t="n">
        <v>3</v>
      </c>
      <c r="G4455" s="13" t="n">
        <v>3</v>
      </c>
      <c r="H4455" s="8" t="n">
        <v>22.49</v>
      </c>
      <c r="I4455" s="8" t="n">
        <v>22.49</v>
      </c>
      <c r="J4455" s="8" t="n">
        <v>22.49</v>
      </c>
      <c r="K4455" s="8" t="n"/>
      <c r="L4455" s="8" t="n"/>
      <c r="M4455" s="8" t="n"/>
      <c r="N4455" s="8" t="n"/>
      <c r="O4455" s="8" t="n"/>
      <c r="P4455" s="8" t="n"/>
      <c r="Q4455" s="8" t="n"/>
      <c r="R4455" s="8" t="n"/>
      <c r="S4455" s="8" t="n"/>
      <c r="T4455" s="7" t="inlineStr">
        <is>
          <t>SEM COTAÇÃO</t>
        </is>
      </c>
      <c r="U4455" s="8" t="n"/>
      <c r="V4455" s="14" t="n"/>
      <c r="W4455" s="14" t="n"/>
      <c r="X4455" s="7" t="inlineStr"/>
      <c r="Y4455" s="7" t="inlineStr"/>
    </row>
    <row r="4456">
      <c r="A4456" s="7" t="n">
        <v>18001</v>
      </c>
      <c r="B4456" s="12" t="inlineStr">
        <is>
          <t>7896004739083</t>
        </is>
      </c>
      <c r="C4456" s="7" t="inlineStr">
        <is>
          <t>TREXACONT 250MG 1BL X 12 COMP</t>
        </is>
      </c>
      <c r="D4456" s="7" t="inlineStr">
        <is>
          <t>SIMILAR</t>
        </is>
      </c>
      <c r="E4456" s="7" t="inlineStr">
        <is>
          <t>B</t>
        </is>
      </c>
      <c r="F4456" s="13" t="n">
        <v>1</v>
      </c>
      <c r="G4456" s="13" t="n">
        <v>1</v>
      </c>
      <c r="H4456" s="8" t="n">
        <v>40.53</v>
      </c>
      <c r="I4456" s="8" t="n">
        <v>40.53</v>
      </c>
      <c r="J4456" s="8" t="n">
        <v>40.53</v>
      </c>
      <c r="K4456" s="15" t="n">
        <v>35.81</v>
      </c>
      <c r="L4456" s="8" t="n"/>
      <c r="M4456" s="8" t="n"/>
      <c r="N4456" s="8" t="n"/>
      <c r="O4456" s="8" t="n"/>
      <c r="P4456" s="8" t="n">
        <v>42.86</v>
      </c>
      <c r="Q4456" s="8" t="n">
        <v>36.85</v>
      </c>
      <c r="R4456" s="8" t="n"/>
      <c r="S4456" s="8" t="n"/>
      <c r="T4456" s="7" t="inlineStr">
        <is>
          <t>DIMEC</t>
        </is>
      </c>
      <c r="U4456" s="8" t="n">
        <v>35.81</v>
      </c>
      <c r="V4456" s="14">
        <f>U4456/J4456-1</f>
        <v/>
      </c>
      <c r="W4456" s="14">
        <f>U4456/H4456-1</f>
        <v/>
      </c>
      <c r="X4456" s="17" t="inlineStr">
        <is>
          <t>OK (≤ menor hist.)</t>
        </is>
      </c>
      <c r="Y4456" s="7" t="inlineStr"/>
    </row>
    <row r="4457">
      <c r="A4457" s="7" t="n">
        <v>659191</v>
      </c>
      <c r="B4457" s="12" t="inlineStr">
        <is>
          <t>7908041913217</t>
        </is>
      </c>
      <c r="C4457" s="7" t="inlineStr">
        <is>
          <t>TRI MAGNESIO (TAURATO,MALATO,QUELATO) 500MG 60CAPS CX/15 - FLORA NATIVA</t>
        </is>
      </c>
      <c r="D4457" s="7" t="inlineStr">
        <is>
          <t>VITAMINA E SIMILARES</t>
        </is>
      </c>
      <c r="E4457" s="7" t="inlineStr">
        <is>
          <t>B</t>
        </is>
      </c>
      <c r="F4457" s="13" t="n">
        <v>5</v>
      </c>
      <c r="G4457" s="13" t="n">
        <v>5</v>
      </c>
      <c r="H4457" s="8" t="n">
        <v>26.08</v>
      </c>
      <c r="I4457" s="8" t="n">
        <v>26.08</v>
      </c>
      <c r="J4457" s="8" t="n">
        <v>26.08</v>
      </c>
      <c r="K4457" s="8" t="n"/>
      <c r="L4457" s="8" t="n"/>
      <c r="M4457" s="8" t="n"/>
      <c r="N4457" s="8" t="n"/>
      <c r="O4457" s="8" t="n"/>
      <c r="P4457" s="8" t="n"/>
      <c r="Q4457" s="8" t="n"/>
      <c r="R4457" s="8" t="n"/>
      <c r="S4457" s="8" t="n"/>
      <c r="T4457" s="7" t="inlineStr">
        <is>
          <t>SEM COTAÇÃO</t>
        </is>
      </c>
      <c r="U4457" s="8" t="n"/>
      <c r="V4457" s="14" t="n"/>
      <c r="W4457" s="14" t="n"/>
      <c r="X4457" s="7" t="inlineStr"/>
      <c r="Y4457" s="7" t="inlineStr"/>
    </row>
    <row r="4458">
      <c r="A4458" s="7" t="n">
        <v>670811</v>
      </c>
      <c r="B4458" s="12" t="inlineStr">
        <is>
          <t>7898744351495</t>
        </is>
      </c>
      <c r="C4458" s="7" t="inlineStr">
        <is>
          <t>TRIBULLUS COM MACA 60 CAPS CX/12 - REATIVA</t>
        </is>
      </c>
      <c r="D4458" s="7" t="inlineStr">
        <is>
          <t>FITOTERAPICO</t>
        </is>
      </c>
      <c r="E4458" s="7" t="inlineStr">
        <is>
          <t>A</t>
        </is>
      </c>
      <c r="F4458" s="13" t="n">
        <v>2</v>
      </c>
      <c r="G4458" s="13" t="n">
        <v>2</v>
      </c>
      <c r="H4458" s="8" t="n">
        <v>29.02</v>
      </c>
      <c r="I4458" s="8" t="n">
        <v>21.58</v>
      </c>
      <c r="J4458" s="8" t="n">
        <v>26.54</v>
      </c>
      <c r="K4458" s="8" t="n"/>
      <c r="L4458" s="8" t="n"/>
      <c r="M4458" s="8" t="n"/>
      <c r="N4458" s="8" t="n"/>
      <c r="O4458" s="8" t="n"/>
      <c r="P4458" s="8" t="n"/>
      <c r="Q4458" s="8" t="n"/>
      <c r="R4458" s="8" t="n"/>
      <c r="S4458" s="8" t="n"/>
      <c r="T4458" s="7" t="inlineStr">
        <is>
          <t>SEM COTAÇÃO</t>
        </is>
      </c>
      <c r="U4458" s="8" t="n"/>
      <c r="V4458" s="14" t="n"/>
      <c r="W4458" s="14" t="n"/>
      <c r="X4458" s="7" t="inlineStr"/>
      <c r="Y4458" s="7" t="inlineStr"/>
    </row>
    <row r="4459">
      <c r="A4459" s="7" t="n">
        <v>660941</v>
      </c>
      <c r="B4459" s="12" t="inlineStr">
        <is>
          <t>7898631704403</t>
        </is>
      </c>
      <c r="C4459" s="7" t="inlineStr">
        <is>
          <t>TRIBULUS TERRESTRES 60 CAPS CX/12 - REATIVA</t>
        </is>
      </c>
      <c r="D4459" s="7" t="inlineStr">
        <is>
          <t>VITAMINA E SIMILARES</t>
        </is>
      </c>
      <c r="E4459" s="7" t="inlineStr">
        <is>
          <t>C</t>
        </is>
      </c>
      <c r="F4459" s="13" t="n">
        <v>1</v>
      </c>
      <c r="G4459" s="13" t="n">
        <v>1</v>
      </c>
      <c r="H4459" s="8" t="n">
        <v>20.74</v>
      </c>
      <c r="I4459" s="8" t="n">
        <v>20.74</v>
      </c>
      <c r="J4459" s="8" t="n">
        <v>20.74</v>
      </c>
      <c r="K4459" s="8" t="n"/>
      <c r="L4459" s="8" t="n"/>
      <c r="M4459" s="8" t="n"/>
      <c r="N4459" s="8" t="n"/>
      <c r="O4459" s="8" t="n"/>
      <c r="P4459" s="8" t="n"/>
      <c r="Q4459" s="8" t="n"/>
      <c r="R4459" s="8" t="n"/>
      <c r="S4459" s="8" t="n"/>
      <c r="T4459" s="7" t="inlineStr">
        <is>
          <t>SEM COTAÇÃO</t>
        </is>
      </c>
      <c r="U4459" s="8" t="n"/>
      <c r="V4459" s="14" t="n"/>
      <c r="W4459" s="14" t="n"/>
      <c r="X4459" s="7" t="inlineStr"/>
      <c r="Y4459" s="7" t="inlineStr"/>
    </row>
    <row r="4460">
      <c r="A4460" s="7" t="n">
        <v>625571</v>
      </c>
      <c r="B4460" s="12" t="inlineStr">
        <is>
          <t>7622210563538</t>
        </is>
      </c>
      <c r="C4460" s="7" t="inlineStr">
        <is>
          <t>TRID MAX HORTELA 16,5G</t>
        </is>
      </c>
      <c r="D4460" s="7" t="inlineStr">
        <is>
          <t>CONVENIENCIA</t>
        </is>
      </c>
      <c r="E4460" s="7" t="inlineStr">
        <is>
          <t>A</t>
        </is>
      </c>
      <c r="F4460" s="13" t="n">
        <v>36</v>
      </c>
      <c r="G4460" s="13" t="n">
        <v>36</v>
      </c>
      <c r="H4460" s="8" t="n">
        <v>3.29</v>
      </c>
      <c r="I4460" s="8" t="n">
        <v>3.29</v>
      </c>
      <c r="J4460" s="8" t="n">
        <v>3.29</v>
      </c>
      <c r="K4460" s="8" t="n"/>
      <c r="L4460" s="8" t="n"/>
      <c r="M4460" s="8" t="n"/>
      <c r="N4460" s="8" t="n"/>
      <c r="O4460" s="8" t="n"/>
      <c r="P4460" s="8" t="n"/>
      <c r="Q4460" s="8" t="n"/>
      <c r="R4460" s="8" t="n"/>
      <c r="S4460" s="8" t="n"/>
      <c r="T4460" s="7" t="inlineStr">
        <is>
          <t>SEM COTAÇÃO</t>
        </is>
      </c>
      <c r="U4460" s="8" t="n"/>
      <c r="V4460" s="14" t="n"/>
      <c r="W4460" s="14" t="n"/>
      <c r="X4460" s="7" t="inlineStr"/>
      <c r="Y4460" s="7" t="inlineStr"/>
    </row>
    <row r="4461">
      <c r="A4461" s="7" t="n">
        <v>625581</v>
      </c>
      <c r="B4461" s="12" t="inlineStr">
        <is>
          <t>7622210563477</t>
        </is>
      </c>
      <c r="C4461" s="7" t="inlineStr">
        <is>
          <t>TRID MAX MENTABERRY 16,5G</t>
        </is>
      </c>
      <c r="D4461" s="7" t="inlineStr">
        <is>
          <t>CONVENIENCIA</t>
        </is>
      </c>
      <c r="E4461" s="7" t="inlineStr">
        <is>
          <t>B</t>
        </is>
      </c>
      <c r="F4461" s="13" t="n">
        <v>4</v>
      </c>
      <c r="G4461" s="13" t="n">
        <v>4</v>
      </c>
      <c r="H4461" s="8" t="n">
        <v>2.9736</v>
      </c>
      <c r="I4461" s="8" t="n">
        <v>2.9736</v>
      </c>
      <c r="J4461" s="8" t="n">
        <v>2.9736</v>
      </c>
      <c r="K4461" s="8" t="n"/>
      <c r="L4461" s="8" t="n"/>
      <c r="M4461" s="8" t="n"/>
      <c r="N4461" s="8" t="n"/>
      <c r="O4461" s="8" t="n"/>
      <c r="P4461" s="8" t="n"/>
      <c r="Q4461" s="8" t="n"/>
      <c r="R4461" s="8" t="n"/>
      <c r="S4461" s="8" t="n"/>
      <c r="T4461" s="7" t="inlineStr">
        <is>
          <t>SEM COTAÇÃO</t>
        </is>
      </c>
      <c r="U4461" s="8" t="n"/>
      <c r="V4461" s="14" t="n"/>
      <c r="W4461" s="14" t="n"/>
      <c r="X4461" s="7" t="inlineStr"/>
      <c r="Y4461" s="7" t="inlineStr"/>
    </row>
    <row r="4462">
      <c r="A4462" s="7" t="n">
        <v>650261</v>
      </c>
      <c r="B4462" s="12" t="inlineStr">
        <is>
          <t>7622210573483</t>
        </is>
      </c>
      <c r="C4462" s="7" t="inlineStr">
        <is>
          <t>TRIDENT 14S BLUEBERRY 25,2G</t>
        </is>
      </c>
      <c r="D4462" s="7" t="inlineStr">
        <is>
          <t>CONVENIENCIA</t>
        </is>
      </c>
      <c r="E4462" s="7" t="inlineStr">
        <is>
          <t>C</t>
        </is>
      </c>
      <c r="F4462" s="13" t="n">
        <v>3</v>
      </c>
      <c r="G4462" s="13" t="n">
        <v>3</v>
      </c>
      <c r="H4462" s="8" t="n">
        <v>5.99</v>
      </c>
      <c r="I4462" s="8" t="n">
        <v>5.99</v>
      </c>
      <c r="J4462" s="8" t="n">
        <v>5.989999999999999</v>
      </c>
      <c r="K4462" s="8" t="n"/>
      <c r="L4462" s="8" t="n"/>
      <c r="M4462" s="8" t="n"/>
      <c r="N4462" s="8" t="n"/>
      <c r="O4462" s="8" t="n"/>
      <c r="P4462" s="8" t="n"/>
      <c r="Q4462" s="8" t="n"/>
      <c r="R4462" s="8" t="n"/>
      <c r="S4462" s="8" t="n"/>
      <c r="T4462" s="7" t="inlineStr">
        <is>
          <t>SEM COTAÇÃO</t>
        </is>
      </c>
      <c r="U4462" s="8" t="n"/>
      <c r="V4462" s="14" t="n"/>
      <c r="W4462" s="14" t="n"/>
      <c r="X4462" s="7" t="inlineStr"/>
      <c r="Y4462" s="7" t="inlineStr"/>
    </row>
    <row r="4463">
      <c r="A4463" s="7" t="n">
        <v>652511</v>
      </c>
      <c r="B4463" s="12" t="inlineStr">
        <is>
          <t>7622300847753</t>
        </is>
      </c>
      <c r="C4463" s="7" t="inlineStr">
        <is>
          <t>TRIDENT 14S MELANCIA</t>
        </is>
      </c>
      <c r="D4463" s="7" t="inlineStr">
        <is>
          <t>CONVENIENCIA</t>
        </is>
      </c>
      <c r="E4463" s="7" t="inlineStr">
        <is>
          <t>C</t>
        </is>
      </c>
      <c r="F4463" s="13" t="n">
        <v>8</v>
      </c>
      <c r="G4463" s="13" t="n">
        <v>8</v>
      </c>
      <c r="H4463" s="8" t="n">
        <v>5.99</v>
      </c>
      <c r="I4463" s="8" t="n">
        <v>5.99</v>
      </c>
      <c r="J4463" s="8" t="n">
        <v>5.989999999999999</v>
      </c>
      <c r="K4463" s="8" t="n"/>
      <c r="L4463" s="8" t="n"/>
      <c r="M4463" s="8" t="n"/>
      <c r="N4463" s="8" t="n"/>
      <c r="O4463" s="8" t="n"/>
      <c r="P4463" s="8" t="n"/>
      <c r="Q4463" s="8" t="n"/>
      <c r="R4463" s="8" t="n"/>
      <c r="S4463" s="8" t="n"/>
      <c r="T4463" s="7" t="inlineStr">
        <is>
          <t>SEM COTAÇÃO</t>
        </is>
      </c>
      <c r="U4463" s="8" t="n"/>
      <c r="V4463" s="14" t="n"/>
      <c r="W4463" s="14" t="n"/>
      <c r="X4463" s="7" t="inlineStr"/>
      <c r="Y4463" s="7" t="inlineStr"/>
    </row>
    <row r="4464">
      <c r="A4464" s="7" t="n">
        <v>652591</v>
      </c>
      <c r="B4464" s="12" t="inlineStr">
        <is>
          <t>7622210573452</t>
        </is>
      </c>
      <c r="C4464" s="7" t="inlineStr">
        <is>
          <t>TRIDENT 14S TUTTI FRUTTI</t>
        </is>
      </c>
      <c r="D4464" s="7" t="inlineStr">
        <is>
          <t>CONVENIENCIA</t>
        </is>
      </c>
      <c r="E4464" s="7" t="inlineStr">
        <is>
          <t>C</t>
        </is>
      </c>
      <c r="F4464" s="13" t="n">
        <v>10</v>
      </c>
      <c r="G4464" s="13" t="n">
        <v>10</v>
      </c>
      <c r="H4464" s="8" t="n">
        <v>5.99</v>
      </c>
      <c r="I4464" s="8" t="n">
        <v>5.99</v>
      </c>
      <c r="J4464" s="8" t="n">
        <v>5.989999999999999</v>
      </c>
      <c r="K4464" s="8" t="n"/>
      <c r="L4464" s="8" t="n"/>
      <c r="M4464" s="8" t="n"/>
      <c r="N4464" s="8" t="n"/>
      <c r="O4464" s="8" t="n"/>
      <c r="P4464" s="8" t="n"/>
      <c r="Q4464" s="8" t="n"/>
      <c r="R4464" s="8" t="n"/>
      <c r="S4464" s="8" t="n"/>
      <c r="T4464" s="7" t="inlineStr">
        <is>
          <t>SEM COTAÇÃO</t>
        </is>
      </c>
      <c r="U4464" s="8" t="n"/>
      <c r="V4464" s="14" t="n"/>
      <c r="W4464" s="14" t="n"/>
      <c r="X4464" s="7" t="inlineStr"/>
      <c r="Y4464" s="7" t="inlineStr"/>
    </row>
    <row r="4465">
      <c r="A4465" s="7" t="n">
        <v>656831</v>
      </c>
      <c r="B4465" s="12" t="inlineStr">
        <is>
          <t>7622210696922</t>
        </is>
      </c>
      <c r="C4465" s="7" t="inlineStr">
        <is>
          <t>TRIDENT 14S XSENSES INTENS 26,6G</t>
        </is>
      </c>
      <c r="D4465" s="7" t="inlineStr">
        <is>
          <t>CONVENIENCIA</t>
        </is>
      </c>
      <c r="E4465" s="7" t="inlineStr">
        <is>
          <t>C</t>
        </is>
      </c>
      <c r="F4465" s="13" t="n">
        <v>1</v>
      </c>
      <c r="G4465" s="13" t="n">
        <v>3</v>
      </c>
      <c r="H4465" s="8" t="n">
        <v>0.4992</v>
      </c>
      <c r="I4465" s="8" t="n">
        <v>0.4992</v>
      </c>
      <c r="J4465" s="8" t="n">
        <v>0.4991999999999999</v>
      </c>
      <c r="K4465" s="8" t="n"/>
      <c r="L4465" s="8" t="n"/>
      <c r="M4465" s="8" t="n"/>
      <c r="N4465" s="8" t="n"/>
      <c r="O4465" s="8" t="n"/>
      <c r="P4465" s="8" t="n"/>
      <c r="Q4465" s="8" t="n"/>
      <c r="R4465" s="8" t="n"/>
      <c r="S4465" s="8" t="n"/>
      <c r="T4465" s="7" t="inlineStr">
        <is>
          <t>SEM COTAÇÃO</t>
        </is>
      </c>
      <c r="U4465" s="8" t="n"/>
      <c r="V4465" s="14" t="n"/>
      <c r="W4465" s="14" t="n"/>
      <c r="X4465" s="7" t="inlineStr"/>
      <c r="Y4465" s="7" t="inlineStr"/>
    </row>
    <row r="4466">
      <c r="A4466" s="7" t="n">
        <v>658421</v>
      </c>
      <c r="B4466" s="12" t="inlineStr">
        <is>
          <t>7895800400173</t>
        </is>
      </c>
      <c r="C4466" s="7" t="inlineStr">
        <is>
          <t>TRIDENT CANELA 8G</t>
        </is>
      </c>
      <c r="D4466" s="7" t="inlineStr">
        <is>
          <t>CONVENIENCIA</t>
        </is>
      </c>
      <c r="E4466" s="7" t="inlineStr">
        <is>
          <t>B</t>
        </is>
      </c>
      <c r="F4466" s="13" t="n">
        <v>7</v>
      </c>
      <c r="G4466" s="13" t="n">
        <v>7</v>
      </c>
      <c r="H4466" s="8" t="n">
        <v>1.99</v>
      </c>
      <c r="I4466" s="8" t="n">
        <v>1.85</v>
      </c>
      <c r="J4466" s="8" t="n">
        <v>1.943333333333333</v>
      </c>
      <c r="K4466" s="8" t="n"/>
      <c r="L4466" s="8" t="n"/>
      <c r="M4466" s="8" t="n"/>
      <c r="N4466" s="8" t="n"/>
      <c r="O4466" s="8" t="n"/>
      <c r="P4466" s="8" t="n"/>
      <c r="Q4466" s="8" t="n"/>
      <c r="R4466" s="8" t="n"/>
      <c r="S4466" s="8" t="n"/>
      <c r="T4466" s="7" t="inlineStr">
        <is>
          <t>SEM COTAÇÃO</t>
        </is>
      </c>
      <c r="U4466" s="8" t="n"/>
      <c r="V4466" s="14" t="n"/>
      <c r="W4466" s="14" t="n"/>
      <c r="X4466" s="7" t="inlineStr"/>
      <c r="Y4466" s="7" t="inlineStr"/>
    </row>
    <row r="4467">
      <c r="A4467" s="7" t="n">
        <v>564421</v>
      </c>
      <c r="B4467" s="12" t="inlineStr">
        <is>
          <t>7895800309780</t>
        </is>
      </c>
      <c r="C4467" s="7" t="inlineStr">
        <is>
          <t>TRIDENT MELANCIA 8G</t>
        </is>
      </c>
      <c r="D4467" s="7" t="inlineStr">
        <is>
          <t>CONVENIENCIA</t>
        </is>
      </c>
      <c r="E4467" s="7" t="inlineStr">
        <is>
          <t>A</t>
        </is>
      </c>
      <c r="F4467" s="13" t="n">
        <v>43</v>
      </c>
      <c r="G4467" s="13" t="n">
        <v>43</v>
      </c>
      <c r="H4467" s="8" t="n">
        <v>1.99</v>
      </c>
      <c r="I4467" s="8" t="n">
        <v>1.85</v>
      </c>
      <c r="J4467" s="8" t="n">
        <v>1.943333333333333</v>
      </c>
      <c r="K4467" s="8" t="n"/>
      <c r="L4467" s="8" t="n"/>
      <c r="M4467" s="8" t="n"/>
      <c r="N4467" s="8" t="n"/>
      <c r="O4467" s="8" t="n"/>
      <c r="P4467" s="8" t="n"/>
      <c r="Q4467" s="8" t="n"/>
      <c r="R4467" s="8" t="n"/>
      <c r="S4467" s="8" t="n"/>
      <c r="T4467" s="7" t="inlineStr">
        <is>
          <t>SEM COTAÇÃO</t>
        </is>
      </c>
      <c r="U4467" s="8" t="n"/>
      <c r="V4467" s="14" t="n"/>
      <c r="W4467" s="14" t="n"/>
      <c r="X4467" s="7" t="inlineStr"/>
      <c r="Y4467" s="7" t="inlineStr"/>
    </row>
    <row r="4468">
      <c r="A4468" s="7" t="n">
        <v>652461</v>
      </c>
      <c r="B4468" s="12" t="inlineStr">
        <is>
          <t>7622210563460</t>
        </is>
      </c>
      <c r="C4468" s="7" t="inlineStr">
        <is>
          <t>TRIDENT MENTABERRY</t>
        </is>
      </c>
      <c r="D4468" s="7" t="inlineStr">
        <is>
          <t>CONVENIENCIA</t>
        </is>
      </c>
      <c r="E4468" s="7" t="inlineStr">
        <is>
          <t>C</t>
        </is>
      </c>
      <c r="F4468" s="13" t="n">
        <v>1</v>
      </c>
      <c r="G4468" s="13" t="n">
        <v>1</v>
      </c>
      <c r="H4468" s="8" t="n">
        <v>3.29</v>
      </c>
      <c r="I4468" s="8" t="n">
        <v>3.29</v>
      </c>
      <c r="J4468" s="8" t="n">
        <v>3.29</v>
      </c>
      <c r="K4468" s="8" t="n"/>
      <c r="L4468" s="8" t="n"/>
      <c r="M4468" s="8" t="n"/>
      <c r="N4468" s="8" t="n"/>
      <c r="O4468" s="8" t="n"/>
      <c r="P4468" s="8" t="n"/>
      <c r="Q4468" s="8" t="n"/>
      <c r="R4468" s="8" t="n"/>
      <c r="S4468" s="8" t="n"/>
      <c r="T4468" s="7" t="inlineStr">
        <is>
          <t>SEM COTAÇÃO</t>
        </is>
      </c>
      <c r="U4468" s="8" t="n"/>
      <c r="V4468" s="14" t="n"/>
      <c r="W4468" s="14" t="n"/>
      <c r="X4468" s="7" t="inlineStr"/>
      <c r="Y4468" s="7" t="inlineStr"/>
    </row>
    <row r="4469">
      <c r="A4469" s="7" t="n">
        <v>650251</v>
      </c>
      <c r="B4469" s="12" t="inlineStr">
        <is>
          <t>7622210528940</t>
        </is>
      </c>
      <c r="C4469" s="7" t="inlineStr">
        <is>
          <t>TRIDENT RASPBERRY 16,5G</t>
        </is>
      </c>
      <c r="D4469" s="7" t="inlineStr">
        <is>
          <t>CONVENIENCIA</t>
        </is>
      </c>
      <c r="E4469" s="7" t="inlineStr">
        <is>
          <t>B</t>
        </is>
      </c>
      <c r="F4469" s="13" t="n">
        <v>1</v>
      </c>
      <c r="G4469" s="13" t="n">
        <v>1</v>
      </c>
      <c r="H4469" s="8" t="n">
        <v>3.29</v>
      </c>
      <c r="I4469" s="8" t="n">
        <v>3.29</v>
      </c>
      <c r="J4469" s="8" t="n">
        <v>3.29</v>
      </c>
      <c r="K4469" s="8" t="n"/>
      <c r="L4469" s="8" t="n"/>
      <c r="M4469" s="8" t="n"/>
      <c r="N4469" s="8" t="n"/>
      <c r="O4469" s="8" t="n"/>
      <c r="P4469" s="8" t="n"/>
      <c r="Q4469" s="8" t="n"/>
      <c r="R4469" s="8" t="n"/>
      <c r="S4469" s="8" t="n"/>
      <c r="T4469" s="7" t="inlineStr">
        <is>
          <t>SEM COTAÇÃO</t>
        </is>
      </c>
      <c r="U4469" s="8" t="n"/>
      <c r="V4469" s="14" t="n"/>
      <c r="W4469" s="14" t="n"/>
      <c r="X4469" s="7" t="inlineStr"/>
      <c r="Y4469" s="7" t="inlineStr"/>
    </row>
    <row r="4470">
      <c r="A4470" s="7" t="n">
        <v>625601</v>
      </c>
      <c r="B4470" s="12" t="inlineStr">
        <is>
          <t>7622210570376</t>
        </is>
      </c>
      <c r="C4470" s="7" t="inlineStr">
        <is>
          <t>TRIDENT X SENSES MELANCIA MINT 54G</t>
        </is>
      </c>
      <c r="D4470" s="7" t="inlineStr">
        <is>
          <t>CONVENIENCIA</t>
        </is>
      </c>
      <c r="E4470" s="7" t="inlineStr">
        <is>
          <t>B</t>
        </is>
      </c>
      <c r="F4470" s="13" t="n">
        <v>1</v>
      </c>
      <c r="G4470" s="13" t="n">
        <v>1</v>
      </c>
      <c r="H4470" s="8" t="n">
        <v>9.65</v>
      </c>
      <c r="I4470" s="8" t="n">
        <v>9.65</v>
      </c>
      <c r="J4470" s="8" t="n">
        <v>9.65</v>
      </c>
      <c r="K4470" s="8" t="n"/>
      <c r="L4470" s="8" t="n"/>
      <c r="M4470" s="8" t="n"/>
      <c r="N4470" s="8" t="n"/>
      <c r="O4470" s="8" t="n"/>
      <c r="P4470" s="8" t="n"/>
      <c r="Q4470" s="8" t="n"/>
      <c r="R4470" s="8" t="n"/>
      <c r="S4470" s="8" t="n"/>
      <c r="T4470" s="7" t="inlineStr">
        <is>
          <t>SEM COTAÇÃO</t>
        </is>
      </c>
      <c r="U4470" s="8" t="n"/>
      <c r="V4470" s="14" t="n"/>
      <c r="W4470" s="14" t="n"/>
      <c r="X4470" s="7" t="inlineStr"/>
      <c r="Y4470" s="7" t="inlineStr"/>
    </row>
    <row r="4471">
      <c r="A4471" s="7" t="n">
        <v>656821</v>
      </c>
      <c r="B4471" s="12" t="inlineStr">
        <is>
          <t>7622210564337</t>
        </is>
      </c>
      <c r="C4471" s="7" t="inlineStr">
        <is>
          <t>TRIDENT XSENSES CEREJA 21X8G</t>
        </is>
      </c>
      <c r="D4471" s="7" t="inlineStr">
        <is>
          <t>CONVENIENCIA</t>
        </is>
      </c>
      <c r="E4471" s="7" t="inlineStr">
        <is>
          <t>C</t>
        </is>
      </c>
      <c r="F4471" s="13" t="n">
        <v>5</v>
      </c>
      <c r="G4471" s="13" t="n">
        <v>5</v>
      </c>
      <c r="H4471" s="8" t="n">
        <v>1.99</v>
      </c>
      <c r="I4471" s="8" t="n">
        <v>1.85</v>
      </c>
      <c r="J4471" s="8" t="n">
        <v>1.943333333333333</v>
      </c>
      <c r="K4471" s="8" t="n"/>
      <c r="L4471" s="8" t="n"/>
      <c r="M4471" s="8" t="n"/>
      <c r="N4471" s="8" t="n"/>
      <c r="O4471" s="8" t="n"/>
      <c r="P4471" s="8" t="n"/>
      <c r="Q4471" s="8" t="n"/>
      <c r="R4471" s="8" t="n"/>
      <c r="S4471" s="8" t="n"/>
      <c r="T4471" s="7" t="inlineStr">
        <is>
          <t>SEM COTAÇÃO</t>
        </is>
      </c>
      <c r="U4471" s="8" t="n"/>
      <c r="V4471" s="14" t="n"/>
      <c r="W4471" s="14" t="n"/>
      <c r="X4471" s="7" t="inlineStr"/>
      <c r="Y4471" s="7" t="inlineStr"/>
    </row>
    <row r="4472">
      <c r="A4472" s="7" t="n">
        <v>650241</v>
      </c>
      <c r="B4472" s="12" t="inlineStr">
        <is>
          <t>7895800400210</t>
        </is>
      </c>
      <c r="C4472" s="7" t="inlineStr">
        <is>
          <t>TRIDENT XSENSES HERBAL 8G</t>
        </is>
      </c>
      <c r="D4472" s="7" t="inlineStr">
        <is>
          <t>CONVENIENCIA</t>
        </is>
      </c>
      <c r="E4472" s="7" t="inlineStr">
        <is>
          <t>B</t>
        </is>
      </c>
      <c r="F4472" s="13" t="n">
        <v>54</v>
      </c>
      <c r="G4472" s="13" t="n">
        <v>54</v>
      </c>
      <c r="H4472" s="8" t="n">
        <v>1.99</v>
      </c>
      <c r="I4472" s="8" t="n">
        <v>1.85</v>
      </c>
      <c r="J4472" s="8" t="n">
        <v>1.943333333333333</v>
      </c>
      <c r="K4472" s="8" t="n"/>
      <c r="L4472" s="8" t="n"/>
      <c r="M4472" s="8" t="n"/>
      <c r="N4472" s="8" t="n"/>
      <c r="O4472" s="8" t="n"/>
      <c r="P4472" s="8" t="n"/>
      <c r="Q4472" s="8" t="n"/>
      <c r="R4472" s="8" t="n"/>
      <c r="S4472" s="8" t="n"/>
      <c r="T4472" s="7" t="inlineStr">
        <is>
          <t>SEM COTAÇÃO</t>
        </is>
      </c>
      <c r="U4472" s="8" t="n"/>
      <c r="V4472" s="14" t="n"/>
      <c r="W4472" s="14" t="n"/>
      <c r="X4472" s="7" t="inlineStr"/>
      <c r="Y4472" s="7" t="inlineStr"/>
    </row>
    <row r="4473">
      <c r="A4473" s="7" t="n">
        <v>446421</v>
      </c>
      <c r="B4473" s="12" t="inlineStr">
        <is>
          <t>7898906376403</t>
        </is>
      </c>
      <c r="C4473" s="7" t="inlineStr">
        <is>
          <t>TRIFAMOX 875+125MG CX 14 COMP REV</t>
        </is>
      </c>
      <c r="D4473" s="7" t="inlineStr">
        <is>
          <t>CONVENIENCIA</t>
        </is>
      </c>
      <c r="E4473" s="7" t="inlineStr">
        <is>
          <t>C</t>
        </is>
      </c>
      <c r="F4473" s="13" t="n">
        <v>1</v>
      </c>
      <c r="G4473" s="13" t="n">
        <v>1</v>
      </c>
      <c r="H4473" s="8" t="n">
        <v>104.805</v>
      </c>
      <c r="I4473" s="8" t="n">
        <v>104.805</v>
      </c>
      <c r="J4473" s="8" t="n">
        <v>104.805</v>
      </c>
      <c r="K4473" s="8" t="n"/>
      <c r="L4473" s="8" t="n"/>
      <c r="M4473" s="8" t="n"/>
      <c r="N4473" s="8" t="n"/>
      <c r="O4473" s="8" t="n"/>
      <c r="P4473" s="15" t="n">
        <v>127.3</v>
      </c>
      <c r="Q4473" s="8" t="n"/>
      <c r="R4473" s="8" t="n"/>
      <c r="S4473" s="8" t="n"/>
      <c r="T4473" s="7" t="inlineStr">
        <is>
          <t>NAZARIA</t>
        </is>
      </c>
      <c r="U4473" s="8" t="n">
        <v>127.3</v>
      </c>
      <c r="V4473" s="14">
        <f>U4473/J4473-1</f>
        <v/>
      </c>
      <c r="W4473" s="14">
        <f>U4473/H4473-1</f>
        <v/>
      </c>
      <c r="X4473" s="16" t="inlineStr">
        <is>
          <t>ACIMA +21.5%</t>
        </is>
      </c>
      <c r="Y4473" s="7" t="inlineStr"/>
    </row>
    <row r="4474">
      <c r="A4474" s="7" t="n">
        <v>656301</v>
      </c>
      <c r="B4474" s="12" t="inlineStr">
        <is>
          <t>071603105003</t>
        </is>
      </c>
      <c r="C4474" s="7" t="inlineStr">
        <is>
          <t>TRIM ALICATE CUTICULA 10-5PG 3X1</t>
        </is>
      </c>
      <c r="D4474" s="7" t="inlineStr">
        <is>
          <t>UTENSILIOS</t>
        </is>
      </c>
      <c r="E4474" s="7" t="inlineStr">
        <is>
          <t>C</t>
        </is>
      </c>
      <c r="F4474" s="13" t="n">
        <v>1</v>
      </c>
      <c r="G4474" s="13" t="n">
        <v>1</v>
      </c>
      <c r="H4474" s="8" t="n">
        <v>22.4967</v>
      </c>
      <c r="I4474" s="8" t="n">
        <v>22.4967</v>
      </c>
      <c r="J4474" s="8" t="n">
        <v>22.4967</v>
      </c>
      <c r="K4474" s="8" t="n"/>
      <c r="L4474" s="8" t="n"/>
      <c r="M4474" s="8" t="n"/>
      <c r="N4474" s="8" t="n"/>
      <c r="O4474" s="8" t="n"/>
      <c r="P4474" s="8" t="n"/>
      <c r="Q4474" s="8" t="n"/>
      <c r="R4474" s="8" t="n"/>
      <c r="S4474" s="8" t="n"/>
      <c r="T4474" s="7" t="inlineStr">
        <is>
          <t>SEM COTAÇÃO</t>
        </is>
      </c>
      <c r="U4474" s="8" t="n"/>
      <c r="V4474" s="14" t="n"/>
      <c r="W4474" s="14" t="n"/>
      <c r="X4474" s="7" t="inlineStr"/>
      <c r="Y4474" s="7" t="inlineStr"/>
    </row>
    <row r="4475">
      <c r="A4475" s="7" t="n">
        <v>656311</v>
      </c>
      <c r="B4475" s="12" t="inlineStr">
        <is>
          <t>071603125001</t>
        </is>
      </c>
      <c r="C4475" s="7" t="inlineStr">
        <is>
          <t>TRIM CORTADOR UNHA MAO C/CORRENTE 1-25PG 6X1</t>
        </is>
      </c>
      <c r="D4475" s="7" t="inlineStr">
        <is>
          <t>UTENSILIOS</t>
        </is>
      </c>
      <c r="E4475" s="7" t="inlineStr">
        <is>
          <t>C</t>
        </is>
      </c>
      <c r="F4475" s="13" t="n">
        <v>1</v>
      </c>
      <c r="G4475" s="13" t="n">
        <v>1</v>
      </c>
      <c r="H4475" s="8" t="n">
        <v>4.4333</v>
      </c>
      <c r="I4475" s="8" t="n">
        <v>4.4333</v>
      </c>
      <c r="J4475" s="8" t="n">
        <v>4.4333</v>
      </c>
      <c r="K4475" s="8" t="n"/>
      <c r="L4475" s="8" t="n"/>
      <c r="M4475" s="8" t="n"/>
      <c r="N4475" s="8" t="n"/>
      <c r="O4475" s="8" t="n"/>
      <c r="P4475" s="8" t="n"/>
      <c r="Q4475" s="8" t="n"/>
      <c r="R4475" s="8" t="n"/>
      <c r="S4475" s="8" t="n"/>
      <c r="T4475" s="7" t="inlineStr">
        <is>
          <t>SEM COTAÇÃO</t>
        </is>
      </c>
      <c r="U4475" s="8" t="n"/>
      <c r="V4475" s="14" t="n"/>
      <c r="W4475" s="14" t="n"/>
      <c r="X4475" s="7" t="inlineStr"/>
      <c r="Y4475" s="7" t="inlineStr"/>
    </row>
    <row r="4476">
      <c r="A4476" s="7" t="n">
        <v>655211</v>
      </c>
      <c r="B4476" s="12" t="inlineStr">
        <is>
          <t>071603103009</t>
        </is>
      </c>
      <c r="C4476" s="7" t="inlineStr">
        <is>
          <t>TRIM TESOURA CUTICULA PONTA CURVA 10-3PG</t>
        </is>
      </c>
      <c r="D4476" s="7" t="inlineStr">
        <is>
          <t>UTENSILIOS</t>
        </is>
      </c>
      <c r="E4476" s="7" t="inlineStr">
        <is>
          <t>C</t>
        </is>
      </c>
      <c r="F4476" s="13" t="n">
        <v>1</v>
      </c>
      <c r="G4476" s="13" t="n">
        <v>1</v>
      </c>
      <c r="H4476" s="8" t="n">
        <v>14.23</v>
      </c>
      <c r="I4476" s="8" t="n">
        <v>14.23</v>
      </c>
      <c r="J4476" s="8" t="n">
        <v>14.23</v>
      </c>
      <c r="K4476" s="8" t="n"/>
      <c r="L4476" s="8" t="n"/>
      <c r="M4476" s="8" t="n"/>
      <c r="N4476" s="8" t="n"/>
      <c r="O4476" s="8" t="n"/>
      <c r="P4476" s="8" t="n"/>
      <c r="Q4476" s="8" t="n"/>
      <c r="R4476" s="8" t="n"/>
      <c r="S4476" s="8" t="n"/>
      <c r="T4476" s="7" t="inlineStr">
        <is>
          <t>SEM COTAÇÃO</t>
        </is>
      </c>
      <c r="U4476" s="8" t="n"/>
      <c r="V4476" s="14" t="n"/>
      <c r="W4476" s="14" t="n"/>
      <c r="X4476" s="7" t="inlineStr"/>
      <c r="Y4476" s="7" t="inlineStr"/>
    </row>
    <row r="4477">
      <c r="A4477" s="7" t="n">
        <v>656221</v>
      </c>
      <c r="B4477" s="12" t="inlineStr">
        <is>
          <t>071603003460</t>
        </is>
      </c>
      <c r="C4477" s="7" t="inlineStr">
        <is>
          <t>TRIM TESOURA P/ UNHA PONTA CURVA 10-4PG</t>
        </is>
      </c>
      <c r="D4477" s="7" t="inlineStr">
        <is>
          <t>UTENSILIOS</t>
        </is>
      </c>
      <c r="E4477" s="7" t="inlineStr">
        <is>
          <t>C</t>
        </is>
      </c>
      <c r="F4477" s="13" t="n">
        <v>1</v>
      </c>
      <c r="G4477" s="13" t="n">
        <v>1</v>
      </c>
      <c r="H4477" s="8" t="n">
        <v>13.74</v>
      </c>
      <c r="I4477" s="8" t="n">
        <v>13.74</v>
      </c>
      <c r="J4477" s="8" t="n">
        <v>13.74</v>
      </c>
      <c r="K4477" s="8" t="n"/>
      <c r="L4477" s="8" t="n"/>
      <c r="M4477" s="8" t="n"/>
      <c r="N4477" s="8" t="n"/>
      <c r="O4477" s="8" t="n"/>
      <c r="P4477" s="8" t="n"/>
      <c r="Q4477" s="8" t="n"/>
      <c r="R4477" s="8" t="n"/>
      <c r="S4477" s="8" t="n"/>
      <c r="T4477" s="7" t="inlineStr">
        <is>
          <t>SEM COTAÇÃO</t>
        </is>
      </c>
      <c r="U4477" s="8" t="n"/>
      <c r="V4477" s="14" t="n"/>
      <c r="W4477" s="14" t="n"/>
      <c r="X4477" s="7" t="inlineStr"/>
      <c r="Y4477" s="7" t="inlineStr"/>
    </row>
    <row r="4478">
      <c r="A4478" s="7" t="n">
        <v>660321</v>
      </c>
      <c r="B4478" s="12" t="inlineStr">
        <is>
          <t>7896714295503</t>
        </is>
      </c>
      <c r="C4478" s="7" t="inlineStr">
        <is>
          <t>TRIMETAZIDINA 35MG 30CP LIB PROL(NQG)</t>
        </is>
      </c>
      <c r="D4478" s="7" t="inlineStr">
        <is>
          <t>GENERICO</t>
        </is>
      </c>
      <c r="E4478" s="7" t="inlineStr">
        <is>
          <t>C</t>
        </is>
      </c>
      <c r="F4478" s="13" t="n">
        <v>1</v>
      </c>
      <c r="G4478" s="13" t="n">
        <v>1</v>
      </c>
      <c r="H4478" s="8" t="n">
        <v>29.54</v>
      </c>
      <c r="I4478" s="8" t="n">
        <v>29.54</v>
      </c>
      <c r="J4478" s="8" t="n">
        <v>29.54</v>
      </c>
      <c r="K4478" s="8" t="n"/>
      <c r="L4478" s="8" t="n"/>
      <c r="M4478" s="8" t="n"/>
      <c r="N4478" s="8" t="n"/>
      <c r="O4478" s="8" t="n"/>
      <c r="P4478" s="8" t="n"/>
      <c r="Q4478" s="15" t="n">
        <v>32.68</v>
      </c>
      <c r="R4478" s="8" t="n"/>
      <c r="S4478" s="8" t="n"/>
      <c r="T4478" s="7" t="inlineStr">
        <is>
          <t>MEDCENTRO</t>
        </is>
      </c>
      <c r="U4478" s="8" t="n">
        <v>32.68</v>
      </c>
      <c r="V4478" s="14">
        <f>U4478/J4478-1</f>
        <v/>
      </c>
      <c r="W4478" s="14">
        <f>U4478/H4478-1</f>
        <v/>
      </c>
      <c r="X4478" s="16" t="inlineStr">
        <is>
          <t>ACIMA +10.6%</t>
        </is>
      </c>
      <c r="Y4478" s="7" t="inlineStr"/>
    </row>
    <row r="4479">
      <c r="A4479" s="7" t="n">
        <v>39303</v>
      </c>
      <c r="B4479" s="12" t="inlineStr">
        <is>
          <t>7896004821993</t>
        </is>
      </c>
      <c r="C4479" s="7" t="inlineStr">
        <is>
          <t>TRIMETAZIDINA 35MG 30CPR</t>
        </is>
      </c>
      <c r="D4479" s="7" t="inlineStr">
        <is>
          <t>GENERICO</t>
        </is>
      </c>
      <c r="E4479" s="7" t="inlineStr">
        <is>
          <t>C</t>
        </is>
      </c>
      <c r="F4479" s="13" t="n">
        <v>8</v>
      </c>
      <c r="G4479" s="13" t="n">
        <v>8</v>
      </c>
      <c r="H4479" s="8" t="n">
        <v>16.385</v>
      </c>
      <c r="I4479" s="8" t="n">
        <v>16.385</v>
      </c>
      <c r="J4479" s="8" t="n">
        <v>16.385</v>
      </c>
      <c r="K4479" s="15" t="n">
        <v>22.59</v>
      </c>
      <c r="L4479" s="8" t="n"/>
      <c r="M4479" s="8" t="n"/>
      <c r="N4479" s="8" t="n"/>
      <c r="O4479" s="8" t="n"/>
      <c r="P4479" s="8" t="n"/>
      <c r="Q4479" s="8" t="n">
        <v>23.95</v>
      </c>
      <c r="R4479" s="8" t="n"/>
      <c r="S4479" s="8" t="n"/>
      <c r="T4479" s="7" t="inlineStr">
        <is>
          <t>DIMEC</t>
        </is>
      </c>
      <c r="U4479" s="8" t="n">
        <v>22.59</v>
      </c>
      <c r="V4479" s="14">
        <f>U4479/J4479-1</f>
        <v/>
      </c>
      <c r="W4479" s="14">
        <f>U4479/H4479-1</f>
        <v/>
      </c>
      <c r="X4479" s="16" t="inlineStr">
        <is>
          <t>ACIMA +37.9%</t>
        </is>
      </c>
      <c r="Y4479" s="7" t="inlineStr"/>
    </row>
    <row r="4480">
      <c r="A4480" s="7" t="n">
        <v>210541</v>
      </c>
      <c r="B4480" s="12" t="inlineStr">
        <is>
          <t>7891317005931</t>
        </is>
      </c>
      <c r="C4480" s="7" t="inlineStr">
        <is>
          <t>TRIMUSK 125+50+300+30MG CX 15 COMP</t>
        </is>
      </c>
      <c r="D4480" s="7" t="inlineStr">
        <is>
          <t>RX</t>
        </is>
      </c>
      <c r="E4480" s="7" t="inlineStr">
        <is>
          <t>A</t>
        </is>
      </c>
      <c r="F4480" s="13" t="n">
        <v>21</v>
      </c>
      <c r="G4480" s="13" t="n">
        <v>21</v>
      </c>
      <c r="H4480" s="8" t="n">
        <v>17.91</v>
      </c>
      <c r="I4480" s="8" t="n">
        <v>16.955</v>
      </c>
      <c r="J4480" s="8" t="n">
        <v>17.52833333333333</v>
      </c>
      <c r="K4480" s="8" t="n"/>
      <c r="L4480" s="8" t="n"/>
      <c r="M4480" s="8" t="n"/>
      <c r="N4480" s="8" t="n"/>
      <c r="O4480" s="15" t="n">
        <v>17.91</v>
      </c>
      <c r="P4480" s="8" t="n">
        <v>18.669</v>
      </c>
      <c r="Q4480" s="8" t="n"/>
      <c r="R4480" s="8" t="n"/>
      <c r="S4480" s="8" t="n"/>
      <c r="T4480" s="7" t="inlineStr">
        <is>
          <t>TAPAJOS</t>
        </is>
      </c>
      <c r="U4480" s="8" t="n">
        <v>17.91</v>
      </c>
      <c r="V4480" s="14">
        <f>U4480/J4480-1</f>
        <v/>
      </c>
      <c r="W4480" s="14">
        <f>U4480/H4480-1</f>
        <v/>
      </c>
      <c r="X4480" s="17" t="inlineStr">
        <is>
          <t>OK (≤ últ. compra)</t>
        </is>
      </c>
      <c r="Y4480" s="7" t="inlineStr"/>
    </row>
    <row r="4481">
      <c r="A4481" s="7" t="n">
        <v>684401</v>
      </c>
      <c r="B4481" s="12" t="inlineStr">
        <is>
          <t>7896058200331</t>
        </is>
      </c>
      <c r="C4481" s="7" t="inlineStr">
        <is>
          <t>TRIUNFO WAFER CHOCO AVELA 105G</t>
        </is>
      </c>
      <c r="D4481" s="7" t="inlineStr">
        <is>
          <t>BISCOITOS/SALGADOS</t>
        </is>
      </c>
      <c r="E4481" s="7" t="inlineStr">
        <is>
          <t>C</t>
        </is>
      </c>
      <c r="F4481" s="13" t="n">
        <v>1</v>
      </c>
      <c r="G4481" s="13" t="n">
        <v>1</v>
      </c>
      <c r="H4481" s="8" t="n">
        <v>2.995</v>
      </c>
      <c r="I4481" s="8" t="n">
        <v>2.995</v>
      </c>
      <c r="J4481" s="8" t="n">
        <v>2.995</v>
      </c>
      <c r="K4481" s="8" t="n"/>
      <c r="L4481" s="8" t="n"/>
      <c r="M4481" s="8" t="n"/>
      <c r="N4481" s="8" t="n"/>
      <c r="O4481" s="8" t="n"/>
      <c r="P4481" s="8" t="n"/>
      <c r="Q4481" s="8" t="n"/>
      <c r="R4481" s="8" t="n"/>
      <c r="S4481" s="8" t="n"/>
      <c r="T4481" s="7" t="inlineStr">
        <is>
          <t>SEM COTAÇÃO</t>
        </is>
      </c>
      <c r="U4481" s="8" t="n"/>
      <c r="V4481" s="14" t="n"/>
      <c r="W4481" s="14" t="n"/>
      <c r="X4481" s="7" t="inlineStr"/>
      <c r="Y4481" s="7" t="inlineStr"/>
    </row>
    <row r="4482">
      <c r="A4482" s="7" t="n">
        <v>684501</v>
      </c>
      <c r="B4482" s="12" t="inlineStr">
        <is>
          <t>7896058200348</t>
        </is>
      </c>
      <c r="C4482" s="7" t="inlineStr">
        <is>
          <t>TRIUNFO WAFER CHOCOLATE 48X105G</t>
        </is>
      </c>
      <c r="D4482" s="7" t="inlineStr">
        <is>
          <t>BISCOITOS/SALGADOS</t>
        </is>
      </c>
      <c r="E4482" s="7" t="inlineStr">
        <is>
          <t>C</t>
        </is>
      </c>
      <c r="F4482" s="13" t="n">
        <v>1</v>
      </c>
      <c r="G4482" s="13" t="n">
        <v>1</v>
      </c>
      <c r="H4482" s="8" t="n">
        <v>2.995</v>
      </c>
      <c r="I4482" s="8" t="n">
        <v>2.995</v>
      </c>
      <c r="J4482" s="8" t="n">
        <v>2.995</v>
      </c>
      <c r="K4482" s="8" t="n"/>
      <c r="L4482" s="8" t="n"/>
      <c r="M4482" s="8" t="n"/>
      <c r="N4482" s="8" t="n"/>
      <c r="O4482" s="8" t="n"/>
      <c r="P4482" s="8" t="n"/>
      <c r="Q4482" s="8" t="n"/>
      <c r="R4482" s="8" t="n"/>
      <c r="S4482" s="8" t="n"/>
      <c r="T4482" s="7" t="inlineStr">
        <is>
          <t>SEM COTAÇÃO</t>
        </is>
      </c>
      <c r="U4482" s="8" t="n"/>
      <c r="V4482" s="14" t="n"/>
      <c r="W4482" s="14" t="n"/>
      <c r="X4482" s="7" t="inlineStr"/>
      <c r="Y4482" s="7" t="inlineStr"/>
    </row>
    <row r="4483">
      <c r="A4483" s="7" t="n">
        <v>684701</v>
      </c>
      <c r="B4483" s="12" t="inlineStr">
        <is>
          <t>7896058200355</t>
        </is>
      </c>
      <c r="C4483" s="7" t="inlineStr">
        <is>
          <t>TRIUNFO WAFER MORANGO 48X105G</t>
        </is>
      </c>
      <c r="D4483" s="7" t="inlineStr">
        <is>
          <t>BISCOITOS/SALGADOS</t>
        </is>
      </c>
      <c r="E4483" s="7" t="inlineStr">
        <is>
          <t>C</t>
        </is>
      </c>
      <c r="F4483" s="13" t="n">
        <v>1</v>
      </c>
      <c r="G4483" s="13" t="n">
        <v>1</v>
      </c>
      <c r="H4483" s="8" t="n">
        <v>2.995</v>
      </c>
      <c r="I4483" s="8" t="n">
        <v>2.995</v>
      </c>
      <c r="J4483" s="8" t="n">
        <v>2.995</v>
      </c>
      <c r="K4483" s="8" t="n"/>
      <c r="L4483" s="8" t="n"/>
      <c r="M4483" s="8" t="n"/>
      <c r="N4483" s="8" t="n"/>
      <c r="O4483" s="8" t="n"/>
      <c r="P4483" s="8" t="n"/>
      <c r="Q4483" s="8" t="n"/>
      <c r="R4483" s="8" t="n"/>
      <c r="S4483" s="8" t="n"/>
      <c r="T4483" s="7" t="inlineStr">
        <is>
          <t>SEM COTAÇÃO</t>
        </is>
      </c>
      <c r="U4483" s="8" t="n"/>
      <c r="V4483" s="14" t="n"/>
      <c r="W4483" s="14" t="n"/>
      <c r="X4483" s="7" t="inlineStr"/>
      <c r="Y4483" s="7" t="inlineStr"/>
    </row>
    <row r="4484">
      <c r="A4484" s="7" t="n">
        <v>207441</v>
      </c>
      <c r="B4484" s="12" t="inlineStr">
        <is>
          <t>7896226102504</t>
        </is>
      </c>
      <c r="C4484" s="7" t="inlineStr">
        <is>
          <t>TRIVAGEL-N CREME VAG BG 60G+10APLIC</t>
        </is>
      </c>
      <c r="D4484" s="7" t="inlineStr">
        <is>
          <t>RX - SIMILAR - ATB</t>
        </is>
      </c>
      <c r="E4484" s="7" t="inlineStr">
        <is>
          <t>A</t>
        </is>
      </c>
      <c r="F4484" s="13" t="n">
        <v>2</v>
      </c>
      <c r="G4484" s="13" t="n">
        <v>2</v>
      </c>
      <c r="H4484" s="8" t="n">
        <v>73.675</v>
      </c>
      <c r="I4484" s="8" t="n">
        <v>63.0967</v>
      </c>
      <c r="J4484" s="8" t="n">
        <v>69.32556666666666</v>
      </c>
      <c r="K4484" s="8" t="n"/>
      <c r="L4484" s="8" t="n"/>
      <c r="M4484" s="8" t="n">
        <v>73.68000000000001</v>
      </c>
      <c r="N4484" s="8" t="n"/>
      <c r="O4484" s="15" t="n">
        <v>72.44</v>
      </c>
      <c r="P4484" s="8" t="n">
        <v>74.7482</v>
      </c>
      <c r="Q4484" s="8" t="n"/>
      <c r="R4484" s="8" t="n"/>
      <c r="S4484" s="8" t="n"/>
      <c r="T4484" s="7" t="inlineStr">
        <is>
          <t>TAPAJOS</t>
        </is>
      </c>
      <c r="U4484" s="8" t="n">
        <v>72.44</v>
      </c>
      <c r="V4484" s="14">
        <f>U4484/J4484-1</f>
        <v/>
      </c>
      <c r="W4484" s="14">
        <f>U4484/H4484-1</f>
        <v/>
      </c>
      <c r="X4484" s="17" t="inlineStr">
        <is>
          <t>OK (≤ últ. compra)</t>
        </is>
      </c>
      <c r="Y4484" s="7" t="inlineStr"/>
    </row>
    <row r="4485">
      <c r="A4485" s="7" t="n">
        <v>609051</v>
      </c>
      <c r="B4485" s="12" t="inlineStr">
        <is>
          <t>7891317025564</t>
        </is>
      </c>
      <c r="C4485" s="7" t="inlineStr">
        <is>
          <t>TROK 20+0,5MG/G CREM DERM BG 10G</t>
        </is>
      </c>
      <c r="D4485" s="7" t="inlineStr">
        <is>
          <t>RX</t>
        </is>
      </c>
      <c r="E4485" s="7" t="inlineStr">
        <is>
          <t>B</t>
        </is>
      </c>
      <c r="F4485" s="13" t="n">
        <v>1</v>
      </c>
      <c r="G4485" s="13" t="n">
        <v>1</v>
      </c>
      <c r="H4485" s="8" t="n">
        <v>15.42</v>
      </c>
      <c r="I4485" s="8" t="n">
        <v>14.02</v>
      </c>
      <c r="J4485" s="8" t="n">
        <v>14.69666666666667</v>
      </c>
      <c r="K4485" s="8" t="n"/>
      <c r="L4485" s="8" t="n"/>
      <c r="M4485" s="8" t="n">
        <v>15.42</v>
      </c>
      <c r="N4485" s="8" t="n"/>
      <c r="O4485" s="15" t="n">
        <v>15</v>
      </c>
      <c r="P4485" s="8" t="n">
        <v>15.6408</v>
      </c>
      <c r="Q4485" s="8" t="n"/>
      <c r="R4485" s="8" t="n"/>
      <c r="S4485" s="8" t="n"/>
      <c r="T4485" s="7" t="inlineStr">
        <is>
          <t>TAPAJOS</t>
        </is>
      </c>
      <c r="U4485" s="8" t="n">
        <v>15</v>
      </c>
      <c r="V4485" s="14">
        <f>U4485/J4485-1</f>
        <v/>
      </c>
      <c r="W4485" s="14">
        <f>U4485/H4485-1</f>
        <v/>
      </c>
      <c r="X4485" s="17" t="inlineStr">
        <is>
          <t>OK (≤ últ. compra)</t>
        </is>
      </c>
      <c r="Y4485" s="7" t="inlineStr"/>
    </row>
    <row r="4486">
      <c r="A4486" s="7" t="n">
        <v>640321</v>
      </c>
      <c r="B4486" s="12" t="inlineStr"/>
      <c r="C4486" s="7" t="inlineStr">
        <is>
          <t>TROK 20+0,5MG/G POM DERM BG 10G</t>
        </is>
      </c>
      <c r="D4486" s="7" t="inlineStr">
        <is>
          <t>RX</t>
        </is>
      </c>
      <c r="E4486" s="7" t="inlineStr">
        <is>
          <t>A</t>
        </is>
      </c>
      <c r="F4486" s="13" t="n">
        <v>1</v>
      </c>
      <c r="G4486" s="13" t="n">
        <v>1</v>
      </c>
      <c r="H4486" s="8" t="n">
        <v>14.58</v>
      </c>
      <c r="I4486" s="8" t="n">
        <v>13.625</v>
      </c>
      <c r="J4486" s="8" t="n">
        <v>14.145</v>
      </c>
      <c r="K4486" s="8" t="n"/>
      <c r="L4486" s="8" t="n"/>
      <c r="M4486" s="8" t="n"/>
      <c r="N4486" s="8" t="n"/>
      <c r="O4486" s="8" t="n"/>
      <c r="P4486" s="8" t="n"/>
      <c r="Q4486" s="8" t="n"/>
      <c r="R4486" s="8" t="n"/>
      <c r="S4486" s="8" t="n"/>
      <c r="T4486" s="7" t="inlineStr">
        <is>
          <t>SEM COTAÇÃO</t>
        </is>
      </c>
      <c r="U4486" s="8" t="n"/>
      <c r="V4486" s="14" t="n"/>
      <c r="W4486" s="14" t="n"/>
      <c r="X4486" s="7" t="inlineStr"/>
      <c r="Y4486" s="7" t="inlineStr"/>
    </row>
    <row r="4487">
      <c r="A4487" s="7" t="n">
        <v>451941</v>
      </c>
      <c r="B4487" s="12" t="inlineStr">
        <is>
          <t>7891317445737</t>
        </is>
      </c>
      <c r="C4487" s="7" t="inlineStr">
        <is>
          <t>TROK-N 20+0,5+2,5MG/G CREM DERM BG 30G</t>
        </is>
      </c>
      <c r="D4487" s="7" t="inlineStr">
        <is>
          <t>RX</t>
        </is>
      </c>
      <c r="E4487" s="7" t="inlineStr">
        <is>
          <t>A</t>
        </is>
      </c>
      <c r="F4487" s="13" t="n">
        <v>2</v>
      </c>
      <c r="G4487" s="13" t="n">
        <v>2</v>
      </c>
      <c r="H4487" s="8" t="n">
        <v>31.855</v>
      </c>
      <c r="I4487" s="8" t="n">
        <v>28.9525</v>
      </c>
      <c r="J4487" s="8" t="n">
        <v>30.34916666666667</v>
      </c>
      <c r="K4487" s="8" t="n"/>
      <c r="L4487" s="8" t="n"/>
      <c r="M4487" s="8" t="n">
        <v>31.85</v>
      </c>
      <c r="N4487" s="8" t="n"/>
      <c r="O4487" s="15" t="n">
        <v>30.98</v>
      </c>
      <c r="P4487" s="8" t="n">
        <v>32.3008</v>
      </c>
      <c r="Q4487" s="8" t="n"/>
      <c r="R4487" s="8" t="n"/>
      <c r="S4487" s="8" t="n"/>
      <c r="T4487" s="7" t="inlineStr">
        <is>
          <t>TAPAJOS</t>
        </is>
      </c>
      <c r="U4487" s="8" t="n">
        <v>30.98</v>
      </c>
      <c r="V4487" s="14">
        <f>U4487/J4487-1</f>
        <v/>
      </c>
      <c r="W4487" s="14">
        <f>U4487/H4487-1</f>
        <v/>
      </c>
      <c r="X4487" s="17" t="inlineStr">
        <is>
          <t>OK (≤ últ. compra)</t>
        </is>
      </c>
      <c r="Y4487" s="7" t="inlineStr"/>
    </row>
    <row r="4488">
      <c r="A4488" s="7" t="n">
        <v>451921</v>
      </c>
      <c r="B4488" s="12" t="inlineStr"/>
      <c r="C4488" s="7" t="inlineStr">
        <is>
          <t>TROK-N CREME BG 10G</t>
        </is>
      </c>
      <c r="D4488" s="7" t="inlineStr">
        <is>
          <t>RX</t>
        </is>
      </c>
      <c r="E4488" s="7" t="inlineStr">
        <is>
          <t>A</t>
        </is>
      </c>
      <c r="F4488" s="13" t="n">
        <v>4</v>
      </c>
      <c r="G4488" s="13" t="n">
        <v>4</v>
      </c>
      <c r="H4488" s="8" t="n">
        <v>16.14</v>
      </c>
      <c r="I4488" s="8" t="n">
        <v>15.0733</v>
      </c>
      <c r="J4488" s="8" t="n">
        <v>15.6522</v>
      </c>
      <c r="K4488" s="8" t="n"/>
      <c r="L4488" s="8" t="n"/>
      <c r="M4488" s="8" t="n"/>
      <c r="N4488" s="8" t="n"/>
      <c r="O4488" s="8" t="n"/>
      <c r="P4488" s="8" t="n"/>
      <c r="Q4488" s="8" t="n"/>
      <c r="R4488" s="8" t="n"/>
      <c r="S4488" s="8" t="n"/>
      <c r="T4488" s="7" t="inlineStr">
        <is>
          <t>SEM COTAÇÃO</t>
        </is>
      </c>
      <c r="U4488" s="8" t="n"/>
      <c r="V4488" s="14" t="n"/>
      <c r="W4488" s="14" t="n"/>
      <c r="X4488" s="7" t="inlineStr"/>
      <c r="Y4488" s="7" t="inlineStr"/>
    </row>
    <row r="4489">
      <c r="A4489" s="7" t="n">
        <v>282781</v>
      </c>
      <c r="B4489" s="12" t="inlineStr">
        <is>
          <t>7896255717885</t>
        </is>
      </c>
      <c r="C4489" s="7" t="inlineStr">
        <is>
          <t>TROMBOFOB 200UI GEL BG 40G</t>
        </is>
      </c>
      <c r="D4489" s="7" t="inlineStr">
        <is>
          <t>RX - OTC</t>
        </is>
      </c>
      <c r="E4489" s="7" t="inlineStr">
        <is>
          <t>A</t>
        </is>
      </c>
      <c r="F4489" s="13" t="n">
        <v>6</v>
      </c>
      <c r="G4489" s="13" t="n">
        <v>6</v>
      </c>
      <c r="H4489" s="8" t="n">
        <v>32.62</v>
      </c>
      <c r="I4489" s="8" t="n">
        <v>25.57</v>
      </c>
      <c r="J4489" s="8" t="n">
        <v>29.64333333333333</v>
      </c>
      <c r="K4489" s="8" t="n"/>
      <c r="L4489" s="8" t="n"/>
      <c r="M4489" s="15" t="n">
        <v>32.62</v>
      </c>
      <c r="N4489" s="8" t="n"/>
      <c r="O4489" s="8" t="n">
        <v>32.85</v>
      </c>
      <c r="P4489" s="8" t="n">
        <v>34.94</v>
      </c>
      <c r="Q4489" s="8" t="n"/>
      <c r="R4489" s="8" t="n"/>
      <c r="S4489" s="8" t="n"/>
      <c r="T4489" s="7" t="inlineStr">
        <is>
          <t>EPAN</t>
        </is>
      </c>
      <c r="U4489" s="8" t="n">
        <v>32.62</v>
      </c>
      <c r="V4489" s="14">
        <f>U4489/J4489-1</f>
        <v/>
      </c>
      <c r="W4489" s="14">
        <f>U4489/H4489-1</f>
        <v/>
      </c>
      <c r="X4489" s="17" t="inlineStr">
        <is>
          <t>OK (≤ últ. compra)</t>
        </is>
      </c>
      <c r="Y4489" s="7" t="inlineStr"/>
    </row>
    <row r="4490">
      <c r="A4490" s="7" t="n">
        <v>70821</v>
      </c>
      <c r="B4490" s="12" t="inlineStr"/>
      <c r="C4490" s="7" t="inlineStr">
        <is>
          <t>TROPINAL CX 20 COMP</t>
        </is>
      </c>
      <c r="D4490" s="7" t="inlineStr">
        <is>
          <t>RX</t>
        </is>
      </c>
      <c r="E4490" s="7" t="inlineStr">
        <is>
          <t>A</t>
        </is>
      </c>
      <c r="F4490" s="13" t="n">
        <v>6</v>
      </c>
      <c r="G4490" s="13" t="n">
        <v>6</v>
      </c>
      <c r="H4490" s="8" t="n">
        <v>19.8856</v>
      </c>
      <c r="I4490" s="8" t="n">
        <v>18.914</v>
      </c>
      <c r="J4490" s="8" t="n">
        <v>18.9856</v>
      </c>
      <c r="K4490" s="8" t="n"/>
      <c r="L4490" s="8" t="n"/>
      <c r="M4490" s="8" t="n"/>
      <c r="N4490" s="8" t="n"/>
      <c r="O4490" s="8" t="n"/>
      <c r="P4490" s="8" t="n"/>
      <c r="Q4490" s="8" t="n"/>
      <c r="R4490" s="8" t="n"/>
      <c r="S4490" s="8" t="n"/>
      <c r="T4490" s="7" t="inlineStr">
        <is>
          <t>SEM COTAÇÃO</t>
        </is>
      </c>
      <c r="U4490" s="8" t="n"/>
      <c r="V4490" s="14" t="n"/>
      <c r="W4490" s="14" t="n"/>
      <c r="X4490" s="7" t="inlineStr"/>
      <c r="Y4490" s="7" t="inlineStr"/>
    </row>
    <row r="4491">
      <c r="A4491" s="7" t="n">
        <v>650811</v>
      </c>
      <c r="B4491" s="12" t="inlineStr">
        <is>
          <t>7896079846228</t>
        </is>
      </c>
      <c r="C4491" s="7" t="inlineStr">
        <is>
          <t>TUB-IN AVELA 48GR CX C/24 QTD. 1.00 CX</t>
        </is>
      </c>
      <c r="D4491" s="7" t="inlineStr">
        <is>
          <t>CONVENIENCIA</t>
        </is>
      </c>
      <c r="E4491" s="7" t="inlineStr">
        <is>
          <t>C</t>
        </is>
      </c>
      <c r="F4491" s="13" t="n">
        <v>1</v>
      </c>
      <c r="G4491" s="13" t="n">
        <v>1</v>
      </c>
      <c r="H4491" s="8" t="n">
        <v>2.4</v>
      </c>
      <c r="I4491" s="8" t="n">
        <v>2.4</v>
      </c>
      <c r="J4491" s="8" t="n">
        <v>2.4</v>
      </c>
      <c r="K4491" s="8" t="n"/>
      <c r="L4491" s="8" t="n"/>
      <c r="M4491" s="8" t="n"/>
      <c r="N4491" s="8" t="n"/>
      <c r="O4491" s="8" t="n"/>
      <c r="P4491" s="8" t="n"/>
      <c r="Q4491" s="8" t="n"/>
      <c r="R4491" s="8" t="n"/>
      <c r="S4491" s="8" t="n"/>
      <c r="T4491" s="7" t="inlineStr">
        <is>
          <t>SEM COTAÇÃO</t>
        </is>
      </c>
      <c r="U4491" s="8" t="n"/>
      <c r="V4491" s="14" t="n"/>
      <c r="W4491" s="14" t="n"/>
      <c r="X4491" s="7" t="inlineStr"/>
      <c r="Y4491" s="7" t="inlineStr"/>
    </row>
    <row r="4492">
      <c r="A4492" s="7" t="n">
        <v>625851</v>
      </c>
      <c r="B4492" s="12" t="inlineStr">
        <is>
          <t>7896079846525</t>
        </is>
      </c>
      <c r="C4492" s="7" t="inlineStr">
        <is>
          <t>TUB-IN BISC WAFER RECH CHOCOLATE 48GR</t>
        </is>
      </c>
      <c r="D4492" s="7" t="inlineStr">
        <is>
          <t>CONVENIENCIA</t>
        </is>
      </c>
      <c r="E4492" s="7" t="inlineStr">
        <is>
          <t>C</t>
        </is>
      </c>
      <c r="F4492" s="13" t="n">
        <v>5</v>
      </c>
      <c r="G4492" s="13" t="n">
        <v>5</v>
      </c>
      <c r="H4492" s="8" t="n">
        <v>2.45</v>
      </c>
      <c r="I4492" s="8" t="n">
        <v>2.45</v>
      </c>
      <c r="J4492" s="8" t="n">
        <v>2.45</v>
      </c>
      <c r="K4492" s="8" t="n"/>
      <c r="L4492" s="8" t="n"/>
      <c r="M4492" s="8" t="n"/>
      <c r="N4492" s="8" t="n"/>
      <c r="O4492" s="8" t="n"/>
      <c r="P4492" s="8" t="n"/>
      <c r="Q4492" s="8" t="n"/>
      <c r="R4492" s="8" t="n"/>
      <c r="S4492" s="8" t="n"/>
      <c r="T4492" s="7" t="inlineStr">
        <is>
          <t>SEM COTAÇÃO</t>
        </is>
      </c>
      <c r="U4492" s="8" t="n"/>
      <c r="V4492" s="14" t="n"/>
      <c r="W4492" s="14" t="n"/>
      <c r="X4492" s="7" t="inlineStr"/>
      <c r="Y4492" s="7" t="inlineStr"/>
    </row>
    <row r="4493">
      <c r="A4493" s="7" t="n">
        <v>625861</v>
      </c>
      <c r="B4493" s="12" t="inlineStr">
        <is>
          <t>7896079846730</t>
        </is>
      </c>
      <c r="C4493" s="7" t="inlineStr">
        <is>
          <t>TUB-IN BISC WAFER RECH MORANGO 48GR UN QTD</t>
        </is>
      </c>
      <c r="D4493" s="7" t="inlineStr">
        <is>
          <t>CONVENIENCIA</t>
        </is>
      </c>
      <c r="E4493" s="7" t="inlineStr">
        <is>
          <t>B</t>
        </is>
      </c>
      <c r="F4493" s="13" t="n">
        <v>9</v>
      </c>
      <c r="G4493" s="13" t="n">
        <v>9</v>
      </c>
      <c r="H4493" s="8" t="n">
        <v>2.45</v>
      </c>
      <c r="I4493" s="8" t="n">
        <v>2.45</v>
      </c>
      <c r="J4493" s="8" t="n">
        <v>2.45</v>
      </c>
      <c r="K4493" s="8" t="n"/>
      <c r="L4493" s="8" t="n"/>
      <c r="M4493" s="8" t="n"/>
      <c r="N4493" s="8" t="n"/>
      <c r="O4493" s="8" t="n"/>
      <c r="P4493" s="8" t="n"/>
      <c r="Q4493" s="8" t="n"/>
      <c r="R4493" s="8" t="n"/>
      <c r="S4493" s="8" t="n"/>
      <c r="T4493" s="7" t="inlineStr">
        <is>
          <t>SEM COTAÇÃO</t>
        </is>
      </c>
      <c r="U4493" s="8" t="n"/>
      <c r="V4493" s="14" t="n"/>
      <c r="W4493" s="14" t="n"/>
      <c r="X4493" s="7" t="inlineStr"/>
      <c r="Y4493" s="7" t="inlineStr"/>
    </row>
    <row r="4494">
      <c r="A4494" s="7" t="n">
        <v>650821</v>
      </c>
      <c r="B4494" s="12" t="inlineStr">
        <is>
          <t>7896079846471</t>
        </is>
      </c>
      <c r="C4494" s="7" t="inlineStr">
        <is>
          <t>TUB-IN BRIGADEIRO 48GR CX C/24X48GR QTD. 1.00 CX</t>
        </is>
      </c>
      <c r="D4494" s="7" t="inlineStr">
        <is>
          <t>CONVENIENCIA</t>
        </is>
      </c>
      <c r="E4494" s="7" t="inlineStr">
        <is>
          <t>C</t>
        </is>
      </c>
      <c r="F4494" s="13" t="n">
        <v>1</v>
      </c>
      <c r="G4494" s="13" t="n">
        <v>1</v>
      </c>
      <c r="H4494" s="8" t="n">
        <v>2.4</v>
      </c>
      <c r="I4494" s="8" t="n">
        <v>2.4</v>
      </c>
      <c r="J4494" s="8" t="n">
        <v>2.4</v>
      </c>
      <c r="K4494" s="8" t="n"/>
      <c r="L4494" s="8" t="n"/>
      <c r="M4494" s="8" t="n"/>
      <c r="N4494" s="8" t="n"/>
      <c r="O4494" s="8" t="n"/>
      <c r="P4494" s="8" t="n"/>
      <c r="Q4494" s="8" t="n"/>
      <c r="R4494" s="8" t="n"/>
      <c r="S4494" s="8" t="n"/>
      <c r="T4494" s="7" t="inlineStr">
        <is>
          <t>SEM COTAÇÃO</t>
        </is>
      </c>
      <c r="U4494" s="8" t="n"/>
      <c r="V4494" s="14" t="n"/>
      <c r="W4494" s="14" t="n"/>
      <c r="X4494" s="7" t="inlineStr"/>
      <c r="Y4494" s="7" t="inlineStr"/>
    </row>
    <row r="4495">
      <c r="A4495" s="7" t="n">
        <v>671641</v>
      </c>
      <c r="B4495" s="12" t="inlineStr">
        <is>
          <t>7896079846662</t>
        </is>
      </c>
      <c r="C4495" s="7" t="inlineStr">
        <is>
          <t>TUB-IN SHOW DA LUNA CHOCOLATE 48GR CX 24X48GR QTD. 1.00 CX</t>
        </is>
      </c>
      <c r="D4495" s="7" t="inlineStr">
        <is>
          <t>BISCOITOS/SALGADOS</t>
        </is>
      </c>
      <c r="E4495" s="7" t="inlineStr">
        <is>
          <t>C</t>
        </is>
      </c>
      <c r="F4495" s="13" t="n">
        <v>3</v>
      </c>
      <c r="G4495" s="13" t="n">
        <v>3</v>
      </c>
      <c r="H4495" s="8" t="n">
        <v>2.87</v>
      </c>
      <c r="I4495" s="8" t="n">
        <v>2.87</v>
      </c>
      <c r="J4495" s="8" t="n">
        <v>2.87</v>
      </c>
      <c r="K4495" s="8" t="n"/>
      <c r="L4495" s="8" t="n"/>
      <c r="M4495" s="8" t="n"/>
      <c r="N4495" s="8" t="n"/>
      <c r="O4495" s="8" t="n"/>
      <c r="P4495" s="8" t="n"/>
      <c r="Q4495" s="8" t="n"/>
      <c r="R4495" s="8" t="n"/>
      <c r="S4495" s="8" t="n"/>
      <c r="T4495" s="7" t="inlineStr">
        <is>
          <t>SEM COTAÇÃO</t>
        </is>
      </c>
      <c r="U4495" s="8" t="n"/>
      <c r="V4495" s="14" t="n"/>
      <c r="W4495" s="14" t="n"/>
      <c r="X4495" s="7" t="inlineStr"/>
      <c r="Y4495" s="7" t="inlineStr"/>
    </row>
    <row r="4496">
      <c r="A4496" s="7" t="n">
        <v>1813</v>
      </c>
      <c r="B4496" s="12" t="inlineStr">
        <is>
          <t>7898591457838</t>
        </is>
      </c>
      <c r="C4496" s="7" t="inlineStr">
        <is>
          <t>TUBES TWISTER CITR 240G</t>
        </is>
      </c>
      <c r="D4496" s="7" t="inlineStr">
        <is>
          <t>CONVENIENCIA</t>
        </is>
      </c>
      <c r="E4496" s="7" t="inlineStr">
        <is>
          <t>C</t>
        </is>
      </c>
      <c r="F4496" s="13" t="n">
        <v>1</v>
      </c>
      <c r="G4496" s="13" t="n">
        <v>1</v>
      </c>
      <c r="H4496" s="8" t="n">
        <v>10.15</v>
      </c>
      <c r="I4496" s="8" t="n">
        <v>10.15</v>
      </c>
      <c r="J4496" s="8" t="n">
        <v>10.15</v>
      </c>
      <c r="K4496" s="8" t="n"/>
      <c r="L4496" s="8" t="n"/>
      <c r="M4496" s="8" t="n"/>
      <c r="N4496" s="8" t="n"/>
      <c r="O4496" s="8" t="n"/>
      <c r="P4496" s="8" t="n"/>
      <c r="Q4496" s="8" t="n"/>
      <c r="R4496" s="8" t="n"/>
      <c r="S4496" s="8" t="n"/>
      <c r="T4496" s="7" t="inlineStr">
        <is>
          <t>SEM COTAÇÃO</t>
        </is>
      </c>
      <c r="U4496" s="8" t="n"/>
      <c r="V4496" s="14" t="n"/>
      <c r="W4496" s="14" t="n"/>
      <c r="X4496" s="7" t="inlineStr"/>
      <c r="Y4496" s="7" t="inlineStr"/>
    </row>
    <row r="4497">
      <c r="A4497" s="7" t="n">
        <v>3673</v>
      </c>
      <c r="B4497" s="12" t="inlineStr">
        <is>
          <t>27897105200131</t>
        </is>
      </c>
      <c r="C4497" s="7" t="inlineStr">
        <is>
          <t>TUCH GUAR CHAMP LT 350ML</t>
        </is>
      </c>
      <c r="D4497" s="7" t="inlineStr">
        <is>
          <t>BEBIDAS GERAL</t>
        </is>
      </c>
      <c r="E4497" s="7" t="inlineStr">
        <is>
          <t>C</t>
        </is>
      </c>
      <c r="F4497" s="13" t="n">
        <v>1</v>
      </c>
      <c r="G4497" s="13" t="n">
        <v>1</v>
      </c>
      <c r="H4497" s="8" t="n">
        <v>2.3792</v>
      </c>
      <c r="I4497" s="8" t="n">
        <v>2.3792</v>
      </c>
      <c r="J4497" s="8" t="n">
        <v>2.3792</v>
      </c>
      <c r="K4497" s="8" t="n"/>
      <c r="L4497" s="8" t="n"/>
      <c r="M4497" s="8" t="n"/>
      <c r="N4497" s="8" t="n"/>
      <c r="O4497" s="8" t="n"/>
      <c r="P4497" s="8" t="n"/>
      <c r="Q4497" s="8" t="n"/>
      <c r="R4497" s="8" t="n"/>
      <c r="S4497" s="8" t="n"/>
      <c r="T4497" s="7" t="inlineStr">
        <is>
          <t>SEM COTAÇÃO</t>
        </is>
      </c>
      <c r="U4497" s="8" t="n"/>
      <c r="V4497" s="14" t="n"/>
      <c r="W4497" s="14" t="n"/>
      <c r="X4497" s="7" t="inlineStr"/>
      <c r="Y4497" s="7" t="inlineStr"/>
    </row>
    <row r="4498">
      <c r="A4498" s="7" t="n">
        <v>681001</v>
      </c>
      <c r="B4498" s="12" t="inlineStr">
        <is>
          <t>7896423424140</t>
        </is>
      </c>
      <c r="C4498" s="7" t="inlineStr">
        <is>
          <t>TWIX ORIGINAL 15G CR 30X15GR QTD. 2.00 CR</t>
        </is>
      </c>
      <c r="D4498" s="7" t="inlineStr">
        <is>
          <t>CONVENIENCIA</t>
        </is>
      </c>
      <c r="E4498" s="7" t="inlineStr">
        <is>
          <t>B</t>
        </is>
      </c>
      <c r="F4498" s="13" t="n">
        <v>8</v>
      </c>
      <c r="G4498" s="13" t="n">
        <v>8</v>
      </c>
      <c r="H4498" s="8" t="n">
        <v>1.43</v>
      </c>
      <c r="I4498" s="8" t="n">
        <v>1.43</v>
      </c>
      <c r="J4498" s="8" t="n">
        <v>1.43</v>
      </c>
      <c r="K4498" s="8" t="n"/>
      <c r="L4498" s="8" t="n"/>
      <c r="M4498" s="8" t="n"/>
      <c r="N4498" s="8" t="n"/>
      <c r="O4498" s="8" t="n"/>
      <c r="P4498" s="8" t="n"/>
      <c r="Q4498" s="8" t="n"/>
      <c r="R4498" s="8" t="n"/>
      <c r="S4498" s="8" t="n"/>
      <c r="T4498" s="7" t="inlineStr">
        <is>
          <t>SEM COTAÇÃO</t>
        </is>
      </c>
      <c r="U4498" s="8" t="n"/>
      <c r="V4498" s="14" t="n"/>
      <c r="W4498" s="14" t="n"/>
      <c r="X4498" s="7" t="inlineStr"/>
      <c r="Y4498" s="7" t="inlineStr"/>
    </row>
    <row r="4499">
      <c r="A4499" s="7" t="n">
        <v>640401</v>
      </c>
      <c r="B4499" s="12" t="inlineStr">
        <is>
          <t>7896423405491</t>
        </is>
      </c>
      <c r="C4499" s="7" t="inlineStr">
        <is>
          <t>TWIX TRIPLO CHOC 40GR CR 18X40GR QTD. 1.00 CR</t>
        </is>
      </c>
      <c r="D4499" s="7" t="inlineStr">
        <is>
          <t>CONVENIENCIA</t>
        </is>
      </c>
      <c r="E4499" s="7" t="inlineStr">
        <is>
          <t>B</t>
        </is>
      </c>
      <c r="F4499" s="13" t="n">
        <v>2</v>
      </c>
      <c r="G4499" s="13" t="n">
        <v>2</v>
      </c>
      <c r="H4499" s="8" t="n">
        <v>3.42</v>
      </c>
      <c r="I4499" s="8" t="n">
        <v>3.42</v>
      </c>
      <c r="J4499" s="8" t="n">
        <v>3.42</v>
      </c>
      <c r="K4499" s="8" t="n"/>
      <c r="L4499" s="8" t="n"/>
      <c r="M4499" s="8" t="n"/>
      <c r="N4499" s="8" t="n"/>
      <c r="O4499" s="8" t="n"/>
      <c r="P4499" s="8" t="n"/>
      <c r="Q4499" s="8" t="n"/>
      <c r="R4499" s="8" t="n"/>
      <c r="S4499" s="8" t="n"/>
      <c r="T4499" s="7" t="inlineStr">
        <is>
          <t>SEM COTAÇÃO</t>
        </is>
      </c>
      <c r="U4499" s="8" t="n"/>
      <c r="V4499" s="14" t="n"/>
      <c r="W4499" s="14" t="n"/>
      <c r="X4499" s="7" t="inlineStr"/>
      <c r="Y4499" s="7" t="inlineStr"/>
    </row>
    <row r="4500">
      <c r="A4500" s="7" t="n">
        <v>394941</v>
      </c>
      <c r="B4500" s="12" t="inlineStr"/>
      <c r="C4500" s="7" t="inlineStr">
        <is>
          <t>TYFLEN (N.S.) 100MG/ML SUS FR 15ML BEBE</t>
        </is>
      </c>
      <c r="D4500" s="7" t="inlineStr">
        <is>
          <t>SIMILAR</t>
        </is>
      </c>
      <c r="E4500" s="7" t="inlineStr">
        <is>
          <t>C</t>
        </is>
      </c>
      <c r="F4500" s="13" t="n">
        <v>4</v>
      </c>
      <c r="G4500" s="13" t="n">
        <v>4</v>
      </c>
      <c r="H4500" s="8" t="n">
        <v>4.2</v>
      </c>
      <c r="I4500" s="8" t="n">
        <v>4.2</v>
      </c>
      <c r="J4500" s="8" t="n">
        <v>4.2</v>
      </c>
      <c r="K4500" s="8" t="n"/>
      <c r="L4500" s="8" t="n"/>
      <c r="M4500" s="8" t="n"/>
      <c r="N4500" s="8" t="n"/>
      <c r="O4500" s="8" t="n"/>
      <c r="P4500" s="8" t="n"/>
      <c r="Q4500" s="8" t="n"/>
      <c r="R4500" s="15" t="n">
        <v>4.39</v>
      </c>
      <c r="S4500" s="8" t="n"/>
      <c r="T4500" s="7" t="inlineStr">
        <is>
          <t>BRASFARMA</t>
        </is>
      </c>
      <c r="U4500" s="8" t="n">
        <v>4.39</v>
      </c>
      <c r="V4500" s="14">
        <f>U4500/J4500-1</f>
        <v/>
      </c>
      <c r="W4500" s="14">
        <f>U4500/H4500-1</f>
        <v/>
      </c>
      <c r="X4500" s="16" t="inlineStr">
        <is>
          <t>ACIMA +4.5%</t>
        </is>
      </c>
      <c r="Y4500" s="7" t="inlineStr"/>
    </row>
    <row r="4501">
      <c r="A4501" s="7" t="n">
        <v>563961</v>
      </c>
      <c r="B4501" s="12" t="inlineStr">
        <is>
          <t>7898100243945</t>
        </is>
      </c>
      <c r="C4501" s="7" t="inlineStr">
        <is>
          <t>TYFLEN 500MG CARTELA COM 10CP</t>
        </is>
      </c>
      <c r="D4501" s="7" t="inlineStr">
        <is>
          <t>SIMILAR</t>
        </is>
      </c>
      <c r="E4501" s="7" t="inlineStr">
        <is>
          <t>C</t>
        </is>
      </c>
      <c r="F4501" s="13" t="n">
        <v>1</v>
      </c>
      <c r="G4501" s="13" t="n">
        <v>2</v>
      </c>
      <c r="H4501" s="8" t="n">
        <v>1.8355</v>
      </c>
      <c r="I4501" s="8" t="n">
        <v>1.8355</v>
      </c>
      <c r="J4501" s="8" t="n">
        <v>1.8355</v>
      </c>
      <c r="K4501" s="15" t="n">
        <v>1.4775</v>
      </c>
      <c r="L4501" s="8" t="n"/>
      <c r="M4501" s="8" t="n"/>
      <c r="N4501" s="8" t="n">
        <v>27.22</v>
      </c>
      <c r="O4501" s="8" t="n">
        <v>29.26</v>
      </c>
      <c r="P4501" s="8" t="n"/>
      <c r="Q4501" s="8" t="n">
        <v>26.95</v>
      </c>
      <c r="R4501" s="8" t="n">
        <v>25.65</v>
      </c>
      <c r="S4501" s="8" t="n"/>
      <c r="T4501" s="7" t="inlineStr">
        <is>
          <t>DIMEC</t>
        </is>
      </c>
      <c r="U4501" s="8" t="n">
        <v>1.4775</v>
      </c>
      <c r="V4501" s="14">
        <f>U4501/J4501-1</f>
        <v/>
      </c>
      <c r="W4501" s="14">
        <f>U4501/H4501-1</f>
        <v/>
      </c>
      <c r="X4501" s="17" t="inlineStr">
        <is>
          <t>OK (≤ menor hist.)</t>
        </is>
      </c>
      <c r="Y4501" s="7" t="inlineStr">
        <is>
          <t>DIMEC: 1 emb = 20 un; CENTROFARMA: conferir emb.; TAPAJOS: preços divergentes entre EANs (usado menor); conferir emb.; MEDCENTRO: conferir emb.; BRASFARMA: conferir emb.</t>
        </is>
      </c>
    </row>
    <row r="4502">
      <c r="A4502" s="7" t="n">
        <v>395721</v>
      </c>
      <c r="B4502" s="12" t="inlineStr">
        <is>
          <t>7891010255947</t>
        </is>
      </c>
      <c r="C4502" s="7" t="inlineStr">
        <is>
          <t>TYLENOL 200MG SOL OR FR GTS 15ML</t>
        </is>
      </c>
      <c r="D4502" s="7" t="inlineStr">
        <is>
          <t>RX - OTC</t>
        </is>
      </c>
      <c r="E4502" s="7" t="inlineStr">
        <is>
          <t>B</t>
        </is>
      </c>
      <c r="F4502" s="13" t="n">
        <v>1</v>
      </c>
      <c r="G4502" s="13" t="n">
        <v>1</v>
      </c>
      <c r="H4502" s="8" t="n">
        <v>35.85</v>
      </c>
      <c r="I4502" s="8" t="n">
        <v>29.67</v>
      </c>
      <c r="J4502" s="8" t="n">
        <v>31.73</v>
      </c>
      <c r="K4502" s="8" t="n"/>
      <c r="L4502" s="8" t="n"/>
      <c r="M4502" s="8" t="n"/>
      <c r="N4502" s="8" t="n"/>
      <c r="O4502" s="8" t="n"/>
      <c r="P4502" s="15" t="n">
        <v>36.49</v>
      </c>
      <c r="Q4502" s="8" t="n"/>
      <c r="R4502" s="8" t="n"/>
      <c r="S4502" s="8" t="n"/>
      <c r="T4502" s="7" t="inlineStr">
        <is>
          <t>NAZARIA</t>
        </is>
      </c>
      <c r="U4502" s="8" t="n">
        <v>36.49</v>
      </c>
      <c r="V4502" s="14">
        <f>U4502/J4502-1</f>
        <v/>
      </c>
      <c r="W4502" s="14">
        <f>U4502/H4502-1</f>
        <v/>
      </c>
      <c r="X4502" s="16" t="inlineStr">
        <is>
          <t>ACIMA +1.8%</t>
        </is>
      </c>
      <c r="Y4502" s="7" t="inlineStr"/>
    </row>
    <row r="4503">
      <c r="A4503" s="7" t="n">
        <v>395781</v>
      </c>
      <c r="B4503" s="12" t="inlineStr">
        <is>
          <t>7891010986155</t>
        </is>
      </c>
      <c r="C4503" s="7" t="inlineStr">
        <is>
          <t>TYLENOL 500MG CX 20 COMP REV</t>
        </is>
      </c>
      <c r="D4503" s="7" t="inlineStr">
        <is>
          <t>RX - OTC</t>
        </is>
      </c>
      <c r="E4503" s="7" t="inlineStr">
        <is>
          <t>B</t>
        </is>
      </c>
      <c r="F4503" s="13" t="n">
        <v>4</v>
      </c>
      <c r="G4503" s="13" t="n">
        <v>4</v>
      </c>
      <c r="H4503" s="8" t="n">
        <v>27.43</v>
      </c>
      <c r="I4503" s="8" t="n">
        <v>27.43</v>
      </c>
      <c r="J4503" s="8" t="n">
        <v>27.43</v>
      </c>
      <c r="K4503" s="8" t="n"/>
      <c r="L4503" s="8" t="n"/>
      <c r="M4503" s="8" t="n"/>
      <c r="N4503" s="8" t="n"/>
      <c r="O4503" s="8" t="n"/>
      <c r="P4503" s="15" t="n">
        <v>30.69</v>
      </c>
      <c r="Q4503" s="8" t="n"/>
      <c r="R4503" s="8" t="n"/>
      <c r="S4503" s="8" t="n"/>
      <c r="T4503" s="7" t="inlineStr">
        <is>
          <t>NAZARIA</t>
        </is>
      </c>
      <c r="U4503" s="8" t="n">
        <v>30.69</v>
      </c>
      <c r="V4503" s="14">
        <f>U4503/J4503-1</f>
        <v/>
      </c>
      <c r="W4503" s="14">
        <f>U4503/H4503-1</f>
        <v/>
      </c>
      <c r="X4503" s="16" t="inlineStr">
        <is>
          <t>ACIMA +11.9%</t>
        </is>
      </c>
      <c r="Y4503" s="7" t="inlineStr"/>
    </row>
    <row r="4504">
      <c r="A4504" s="7" t="n">
        <v>395741</v>
      </c>
      <c r="B4504" s="12" t="inlineStr">
        <is>
          <t>7891010255909</t>
        </is>
      </c>
      <c r="C4504" s="7" t="inlineStr">
        <is>
          <t>TYLENOL BEBE 100MG SUS OR FR GTS 15ML+SER DOS</t>
        </is>
      </c>
      <c r="D4504" s="7" t="inlineStr">
        <is>
          <t>RX - OTC</t>
        </is>
      </c>
      <c r="E4504" s="7" t="inlineStr">
        <is>
          <t>A</t>
        </is>
      </c>
      <c r="F4504" s="13" t="n">
        <v>1</v>
      </c>
      <c r="G4504" s="13" t="n">
        <v>1</v>
      </c>
      <c r="H4504" s="8" t="n">
        <v>39.48</v>
      </c>
      <c r="I4504" s="8" t="n">
        <v>39.16</v>
      </c>
      <c r="J4504" s="8" t="n">
        <v>39.37333333333333</v>
      </c>
      <c r="K4504" s="8" t="n"/>
      <c r="L4504" s="8" t="n"/>
      <c r="M4504" s="8" t="n"/>
      <c r="N4504" s="8" t="n"/>
      <c r="O4504" s="8" t="n"/>
      <c r="P4504" s="15" t="n">
        <v>49.56</v>
      </c>
      <c r="Q4504" s="8" t="n"/>
      <c r="R4504" s="8" t="n"/>
      <c r="S4504" s="8" t="n"/>
      <c r="T4504" s="7" t="inlineStr">
        <is>
          <t>NAZARIA</t>
        </is>
      </c>
      <c r="U4504" s="8" t="n">
        <v>49.56</v>
      </c>
      <c r="V4504" s="14">
        <f>U4504/J4504-1</f>
        <v/>
      </c>
      <c r="W4504" s="14">
        <f>U4504/H4504-1</f>
        <v/>
      </c>
      <c r="X4504" s="16" t="inlineStr">
        <is>
          <t>ACIMA +25.5%</t>
        </is>
      </c>
      <c r="Y4504" s="7" t="inlineStr"/>
    </row>
    <row r="4505">
      <c r="A4505" s="7" t="n">
        <v>398541</v>
      </c>
      <c r="B4505" s="12" t="inlineStr"/>
      <c r="C4505" s="7" t="inlineStr">
        <is>
          <t>TYLENOL SINUS 500+30MG CX 24 COMP REV</t>
        </is>
      </c>
      <c r="D4505" s="7" t="inlineStr">
        <is>
          <t>RX - OTC</t>
        </is>
      </c>
      <c r="E4505" s="7" t="inlineStr">
        <is>
          <t>A</t>
        </is>
      </c>
      <c r="F4505" s="13" t="n">
        <v>6</v>
      </c>
      <c r="G4505" s="13" t="n">
        <v>6</v>
      </c>
      <c r="H4505" s="8" t="n">
        <v>16.83</v>
      </c>
      <c r="I4505" s="8" t="n">
        <v>16.8</v>
      </c>
      <c r="J4505" s="8" t="n">
        <v>16.82</v>
      </c>
      <c r="K4505" s="8" t="n"/>
      <c r="L4505" s="8" t="n"/>
      <c r="M4505" s="8" t="n"/>
      <c r="N4505" s="8" t="n"/>
      <c r="O4505" s="8" t="n"/>
      <c r="P4505" s="8" t="n"/>
      <c r="Q4505" s="8" t="n"/>
      <c r="R4505" s="8" t="n"/>
      <c r="S4505" s="8" t="n"/>
      <c r="T4505" s="7" t="inlineStr">
        <is>
          <t>SEM COTAÇÃO</t>
        </is>
      </c>
      <c r="U4505" s="8" t="n"/>
      <c r="V4505" s="14" t="n"/>
      <c r="W4505" s="14" t="n"/>
      <c r="X4505" s="7" t="inlineStr"/>
      <c r="Y4505" s="7" t="inlineStr"/>
    </row>
    <row r="4506">
      <c r="A4506" s="7" t="n">
        <v>608671</v>
      </c>
      <c r="B4506" s="12" t="inlineStr">
        <is>
          <t>7896279113403</t>
        </is>
      </c>
      <c r="C4506" s="7" t="inlineStr">
        <is>
          <t>UMIDILIZ CCP MURIEL 150ML BABY MENINA</t>
        </is>
      </c>
      <c r="D4506" s="7" t="inlineStr">
        <is>
          <t>BABY/KIDS</t>
        </is>
      </c>
      <c r="E4506" s="7" t="inlineStr">
        <is>
          <t>C</t>
        </is>
      </c>
      <c r="F4506" s="13" t="n">
        <v>1</v>
      </c>
      <c r="G4506" s="13" t="n">
        <v>1</v>
      </c>
      <c r="H4506" s="8" t="n">
        <v>7.94</v>
      </c>
      <c r="I4506" s="8" t="n">
        <v>7.94</v>
      </c>
      <c r="J4506" s="8" t="n">
        <v>7.94</v>
      </c>
      <c r="K4506" s="8" t="n"/>
      <c r="L4506" s="8" t="n"/>
      <c r="M4506" s="8" t="n"/>
      <c r="N4506" s="8" t="n"/>
      <c r="O4506" s="8" t="n"/>
      <c r="P4506" s="8" t="n"/>
      <c r="Q4506" s="8" t="n"/>
      <c r="R4506" s="8" t="n"/>
      <c r="S4506" s="8" t="n"/>
      <c r="T4506" s="7" t="inlineStr">
        <is>
          <t>SEM COTAÇÃO</t>
        </is>
      </c>
      <c r="U4506" s="8" t="n"/>
      <c r="V4506" s="14" t="n"/>
      <c r="W4506" s="14" t="n"/>
      <c r="X4506" s="7" t="inlineStr"/>
      <c r="Y4506" s="7" t="inlineStr"/>
    </row>
    <row r="4507">
      <c r="A4507" s="7" t="n">
        <v>608201</v>
      </c>
      <c r="B4507" s="12" t="inlineStr">
        <is>
          <t>7896279112628</t>
        </is>
      </c>
      <c r="C4507" s="7" t="inlineStr">
        <is>
          <t>UMIDILIZ CCP MURIEL 250ML KID</t>
        </is>
      </c>
      <c r="D4507" s="7" t="inlineStr">
        <is>
          <t>BABY/KIDS</t>
        </is>
      </c>
      <c r="E4507" s="7" t="inlineStr">
        <is>
          <t>C</t>
        </is>
      </c>
      <c r="F4507" s="13" t="n">
        <v>1</v>
      </c>
      <c r="G4507" s="13" t="n">
        <v>1</v>
      </c>
      <c r="H4507" s="8" t="n">
        <v>8.74</v>
      </c>
      <c r="I4507" s="8" t="n">
        <v>8.74</v>
      </c>
      <c r="J4507" s="8" t="n">
        <v>8.74</v>
      </c>
      <c r="K4507" s="8" t="n"/>
      <c r="L4507" s="8" t="n"/>
      <c r="M4507" s="8" t="n"/>
      <c r="N4507" s="8" t="n"/>
      <c r="O4507" s="8" t="n"/>
      <c r="P4507" s="8" t="n"/>
      <c r="Q4507" s="8" t="n"/>
      <c r="R4507" s="8" t="n"/>
      <c r="S4507" s="8" t="n"/>
      <c r="T4507" s="7" t="inlineStr">
        <is>
          <t>SEM COTAÇÃO</t>
        </is>
      </c>
      <c r="U4507" s="8" t="n"/>
      <c r="V4507" s="14" t="n"/>
      <c r="W4507" s="14" t="n"/>
      <c r="X4507" s="7" t="inlineStr"/>
      <c r="Y4507" s="7" t="inlineStr"/>
    </row>
    <row r="4508">
      <c r="A4508" s="7" t="n">
        <v>608181</v>
      </c>
      <c r="B4508" s="12" t="inlineStr">
        <is>
          <t>7896279103381</t>
        </is>
      </c>
      <c r="C4508" s="7" t="inlineStr">
        <is>
          <t>UMIDILIZ CCP MURIEL 250ML TEEN</t>
        </is>
      </c>
      <c r="D4508" s="7" t="inlineStr">
        <is>
          <t>PERF/COSME</t>
        </is>
      </c>
      <c r="E4508" s="7" t="inlineStr">
        <is>
          <t>C</t>
        </is>
      </c>
      <c r="F4508" s="13" t="n">
        <v>1</v>
      </c>
      <c r="G4508" s="13" t="n">
        <v>1</v>
      </c>
      <c r="H4508" s="8" t="n">
        <v>7.66</v>
      </c>
      <c r="I4508" s="8" t="n">
        <v>7.66</v>
      </c>
      <c r="J4508" s="8" t="n">
        <v>7.66</v>
      </c>
      <c r="K4508" s="8" t="n"/>
      <c r="L4508" s="8" t="n"/>
      <c r="M4508" s="8" t="n"/>
      <c r="N4508" s="8" t="n"/>
      <c r="O4508" s="8" t="n"/>
      <c r="P4508" s="8" t="n"/>
      <c r="Q4508" s="8" t="n"/>
      <c r="R4508" s="8" t="n"/>
      <c r="S4508" s="8" t="n"/>
      <c r="T4508" s="7" t="inlineStr">
        <is>
          <t>SEM COTAÇÃO</t>
        </is>
      </c>
      <c r="U4508" s="8" t="n"/>
      <c r="V4508" s="14" t="n"/>
      <c r="W4508" s="14" t="n"/>
      <c r="X4508" s="7" t="inlineStr"/>
      <c r="Y4508" s="7" t="inlineStr"/>
    </row>
    <row r="4509">
      <c r="A4509" s="7" t="n">
        <v>608691</v>
      </c>
      <c r="B4509" s="12" t="inlineStr">
        <is>
          <t>7896279113427</t>
        </is>
      </c>
      <c r="C4509" s="7" t="inlineStr">
        <is>
          <t>UMIDILIZ CO MURIEL 150ML BABY MENINA</t>
        </is>
      </c>
      <c r="D4509" s="7" t="inlineStr">
        <is>
          <t>BABY/KIDS</t>
        </is>
      </c>
      <c r="E4509" s="7" t="inlineStr">
        <is>
          <t>C</t>
        </is>
      </c>
      <c r="F4509" s="13" t="n">
        <v>1</v>
      </c>
      <c r="G4509" s="13" t="n">
        <v>1</v>
      </c>
      <c r="H4509" s="8" t="n">
        <v>7.54</v>
      </c>
      <c r="I4509" s="8" t="n">
        <v>7.54</v>
      </c>
      <c r="J4509" s="8" t="n">
        <v>7.54</v>
      </c>
      <c r="K4509" s="8" t="n"/>
      <c r="L4509" s="8" t="n"/>
      <c r="M4509" s="8" t="n"/>
      <c r="N4509" s="8" t="n"/>
      <c r="O4509" s="8" t="n"/>
      <c r="P4509" s="8" t="n"/>
      <c r="Q4509" s="8" t="n"/>
      <c r="R4509" s="8" t="n"/>
      <c r="S4509" s="8" t="n"/>
      <c r="T4509" s="7" t="inlineStr">
        <is>
          <t>SEM COTAÇÃO</t>
        </is>
      </c>
      <c r="U4509" s="8" t="n"/>
      <c r="V4509" s="14" t="n"/>
      <c r="W4509" s="14" t="n"/>
      <c r="X4509" s="7" t="inlineStr"/>
      <c r="Y4509" s="7" t="inlineStr"/>
    </row>
    <row r="4510">
      <c r="A4510" s="7" t="n">
        <v>608621</v>
      </c>
      <c r="B4510" s="12" t="inlineStr">
        <is>
          <t>7896279114035</t>
        </is>
      </c>
      <c r="C4510" s="7" t="inlineStr">
        <is>
          <t>UMIDILIZ SH MURIEL 150ML BABY MENINO</t>
        </is>
      </c>
      <c r="D4510" s="7" t="inlineStr">
        <is>
          <t>BABY/KIDS</t>
        </is>
      </c>
      <c r="E4510" s="7" t="inlineStr">
        <is>
          <t>C</t>
        </is>
      </c>
      <c r="F4510" s="13" t="n">
        <v>1</v>
      </c>
      <c r="G4510" s="13" t="n">
        <v>1</v>
      </c>
      <c r="H4510" s="8" t="n">
        <v>7.37</v>
      </c>
      <c r="I4510" s="8" t="n">
        <v>7.37</v>
      </c>
      <c r="J4510" s="8" t="n">
        <v>7.37</v>
      </c>
      <c r="K4510" s="8" t="n"/>
      <c r="L4510" s="8" t="n"/>
      <c r="M4510" s="8" t="n"/>
      <c r="N4510" s="8" t="n"/>
      <c r="O4510" s="8" t="n"/>
      <c r="P4510" s="8" t="n"/>
      <c r="Q4510" s="8" t="n"/>
      <c r="R4510" s="8" t="n"/>
      <c r="S4510" s="8" t="n"/>
      <c r="T4510" s="7" t="inlineStr">
        <is>
          <t>SEM COTAÇÃO</t>
        </is>
      </c>
      <c r="U4510" s="8" t="n"/>
      <c r="V4510" s="14" t="n"/>
      <c r="W4510" s="14" t="n"/>
      <c r="X4510" s="7" t="inlineStr"/>
      <c r="Y4510" s="7" t="inlineStr"/>
    </row>
    <row r="4511">
      <c r="A4511" s="7" t="n">
        <v>630641</v>
      </c>
      <c r="B4511" s="12" t="inlineStr">
        <is>
          <t>7894913003738</t>
        </is>
      </c>
      <c r="C4511" s="7" t="inlineStr">
        <is>
          <t>UNIQ B12 BAUNILHA C/60 CPR MASTIGAVEL</t>
        </is>
      </c>
      <c r="D4511" s="7" t="inlineStr">
        <is>
          <t>VITAMINA E SIMILARES</t>
        </is>
      </c>
      <c r="E4511" s="7" t="inlineStr">
        <is>
          <t>C</t>
        </is>
      </c>
      <c r="F4511" s="13" t="n">
        <v>3</v>
      </c>
      <c r="G4511" s="13" t="n">
        <v>3</v>
      </c>
      <c r="H4511" s="8" t="n">
        <v>19.97</v>
      </c>
      <c r="I4511" s="8" t="n">
        <v>18.97</v>
      </c>
      <c r="J4511" s="8" t="n">
        <v>18.97</v>
      </c>
      <c r="K4511" s="8" t="n"/>
      <c r="L4511" s="8" t="n"/>
      <c r="M4511" s="8" t="n"/>
      <c r="N4511" s="15" t="n">
        <v>19.97</v>
      </c>
      <c r="O4511" s="8" t="n"/>
      <c r="P4511" s="8" t="n"/>
      <c r="Q4511" s="8" t="n"/>
      <c r="R4511" s="8" t="n"/>
      <c r="S4511" s="8" t="n"/>
      <c r="T4511" s="7" t="inlineStr">
        <is>
          <t>CENTROFARMA</t>
        </is>
      </c>
      <c r="U4511" s="8" t="n">
        <v>19.97</v>
      </c>
      <c r="V4511" s="14">
        <f>U4511/J4511-1</f>
        <v/>
      </c>
      <c r="W4511" s="14">
        <f>U4511/H4511-1</f>
        <v/>
      </c>
      <c r="X4511" s="17" t="inlineStr">
        <is>
          <t>OK (≤ últ. compra)</t>
        </is>
      </c>
      <c r="Y4511" s="7" t="inlineStr"/>
    </row>
    <row r="4512">
      <c r="A4512" s="7" t="n">
        <v>565801</v>
      </c>
      <c r="B4512" s="12" t="inlineStr">
        <is>
          <t>7898031310600</t>
        </is>
      </c>
      <c r="C4512" s="7" t="inlineStr">
        <is>
          <t>UNISSEPT ALCOOL GEL ANTISSEPTICO 450G</t>
        </is>
      </c>
      <c r="D4512" s="7" t="inlineStr">
        <is>
          <t>UTENSILIOS</t>
        </is>
      </c>
      <c r="E4512" s="7" t="inlineStr">
        <is>
          <t>A</t>
        </is>
      </c>
      <c r="F4512" s="13" t="n">
        <v>13</v>
      </c>
      <c r="G4512" s="13" t="n">
        <v>13</v>
      </c>
      <c r="H4512" s="8" t="n">
        <v>13.08</v>
      </c>
      <c r="I4512" s="8" t="n">
        <v>12.51</v>
      </c>
      <c r="J4512" s="8" t="n">
        <v>12.70333333333333</v>
      </c>
      <c r="K4512" s="15" t="n">
        <v>13.08</v>
      </c>
      <c r="L4512" s="8" t="n"/>
      <c r="M4512" s="8" t="n"/>
      <c r="N4512" s="8" t="n"/>
      <c r="O4512" s="8" t="n"/>
      <c r="P4512" s="8" t="n"/>
      <c r="Q4512" s="8" t="n"/>
      <c r="R4512" s="8" t="n"/>
      <c r="S4512" s="8" t="n"/>
      <c r="T4512" s="7" t="inlineStr">
        <is>
          <t>DIMEC</t>
        </is>
      </c>
      <c r="U4512" s="8" t="n">
        <v>13.08</v>
      </c>
      <c r="V4512" s="14">
        <f>U4512/J4512-1</f>
        <v/>
      </c>
      <c r="W4512" s="14">
        <f>U4512/H4512-1</f>
        <v/>
      </c>
      <c r="X4512" s="17" t="inlineStr">
        <is>
          <t>OK (≤ últ. compra)</t>
        </is>
      </c>
      <c r="Y4512" s="7" t="inlineStr"/>
    </row>
    <row r="4513">
      <c r="A4513" s="7" t="n">
        <v>655551</v>
      </c>
      <c r="B4513" s="12" t="inlineStr">
        <is>
          <t>7899811100503</t>
        </is>
      </c>
      <c r="C4513" s="7" t="inlineStr">
        <is>
          <t>UREALUX HIDRATANTE UREIA 3% BISN 150ML</t>
        </is>
      </c>
      <c r="D4513" s="7" t="inlineStr">
        <is>
          <t>SIMILAR</t>
        </is>
      </c>
      <c r="E4513" s="7" t="inlineStr">
        <is>
          <t>C</t>
        </is>
      </c>
      <c r="F4513" s="13" t="n">
        <v>1</v>
      </c>
      <c r="G4513" s="13" t="n">
        <v>1</v>
      </c>
      <c r="H4513" s="8" t="n">
        <v>18.12</v>
      </c>
      <c r="I4513" s="8" t="n">
        <v>18.12</v>
      </c>
      <c r="J4513" s="8" t="n">
        <v>18.12</v>
      </c>
      <c r="K4513" s="8" t="n"/>
      <c r="L4513" s="8" t="n"/>
      <c r="M4513" s="8" t="n"/>
      <c r="N4513" s="8" t="n"/>
      <c r="O4513" s="8" t="n"/>
      <c r="P4513" s="8" t="n"/>
      <c r="Q4513" s="8" t="n"/>
      <c r="R4513" s="8" t="n"/>
      <c r="S4513" s="8" t="n"/>
      <c r="T4513" s="7" t="inlineStr">
        <is>
          <t>SEM COTAÇÃO</t>
        </is>
      </c>
      <c r="U4513" s="8" t="n"/>
      <c r="V4513" s="14" t="n"/>
      <c r="W4513" s="14" t="n"/>
      <c r="X4513" s="7" t="inlineStr"/>
      <c r="Y4513" s="7" t="inlineStr"/>
    </row>
    <row r="4514">
      <c r="A4514" s="7" t="n">
        <v>18121</v>
      </c>
      <c r="B4514" s="12" t="inlineStr">
        <is>
          <t>7898074614857</t>
        </is>
      </c>
      <c r="C4514" s="7" t="inlineStr">
        <is>
          <t>URSACOL 50MG BL 30 COMP</t>
        </is>
      </c>
      <c r="D4514" s="7" t="inlineStr">
        <is>
          <t>RX</t>
        </is>
      </c>
      <c r="E4514" s="7" t="inlineStr">
        <is>
          <t>A</t>
        </is>
      </c>
      <c r="F4514" s="13" t="n">
        <v>2</v>
      </c>
      <c r="G4514" s="13" t="n">
        <v>2</v>
      </c>
      <c r="H4514" s="8" t="n">
        <v>49.68</v>
      </c>
      <c r="I4514" s="8" t="n">
        <v>49.67</v>
      </c>
      <c r="J4514" s="8" t="n">
        <v>49.66999999999999</v>
      </c>
      <c r="K4514" s="8" t="n"/>
      <c r="L4514" s="8" t="n"/>
      <c r="M4514" s="8" t="n"/>
      <c r="N4514" s="8" t="n"/>
      <c r="O4514" s="8" t="n"/>
      <c r="P4514" s="8" t="n">
        <v>50.32</v>
      </c>
      <c r="Q4514" s="8" t="n"/>
      <c r="R4514" s="8" t="n"/>
      <c r="S4514" s="8" t="n"/>
      <c r="T4514" s="7" t="inlineStr">
        <is>
          <t>SEM COTAÇÃO</t>
        </is>
      </c>
      <c r="U4514" s="8" t="n"/>
      <c r="V4514" s="14" t="n"/>
      <c r="W4514" s="14" t="n"/>
      <c r="X4514" s="7" t="inlineStr"/>
      <c r="Y4514" s="7" t="inlineStr">
        <is>
          <t>NAZARIA: sem estoque</t>
        </is>
      </c>
    </row>
    <row r="4515">
      <c r="A4515" s="7" t="n">
        <v>413281</v>
      </c>
      <c r="B4515" s="12" t="inlineStr">
        <is>
          <t>7898948648131</t>
        </is>
      </c>
      <c r="C4515" s="7" t="inlineStr">
        <is>
          <t>UTROGESTAN 100MG CX 30 CAP</t>
        </is>
      </c>
      <c r="D4515" s="7" t="inlineStr">
        <is>
          <t>RX</t>
        </is>
      </c>
      <c r="E4515" s="7" t="inlineStr">
        <is>
          <t>A</t>
        </is>
      </c>
      <c r="F4515" s="13" t="n">
        <v>1</v>
      </c>
      <c r="G4515" s="13" t="n">
        <v>1</v>
      </c>
      <c r="H4515" s="8" t="n">
        <v>64.64</v>
      </c>
      <c r="I4515" s="8" t="n">
        <v>56.81</v>
      </c>
      <c r="J4515" s="8" t="n">
        <v>60.25943333333333</v>
      </c>
      <c r="K4515" s="8" t="n"/>
      <c r="L4515" s="8" t="n"/>
      <c r="M4515" s="8" t="n">
        <v>64.64</v>
      </c>
      <c r="N4515" s="8" t="n"/>
      <c r="O4515" s="8" t="n"/>
      <c r="P4515" s="15" t="n">
        <v>63.12</v>
      </c>
      <c r="Q4515" s="8" t="n"/>
      <c r="R4515" s="8" t="n"/>
      <c r="S4515" s="8" t="n"/>
      <c r="T4515" s="7" t="inlineStr">
        <is>
          <t>NAZARIA</t>
        </is>
      </c>
      <c r="U4515" s="8" t="n">
        <v>63.12</v>
      </c>
      <c r="V4515" s="14">
        <f>U4515/J4515-1</f>
        <v/>
      </c>
      <c r="W4515" s="14">
        <f>U4515/H4515-1</f>
        <v/>
      </c>
      <c r="X4515" s="17" t="inlineStr">
        <is>
          <t>OK (≤ últ. compra)</t>
        </is>
      </c>
      <c r="Y4515" s="7" t="inlineStr"/>
    </row>
    <row r="4516">
      <c r="A4516" s="7" t="n">
        <v>413241</v>
      </c>
      <c r="B4516" s="12" t="inlineStr">
        <is>
          <t>7898948648148</t>
        </is>
      </c>
      <c r="C4516" s="7" t="inlineStr">
        <is>
          <t>UTROGESTAN 200MG CX 14 CAP</t>
        </is>
      </c>
      <c r="D4516" s="7" t="inlineStr">
        <is>
          <t>RX</t>
        </is>
      </c>
      <c r="E4516" s="7" t="inlineStr">
        <is>
          <t>A</t>
        </is>
      </c>
      <c r="F4516" s="13" t="n">
        <v>3</v>
      </c>
      <c r="G4516" s="13" t="n">
        <v>3</v>
      </c>
      <c r="H4516" s="8" t="n">
        <v>60.36</v>
      </c>
      <c r="I4516" s="8" t="n">
        <v>53.0533</v>
      </c>
      <c r="J4516" s="8" t="n">
        <v>56.27553333333334</v>
      </c>
      <c r="K4516" s="8" t="n"/>
      <c r="L4516" s="8" t="n"/>
      <c r="M4516" s="8" t="n"/>
      <c r="N4516" s="8" t="n"/>
      <c r="O4516" s="8" t="n"/>
      <c r="P4516" s="15" t="n">
        <v>58.95</v>
      </c>
      <c r="Q4516" s="8" t="n"/>
      <c r="R4516" s="8" t="n"/>
      <c r="S4516" s="8" t="n"/>
      <c r="T4516" s="7" t="inlineStr">
        <is>
          <t>NAZARIA</t>
        </is>
      </c>
      <c r="U4516" s="8" t="n">
        <v>58.95</v>
      </c>
      <c r="V4516" s="14">
        <f>U4516/J4516-1</f>
        <v/>
      </c>
      <c r="W4516" s="14">
        <f>U4516/H4516-1</f>
        <v/>
      </c>
      <c r="X4516" s="17" t="inlineStr">
        <is>
          <t>OK (≤ últ. compra)</t>
        </is>
      </c>
      <c r="Y4516" s="7" t="inlineStr"/>
    </row>
    <row r="4517">
      <c r="A4517" s="7" t="n">
        <v>319341</v>
      </c>
      <c r="B4517" s="12" t="inlineStr">
        <is>
          <t>7891045008433</t>
        </is>
      </c>
      <c r="C4517" s="7" t="inlineStr">
        <is>
          <t>V - NORDETTE 0,15+0,03MG CX 21 DRG</t>
        </is>
      </c>
      <c r="D4517" s="7" t="inlineStr">
        <is>
          <t>RX</t>
        </is>
      </c>
      <c r="E4517" s="7" t="inlineStr">
        <is>
          <t>C</t>
        </is>
      </c>
      <c r="F4517" s="13" t="n">
        <v>4</v>
      </c>
      <c r="G4517" s="13" t="n">
        <v>4</v>
      </c>
      <c r="H4517" s="8" t="n">
        <v>10.31</v>
      </c>
      <c r="I4517" s="8" t="n">
        <v>9.265000000000001</v>
      </c>
      <c r="J4517" s="8" t="n">
        <v>9.831666666666667</v>
      </c>
      <c r="K4517" s="8" t="n"/>
      <c r="L4517" s="8" t="n"/>
      <c r="M4517" s="8" t="n">
        <v>10.31</v>
      </c>
      <c r="N4517" s="8" t="n"/>
      <c r="O4517" s="8" t="n"/>
      <c r="P4517" s="15" t="n">
        <v>9.927499999999998</v>
      </c>
      <c r="Q4517" s="8" t="n"/>
      <c r="R4517" s="8" t="n"/>
      <c r="S4517" s="8" t="n"/>
      <c r="T4517" s="7" t="inlineStr">
        <is>
          <t>NAZARIA</t>
        </is>
      </c>
      <c r="U4517" s="8" t="n">
        <v>9.927499999999998</v>
      </c>
      <c r="V4517" s="14">
        <f>U4517/J4517-1</f>
        <v/>
      </c>
      <c r="W4517" s="14">
        <f>U4517/H4517-1</f>
        <v/>
      </c>
      <c r="X4517" s="17" t="inlineStr">
        <is>
          <t>OK (≤ últ. compra)</t>
        </is>
      </c>
      <c r="Y4517" s="7" t="inlineStr"/>
    </row>
    <row r="4518">
      <c r="A4518" s="7" t="n">
        <v>654341</v>
      </c>
      <c r="B4518" s="12" t="inlineStr">
        <is>
          <t>7891653014277</t>
        </is>
      </c>
      <c r="C4518" s="7" t="inlineStr">
        <is>
          <t>VAGISIL DEO INTIMO FLOR DE PESSEGUEIRO 75ML</t>
        </is>
      </c>
      <c r="D4518" s="7" t="inlineStr">
        <is>
          <t>RX</t>
        </is>
      </c>
      <c r="E4518" s="7" t="inlineStr">
        <is>
          <t>C</t>
        </is>
      </c>
      <c r="F4518" s="13" t="n">
        <v>1</v>
      </c>
      <c r="G4518" s="13" t="n">
        <v>1</v>
      </c>
      <c r="H4518" s="8" t="n">
        <v>22.8867</v>
      </c>
      <c r="I4518" s="8" t="n">
        <v>22.8867</v>
      </c>
      <c r="J4518" s="8" t="n">
        <v>22.8867</v>
      </c>
      <c r="K4518" s="8" t="n"/>
      <c r="L4518" s="8" t="n"/>
      <c r="M4518" s="8" t="n"/>
      <c r="N4518" s="8" t="n"/>
      <c r="O4518" s="8" t="n"/>
      <c r="P4518" s="8" t="n"/>
      <c r="Q4518" s="8" t="n"/>
      <c r="R4518" s="8" t="n"/>
      <c r="S4518" s="8" t="n"/>
      <c r="T4518" s="7" t="inlineStr">
        <is>
          <t>SEM COTAÇÃO</t>
        </is>
      </c>
      <c r="U4518" s="8" t="n"/>
      <c r="V4518" s="14" t="n"/>
      <c r="W4518" s="14" t="n"/>
      <c r="X4518" s="7" t="inlineStr"/>
      <c r="Y4518" s="7" t="inlineStr"/>
    </row>
    <row r="4519">
      <c r="A4519" s="7" t="n">
        <v>654331</v>
      </c>
      <c r="B4519" s="12" t="inlineStr">
        <is>
          <t>7891653014260</t>
        </is>
      </c>
      <c r="C4519" s="7" t="inlineStr">
        <is>
          <t>VAGISIL DEO INTIMO JASMIN BRANCO 75ML</t>
        </is>
      </c>
      <c r="D4519" s="7" t="inlineStr">
        <is>
          <t>RX</t>
        </is>
      </c>
      <c r="E4519" s="7" t="inlineStr">
        <is>
          <t>C</t>
        </is>
      </c>
      <c r="F4519" s="13" t="n">
        <v>1</v>
      </c>
      <c r="G4519" s="13" t="n">
        <v>1</v>
      </c>
      <c r="H4519" s="8" t="n">
        <v>24.47</v>
      </c>
      <c r="I4519" s="8" t="n">
        <v>24.47</v>
      </c>
      <c r="J4519" s="8" t="n">
        <v>24.47</v>
      </c>
      <c r="K4519" s="8" t="n"/>
      <c r="L4519" s="8" t="n"/>
      <c r="M4519" s="8" t="n"/>
      <c r="N4519" s="8" t="n"/>
      <c r="O4519" s="8" t="n"/>
      <c r="P4519" s="15" t="n">
        <v>25.77</v>
      </c>
      <c r="Q4519" s="8" t="n"/>
      <c r="R4519" s="8" t="n"/>
      <c r="S4519" s="8" t="n"/>
      <c r="T4519" s="7" t="inlineStr">
        <is>
          <t>NAZARIA</t>
        </is>
      </c>
      <c r="U4519" s="8" t="n">
        <v>25.77</v>
      </c>
      <c r="V4519" s="14">
        <f>U4519/J4519-1</f>
        <v/>
      </c>
      <c r="W4519" s="14">
        <f>U4519/H4519-1</f>
        <v/>
      </c>
      <c r="X4519" s="16" t="inlineStr">
        <is>
          <t>ACIMA +5.3%</t>
        </is>
      </c>
      <c r="Y4519" s="7" t="inlineStr"/>
    </row>
    <row r="4520">
      <c r="A4520" s="7" t="n">
        <v>662301</v>
      </c>
      <c r="B4520" s="12" t="inlineStr">
        <is>
          <t>7891653014031</t>
        </is>
      </c>
      <c r="C4520" s="7" t="inlineStr">
        <is>
          <t>VAGISIL DEO INTIMO ODOR BLOCK 60ML</t>
        </is>
      </c>
      <c r="D4520" s="7" t="inlineStr">
        <is>
          <t>RX</t>
        </is>
      </c>
      <c r="E4520" s="7" t="inlineStr">
        <is>
          <t>C</t>
        </is>
      </c>
      <c r="F4520" s="13" t="n">
        <v>1</v>
      </c>
      <c r="G4520" s="13" t="n">
        <v>1</v>
      </c>
      <c r="H4520" s="8" t="n">
        <v>22.43</v>
      </c>
      <c r="I4520" s="8" t="n">
        <v>22.42</v>
      </c>
      <c r="J4520" s="8" t="n">
        <v>22.42666666666667</v>
      </c>
      <c r="K4520" s="8" t="n"/>
      <c r="L4520" s="8" t="n"/>
      <c r="M4520" s="8" t="n"/>
      <c r="N4520" s="8" t="n"/>
      <c r="O4520" s="8" t="n"/>
      <c r="P4520" s="15" t="n">
        <v>22.43</v>
      </c>
      <c r="Q4520" s="8" t="n"/>
      <c r="R4520" s="8" t="n"/>
      <c r="S4520" s="8" t="n"/>
      <c r="T4520" s="7" t="inlineStr">
        <is>
          <t>NAZARIA</t>
        </is>
      </c>
      <c r="U4520" s="8" t="n">
        <v>22.43</v>
      </c>
      <c r="V4520" s="14">
        <f>U4520/J4520-1</f>
        <v/>
      </c>
      <c r="W4520" s="14">
        <f>U4520/H4520-1</f>
        <v/>
      </c>
      <c r="X4520" s="17" t="inlineStr">
        <is>
          <t>OK (≤ últ. compra)</t>
        </is>
      </c>
      <c r="Y4520" s="7" t="inlineStr"/>
    </row>
    <row r="4521">
      <c r="A4521" s="7" t="n">
        <v>654311</v>
      </c>
      <c r="B4521" s="12" t="inlineStr">
        <is>
          <t>7891653040078</t>
        </is>
      </c>
      <c r="C4521" s="7" t="inlineStr">
        <is>
          <t>VAGISIL SAB INTIMO URIN PROTECT 300ML</t>
        </is>
      </c>
      <c r="D4521" s="7" t="inlineStr">
        <is>
          <t>RX</t>
        </is>
      </c>
      <c r="E4521" s="7" t="inlineStr">
        <is>
          <t>C</t>
        </is>
      </c>
      <c r="F4521" s="13" t="n">
        <v>4</v>
      </c>
      <c r="G4521" s="13" t="n">
        <v>4</v>
      </c>
      <c r="H4521" s="8" t="n">
        <v>21.68</v>
      </c>
      <c r="I4521" s="8" t="n">
        <v>17.95</v>
      </c>
      <c r="J4521" s="8" t="n">
        <v>20.43666666666667</v>
      </c>
      <c r="K4521" s="8" t="n"/>
      <c r="L4521" s="8" t="n"/>
      <c r="M4521" s="8" t="n"/>
      <c r="N4521" s="8" t="n"/>
      <c r="O4521" s="8" t="n"/>
      <c r="P4521" s="15" t="n">
        <v>21.67</v>
      </c>
      <c r="Q4521" s="8" t="n"/>
      <c r="R4521" s="8" t="n"/>
      <c r="S4521" s="8" t="n"/>
      <c r="T4521" s="7" t="inlineStr">
        <is>
          <t>NAZARIA</t>
        </is>
      </c>
      <c r="U4521" s="8" t="n">
        <v>21.67</v>
      </c>
      <c r="V4521" s="14">
        <f>U4521/J4521-1</f>
        <v/>
      </c>
      <c r="W4521" s="14">
        <f>U4521/H4521-1</f>
        <v/>
      </c>
      <c r="X4521" s="17" t="inlineStr">
        <is>
          <t>OK (≤ últ. compra)</t>
        </is>
      </c>
      <c r="Y4521" s="7" t="inlineStr">
        <is>
          <t>NAZARIA: estoque parcial (1 un)</t>
        </is>
      </c>
    </row>
    <row r="4522">
      <c r="A4522" s="7" t="n">
        <v>547861</v>
      </c>
      <c r="B4522" s="12" t="inlineStr"/>
      <c r="C4522" s="7" t="inlineStr">
        <is>
          <t>VALDA CLASSIC LATA PASTILHAS 50G</t>
        </is>
      </c>
      <c r="D4522" s="7" t="inlineStr">
        <is>
          <t>RX</t>
        </is>
      </c>
      <c r="E4522" s="7" t="inlineStr">
        <is>
          <t>B</t>
        </is>
      </c>
      <c r="F4522" s="13" t="n">
        <v>1</v>
      </c>
      <c r="G4522" s="13" t="n">
        <v>3</v>
      </c>
      <c r="H4522" s="8" t="n">
        <v>16.614</v>
      </c>
      <c r="I4522" s="8" t="n">
        <v>15.674</v>
      </c>
      <c r="J4522" s="8" t="n">
        <v>16.30066666666667</v>
      </c>
      <c r="K4522" s="8" t="n"/>
      <c r="L4522" s="8" t="n"/>
      <c r="M4522" s="8" t="n"/>
      <c r="N4522" s="8" t="n"/>
      <c r="O4522" s="8" t="n"/>
      <c r="P4522" s="8" t="n"/>
      <c r="Q4522" s="8" t="n"/>
      <c r="R4522" s="8" t="n"/>
      <c r="S4522" s="8" t="n"/>
      <c r="T4522" s="7" t="inlineStr">
        <is>
          <t>SEM COTAÇÃO</t>
        </is>
      </c>
      <c r="U4522" s="8" t="n"/>
      <c r="V4522" s="14" t="n"/>
      <c r="W4522" s="14" t="n"/>
      <c r="X4522" s="7" t="inlineStr"/>
      <c r="Y4522" s="7" t="inlineStr"/>
    </row>
    <row r="4523">
      <c r="A4523" s="7" t="n">
        <v>543061</v>
      </c>
      <c r="B4523" s="12" t="inlineStr">
        <is>
          <t>000001355406</t>
        </is>
      </c>
      <c r="C4523" s="7" t="inlineStr">
        <is>
          <t>VALDA FRIENDS PASTILHA SACHE 25G</t>
        </is>
      </c>
      <c r="D4523" s="7" t="inlineStr">
        <is>
          <t>RX</t>
        </is>
      </c>
      <c r="E4523" s="7" t="inlineStr">
        <is>
          <t>C</t>
        </is>
      </c>
      <c r="F4523" s="13" t="n">
        <v>1</v>
      </c>
      <c r="G4523" s="13" t="n">
        <v>10</v>
      </c>
      <c r="H4523" s="8" t="n">
        <v>5.734</v>
      </c>
      <c r="I4523" s="8" t="n">
        <v>5.734</v>
      </c>
      <c r="J4523" s="8" t="n">
        <v>5.733999999999999</v>
      </c>
      <c r="K4523" s="8" t="n"/>
      <c r="L4523" s="8" t="n"/>
      <c r="M4523" s="8" t="n"/>
      <c r="N4523" s="8" t="n"/>
      <c r="O4523" s="8" t="n"/>
      <c r="P4523" s="15" t="n">
        <v>5.368440000000001</v>
      </c>
      <c r="Q4523" s="8" t="n"/>
      <c r="R4523" s="8" t="n"/>
      <c r="S4523" s="8" t="n"/>
      <c r="T4523" s="7" t="inlineStr">
        <is>
          <t>NAZARIA</t>
        </is>
      </c>
      <c r="U4523" s="8" t="n">
        <v>5.368440000000001</v>
      </c>
      <c r="V4523" s="14">
        <f>U4523/J4523-1</f>
        <v/>
      </c>
      <c r="W4523" s="14">
        <f>U4523/H4523-1</f>
        <v/>
      </c>
      <c r="X4523" s="17" t="inlineStr">
        <is>
          <t>OK (≤ menor hist.)</t>
        </is>
      </c>
      <c r="Y4523" s="7" t="inlineStr">
        <is>
          <t>NAZARIA: 1 emb = 10 un</t>
        </is>
      </c>
    </row>
    <row r="4524">
      <c r="A4524" s="7" t="n">
        <v>473721</v>
      </c>
      <c r="B4524" s="12" t="inlineStr"/>
      <c r="C4524" s="7" t="inlineStr">
        <is>
          <t>VALERIMED 50MG CX 20 COMP REV</t>
        </is>
      </c>
      <c r="D4524" s="7" t="inlineStr">
        <is>
          <t>GENERICO</t>
        </is>
      </c>
      <c r="E4524" s="7" t="inlineStr">
        <is>
          <t>A</t>
        </is>
      </c>
      <c r="F4524" s="13" t="n">
        <v>8</v>
      </c>
      <c r="G4524" s="13" t="n">
        <v>8</v>
      </c>
      <c r="H4524" s="8" t="n">
        <v>9.449999999999999</v>
      </c>
      <c r="I4524" s="8" t="n">
        <v>8.890000000000001</v>
      </c>
      <c r="J4524" s="8" t="n">
        <v>9.243333333333334</v>
      </c>
      <c r="K4524" s="8" t="n"/>
      <c r="L4524" s="8" t="n"/>
      <c r="M4524" s="8" t="n"/>
      <c r="N4524" s="8" t="n"/>
      <c r="O4524" s="8" t="n"/>
      <c r="P4524" s="8" t="n"/>
      <c r="Q4524" s="8" t="n"/>
      <c r="R4524" s="8" t="n"/>
      <c r="S4524" s="8" t="n"/>
      <c r="T4524" s="7" t="inlineStr">
        <is>
          <t>SEM COTAÇÃO</t>
        </is>
      </c>
      <c r="U4524" s="8" t="n"/>
      <c r="V4524" s="14" t="n"/>
      <c r="W4524" s="14" t="n"/>
      <c r="X4524" s="7" t="inlineStr"/>
      <c r="Y4524" s="7" t="inlineStr"/>
    </row>
    <row r="4525">
      <c r="A4525" s="7" t="n">
        <v>474361</v>
      </c>
      <c r="B4525" s="12" t="inlineStr">
        <is>
          <t>7896523200118</t>
        </is>
      </c>
      <c r="C4525" s="7" t="inlineStr">
        <is>
          <t>VALSARTANA 160MG CX 30 COMP REV</t>
        </is>
      </c>
      <c r="D4525" s="7" t="inlineStr">
        <is>
          <t>GENERICO</t>
        </is>
      </c>
      <c r="E4525" s="7" t="inlineStr">
        <is>
          <t>A</t>
        </is>
      </c>
      <c r="F4525" s="13" t="n">
        <v>12</v>
      </c>
      <c r="G4525" s="13" t="n">
        <v>12</v>
      </c>
      <c r="H4525" s="8" t="n">
        <v>12.89</v>
      </c>
      <c r="I4525" s="8" t="n">
        <v>12.03</v>
      </c>
      <c r="J4525" s="8" t="n">
        <v>12.60333333333333</v>
      </c>
      <c r="K4525" s="8" t="n"/>
      <c r="L4525" s="8" t="n"/>
      <c r="M4525" s="8" t="n"/>
      <c r="N4525" s="8" t="n"/>
      <c r="O4525" s="8" t="n"/>
      <c r="P4525" s="8" t="n">
        <v>51.17</v>
      </c>
      <c r="Q4525" s="8" t="n"/>
      <c r="R4525" s="8" t="n"/>
      <c r="S4525" s="8" t="n"/>
      <c r="T4525" s="7" t="inlineStr">
        <is>
          <t>SEM COTAÇÃO</t>
        </is>
      </c>
      <c r="U4525" s="8" t="n"/>
      <c r="V4525" s="14" t="n"/>
      <c r="W4525" s="14" t="n"/>
      <c r="X4525" s="7" t="inlineStr"/>
      <c r="Y4525" s="7" t="inlineStr">
        <is>
          <t>NAZARIA: sem estoque; conferir emb.</t>
        </is>
      </c>
    </row>
    <row r="4526">
      <c r="A4526" s="7" t="n">
        <v>662781</v>
      </c>
      <c r="B4526" s="12" t="inlineStr">
        <is>
          <t>7896472521784</t>
        </is>
      </c>
      <c r="C4526" s="7" t="inlineStr">
        <is>
          <t>VALSARTANA 320MG 30 COM-NQ</t>
        </is>
      </c>
      <c r="D4526" s="7" t="inlineStr">
        <is>
          <t>GENERICO</t>
        </is>
      </c>
      <c r="E4526" s="7" t="inlineStr">
        <is>
          <t>B</t>
        </is>
      </c>
      <c r="F4526" s="13" t="n">
        <v>5</v>
      </c>
      <c r="G4526" s="13" t="n">
        <v>5</v>
      </c>
      <c r="H4526" s="8" t="n">
        <v>25.39</v>
      </c>
      <c r="I4526" s="8" t="n">
        <v>25.39</v>
      </c>
      <c r="J4526" s="8" t="n">
        <v>25.39</v>
      </c>
      <c r="K4526" s="8" t="n">
        <v>25.39</v>
      </c>
      <c r="L4526" s="15" t="n">
        <v>25.05</v>
      </c>
      <c r="M4526" s="8" t="n"/>
      <c r="N4526" s="8" t="n"/>
      <c r="O4526" s="8" t="n"/>
      <c r="P4526" s="8" t="n"/>
      <c r="Q4526" s="8" t="n">
        <v>26.77</v>
      </c>
      <c r="R4526" s="8" t="n"/>
      <c r="S4526" s="8" t="n"/>
      <c r="T4526" s="7" t="inlineStr">
        <is>
          <t>PLUSFARMA</t>
        </is>
      </c>
      <c r="U4526" s="8" t="n">
        <v>25.05</v>
      </c>
      <c r="V4526" s="14">
        <f>U4526/J4526-1</f>
        <v/>
      </c>
      <c r="W4526" s="14">
        <f>U4526/H4526-1</f>
        <v/>
      </c>
      <c r="X4526" s="17" t="inlineStr">
        <is>
          <t>OK (≤ menor hist.)</t>
        </is>
      </c>
      <c r="Y4526" s="7" t="inlineStr"/>
    </row>
    <row r="4527">
      <c r="A4527" s="7" t="n">
        <v>474381</v>
      </c>
      <c r="B4527" s="12" t="inlineStr"/>
      <c r="C4527" s="7" t="inlineStr">
        <is>
          <t>VALSARTANA 320MG CX 30 COMP REV</t>
        </is>
      </c>
      <c r="D4527" s="7" t="inlineStr">
        <is>
          <t>GENERICO</t>
        </is>
      </c>
      <c r="E4527" s="7" t="inlineStr">
        <is>
          <t>A</t>
        </is>
      </c>
      <c r="F4527" s="13" t="n">
        <v>3</v>
      </c>
      <c r="G4527" s="13" t="n">
        <v>3</v>
      </c>
      <c r="H4527" s="8" t="n">
        <v>26.28</v>
      </c>
      <c r="I4527" s="8" t="n">
        <v>26.28</v>
      </c>
      <c r="J4527" s="8" t="n">
        <v>26.28</v>
      </c>
      <c r="K4527" s="8" t="n"/>
      <c r="L4527" s="8" t="n"/>
      <c r="M4527" s="8" t="n"/>
      <c r="N4527" s="8" t="n"/>
      <c r="O4527" s="8" t="n"/>
      <c r="P4527" s="8" t="n"/>
      <c r="Q4527" s="8" t="n"/>
      <c r="R4527" s="8" t="n"/>
      <c r="S4527" s="8" t="n"/>
      <c r="T4527" s="7" t="inlineStr">
        <is>
          <t>SEM COTAÇÃO</t>
        </is>
      </c>
      <c r="U4527" s="8" t="n"/>
      <c r="V4527" s="14" t="n"/>
      <c r="W4527" s="14" t="n"/>
      <c r="X4527" s="7" t="inlineStr"/>
      <c r="Y4527" s="7" t="inlineStr"/>
    </row>
    <row r="4528">
      <c r="A4528" s="7" t="n">
        <v>596721</v>
      </c>
      <c r="B4528" s="12" t="inlineStr">
        <is>
          <t>7898040329112</t>
        </is>
      </c>
      <c r="C4528" s="7" t="inlineStr">
        <is>
          <t>VARICELL CREME BG 150G</t>
        </is>
      </c>
      <c r="D4528" s="7" t="inlineStr">
        <is>
          <t>RX - OTC</t>
        </is>
      </c>
      <c r="E4528" s="7" t="inlineStr">
        <is>
          <t>B</t>
        </is>
      </c>
      <c r="F4528" s="13" t="n">
        <v>3</v>
      </c>
      <c r="G4528" s="13" t="n">
        <v>3</v>
      </c>
      <c r="H4528" s="8" t="n">
        <v>28.28</v>
      </c>
      <c r="I4528" s="8" t="n">
        <v>18.49</v>
      </c>
      <c r="J4528" s="8" t="n">
        <v>24.35666666666667</v>
      </c>
      <c r="K4528" s="8" t="n"/>
      <c r="L4528" s="8" t="n"/>
      <c r="M4528" s="8" t="n"/>
      <c r="N4528" s="8" t="n"/>
      <c r="O4528" s="15" t="n">
        <v>29.62</v>
      </c>
      <c r="P4528" s="8" t="n">
        <v>30.8014</v>
      </c>
      <c r="Q4528" s="8" t="n"/>
      <c r="R4528" s="8" t="n"/>
      <c r="S4528" s="8" t="n"/>
      <c r="T4528" s="7" t="inlineStr">
        <is>
          <t>TAPAJOS</t>
        </is>
      </c>
      <c r="U4528" s="8" t="n">
        <v>29.62</v>
      </c>
      <c r="V4528" s="14">
        <f>U4528/J4528-1</f>
        <v/>
      </c>
      <c r="W4528" s="14">
        <f>U4528/H4528-1</f>
        <v/>
      </c>
      <c r="X4528" s="16" t="inlineStr">
        <is>
          <t>ACIMA +4.7%</t>
        </is>
      </c>
      <c r="Y4528" s="7" t="inlineStr"/>
    </row>
    <row r="4529">
      <c r="A4529" s="7" t="n">
        <v>675881</v>
      </c>
      <c r="B4529" s="12" t="inlineStr">
        <is>
          <t>7898031310990</t>
        </is>
      </c>
      <c r="C4529" s="7" t="inlineStr">
        <is>
          <t>VASELINA LIQUIDA 100ML</t>
        </is>
      </c>
      <c r="D4529" s="7" t="inlineStr">
        <is>
          <t>OTC</t>
        </is>
      </c>
      <c r="E4529" s="7" t="inlineStr">
        <is>
          <t>C</t>
        </is>
      </c>
      <c r="F4529" s="13" t="n">
        <v>5</v>
      </c>
      <c r="G4529" s="13" t="n">
        <v>5</v>
      </c>
      <c r="H4529" s="8" t="n">
        <v>5.29</v>
      </c>
      <c r="I4529" s="8" t="n">
        <v>5.29</v>
      </c>
      <c r="J4529" s="8" t="n">
        <v>5.29</v>
      </c>
      <c r="K4529" s="8" t="n">
        <v>5.68</v>
      </c>
      <c r="L4529" s="8" t="n"/>
      <c r="M4529" s="8" t="n"/>
      <c r="N4529" s="8" t="n">
        <v>6.03</v>
      </c>
      <c r="O4529" s="15" t="n">
        <v>3.9</v>
      </c>
      <c r="P4529" s="8" t="n"/>
      <c r="Q4529" s="8" t="n">
        <v>6.77</v>
      </c>
      <c r="R4529" s="8" t="n"/>
      <c r="S4529" s="8" t="n"/>
      <c r="T4529" s="7" t="inlineStr">
        <is>
          <t>TAPAJOS</t>
        </is>
      </c>
      <c r="U4529" s="8" t="n">
        <v>3.9</v>
      </c>
      <c r="V4529" s="14">
        <f>U4529/J4529-1</f>
        <v/>
      </c>
      <c r="W4529" s="14">
        <f>U4529/H4529-1</f>
        <v/>
      </c>
      <c r="X4529" s="17" t="inlineStr">
        <is>
          <t>OK (≤ menor hist.)</t>
        </is>
      </c>
      <c r="Y4529" s="7" t="inlineStr"/>
    </row>
    <row r="4530">
      <c r="A4530" s="7" t="n">
        <v>619911</v>
      </c>
      <c r="B4530" s="12" t="inlineStr">
        <is>
          <t>7896902214828</t>
        </is>
      </c>
      <c r="C4530" s="7" t="inlineStr">
        <is>
          <t>VASELINA LIQUIDA 100ML (VASEMAX)</t>
        </is>
      </c>
      <c r="D4530" s="7" t="inlineStr">
        <is>
          <t>SIMILAR</t>
        </is>
      </c>
      <c r="E4530" s="7" t="inlineStr">
        <is>
          <t>C</t>
        </is>
      </c>
      <c r="F4530" s="13" t="n">
        <v>1</v>
      </c>
      <c r="G4530" s="13" t="n">
        <v>1</v>
      </c>
      <c r="H4530" s="8" t="n">
        <v>4.36</v>
      </c>
      <c r="I4530" s="8" t="n">
        <v>4.36</v>
      </c>
      <c r="J4530" s="8" t="n">
        <v>4.36</v>
      </c>
      <c r="K4530" s="8" t="n">
        <v>5.57</v>
      </c>
      <c r="L4530" s="8" t="n"/>
      <c r="M4530" s="8" t="n"/>
      <c r="N4530" s="8" t="n">
        <v>5.42</v>
      </c>
      <c r="O4530" s="8" t="n"/>
      <c r="P4530" s="15" t="n">
        <v>5.38</v>
      </c>
      <c r="Q4530" s="8" t="n"/>
      <c r="R4530" s="8" t="n"/>
      <c r="S4530" s="8" t="n"/>
      <c r="T4530" s="7" t="inlineStr">
        <is>
          <t>NAZARIA</t>
        </is>
      </c>
      <c r="U4530" s="8" t="n">
        <v>5.38</v>
      </c>
      <c r="V4530" s="14">
        <f>U4530/J4530-1</f>
        <v/>
      </c>
      <c r="W4530" s="14">
        <f>U4530/H4530-1</f>
        <v/>
      </c>
      <c r="X4530" s="16" t="inlineStr">
        <is>
          <t>ACIMA +23.4%</t>
        </is>
      </c>
      <c r="Y4530" s="7" t="inlineStr"/>
    </row>
    <row r="4531">
      <c r="A4531" s="7" t="n">
        <v>2973</v>
      </c>
      <c r="B4531" s="12" t="inlineStr">
        <is>
          <t>7898031313533</t>
        </is>
      </c>
      <c r="C4531" s="7" t="inlineStr">
        <is>
          <t>VASELINA SOLIDA 20G BISNAGA</t>
        </is>
      </c>
      <c r="D4531" s="7" t="inlineStr">
        <is>
          <t>SIMILAR</t>
        </is>
      </c>
      <c r="E4531" s="7" t="inlineStr">
        <is>
          <t>B</t>
        </is>
      </c>
      <c r="F4531" s="13" t="n">
        <v>12</v>
      </c>
      <c r="G4531" s="13" t="n">
        <v>12</v>
      </c>
      <c r="H4531" s="8" t="n">
        <v>5.26</v>
      </c>
      <c r="I4531" s="8" t="n">
        <v>5.06</v>
      </c>
      <c r="J4531" s="8" t="n">
        <v>5.126666666666666</v>
      </c>
      <c r="K4531" s="15" t="n">
        <v>5.26</v>
      </c>
      <c r="L4531" s="8" t="n"/>
      <c r="M4531" s="8" t="n"/>
      <c r="N4531" s="8" t="n">
        <v>5.64</v>
      </c>
      <c r="O4531" s="8" t="n"/>
      <c r="P4531" s="8" t="n"/>
      <c r="Q4531" s="8" t="n">
        <v>6.34</v>
      </c>
      <c r="R4531" s="8" t="n"/>
      <c r="S4531" s="8" t="n"/>
      <c r="T4531" s="7" t="inlineStr">
        <is>
          <t>DIMEC</t>
        </is>
      </c>
      <c r="U4531" s="8" t="n">
        <v>5.26</v>
      </c>
      <c r="V4531" s="14">
        <f>U4531/J4531-1</f>
        <v/>
      </c>
      <c r="W4531" s="14">
        <f>U4531/H4531-1</f>
        <v/>
      </c>
      <c r="X4531" s="17" t="inlineStr">
        <is>
          <t>OK (≤ últ. compra)</t>
        </is>
      </c>
      <c r="Y4531" s="7" t="inlineStr"/>
    </row>
    <row r="4532">
      <c r="A4532" s="7" t="n">
        <v>604001</v>
      </c>
      <c r="B4532" s="12" t="inlineStr">
        <is>
          <t>7898031310495</t>
        </is>
      </c>
      <c r="C4532" s="7" t="inlineStr">
        <is>
          <t>VASELINA SOLIDA 25G POTE (UNIPHAR)</t>
        </is>
      </c>
      <c r="D4532" s="7" t="inlineStr">
        <is>
          <t>OTC</t>
        </is>
      </c>
      <c r="E4532" s="7" t="inlineStr">
        <is>
          <t>A</t>
        </is>
      </c>
      <c r="F4532" s="13" t="n">
        <v>10</v>
      </c>
      <c r="G4532" s="13" t="n">
        <v>10</v>
      </c>
      <c r="H4532" s="8" t="n">
        <v>4.48</v>
      </c>
      <c r="I4532" s="8" t="n">
        <v>4.35</v>
      </c>
      <c r="J4532" s="8" t="n">
        <v>4.35</v>
      </c>
      <c r="K4532" s="15" t="n">
        <v>4.78</v>
      </c>
      <c r="L4532" s="8" t="n"/>
      <c r="M4532" s="8" t="n"/>
      <c r="N4532" s="8" t="n">
        <v>5.16</v>
      </c>
      <c r="O4532" s="8" t="n"/>
      <c r="P4532" s="8" t="n">
        <v>5.79</v>
      </c>
      <c r="Q4532" s="8" t="n">
        <v>10.23</v>
      </c>
      <c r="R4532" s="8" t="n"/>
      <c r="S4532" s="8" t="n"/>
      <c r="T4532" s="7" t="inlineStr">
        <is>
          <t>DIMEC</t>
        </is>
      </c>
      <c r="U4532" s="8" t="n">
        <v>4.78</v>
      </c>
      <c r="V4532" s="14">
        <f>U4532/J4532-1</f>
        <v/>
      </c>
      <c r="W4532" s="14">
        <f>U4532/H4532-1</f>
        <v/>
      </c>
      <c r="X4532" s="16" t="inlineStr">
        <is>
          <t>ACIMA +6.7%</t>
        </is>
      </c>
      <c r="Y4532" s="7" t="inlineStr">
        <is>
          <t>MEDCENTRO: conferir emb.</t>
        </is>
      </c>
    </row>
    <row r="4533">
      <c r="A4533" s="7" t="n">
        <v>591211</v>
      </c>
      <c r="B4533" s="12" t="inlineStr">
        <is>
          <t>7898241250031</t>
        </is>
      </c>
      <c r="C4533" s="7" t="inlineStr">
        <is>
          <t>VELA SEBO DE HOLANDA</t>
        </is>
      </c>
      <c r="D4533" s="7" t="inlineStr">
        <is>
          <t>SIMILAR</t>
        </is>
      </c>
      <c r="E4533" s="7" t="inlineStr">
        <is>
          <t>C</t>
        </is>
      </c>
      <c r="F4533" s="13" t="n">
        <v>3</v>
      </c>
      <c r="G4533" s="13" t="n">
        <v>21</v>
      </c>
      <c r="H4533" s="8" t="n">
        <v>0.4988</v>
      </c>
      <c r="I4533" s="8" t="n">
        <v>0.4988</v>
      </c>
      <c r="J4533" s="8" t="n">
        <v>0.4988</v>
      </c>
      <c r="K4533" s="15" t="n">
        <v>0.49875</v>
      </c>
      <c r="L4533" s="8" t="n"/>
      <c r="M4533" s="8" t="n"/>
      <c r="N4533" s="8" t="n"/>
      <c r="O4533" s="8" t="n"/>
      <c r="P4533" s="8" t="n"/>
      <c r="Q4533" s="8" t="n"/>
      <c r="R4533" s="8" t="n"/>
      <c r="S4533" s="8" t="n"/>
      <c r="T4533" s="7" t="inlineStr">
        <is>
          <t>DIMEC</t>
        </is>
      </c>
      <c r="U4533" s="8" t="n">
        <v>0.49875</v>
      </c>
      <c r="V4533" s="14">
        <f>U4533/J4533-1</f>
        <v/>
      </c>
      <c r="W4533" s="14">
        <f>U4533/H4533-1</f>
        <v/>
      </c>
      <c r="X4533" s="17" t="inlineStr">
        <is>
          <t>OK (≤ menor hist.)</t>
        </is>
      </c>
      <c r="Y4533" s="7" t="inlineStr">
        <is>
          <t>DIMEC: 1 emb = 8 un</t>
        </is>
      </c>
    </row>
    <row r="4534">
      <c r="A4534" s="7" t="n">
        <v>633941</v>
      </c>
      <c r="B4534" s="12" t="inlineStr">
        <is>
          <t>7891150055070</t>
        </is>
      </c>
      <c r="C4534" s="7" t="inlineStr">
        <is>
          <t>VENCIDO -  AMIDO MILHO MAIZENA OF ESP 200G</t>
        </is>
      </c>
      <c r="D4534" s="7" t="inlineStr">
        <is>
          <t>ALIMENTOS LACTEOS, DERIVADOS E SIMILARES</t>
        </is>
      </c>
      <c r="E4534" s="7" t="inlineStr">
        <is>
          <t>C</t>
        </is>
      </c>
      <c r="F4534" s="13" t="n">
        <v>2</v>
      </c>
      <c r="G4534" s="13" t="n">
        <v>2</v>
      </c>
      <c r="H4534" s="8" t="n">
        <v>4.2717</v>
      </c>
      <c r="I4534" s="8" t="n">
        <v>4.2717</v>
      </c>
      <c r="J4534" s="8" t="n">
        <v>4.2717</v>
      </c>
      <c r="K4534" s="8" t="n"/>
      <c r="L4534" s="8" t="n"/>
      <c r="M4534" s="8" t="n"/>
      <c r="N4534" s="8" t="n"/>
      <c r="O4534" s="8" t="n"/>
      <c r="P4534" s="8" t="n"/>
      <c r="Q4534" s="8" t="n"/>
      <c r="R4534" s="8" t="n"/>
      <c r="S4534" s="8" t="n"/>
      <c r="T4534" s="7" t="inlineStr">
        <is>
          <t>SEM COTAÇÃO</t>
        </is>
      </c>
      <c r="U4534" s="8" t="n"/>
      <c r="V4534" s="14" t="n"/>
      <c r="W4534" s="14" t="n"/>
      <c r="X4534" s="7" t="inlineStr"/>
      <c r="Y4534" s="7" t="inlineStr"/>
    </row>
    <row r="4535">
      <c r="A4535" s="7" t="n">
        <v>608251</v>
      </c>
      <c r="B4535" s="12" t="inlineStr">
        <is>
          <t>7899852024400</t>
        </is>
      </c>
      <c r="C4535" s="7" t="inlineStr">
        <is>
          <t>VENCIDO -  VULT NAILS ESM 5FR CAMI LOU XIS 8ML M6</t>
        </is>
      </c>
      <c r="D4535" s="7" t="inlineStr">
        <is>
          <t>PERF/COSME</t>
        </is>
      </c>
      <c r="E4535" s="7" t="inlineStr">
        <is>
          <t>C</t>
        </is>
      </c>
      <c r="F4535" s="13" t="n">
        <v>1</v>
      </c>
      <c r="G4535" s="13" t="n">
        <v>1</v>
      </c>
      <c r="H4535" s="8" t="n">
        <v>6.39</v>
      </c>
      <c r="I4535" s="8" t="n">
        <v>6.39</v>
      </c>
      <c r="J4535" s="8" t="n">
        <v>6.39</v>
      </c>
      <c r="K4535" s="8" t="n"/>
      <c r="L4535" s="8" t="n"/>
      <c r="M4535" s="8" t="n"/>
      <c r="N4535" s="8" t="n"/>
      <c r="O4535" s="8" t="n"/>
      <c r="P4535" s="8" t="n"/>
      <c r="Q4535" s="8" t="n"/>
      <c r="R4535" s="8" t="n"/>
      <c r="S4535" s="8" t="n"/>
      <c r="T4535" s="7" t="inlineStr">
        <is>
          <t>SEM COTAÇÃO</t>
        </is>
      </c>
      <c r="U4535" s="8" t="n"/>
      <c r="V4535" s="14" t="n"/>
      <c r="W4535" s="14" t="n"/>
      <c r="X4535" s="7" t="inlineStr"/>
      <c r="Y4535" s="7" t="inlineStr"/>
    </row>
    <row r="4536">
      <c r="A4536" s="7" t="n">
        <v>654391</v>
      </c>
      <c r="B4536" s="12" t="inlineStr">
        <is>
          <t>7898747830904</t>
        </is>
      </c>
      <c r="C4536" s="7" t="inlineStr">
        <is>
          <t>VENCIDO - BARRA CHOKLERS PROT CARAMELO DSP 12X40G</t>
        </is>
      </c>
      <c r="D4536" s="7" t="inlineStr">
        <is>
          <t>VITAMINA E SIMILARES</t>
        </is>
      </c>
      <c r="E4536" s="7" t="inlineStr">
        <is>
          <t>C</t>
        </is>
      </c>
      <c r="F4536" s="13" t="n">
        <v>1</v>
      </c>
      <c r="G4536" s="13" t="n">
        <v>3</v>
      </c>
      <c r="H4536" s="8" t="n">
        <v>7.1917</v>
      </c>
      <c r="I4536" s="8" t="n">
        <v>7.1917</v>
      </c>
      <c r="J4536" s="8" t="n">
        <v>7.1917</v>
      </c>
      <c r="K4536" s="8" t="n"/>
      <c r="L4536" s="8" t="n"/>
      <c r="M4536" s="8" t="n"/>
      <c r="N4536" s="8" t="n"/>
      <c r="O4536" s="8" t="n"/>
      <c r="P4536" s="8" t="n"/>
      <c r="Q4536" s="8" t="n"/>
      <c r="R4536" s="8" t="n"/>
      <c r="S4536" s="8" t="n"/>
      <c r="T4536" s="7" t="inlineStr">
        <is>
          <t>SEM COTAÇÃO</t>
        </is>
      </c>
      <c r="U4536" s="8" t="n"/>
      <c r="V4536" s="14" t="n"/>
      <c r="W4536" s="14" t="n"/>
      <c r="X4536" s="7" t="inlineStr"/>
      <c r="Y4536" s="7" t="inlineStr"/>
    </row>
    <row r="4537">
      <c r="A4537" s="7" t="n">
        <v>295241</v>
      </c>
      <c r="B4537" s="12" t="inlineStr">
        <is>
          <t>7896472511730</t>
        </is>
      </c>
      <c r="C4537" s="7" t="inlineStr">
        <is>
          <t>VENCIDO - BUPROVIL 300MG CARTELA C/ 10CP</t>
        </is>
      </c>
      <c r="D4537" s="7" t="inlineStr">
        <is>
          <t>SIMILAR</t>
        </is>
      </c>
      <c r="E4537" s="7" t="inlineStr">
        <is>
          <t>C</t>
        </is>
      </c>
      <c r="F4537" s="13" t="n">
        <v>1</v>
      </c>
      <c r="G4537" s="13" t="n">
        <v>3</v>
      </c>
      <c r="H4537" s="8" t="n">
        <v>49.45</v>
      </c>
      <c r="I4537" s="8" t="n">
        <v>49.45</v>
      </c>
      <c r="J4537" s="8" t="n">
        <v>49.45000000000001</v>
      </c>
      <c r="K4537" s="8" t="n"/>
      <c r="L4537" s="8" t="n"/>
      <c r="M4537" s="8" t="n"/>
      <c r="N4537" s="8" t="n"/>
      <c r="O4537" s="8" t="n"/>
      <c r="P4537" s="8" t="n"/>
      <c r="Q4537" s="8" t="n"/>
      <c r="R4537" s="8" t="n"/>
      <c r="S4537" s="8" t="n"/>
      <c r="T4537" s="7" t="inlineStr">
        <is>
          <t>SEM COTAÇÃO</t>
        </is>
      </c>
      <c r="U4537" s="8" t="n"/>
      <c r="V4537" s="14" t="n"/>
      <c r="W4537" s="14" t="n"/>
      <c r="X4537" s="7" t="inlineStr"/>
      <c r="Y4537" s="7" t="inlineStr"/>
    </row>
    <row r="4538">
      <c r="A4538" s="7" t="n">
        <v>4973</v>
      </c>
      <c r="B4538" s="12" t="inlineStr">
        <is>
          <t>7894900701005</t>
        </is>
      </c>
      <c r="C4538" s="7" t="inlineStr">
        <is>
          <t>VENCIDO - COCA-COLA ZERO LT 473ML</t>
        </is>
      </c>
      <c r="D4538" s="7" t="inlineStr">
        <is>
          <t>BEBIDAS GERAL</t>
        </is>
      </c>
      <c r="E4538" s="7" t="inlineStr">
        <is>
          <t>C</t>
        </is>
      </c>
      <c r="F4538" s="13" t="n">
        <v>27</v>
      </c>
      <c r="G4538" s="13" t="n">
        <v>27</v>
      </c>
      <c r="H4538" s="8" t="n">
        <v>0.8853</v>
      </c>
      <c r="I4538" s="8" t="n">
        <v>0.8853</v>
      </c>
      <c r="J4538" s="8" t="n">
        <v>0.8853</v>
      </c>
      <c r="K4538" s="8" t="n"/>
      <c r="L4538" s="8" t="n"/>
      <c r="M4538" s="8" t="n"/>
      <c r="N4538" s="8" t="n"/>
      <c r="O4538" s="8" t="n"/>
      <c r="P4538" s="8" t="n"/>
      <c r="Q4538" s="8" t="n"/>
      <c r="R4538" s="8" t="n"/>
      <c r="S4538" s="8" t="n"/>
      <c r="T4538" s="7" t="inlineStr">
        <is>
          <t>SEM COTAÇÃO</t>
        </is>
      </c>
      <c r="U4538" s="8" t="n"/>
      <c r="V4538" s="14" t="n"/>
      <c r="W4538" s="14" t="n"/>
      <c r="X4538" s="7" t="inlineStr"/>
      <c r="Y4538" s="7" t="inlineStr"/>
    </row>
    <row r="4539">
      <c r="A4539" s="7" t="n">
        <v>604221</v>
      </c>
      <c r="B4539" s="12" t="inlineStr">
        <is>
          <t>7896235353454</t>
        </is>
      </c>
      <c r="C4539" s="7" t="inlineStr">
        <is>
          <t>VENCIDO - CONDIC MONANGE DETOXTER.325ML</t>
        </is>
      </c>
      <c r="D4539" s="7" t="inlineStr">
        <is>
          <t>PERF/COSME</t>
        </is>
      </c>
      <c r="E4539" s="7" t="inlineStr">
        <is>
          <t>C</t>
        </is>
      </c>
      <c r="F4539" s="13" t="n">
        <v>1</v>
      </c>
      <c r="G4539" s="13" t="n">
        <v>1</v>
      </c>
      <c r="H4539" s="8" t="n">
        <v>7.38</v>
      </c>
      <c r="I4539" s="8" t="n">
        <v>7.38</v>
      </c>
      <c r="J4539" s="8" t="n">
        <v>7.38</v>
      </c>
      <c r="K4539" s="8" t="n"/>
      <c r="L4539" s="8" t="n"/>
      <c r="M4539" s="8" t="n"/>
      <c r="N4539" s="8" t="n"/>
      <c r="O4539" s="8" t="n"/>
      <c r="P4539" s="8" t="n"/>
      <c r="Q4539" s="8" t="n"/>
      <c r="R4539" s="8" t="n"/>
      <c r="S4539" s="8" t="n"/>
      <c r="T4539" s="7" t="inlineStr">
        <is>
          <t>SEM COTAÇÃO</t>
        </is>
      </c>
      <c r="U4539" s="8" t="n"/>
      <c r="V4539" s="14" t="n"/>
      <c r="W4539" s="14" t="n"/>
      <c r="X4539" s="7" t="inlineStr"/>
      <c r="Y4539" s="7" t="inlineStr"/>
    </row>
    <row r="4540">
      <c r="A4540" s="7" t="n">
        <v>514</v>
      </c>
      <c r="B4540" s="12" t="inlineStr">
        <is>
          <t>7898919412204</t>
        </is>
      </c>
      <c r="C4540" s="7" t="inlineStr">
        <is>
          <t>VENCIDO - CREME DE PENTEAR MONANGE HIDRATA</t>
        </is>
      </c>
      <c r="D4540" s="7" t="inlineStr">
        <is>
          <t>COND/SHAM/CREM/SIMILARES</t>
        </is>
      </c>
      <c r="E4540" s="7" t="inlineStr">
        <is>
          <t>C</t>
        </is>
      </c>
      <c r="F4540" s="13" t="n">
        <v>1</v>
      </c>
      <c r="G4540" s="13" t="n">
        <v>1</v>
      </c>
      <c r="H4540" s="8" t="n"/>
      <c r="I4540" s="8" t="n"/>
      <c r="J4540" s="8" t="n"/>
      <c r="K4540" s="8" t="n"/>
      <c r="L4540" s="8" t="n"/>
      <c r="M4540" s="8" t="n"/>
      <c r="N4540" s="8" t="n"/>
      <c r="O4540" s="8" t="n"/>
      <c r="P4540" s="8" t="n"/>
      <c r="Q4540" s="8" t="n"/>
      <c r="R4540" s="8" t="n"/>
      <c r="S4540" s="8" t="n"/>
      <c r="T4540" s="7" t="inlineStr">
        <is>
          <t>SEM COTAÇÃO</t>
        </is>
      </c>
      <c r="U4540" s="8" t="n"/>
      <c r="V4540" s="14" t="n"/>
      <c r="W4540" s="14" t="n"/>
      <c r="X4540" s="7" t="inlineStr"/>
      <c r="Y4540" s="7" t="inlineStr"/>
    </row>
    <row r="4541">
      <c r="A4541" s="7" t="n">
        <v>614601</v>
      </c>
      <c r="B4541" s="12" t="inlineStr">
        <is>
          <t>7897158703005</t>
        </is>
      </c>
      <c r="C4541" s="7" t="inlineStr">
        <is>
          <t>VENCIDO - CREME P PENTEAR FORT TRADICIONAL 320ML</t>
        </is>
      </c>
      <c r="D4541" s="7" t="inlineStr">
        <is>
          <t>PERF/COSME</t>
        </is>
      </c>
      <c r="E4541" s="7" t="inlineStr">
        <is>
          <t>C</t>
        </is>
      </c>
      <c r="F4541" s="13" t="n">
        <v>1</v>
      </c>
      <c r="G4541" s="13" t="n">
        <v>1</v>
      </c>
      <c r="H4541" s="8" t="n">
        <v>9.85</v>
      </c>
      <c r="I4541" s="8" t="n">
        <v>9.85</v>
      </c>
      <c r="J4541" s="8" t="n">
        <v>9.85</v>
      </c>
      <c r="K4541" s="8" t="n"/>
      <c r="L4541" s="8" t="n"/>
      <c r="M4541" s="8" t="n"/>
      <c r="N4541" s="8" t="n"/>
      <c r="O4541" s="8" t="n"/>
      <c r="P4541" s="8" t="n"/>
      <c r="Q4541" s="8" t="n"/>
      <c r="R4541" s="8" t="n"/>
      <c r="S4541" s="8" t="n"/>
      <c r="T4541" s="7" t="inlineStr">
        <is>
          <t>SEM COTAÇÃO</t>
        </is>
      </c>
      <c r="U4541" s="8" t="n"/>
      <c r="V4541" s="14" t="n"/>
      <c r="W4541" s="14" t="n"/>
      <c r="X4541" s="7" t="inlineStr"/>
      <c r="Y4541" s="7" t="inlineStr"/>
    </row>
    <row r="4542">
      <c r="A4542" s="7" t="n">
        <v>630081</v>
      </c>
      <c r="B4542" s="12" t="inlineStr">
        <is>
          <t>7896049528536</t>
        </is>
      </c>
      <c r="C4542" s="7" t="inlineStr">
        <is>
          <t>VENCIDO - DES HERBIS CREM TALCO 55G</t>
        </is>
      </c>
      <c r="D4542" s="7" t="inlineStr">
        <is>
          <t>PERF/COSME</t>
        </is>
      </c>
      <c r="E4542" s="7" t="inlineStr">
        <is>
          <t>C</t>
        </is>
      </c>
      <c r="F4542" s="13" t="n">
        <v>3</v>
      </c>
      <c r="G4542" s="13" t="n">
        <v>3</v>
      </c>
      <c r="H4542" s="8" t="n">
        <v>3.35</v>
      </c>
      <c r="I4542" s="8" t="n">
        <v>3.35</v>
      </c>
      <c r="J4542" s="8" t="n">
        <v>3.35</v>
      </c>
      <c r="K4542" s="8" t="n"/>
      <c r="L4542" s="8" t="n"/>
      <c r="M4542" s="8" t="n"/>
      <c r="N4542" s="8" t="n"/>
      <c r="O4542" s="8" t="n"/>
      <c r="P4542" s="8" t="n"/>
      <c r="Q4542" s="8" t="n"/>
      <c r="R4542" s="8" t="n"/>
      <c r="S4542" s="8" t="n"/>
      <c r="T4542" s="7" t="inlineStr">
        <is>
          <t>SEM COTAÇÃO</t>
        </is>
      </c>
      <c r="U4542" s="8" t="n"/>
      <c r="V4542" s="14" t="n"/>
      <c r="W4542" s="14" t="n"/>
      <c r="X4542" s="7" t="inlineStr"/>
      <c r="Y4542" s="7" t="inlineStr"/>
    </row>
    <row r="4543">
      <c r="A4543" s="7" t="n">
        <v>55781</v>
      </c>
      <c r="B4543" s="12" t="inlineStr">
        <is>
          <t>7898495603218</t>
        </is>
      </c>
      <c r="C4543" s="7" t="inlineStr">
        <is>
          <t>VENCIDO - DEXTAMINE 2MG+025MG CX 20 COMP</t>
        </is>
      </c>
      <c r="D4543" s="7" t="inlineStr">
        <is>
          <t>SIMILAR</t>
        </is>
      </c>
      <c r="E4543" s="7" t="inlineStr">
        <is>
          <t>C</t>
        </is>
      </c>
      <c r="F4543" s="13" t="n">
        <v>1</v>
      </c>
      <c r="G4543" s="13" t="n">
        <v>1</v>
      </c>
      <c r="H4543" s="8" t="n">
        <v>5.43</v>
      </c>
      <c r="I4543" s="8" t="n">
        <v>5.43</v>
      </c>
      <c r="J4543" s="8" t="n">
        <v>5.43</v>
      </c>
      <c r="K4543" s="8" t="n"/>
      <c r="L4543" s="8" t="n"/>
      <c r="M4543" s="8" t="n"/>
      <c r="N4543" s="15" t="n">
        <v>5.72</v>
      </c>
      <c r="O4543" s="8" t="n"/>
      <c r="P4543" s="8" t="n"/>
      <c r="Q4543" s="8" t="n">
        <v>6.29</v>
      </c>
      <c r="R4543" s="8" t="n"/>
      <c r="S4543" s="8" t="n"/>
      <c r="T4543" s="7" t="inlineStr">
        <is>
          <t>CENTROFARMA</t>
        </is>
      </c>
      <c r="U4543" s="8" t="n">
        <v>5.72</v>
      </c>
      <c r="V4543" s="14">
        <f>U4543/J4543-1</f>
        <v/>
      </c>
      <c r="W4543" s="14">
        <f>U4543/H4543-1</f>
        <v/>
      </c>
      <c r="X4543" s="16" t="inlineStr">
        <is>
          <t>ACIMA +5.3%</t>
        </is>
      </c>
      <c r="Y4543" s="7" t="inlineStr"/>
    </row>
    <row r="4544">
      <c r="A4544" s="7" t="n">
        <v>169881</v>
      </c>
      <c r="B4544" s="12" t="inlineStr">
        <is>
          <t>7898495607889</t>
        </is>
      </c>
      <c r="C4544" s="7" t="inlineStr">
        <is>
          <t>VENCIDO - DORILESS 500+10+5MG CX 12 COMPR</t>
        </is>
      </c>
      <c r="D4544" s="7" t="inlineStr">
        <is>
          <t>SIMILAR</t>
        </is>
      </c>
      <c r="E4544" s="7" t="inlineStr">
        <is>
          <t>C</t>
        </is>
      </c>
      <c r="F4544" s="13" t="n">
        <v>1</v>
      </c>
      <c r="G4544" s="13" t="n">
        <v>1</v>
      </c>
      <c r="H4544" s="8" t="n">
        <v>5.98</v>
      </c>
      <c r="I4544" s="8" t="n">
        <v>5.98</v>
      </c>
      <c r="J4544" s="8" t="n">
        <v>5.98</v>
      </c>
      <c r="K4544" s="8" t="n"/>
      <c r="L4544" s="8" t="n"/>
      <c r="M4544" s="8" t="n"/>
      <c r="N4544" s="8" t="n"/>
      <c r="O4544" s="8" t="n"/>
      <c r="P4544" s="8" t="n"/>
      <c r="Q4544" s="8" t="n"/>
      <c r="R4544" s="8" t="n"/>
      <c r="S4544" s="8" t="n"/>
      <c r="T4544" s="7" t="inlineStr">
        <is>
          <t>SEM COTAÇÃO</t>
        </is>
      </c>
      <c r="U4544" s="8" t="n"/>
      <c r="V4544" s="14" t="n"/>
      <c r="W4544" s="14" t="n"/>
      <c r="X4544" s="7" t="inlineStr"/>
      <c r="Y4544" s="7" t="inlineStr"/>
    </row>
    <row r="4545">
      <c r="A4545" s="7" t="n">
        <v>621711</v>
      </c>
      <c r="B4545" s="12" t="inlineStr">
        <is>
          <t>7891150044555</t>
        </is>
      </c>
      <c r="C4545" s="7" t="inlineStr">
        <is>
          <t>VENCIDO - DOVE BABY SH 200ML P/CACHOS C/OL COCO</t>
        </is>
      </c>
      <c r="D4545" s="7" t="inlineStr">
        <is>
          <t>PERF/COSME</t>
        </is>
      </c>
      <c r="E4545" s="7" t="inlineStr">
        <is>
          <t>C</t>
        </is>
      </c>
      <c r="F4545" s="13" t="n">
        <v>1</v>
      </c>
      <c r="G4545" s="13" t="n">
        <v>1</v>
      </c>
      <c r="H4545" s="8" t="n">
        <v>12.69</v>
      </c>
      <c r="I4545" s="8" t="n">
        <v>12.69</v>
      </c>
      <c r="J4545" s="8" t="n">
        <v>12.69</v>
      </c>
      <c r="K4545" s="8" t="n"/>
      <c r="L4545" s="8" t="n"/>
      <c r="M4545" s="8" t="n"/>
      <c r="N4545" s="8" t="n"/>
      <c r="O4545" s="8" t="n"/>
      <c r="P4545" s="8" t="n">
        <v>12.35</v>
      </c>
      <c r="Q4545" s="8" t="n"/>
      <c r="R4545" s="8" t="n"/>
      <c r="S4545" s="8" t="n"/>
      <c r="T4545" s="7" t="inlineStr">
        <is>
          <t>SEM COTAÇÃO</t>
        </is>
      </c>
      <c r="U4545" s="8" t="n"/>
      <c r="V4545" s="14" t="n"/>
      <c r="W4545" s="14" t="n"/>
      <c r="X4545" s="7" t="inlineStr"/>
      <c r="Y4545" s="7" t="inlineStr">
        <is>
          <t>NAZARIA: sem estoque</t>
        </is>
      </c>
    </row>
    <row r="4546">
      <c r="A4546" s="7" t="n">
        <v>219241</v>
      </c>
      <c r="B4546" s="12" t="inlineStr">
        <is>
          <t>7896641813146</t>
        </is>
      </c>
      <c r="C4546" s="7" t="inlineStr">
        <is>
          <t>VENCIDO - DRAMIN 50 MG CARTELA 10 CP</t>
        </is>
      </c>
      <c r="D4546" s="7" t="inlineStr">
        <is>
          <t>DESATIVADO</t>
        </is>
      </c>
      <c r="E4546" s="7" t="inlineStr">
        <is>
          <t>C</t>
        </is>
      </c>
      <c r="F4546" s="13" t="n">
        <v>1</v>
      </c>
      <c r="G4546" s="13" t="n">
        <v>3</v>
      </c>
      <c r="H4546" s="8" t="n"/>
      <c r="I4546" s="8" t="n"/>
      <c r="J4546" s="8" t="n"/>
      <c r="K4546" s="8" t="n"/>
      <c r="L4546" s="8" t="n"/>
      <c r="M4546" s="8" t="n"/>
      <c r="N4546" s="8" t="n"/>
      <c r="O4546" s="15" t="n">
        <v>17.55</v>
      </c>
      <c r="P4546" s="8" t="n"/>
      <c r="Q4546" s="8" t="n"/>
      <c r="R4546" s="8" t="n"/>
      <c r="S4546" s="8" t="n"/>
      <c r="T4546" s="7" t="inlineStr">
        <is>
          <t>TAPAJOS</t>
        </is>
      </c>
      <c r="U4546" s="8" t="n">
        <v>17.55</v>
      </c>
      <c r="V4546" s="14" t="n"/>
      <c r="W4546" s="14" t="n"/>
      <c r="X4546" s="7" t="inlineStr">
        <is>
          <t>SEM HISTÓRICO</t>
        </is>
      </c>
      <c r="Y4546" s="7" t="inlineStr"/>
    </row>
    <row r="4547">
      <c r="A4547" s="7" t="n">
        <v>615331</v>
      </c>
      <c r="B4547" s="12" t="inlineStr">
        <is>
          <t>4005808881512</t>
        </is>
      </c>
      <c r="C4547" s="7" t="inlineStr">
        <is>
          <t>VENCIDO - GEL NIVEA ANTI-CELULIT BYEBYE CEL 201ML</t>
        </is>
      </c>
      <c r="D4547" s="7" t="inlineStr">
        <is>
          <t>RX - DERMO</t>
        </is>
      </c>
      <c r="E4547" s="7" t="inlineStr">
        <is>
          <t>C</t>
        </is>
      </c>
      <c r="F4547" s="13" t="n">
        <v>1</v>
      </c>
      <c r="G4547" s="13" t="n">
        <v>1</v>
      </c>
      <c r="H4547" s="8" t="n">
        <v>38.975</v>
      </c>
      <c r="I4547" s="8" t="n">
        <v>38.975</v>
      </c>
      <c r="J4547" s="8" t="n">
        <v>38.975</v>
      </c>
      <c r="K4547" s="8" t="n"/>
      <c r="L4547" s="8" t="n"/>
      <c r="M4547" s="8" t="n"/>
      <c r="N4547" s="8" t="n"/>
      <c r="O4547" s="8" t="n"/>
      <c r="P4547" s="8" t="n"/>
      <c r="Q4547" s="8" t="n"/>
      <c r="R4547" s="8" t="n"/>
      <c r="S4547" s="8" t="n"/>
      <c r="T4547" s="7" t="inlineStr">
        <is>
          <t>SEM COTAÇÃO</t>
        </is>
      </c>
      <c r="U4547" s="8" t="n"/>
      <c r="V4547" s="14" t="n"/>
      <c r="W4547" s="14" t="n"/>
      <c r="X4547" s="7" t="inlineStr"/>
      <c r="Y4547" s="7" t="inlineStr"/>
    </row>
    <row r="4548">
      <c r="A4548" s="7" t="n">
        <v>621491</v>
      </c>
      <c r="B4548" s="12" t="inlineStr">
        <is>
          <t>7896004789545</t>
        </is>
      </c>
      <c r="C4548" s="7" t="inlineStr">
        <is>
          <t>VENCIDO - LEFOR 2,5MG CX 30 COMP</t>
        </is>
      </c>
      <c r="D4548" s="7" t="inlineStr">
        <is>
          <t>RX</t>
        </is>
      </c>
      <c r="E4548" s="7" t="inlineStr">
        <is>
          <t>B</t>
        </is>
      </c>
      <c r="F4548" s="13" t="n">
        <v>1</v>
      </c>
      <c r="G4548" s="13" t="n">
        <v>1</v>
      </c>
      <c r="H4548" s="8" t="n">
        <v>42.835</v>
      </c>
      <c r="I4548" s="8" t="n">
        <v>42.835</v>
      </c>
      <c r="J4548" s="8" t="n">
        <v>42.835</v>
      </c>
      <c r="K4548" s="8" t="n"/>
      <c r="L4548" s="8" t="n"/>
      <c r="M4548" s="8" t="n"/>
      <c r="N4548" s="8" t="n"/>
      <c r="O4548" s="8" t="n"/>
      <c r="P4548" s="15" t="n">
        <v>46.73175</v>
      </c>
      <c r="Q4548" s="8" t="n"/>
      <c r="R4548" s="8" t="n"/>
      <c r="S4548" s="8" t="n"/>
      <c r="T4548" s="7" t="inlineStr">
        <is>
          <t>NAZARIA</t>
        </is>
      </c>
      <c r="U4548" s="8" t="n">
        <v>46.73175</v>
      </c>
      <c r="V4548" s="14">
        <f>U4548/J4548-1</f>
        <v/>
      </c>
      <c r="W4548" s="14">
        <f>U4548/H4548-1</f>
        <v/>
      </c>
      <c r="X4548" s="16" t="inlineStr">
        <is>
          <t>ACIMA +9.1%</t>
        </is>
      </c>
      <c r="Y4548" s="7" t="inlineStr"/>
    </row>
    <row r="4549">
      <c r="A4549" s="7" t="n">
        <v>319461</v>
      </c>
      <c r="B4549" s="12" t="inlineStr">
        <is>
          <t>7908020502586</t>
        </is>
      </c>
      <c r="C4549" s="7" t="inlineStr">
        <is>
          <t>VENCIDO - LINOFEME 0,15+0,03MG CX 21 COMP REV</t>
        </is>
      </c>
      <c r="D4549" s="7" t="inlineStr">
        <is>
          <t>SIMILAR</t>
        </is>
      </c>
      <c r="E4549" s="7" t="inlineStr">
        <is>
          <t>C</t>
        </is>
      </c>
      <c r="F4549" s="13" t="n">
        <v>1</v>
      </c>
      <c r="G4549" s="13" t="n">
        <v>1</v>
      </c>
      <c r="H4549" s="8" t="n">
        <v>4.45</v>
      </c>
      <c r="I4549" s="8" t="n">
        <v>4.45</v>
      </c>
      <c r="J4549" s="8" t="n">
        <v>4.45</v>
      </c>
      <c r="K4549" s="8" t="n"/>
      <c r="L4549" s="8" t="n"/>
      <c r="M4549" s="8" t="n"/>
      <c r="N4549" s="8" t="n"/>
      <c r="O4549" s="8" t="n"/>
      <c r="P4549" s="8" t="n"/>
      <c r="Q4549" s="8" t="n"/>
      <c r="R4549" s="8" t="n"/>
      <c r="S4549" s="8" t="n"/>
      <c r="T4549" s="7" t="inlineStr">
        <is>
          <t>SEM COTAÇÃO</t>
        </is>
      </c>
      <c r="U4549" s="8" t="n"/>
      <c r="V4549" s="14" t="n"/>
      <c r="W4549" s="14" t="n"/>
      <c r="X4549" s="7" t="inlineStr"/>
      <c r="Y4549" s="7" t="inlineStr"/>
    </row>
    <row r="4550">
      <c r="A4550" s="7" t="n">
        <v>612521</v>
      </c>
      <c r="B4550" s="12" t="inlineStr">
        <is>
          <t>7891317011390</t>
        </is>
      </c>
      <c r="C4550" s="7" t="inlineStr">
        <is>
          <t>VENCIDO - NAIRE 20MG CX 15 COMP</t>
        </is>
      </c>
      <c r="D4550" s="7" t="inlineStr">
        <is>
          <t>RX</t>
        </is>
      </c>
      <c r="E4550" s="7" t="inlineStr">
        <is>
          <t>B</t>
        </is>
      </c>
      <c r="F4550" s="13" t="n">
        <v>1</v>
      </c>
      <c r="G4550" s="13" t="n">
        <v>1</v>
      </c>
      <c r="H4550" s="8" t="n">
        <v>51.49</v>
      </c>
      <c r="I4550" s="8" t="n">
        <v>51.49</v>
      </c>
      <c r="J4550" s="8" t="n">
        <v>51.49</v>
      </c>
      <c r="K4550" s="8" t="n"/>
      <c r="L4550" s="8" t="n"/>
      <c r="M4550" s="8" t="n"/>
      <c r="N4550" s="8" t="n"/>
      <c r="O4550" s="8" t="n"/>
      <c r="P4550" s="8" t="n"/>
      <c r="Q4550" s="8" t="n"/>
      <c r="R4550" s="8" t="n"/>
      <c r="S4550" s="8" t="n"/>
      <c r="T4550" s="7" t="inlineStr">
        <is>
          <t>SEM COTAÇÃO</t>
        </is>
      </c>
      <c r="U4550" s="8" t="n"/>
      <c r="V4550" s="14" t="n"/>
      <c r="W4550" s="14" t="n"/>
      <c r="X4550" s="7" t="inlineStr"/>
      <c r="Y4550" s="7" t="inlineStr"/>
    </row>
    <row r="4551">
      <c r="A4551" s="7" t="n">
        <v>319361</v>
      </c>
      <c r="B4551" s="12" t="inlineStr">
        <is>
          <t>7891045008440</t>
        </is>
      </c>
      <c r="C4551" s="7" t="inlineStr">
        <is>
          <t>VENCIDO - NORDETTE 0,15+0,03MG CARTELA C/21</t>
        </is>
      </c>
      <c r="D4551" s="7" t="inlineStr">
        <is>
          <t>RX</t>
        </is>
      </c>
      <c r="E4551" s="7" t="inlineStr">
        <is>
          <t>C</t>
        </is>
      </c>
      <c r="F4551" s="13" t="n">
        <v>1</v>
      </c>
      <c r="G4551" s="13" t="n">
        <v>1</v>
      </c>
      <c r="H4551" s="8" t="n">
        <v>8.619999999999999</v>
      </c>
      <c r="I4551" s="8" t="n">
        <v>8.619999999999999</v>
      </c>
      <c r="J4551" s="8" t="n">
        <v>8.619999999999999</v>
      </c>
      <c r="K4551" s="8" t="n"/>
      <c r="L4551" s="8" t="n"/>
      <c r="M4551" s="8" t="n">
        <v>29.08</v>
      </c>
      <c r="N4551" s="8" t="n"/>
      <c r="O4551" s="8" t="n"/>
      <c r="P4551" s="8" t="n"/>
      <c r="Q4551" s="8" t="n"/>
      <c r="R4551" s="8" t="n"/>
      <c r="S4551" s="8" t="n"/>
      <c r="T4551" s="7" t="inlineStr">
        <is>
          <t>SEM COTAÇÃO</t>
        </is>
      </c>
      <c r="U4551" s="8" t="n"/>
      <c r="V4551" s="14" t="n"/>
      <c r="W4551" s="14" t="n"/>
      <c r="X4551" s="7" t="inlineStr"/>
      <c r="Y4551" s="7" t="inlineStr">
        <is>
          <t>EPAN: sem estoque; conferir emb.</t>
        </is>
      </c>
    </row>
    <row r="4552">
      <c r="A4552" s="7" t="n">
        <v>612341</v>
      </c>
      <c r="B4552" s="12" t="inlineStr">
        <is>
          <t>17896049528595</t>
        </is>
      </c>
      <c r="C4552" s="7" t="inlineStr">
        <is>
          <t>VENCIDO - PV DES HERBISSIMO CREME ACTION 55G</t>
        </is>
      </c>
      <c r="D4552" s="7" t="inlineStr">
        <is>
          <t>ANTITRANSPIRANTE/DESODORANTE</t>
        </is>
      </c>
      <c r="E4552" s="7" t="inlineStr">
        <is>
          <t>C</t>
        </is>
      </c>
      <c r="F4552" s="13" t="n">
        <v>1</v>
      </c>
      <c r="G4552" s="13" t="n">
        <v>6</v>
      </c>
      <c r="H4552" s="8" t="n">
        <v>3.47</v>
      </c>
      <c r="I4552" s="8" t="n">
        <v>3.47</v>
      </c>
      <c r="J4552" s="8" t="n">
        <v>3.47</v>
      </c>
      <c r="K4552" s="8" t="n"/>
      <c r="L4552" s="8" t="n"/>
      <c r="M4552" s="8" t="n"/>
      <c r="N4552" s="8" t="n"/>
      <c r="O4552" s="8" t="n"/>
      <c r="P4552" s="8" t="n"/>
      <c r="Q4552" s="8" t="n"/>
      <c r="R4552" s="8" t="n"/>
      <c r="S4552" s="8" t="n"/>
      <c r="T4552" s="7" t="inlineStr">
        <is>
          <t>SEM COTAÇÃO</t>
        </is>
      </c>
      <c r="U4552" s="8" t="n"/>
      <c r="V4552" s="14" t="n"/>
      <c r="W4552" s="14" t="n"/>
      <c r="X4552" s="7" t="inlineStr"/>
      <c r="Y4552" s="7" t="inlineStr"/>
    </row>
    <row r="4553">
      <c r="A4553" s="7" t="n">
        <v>344301</v>
      </c>
      <c r="B4553" s="12" t="inlineStr">
        <is>
          <t>7896641808777</t>
        </is>
      </c>
      <c r="C4553" s="7" t="inlineStr">
        <is>
          <t>VENCIDO - PV MESACOL 250 MG SUP RET CT BERCO X 15</t>
        </is>
      </c>
      <c r="D4553" s="7" t="inlineStr">
        <is>
          <t>RX</t>
        </is>
      </c>
      <c r="E4553" s="7" t="inlineStr">
        <is>
          <t>B</t>
        </is>
      </c>
      <c r="F4553" s="13" t="n">
        <v>1</v>
      </c>
      <c r="G4553" s="13" t="n">
        <v>1</v>
      </c>
      <c r="H4553" s="8" t="n">
        <v>56.86</v>
      </c>
      <c r="I4553" s="8" t="n">
        <v>56.86</v>
      </c>
      <c r="J4553" s="8" t="n">
        <v>56.85999999999999</v>
      </c>
      <c r="K4553" s="8" t="n"/>
      <c r="L4553" s="8" t="n"/>
      <c r="M4553" s="8" t="n"/>
      <c r="N4553" s="8" t="n"/>
      <c r="O4553" s="8" t="n"/>
      <c r="P4553" s="8" t="n"/>
      <c r="Q4553" s="8" t="n"/>
      <c r="R4553" s="8" t="n"/>
      <c r="S4553" s="8" t="n"/>
      <c r="T4553" s="7" t="inlineStr">
        <is>
          <t>SEM COTAÇÃO</t>
        </is>
      </c>
      <c r="U4553" s="8" t="n"/>
      <c r="V4553" s="14" t="n"/>
      <c r="W4553" s="14" t="n"/>
      <c r="X4553" s="7" t="inlineStr"/>
      <c r="Y4553" s="7" t="inlineStr"/>
    </row>
    <row r="4554">
      <c r="A4554" s="7" t="n">
        <v>624941</v>
      </c>
      <c r="B4554" s="12" t="inlineStr">
        <is>
          <t>7898212287752</t>
        </is>
      </c>
      <c r="C4554" s="7" t="inlineStr">
        <is>
          <t>VENCIDO - RAAVI CREME AMOLECEDOR DE CRAVOS 200G</t>
        </is>
      </c>
      <c r="D4554" s="7" t="inlineStr">
        <is>
          <t>PERF/COSME</t>
        </is>
      </c>
      <c r="E4554" s="7" t="inlineStr">
        <is>
          <t>C</t>
        </is>
      </c>
      <c r="F4554" s="13" t="n">
        <v>1</v>
      </c>
      <c r="G4554" s="13" t="n">
        <v>1</v>
      </c>
      <c r="H4554" s="8" t="n">
        <v>36.81</v>
      </c>
      <c r="I4554" s="8" t="n">
        <v>36.81</v>
      </c>
      <c r="J4554" s="8" t="n">
        <v>36.81</v>
      </c>
      <c r="K4554" s="8" t="n"/>
      <c r="L4554" s="8" t="n"/>
      <c r="M4554" s="8" t="n"/>
      <c r="N4554" s="8" t="n"/>
      <c r="O4554" s="8" t="n"/>
      <c r="P4554" s="8" t="n"/>
      <c r="Q4554" s="8" t="n"/>
      <c r="R4554" s="8" t="n"/>
      <c r="S4554" s="8" t="n"/>
      <c r="T4554" s="7" t="inlineStr">
        <is>
          <t>SEM COTAÇÃO</t>
        </is>
      </c>
      <c r="U4554" s="8" t="n"/>
      <c r="V4554" s="14" t="n"/>
      <c r="W4554" s="14" t="n"/>
      <c r="X4554" s="7" t="inlineStr"/>
      <c r="Y4554" s="7" t="inlineStr"/>
    </row>
    <row r="4555">
      <c r="A4555" s="7" t="n">
        <v>580661</v>
      </c>
      <c r="B4555" s="12" t="inlineStr">
        <is>
          <t>7898049796649</t>
        </is>
      </c>
      <c r="C4555" s="7" t="inlineStr">
        <is>
          <t>VENCIDO - RESSAQUE 500MG CAP 2CP CARTELADO</t>
        </is>
      </c>
      <c r="D4555" s="7" t="inlineStr">
        <is>
          <t>SIMILAR</t>
        </is>
      </c>
      <c r="E4555" s="7" t="inlineStr">
        <is>
          <t>C</t>
        </is>
      </c>
      <c r="F4555" s="13" t="n">
        <v>1</v>
      </c>
      <c r="G4555" s="13" t="n">
        <v>3</v>
      </c>
      <c r="H4555" s="8" t="n">
        <v>1.6773</v>
      </c>
      <c r="I4555" s="8" t="n">
        <v>1.6773</v>
      </c>
      <c r="J4555" s="8" t="n">
        <v>1.6773</v>
      </c>
      <c r="K4555" s="8" t="n"/>
      <c r="L4555" s="8" t="n"/>
      <c r="M4555" s="8" t="n"/>
      <c r="N4555" s="8" t="n"/>
      <c r="O4555" s="8" t="n"/>
      <c r="P4555" s="8" t="n"/>
      <c r="Q4555" s="8" t="n"/>
      <c r="R4555" s="8" t="n"/>
      <c r="S4555" s="8" t="n"/>
      <c r="T4555" s="7" t="inlineStr">
        <is>
          <t>SEM COTAÇÃO</t>
        </is>
      </c>
      <c r="U4555" s="8" t="n"/>
      <c r="V4555" s="14" t="n"/>
      <c r="W4555" s="14" t="n"/>
      <c r="X4555" s="7" t="inlineStr"/>
      <c r="Y4555" s="7" t="inlineStr"/>
    </row>
    <row r="4556">
      <c r="A4556" s="7" t="n">
        <v>579621</v>
      </c>
      <c r="B4556" s="12" t="inlineStr">
        <is>
          <t>78907461</t>
        </is>
      </c>
      <c r="C4556" s="7" t="inlineStr">
        <is>
          <t>VENCIDO - TALENTO AVELA 25G</t>
        </is>
      </c>
      <c r="D4556" s="7" t="inlineStr">
        <is>
          <t>CONVENIENCIA</t>
        </is>
      </c>
      <c r="E4556" s="7" t="inlineStr">
        <is>
          <t>C</t>
        </is>
      </c>
      <c r="F4556" s="13" t="n">
        <v>1</v>
      </c>
      <c r="G4556" s="13" t="n">
        <v>8</v>
      </c>
      <c r="H4556" s="8" t="n">
        <v>2.8442</v>
      </c>
      <c r="I4556" s="8" t="n">
        <v>2.8442</v>
      </c>
      <c r="J4556" s="8" t="n">
        <v>2.844199999999999</v>
      </c>
      <c r="K4556" s="8" t="n"/>
      <c r="L4556" s="8" t="n"/>
      <c r="M4556" s="8" t="n"/>
      <c r="N4556" s="8" t="n"/>
      <c r="O4556" s="8" t="n"/>
      <c r="P4556" s="8" t="n"/>
      <c r="Q4556" s="8" t="n"/>
      <c r="R4556" s="8" t="n"/>
      <c r="S4556" s="8" t="n"/>
      <c r="T4556" s="7" t="inlineStr">
        <is>
          <t>SEM COTAÇÃO</t>
        </is>
      </c>
      <c r="U4556" s="8" t="n"/>
      <c r="V4556" s="14" t="n"/>
      <c r="W4556" s="14" t="n"/>
      <c r="X4556" s="7" t="inlineStr"/>
      <c r="Y4556" s="7" t="inlineStr"/>
    </row>
    <row r="4557">
      <c r="A4557" s="7" t="n">
        <v>461961</v>
      </c>
      <c r="B4557" s="12" t="inlineStr">
        <is>
          <t>7893454100708</t>
        </is>
      </c>
      <c r="C4557" s="7" t="inlineStr">
        <is>
          <t>VENCIDO - TIADOL 50MG/G SAB SACO 65G</t>
        </is>
      </c>
      <c r="D4557" s="7" t="inlineStr">
        <is>
          <t>SIMILAR</t>
        </is>
      </c>
      <c r="E4557" s="7" t="inlineStr">
        <is>
          <t>C</t>
        </is>
      </c>
      <c r="F4557" s="13" t="n">
        <v>1</v>
      </c>
      <c r="G4557" s="13" t="n">
        <v>1</v>
      </c>
      <c r="H4557" s="8" t="n">
        <v>19.23</v>
      </c>
      <c r="I4557" s="8" t="n">
        <v>19.23</v>
      </c>
      <c r="J4557" s="8" t="n">
        <v>19.23</v>
      </c>
      <c r="K4557" s="8" t="n">
        <v>18.94</v>
      </c>
      <c r="L4557" s="8" t="n"/>
      <c r="M4557" s="8" t="n"/>
      <c r="N4557" s="8" t="n">
        <v>19.19</v>
      </c>
      <c r="O4557" s="15" t="n">
        <v>18.4</v>
      </c>
      <c r="P4557" s="8" t="n"/>
      <c r="Q4557" s="8" t="n"/>
      <c r="R4557" s="8" t="n"/>
      <c r="S4557" s="8" t="n"/>
      <c r="T4557" s="7" t="inlineStr">
        <is>
          <t>TAPAJOS</t>
        </is>
      </c>
      <c r="U4557" s="8" t="n">
        <v>18.4</v>
      </c>
      <c r="V4557" s="14">
        <f>U4557/J4557-1</f>
        <v/>
      </c>
      <c r="W4557" s="14">
        <f>U4557/H4557-1</f>
        <v/>
      </c>
      <c r="X4557" s="17" t="inlineStr">
        <is>
          <t>OK (≤ menor hist.)</t>
        </is>
      </c>
      <c r="Y4557" s="7" t="inlineStr"/>
    </row>
    <row r="4558">
      <c r="A4558" s="7" t="n">
        <v>647141</v>
      </c>
      <c r="B4558" s="12" t="inlineStr">
        <is>
          <t>7898136151467</t>
        </is>
      </c>
      <c r="C4558" s="7" t="inlineStr">
        <is>
          <t>VENCIDO - TOALHA NATHY BANHO DE LEITO 8UN</t>
        </is>
      </c>
      <c r="D4558" s="7" t="inlineStr">
        <is>
          <t>CURATIVO</t>
        </is>
      </c>
      <c r="E4558" s="7" t="inlineStr">
        <is>
          <t>C</t>
        </is>
      </c>
      <c r="F4558" s="13" t="n">
        <v>1</v>
      </c>
      <c r="G4558" s="13" t="n">
        <v>1</v>
      </c>
      <c r="H4558" s="8" t="n">
        <v>4.52</v>
      </c>
      <c r="I4558" s="8" t="n">
        <v>4.52</v>
      </c>
      <c r="J4558" s="8" t="n">
        <v>4.52</v>
      </c>
      <c r="K4558" s="8" t="n"/>
      <c r="L4558" s="8" t="n"/>
      <c r="M4558" s="8" t="n"/>
      <c r="N4558" s="8" t="n"/>
      <c r="O4558" s="8" t="n"/>
      <c r="P4558" s="8" t="n"/>
      <c r="Q4558" s="8" t="n"/>
      <c r="R4558" s="8" t="n"/>
      <c r="S4558" s="8" t="n"/>
      <c r="T4558" s="7" t="inlineStr">
        <is>
          <t>SEM COTAÇÃO</t>
        </is>
      </c>
      <c r="U4558" s="8" t="n"/>
      <c r="V4558" s="14" t="n"/>
      <c r="W4558" s="14" t="n"/>
      <c r="X4558" s="7" t="inlineStr"/>
      <c r="Y4558" s="7" t="inlineStr"/>
    </row>
    <row r="4559">
      <c r="A4559" s="7" t="n">
        <v>474341</v>
      </c>
      <c r="B4559" s="12" t="inlineStr">
        <is>
          <t>7896523200002</t>
        </is>
      </c>
      <c r="C4559" s="7" t="inlineStr">
        <is>
          <t>VENCIDO - VALSARTANA 80MG CX 30 COMP REV</t>
        </is>
      </c>
      <c r="D4559" s="7" t="inlineStr">
        <is>
          <t>GENERICO</t>
        </is>
      </c>
      <c r="E4559" s="7" t="inlineStr">
        <is>
          <t>C</t>
        </is>
      </c>
      <c r="F4559" s="13" t="n">
        <v>9</v>
      </c>
      <c r="G4559" s="13" t="n">
        <v>9</v>
      </c>
      <c r="H4559" s="8" t="n">
        <v>8.859999999999999</v>
      </c>
      <c r="I4559" s="8" t="n">
        <v>8.859999999999999</v>
      </c>
      <c r="J4559" s="8" t="n">
        <v>8.859999999999999</v>
      </c>
      <c r="K4559" s="8" t="n"/>
      <c r="L4559" s="8" t="n"/>
      <c r="M4559" s="8" t="n"/>
      <c r="N4559" s="8" t="n"/>
      <c r="O4559" s="8" t="n"/>
      <c r="P4559" s="8" t="n"/>
      <c r="Q4559" s="8" t="n"/>
      <c r="R4559" s="8" t="n"/>
      <c r="S4559" s="8" t="n"/>
      <c r="T4559" s="7" t="inlineStr">
        <is>
          <t>SEM COTAÇÃO</t>
        </is>
      </c>
      <c r="U4559" s="8" t="n"/>
      <c r="V4559" s="14" t="n"/>
      <c r="W4559" s="14" t="n"/>
      <c r="X4559" s="7" t="inlineStr"/>
      <c r="Y4559" s="7" t="inlineStr"/>
    </row>
    <row r="4560">
      <c r="A4560" s="7" t="n">
        <v>646561</v>
      </c>
      <c r="B4560" s="12" t="inlineStr">
        <is>
          <t>7899852018195</t>
        </is>
      </c>
      <c r="C4560" s="7" t="inlineStr">
        <is>
          <t>VENCIDO - VULT MAKE BATOM MATTE LIPS UVA 3,8G</t>
        </is>
      </c>
      <c r="D4560" s="7" t="inlineStr">
        <is>
          <t>PERF/COSME</t>
        </is>
      </c>
      <c r="E4560" s="7" t="inlineStr">
        <is>
          <t>C</t>
        </is>
      </c>
      <c r="F4560" s="13" t="n">
        <v>1</v>
      </c>
      <c r="G4560" s="13" t="n">
        <v>1</v>
      </c>
      <c r="H4560" s="8" t="n">
        <v>13.37</v>
      </c>
      <c r="I4560" s="8" t="n">
        <v>13.37</v>
      </c>
      <c r="J4560" s="8" t="n">
        <v>13.37</v>
      </c>
      <c r="K4560" s="8" t="n"/>
      <c r="L4560" s="8" t="n"/>
      <c r="M4560" s="8" t="n"/>
      <c r="N4560" s="8" t="n"/>
      <c r="O4560" s="8" t="n"/>
      <c r="P4560" s="8" t="n"/>
      <c r="Q4560" s="8" t="n"/>
      <c r="R4560" s="8" t="n"/>
      <c r="S4560" s="8" t="n"/>
      <c r="T4560" s="7" t="inlineStr">
        <is>
          <t>SEM COTAÇÃO</t>
        </is>
      </c>
      <c r="U4560" s="8" t="n"/>
      <c r="V4560" s="14" t="n"/>
      <c r="W4560" s="14" t="n"/>
      <c r="X4560" s="7" t="inlineStr"/>
      <c r="Y4560" s="7" t="inlineStr"/>
    </row>
    <row r="4561">
      <c r="A4561" s="7" t="n">
        <v>616431</v>
      </c>
      <c r="B4561" s="12" t="inlineStr">
        <is>
          <t>7897947601802</t>
        </is>
      </c>
      <c r="C4561" s="7" t="inlineStr">
        <is>
          <t>VENCIDO - XANTIMED COMP REV 3 BLX10</t>
        </is>
      </c>
      <c r="D4561" s="7" t="inlineStr">
        <is>
          <t>DESATIVADO</t>
        </is>
      </c>
      <c r="E4561" s="7" t="inlineStr">
        <is>
          <t>C</t>
        </is>
      </c>
      <c r="F4561" s="13" t="n">
        <v>1</v>
      </c>
      <c r="G4561" s="13" t="n">
        <v>1</v>
      </c>
      <c r="H4561" s="8" t="n"/>
      <c r="I4561" s="8" t="n"/>
      <c r="J4561" s="8" t="n"/>
      <c r="K4561" s="8" t="n"/>
      <c r="L4561" s="8" t="n"/>
      <c r="M4561" s="8" t="n"/>
      <c r="N4561" s="8" t="n"/>
      <c r="O4561" s="8" t="n"/>
      <c r="P4561" s="8" t="n"/>
      <c r="Q4561" s="8" t="n"/>
      <c r="R4561" s="8" t="n"/>
      <c r="S4561" s="8" t="n"/>
      <c r="T4561" s="7" t="inlineStr">
        <is>
          <t>SEM COTAÇÃO</t>
        </is>
      </c>
      <c r="U4561" s="8" t="n"/>
      <c r="V4561" s="14" t="n"/>
      <c r="W4561" s="14" t="n"/>
      <c r="X4561" s="7" t="inlineStr"/>
      <c r="Y4561" s="7" t="inlineStr"/>
    </row>
    <row r="4562">
      <c r="A4562" s="7" t="n">
        <v>608981</v>
      </c>
      <c r="B4562" s="12" t="inlineStr"/>
      <c r="C4562" s="7" t="inlineStr">
        <is>
          <t>VENTUS 50MCG SUS SPR NAS FR 120 ACIONAMENTOS</t>
        </is>
      </c>
      <c r="D4562" s="7" t="inlineStr">
        <is>
          <t>RX</t>
        </is>
      </c>
      <c r="E4562" s="7" t="inlineStr">
        <is>
          <t>A</t>
        </is>
      </c>
      <c r="F4562" s="13" t="n">
        <v>1</v>
      </c>
      <c r="G4562" s="13" t="n">
        <v>1</v>
      </c>
      <c r="H4562" s="8" t="n">
        <v>52.19</v>
      </c>
      <c r="I4562" s="8" t="n">
        <v>46.85</v>
      </c>
      <c r="J4562" s="8" t="n">
        <v>49.32666666666666</v>
      </c>
      <c r="K4562" s="8" t="n"/>
      <c r="L4562" s="8" t="n"/>
      <c r="M4562" s="8" t="n"/>
      <c r="N4562" s="8" t="n"/>
      <c r="O4562" s="8" t="n"/>
      <c r="P4562" s="8" t="n"/>
      <c r="Q4562" s="8" t="n"/>
      <c r="R4562" s="8" t="n"/>
      <c r="S4562" s="8" t="n"/>
      <c r="T4562" s="7" t="inlineStr">
        <is>
          <t>SEM COTAÇÃO</t>
        </is>
      </c>
      <c r="U4562" s="8" t="n"/>
      <c r="V4562" s="14" t="n"/>
      <c r="W4562" s="14" t="n"/>
      <c r="X4562" s="7" t="inlineStr"/>
      <c r="Y4562" s="7" t="inlineStr"/>
    </row>
    <row r="4563">
      <c r="A4563" s="7" t="n">
        <v>612541</v>
      </c>
      <c r="B4563" s="12" t="inlineStr">
        <is>
          <t>7891317010379</t>
        </is>
      </c>
      <c r="C4563" s="7" t="inlineStr">
        <is>
          <t>VENTUS 50MCG SUS SPR NAS FR 60 ACIONAMENTOS</t>
        </is>
      </c>
      <c r="D4563" s="7" t="inlineStr">
        <is>
          <t>RX</t>
        </is>
      </c>
      <c r="E4563" s="7" t="inlineStr">
        <is>
          <t>A</t>
        </is>
      </c>
      <c r="F4563" s="13" t="n">
        <v>3</v>
      </c>
      <c r="G4563" s="13" t="n">
        <v>3</v>
      </c>
      <c r="H4563" s="8" t="n">
        <v>35.24</v>
      </c>
      <c r="I4563" s="8" t="n">
        <v>31.645</v>
      </c>
      <c r="J4563" s="8" t="n">
        <v>34.03946666666666</v>
      </c>
      <c r="K4563" s="8" t="n"/>
      <c r="L4563" s="8" t="n"/>
      <c r="M4563" s="15" t="n">
        <v>35.24</v>
      </c>
      <c r="N4563" s="8" t="n"/>
      <c r="O4563" s="8" t="n"/>
      <c r="P4563" s="8" t="n">
        <v>35.7406</v>
      </c>
      <c r="Q4563" s="8" t="n"/>
      <c r="R4563" s="8" t="n"/>
      <c r="S4563" s="8" t="n"/>
      <c r="T4563" s="7" t="inlineStr">
        <is>
          <t>EPAN</t>
        </is>
      </c>
      <c r="U4563" s="8" t="n">
        <v>35.24</v>
      </c>
      <c r="V4563" s="14">
        <f>U4563/J4563-1</f>
        <v/>
      </c>
      <c r="W4563" s="14">
        <f>U4563/H4563-1</f>
        <v/>
      </c>
      <c r="X4563" s="17" t="inlineStr">
        <is>
          <t>OK (≤ últ. compra)</t>
        </is>
      </c>
      <c r="Y4563" s="7" t="inlineStr"/>
    </row>
    <row r="4564">
      <c r="A4564" s="7" t="n">
        <v>16681</v>
      </c>
      <c r="B4564" s="12" t="inlineStr">
        <is>
          <t>7898109241485</t>
        </is>
      </c>
      <c r="C4564" s="7" t="inlineStr">
        <is>
          <t>VI-FERRIN 150+0,25+7,5MCG SOL OR FR X 20ML</t>
        </is>
      </c>
      <c r="D4564" s="7" t="inlineStr">
        <is>
          <t>RX</t>
        </is>
      </c>
      <c r="E4564" s="7" t="inlineStr">
        <is>
          <t>A</t>
        </is>
      </c>
      <c r="F4564" s="13" t="n">
        <v>4</v>
      </c>
      <c r="G4564" s="13" t="n">
        <v>4</v>
      </c>
      <c r="H4564" s="8" t="n">
        <v>29.05</v>
      </c>
      <c r="I4564" s="8" t="n">
        <v>29.05</v>
      </c>
      <c r="J4564" s="8" t="n">
        <v>29.05</v>
      </c>
      <c r="K4564" s="8" t="n"/>
      <c r="L4564" s="8" t="n"/>
      <c r="M4564" s="8" t="n"/>
      <c r="N4564" s="8" t="n"/>
      <c r="O4564" s="15" t="n">
        <v>29.05</v>
      </c>
      <c r="P4564" s="8" t="n">
        <v>30.666</v>
      </c>
      <c r="Q4564" s="8" t="n"/>
      <c r="R4564" s="8" t="n"/>
      <c r="S4564" s="8" t="n"/>
      <c r="T4564" s="7" t="inlineStr">
        <is>
          <t>TAPAJOS</t>
        </is>
      </c>
      <c r="U4564" s="8" t="n">
        <v>29.05</v>
      </c>
      <c r="V4564" s="14">
        <f>U4564/J4564-1</f>
        <v/>
      </c>
      <c r="W4564" s="14">
        <f>U4564/H4564-1</f>
        <v/>
      </c>
      <c r="X4564" s="17" t="inlineStr">
        <is>
          <t>OK (≤ menor hist.)</t>
        </is>
      </c>
      <c r="Y4564" s="7" t="inlineStr"/>
    </row>
    <row r="4565">
      <c r="A4565" s="7" t="n">
        <v>16721</v>
      </c>
      <c r="B4565" s="12" t="inlineStr"/>
      <c r="C4565" s="7" t="inlineStr">
        <is>
          <t>VI-FERRIN 300+5+15MCG FR 60 COMP REV</t>
        </is>
      </c>
      <c r="D4565" s="7" t="inlineStr">
        <is>
          <t>RX</t>
        </is>
      </c>
      <c r="E4565" s="7" t="inlineStr">
        <is>
          <t>A</t>
        </is>
      </c>
      <c r="F4565" s="13" t="n">
        <v>6</v>
      </c>
      <c r="G4565" s="13" t="n">
        <v>6</v>
      </c>
      <c r="H4565" s="8" t="n">
        <v>53.92</v>
      </c>
      <c r="I4565" s="8" t="n">
        <v>53.32</v>
      </c>
      <c r="J4565" s="8" t="n">
        <v>53.72</v>
      </c>
      <c r="K4565" s="8" t="n"/>
      <c r="L4565" s="8" t="n"/>
      <c r="M4565" s="8" t="n"/>
      <c r="N4565" s="8" t="n"/>
      <c r="O4565" s="8" t="n"/>
      <c r="P4565" s="8" t="n"/>
      <c r="Q4565" s="8" t="n"/>
      <c r="R4565" s="8" t="n"/>
      <c r="S4565" s="8" t="n"/>
      <c r="T4565" s="7" t="inlineStr">
        <is>
          <t>SEM COTAÇÃO</t>
        </is>
      </c>
      <c r="U4565" s="8" t="n"/>
      <c r="V4565" s="14" t="n"/>
      <c r="W4565" s="14" t="n"/>
      <c r="X4565" s="7" t="inlineStr"/>
      <c r="Y4565" s="7" t="inlineStr"/>
    </row>
    <row r="4566">
      <c r="A4566" s="7" t="n">
        <v>993</v>
      </c>
      <c r="B4566" s="12" t="inlineStr">
        <is>
          <t>75075644</t>
        </is>
      </c>
      <c r="C4566" s="7" t="inlineStr">
        <is>
          <t>VICK BABY RUB 12G LATA</t>
        </is>
      </c>
      <c r="D4566" s="7" t="inlineStr">
        <is>
          <t>RX</t>
        </is>
      </c>
      <c r="E4566" s="7" t="inlineStr">
        <is>
          <t>A</t>
        </is>
      </c>
      <c r="F4566" s="13" t="n">
        <v>9</v>
      </c>
      <c r="G4566" s="13" t="n">
        <v>54</v>
      </c>
      <c r="H4566" s="8" t="n">
        <v>15.8375</v>
      </c>
      <c r="I4566" s="8" t="n">
        <v>13.1538</v>
      </c>
      <c r="J4566" s="8" t="n">
        <v>14.94293333333333</v>
      </c>
      <c r="K4566" s="8" t="n"/>
      <c r="L4566" s="8" t="n"/>
      <c r="M4566" s="8" t="n"/>
      <c r="N4566" s="8" t="n"/>
      <c r="O4566" s="15" t="n">
        <v>15.40666666666667</v>
      </c>
      <c r="P4566" s="8" t="n">
        <v>18.79258333333333</v>
      </c>
      <c r="Q4566" s="8" t="n"/>
      <c r="R4566" s="8" t="n"/>
      <c r="S4566" s="8" t="n"/>
      <c r="T4566" s="7" t="inlineStr">
        <is>
          <t>TAPAJOS</t>
        </is>
      </c>
      <c r="U4566" s="8" t="n">
        <v>15.40666666666667</v>
      </c>
      <c r="V4566" s="14">
        <f>U4566/J4566-1</f>
        <v/>
      </c>
      <c r="W4566" s="14">
        <f>U4566/H4566-1</f>
        <v/>
      </c>
      <c r="X4566" s="17" t="inlineStr">
        <is>
          <t>OK (≤ últ. compra)</t>
        </is>
      </c>
      <c r="Y4566" s="7" t="inlineStr">
        <is>
          <t>TAPAJOS: 1 emb = 6 un; NAZARIA: 1 emb = 6 un</t>
        </is>
      </c>
    </row>
    <row r="4567">
      <c r="A4567" s="7" t="n">
        <v>651281</v>
      </c>
      <c r="B4567" s="12" t="inlineStr">
        <is>
          <t>7500435245340</t>
        </is>
      </c>
      <c r="C4567" s="7" t="inlineStr">
        <is>
          <t>VICK DROPS MEL C/20 PAST-DEMAIS PROD</t>
        </is>
      </c>
      <c r="D4567" s="7" t="inlineStr">
        <is>
          <t>RX - OTC</t>
        </is>
      </c>
      <c r="E4567" s="7" t="inlineStr">
        <is>
          <t>C</t>
        </is>
      </c>
      <c r="F4567" s="13" t="n">
        <v>1</v>
      </c>
      <c r="G4567" s="13" t="n">
        <v>1</v>
      </c>
      <c r="H4567" s="8" t="n">
        <v>9.960000000000001</v>
      </c>
      <c r="I4567" s="8" t="n">
        <v>7.77</v>
      </c>
      <c r="J4567" s="8" t="n">
        <v>9.23</v>
      </c>
      <c r="K4567" s="8" t="n"/>
      <c r="L4567" s="8" t="n"/>
      <c r="M4567" s="8" t="n"/>
      <c r="N4567" s="8" t="n"/>
      <c r="O4567" s="8" t="n"/>
      <c r="P4567" s="15" t="n">
        <v>10.9345</v>
      </c>
      <c r="Q4567" s="8" t="n"/>
      <c r="R4567" s="8" t="n"/>
      <c r="S4567" s="8" t="n"/>
      <c r="T4567" s="7" t="inlineStr">
        <is>
          <t>NAZARIA</t>
        </is>
      </c>
      <c r="U4567" s="8" t="n">
        <v>10.9345</v>
      </c>
      <c r="V4567" s="14">
        <f>U4567/J4567-1</f>
        <v/>
      </c>
      <c r="W4567" s="14">
        <f>U4567/H4567-1</f>
        <v/>
      </c>
      <c r="X4567" s="16" t="inlineStr">
        <is>
          <t>ACIMA +9.8%</t>
        </is>
      </c>
      <c r="Y4567" s="7" t="inlineStr"/>
    </row>
    <row r="4568">
      <c r="A4568" s="7" t="n">
        <v>660421</v>
      </c>
      <c r="B4568" s="12" t="inlineStr">
        <is>
          <t>7500435245357</t>
        </is>
      </c>
      <c r="C4568" s="7" t="inlineStr">
        <is>
          <t>VICK DROPS MENTOL C/20 PAST-DEMAIS PROD</t>
        </is>
      </c>
      <c r="D4568" s="7" t="inlineStr">
        <is>
          <t>RX</t>
        </is>
      </c>
      <c r="E4568" s="7" t="inlineStr">
        <is>
          <t>C</t>
        </is>
      </c>
      <c r="F4568" s="13" t="n">
        <v>1</v>
      </c>
      <c r="G4568" s="13" t="n">
        <v>1</v>
      </c>
      <c r="H4568" s="8" t="n">
        <v>47.15</v>
      </c>
      <c r="I4568" s="8" t="n">
        <v>7.66</v>
      </c>
      <c r="J4568" s="8" t="n">
        <v>7.66</v>
      </c>
      <c r="K4568" s="8" t="n"/>
      <c r="L4568" s="8" t="n"/>
      <c r="M4568" s="8" t="n"/>
      <c r="N4568" s="8" t="n"/>
      <c r="O4568" s="8" t="n"/>
      <c r="P4568" s="15" t="n">
        <v>10.9345</v>
      </c>
      <c r="Q4568" s="8" t="n"/>
      <c r="R4568" s="8" t="n"/>
      <c r="S4568" s="8" t="n"/>
      <c r="T4568" s="7" t="inlineStr">
        <is>
          <t>NAZARIA</t>
        </is>
      </c>
      <c r="U4568" s="8" t="n">
        <v>10.9345</v>
      </c>
      <c r="V4568" s="14">
        <f>U4568/J4568-1</f>
        <v/>
      </c>
      <c r="W4568" s="14">
        <f>U4568/H4568-1</f>
        <v/>
      </c>
      <c r="X4568" s="17" t="inlineStr">
        <is>
          <t>OK (≤ últ. compra)</t>
        </is>
      </c>
      <c r="Y4568" s="7" t="inlineStr">
        <is>
          <t>NAZARIA: conferir emb.</t>
        </is>
      </c>
    </row>
    <row r="4569">
      <c r="A4569" s="7" t="n">
        <v>318341</v>
      </c>
      <c r="B4569" s="12" t="inlineStr"/>
      <c r="C4569" s="7" t="inlineStr">
        <is>
          <t>VICK INALADOR 0.5G DESC NASAL UNID</t>
        </is>
      </c>
      <c r="D4569" s="7" t="inlineStr">
        <is>
          <t>RX</t>
        </is>
      </c>
      <c r="E4569" s="7" t="inlineStr">
        <is>
          <t>A</t>
        </is>
      </c>
      <c r="F4569" s="13" t="n">
        <v>5</v>
      </c>
      <c r="G4569" s="13" t="n">
        <v>54</v>
      </c>
      <c r="H4569" s="8" t="n">
        <v>16.2392</v>
      </c>
      <c r="I4569" s="8" t="n">
        <v>12.3925</v>
      </c>
      <c r="J4569" s="8" t="n">
        <v>14.25616666666667</v>
      </c>
      <c r="K4569" s="8" t="n"/>
      <c r="L4569" s="8" t="n"/>
      <c r="M4569" s="8" t="n"/>
      <c r="N4569" s="8" t="n"/>
      <c r="O4569" s="8" t="n"/>
      <c r="P4569" s="8" t="n"/>
      <c r="Q4569" s="8" t="n"/>
      <c r="R4569" s="8" t="n"/>
      <c r="S4569" s="8" t="n"/>
      <c r="T4569" s="7" t="inlineStr">
        <is>
          <t>SEM COTAÇÃO</t>
        </is>
      </c>
      <c r="U4569" s="8" t="n"/>
      <c r="V4569" s="14" t="n"/>
      <c r="W4569" s="14" t="n"/>
      <c r="X4569" s="7" t="inlineStr"/>
      <c r="Y4569" s="7" t="inlineStr"/>
    </row>
    <row r="4570">
      <c r="A4570" s="7" t="n">
        <v>600581</v>
      </c>
      <c r="B4570" s="12" t="inlineStr">
        <is>
          <t>7501001246730</t>
        </is>
      </c>
      <c r="C4570" s="7" t="inlineStr">
        <is>
          <t>VICK LATINHA 12G</t>
        </is>
      </c>
      <c r="D4570" s="7" t="inlineStr">
        <is>
          <t>RX</t>
        </is>
      </c>
      <c r="E4570" s="7" t="inlineStr">
        <is>
          <t>A</t>
        </is>
      </c>
      <c r="F4570" s="13" t="n">
        <v>11</v>
      </c>
      <c r="G4570" s="13" t="n">
        <v>250</v>
      </c>
      <c r="H4570" s="8" t="n">
        <v>17.0408</v>
      </c>
      <c r="I4570" s="8" t="n">
        <v>11.9136</v>
      </c>
      <c r="J4570" s="8" t="n">
        <v>14.19566666666667</v>
      </c>
      <c r="K4570" s="8" t="n"/>
      <c r="L4570" s="8" t="n"/>
      <c r="M4570" s="8" t="n"/>
      <c r="N4570" s="8" t="n"/>
      <c r="O4570" s="15" t="n">
        <v>3.851666666666667</v>
      </c>
      <c r="P4570" s="8" t="n">
        <v>17.309</v>
      </c>
      <c r="Q4570" s="8" t="n"/>
      <c r="R4570" s="8" t="n"/>
      <c r="S4570" s="8" t="n"/>
      <c r="T4570" s="7" t="inlineStr">
        <is>
          <t>TAPAJOS</t>
        </is>
      </c>
      <c r="U4570" s="8" t="n">
        <v>3.851666666666667</v>
      </c>
      <c r="V4570" s="14">
        <f>U4570/J4570-1</f>
        <v/>
      </c>
      <c r="W4570" s="14">
        <f>U4570/H4570-1</f>
        <v/>
      </c>
      <c r="X4570" s="17" t="inlineStr">
        <is>
          <t>OK (≤ menor hist.)</t>
        </is>
      </c>
      <c r="Y4570" s="7" t="inlineStr">
        <is>
          <t>TAPAJOS: preços divergentes entre EANs (usado menor); 1 emb = 24 un; conferir emb.; NAZARIA: 1 emb = 24 un</t>
        </is>
      </c>
    </row>
    <row r="4571">
      <c r="A4571" s="7" t="n">
        <v>395921</v>
      </c>
      <c r="B4571" s="12" t="inlineStr">
        <is>
          <t>78911246</t>
        </is>
      </c>
      <c r="C4571" s="7" t="inlineStr">
        <is>
          <t>VICK PYRENA 500MG CHA MEL E LIMAO 5G - CAIXA</t>
        </is>
      </c>
      <c r="D4571" s="7" t="inlineStr">
        <is>
          <t>RX</t>
        </is>
      </c>
      <c r="E4571" s="7" t="inlineStr">
        <is>
          <t>A</t>
        </is>
      </c>
      <c r="F4571" s="13" t="n">
        <v>5</v>
      </c>
      <c r="G4571" s="13" t="n">
        <v>230</v>
      </c>
      <c r="H4571" s="8" t="n">
        <v>3.7506</v>
      </c>
      <c r="I4571" s="8" t="n">
        <v>2.769</v>
      </c>
      <c r="J4571" s="8" t="n">
        <v>3.4234</v>
      </c>
      <c r="K4571" s="8" t="n"/>
      <c r="L4571" s="8" t="n"/>
      <c r="M4571" s="8" t="n"/>
      <c r="N4571" s="8" t="n"/>
      <c r="O4571" s="8" t="n"/>
      <c r="P4571" s="8" t="n"/>
      <c r="Q4571" s="8" t="n"/>
      <c r="R4571" s="8" t="n"/>
      <c r="S4571" s="8" t="n"/>
      <c r="T4571" s="7" t="inlineStr">
        <is>
          <t>SEM COTAÇÃO</t>
        </is>
      </c>
      <c r="U4571" s="8" t="n"/>
      <c r="V4571" s="14" t="n"/>
      <c r="W4571" s="14" t="n"/>
      <c r="X4571" s="7" t="inlineStr"/>
      <c r="Y4571" s="7" t="inlineStr"/>
    </row>
    <row r="4572">
      <c r="A4572" s="7" t="n">
        <v>542821</v>
      </c>
      <c r="B4572" s="12" t="inlineStr">
        <is>
          <t>789112444</t>
        </is>
      </c>
      <c r="C4572" s="7" t="inlineStr">
        <is>
          <t>VICK VAPORUB 30G POTE</t>
        </is>
      </c>
      <c r="D4572" s="7" t="inlineStr">
        <is>
          <t>RX</t>
        </is>
      </c>
      <c r="E4572" s="7" t="inlineStr">
        <is>
          <t>A</t>
        </is>
      </c>
      <c r="F4572" s="13" t="n">
        <v>9</v>
      </c>
      <c r="G4572" s="13" t="n">
        <v>9</v>
      </c>
      <c r="H4572" s="8" t="n">
        <v>38.6</v>
      </c>
      <c r="I4572" s="8" t="n">
        <v>28.35</v>
      </c>
      <c r="J4572" s="8" t="n">
        <v>32.6096</v>
      </c>
      <c r="K4572" s="8" t="n"/>
      <c r="L4572" s="8" t="n"/>
      <c r="M4572" s="8" t="n"/>
      <c r="N4572" s="8" t="n"/>
      <c r="O4572" s="15" t="n">
        <v>36.32</v>
      </c>
      <c r="P4572" s="8" t="n">
        <v>39.20650000000001</v>
      </c>
      <c r="Q4572" s="8" t="n"/>
      <c r="R4572" s="8" t="n"/>
      <c r="S4572" s="8" t="n"/>
      <c r="T4572" s="7" t="inlineStr">
        <is>
          <t>TAPAJOS</t>
        </is>
      </c>
      <c r="U4572" s="8" t="n">
        <v>36.32</v>
      </c>
      <c r="V4572" s="14">
        <f>U4572/J4572-1</f>
        <v/>
      </c>
      <c r="W4572" s="14">
        <f>U4572/H4572-1</f>
        <v/>
      </c>
      <c r="X4572" s="17" t="inlineStr">
        <is>
          <t>OK (≤ últ. compra)</t>
        </is>
      </c>
      <c r="Y4572" s="7" t="inlineStr"/>
    </row>
    <row r="4573">
      <c r="A4573" s="7" t="n">
        <v>610801</v>
      </c>
      <c r="B4573" s="12" t="inlineStr">
        <is>
          <t>7500435209786</t>
        </is>
      </c>
      <c r="C4573" s="7" t="inlineStr">
        <is>
          <t>VICK XAROPE XAROPE MIEL 100ML</t>
        </is>
      </c>
      <c r="D4573" s="7" t="inlineStr">
        <is>
          <t>RX - OTC</t>
        </is>
      </c>
      <c r="E4573" s="7" t="inlineStr">
        <is>
          <t>A</t>
        </is>
      </c>
      <c r="F4573" s="13" t="n">
        <v>4</v>
      </c>
      <c r="G4573" s="13" t="n">
        <v>4</v>
      </c>
      <c r="H4573" s="8" t="n">
        <v>28.7367</v>
      </c>
      <c r="I4573" s="8" t="n">
        <v>24.38</v>
      </c>
      <c r="J4573" s="8" t="n">
        <v>27.28446666666666</v>
      </c>
      <c r="K4573" s="8" t="n"/>
      <c r="L4573" s="8" t="n"/>
      <c r="M4573" s="8" t="n"/>
      <c r="N4573" s="8" t="n"/>
      <c r="O4573" s="15" t="n">
        <v>30.05</v>
      </c>
      <c r="P4573" s="8" t="n">
        <v>32.433</v>
      </c>
      <c r="Q4573" s="8" t="n"/>
      <c r="R4573" s="8" t="n"/>
      <c r="S4573" s="8" t="n"/>
      <c r="T4573" s="7" t="inlineStr">
        <is>
          <t>TAPAJOS</t>
        </is>
      </c>
      <c r="U4573" s="8" t="n">
        <v>30.05</v>
      </c>
      <c r="V4573" s="14">
        <f>U4573/J4573-1</f>
        <v/>
      </c>
      <c r="W4573" s="14">
        <f>U4573/H4573-1</f>
        <v/>
      </c>
      <c r="X4573" s="16" t="inlineStr">
        <is>
          <t>ACIMA +4.6%</t>
        </is>
      </c>
      <c r="Y4573" s="7" t="inlineStr"/>
    </row>
    <row r="4574">
      <c r="A4574" s="7" t="n">
        <v>254901</v>
      </c>
      <c r="B4574" s="12" t="inlineStr">
        <is>
          <t>7896548197554</t>
        </is>
      </c>
      <c r="C4574" s="7" t="inlineStr">
        <is>
          <t>VIGADEXA 5+1MG/ML SOL OFT FR GOT 5ML</t>
        </is>
      </c>
      <c r="D4574" s="7" t="inlineStr">
        <is>
          <t>RX - REFERENCIA - ATB</t>
        </is>
      </c>
      <c r="E4574" s="7" t="inlineStr">
        <is>
          <t>A</t>
        </is>
      </c>
      <c r="F4574" s="13" t="n">
        <v>1</v>
      </c>
      <c r="G4574" s="13" t="n">
        <v>1</v>
      </c>
      <c r="H4574" s="8" t="n">
        <v>50.5</v>
      </c>
      <c r="I4574" s="8" t="n">
        <v>35.1083</v>
      </c>
      <c r="J4574" s="8" t="n">
        <v>36.87476666666667</v>
      </c>
      <c r="K4574" s="8" t="n"/>
      <c r="L4574" s="8" t="n"/>
      <c r="M4574" s="15" t="n">
        <v>37.75</v>
      </c>
      <c r="N4574" s="8" t="n"/>
      <c r="O4574" s="8" t="n">
        <v>38.7</v>
      </c>
      <c r="P4574" s="8" t="n">
        <v>39.69</v>
      </c>
      <c r="Q4574" s="8" t="n"/>
      <c r="R4574" s="8" t="n"/>
      <c r="S4574" s="8" t="n"/>
      <c r="T4574" s="7" t="inlineStr">
        <is>
          <t>EPAN</t>
        </is>
      </c>
      <c r="U4574" s="8" t="n">
        <v>37.75</v>
      </c>
      <c r="V4574" s="14">
        <f>U4574/J4574-1</f>
        <v/>
      </c>
      <c r="W4574" s="14">
        <f>U4574/H4574-1</f>
        <v/>
      </c>
      <c r="X4574" s="17" t="inlineStr">
        <is>
          <t>OK (≤ últ. compra)</t>
        </is>
      </c>
      <c r="Y4574" s="7" t="inlineStr"/>
    </row>
    <row r="4575">
      <c r="A4575" s="7" t="n">
        <v>671911</v>
      </c>
      <c r="B4575" s="12" t="inlineStr">
        <is>
          <t>7896004780818</t>
        </is>
      </c>
      <c r="C4575" s="7" t="inlineStr">
        <is>
          <t>VIOFTA 0,40% SOL OFT 10ML-DEMAIS PROD</t>
        </is>
      </c>
      <c r="D4575" s="7" t="inlineStr">
        <is>
          <t>RX</t>
        </is>
      </c>
      <c r="E4575" s="7" t="inlineStr">
        <is>
          <t>A</t>
        </is>
      </c>
      <c r="F4575" s="13" t="n">
        <v>2</v>
      </c>
      <c r="G4575" s="13" t="n">
        <v>2</v>
      </c>
      <c r="H4575" s="8" t="n">
        <v>53.03</v>
      </c>
      <c r="I4575" s="8" t="n">
        <v>53.03</v>
      </c>
      <c r="J4575" s="8" t="n">
        <v>53.03</v>
      </c>
      <c r="K4575" s="8" t="n"/>
      <c r="L4575" s="8" t="n"/>
      <c r="M4575" s="8" t="n"/>
      <c r="N4575" s="8" t="n"/>
      <c r="O4575" s="8" t="n"/>
      <c r="P4575" s="8" t="n">
        <v>75.14</v>
      </c>
      <c r="Q4575" s="8" t="n"/>
      <c r="R4575" s="8" t="n"/>
      <c r="S4575" s="8" t="n"/>
      <c r="T4575" s="7" t="inlineStr">
        <is>
          <t>SEM COTAÇÃO</t>
        </is>
      </c>
      <c r="U4575" s="8" t="n"/>
      <c r="V4575" s="14" t="n"/>
      <c r="W4575" s="14" t="n"/>
      <c r="X4575" s="7" t="inlineStr"/>
      <c r="Y4575" s="7" t="inlineStr">
        <is>
          <t>NAZARIA: sem estoque</t>
        </is>
      </c>
    </row>
    <row r="4576">
      <c r="A4576" s="7" t="n">
        <v>531981</v>
      </c>
      <c r="B4576" s="12" t="inlineStr"/>
      <c r="C4576" s="7" t="inlineStr">
        <is>
          <t>VIOLETA GENCIANA 30ML UNIPHAR</t>
        </is>
      </c>
      <c r="D4576" s="7" t="inlineStr">
        <is>
          <t>SIMILAR</t>
        </is>
      </c>
      <c r="E4576" s="7" t="inlineStr">
        <is>
          <t>A</t>
        </is>
      </c>
      <c r="F4576" s="13" t="n">
        <v>29</v>
      </c>
      <c r="G4576" s="13" t="n">
        <v>29</v>
      </c>
      <c r="H4576" s="8" t="n">
        <v>2.76</v>
      </c>
      <c r="I4576" s="8" t="n">
        <v>2.5533</v>
      </c>
      <c r="J4576" s="8" t="n">
        <v>2.6911</v>
      </c>
      <c r="K4576" s="8" t="n"/>
      <c r="L4576" s="8" t="n"/>
      <c r="M4576" s="8" t="n"/>
      <c r="N4576" s="8" t="n"/>
      <c r="O4576" s="8" t="n"/>
      <c r="P4576" s="8" t="n"/>
      <c r="Q4576" s="8" t="n"/>
      <c r="R4576" s="8" t="n"/>
      <c r="S4576" s="8" t="n"/>
      <c r="T4576" s="7" t="inlineStr">
        <is>
          <t>SEM COTAÇÃO</t>
        </is>
      </c>
      <c r="U4576" s="8" t="n"/>
      <c r="V4576" s="14" t="n"/>
      <c r="W4576" s="14" t="n"/>
      <c r="X4576" s="7" t="inlineStr"/>
      <c r="Y4576" s="7" t="inlineStr"/>
    </row>
    <row r="4577">
      <c r="A4577" s="7" t="n">
        <v>35603</v>
      </c>
      <c r="B4577" s="12" t="inlineStr">
        <is>
          <t>7896094931688</t>
        </is>
      </c>
      <c r="C4577" s="7" t="inlineStr">
        <is>
          <t>VIT NEO QUIMICA B12 60 CPR MAST (VITAMINA B12)</t>
        </is>
      </c>
      <c r="D4577" s="7" t="inlineStr">
        <is>
          <t>VITAMINA E SIMILARES</t>
        </is>
      </c>
      <c r="E4577" s="7" t="inlineStr">
        <is>
          <t>C</t>
        </is>
      </c>
      <c r="F4577" s="13" t="n">
        <v>2</v>
      </c>
      <c r="G4577" s="13" t="n">
        <v>2</v>
      </c>
      <c r="H4577" s="8" t="n">
        <v>14.57</v>
      </c>
      <c r="I4577" s="8" t="n">
        <v>14.57</v>
      </c>
      <c r="J4577" s="8" t="n">
        <v>14.57</v>
      </c>
      <c r="K4577" s="8" t="n"/>
      <c r="L4577" s="8" t="n"/>
      <c r="M4577" s="8" t="n"/>
      <c r="N4577" s="8" t="n"/>
      <c r="O4577" s="8" t="n"/>
      <c r="P4577" s="8" t="n"/>
      <c r="Q4577" s="15" t="n">
        <v>17.44</v>
      </c>
      <c r="R4577" s="8" t="n"/>
      <c r="S4577" s="8" t="n"/>
      <c r="T4577" s="7" t="inlineStr">
        <is>
          <t>MEDCENTRO</t>
        </is>
      </c>
      <c r="U4577" s="8" t="n">
        <v>17.44</v>
      </c>
      <c r="V4577" s="14">
        <f>U4577/J4577-1</f>
        <v/>
      </c>
      <c r="W4577" s="14">
        <f>U4577/H4577-1</f>
        <v/>
      </c>
      <c r="X4577" s="16" t="inlineStr">
        <is>
          <t>ACIMA +19.7%</t>
        </is>
      </c>
      <c r="Y4577" s="7" t="inlineStr"/>
    </row>
    <row r="4578">
      <c r="A4578" s="7" t="n">
        <v>468541</v>
      </c>
      <c r="B4578" s="12" t="inlineStr">
        <is>
          <t>7897129303579</t>
        </is>
      </c>
      <c r="C4578" s="7" t="inlineStr">
        <is>
          <t>VITACID XT 1,00MG/G CREME DERM BG 25G</t>
        </is>
      </c>
      <c r="D4578" s="7" t="inlineStr">
        <is>
          <t>RX - REFERENCIA - CONTROLE</t>
        </is>
      </c>
      <c r="E4578" s="7" t="inlineStr">
        <is>
          <t>C</t>
        </is>
      </c>
      <c r="F4578" s="13" t="n">
        <v>1</v>
      </c>
      <c r="G4578" s="13" t="n">
        <v>1</v>
      </c>
      <c r="H4578" s="8" t="n">
        <v>47.28</v>
      </c>
      <c r="I4578" s="8" t="n">
        <v>47.28</v>
      </c>
      <c r="J4578" s="8" t="n">
        <v>47.28</v>
      </c>
      <c r="K4578" s="8" t="n"/>
      <c r="L4578" s="8" t="n"/>
      <c r="M4578" s="8" t="n"/>
      <c r="N4578" s="8" t="n"/>
      <c r="O4578" s="8" t="n"/>
      <c r="P4578" s="15" t="n">
        <v>58.3632</v>
      </c>
      <c r="Q4578" s="8" t="n"/>
      <c r="R4578" s="8" t="n"/>
      <c r="S4578" s="8" t="n"/>
      <c r="T4578" s="7" t="inlineStr">
        <is>
          <t>NAZARIA</t>
        </is>
      </c>
      <c r="U4578" s="8" t="n">
        <v>58.3632</v>
      </c>
      <c r="V4578" s="14">
        <f>U4578/J4578-1</f>
        <v/>
      </c>
      <c r="W4578" s="14">
        <f>U4578/H4578-1</f>
        <v/>
      </c>
      <c r="X4578" s="16" t="inlineStr">
        <is>
          <t>ACIMA +23.4%</t>
        </is>
      </c>
      <c r="Y4578" s="7" t="inlineStr"/>
    </row>
    <row r="4579">
      <c r="A4579" s="7" t="n">
        <v>562761</v>
      </c>
      <c r="B4579" s="12" t="inlineStr"/>
      <c r="C4579" s="7" t="inlineStr">
        <is>
          <t>VITAMINA B-12 100% IDR C/60 CAFR</t>
        </is>
      </c>
      <c r="D4579" s="7" t="inlineStr">
        <is>
          <t>VITAMINA E SIMILARES</t>
        </is>
      </c>
      <c r="E4579" s="7" t="inlineStr">
        <is>
          <t>B</t>
        </is>
      </c>
      <c r="F4579" s="13" t="n">
        <v>4</v>
      </c>
      <c r="G4579" s="13" t="n">
        <v>4</v>
      </c>
      <c r="H4579" s="8" t="n">
        <v>22.27</v>
      </c>
      <c r="I4579" s="8" t="n">
        <v>22.27</v>
      </c>
      <c r="J4579" s="8" t="n">
        <v>22.27</v>
      </c>
      <c r="K4579" s="8" t="n"/>
      <c r="L4579" s="8" t="n"/>
      <c r="M4579" s="8" t="n"/>
      <c r="N4579" s="8" t="n"/>
      <c r="O4579" s="8" t="n"/>
      <c r="P4579" s="8" t="n"/>
      <c r="Q4579" s="8" t="n"/>
      <c r="R4579" s="8" t="n"/>
      <c r="S4579" s="8" t="n"/>
      <c r="T4579" s="7" t="inlineStr">
        <is>
          <t>SEM COTAÇÃO</t>
        </is>
      </c>
      <c r="U4579" s="8" t="n"/>
      <c r="V4579" s="14" t="n"/>
      <c r="W4579" s="14" t="n"/>
      <c r="X4579" s="7" t="inlineStr"/>
      <c r="Y4579" s="7" t="inlineStr"/>
    </row>
    <row r="4580">
      <c r="A4580" s="7" t="n">
        <v>604071</v>
      </c>
      <c r="B4580" s="12" t="inlineStr"/>
      <c r="C4580" s="7" t="inlineStr">
        <is>
          <t>VITAMINA B-12 60CP MAST</t>
        </is>
      </c>
      <c r="D4580" s="7" t="inlineStr">
        <is>
          <t>VITAMINA E SIMILARES</t>
        </is>
      </c>
      <c r="E4580" s="7" t="inlineStr">
        <is>
          <t>A</t>
        </is>
      </c>
      <c r="F4580" s="13" t="n">
        <v>2</v>
      </c>
      <c r="G4580" s="13" t="n">
        <v>2</v>
      </c>
      <c r="H4580" s="8" t="n">
        <v>20.05</v>
      </c>
      <c r="I4580" s="8" t="n">
        <v>20.05</v>
      </c>
      <c r="J4580" s="8" t="n">
        <v>20.05</v>
      </c>
      <c r="K4580" s="8" t="n"/>
      <c r="L4580" s="8" t="n"/>
      <c r="M4580" s="8" t="n"/>
      <c r="N4580" s="8" t="n"/>
      <c r="O4580" s="8" t="n"/>
      <c r="P4580" s="8" t="n"/>
      <c r="Q4580" s="8" t="n"/>
      <c r="R4580" s="15" t="n">
        <v>22.87</v>
      </c>
      <c r="S4580" s="8" t="n"/>
      <c r="T4580" s="7" t="inlineStr">
        <is>
          <t>BRASFARMA</t>
        </is>
      </c>
      <c r="U4580" s="8" t="n">
        <v>22.87</v>
      </c>
      <c r="V4580" s="14">
        <f>U4580/J4580-1</f>
        <v/>
      </c>
      <c r="W4580" s="14">
        <f>U4580/H4580-1</f>
        <v/>
      </c>
      <c r="X4580" s="16" t="inlineStr">
        <is>
          <t>ACIMA +14.1%</t>
        </is>
      </c>
      <c r="Y4580" s="7" t="inlineStr"/>
    </row>
    <row r="4581">
      <c r="A4581" s="7" t="n">
        <v>656021</v>
      </c>
      <c r="B4581" s="12" t="inlineStr">
        <is>
          <t>7898724830521</t>
        </is>
      </c>
      <c r="C4581" s="7" t="inlineStr">
        <is>
          <t>VITAMINA B12 60 CAPS CX/12 - BIOCEUTICA</t>
        </is>
      </c>
      <c r="D4581" s="7" t="inlineStr">
        <is>
          <t>VITAMINA E SIMILARES</t>
        </is>
      </c>
      <c r="E4581" s="7" t="inlineStr">
        <is>
          <t>B</t>
        </is>
      </c>
      <c r="F4581" s="13" t="n">
        <v>4</v>
      </c>
      <c r="G4581" s="13" t="n">
        <v>4</v>
      </c>
      <c r="H4581" s="8" t="n">
        <v>14.88</v>
      </c>
      <c r="I4581" s="8" t="n">
        <v>11.52</v>
      </c>
      <c r="J4581" s="8" t="n">
        <v>13.76</v>
      </c>
      <c r="K4581" s="8" t="n"/>
      <c r="L4581" s="8" t="n"/>
      <c r="M4581" s="8" t="n"/>
      <c r="N4581" s="8" t="n"/>
      <c r="O4581" s="8" t="n"/>
      <c r="P4581" s="8" t="n"/>
      <c r="Q4581" s="8" t="n"/>
      <c r="R4581" s="8" t="n"/>
      <c r="S4581" s="8" t="n"/>
      <c r="T4581" s="7" t="inlineStr">
        <is>
          <t>SEM COTAÇÃO</t>
        </is>
      </c>
      <c r="U4581" s="8" t="n"/>
      <c r="V4581" s="14" t="n"/>
      <c r="W4581" s="14" t="n"/>
      <c r="X4581" s="7" t="inlineStr"/>
      <c r="Y4581" s="7" t="inlineStr"/>
    </row>
    <row r="4582">
      <c r="A4582" s="7" t="n">
        <v>655051</v>
      </c>
      <c r="B4582" s="12" t="inlineStr">
        <is>
          <t>7908475808233</t>
        </is>
      </c>
      <c r="C4582" s="7" t="inlineStr">
        <is>
          <t>VITAMINA B12 9,94 MCG 30 CAPS</t>
        </is>
      </c>
      <c r="D4582" s="7" t="inlineStr">
        <is>
          <t>VITAMINA E SIMILARES</t>
        </is>
      </c>
      <c r="E4582" s="7" t="inlineStr">
        <is>
          <t>C</t>
        </is>
      </c>
      <c r="F4582" s="13" t="n">
        <v>7</v>
      </c>
      <c r="G4582" s="13" t="n">
        <v>7</v>
      </c>
      <c r="H4582" s="8" t="n">
        <v>12.72</v>
      </c>
      <c r="I4582" s="8" t="n">
        <v>12.72</v>
      </c>
      <c r="J4582" s="8" t="n">
        <v>12.72</v>
      </c>
      <c r="K4582" s="8" t="n"/>
      <c r="L4582" s="8" t="n"/>
      <c r="M4582" s="8" t="n"/>
      <c r="N4582" s="8" t="n"/>
      <c r="O4582" s="8" t="n"/>
      <c r="P4582" s="8" t="n"/>
      <c r="Q4582" s="8" t="n"/>
      <c r="R4582" s="8" t="n"/>
      <c r="S4582" s="8" t="n"/>
      <c r="T4582" s="7" t="inlineStr">
        <is>
          <t>SEM COTAÇÃO</t>
        </is>
      </c>
      <c r="U4582" s="8" t="n"/>
      <c r="V4582" s="14" t="n"/>
      <c r="W4582" s="14" t="n"/>
      <c r="X4582" s="7" t="inlineStr"/>
      <c r="Y4582" s="7" t="inlineStr"/>
    </row>
    <row r="4583">
      <c r="A4583" s="7" t="n">
        <v>654741</v>
      </c>
      <c r="B4583" s="12" t="inlineStr">
        <is>
          <t>7898483533084</t>
        </is>
      </c>
      <c r="C4583" s="7" t="inlineStr">
        <is>
          <t>VITAMINA B12 CIANOCOBALAMINA 450MG 60 CAPS CX/48 - UNILIFE</t>
        </is>
      </c>
      <c r="D4583" s="7" t="inlineStr">
        <is>
          <t>VITAMINA E SIMILARES</t>
        </is>
      </c>
      <c r="E4583" s="7" t="inlineStr">
        <is>
          <t>B</t>
        </is>
      </c>
      <c r="F4583" s="13" t="n">
        <v>2</v>
      </c>
      <c r="G4583" s="13" t="n">
        <v>2</v>
      </c>
      <c r="H4583" s="8" t="n">
        <v>27.78</v>
      </c>
      <c r="I4583" s="8" t="n">
        <v>27.78</v>
      </c>
      <c r="J4583" s="8" t="n">
        <v>27.78</v>
      </c>
      <c r="K4583" s="8" t="n"/>
      <c r="L4583" s="8" t="n"/>
      <c r="M4583" s="8" t="n"/>
      <c r="N4583" s="8" t="n"/>
      <c r="O4583" s="8" t="n"/>
      <c r="P4583" s="8" t="n"/>
      <c r="Q4583" s="8" t="n"/>
      <c r="R4583" s="8" t="n"/>
      <c r="S4583" s="8" t="n"/>
      <c r="T4583" s="7" t="inlineStr">
        <is>
          <t>SEM COTAÇÃO</t>
        </is>
      </c>
      <c r="U4583" s="8" t="n"/>
      <c r="V4583" s="14" t="n"/>
      <c r="W4583" s="14" t="n"/>
      <c r="X4583" s="7" t="inlineStr"/>
      <c r="Y4583" s="7" t="inlineStr"/>
    </row>
    <row r="4584">
      <c r="A4584" s="7" t="n">
        <v>660921</v>
      </c>
      <c r="B4584" s="12" t="inlineStr">
        <is>
          <t>7908041911534</t>
        </is>
      </c>
      <c r="C4584" s="7" t="inlineStr">
        <is>
          <t>VITAMINA B12, ACIDO FOLICO + FERRO 60 CAPS - CX C/15 - FLORA NATIVA</t>
        </is>
      </c>
      <c r="D4584" s="7" t="inlineStr">
        <is>
          <t>VITAMINA E SIMILARES</t>
        </is>
      </c>
      <c r="E4584" s="7" t="inlineStr">
        <is>
          <t>B</t>
        </is>
      </c>
      <c r="F4584" s="13" t="n">
        <v>3</v>
      </c>
      <c r="G4584" s="13" t="n">
        <v>3</v>
      </c>
      <c r="H4584" s="8" t="n">
        <v>19.28</v>
      </c>
      <c r="I4584" s="8" t="n">
        <v>19.28</v>
      </c>
      <c r="J4584" s="8" t="n">
        <v>19.28</v>
      </c>
      <c r="K4584" s="8" t="n"/>
      <c r="L4584" s="8" t="n"/>
      <c r="M4584" s="8" t="n"/>
      <c r="N4584" s="8" t="n"/>
      <c r="O4584" s="8" t="n"/>
      <c r="P4584" s="8" t="n"/>
      <c r="Q4584" s="8" t="n"/>
      <c r="R4584" s="8" t="n"/>
      <c r="S4584" s="8" t="n"/>
      <c r="T4584" s="7" t="inlineStr">
        <is>
          <t>SEM COTAÇÃO</t>
        </is>
      </c>
      <c r="U4584" s="8" t="n"/>
      <c r="V4584" s="14" t="n"/>
      <c r="W4584" s="14" t="n"/>
      <c r="X4584" s="7" t="inlineStr"/>
      <c r="Y4584" s="7" t="inlineStr"/>
    </row>
    <row r="4585">
      <c r="A4585" s="7" t="n">
        <v>198161</v>
      </c>
      <c r="B4585" s="12" t="inlineStr">
        <is>
          <t>7896523200446</t>
        </is>
      </c>
      <c r="C4585" s="7" t="inlineStr">
        <is>
          <t>VITAMINA D 50.000UI CX 4 COMP REV</t>
        </is>
      </c>
      <c r="D4585" s="7" t="inlineStr">
        <is>
          <t>SIMILAR</t>
        </is>
      </c>
      <c r="E4585" s="7" t="inlineStr">
        <is>
          <t>A</t>
        </is>
      </c>
      <c r="F4585" s="13" t="n">
        <v>6</v>
      </c>
      <c r="G4585" s="13" t="n">
        <v>6</v>
      </c>
      <c r="H4585" s="8" t="n">
        <v>7.3</v>
      </c>
      <c r="I4585" s="8" t="n">
        <v>6.89</v>
      </c>
      <c r="J4585" s="8" t="n">
        <v>7.026666666666666</v>
      </c>
      <c r="K4585" s="8" t="n"/>
      <c r="L4585" s="8" t="n"/>
      <c r="M4585" s="8" t="n"/>
      <c r="N4585" s="8" t="n"/>
      <c r="O4585" s="8" t="n"/>
      <c r="P4585" s="8" t="n"/>
      <c r="Q4585" s="8" t="n"/>
      <c r="R4585" s="8" t="n"/>
      <c r="S4585" s="8" t="n"/>
      <c r="T4585" s="7" t="inlineStr">
        <is>
          <t>SEM COTAÇÃO</t>
        </is>
      </c>
      <c r="U4585" s="8" t="n"/>
      <c r="V4585" s="14" t="n"/>
      <c r="W4585" s="14" t="n"/>
      <c r="X4585" s="7" t="inlineStr"/>
      <c r="Y4585" s="7" t="inlineStr"/>
    </row>
    <row r="4586">
      <c r="A4586" s="7" t="n">
        <v>198181</v>
      </c>
      <c r="B4586" s="12" t="inlineStr">
        <is>
          <t>7896523200453</t>
        </is>
      </c>
      <c r="C4586" s="7" t="inlineStr">
        <is>
          <t>VITAMINA D 50.000UI CX 8 COMP REV</t>
        </is>
      </c>
      <c r="D4586" s="7" t="inlineStr">
        <is>
          <t>SIMILAR</t>
        </is>
      </c>
      <c r="E4586" s="7" t="inlineStr">
        <is>
          <t>A</t>
        </is>
      </c>
      <c r="F4586" s="13" t="n">
        <v>12</v>
      </c>
      <c r="G4586" s="13" t="n">
        <v>12</v>
      </c>
      <c r="H4586" s="8" t="n">
        <v>13.49</v>
      </c>
      <c r="I4586" s="8" t="n">
        <v>12.09</v>
      </c>
      <c r="J4586" s="8" t="n">
        <v>12.55666666666667</v>
      </c>
      <c r="K4586" s="8" t="n"/>
      <c r="L4586" s="8" t="n"/>
      <c r="M4586" s="8" t="n"/>
      <c r="N4586" s="8" t="n"/>
      <c r="O4586" s="8" t="n"/>
      <c r="P4586" s="8" t="n"/>
      <c r="Q4586" s="8" t="n"/>
      <c r="R4586" s="8" t="n"/>
      <c r="S4586" s="8" t="n"/>
      <c r="T4586" s="7" t="inlineStr">
        <is>
          <t>SEM COTAÇÃO</t>
        </is>
      </c>
      <c r="U4586" s="8" t="n"/>
      <c r="V4586" s="14" t="n"/>
      <c r="W4586" s="14" t="n"/>
      <c r="X4586" s="7" t="inlineStr"/>
      <c r="Y4586" s="7" t="inlineStr"/>
    </row>
    <row r="4587">
      <c r="A4587" s="7" t="n">
        <v>653221</v>
      </c>
      <c r="B4587" s="12" t="inlineStr">
        <is>
          <t>7898687737684</t>
        </is>
      </c>
      <c r="C4587" s="7" t="inlineStr">
        <is>
          <t>VITAMINA D 50000UI CX 12 CAP</t>
        </is>
      </c>
      <c r="D4587" s="7" t="inlineStr">
        <is>
          <t>SIMILAR</t>
        </is>
      </c>
      <c r="E4587" s="7" t="inlineStr">
        <is>
          <t>C</t>
        </is>
      </c>
      <c r="F4587" s="13" t="n">
        <v>1</v>
      </c>
      <c r="G4587" s="13" t="n">
        <v>1</v>
      </c>
      <c r="H4587" s="8" t="n">
        <v>29.28</v>
      </c>
      <c r="I4587" s="8" t="n">
        <v>29.28</v>
      </c>
      <c r="J4587" s="8" t="n">
        <v>29.28</v>
      </c>
      <c r="K4587" s="8" t="n"/>
      <c r="L4587" s="15" t="n">
        <v>35.43</v>
      </c>
      <c r="M4587" s="8" t="n"/>
      <c r="N4587" s="8" t="n"/>
      <c r="O4587" s="8" t="n"/>
      <c r="P4587" s="8" t="n"/>
      <c r="Q4587" s="8" t="n">
        <v>35.49</v>
      </c>
      <c r="R4587" s="8" t="n"/>
      <c r="S4587" s="8" t="n"/>
      <c r="T4587" s="7" t="inlineStr">
        <is>
          <t>PLUSFARMA</t>
        </is>
      </c>
      <c r="U4587" s="8" t="n">
        <v>35.43</v>
      </c>
      <c r="V4587" s="14">
        <f>U4587/J4587-1</f>
        <v/>
      </c>
      <c r="W4587" s="14">
        <f>U4587/H4587-1</f>
        <v/>
      </c>
      <c r="X4587" s="16" t="inlineStr">
        <is>
          <t>ACIMA +21.0%</t>
        </is>
      </c>
      <c r="Y4587" s="7" t="inlineStr"/>
    </row>
    <row r="4588">
      <c r="A4588" s="7" t="n">
        <v>193221</v>
      </c>
      <c r="B4588" s="12" t="inlineStr">
        <is>
          <t>7898569765149</t>
        </is>
      </c>
      <c r="C4588" s="7" t="inlineStr">
        <is>
          <t>VITAMINA D3 10000UI CX 30 CAP</t>
        </is>
      </c>
      <c r="D4588" s="7" t="inlineStr">
        <is>
          <t>SIMILAR</t>
        </is>
      </c>
      <c r="E4588" s="7" t="inlineStr">
        <is>
          <t>B</t>
        </is>
      </c>
      <c r="F4588" s="13" t="n">
        <v>2</v>
      </c>
      <c r="G4588" s="13" t="n">
        <v>2</v>
      </c>
      <c r="H4588" s="8" t="n">
        <v>21.98</v>
      </c>
      <c r="I4588" s="8" t="n">
        <v>21.98</v>
      </c>
      <c r="J4588" s="8" t="n">
        <v>21.98</v>
      </c>
      <c r="K4588" s="8" t="n">
        <v>27.09</v>
      </c>
      <c r="L4588" s="15" t="n">
        <v>26.49</v>
      </c>
      <c r="M4588" s="8" t="n"/>
      <c r="N4588" s="8" t="n">
        <v>27.35</v>
      </c>
      <c r="O4588" s="8" t="n"/>
      <c r="P4588" s="8" t="n"/>
      <c r="Q4588" s="8" t="n">
        <v>28.22</v>
      </c>
      <c r="R4588" s="8" t="n"/>
      <c r="S4588" s="8" t="n"/>
      <c r="T4588" s="7" t="inlineStr">
        <is>
          <t>PLUSFARMA</t>
        </is>
      </c>
      <c r="U4588" s="8" t="n">
        <v>26.49</v>
      </c>
      <c r="V4588" s="14">
        <f>U4588/J4588-1</f>
        <v/>
      </c>
      <c r="W4588" s="14">
        <f>U4588/H4588-1</f>
        <v/>
      </c>
      <c r="X4588" s="16" t="inlineStr">
        <is>
          <t>ACIMA +20.5%</t>
        </is>
      </c>
      <c r="Y4588" s="7" t="inlineStr"/>
    </row>
    <row r="4589">
      <c r="A4589" s="7" t="n">
        <v>193181</v>
      </c>
      <c r="B4589" s="12" t="inlineStr">
        <is>
          <t>7898569765125</t>
        </is>
      </c>
      <c r="C4589" s="7" t="inlineStr">
        <is>
          <t>VITAMINA D3 10000UI CX 8 CAP</t>
        </is>
      </c>
      <c r="D4589" s="7" t="inlineStr">
        <is>
          <t>SIMILAR</t>
        </is>
      </c>
      <c r="E4589" s="7" t="inlineStr">
        <is>
          <t>C</t>
        </is>
      </c>
      <c r="F4589" s="13" t="n">
        <v>1</v>
      </c>
      <c r="G4589" s="13" t="n">
        <v>1</v>
      </c>
      <c r="H4589" s="8" t="n">
        <v>12.69</v>
      </c>
      <c r="I4589" s="8" t="n">
        <v>12.69</v>
      </c>
      <c r="J4589" s="8" t="n">
        <v>12.69</v>
      </c>
      <c r="K4589" s="8" t="n">
        <v>17.54</v>
      </c>
      <c r="L4589" s="8" t="n">
        <v>18.43</v>
      </c>
      <c r="M4589" s="8" t="n"/>
      <c r="N4589" s="8" t="n">
        <v>17.77</v>
      </c>
      <c r="O4589" s="8" t="n"/>
      <c r="P4589" s="8" t="n"/>
      <c r="Q4589" s="15" t="n">
        <v>16.85</v>
      </c>
      <c r="R4589" s="8" t="n"/>
      <c r="S4589" s="8" t="n"/>
      <c r="T4589" s="7" t="inlineStr">
        <is>
          <t>MEDCENTRO</t>
        </is>
      </c>
      <c r="U4589" s="8" t="n">
        <v>16.85</v>
      </c>
      <c r="V4589" s="14">
        <f>U4589/J4589-1</f>
        <v/>
      </c>
      <c r="W4589" s="14">
        <f>U4589/H4589-1</f>
        <v/>
      </c>
      <c r="X4589" s="16" t="inlineStr">
        <is>
          <t>ACIMA +32.8%</t>
        </is>
      </c>
      <c r="Y4589" s="7" t="inlineStr"/>
    </row>
    <row r="4590">
      <c r="A4590" s="7" t="n">
        <v>653211</v>
      </c>
      <c r="B4590" s="12" t="inlineStr">
        <is>
          <t>7898687734096</t>
        </is>
      </c>
      <c r="C4590" s="7" t="inlineStr">
        <is>
          <t>VITAMINA D3 15000UI CX 10 CAP</t>
        </is>
      </c>
      <c r="D4590" s="7" t="inlineStr">
        <is>
          <t>SIMILAR</t>
        </is>
      </c>
      <c r="E4590" s="7" t="inlineStr">
        <is>
          <t>C</t>
        </is>
      </c>
      <c r="F4590" s="13" t="n">
        <v>2</v>
      </c>
      <c r="G4590" s="13" t="n">
        <v>2</v>
      </c>
      <c r="H4590" s="8" t="n">
        <v>19.58</v>
      </c>
      <c r="I4590" s="8" t="n">
        <v>19.58</v>
      </c>
      <c r="J4590" s="8" t="n">
        <v>19.58</v>
      </c>
      <c r="K4590" s="15" t="n">
        <v>23.22</v>
      </c>
      <c r="L4590" s="8" t="n">
        <v>28.44</v>
      </c>
      <c r="M4590" s="8" t="n"/>
      <c r="N4590" s="8" t="n"/>
      <c r="O4590" s="8" t="n"/>
      <c r="P4590" s="8" t="n"/>
      <c r="Q4590" s="8" t="n">
        <v>29.83</v>
      </c>
      <c r="R4590" s="8" t="n"/>
      <c r="S4590" s="8" t="n"/>
      <c r="T4590" s="7" t="inlineStr">
        <is>
          <t>DIMEC</t>
        </is>
      </c>
      <c r="U4590" s="8" t="n">
        <v>23.22</v>
      </c>
      <c r="V4590" s="14">
        <f>U4590/J4590-1</f>
        <v/>
      </c>
      <c r="W4590" s="14">
        <f>U4590/H4590-1</f>
        <v/>
      </c>
      <c r="X4590" s="16" t="inlineStr">
        <is>
          <t>ACIMA +18.6%</t>
        </is>
      </c>
      <c r="Y4590" s="7" t="inlineStr"/>
    </row>
    <row r="4591">
      <c r="A4591" s="7" t="n">
        <v>3063</v>
      </c>
      <c r="B4591" s="12" t="inlineStr">
        <is>
          <t>7898687734089</t>
        </is>
      </c>
      <c r="C4591" s="7" t="inlineStr">
        <is>
          <t>VITAMINA D3 15000UI CX 4 CAP</t>
        </is>
      </c>
      <c r="D4591" s="7" t="inlineStr">
        <is>
          <t>SIMILAR</t>
        </is>
      </c>
      <c r="E4591" s="7" t="inlineStr">
        <is>
          <t>B</t>
        </is>
      </c>
      <c r="F4591" s="13" t="n">
        <v>4</v>
      </c>
      <c r="G4591" s="13" t="n">
        <v>4</v>
      </c>
      <c r="H4591" s="8" t="n">
        <v>14.54</v>
      </c>
      <c r="I4591" s="8" t="n">
        <v>10.73</v>
      </c>
      <c r="J4591" s="8" t="n">
        <v>13.27</v>
      </c>
      <c r="K4591" s="8" t="n">
        <v>13.39</v>
      </c>
      <c r="L4591" s="8" t="n">
        <v>15.89</v>
      </c>
      <c r="M4591" s="8" t="n"/>
      <c r="N4591" s="15" t="n">
        <v>13.35</v>
      </c>
      <c r="O4591" s="8" t="n"/>
      <c r="P4591" s="8" t="n"/>
      <c r="Q4591" s="8" t="n">
        <v>16.03</v>
      </c>
      <c r="R4591" s="8" t="n"/>
      <c r="S4591" s="8" t="n"/>
      <c r="T4591" s="7" t="inlineStr">
        <is>
          <t>CENTROFARMA</t>
        </is>
      </c>
      <c r="U4591" s="8" t="n">
        <v>13.35</v>
      </c>
      <c r="V4591" s="14">
        <f>U4591/J4591-1</f>
        <v/>
      </c>
      <c r="W4591" s="14">
        <f>U4591/H4591-1</f>
        <v/>
      </c>
      <c r="X4591" s="17" t="inlineStr">
        <is>
          <t>OK (≤ últ. compra)</t>
        </is>
      </c>
      <c r="Y4591" s="7" t="inlineStr"/>
    </row>
    <row r="4592">
      <c r="A4592" s="7" t="n">
        <v>655081</v>
      </c>
      <c r="B4592" s="12" t="inlineStr">
        <is>
          <t>7908475808141</t>
        </is>
      </c>
      <c r="C4592" s="7" t="inlineStr">
        <is>
          <t>VITAMINA D3 2.000 UI 30CAPS</t>
        </is>
      </c>
      <c r="D4592" s="7" t="inlineStr">
        <is>
          <t>VITAMINA E SIMILARES</t>
        </is>
      </c>
      <c r="E4592" s="7" t="inlineStr">
        <is>
          <t>C</t>
        </is>
      </c>
      <c r="F4592" s="13" t="n">
        <v>2</v>
      </c>
      <c r="G4592" s="13" t="n">
        <v>2</v>
      </c>
      <c r="H4592" s="8" t="n">
        <v>12.72</v>
      </c>
      <c r="I4592" s="8" t="n">
        <v>12.72</v>
      </c>
      <c r="J4592" s="8" t="n">
        <v>12.72</v>
      </c>
      <c r="K4592" s="8" t="n"/>
      <c r="L4592" s="8" t="n"/>
      <c r="M4592" s="8" t="n"/>
      <c r="N4592" s="8" t="n"/>
      <c r="O4592" s="8" t="n"/>
      <c r="P4592" s="8" t="n"/>
      <c r="Q4592" s="8" t="n"/>
      <c r="R4592" s="8" t="n"/>
      <c r="S4592" s="8" t="n"/>
      <c r="T4592" s="7" t="inlineStr">
        <is>
          <t>SEM COTAÇÃO</t>
        </is>
      </c>
      <c r="U4592" s="8" t="n"/>
      <c r="V4592" s="14" t="n"/>
      <c r="W4592" s="14" t="n"/>
      <c r="X4592" s="7" t="inlineStr"/>
      <c r="Y4592" s="7" t="inlineStr"/>
    </row>
    <row r="4593">
      <c r="A4593" s="7" t="n">
        <v>623661</v>
      </c>
      <c r="B4593" s="12" t="inlineStr">
        <is>
          <t>7896006201083</t>
        </is>
      </c>
      <c r="C4593" s="7" t="inlineStr">
        <is>
          <t>VITAMINA D3 50.000UI CX 8 COMP REV</t>
        </is>
      </c>
      <c r="D4593" s="7" t="inlineStr">
        <is>
          <t>SIMILAR</t>
        </is>
      </c>
      <c r="E4593" s="7" t="inlineStr">
        <is>
          <t>C</t>
        </is>
      </c>
      <c r="F4593" s="13" t="n">
        <v>2</v>
      </c>
      <c r="G4593" s="13" t="n">
        <v>2</v>
      </c>
      <c r="H4593" s="8" t="n">
        <v>11.68</v>
      </c>
      <c r="I4593" s="8" t="n">
        <v>11.395</v>
      </c>
      <c r="J4593" s="8" t="n">
        <v>11.395</v>
      </c>
      <c r="K4593" s="8" t="n"/>
      <c r="L4593" s="8" t="n"/>
      <c r="M4593" s="8" t="n"/>
      <c r="N4593" s="8" t="n"/>
      <c r="O4593" s="8" t="n"/>
      <c r="P4593" s="8" t="n"/>
      <c r="Q4593" s="8" t="n"/>
      <c r="R4593" s="8" t="n"/>
      <c r="S4593" s="8" t="n"/>
      <c r="T4593" s="7" t="inlineStr">
        <is>
          <t>SEM COTAÇÃO</t>
        </is>
      </c>
      <c r="U4593" s="8" t="n"/>
      <c r="V4593" s="14" t="n"/>
      <c r="W4593" s="14" t="n"/>
      <c r="X4593" s="7" t="inlineStr"/>
      <c r="Y4593" s="7" t="inlineStr"/>
    </row>
    <row r="4594">
      <c r="A4594" s="7" t="n">
        <v>193261</v>
      </c>
      <c r="B4594" s="12" t="inlineStr">
        <is>
          <t>7898569765194</t>
        </is>
      </c>
      <c r="C4594" s="7" t="inlineStr">
        <is>
          <t>VITAMINA D3 50000UI BL 8 CAP</t>
        </is>
      </c>
      <c r="D4594" s="7" t="inlineStr">
        <is>
          <t>SIMILAR</t>
        </is>
      </c>
      <c r="E4594" s="7" t="inlineStr">
        <is>
          <t>C</t>
        </is>
      </c>
      <c r="F4594" s="13" t="n">
        <v>1</v>
      </c>
      <c r="G4594" s="13" t="n">
        <v>1</v>
      </c>
      <c r="H4594" s="8" t="n">
        <v>23.77</v>
      </c>
      <c r="I4594" s="8" t="n">
        <v>23.77</v>
      </c>
      <c r="J4594" s="8" t="n">
        <v>23.77</v>
      </c>
      <c r="K4594" s="8" t="n"/>
      <c r="L4594" s="8" t="n"/>
      <c r="M4594" s="8" t="n"/>
      <c r="N4594" s="15" t="n">
        <v>25.02</v>
      </c>
      <c r="O4594" s="8" t="n"/>
      <c r="P4594" s="8" t="n"/>
      <c r="Q4594" s="8" t="n">
        <v>27.62</v>
      </c>
      <c r="R4594" s="8" t="n"/>
      <c r="S4594" s="8" t="n"/>
      <c r="T4594" s="7" t="inlineStr">
        <is>
          <t>CENTROFARMA</t>
        </is>
      </c>
      <c r="U4594" s="8" t="n">
        <v>25.02</v>
      </c>
      <c r="V4594" s="14">
        <f>U4594/J4594-1</f>
        <v/>
      </c>
      <c r="W4594" s="14">
        <f>U4594/H4594-1</f>
        <v/>
      </c>
      <c r="X4594" s="16" t="inlineStr">
        <is>
          <t>ACIMA +5.3%</t>
        </is>
      </c>
      <c r="Y4594" s="7" t="inlineStr"/>
    </row>
    <row r="4595">
      <c r="A4595" s="7" t="n">
        <v>198101</v>
      </c>
      <c r="B4595" s="12" t="inlineStr">
        <is>
          <t>7898569765828</t>
        </is>
      </c>
      <c r="C4595" s="7" t="inlineStr">
        <is>
          <t>VITAMINA D3 50000UI CX 10 CAP</t>
        </is>
      </c>
      <c r="D4595" s="7" t="inlineStr">
        <is>
          <t>GENERICO</t>
        </is>
      </c>
      <c r="E4595" s="7" t="inlineStr">
        <is>
          <t>C</t>
        </is>
      </c>
      <c r="F4595" s="13" t="n">
        <v>2</v>
      </c>
      <c r="G4595" s="13" t="n">
        <v>2</v>
      </c>
      <c r="H4595" s="8" t="n">
        <v>25.99</v>
      </c>
      <c r="I4595" s="8" t="n">
        <v>25.99</v>
      </c>
      <c r="J4595" s="8" t="n">
        <v>25.99</v>
      </c>
      <c r="K4595" s="8" t="n"/>
      <c r="L4595" s="15" t="n">
        <v>31.11</v>
      </c>
      <c r="M4595" s="8" t="n"/>
      <c r="N4595" s="8" t="n"/>
      <c r="O4595" s="8" t="n"/>
      <c r="P4595" s="8" t="n"/>
      <c r="Q4595" s="8" t="n">
        <v>34.59</v>
      </c>
      <c r="R4595" s="8" t="n"/>
      <c r="S4595" s="8" t="n"/>
      <c r="T4595" s="7" t="inlineStr">
        <is>
          <t>PLUSFARMA</t>
        </is>
      </c>
      <c r="U4595" s="8" t="n">
        <v>31.11</v>
      </c>
      <c r="V4595" s="14">
        <f>U4595/J4595-1</f>
        <v/>
      </c>
      <c r="W4595" s="14">
        <f>U4595/H4595-1</f>
        <v/>
      </c>
      <c r="X4595" s="16" t="inlineStr">
        <is>
          <t>ACIMA +19.7%</t>
        </is>
      </c>
      <c r="Y4595" s="7" t="inlineStr"/>
    </row>
    <row r="4596">
      <c r="A4596" s="7" t="n">
        <v>193241</v>
      </c>
      <c r="B4596" s="12" t="inlineStr">
        <is>
          <t>7898569765170</t>
        </is>
      </c>
      <c r="C4596" s="7" t="inlineStr">
        <is>
          <t>VITAMINA D3 50000UI CX 4 CAP</t>
        </is>
      </c>
      <c r="D4596" s="7" t="inlineStr">
        <is>
          <t>SIMILAR</t>
        </is>
      </c>
      <c r="E4596" s="7" t="inlineStr">
        <is>
          <t>C</t>
        </is>
      </c>
      <c r="F4596" s="13" t="n">
        <v>2</v>
      </c>
      <c r="G4596" s="13" t="n">
        <v>2</v>
      </c>
      <c r="H4596" s="8" t="n">
        <v>13.95</v>
      </c>
      <c r="I4596" s="8" t="n">
        <v>13.95</v>
      </c>
      <c r="J4596" s="8" t="n">
        <v>13.95</v>
      </c>
      <c r="K4596" s="8" t="n">
        <v>16.57</v>
      </c>
      <c r="L4596" s="15" t="n">
        <v>16.22</v>
      </c>
      <c r="M4596" s="8" t="n"/>
      <c r="N4596" s="8" t="n">
        <v>16.78</v>
      </c>
      <c r="O4596" s="8" t="n"/>
      <c r="P4596" s="8" t="n"/>
      <c r="Q4596" s="8" t="n">
        <v>18.02</v>
      </c>
      <c r="R4596" s="8" t="n"/>
      <c r="S4596" s="8" t="n"/>
      <c r="T4596" s="7" t="inlineStr">
        <is>
          <t>PLUSFARMA</t>
        </is>
      </c>
      <c r="U4596" s="8" t="n">
        <v>16.22</v>
      </c>
      <c r="V4596" s="14">
        <f>U4596/J4596-1</f>
        <v/>
      </c>
      <c r="W4596" s="14">
        <f>U4596/H4596-1</f>
        <v/>
      </c>
      <c r="X4596" s="16" t="inlineStr">
        <is>
          <t>ACIMA +16.3%</t>
        </is>
      </c>
      <c r="Y4596" s="7" t="inlineStr"/>
    </row>
    <row r="4597">
      <c r="A4597" s="7" t="n">
        <v>193001</v>
      </c>
      <c r="B4597" s="12" t="inlineStr">
        <is>
          <t>7898569765019</t>
        </is>
      </c>
      <c r="C4597" s="7" t="inlineStr">
        <is>
          <t>VITAMINA D3 5000UI CX 30 CAP</t>
        </is>
      </c>
      <c r="D4597" s="7" t="inlineStr">
        <is>
          <t>SIMILAR</t>
        </is>
      </c>
      <c r="E4597" s="7" t="inlineStr">
        <is>
          <t>C</t>
        </is>
      </c>
      <c r="F4597" s="13" t="n">
        <v>1</v>
      </c>
      <c r="G4597" s="13" t="n">
        <v>1</v>
      </c>
      <c r="H4597" s="8" t="n">
        <v>13.68</v>
      </c>
      <c r="I4597" s="8" t="n">
        <v>13.68</v>
      </c>
      <c r="J4597" s="8" t="n">
        <v>13.68</v>
      </c>
      <c r="K4597" s="8" t="n">
        <v>16.03</v>
      </c>
      <c r="L4597" s="8" t="n">
        <v>15.73</v>
      </c>
      <c r="M4597" s="8" t="n"/>
      <c r="N4597" s="15" t="n">
        <v>14.04</v>
      </c>
      <c r="O4597" s="8" t="n"/>
      <c r="P4597" s="8" t="n">
        <v>62.29</v>
      </c>
      <c r="Q4597" s="8" t="n">
        <v>15.39</v>
      </c>
      <c r="R4597" s="8" t="n"/>
      <c r="S4597" s="8" t="n"/>
      <c r="T4597" s="7" t="inlineStr">
        <is>
          <t>CENTROFARMA</t>
        </is>
      </c>
      <c r="U4597" s="8" t="n">
        <v>14.04</v>
      </c>
      <c r="V4597" s="14">
        <f>U4597/J4597-1</f>
        <v/>
      </c>
      <c r="W4597" s="14">
        <f>U4597/H4597-1</f>
        <v/>
      </c>
      <c r="X4597" s="16" t="inlineStr">
        <is>
          <t>ACIMA +2.6%</t>
        </is>
      </c>
      <c r="Y4597" s="7" t="inlineStr">
        <is>
          <t>NAZARIA: conferir emb.</t>
        </is>
      </c>
    </row>
    <row r="4598">
      <c r="A4598" s="7" t="n">
        <v>193101</v>
      </c>
      <c r="B4598" s="12" t="inlineStr">
        <is>
          <t>7898569765071</t>
        </is>
      </c>
      <c r="C4598" s="7" t="inlineStr">
        <is>
          <t>VITAMINA D3 7000UI CX 30 CAP</t>
        </is>
      </c>
      <c r="D4598" s="7" t="inlineStr">
        <is>
          <t>SIMILAR</t>
        </is>
      </c>
      <c r="E4598" s="7" t="inlineStr">
        <is>
          <t>C</t>
        </is>
      </c>
      <c r="F4598" s="13" t="n">
        <v>1</v>
      </c>
      <c r="G4598" s="13" t="n">
        <v>1</v>
      </c>
      <c r="H4598" s="8" t="n">
        <v>18.96</v>
      </c>
      <c r="I4598" s="8" t="n">
        <v>18.96</v>
      </c>
      <c r="J4598" s="8" t="n">
        <v>18.96</v>
      </c>
      <c r="K4598" s="8" t="n"/>
      <c r="L4598" s="15" t="n">
        <v>23.44</v>
      </c>
      <c r="M4598" s="8" t="n"/>
      <c r="N4598" s="8" t="n">
        <v>23.71</v>
      </c>
      <c r="O4598" s="8" t="n"/>
      <c r="P4598" s="8" t="n">
        <v>52.43</v>
      </c>
      <c r="Q4598" s="8" t="n">
        <v>26.08</v>
      </c>
      <c r="R4598" s="8" t="n"/>
      <c r="S4598" s="8" t="n"/>
      <c r="T4598" s="7" t="inlineStr">
        <is>
          <t>PLUSFARMA</t>
        </is>
      </c>
      <c r="U4598" s="8" t="n">
        <v>23.44</v>
      </c>
      <c r="V4598" s="14">
        <f>U4598/J4598-1</f>
        <v/>
      </c>
      <c r="W4598" s="14">
        <f>U4598/H4598-1</f>
        <v/>
      </c>
      <c r="X4598" s="16" t="inlineStr">
        <is>
          <t>ACIMA +23.6%</t>
        </is>
      </c>
      <c r="Y4598" s="7" t="inlineStr">
        <is>
          <t>NAZARIA: conferir emb.</t>
        </is>
      </c>
    </row>
    <row r="4599">
      <c r="A4599" s="7" t="n">
        <v>193041</v>
      </c>
      <c r="B4599" s="12" t="inlineStr"/>
      <c r="C4599" s="7" t="inlineStr">
        <is>
          <t>VITAMINA D3 7000UI CX 4 CAP</t>
        </is>
      </c>
      <c r="D4599" s="7" t="inlineStr">
        <is>
          <t>SIMILAR</t>
        </is>
      </c>
      <c r="E4599" s="7" t="inlineStr">
        <is>
          <t>C</t>
        </is>
      </c>
      <c r="F4599" s="13" t="n">
        <v>1</v>
      </c>
      <c r="G4599" s="13" t="n">
        <v>1</v>
      </c>
      <c r="H4599" s="8" t="n">
        <v>4.75</v>
      </c>
      <c r="I4599" s="8" t="n">
        <v>3.99</v>
      </c>
      <c r="J4599" s="8" t="n">
        <v>4.496666666666667</v>
      </c>
      <c r="K4599" s="8" t="n"/>
      <c r="L4599" s="8" t="n"/>
      <c r="M4599" s="8" t="n"/>
      <c r="N4599" s="8" t="n"/>
      <c r="O4599" s="8" t="n"/>
      <c r="P4599" s="8" t="n"/>
      <c r="Q4599" s="8" t="n"/>
      <c r="R4599" s="8" t="n"/>
      <c r="S4599" s="8" t="n"/>
      <c r="T4599" s="7" t="inlineStr">
        <is>
          <t>SEM COTAÇÃO</t>
        </is>
      </c>
      <c r="U4599" s="8" t="n"/>
      <c r="V4599" s="14" t="n"/>
      <c r="W4599" s="14" t="n"/>
      <c r="X4599" s="7" t="inlineStr"/>
      <c r="Y4599" s="7" t="inlineStr"/>
    </row>
    <row r="4600">
      <c r="A4600" s="7" t="n">
        <v>655091</v>
      </c>
      <c r="B4600" s="12" t="inlineStr">
        <is>
          <t>7908475808134</t>
        </is>
      </c>
      <c r="C4600" s="7" t="inlineStr">
        <is>
          <t>VITAMINA K2  140MCG 30CAPS</t>
        </is>
      </c>
      <c r="D4600" s="7" t="inlineStr">
        <is>
          <t>VITAMINA E SIMILARES</t>
        </is>
      </c>
      <c r="E4600" s="7" t="inlineStr">
        <is>
          <t>B</t>
        </is>
      </c>
      <c r="F4600" s="13" t="n">
        <v>3</v>
      </c>
      <c r="G4600" s="13" t="n">
        <v>3</v>
      </c>
      <c r="H4600" s="8" t="n">
        <v>16.61</v>
      </c>
      <c r="I4600" s="8" t="n">
        <v>16.61</v>
      </c>
      <c r="J4600" s="8" t="n">
        <v>16.61</v>
      </c>
      <c r="K4600" s="8" t="n"/>
      <c r="L4600" s="8" t="n"/>
      <c r="M4600" s="8" t="n"/>
      <c r="N4600" s="8" t="n"/>
      <c r="O4600" s="8" t="n"/>
      <c r="P4600" s="8" t="n"/>
      <c r="Q4600" s="8" t="n"/>
      <c r="R4600" s="8" t="n"/>
      <c r="S4600" s="8" t="n"/>
      <c r="T4600" s="7" t="inlineStr">
        <is>
          <t>SEM COTAÇÃO</t>
        </is>
      </c>
      <c r="U4600" s="8" t="n"/>
      <c r="V4600" s="14" t="n"/>
      <c r="W4600" s="14" t="n"/>
      <c r="X4600" s="7" t="inlineStr"/>
      <c r="Y4600" s="7" t="inlineStr"/>
    </row>
    <row r="4601">
      <c r="A4601" s="7" t="n">
        <v>646191</v>
      </c>
      <c r="B4601" s="12" t="inlineStr">
        <is>
          <t>7908048004284</t>
        </is>
      </c>
      <c r="C4601" s="7" t="inlineStr">
        <is>
          <t>VITAMINA K2 UNIAO VEGETAL 250MG 60 CAPS</t>
        </is>
      </c>
      <c r="D4601" s="7" t="inlineStr">
        <is>
          <t>SUPLEMENTO</t>
        </is>
      </c>
      <c r="E4601" s="7" t="inlineStr">
        <is>
          <t>C</t>
        </is>
      </c>
      <c r="F4601" s="13" t="n">
        <v>1</v>
      </c>
      <c r="G4601" s="13" t="n">
        <v>1</v>
      </c>
      <c r="H4601" s="8" t="n">
        <v>37.19</v>
      </c>
      <c r="I4601" s="8" t="n">
        <v>37.19</v>
      </c>
      <c r="J4601" s="8" t="n">
        <v>37.19</v>
      </c>
      <c r="K4601" s="8" t="n"/>
      <c r="L4601" s="8" t="n"/>
      <c r="M4601" s="8" t="n"/>
      <c r="N4601" s="8" t="n"/>
      <c r="O4601" s="8" t="n"/>
      <c r="P4601" s="8" t="n"/>
      <c r="Q4601" s="8" t="n"/>
      <c r="R4601" s="8" t="n"/>
      <c r="S4601" s="8" t="n"/>
      <c r="T4601" s="7" t="inlineStr">
        <is>
          <t>SEM COTAÇÃO</t>
        </is>
      </c>
      <c r="U4601" s="8" t="n"/>
      <c r="V4601" s="14" t="n"/>
      <c r="W4601" s="14" t="n"/>
      <c r="X4601" s="7" t="inlineStr"/>
      <c r="Y4601" s="7" t="inlineStr"/>
    </row>
    <row r="4602">
      <c r="A4602" s="7" t="n">
        <v>664031</v>
      </c>
      <c r="B4602" s="12" t="inlineStr"/>
      <c r="C4602" s="7" t="inlineStr">
        <is>
          <t>VITAMINA NATU HAIR CRESC FORTALECID 10ML</t>
        </is>
      </c>
      <c r="D4602" s="7" t="inlineStr">
        <is>
          <t>COND/SHAM/CREM/SIMILARES</t>
        </is>
      </c>
      <c r="E4602" s="7" t="inlineStr">
        <is>
          <t>C</t>
        </is>
      </c>
      <c r="F4602" s="13" t="n">
        <v>2</v>
      </c>
      <c r="G4602" s="13" t="n">
        <v>2</v>
      </c>
      <c r="H4602" s="8" t="n"/>
      <c r="I4602" s="8" t="n"/>
      <c r="J4602" s="8" t="n"/>
      <c r="K4602" s="8" t="n"/>
      <c r="L4602" s="8" t="n"/>
      <c r="M4602" s="8" t="n"/>
      <c r="N4602" s="8" t="n"/>
      <c r="O4602" s="8" t="n"/>
      <c r="P4602" s="8" t="n"/>
      <c r="Q4602" s="8" t="n"/>
      <c r="R4602" s="8" t="n"/>
      <c r="S4602" s="8" t="n"/>
      <c r="T4602" s="7" t="inlineStr">
        <is>
          <t>SEM COTAÇÃO</t>
        </is>
      </c>
      <c r="U4602" s="8" t="n"/>
      <c r="V4602" s="14" t="n"/>
      <c r="W4602" s="14" t="n"/>
      <c r="X4602" s="7" t="inlineStr"/>
      <c r="Y4602" s="7" t="inlineStr"/>
    </row>
    <row r="4603">
      <c r="A4603" s="7" t="n">
        <v>663461</v>
      </c>
      <c r="B4603" s="12" t="inlineStr">
        <is>
          <t>7908041909814</t>
        </is>
      </c>
      <c r="C4603" s="7" t="inlineStr">
        <is>
          <t>VITAMINAS D3+K2 30 CAPS</t>
        </is>
      </c>
      <c r="D4603" s="7" t="inlineStr">
        <is>
          <t>VITAMINA E SIMILARES</t>
        </is>
      </c>
      <c r="E4603" s="7" t="inlineStr">
        <is>
          <t>C</t>
        </is>
      </c>
      <c r="F4603" s="13" t="n">
        <v>2</v>
      </c>
      <c r="G4603" s="13" t="n">
        <v>2</v>
      </c>
      <c r="H4603" s="8" t="n">
        <v>20.48</v>
      </c>
      <c r="I4603" s="8" t="n">
        <v>20.48</v>
      </c>
      <c r="J4603" s="8" t="n">
        <v>20.48</v>
      </c>
      <c r="K4603" s="8" t="n"/>
      <c r="L4603" s="8" t="n"/>
      <c r="M4603" s="8" t="n"/>
      <c r="N4603" s="8" t="n"/>
      <c r="O4603" s="8" t="n"/>
      <c r="P4603" s="8" t="n"/>
      <c r="Q4603" s="8" t="n"/>
      <c r="R4603" s="8" t="n"/>
      <c r="S4603" s="8" t="n"/>
      <c r="T4603" s="7" t="inlineStr">
        <is>
          <t>SEM COTAÇÃO</t>
        </is>
      </c>
      <c r="U4603" s="8" t="n"/>
      <c r="V4603" s="14" t="n"/>
      <c r="W4603" s="14" t="n"/>
      <c r="X4603" s="7" t="inlineStr"/>
      <c r="Y4603" s="7" t="inlineStr"/>
    </row>
    <row r="4604">
      <c r="A4604" s="7" t="n">
        <v>532021</v>
      </c>
      <c r="B4604" s="12" t="inlineStr"/>
      <c r="C4604" s="7" t="inlineStr">
        <is>
          <t>VITAXON C 1G EFERV LARANJA CX C 10 EFER</t>
        </is>
      </c>
      <c r="D4604" s="7" t="inlineStr">
        <is>
          <t>VITAMINA E SIMILARES</t>
        </is>
      </c>
      <c r="E4604" s="7" t="inlineStr">
        <is>
          <t>A</t>
        </is>
      </c>
      <c r="F4604" s="13" t="n">
        <v>223</v>
      </c>
      <c r="G4604" s="13" t="n">
        <v>223</v>
      </c>
      <c r="H4604" s="8" t="n">
        <v>3.92</v>
      </c>
      <c r="I4604" s="8" t="n">
        <v>3.92</v>
      </c>
      <c r="J4604" s="8" t="n">
        <v>3.92</v>
      </c>
      <c r="K4604" s="8" t="n"/>
      <c r="L4604" s="8" t="n"/>
      <c r="M4604" s="8" t="n"/>
      <c r="N4604" s="8" t="n"/>
      <c r="O4604" s="8" t="n"/>
      <c r="P4604" s="8" t="n"/>
      <c r="Q4604" s="8" t="n"/>
      <c r="R4604" s="8" t="n"/>
      <c r="S4604" s="8" t="n"/>
      <c r="T4604" s="7" t="inlineStr">
        <is>
          <t>SEM COTAÇÃO</t>
        </is>
      </c>
      <c r="U4604" s="8" t="n"/>
      <c r="V4604" s="14" t="n"/>
      <c r="W4604" s="14" t="n"/>
      <c r="X4604" s="7" t="inlineStr"/>
      <c r="Y4604" s="7" t="inlineStr"/>
    </row>
    <row r="4605">
      <c r="A4605" s="7" t="n">
        <v>638991</v>
      </c>
      <c r="B4605" s="12" t="inlineStr">
        <is>
          <t>7894164006175</t>
        </is>
      </c>
      <c r="C4605" s="7" t="inlineStr">
        <is>
          <t>VITAXON C 500MG C/24 CPR LIB PROLONGADA</t>
        </is>
      </c>
      <c r="D4605" s="7" t="inlineStr">
        <is>
          <t>SIMILAR</t>
        </is>
      </c>
      <c r="E4605" s="7" t="inlineStr">
        <is>
          <t>C</t>
        </is>
      </c>
      <c r="F4605" s="13" t="n">
        <v>2</v>
      </c>
      <c r="G4605" s="13" t="n">
        <v>2</v>
      </c>
      <c r="H4605" s="8" t="n">
        <v>7.22</v>
      </c>
      <c r="I4605" s="8" t="n">
        <v>7.22</v>
      </c>
      <c r="J4605" s="8" t="n">
        <v>7.22</v>
      </c>
      <c r="K4605" s="8" t="n"/>
      <c r="L4605" s="8" t="n"/>
      <c r="M4605" s="8" t="n"/>
      <c r="N4605" s="8" t="n"/>
      <c r="O4605" s="8" t="n"/>
      <c r="P4605" s="8" t="n"/>
      <c r="Q4605" s="8" t="n"/>
      <c r="R4605" s="8" t="n"/>
      <c r="S4605" s="8" t="n"/>
      <c r="T4605" s="7" t="inlineStr">
        <is>
          <t>SEM COTAÇÃO</t>
        </is>
      </c>
      <c r="U4605" s="8" t="n"/>
      <c r="V4605" s="14" t="n"/>
      <c r="W4605" s="14" t="n"/>
      <c r="X4605" s="7" t="inlineStr"/>
      <c r="Y4605" s="7" t="inlineStr"/>
    </row>
    <row r="4606">
      <c r="A4606" s="7" t="n">
        <v>542841</v>
      </c>
      <c r="B4606" s="12" t="inlineStr"/>
      <c r="C4606" s="7" t="inlineStr">
        <is>
          <t>VITAXON C GOTAS 200MG/ML 200ML (ARL) AIRELA INDUSTRIA FARMACEUTICA</t>
        </is>
      </c>
      <c r="D4606" s="7" t="inlineStr">
        <is>
          <t>SIMILAR</t>
        </is>
      </c>
      <c r="E4606" s="7" t="inlineStr">
        <is>
          <t>A</t>
        </is>
      </c>
      <c r="F4606" s="13" t="n">
        <v>45</v>
      </c>
      <c r="G4606" s="13" t="n">
        <v>45</v>
      </c>
      <c r="H4606" s="8" t="n">
        <v>2.36</v>
      </c>
      <c r="I4606" s="8" t="n">
        <v>2.36</v>
      </c>
      <c r="J4606" s="8" t="n">
        <v>2.36</v>
      </c>
      <c r="K4606" s="8" t="n"/>
      <c r="L4606" s="8" t="n"/>
      <c r="M4606" s="8" t="n"/>
      <c r="N4606" s="8" t="n"/>
      <c r="O4606" s="8" t="n"/>
      <c r="P4606" s="8" t="n"/>
      <c r="Q4606" s="8" t="n"/>
      <c r="R4606" s="15" t="n">
        <v>2.95</v>
      </c>
      <c r="S4606" s="8" t="n"/>
      <c r="T4606" s="7" t="inlineStr">
        <is>
          <t>BRASFARMA</t>
        </is>
      </c>
      <c r="U4606" s="8" t="n">
        <v>2.95</v>
      </c>
      <c r="V4606" s="14">
        <f>U4606/J4606-1</f>
        <v/>
      </c>
      <c r="W4606" s="14">
        <f>U4606/H4606-1</f>
        <v/>
      </c>
      <c r="X4606" s="16" t="inlineStr">
        <is>
          <t>ACIMA +25.0%</t>
        </is>
      </c>
      <c r="Y4606" s="7" t="inlineStr"/>
    </row>
    <row r="4607">
      <c r="A4607" s="7" t="n">
        <v>4943</v>
      </c>
      <c r="B4607" s="12" t="inlineStr">
        <is>
          <t>7894164007196</t>
        </is>
      </c>
      <c r="C4607" s="7" t="inlineStr">
        <is>
          <t>VITAXON C IMUNO COMPLEX C/30 CPR</t>
        </is>
      </c>
      <c r="D4607" s="7" t="inlineStr">
        <is>
          <t>VITAMINA E SIMILARES</t>
        </is>
      </c>
      <c r="E4607" s="7" t="inlineStr">
        <is>
          <t>C</t>
        </is>
      </c>
      <c r="F4607" s="13" t="n">
        <v>1</v>
      </c>
      <c r="G4607" s="13" t="n">
        <v>1</v>
      </c>
      <c r="H4607" s="8" t="n">
        <v>14.99</v>
      </c>
      <c r="I4607" s="8" t="n">
        <v>14.99</v>
      </c>
      <c r="J4607" s="8" t="n">
        <v>14.99</v>
      </c>
      <c r="K4607" s="8" t="n"/>
      <c r="L4607" s="8" t="n"/>
      <c r="M4607" s="8" t="n"/>
      <c r="N4607" s="8" t="n"/>
      <c r="O4607" s="8" t="n"/>
      <c r="P4607" s="8" t="n"/>
      <c r="Q4607" s="8" t="n"/>
      <c r="R4607" s="8" t="n"/>
      <c r="S4607" s="8" t="n"/>
      <c r="T4607" s="7" t="inlineStr">
        <is>
          <t>SEM COTAÇÃO</t>
        </is>
      </c>
      <c r="U4607" s="8" t="n"/>
      <c r="V4607" s="14" t="n"/>
      <c r="W4607" s="14" t="n"/>
      <c r="X4607" s="7" t="inlineStr"/>
      <c r="Y4607" s="7" t="inlineStr"/>
    </row>
    <row r="4608">
      <c r="A4608" s="7" t="n">
        <v>532061</v>
      </c>
      <c r="B4608" s="12" t="inlineStr">
        <is>
          <t>7894164006014</t>
        </is>
      </c>
      <c r="C4608" s="7" t="inlineStr">
        <is>
          <t>VITAXON C TRIPLA ACAO EFERVECE CX C/ 10 CP</t>
        </is>
      </c>
      <c r="D4608" s="7" t="inlineStr">
        <is>
          <t>VITAMINA E SIMILARES</t>
        </is>
      </c>
      <c r="E4608" s="7" t="inlineStr">
        <is>
          <t>A</t>
        </is>
      </c>
      <c r="F4608" s="13" t="n">
        <v>62</v>
      </c>
      <c r="G4608" s="13" t="n">
        <v>62</v>
      </c>
      <c r="H4608" s="8" t="n">
        <v>4.58</v>
      </c>
      <c r="I4608" s="8" t="n">
        <v>4.58</v>
      </c>
      <c r="J4608" s="8" t="n">
        <v>4.58</v>
      </c>
      <c r="K4608" s="8" t="n">
        <v>5.39</v>
      </c>
      <c r="L4608" s="8" t="n"/>
      <c r="M4608" s="8" t="n"/>
      <c r="N4608" s="8" t="n">
        <v>5.73</v>
      </c>
      <c r="O4608" s="15" t="n">
        <v>4.58</v>
      </c>
      <c r="P4608" s="8" t="n"/>
      <c r="Q4608" s="8" t="n"/>
      <c r="R4608" s="8" t="n"/>
      <c r="S4608" s="8" t="n"/>
      <c r="T4608" s="7" t="inlineStr">
        <is>
          <t>TAPAJOS</t>
        </is>
      </c>
      <c r="U4608" s="8" t="n">
        <v>4.58</v>
      </c>
      <c r="V4608" s="14">
        <f>U4608/J4608-1</f>
        <v/>
      </c>
      <c r="W4608" s="14">
        <f>U4608/H4608-1</f>
        <v/>
      </c>
      <c r="X4608" s="17" t="inlineStr">
        <is>
          <t>OK (≤ menor hist.)</t>
        </is>
      </c>
      <c r="Y4608" s="7" t="inlineStr"/>
    </row>
    <row r="4609">
      <c r="A4609" s="7" t="n">
        <v>4053</v>
      </c>
      <c r="B4609" s="12" t="inlineStr">
        <is>
          <t>7894164007127</t>
        </is>
      </c>
      <c r="C4609" s="7" t="inlineStr">
        <is>
          <t>VITAXON C TRIPLA ACAO IMUNO C/30 CPR.</t>
        </is>
      </c>
      <c r="D4609" s="7" t="inlineStr">
        <is>
          <t>SIMILAR</t>
        </is>
      </c>
      <c r="E4609" s="7" t="inlineStr">
        <is>
          <t>C</t>
        </is>
      </c>
      <c r="F4609" s="13" t="n">
        <v>1</v>
      </c>
      <c r="G4609" s="13" t="n">
        <v>1</v>
      </c>
      <c r="H4609" s="8" t="n">
        <v>14.84</v>
      </c>
      <c r="I4609" s="8" t="n">
        <v>14.84</v>
      </c>
      <c r="J4609" s="8" t="n">
        <v>14.84</v>
      </c>
      <c r="K4609" s="15" t="n">
        <v>14.84</v>
      </c>
      <c r="L4609" s="8" t="n"/>
      <c r="M4609" s="8" t="n"/>
      <c r="N4609" s="8" t="n"/>
      <c r="O4609" s="8" t="n"/>
      <c r="P4609" s="8" t="n"/>
      <c r="Q4609" s="8" t="n"/>
      <c r="R4609" s="8" t="n"/>
      <c r="S4609" s="8" t="n"/>
      <c r="T4609" s="7" t="inlineStr">
        <is>
          <t>DIMEC</t>
        </is>
      </c>
      <c r="U4609" s="8" t="n">
        <v>14.84</v>
      </c>
      <c r="V4609" s="14">
        <f>U4609/J4609-1</f>
        <v/>
      </c>
      <c r="W4609" s="14">
        <f>U4609/H4609-1</f>
        <v/>
      </c>
      <c r="X4609" s="17" t="inlineStr">
        <is>
          <t>OK (≤ menor hist.)</t>
        </is>
      </c>
      <c r="Y4609" s="7" t="inlineStr"/>
    </row>
    <row r="4610">
      <c r="A4610" s="7" t="n">
        <v>549221</v>
      </c>
      <c r="B4610" s="12" t="inlineStr"/>
      <c r="C4610" s="7" t="inlineStr">
        <is>
          <t>VITAXON C ZINCO EFERVECENTE CX C/ 10 CP</t>
        </is>
      </c>
      <c r="D4610" s="7" t="inlineStr">
        <is>
          <t>SIMILAR</t>
        </is>
      </c>
      <c r="E4610" s="7" t="inlineStr">
        <is>
          <t>A</t>
        </is>
      </c>
      <c r="F4610" s="13" t="n">
        <v>65</v>
      </c>
      <c r="G4610" s="13" t="n">
        <v>65</v>
      </c>
      <c r="H4610" s="8" t="n">
        <v>5</v>
      </c>
      <c r="I4610" s="8" t="n">
        <v>5</v>
      </c>
      <c r="J4610" s="8" t="n">
        <v>5</v>
      </c>
      <c r="K4610" s="8" t="n"/>
      <c r="L4610" s="8" t="n"/>
      <c r="M4610" s="8" t="n"/>
      <c r="N4610" s="8" t="n"/>
      <c r="O4610" s="8" t="n"/>
      <c r="P4610" s="8" t="n"/>
      <c r="Q4610" s="8" t="n"/>
      <c r="R4610" s="15" t="n">
        <v>5.93</v>
      </c>
      <c r="S4610" s="8" t="n"/>
      <c r="T4610" s="7" t="inlineStr">
        <is>
          <t>BRASFARMA</t>
        </is>
      </c>
      <c r="U4610" s="8" t="n">
        <v>5.93</v>
      </c>
      <c r="V4610" s="14">
        <f>U4610/J4610-1</f>
        <v/>
      </c>
      <c r="W4610" s="14">
        <f>U4610/H4610-1</f>
        <v/>
      </c>
      <c r="X4610" s="16" t="inlineStr">
        <is>
          <t>ACIMA +18.6%</t>
        </is>
      </c>
      <c r="Y4610" s="7" t="inlineStr"/>
    </row>
    <row r="4611">
      <c r="A4611" s="7" t="n">
        <v>538321</v>
      </c>
      <c r="B4611" s="12" t="inlineStr"/>
      <c r="C4611" s="7" t="inlineStr">
        <is>
          <t>VITAXON C ZINCO SOL GOTAS 20ML</t>
        </is>
      </c>
      <c r="D4611" s="7" t="inlineStr">
        <is>
          <t>SIMILAR</t>
        </is>
      </c>
      <c r="E4611" s="7" t="inlineStr">
        <is>
          <t>A</t>
        </is>
      </c>
      <c r="F4611" s="13" t="n">
        <v>29</v>
      </c>
      <c r="G4611" s="13" t="n">
        <v>29</v>
      </c>
      <c r="H4611" s="8" t="n">
        <v>3.01</v>
      </c>
      <c r="I4611" s="8" t="n">
        <v>3.01</v>
      </c>
      <c r="J4611" s="8" t="n">
        <v>3.01</v>
      </c>
      <c r="K4611" s="8" t="n"/>
      <c r="L4611" s="8" t="n"/>
      <c r="M4611" s="8" t="n"/>
      <c r="N4611" s="8" t="n"/>
      <c r="O4611" s="8" t="n"/>
      <c r="P4611" s="8" t="n"/>
      <c r="Q4611" s="8" t="n"/>
      <c r="R4611" s="15" t="n">
        <v>3.99</v>
      </c>
      <c r="S4611" s="8" t="n"/>
      <c r="T4611" s="7" t="inlineStr">
        <is>
          <t>BRASFARMA</t>
        </is>
      </c>
      <c r="U4611" s="8" t="n">
        <v>3.99</v>
      </c>
      <c r="V4611" s="14">
        <f>U4611/J4611-1</f>
        <v/>
      </c>
      <c r="W4611" s="14">
        <f>U4611/H4611-1</f>
        <v/>
      </c>
      <c r="X4611" s="16" t="inlineStr">
        <is>
          <t>ACIMA +32.6%</t>
        </is>
      </c>
      <c r="Y4611" s="7" t="inlineStr"/>
    </row>
    <row r="4612">
      <c r="A4612" s="7" t="n">
        <v>604081</v>
      </c>
      <c r="B4612" s="12" t="inlineStr">
        <is>
          <t>7894164007134</t>
        </is>
      </c>
      <c r="C4612" s="7" t="inlineStr">
        <is>
          <t>VITAXON C+ZINCO ACAO PROLONGADA 30CP</t>
        </is>
      </c>
      <c r="D4612" s="7" t="inlineStr">
        <is>
          <t>VITAMINA E SIMILARES</t>
        </is>
      </c>
      <c r="E4612" s="7" t="inlineStr">
        <is>
          <t>C</t>
        </is>
      </c>
      <c r="F4612" s="13" t="n">
        <v>1</v>
      </c>
      <c r="G4612" s="13" t="n">
        <v>1</v>
      </c>
      <c r="H4612" s="8" t="n">
        <v>10.79</v>
      </c>
      <c r="I4612" s="8" t="n">
        <v>10.79</v>
      </c>
      <c r="J4612" s="8" t="n">
        <v>10.79</v>
      </c>
      <c r="K4612" s="15" t="n">
        <v>11.73</v>
      </c>
      <c r="L4612" s="8" t="n"/>
      <c r="M4612" s="8" t="n"/>
      <c r="N4612" s="8" t="n"/>
      <c r="O4612" s="8" t="n"/>
      <c r="P4612" s="8" t="n"/>
      <c r="Q4612" s="8" t="n"/>
      <c r="R4612" s="8" t="n"/>
      <c r="S4612" s="8" t="n"/>
      <c r="T4612" s="7" t="inlineStr">
        <is>
          <t>DIMEC</t>
        </is>
      </c>
      <c r="U4612" s="8" t="n">
        <v>11.73</v>
      </c>
      <c r="V4612" s="14">
        <f>U4612/J4612-1</f>
        <v/>
      </c>
      <c r="W4612" s="14">
        <f>U4612/H4612-1</f>
        <v/>
      </c>
      <c r="X4612" s="16" t="inlineStr">
        <is>
          <t>ACIMA +8.7%</t>
        </is>
      </c>
      <c r="Y4612" s="7" t="inlineStr"/>
    </row>
    <row r="4613">
      <c r="A4613" s="7" t="n">
        <v>622781</v>
      </c>
      <c r="B4613" s="12" t="inlineStr">
        <is>
          <t>7896226100067</t>
        </is>
      </c>
      <c r="C4613" s="7" t="inlineStr">
        <is>
          <t>VITERGAN MASTER-N CX 30 COMP REV</t>
        </is>
      </c>
      <c r="D4613" s="7" t="inlineStr">
        <is>
          <t>RX - OTC</t>
        </is>
      </c>
      <c r="E4613" s="7" t="inlineStr">
        <is>
          <t>B</t>
        </is>
      </c>
      <c r="F4613" s="13" t="n">
        <v>1</v>
      </c>
      <c r="G4613" s="13" t="n">
        <v>1</v>
      </c>
      <c r="H4613" s="8" t="n">
        <v>103.42</v>
      </c>
      <c r="I4613" s="8" t="n">
        <v>97.12</v>
      </c>
      <c r="J4613" s="8" t="n">
        <v>101.32</v>
      </c>
      <c r="K4613" s="8" t="n"/>
      <c r="L4613" s="8" t="n"/>
      <c r="M4613" s="8" t="n"/>
      <c r="N4613" s="8" t="n"/>
      <c r="O4613" s="15" t="n">
        <v>85.7</v>
      </c>
      <c r="P4613" s="8" t="n">
        <v>113.4609</v>
      </c>
      <c r="Q4613" s="8" t="n"/>
      <c r="R4613" s="8" t="n"/>
      <c r="S4613" s="8" t="n"/>
      <c r="T4613" s="7" t="inlineStr">
        <is>
          <t>TAPAJOS</t>
        </is>
      </c>
      <c r="U4613" s="8" t="n">
        <v>85.7</v>
      </c>
      <c r="V4613" s="14">
        <f>U4613/J4613-1</f>
        <v/>
      </c>
      <c r="W4613" s="14">
        <f>U4613/H4613-1</f>
        <v/>
      </c>
      <c r="X4613" s="17" t="inlineStr">
        <is>
          <t>OK (≤ menor hist.)</t>
        </is>
      </c>
      <c r="Y4613" s="7" t="inlineStr"/>
    </row>
    <row r="4614">
      <c r="A4614" s="7" t="n">
        <v>386261</v>
      </c>
      <c r="B4614" s="12" t="inlineStr">
        <is>
          <t>7896226102603</t>
        </is>
      </c>
      <c r="C4614" s="7" t="inlineStr">
        <is>
          <t>VITERGAN ZINCO 15MG CX 30 COMP</t>
        </is>
      </c>
      <c r="D4614" s="7" t="inlineStr">
        <is>
          <t>DESATIVADO</t>
        </is>
      </c>
      <c r="E4614" s="7" t="inlineStr">
        <is>
          <t>A</t>
        </is>
      </c>
      <c r="F4614" s="13" t="n">
        <v>1</v>
      </c>
      <c r="G4614" s="13" t="n">
        <v>1</v>
      </c>
      <c r="H4614" s="8" t="n">
        <v>81.81999999999999</v>
      </c>
      <c r="I4614" s="8" t="n">
        <v>69.45999999999999</v>
      </c>
      <c r="J4614" s="8" t="n">
        <v>77.69999999999999</v>
      </c>
      <c r="K4614" s="8" t="n"/>
      <c r="L4614" s="8" t="n"/>
      <c r="M4614" s="8" t="n"/>
      <c r="N4614" s="8" t="n"/>
      <c r="O4614" s="15" t="n">
        <v>81.81999999999999</v>
      </c>
      <c r="P4614" s="8" t="n">
        <v>84.4191</v>
      </c>
      <c r="Q4614" s="8" t="n"/>
      <c r="R4614" s="8" t="n"/>
      <c r="S4614" s="8" t="n"/>
      <c r="T4614" s="7" t="inlineStr">
        <is>
          <t>TAPAJOS</t>
        </is>
      </c>
      <c r="U4614" s="8" t="n">
        <v>81.81999999999999</v>
      </c>
      <c r="V4614" s="14">
        <f>U4614/J4614-1</f>
        <v/>
      </c>
      <c r="W4614" s="14">
        <f>U4614/H4614-1</f>
        <v/>
      </c>
      <c r="X4614" s="17" t="inlineStr">
        <is>
          <t>OK (≤ últ. compra)</t>
        </is>
      </c>
      <c r="Y4614" s="7" t="inlineStr"/>
    </row>
    <row r="4615">
      <c r="A4615" s="7" t="n">
        <v>753</v>
      </c>
      <c r="B4615" s="12" t="inlineStr">
        <is>
          <t>7894916325691</t>
        </is>
      </c>
      <c r="C4615" s="7" t="inlineStr">
        <is>
          <t>VOLIG 4MG CX 4 COMP</t>
        </is>
      </c>
      <c r="D4615" s="7" t="inlineStr">
        <is>
          <t>SIMILAR</t>
        </is>
      </c>
      <c r="E4615" s="7" t="inlineStr">
        <is>
          <t>C</t>
        </is>
      </c>
      <c r="F4615" s="13" t="n">
        <v>2</v>
      </c>
      <c r="G4615" s="13" t="n">
        <v>2</v>
      </c>
      <c r="H4615" s="8" t="n">
        <v>2.33</v>
      </c>
      <c r="I4615" s="8" t="n">
        <v>2.33</v>
      </c>
      <c r="J4615" s="8" t="n">
        <v>2.33</v>
      </c>
      <c r="K4615" s="8" t="n"/>
      <c r="L4615" s="8" t="n"/>
      <c r="M4615" s="8" t="n"/>
      <c r="N4615" s="8" t="n"/>
      <c r="O4615" s="8" t="n"/>
      <c r="P4615" s="15" t="n">
        <v>14.21</v>
      </c>
      <c r="Q4615" s="8" t="n"/>
      <c r="R4615" s="8" t="n"/>
      <c r="S4615" s="8" t="n"/>
      <c r="T4615" s="7" t="inlineStr">
        <is>
          <t>NAZARIA</t>
        </is>
      </c>
      <c r="U4615" s="8" t="n">
        <v>14.21</v>
      </c>
      <c r="V4615" s="14">
        <f>U4615/J4615-1</f>
        <v/>
      </c>
      <c r="W4615" s="14">
        <f>U4615/H4615-1</f>
        <v/>
      </c>
      <c r="X4615" s="16" t="inlineStr">
        <is>
          <t>ACIMA +509.9%</t>
        </is>
      </c>
      <c r="Y4615" s="7" t="inlineStr">
        <is>
          <t>NAZARIA: conferir emb.</t>
        </is>
      </c>
    </row>
    <row r="4616">
      <c r="A4616" s="7" t="n">
        <v>121961</v>
      </c>
      <c r="B4616" s="12" t="inlineStr">
        <is>
          <t>7896004774947</t>
        </is>
      </c>
      <c r="C4616" s="7" t="inlineStr">
        <is>
          <t>VOLIG 8MG CX 10 COMP</t>
        </is>
      </c>
      <c r="D4616" s="7" t="inlineStr">
        <is>
          <t>SIMILAR</t>
        </is>
      </c>
      <c r="E4616" s="7" t="inlineStr">
        <is>
          <t>C</t>
        </is>
      </c>
      <c r="F4616" s="13" t="n">
        <v>8</v>
      </c>
      <c r="G4616" s="13" t="n">
        <v>8</v>
      </c>
      <c r="H4616" s="8" t="n">
        <v>7.29</v>
      </c>
      <c r="I4616" s="8" t="n">
        <v>7.29</v>
      </c>
      <c r="J4616" s="8" t="n">
        <v>7.29</v>
      </c>
      <c r="K4616" s="15" t="n">
        <v>7.31</v>
      </c>
      <c r="L4616" s="8" t="n"/>
      <c r="M4616" s="8" t="n"/>
      <c r="N4616" s="8" t="n"/>
      <c r="O4616" s="8" t="n"/>
      <c r="P4616" s="8" t="n">
        <v>45.69</v>
      </c>
      <c r="Q4616" s="8" t="n">
        <v>7.48</v>
      </c>
      <c r="R4616" s="8" t="n"/>
      <c r="S4616" s="8" t="n"/>
      <c r="T4616" s="7" t="inlineStr">
        <is>
          <t>DIMEC</t>
        </is>
      </c>
      <c r="U4616" s="8" t="n">
        <v>7.31</v>
      </c>
      <c r="V4616" s="14">
        <f>U4616/J4616-1</f>
        <v/>
      </c>
      <c r="W4616" s="14">
        <f>U4616/H4616-1</f>
        <v/>
      </c>
      <c r="X4616" s="16" t="inlineStr">
        <is>
          <t>ACIMA +0.3%</t>
        </is>
      </c>
      <c r="Y4616" s="7" t="inlineStr">
        <is>
          <t>NAZARIA: conferir emb.</t>
        </is>
      </c>
    </row>
    <row r="4617">
      <c r="A4617" s="7" t="n">
        <v>211861</v>
      </c>
      <c r="B4617" s="12" t="inlineStr">
        <is>
          <t>7896261000797</t>
        </is>
      </c>
      <c r="C4617" s="7" t="inlineStr">
        <is>
          <t>VOLTAREN 25MG INJ CX 5AMP X 3ML</t>
        </is>
      </c>
      <c r="D4617" s="7" t="inlineStr">
        <is>
          <t>RX</t>
        </is>
      </c>
      <c r="E4617" s="7" t="inlineStr">
        <is>
          <t>B</t>
        </is>
      </c>
      <c r="F4617" s="13" t="n">
        <v>1</v>
      </c>
      <c r="G4617" s="13" t="n">
        <v>2</v>
      </c>
      <c r="H4617" s="8" t="n">
        <v>3.428</v>
      </c>
      <c r="I4617" s="8" t="n">
        <v>3.4276</v>
      </c>
      <c r="J4617" s="8" t="n">
        <v>3.427733333333334</v>
      </c>
      <c r="K4617" s="8" t="n"/>
      <c r="L4617" s="8" t="n"/>
      <c r="M4617" s="15" t="n">
        <v>17.14</v>
      </c>
      <c r="N4617" s="8" t="n"/>
      <c r="O4617" s="8" t="n">
        <v>20.4</v>
      </c>
      <c r="P4617" s="8" t="n">
        <v>20.832</v>
      </c>
      <c r="Q4617" s="8" t="n"/>
      <c r="R4617" s="8" t="n"/>
      <c r="S4617" s="8" t="n"/>
      <c r="T4617" s="7" t="inlineStr">
        <is>
          <t>EPAN</t>
        </is>
      </c>
      <c r="U4617" s="8" t="n">
        <v>17.14</v>
      </c>
      <c r="V4617" s="14">
        <f>U4617/J4617-1</f>
        <v/>
      </c>
      <c r="W4617" s="14">
        <f>U4617/H4617-1</f>
        <v/>
      </c>
      <c r="X4617" s="16" t="inlineStr">
        <is>
          <t>ACIMA +400.0%</t>
        </is>
      </c>
      <c r="Y4617" s="7" t="inlineStr">
        <is>
          <t>EPAN: conferir emb.; TAPAJOS: conferir emb.; NAZARIA: conferir emb.</t>
        </is>
      </c>
    </row>
    <row r="4618">
      <c r="A4618" s="7" t="n">
        <v>647851</v>
      </c>
      <c r="B4618" s="12" t="inlineStr">
        <is>
          <t>7896112407171</t>
        </is>
      </c>
      <c r="C4618" s="7" t="inlineStr">
        <is>
          <t>VONAUGASMAX 250MG 10CAPS</t>
        </is>
      </c>
      <c r="D4618" s="7" t="inlineStr">
        <is>
          <t>SIMILAR</t>
        </is>
      </c>
      <c r="E4618" s="7" t="inlineStr">
        <is>
          <t>C</t>
        </is>
      </c>
      <c r="F4618" s="13" t="n">
        <v>2</v>
      </c>
      <c r="G4618" s="13" t="n">
        <v>2</v>
      </c>
      <c r="H4618" s="8" t="n">
        <v>14.4425</v>
      </c>
      <c r="I4618" s="8" t="n">
        <v>14.4425</v>
      </c>
      <c r="J4618" s="8" t="n">
        <v>14.4425</v>
      </c>
      <c r="K4618" s="8" t="n"/>
      <c r="L4618" s="8" t="n"/>
      <c r="M4618" s="8" t="n"/>
      <c r="N4618" s="8" t="n"/>
      <c r="O4618" s="8" t="n"/>
      <c r="P4618" s="15" t="n">
        <v>28.224</v>
      </c>
      <c r="Q4618" s="8" t="n"/>
      <c r="R4618" s="8" t="n"/>
      <c r="S4618" s="8" t="n"/>
      <c r="T4618" s="7" t="inlineStr">
        <is>
          <t>NAZARIA</t>
        </is>
      </c>
      <c r="U4618" s="8" t="n">
        <v>28.224</v>
      </c>
      <c r="V4618" s="14">
        <f>U4618/J4618-1</f>
        <v/>
      </c>
      <c r="W4618" s="14">
        <f>U4618/H4618-1</f>
        <v/>
      </c>
      <c r="X4618" s="16" t="inlineStr">
        <is>
          <t>ACIMA +95.4%</t>
        </is>
      </c>
      <c r="Y4618" s="7" t="inlineStr"/>
    </row>
    <row r="4619">
      <c r="A4619" s="7" t="n">
        <v>608211</v>
      </c>
      <c r="B4619" s="12" t="inlineStr">
        <is>
          <t>7899852022949</t>
        </is>
      </c>
      <c r="C4619" s="7" t="inlineStr">
        <is>
          <t>VULT CARE AGUA MICELAR FACIAL 200ML</t>
        </is>
      </c>
      <c r="D4619" s="7" t="inlineStr">
        <is>
          <t>PERF/COSME</t>
        </is>
      </c>
      <c r="E4619" s="7" t="inlineStr">
        <is>
          <t>C</t>
        </is>
      </c>
      <c r="F4619" s="13" t="n">
        <v>1</v>
      </c>
      <c r="G4619" s="13" t="n">
        <v>1</v>
      </c>
      <c r="H4619" s="8" t="n">
        <v>19.95</v>
      </c>
      <c r="I4619" s="8" t="n">
        <v>19.95</v>
      </c>
      <c r="J4619" s="8" t="n">
        <v>19.95</v>
      </c>
      <c r="K4619" s="8" t="n"/>
      <c r="L4619" s="8" t="n"/>
      <c r="M4619" s="8" t="n"/>
      <c r="N4619" s="8" t="n"/>
      <c r="O4619" s="8" t="n"/>
      <c r="P4619" s="8" t="n"/>
      <c r="Q4619" s="8" t="n"/>
      <c r="R4619" s="8" t="n"/>
      <c r="S4619" s="8" t="n"/>
      <c r="T4619" s="7" t="inlineStr">
        <is>
          <t>SEM COTAÇÃO</t>
        </is>
      </c>
      <c r="U4619" s="8" t="n"/>
      <c r="V4619" s="14" t="n"/>
      <c r="W4619" s="14" t="n"/>
      <c r="X4619" s="7" t="inlineStr"/>
      <c r="Y4619" s="7" t="inlineStr"/>
    </row>
    <row r="4620">
      <c r="A4620" s="7" t="n">
        <v>608231</v>
      </c>
      <c r="B4620" s="12" t="inlineStr">
        <is>
          <t>7899852022932</t>
        </is>
      </c>
      <c r="C4620" s="7" t="inlineStr">
        <is>
          <t>VULT CARE GEL LIMP FAC ANTIOLEOSIDAD 85G</t>
        </is>
      </c>
      <c r="D4620" s="7" t="inlineStr">
        <is>
          <t>PERF/COSME</t>
        </is>
      </c>
      <c r="E4620" s="7" t="inlineStr">
        <is>
          <t>C</t>
        </is>
      </c>
      <c r="F4620" s="13" t="n">
        <v>1</v>
      </c>
      <c r="G4620" s="13" t="n">
        <v>1</v>
      </c>
      <c r="H4620" s="8" t="n">
        <v>13.28</v>
      </c>
      <c r="I4620" s="8" t="n">
        <v>13.28</v>
      </c>
      <c r="J4620" s="8" t="n">
        <v>13.28</v>
      </c>
      <c r="K4620" s="8" t="n"/>
      <c r="L4620" s="8" t="n"/>
      <c r="M4620" s="8" t="n"/>
      <c r="N4620" s="8" t="n"/>
      <c r="O4620" s="8" t="n"/>
      <c r="P4620" s="8" t="n"/>
      <c r="Q4620" s="8" t="n"/>
      <c r="R4620" s="8" t="n"/>
      <c r="S4620" s="8" t="n"/>
      <c r="T4620" s="7" t="inlineStr">
        <is>
          <t>SEM COTAÇÃO</t>
        </is>
      </c>
      <c r="U4620" s="8" t="n"/>
      <c r="V4620" s="14" t="n"/>
      <c r="W4620" s="14" t="n"/>
      <c r="X4620" s="7" t="inlineStr"/>
      <c r="Y4620" s="7" t="inlineStr"/>
    </row>
    <row r="4621">
      <c r="A4621" s="7" t="n">
        <v>646391</v>
      </c>
      <c r="B4621" s="12" t="inlineStr">
        <is>
          <t>7899852026060</t>
        </is>
      </c>
      <c r="C4621" s="7" t="inlineStr">
        <is>
          <t>VULT CARE PROT SOLAR FAC FPS70 40ML</t>
        </is>
      </c>
      <c r="D4621" s="7" t="inlineStr">
        <is>
          <t>COND/SHAM/CREM/SIMILARES</t>
        </is>
      </c>
      <c r="E4621" s="7" t="inlineStr">
        <is>
          <t>C</t>
        </is>
      </c>
      <c r="F4621" s="13" t="n">
        <v>1</v>
      </c>
      <c r="G4621" s="13" t="n">
        <v>1</v>
      </c>
      <c r="H4621" s="8" t="n">
        <v>27.03</v>
      </c>
      <c r="I4621" s="8" t="n">
        <v>27.03</v>
      </c>
      <c r="J4621" s="8" t="n">
        <v>27.03</v>
      </c>
      <c r="K4621" s="8" t="n"/>
      <c r="L4621" s="8" t="n"/>
      <c r="M4621" s="8" t="n"/>
      <c r="N4621" s="8" t="n"/>
      <c r="O4621" s="8" t="n"/>
      <c r="P4621" s="8" t="n"/>
      <c r="Q4621" s="8" t="n"/>
      <c r="R4621" s="8" t="n"/>
      <c r="S4621" s="8" t="n"/>
      <c r="T4621" s="7" t="inlineStr">
        <is>
          <t>SEM COTAÇÃO</t>
        </is>
      </c>
      <c r="U4621" s="8" t="n"/>
      <c r="V4621" s="14" t="n"/>
      <c r="W4621" s="14" t="n"/>
      <c r="X4621" s="7" t="inlineStr"/>
      <c r="Y4621" s="7" t="inlineStr"/>
    </row>
    <row r="4622">
      <c r="A4622" s="7" t="n">
        <v>635001</v>
      </c>
      <c r="B4622" s="12" t="inlineStr">
        <is>
          <t>7899852025117</t>
        </is>
      </c>
      <c r="C4622" s="7" t="inlineStr">
        <is>
          <t>VULT HAIR CCP CHOQUE RECONSTRUCAO 300ML</t>
        </is>
      </c>
      <c r="D4622" s="7" t="inlineStr">
        <is>
          <t>PERF/COSME</t>
        </is>
      </c>
      <c r="E4622" s="7" t="inlineStr">
        <is>
          <t>B</t>
        </is>
      </c>
      <c r="F4622" s="13" t="n">
        <v>2</v>
      </c>
      <c r="G4622" s="13" t="n">
        <v>2</v>
      </c>
      <c r="H4622" s="8" t="n">
        <v>19.8</v>
      </c>
      <c r="I4622" s="8" t="n">
        <v>19.8</v>
      </c>
      <c r="J4622" s="8" t="n">
        <v>19.8</v>
      </c>
      <c r="K4622" s="8" t="n"/>
      <c r="L4622" s="8" t="n"/>
      <c r="M4622" s="8" t="n"/>
      <c r="N4622" s="8" t="n"/>
      <c r="O4622" s="8" t="n"/>
      <c r="P4622" s="8" t="n"/>
      <c r="Q4622" s="8" t="n"/>
      <c r="R4622" s="8" t="n"/>
      <c r="S4622" s="8" t="n"/>
      <c r="T4622" s="7" t="inlineStr">
        <is>
          <t>SEM COTAÇÃO</t>
        </is>
      </c>
      <c r="U4622" s="8" t="n"/>
      <c r="V4622" s="14" t="n"/>
      <c r="W4622" s="14" t="n"/>
      <c r="X4622" s="7" t="inlineStr"/>
      <c r="Y4622" s="7" t="inlineStr"/>
    </row>
    <row r="4623">
      <c r="A4623" s="7" t="n">
        <v>634991</v>
      </c>
      <c r="B4623" s="12" t="inlineStr">
        <is>
          <t>7899852023649</t>
        </is>
      </c>
      <c r="C4623" s="7" t="inlineStr">
        <is>
          <t>VULT HAIR CCP DEFIN INTENSA CACHO 300ML</t>
        </is>
      </c>
      <c r="D4623" s="7" t="inlineStr">
        <is>
          <t>PERF/COSME</t>
        </is>
      </c>
      <c r="E4623" s="7" t="inlineStr">
        <is>
          <t>C</t>
        </is>
      </c>
      <c r="F4623" s="13" t="n">
        <v>1</v>
      </c>
      <c r="G4623" s="13" t="n">
        <v>1</v>
      </c>
      <c r="H4623" s="8" t="n">
        <v>19.8</v>
      </c>
      <c r="I4623" s="8" t="n">
        <v>19.8</v>
      </c>
      <c r="J4623" s="8" t="n">
        <v>19.8</v>
      </c>
      <c r="K4623" s="8" t="n"/>
      <c r="L4623" s="8" t="n"/>
      <c r="M4623" s="8" t="n"/>
      <c r="N4623" s="8" t="n"/>
      <c r="O4623" s="8" t="n"/>
      <c r="P4623" s="8" t="n"/>
      <c r="Q4623" s="8" t="n"/>
      <c r="R4623" s="8" t="n"/>
      <c r="S4623" s="8" t="n"/>
      <c r="T4623" s="7" t="inlineStr">
        <is>
          <t>SEM COTAÇÃO</t>
        </is>
      </c>
      <c r="U4623" s="8" t="n"/>
      <c r="V4623" s="14" t="n"/>
      <c r="W4623" s="14" t="n"/>
      <c r="X4623" s="7" t="inlineStr"/>
      <c r="Y4623" s="7" t="inlineStr"/>
    </row>
    <row r="4624">
      <c r="A4624" s="7" t="n">
        <v>635011</v>
      </c>
      <c r="B4624" s="12" t="inlineStr">
        <is>
          <t>7899852023694</t>
        </is>
      </c>
      <c r="C4624" s="7" t="inlineStr">
        <is>
          <t>VULT HAIR CCP DEFIN SUAVE CACHO 300ML</t>
        </is>
      </c>
      <c r="D4624" s="7" t="inlineStr">
        <is>
          <t>PERF/COSME</t>
        </is>
      </c>
      <c r="E4624" s="7" t="inlineStr">
        <is>
          <t>C</t>
        </is>
      </c>
      <c r="F4624" s="13" t="n">
        <v>1</v>
      </c>
      <c r="G4624" s="13" t="n">
        <v>1</v>
      </c>
      <c r="H4624" s="8" t="n">
        <v>19.8</v>
      </c>
      <c r="I4624" s="8" t="n">
        <v>19.8</v>
      </c>
      <c r="J4624" s="8" t="n">
        <v>19.8</v>
      </c>
      <c r="K4624" s="8" t="n"/>
      <c r="L4624" s="8" t="n"/>
      <c r="M4624" s="8" t="n"/>
      <c r="N4624" s="8" t="n"/>
      <c r="O4624" s="8" t="n"/>
      <c r="P4624" s="8" t="n"/>
      <c r="Q4624" s="8" t="n"/>
      <c r="R4624" s="8" t="n"/>
      <c r="S4624" s="8" t="n"/>
      <c r="T4624" s="7" t="inlineStr">
        <is>
          <t>SEM COTAÇÃO</t>
        </is>
      </c>
      <c r="U4624" s="8" t="n"/>
      <c r="V4624" s="14" t="n"/>
      <c r="W4624" s="14" t="n"/>
      <c r="X4624" s="7" t="inlineStr"/>
      <c r="Y4624" s="7" t="inlineStr"/>
    </row>
    <row r="4625">
      <c r="A4625" s="7" t="n">
        <v>635041</v>
      </c>
      <c r="B4625" s="12" t="inlineStr">
        <is>
          <t>7899852025520</t>
        </is>
      </c>
      <c r="C4625" s="7" t="inlineStr">
        <is>
          <t>VULT HAIR CO CACHOS 325ML</t>
        </is>
      </c>
      <c r="D4625" s="7" t="inlineStr">
        <is>
          <t>DESATIVADO</t>
        </is>
      </c>
      <c r="E4625" s="7" t="inlineStr">
        <is>
          <t>C</t>
        </is>
      </c>
      <c r="F4625" s="13" t="n">
        <v>1</v>
      </c>
      <c r="G4625" s="13" t="n">
        <v>1</v>
      </c>
      <c r="H4625" s="8" t="n">
        <v>19.3</v>
      </c>
      <c r="I4625" s="8" t="n">
        <v>19.3</v>
      </c>
      <c r="J4625" s="8" t="n">
        <v>19.3</v>
      </c>
      <c r="K4625" s="8" t="n"/>
      <c r="L4625" s="8" t="n"/>
      <c r="M4625" s="8" t="n"/>
      <c r="N4625" s="8" t="n"/>
      <c r="O4625" s="8" t="n"/>
      <c r="P4625" s="15" t="n">
        <v>20.72</v>
      </c>
      <c r="Q4625" s="8" t="n"/>
      <c r="R4625" s="8" t="n"/>
      <c r="S4625" s="8" t="n"/>
      <c r="T4625" s="7" t="inlineStr">
        <is>
          <t>NAZARIA</t>
        </is>
      </c>
      <c r="U4625" s="8" t="n">
        <v>20.72</v>
      </c>
      <c r="V4625" s="14">
        <f>U4625/J4625-1</f>
        <v/>
      </c>
      <c r="W4625" s="14">
        <f>U4625/H4625-1</f>
        <v/>
      </c>
      <c r="X4625" s="16" t="inlineStr">
        <is>
          <t>ACIMA +7.4%</t>
        </is>
      </c>
      <c r="Y4625" s="7" t="inlineStr"/>
    </row>
    <row r="4626">
      <c r="A4626" s="7" t="n">
        <v>634981</v>
      </c>
      <c r="B4626" s="12" t="inlineStr">
        <is>
          <t>7899852025087</t>
        </is>
      </c>
      <c r="C4626" s="7" t="inlineStr">
        <is>
          <t>VULT HAIR CO CHOQUE RECONSTRUCAO 325ML</t>
        </is>
      </c>
      <c r="D4626" s="7" t="inlineStr">
        <is>
          <t>DESATIVADO</t>
        </is>
      </c>
      <c r="E4626" s="7" t="inlineStr">
        <is>
          <t>C</t>
        </is>
      </c>
      <c r="F4626" s="13" t="n">
        <v>1</v>
      </c>
      <c r="G4626" s="13" t="n">
        <v>1</v>
      </c>
      <c r="H4626" s="8" t="n">
        <v>18.08</v>
      </c>
      <c r="I4626" s="8" t="n">
        <v>18.08</v>
      </c>
      <c r="J4626" s="8" t="n">
        <v>18.08</v>
      </c>
      <c r="K4626" s="8" t="n"/>
      <c r="L4626" s="8" t="n"/>
      <c r="M4626" s="8" t="n"/>
      <c r="N4626" s="8" t="n"/>
      <c r="O4626" s="8" t="n"/>
      <c r="P4626" s="8" t="n"/>
      <c r="Q4626" s="8" t="n"/>
      <c r="R4626" s="8" t="n"/>
      <c r="S4626" s="8" t="n"/>
      <c r="T4626" s="7" t="inlineStr">
        <is>
          <t>SEM COTAÇÃO</t>
        </is>
      </c>
      <c r="U4626" s="8" t="n"/>
      <c r="V4626" s="14" t="n"/>
      <c r="W4626" s="14" t="n"/>
      <c r="X4626" s="7" t="inlineStr"/>
      <c r="Y4626" s="7" t="inlineStr"/>
    </row>
    <row r="4627">
      <c r="A4627" s="7" t="n">
        <v>646421</v>
      </c>
      <c r="B4627" s="12" t="inlineStr">
        <is>
          <t>7899852025544</t>
        </is>
      </c>
      <c r="C4627" s="7" t="inlineStr">
        <is>
          <t>VULT HAIR CO CRESPOS 325ML</t>
        </is>
      </c>
      <c r="D4627" s="7" t="inlineStr">
        <is>
          <t>DESATIVADO</t>
        </is>
      </c>
      <c r="E4627" s="7" t="inlineStr">
        <is>
          <t>C</t>
        </is>
      </c>
      <c r="F4627" s="13" t="n">
        <v>1</v>
      </c>
      <c r="G4627" s="13" t="n">
        <v>1</v>
      </c>
      <c r="H4627" s="8" t="n">
        <v>18.23</v>
      </c>
      <c r="I4627" s="8" t="n">
        <v>18.23</v>
      </c>
      <c r="J4627" s="8" t="n">
        <v>18.23</v>
      </c>
      <c r="K4627" s="8" t="n"/>
      <c r="L4627" s="8" t="n"/>
      <c r="M4627" s="8" t="n"/>
      <c r="N4627" s="8" t="n"/>
      <c r="O4627" s="8" t="n"/>
      <c r="P4627" s="8" t="n"/>
      <c r="Q4627" s="8" t="n"/>
      <c r="R4627" s="8" t="n"/>
      <c r="S4627" s="8" t="n"/>
      <c r="T4627" s="7" t="inlineStr">
        <is>
          <t>SEM COTAÇÃO</t>
        </is>
      </c>
      <c r="U4627" s="8" t="n"/>
      <c r="V4627" s="14" t="n"/>
      <c r="W4627" s="14" t="n"/>
      <c r="X4627" s="7" t="inlineStr"/>
      <c r="Y4627" s="7" t="inlineStr"/>
    </row>
    <row r="4628">
      <c r="A4628" s="7" t="n">
        <v>635151</v>
      </c>
      <c r="B4628" s="12" t="inlineStr">
        <is>
          <t>7899852025056</t>
        </is>
      </c>
      <c r="C4628" s="7" t="inlineStr">
        <is>
          <t>VULT HAIR CO EXPLOSAO DE FORCA 325ML</t>
        </is>
      </c>
      <c r="D4628" s="7" t="inlineStr">
        <is>
          <t>DESATIVADO</t>
        </is>
      </c>
      <c r="E4628" s="7" t="inlineStr">
        <is>
          <t>C</t>
        </is>
      </c>
      <c r="F4628" s="13" t="n">
        <v>1</v>
      </c>
      <c r="G4628" s="13" t="n">
        <v>1</v>
      </c>
      <c r="H4628" s="8" t="n">
        <v>18.23</v>
      </c>
      <c r="I4628" s="8" t="n">
        <v>18.23</v>
      </c>
      <c r="J4628" s="8" t="n">
        <v>18.23</v>
      </c>
      <c r="K4628" s="8" t="n"/>
      <c r="L4628" s="8" t="n"/>
      <c r="M4628" s="8" t="n"/>
      <c r="N4628" s="8" t="n"/>
      <c r="O4628" s="8" t="n"/>
      <c r="P4628" s="8" t="n"/>
      <c r="Q4628" s="8" t="n"/>
      <c r="R4628" s="8" t="n"/>
      <c r="S4628" s="8" t="n"/>
      <c r="T4628" s="7" t="inlineStr">
        <is>
          <t>SEM COTAÇÃO</t>
        </is>
      </c>
      <c r="U4628" s="8" t="n"/>
      <c r="V4628" s="14" t="n"/>
      <c r="W4628" s="14" t="n"/>
      <c r="X4628" s="7" t="inlineStr"/>
      <c r="Y4628" s="7" t="inlineStr"/>
    </row>
    <row r="4629">
      <c r="A4629" s="7" t="n">
        <v>635051</v>
      </c>
      <c r="B4629" s="12" t="inlineStr">
        <is>
          <t>7899852025506</t>
        </is>
      </c>
      <c r="C4629" s="7" t="inlineStr">
        <is>
          <t>VULT HAIR CO LISOS 325ML</t>
        </is>
      </c>
      <c r="D4629" s="7" t="inlineStr">
        <is>
          <t>PERF/COSME</t>
        </is>
      </c>
      <c r="E4629" s="7" t="inlineStr">
        <is>
          <t>C</t>
        </is>
      </c>
      <c r="F4629" s="13" t="n">
        <v>1</v>
      </c>
      <c r="G4629" s="13" t="n">
        <v>1</v>
      </c>
      <c r="H4629" s="8" t="n">
        <v>19.11</v>
      </c>
      <c r="I4629" s="8" t="n">
        <v>19.11</v>
      </c>
      <c r="J4629" s="8" t="n">
        <v>19.11</v>
      </c>
      <c r="K4629" s="8" t="n"/>
      <c r="L4629" s="8" t="n"/>
      <c r="M4629" s="8" t="n"/>
      <c r="N4629" s="8" t="n"/>
      <c r="O4629" s="8" t="n"/>
      <c r="P4629" s="15" t="n">
        <v>20.72</v>
      </c>
      <c r="Q4629" s="8" t="n"/>
      <c r="R4629" s="8" t="n"/>
      <c r="S4629" s="8" t="n"/>
      <c r="T4629" s="7" t="inlineStr">
        <is>
          <t>NAZARIA</t>
        </is>
      </c>
      <c r="U4629" s="8" t="n">
        <v>20.72</v>
      </c>
      <c r="V4629" s="14">
        <f>U4629/J4629-1</f>
        <v/>
      </c>
      <c r="W4629" s="14">
        <f>U4629/H4629-1</f>
        <v/>
      </c>
      <c r="X4629" s="16" t="inlineStr">
        <is>
          <t>ACIMA +8.4%</t>
        </is>
      </c>
      <c r="Y4629" s="7" t="inlineStr"/>
    </row>
    <row r="4630">
      <c r="A4630" s="7" t="n">
        <v>635071</v>
      </c>
      <c r="B4630" s="12" t="inlineStr">
        <is>
          <t>7899852025896</t>
        </is>
      </c>
      <c r="C4630" s="7" t="inlineStr">
        <is>
          <t>VULT HAIR CO OLEOS PODEROSOS NUTRI 325ML</t>
        </is>
      </c>
      <c r="D4630" s="7" t="inlineStr">
        <is>
          <t>DESATIVADO</t>
        </is>
      </c>
      <c r="E4630" s="7" t="inlineStr">
        <is>
          <t>C</t>
        </is>
      </c>
      <c r="F4630" s="13" t="n">
        <v>1</v>
      </c>
      <c r="G4630" s="13" t="n">
        <v>1</v>
      </c>
      <c r="H4630" s="8" t="n">
        <v>18.08</v>
      </c>
      <c r="I4630" s="8" t="n">
        <v>18.08</v>
      </c>
      <c r="J4630" s="8" t="n">
        <v>18.08</v>
      </c>
      <c r="K4630" s="8" t="n"/>
      <c r="L4630" s="8" t="n"/>
      <c r="M4630" s="8" t="n"/>
      <c r="N4630" s="8" t="n"/>
      <c r="O4630" s="8" t="n"/>
      <c r="P4630" s="8" t="n"/>
      <c r="Q4630" s="8" t="n"/>
      <c r="R4630" s="8" t="n"/>
      <c r="S4630" s="8" t="n"/>
      <c r="T4630" s="7" t="inlineStr">
        <is>
          <t>SEM COTAÇÃO</t>
        </is>
      </c>
      <c r="U4630" s="8" t="n"/>
      <c r="V4630" s="14" t="n"/>
      <c r="W4630" s="14" t="n"/>
      <c r="X4630" s="7" t="inlineStr"/>
      <c r="Y4630" s="7" t="inlineStr"/>
    </row>
    <row r="4631">
      <c r="A4631" s="7" t="n">
        <v>635101</v>
      </c>
      <c r="B4631" s="12" t="inlineStr">
        <is>
          <t>7899852025568</t>
        </is>
      </c>
      <c r="C4631" s="7" t="inlineStr">
        <is>
          <t>VULT HAIR CO ONDULADOS 325ML</t>
        </is>
      </c>
      <c r="D4631" s="7" t="inlineStr">
        <is>
          <t>DESATIVADO</t>
        </is>
      </c>
      <c r="E4631" s="7" t="inlineStr">
        <is>
          <t>C</t>
        </is>
      </c>
      <c r="F4631" s="13" t="n">
        <v>1</v>
      </c>
      <c r="G4631" s="13" t="n">
        <v>1</v>
      </c>
      <c r="H4631" s="8" t="n">
        <v>18.08</v>
      </c>
      <c r="I4631" s="8" t="n">
        <v>18.08</v>
      </c>
      <c r="J4631" s="8" t="n">
        <v>18.08</v>
      </c>
      <c r="K4631" s="8" t="n"/>
      <c r="L4631" s="8" t="n"/>
      <c r="M4631" s="8" t="n"/>
      <c r="N4631" s="8" t="n"/>
      <c r="O4631" s="8" t="n"/>
      <c r="P4631" s="8" t="n"/>
      <c r="Q4631" s="8" t="n"/>
      <c r="R4631" s="8" t="n"/>
      <c r="S4631" s="8" t="n"/>
      <c r="T4631" s="7" t="inlineStr">
        <is>
          <t>SEM COTAÇÃO</t>
        </is>
      </c>
      <c r="U4631" s="8" t="n"/>
      <c r="V4631" s="14" t="n"/>
      <c r="W4631" s="14" t="n"/>
      <c r="X4631" s="7" t="inlineStr"/>
      <c r="Y4631" s="7" t="inlineStr"/>
    </row>
    <row r="4632">
      <c r="A4632" s="7" t="n">
        <v>635141</v>
      </c>
      <c r="B4632" s="12" t="inlineStr">
        <is>
          <t>7899852025407</t>
        </is>
      </c>
      <c r="C4632" s="7" t="inlineStr">
        <is>
          <t>VULT HAIR CO RECARGA DE HIDRATACAO 325ML</t>
        </is>
      </c>
      <c r="D4632" s="7" t="inlineStr">
        <is>
          <t>PERF/COSME</t>
        </is>
      </c>
      <c r="E4632" s="7" t="inlineStr">
        <is>
          <t>C</t>
        </is>
      </c>
      <c r="F4632" s="13" t="n">
        <v>4</v>
      </c>
      <c r="G4632" s="13" t="n">
        <v>4</v>
      </c>
      <c r="H4632" s="8" t="n">
        <v>18.23</v>
      </c>
      <c r="I4632" s="8" t="n">
        <v>18.23</v>
      </c>
      <c r="J4632" s="8" t="n">
        <v>18.23</v>
      </c>
      <c r="K4632" s="8" t="n"/>
      <c r="L4632" s="8" t="n"/>
      <c r="M4632" s="8" t="n"/>
      <c r="N4632" s="8" t="n"/>
      <c r="O4632" s="8" t="n"/>
      <c r="P4632" s="15" t="n">
        <v>20.72</v>
      </c>
      <c r="Q4632" s="8" t="n"/>
      <c r="R4632" s="8" t="n"/>
      <c r="S4632" s="8" t="n"/>
      <c r="T4632" s="7" t="inlineStr">
        <is>
          <t>NAZARIA</t>
        </is>
      </c>
      <c r="U4632" s="8" t="n">
        <v>20.72</v>
      </c>
      <c r="V4632" s="14">
        <f>U4632/J4632-1</f>
        <v/>
      </c>
      <c r="W4632" s="14">
        <f>U4632/H4632-1</f>
        <v/>
      </c>
      <c r="X4632" s="16" t="inlineStr">
        <is>
          <t>ACIMA +13.7%</t>
        </is>
      </c>
      <c r="Y4632" s="7" t="inlineStr"/>
    </row>
    <row r="4633">
      <c r="A4633" s="7" t="n">
        <v>635081</v>
      </c>
      <c r="B4633" s="12" t="inlineStr">
        <is>
          <t>7899852025513</t>
        </is>
      </c>
      <c r="C4633" s="7" t="inlineStr">
        <is>
          <t>VULT HAIR SH CACHOS 350ML</t>
        </is>
      </c>
      <c r="D4633" s="7" t="inlineStr">
        <is>
          <t>DESATIVADO</t>
        </is>
      </c>
      <c r="E4633" s="7" t="inlineStr">
        <is>
          <t>C</t>
        </is>
      </c>
      <c r="F4633" s="13" t="n">
        <v>1</v>
      </c>
      <c r="G4633" s="13" t="n">
        <v>1</v>
      </c>
      <c r="H4633" s="8" t="n">
        <v>16.55</v>
      </c>
      <c r="I4633" s="8" t="n">
        <v>16.55</v>
      </c>
      <c r="J4633" s="8" t="n">
        <v>16.55</v>
      </c>
      <c r="K4633" s="8" t="n"/>
      <c r="L4633" s="8" t="n"/>
      <c r="M4633" s="8" t="n"/>
      <c r="N4633" s="8" t="n"/>
      <c r="O4633" s="8" t="n"/>
      <c r="P4633" s="15" t="n">
        <v>18.5</v>
      </c>
      <c r="Q4633" s="8" t="n"/>
      <c r="R4633" s="8" t="n"/>
      <c r="S4633" s="8" t="n"/>
      <c r="T4633" s="7" t="inlineStr">
        <is>
          <t>NAZARIA</t>
        </is>
      </c>
      <c r="U4633" s="8" t="n">
        <v>18.5</v>
      </c>
      <c r="V4633" s="14">
        <f>U4633/J4633-1</f>
        <v/>
      </c>
      <c r="W4633" s="14">
        <f>U4633/H4633-1</f>
        <v/>
      </c>
      <c r="X4633" s="16" t="inlineStr">
        <is>
          <t>ACIMA +11.8%</t>
        </is>
      </c>
      <c r="Y4633" s="7" t="inlineStr"/>
    </row>
    <row r="4634">
      <c r="A4634" s="7" t="n">
        <v>635111</v>
      </c>
      <c r="B4634" s="12" t="inlineStr">
        <is>
          <t>7899852025070</t>
        </is>
      </c>
      <c r="C4634" s="7" t="inlineStr">
        <is>
          <t>VULT HAIR SH CHOQUE RECONSTRUCAO 350ML</t>
        </is>
      </c>
      <c r="D4634" s="7" t="inlineStr">
        <is>
          <t>PERF/COSME</t>
        </is>
      </c>
      <c r="E4634" s="7" t="inlineStr">
        <is>
          <t>C</t>
        </is>
      </c>
      <c r="F4634" s="13" t="n">
        <v>1</v>
      </c>
      <c r="G4634" s="13" t="n">
        <v>1</v>
      </c>
      <c r="H4634" s="8" t="n">
        <v>15.85</v>
      </c>
      <c r="I4634" s="8" t="n">
        <v>15.85</v>
      </c>
      <c r="J4634" s="8" t="n">
        <v>15.85</v>
      </c>
      <c r="K4634" s="8" t="n"/>
      <c r="L4634" s="8" t="n"/>
      <c r="M4634" s="8" t="n"/>
      <c r="N4634" s="8" t="n"/>
      <c r="O4634" s="8" t="n"/>
      <c r="P4634" s="8" t="n"/>
      <c r="Q4634" s="8" t="n"/>
      <c r="R4634" s="8" t="n"/>
      <c r="S4634" s="8" t="n"/>
      <c r="T4634" s="7" t="inlineStr">
        <is>
          <t>SEM COTAÇÃO</t>
        </is>
      </c>
      <c r="U4634" s="8" t="n"/>
      <c r="V4634" s="14" t="n"/>
      <c r="W4634" s="14" t="n"/>
      <c r="X4634" s="7" t="inlineStr"/>
      <c r="Y4634" s="7" t="inlineStr"/>
    </row>
    <row r="4635">
      <c r="A4635" s="7" t="n">
        <v>646451</v>
      </c>
      <c r="B4635" s="12" t="inlineStr">
        <is>
          <t>7899852025537</t>
        </is>
      </c>
      <c r="C4635" s="7" t="inlineStr">
        <is>
          <t>VULT HAIR SH CRESPOS 350ML</t>
        </is>
      </c>
      <c r="D4635" s="7" t="inlineStr">
        <is>
          <t>DESATIVADO</t>
        </is>
      </c>
      <c r="E4635" s="7" t="inlineStr">
        <is>
          <t>C</t>
        </is>
      </c>
      <c r="F4635" s="13" t="n">
        <v>1</v>
      </c>
      <c r="G4635" s="13" t="n">
        <v>1</v>
      </c>
      <c r="H4635" s="8" t="n">
        <v>15.85</v>
      </c>
      <c r="I4635" s="8" t="n">
        <v>15.85</v>
      </c>
      <c r="J4635" s="8" t="n">
        <v>15.85</v>
      </c>
      <c r="K4635" s="8" t="n"/>
      <c r="L4635" s="8" t="n"/>
      <c r="M4635" s="8" t="n"/>
      <c r="N4635" s="8" t="n"/>
      <c r="O4635" s="8" t="n"/>
      <c r="P4635" s="8" t="n"/>
      <c r="Q4635" s="8" t="n"/>
      <c r="R4635" s="8" t="n"/>
      <c r="S4635" s="8" t="n"/>
      <c r="T4635" s="7" t="inlineStr">
        <is>
          <t>SEM COTAÇÃO</t>
        </is>
      </c>
      <c r="U4635" s="8" t="n"/>
      <c r="V4635" s="14" t="n"/>
      <c r="W4635" s="14" t="n"/>
      <c r="X4635" s="7" t="inlineStr"/>
      <c r="Y4635" s="7" t="inlineStr"/>
    </row>
    <row r="4636">
      <c r="A4636" s="7" t="n">
        <v>635161</v>
      </c>
      <c r="B4636" s="12" t="inlineStr">
        <is>
          <t>7899852025049</t>
        </is>
      </c>
      <c r="C4636" s="7" t="inlineStr">
        <is>
          <t>VULT HAIR SH EXPLOSAO DE FORCA 350ML</t>
        </is>
      </c>
      <c r="D4636" s="7" t="inlineStr">
        <is>
          <t>PERF/COSME</t>
        </is>
      </c>
      <c r="E4636" s="7" t="inlineStr">
        <is>
          <t>C</t>
        </is>
      </c>
      <c r="F4636" s="13" t="n">
        <v>1</v>
      </c>
      <c r="G4636" s="13" t="n">
        <v>1</v>
      </c>
      <c r="H4636" s="8" t="n">
        <v>15.85</v>
      </c>
      <c r="I4636" s="8" t="n">
        <v>15.85</v>
      </c>
      <c r="J4636" s="8" t="n">
        <v>15.85</v>
      </c>
      <c r="K4636" s="8" t="n"/>
      <c r="L4636" s="8" t="n"/>
      <c r="M4636" s="8" t="n"/>
      <c r="N4636" s="8" t="n"/>
      <c r="O4636" s="8" t="n"/>
      <c r="P4636" s="8" t="n"/>
      <c r="Q4636" s="8" t="n"/>
      <c r="R4636" s="8" t="n"/>
      <c r="S4636" s="8" t="n"/>
      <c r="T4636" s="7" t="inlineStr">
        <is>
          <t>SEM COTAÇÃO</t>
        </is>
      </c>
      <c r="U4636" s="8" t="n"/>
      <c r="V4636" s="14" t="n"/>
      <c r="W4636" s="14" t="n"/>
      <c r="X4636" s="7" t="inlineStr"/>
      <c r="Y4636" s="7" t="inlineStr"/>
    </row>
    <row r="4637">
      <c r="A4637" s="7" t="n">
        <v>635091</v>
      </c>
      <c r="B4637" s="12" t="inlineStr">
        <is>
          <t>7899852025452</t>
        </is>
      </c>
      <c r="C4637" s="7" t="inlineStr">
        <is>
          <t>VULT HAIR SH LISOS 350ML</t>
        </is>
      </c>
      <c r="D4637" s="7" t="inlineStr">
        <is>
          <t>PERF/COSME</t>
        </is>
      </c>
      <c r="E4637" s="7" t="inlineStr">
        <is>
          <t>C</t>
        </is>
      </c>
      <c r="F4637" s="13" t="n">
        <v>1</v>
      </c>
      <c r="G4637" s="13" t="n">
        <v>1</v>
      </c>
      <c r="H4637" s="8" t="n">
        <v>18.74</v>
      </c>
      <c r="I4637" s="8" t="n">
        <v>18.74</v>
      </c>
      <c r="J4637" s="8" t="n">
        <v>18.74</v>
      </c>
      <c r="K4637" s="8" t="n"/>
      <c r="L4637" s="8" t="n"/>
      <c r="M4637" s="8" t="n"/>
      <c r="N4637" s="8" t="n"/>
      <c r="O4637" s="8" t="n"/>
      <c r="P4637" s="15" t="n">
        <v>18.5</v>
      </c>
      <c r="Q4637" s="8" t="n"/>
      <c r="R4637" s="8" t="n"/>
      <c r="S4637" s="8" t="n"/>
      <c r="T4637" s="7" t="inlineStr">
        <is>
          <t>NAZARIA</t>
        </is>
      </c>
      <c r="U4637" s="8" t="n">
        <v>18.5</v>
      </c>
      <c r="V4637" s="14">
        <f>U4637/J4637-1</f>
        <v/>
      </c>
      <c r="W4637" s="14">
        <f>U4637/H4637-1</f>
        <v/>
      </c>
      <c r="X4637" s="17" t="inlineStr">
        <is>
          <t>OK (≤ menor hist.)</t>
        </is>
      </c>
      <c r="Y4637" s="7" t="inlineStr"/>
    </row>
    <row r="4638">
      <c r="A4638" s="7" t="n">
        <v>634971</v>
      </c>
      <c r="B4638" s="12" t="inlineStr">
        <is>
          <t>7899852023144</t>
        </is>
      </c>
      <c r="C4638" s="7" t="inlineStr">
        <is>
          <t>VULT HAIR SH OLEOS PODEROSOS NUTRI 350ML</t>
        </is>
      </c>
      <c r="D4638" s="7" t="inlineStr">
        <is>
          <t>PERF/COSME</t>
        </is>
      </c>
      <c r="E4638" s="7" t="inlineStr">
        <is>
          <t>C</t>
        </is>
      </c>
      <c r="F4638" s="13" t="n">
        <v>1</v>
      </c>
      <c r="G4638" s="13" t="n">
        <v>1</v>
      </c>
      <c r="H4638" s="8" t="n">
        <v>15.85</v>
      </c>
      <c r="I4638" s="8" t="n">
        <v>15.85</v>
      </c>
      <c r="J4638" s="8" t="n">
        <v>15.85</v>
      </c>
      <c r="K4638" s="8" t="n"/>
      <c r="L4638" s="8" t="n"/>
      <c r="M4638" s="8" t="n"/>
      <c r="N4638" s="8" t="n"/>
      <c r="O4638" s="8" t="n"/>
      <c r="P4638" s="8" t="n"/>
      <c r="Q4638" s="8" t="n"/>
      <c r="R4638" s="8" t="n"/>
      <c r="S4638" s="8" t="n"/>
      <c r="T4638" s="7" t="inlineStr">
        <is>
          <t>SEM COTAÇÃO</t>
        </is>
      </c>
      <c r="U4638" s="8" t="n"/>
      <c r="V4638" s="14" t="n"/>
      <c r="W4638" s="14" t="n"/>
      <c r="X4638" s="7" t="inlineStr"/>
      <c r="Y4638" s="7" t="inlineStr"/>
    </row>
    <row r="4639">
      <c r="A4639" s="7" t="n">
        <v>635021</v>
      </c>
      <c r="B4639" s="12" t="inlineStr">
        <is>
          <t>7899852025551</t>
        </is>
      </c>
      <c r="C4639" s="7" t="inlineStr">
        <is>
          <t>VULT HAIR SH ONDULADOS 350ML</t>
        </is>
      </c>
      <c r="D4639" s="7" t="inlineStr">
        <is>
          <t>PERF/COSME</t>
        </is>
      </c>
      <c r="E4639" s="7" t="inlineStr">
        <is>
          <t>C</t>
        </is>
      </c>
      <c r="F4639" s="13" t="n">
        <v>4</v>
      </c>
      <c r="G4639" s="13" t="n">
        <v>4</v>
      </c>
      <c r="H4639" s="8" t="n">
        <v>15.85</v>
      </c>
      <c r="I4639" s="8" t="n">
        <v>15.85</v>
      </c>
      <c r="J4639" s="8" t="n">
        <v>15.85</v>
      </c>
      <c r="K4639" s="8" t="n"/>
      <c r="L4639" s="8" t="n"/>
      <c r="M4639" s="8" t="n"/>
      <c r="N4639" s="8" t="n"/>
      <c r="O4639" s="8" t="n"/>
      <c r="P4639" s="8" t="n"/>
      <c r="Q4639" s="8" t="n"/>
      <c r="R4639" s="8" t="n"/>
      <c r="S4639" s="8" t="n"/>
      <c r="T4639" s="7" t="inlineStr">
        <is>
          <t>SEM COTAÇÃO</t>
        </is>
      </c>
      <c r="U4639" s="8" t="n"/>
      <c r="V4639" s="14" t="n"/>
      <c r="W4639" s="14" t="n"/>
      <c r="X4639" s="7" t="inlineStr"/>
      <c r="Y4639" s="7" t="inlineStr"/>
    </row>
    <row r="4640">
      <c r="A4640" s="7" t="n">
        <v>646461</v>
      </c>
      <c r="B4640" s="12" t="inlineStr">
        <is>
          <t>7899852025063</t>
        </is>
      </c>
      <c r="C4640" s="7" t="inlineStr">
        <is>
          <t>VULT HAIR SH RECARGA DE HIDRATACAO 350ML</t>
        </is>
      </c>
      <c r="D4640" s="7" t="inlineStr">
        <is>
          <t>COND/SHAM/CREM/SIMILARES</t>
        </is>
      </c>
      <c r="E4640" s="7" t="inlineStr">
        <is>
          <t>C</t>
        </is>
      </c>
      <c r="F4640" s="13" t="n">
        <v>1</v>
      </c>
      <c r="G4640" s="13" t="n">
        <v>1</v>
      </c>
      <c r="H4640" s="8" t="n">
        <v>15.72</v>
      </c>
      <c r="I4640" s="8" t="n">
        <v>15.72</v>
      </c>
      <c r="J4640" s="8" t="n">
        <v>15.72</v>
      </c>
      <c r="K4640" s="8" t="n"/>
      <c r="L4640" s="8" t="n"/>
      <c r="M4640" s="8" t="n"/>
      <c r="N4640" s="8" t="n"/>
      <c r="O4640" s="8" t="n"/>
      <c r="P4640" s="8" t="n"/>
      <c r="Q4640" s="8" t="n"/>
      <c r="R4640" s="8" t="n"/>
      <c r="S4640" s="8" t="n"/>
      <c r="T4640" s="7" t="inlineStr">
        <is>
          <t>SEM COTAÇÃO</t>
        </is>
      </c>
      <c r="U4640" s="8" t="n"/>
      <c r="V4640" s="14" t="n"/>
      <c r="W4640" s="14" t="n"/>
      <c r="X4640" s="7" t="inlineStr"/>
      <c r="Y4640" s="7" t="inlineStr"/>
    </row>
    <row r="4641">
      <c r="A4641" s="7" t="n">
        <v>616851</v>
      </c>
      <c r="B4641" s="12" t="inlineStr">
        <is>
          <t>7899852024967</t>
        </is>
      </c>
      <c r="C4641" s="7" t="inlineStr">
        <is>
          <t>VULT MAKE BATOM AQUA TINT RED 5,5ML</t>
        </is>
      </c>
      <c r="D4641" s="7" t="inlineStr">
        <is>
          <t>PERF/COSME</t>
        </is>
      </c>
      <c r="E4641" s="7" t="inlineStr">
        <is>
          <t>C</t>
        </is>
      </c>
      <c r="F4641" s="13" t="n">
        <v>1</v>
      </c>
      <c r="G4641" s="13" t="n">
        <v>1</v>
      </c>
      <c r="H4641" s="8" t="n">
        <v>9.23</v>
      </c>
      <c r="I4641" s="8" t="n">
        <v>9.23</v>
      </c>
      <c r="J4641" s="8" t="n">
        <v>9.23</v>
      </c>
      <c r="K4641" s="8" t="n"/>
      <c r="L4641" s="8" t="n"/>
      <c r="M4641" s="8" t="n"/>
      <c r="N4641" s="8" t="n"/>
      <c r="O4641" s="8" t="n"/>
      <c r="P4641" s="8" t="n"/>
      <c r="Q4641" s="8" t="n"/>
      <c r="R4641" s="8" t="n"/>
      <c r="S4641" s="8" t="n"/>
      <c r="T4641" s="7" t="inlineStr">
        <is>
          <t>SEM COTAÇÃO</t>
        </is>
      </c>
      <c r="U4641" s="8" t="n"/>
      <c r="V4641" s="14" t="n"/>
      <c r="W4641" s="14" t="n"/>
      <c r="X4641" s="7" t="inlineStr"/>
      <c r="Y4641" s="7" t="inlineStr"/>
    </row>
    <row r="4642">
      <c r="A4642" s="7" t="n">
        <v>646491</v>
      </c>
      <c r="B4642" s="12" t="inlineStr">
        <is>
          <t>7899852018225</t>
        </is>
      </c>
      <c r="C4642" s="7" t="inlineStr">
        <is>
          <t>VULT MAKE BATOM HIDRA LIPS ROS GOLD 3,6G</t>
        </is>
      </c>
      <c r="D4642" s="7" t="inlineStr">
        <is>
          <t>PERF/COSME</t>
        </is>
      </c>
      <c r="E4642" s="7" t="inlineStr">
        <is>
          <t>C</t>
        </is>
      </c>
      <c r="F4642" s="13" t="n">
        <v>1</v>
      </c>
      <c r="G4642" s="13" t="n">
        <v>1</v>
      </c>
      <c r="H4642" s="8" t="n">
        <v>13.54</v>
      </c>
      <c r="I4642" s="8" t="n">
        <v>13.54</v>
      </c>
      <c r="J4642" s="8" t="n">
        <v>13.54</v>
      </c>
      <c r="K4642" s="8" t="n"/>
      <c r="L4642" s="8" t="n"/>
      <c r="M4642" s="8" t="n"/>
      <c r="N4642" s="8" t="n"/>
      <c r="O4642" s="8" t="n"/>
      <c r="P4642" s="8" t="n"/>
      <c r="Q4642" s="8" t="n"/>
      <c r="R4642" s="8" t="n"/>
      <c r="S4642" s="8" t="n"/>
      <c r="T4642" s="7" t="inlineStr">
        <is>
          <t>SEM COTAÇÃO</t>
        </is>
      </c>
      <c r="U4642" s="8" t="n"/>
      <c r="V4642" s="14" t="n"/>
      <c r="W4642" s="14" t="n"/>
      <c r="X4642" s="7" t="inlineStr"/>
      <c r="Y4642" s="7" t="inlineStr"/>
    </row>
    <row r="4643">
      <c r="A4643" s="7" t="n">
        <v>646541</v>
      </c>
      <c r="B4643" s="12" t="inlineStr">
        <is>
          <t>7899852018126</t>
        </is>
      </c>
      <c r="C4643" s="7" t="inlineStr">
        <is>
          <t>VULT MAKE BATOM MATTE LIPS CASTANHO 3,8G</t>
        </is>
      </c>
      <c r="D4643" s="7" t="inlineStr">
        <is>
          <t>PERF/COSME</t>
        </is>
      </c>
      <c r="E4643" s="7" t="inlineStr">
        <is>
          <t>C</t>
        </is>
      </c>
      <c r="F4643" s="13" t="n">
        <v>1</v>
      </c>
      <c r="G4643" s="13" t="n">
        <v>1</v>
      </c>
      <c r="H4643" s="8" t="n">
        <v>13.37</v>
      </c>
      <c r="I4643" s="8" t="n">
        <v>13.37</v>
      </c>
      <c r="J4643" s="8" t="n">
        <v>13.37</v>
      </c>
      <c r="K4643" s="8" t="n"/>
      <c r="L4643" s="8" t="n"/>
      <c r="M4643" s="8" t="n"/>
      <c r="N4643" s="8" t="n"/>
      <c r="O4643" s="8" t="n"/>
      <c r="P4643" s="8" t="n"/>
      <c r="Q4643" s="8" t="n"/>
      <c r="R4643" s="8" t="n"/>
      <c r="S4643" s="8" t="n"/>
      <c r="T4643" s="7" t="inlineStr">
        <is>
          <t>SEM COTAÇÃO</t>
        </is>
      </c>
      <c r="U4643" s="8" t="n"/>
      <c r="V4643" s="14" t="n"/>
      <c r="W4643" s="14" t="n"/>
      <c r="X4643" s="7" t="inlineStr"/>
      <c r="Y4643" s="7" t="inlineStr"/>
    </row>
    <row r="4644">
      <c r="A4644" s="7" t="n">
        <v>646581</v>
      </c>
      <c r="B4644" s="12" t="inlineStr">
        <is>
          <t>7899852026930</t>
        </is>
      </c>
      <c r="C4644" s="7" t="inlineStr">
        <is>
          <t>VULT MAKE BATOM MATTE LIPS ROSA PAI 3,8G</t>
        </is>
      </c>
      <c r="D4644" s="7" t="inlineStr">
        <is>
          <t>PERF/COSME</t>
        </is>
      </c>
      <c r="E4644" s="7" t="inlineStr">
        <is>
          <t>C</t>
        </is>
      </c>
      <c r="F4644" s="13" t="n">
        <v>1</v>
      </c>
      <c r="G4644" s="13" t="n">
        <v>1</v>
      </c>
      <c r="H4644" s="8" t="n">
        <v>13.37</v>
      </c>
      <c r="I4644" s="8" t="n">
        <v>13.37</v>
      </c>
      <c r="J4644" s="8" t="n">
        <v>13.37</v>
      </c>
      <c r="K4644" s="8" t="n"/>
      <c r="L4644" s="8" t="n"/>
      <c r="M4644" s="8" t="n"/>
      <c r="N4644" s="8" t="n"/>
      <c r="O4644" s="8" t="n"/>
      <c r="P4644" s="8" t="n"/>
      <c r="Q4644" s="8" t="n"/>
      <c r="R4644" s="8" t="n"/>
      <c r="S4644" s="8" t="n"/>
      <c r="T4644" s="7" t="inlineStr">
        <is>
          <t>SEM COTAÇÃO</t>
        </is>
      </c>
      <c r="U4644" s="8" t="n"/>
      <c r="V4644" s="14" t="n"/>
      <c r="W4644" s="14" t="n"/>
      <c r="X4644" s="7" t="inlineStr"/>
      <c r="Y4644" s="7" t="inlineStr"/>
    </row>
    <row r="4645">
      <c r="A4645" s="7" t="n">
        <v>646591</v>
      </c>
      <c r="B4645" s="12" t="inlineStr">
        <is>
          <t>7899852018102</t>
        </is>
      </c>
      <c r="C4645" s="7" t="inlineStr">
        <is>
          <t>VULT MAKE BATOM MATTE LIPS ROSE 3,8G</t>
        </is>
      </c>
      <c r="D4645" s="7" t="inlineStr">
        <is>
          <t>PERF/COSME</t>
        </is>
      </c>
      <c r="E4645" s="7" t="inlineStr">
        <is>
          <t>C</t>
        </is>
      </c>
      <c r="F4645" s="13" t="n">
        <v>1</v>
      </c>
      <c r="G4645" s="13" t="n">
        <v>1</v>
      </c>
      <c r="H4645" s="8" t="n">
        <v>13.37</v>
      </c>
      <c r="I4645" s="8" t="n">
        <v>13.37</v>
      </c>
      <c r="J4645" s="8" t="n">
        <v>13.37</v>
      </c>
      <c r="K4645" s="8" t="n"/>
      <c r="L4645" s="8" t="n"/>
      <c r="M4645" s="8" t="n"/>
      <c r="N4645" s="8" t="n"/>
      <c r="O4645" s="8" t="n"/>
      <c r="P4645" s="8" t="n"/>
      <c r="Q4645" s="8" t="n"/>
      <c r="R4645" s="8" t="n"/>
      <c r="S4645" s="8" t="n"/>
      <c r="T4645" s="7" t="inlineStr">
        <is>
          <t>SEM COTAÇÃO</t>
        </is>
      </c>
      <c r="U4645" s="8" t="n"/>
      <c r="V4645" s="14" t="n"/>
      <c r="W4645" s="14" t="n"/>
      <c r="X4645" s="7" t="inlineStr"/>
      <c r="Y4645" s="7" t="inlineStr"/>
    </row>
    <row r="4646">
      <c r="A4646" s="7" t="n">
        <v>646571</v>
      </c>
      <c r="B4646" s="12" t="inlineStr">
        <is>
          <t>7899852018799</t>
        </is>
      </c>
      <c r="C4646" s="7" t="inlineStr">
        <is>
          <t>VULT MAKE BATOM MATTE LIPS VERM CAR 3,8G</t>
        </is>
      </c>
      <c r="D4646" s="7" t="inlineStr">
        <is>
          <t>PERF/COSME</t>
        </is>
      </c>
      <c r="E4646" s="7" t="inlineStr">
        <is>
          <t>C</t>
        </is>
      </c>
      <c r="F4646" s="13" t="n">
        <v>1</v>
      </c>
      <c r="G4646" s="13" t="n">
        <v>1</v>
      </c>
      <c r="H4646" s="8" t="n">
        <v>13.37</v>
      </c>
      <c r="I4646" s="8" t="n">
        <v>13.37</v>
      </c>
      <c r="J4646" s="8" t="n">
        <v>13.37</v>
      </c>
      <c r="K4646" s="8" t="n"/>
      <c r="L4646" s="8" t="n"/>
      <c r="M4646" s="8" t="n"/>
      <c r="N4646" s="8" t="n"/>
      <c r="O4646" s="8" t="n"/>
      <c r="P4646" s="8" t="n"/>
      <c r="Q4646" s="8" t="n"/>
      <c r="R4646" s="8" t="n"/>
      <c r="S4646" s="8" t="n"/>
      <c r="T4646" s="7" t="inlineStr">
        <is>
          <t>SEM COTAÇÃO</t>
        </is>
      </c>
      <c r="U4646" s="8" t="n"/>
      <c r="V4646" s="14" t="n"/>
      <c r="W4646" s="14" t="n"/>
      <c r="X4646" s="7" t="inlineStr"/>
      <c r="Y4646" s="7" t="inlineStr"/>
    </row>
    <row r="4647">
      <c r="A4647" s="7" t="n">
        <v>608471</v>
      </c>
      <c r="B4647" s="12" t="inlineStr">
        <is>
          <t>7898417963055</t>
        </is>
      </c>
      <c r="C4647" s="7" t="inlineStr">
        <is>
          <t>VULT MAKE PO COMPACTO 005 9G</t>
        </is>
      </c>
      <c r="D4647" s="7" t="inlineStr">
        <is>
          <t>PERF/COSME</t>
        </is>
      </c>
      <c r="E4647" s="7" t="inlineStr">
        <is>
          <t>C</t>
        </is>
      </c>
      <c r="F4647" s="13" t="n">
        <v>1</v>
      </c>
      <c r="G4647" s="13" t="n">
        <v>1</v>
      </c>
      <c r="H4647" s="8" t="n">
        <v>20.3</v>
      </c>
      <c r="I4647" s="8" t="n">
        <v>20.3</v>
      </c>
      <c r="J4647" s="8" t="n">
        <v>20.3</v>
      </c>
      <c r="K4647" s="8" t="n"/>
      <c r="L4647" s="8" t="n"/>
      <c r="M4647" s="8" t="n"/>
      <c r="N4647" s="8" t="n"/>
      <c r="O4647" s="8" t="n"/>
      <c r="P4647" s="8" t="n"/>
      <c r="Q4647" s="8" t="n"/>
      <c r="R4647" s="8" t="n"/>
      <c r="S4647" s="8" t="n"/>
      <c r="T4647" s="7" t="inlineStr">
        <is>
          <t>SEM COTAÇÃO</t>
        </is>
      </c>
      <c r="U4647" s="8" t="n"/>
      <c r="V4647" s="14" t="n"/>
      <c r="W4647" s="14" t="n"/>
      <c r="X4647" s="7" t="inlineStr"/>
      <c r="Y4647" s="7" t="inlineStr"/>
    </row>
    <row r="4648">
      <c r="A4648" s="7" t="n">
        <v>635231</v>
      </c>
      <c r="B4648" s="12" t="inlineStr">
        <is>
          <t>7899852022635</t>
        </is>
      </c>
      <c r="C4648" s="7" t="inlineStr">
        <is>
          <t>VULT MAKE PO COMPACTO TRAD V450 9G</t>
        </is>
      </c>
      <c r="D4648" s="7" t="inlineStr">
        <is>
          <t>DERMOCOSMETICOS/COSMETICOS</t>
        </is>
      </c>
      <c r="E4648" s="7" t="inlineStr">
        <is>
          <t>C</t>
        </is>
      </c>
      <c r="F4648" s="13" t="n">
        <v>1</v>
      </c>
      <c r="G4648" s="13" t="n">
        <v>1</v>
      </c>
      <c r="H4648" s="8" t="n">
        <v>17.04</v>
      </c>
      <c r="I4648" s="8" t="n">
        <v>17.04</v>
      </c>
      <c r="J4648" s="8" t="n">
        <v>17.04</v>
      </c>
      <c r="K4648" s="8" t="n"/>
      <c r="L4648" s="8" t="n"/>
      <c r="M4648" s="8" t="n"/>
      <c r="N4648" s="8" t="n"/>
      <c r="O4648" s="8" t="n"/>
      <c r="P4648" s="8" t="n"/>
      <c r="Q4648" s="8" t="n"/>
      <c r="R4648" s="8" t="n"/>
      <c r="S4648" s="8" t="n"/>
      <c r="T4648" s="7" t="inlineStr">
        <is>
          <t>SEM COTAÇÃO</t>
        </is>
      </c>
      <c r="U4648" s="8" t="n"/>
      <c r="V4648" s="14" t="n"/>
      <c r="W4648" s="14" t="n"/>
      <c r="X4648" s="7" t="inlineStr"/>
      <c r="Y4648" s="7" t="inlineStr"/>
    </row>
    <row r="4649">
      <c r="A4649" s="7" t="n">
        <v>596011</v>
      </c>
      <c r="B4649" s="12" t="inlineStr">
        <is>
          <t>7899852020051</t>
        </is>
      </c>
      <c r="C4649" s="7" t="inlineStr">
        <is>
          <t>VULT MAKE PROT LABIAL BALM MELANCIA 3,5G</t>
        </is>
      </c>
      <c r="D4649" s="7" t="inlineStr">
        <is>
          <t>PERF/COSME</t>
        </is>
      </c>
      <c r="E4649" s="7" t="inlineStr">
        <is>
          <t>C</t>
        </is>
      </c>
      <c r="F4649" s="13" t="n">
        <v>1</v>
      </c>
      <c r="G4649" s="13" t="n">
        <v>1</v>
      </c>
      <c r="H4649" s="8" t="n">
        <v>11.1</v>
      </c>
      <c r="I4649" s="8" t="n">
        <v>11.1</v>
      </c>
      <c r="J4649" s="8" t="n">
        <v>11.1</v>
      </c>
      <c r="K4649" s="8" t="n"/>
      <c r="L4649" s="8" t="n"/>
      <c r="M4649" s="8" t="n"/>
      <c r="N4649" s="8" t="n"/>
      <c r="O4649" s="8" t="n"/>
      <c r="P4649" s="15" t="n">
        <v>13.72</v>
      </c>
      <c r="Q4649" s="8" t="n"/>
      <c r="R4649" s="8" t="n"/>
      <c r="S4649" s="8" t="n"/>
      <c r="T4649" s="7" t="inlineStr">
        <is>
          <t>NAZARIA</t>
        </is>
      </c>
      <c r="U4649" s="8" t="n">
        <v>13.72</v>
      </c>
      <c r="V4649" s="14">
        <f>U4649/J4649-1</f>
        <v/>
      </c>
      <c r="W4649" s="14">
        <f>U4649/H4649-1</f>
        <v/>
      </c>
      <c r="X4649" s="16" t="inlineStr">
        <is>
          <t>ACIMA +23.6%</t>
        </is>
      </c>
      <c r="Y4649" s="7" t="inlineStr"/>
    </row>
    <row r="4650">
      <c r="A4650" s="7" t="n">
        <v>595991</v>
      </c>
      <c r="B4650" s="12" t="inlineStr">
        <is>
          <t>7899852020075</t>
        </is>
      </c>
      <c r="C4650" s="7" t="inlineStr">
        <is>
          <t>VULT MAKE PROT LABIAL BALM MORANGO 3,5G</t>
        </is>
      </c>
      <c r="D4650" s="7" t="inlineStr">
        <is>
          <t>PERF/COSME</t>
        </is>
      </c>
      <c r="E4650" s="7" t="inlineStr">
        <is>
          <t>C</t>
        </is>
      </c>
      <c r="F4650" s="13" t="n">
        <v>1</v>
      </c>
      <c r="G4650" s="13" t="n">
        <v>1</v>
      </c>
      <c r="H4650" s="8" t="n">
        <v>8.82</v>
      </c>
      <c r="I4650" s="8" t="n">
        <v>8.82</v>
      </c>
      <c r="J4650" s="8" t="n">
        <v>8.82</v>
      </c>
      <c r="K4650" s="8" t="n"/>
      <c r="L4650" s="8" t="n"/>
      <c r="M4650" s="8" t="n"/>
      <c r="N4650" s="8" t="n"/>
      <c r="O4650" s="8" t="n"/>
      <c r="P4650" s="15" t="n">
        <v>13.72</v>
      </c>
      <c r="Q4650" s="8" t="n"/>
      <c r="R4650" s="8" t="n"/>
      <c r="S4650" s="8" t="n"/>
      <c r="T4650" s="7" t="inlineStr">
        <is>
          <t>NAZARIA</t>
        </is>
      </c>
      <c r="U4650" s="8" t="n">
        <v>13.72</v>
      </c>
      <c r="V4650" s="14">
        <f>U4650/J4650-1</f>
        <v/>
      </c>
      <c r="W4650" s="14">
        <f>U4650/H4650-1</f>
        <v/>
      </c>
      <c r="X4650" s="16" t="inlineStr">
        <is>
          <t>ACIMA +55.6%</t>
        </is>
      </c>
      <c r="Y4650" s="7" t="inlineStr"/>
    </row>
    <row r="4651">
      <c r="A4651" s="7" t="n">
        <v>616761</v>
      </c>
      <c r="B4651" s="12" t="inlineStr">
        <is>
          <t>7899852020952</t>
        </is>
      </c>
      <c r="C4651" s="7" t="inlineStr">
        <is>
          <t>VULT MAKE PROT LABIAL BALM SOLEIL 3,6G</t>
        </is>
      </c>
      <c r="D4651" s="7" t="inlineStr">
        <is>
          <t>PERF/COSME</t>
        </is>
      </c>
      <c r="E4651" s="7" t="inlineStr">
        <is>
          <t>C</t>
        </is>
      </c>
      <c r="F4651" s="13" t="n">
        <v>1</v>
      </c>
      <c r="G4651" s="13" t="n">
        <v>1</v>
      </c>
      <c r="H4651" s="8" t="n">
        <v>8.630000000000001</v>
      </c>
      <c r="I4651" s="8" t="n">
        <v>8.630000000000001</v>
      </c>
      <c r="J4651" s="8" t="n">
        <v>8.630000000000001</v>
      </c>
      <c r="K4651" s="8" t="n"/>
      <c r="L4651" s="8" t="n"/>
      <c r="M4651" s="8" t="n"/>
      <c r="N4651" s="8" t="n"/>
      <c r="O4651" s="8" t="n"/>
      <c r="P4651" s="8" t="n"/>
      <c r="Q4651" s="8" t="n"/>
      <c r="R4651" s="8" t="n"/>
      <c r="S4651" s="8" t="n"/>
      <c r="T4651" s="7" t="inlineStr">
        <is>
          <t>SEM COTAÇÃO</t>
        </is>
      </c>
      <c r="U4651" s="8" t="n"/>
      <c r="V4651" s="14" t="n"/>
      <c r="W4651" s="14" t="n"/>
      <c r="X4651" s="7" t="inlineStr"/>
      <c r="Y4651" s="7" t="inlineStr"/>
    </row>
    <row r="4652">
      <c r="A4652" s="7" t="n">
        <v>616751</v>
      </c>
      <c r="B4652" s="12" t="inlineStr">
        <is>
          <t>7899852022277</t>
        </is>
      </c>
      <c r="C4652" s="7" t="inlineStr">
        <is>
          <t>VULT MAKE SERUM FAC BB FPS-60 V160 30ML</t>
        </is>
      </c>
      <c r="D4652" s="7" t="inlineStr">
        <is>
          <t>PERF/COSME</t>
        </is>
      </c>
      <c r="E4652" s="7" t="inlineStr">
        <is>
          <t>C</t>
        </is>
      </c>
      <c r="F4652" s="13" t="n">
        <v>1</v>
      </c>
      <c r="G4652" s="13" t="n">
        <v>1</v>
      </c>
      <c r="H4652" s="8" t="n">
        <v>20.3</v>
      </c>
      <c r="I4652" s="8" t="n">
        <v>20.3</v>
      </c>
      <c r="J4652" s="8" t="n">
        <v>20.3</v>
      </c>
      <c r="K4652" s="8" t="n"/>
      <c r="L4652" s="8" t="n"/>
      <c r="M4652" s="8" t="n"/>
      <c r="N4652" s="8" t="n"/>
      <c r="O4652" s="8" t="n"/>
      <c r="P4652" s="8" t="n"/>
      <c r="Q4652" s="8" t="n"/>
      <c r="R4652" s="8" t="n"/>
      <c r="S4652" s="8" t="n"/>
      <c r="T4652" s="7" t="inlineStr">
        <is>
          <t>SEM COTAÇÃO</t>
        </is>
      </c>
      <c r="U4652" s="8" t="n"/>
      <c r="V4652" s="14" t="n"/>
      <c r="W4652" s="14" t="n"/>
      <c r="X4652" s="7" t="inlineStr"/>
      <c r="Y4652" s="7" t="inlineStr"/>
    </row>
    <row r="4653">
      <c r="A4653" s="7" t="n">
        <v>616741</v>
      </c>
      <c r="B4653" s="12" t="inlineStr">
        <is>
          <t>7899852022291</t>
        </is>
      </c>
      <c r="C4653" s="7" t="inlineStr">
        <is>
          <t>VULT MAKE SERUM FAC BB FPS-60 V230 30ML</t>
        </is>
      </c>
      <c r="D4653" s="7" t="inlineStr">
        <is>
          <t>PERF/COSME</t>
        </is>
      </c>
      <c r="E4653" s="7" t="inlineStr">
        <is>
          <t>C</t>
        </is>
      </c>
      <c r="F4653" s="13" t="n">
        <v>1</v>
      </c>
      <c r="G4653" s="13" t="n">
        <v>1</v>
      </c>
      <c r="H4653" s="8" t="n">
        <v>20.3</v>
      </c>
      <c r="I4653" s="8" t="n">
        <v>20.3</v>
      </c>
      <c r="J4653" s="8" t="n">
        <v>20.3</v>
      </c>
      <c r="K4653" s="8" t="n"/>
      <c r="L4653" s="8" t="n"/>
      <c r="M4653" s="8" t="n"/>
      <c r="N4653" s="8" t="n"/>
      <c r="O4653" s="8" t="n"/>
      <c r="P4653" s="8" t="n"/>
      <c r="Q4653" s="8" t="n"/>
      <c r="R4653" s="8" t="n"/>
      <c r="S4653" s="8" t="n"/>
      <c r="T4653" s="7" t="inlineStr">
        <is>
          <t>SEM COTAÇÃO</t>
        </is>
      </c>
      <c r="U4653" s="8" t="n"/>
      <c r="V4653" s="14" t="n"/>
      <c r="W4653" s="14" t="n"/>
      <c r="X4653" s="7" t="inlineStr"/>
      <c r="Y4653" s="7" t="inlineStr"/>
    </row>
    <row r="4654">
      <c r="A4654" s="7" t="n">
        <v>638001</v>
      </c>
      <c r="B4654" s="12" t="inlineStr">
        <is>
          <t>7896253401564</t>
        </is>
      </c>
      <c r="C4654" s="7" t="inlineStr">
        <is>
          <t>WAFER CHOCOLATE RANCHEIRO 40X78G</t>
        </is>
      </c>
      <c r="D4654" s="7" t="inlineStr">
        <is>
          <t>CONVENIENCIA</t>
        </is>
      </c>
      <c r="E4654" s="7" t="inlineStr">
        <is>
          <t>C</t>
        </is>
      </c>
      <c r="F4654" s="13" t="n">
        <v>3</v>
      </c>
      <c r="G4654" s="13" t="n">
        <v>3</v>
      </c>
      <c r="H4654" s="8" t="n">
        <v>1.7522</v>
      </c>
      <c r="I4654" s="8" t="n">
        <v>1.7522</v>
      </c>
      <c r="J4654" s="8" t="n">
        <v>1.7522</v>
      </c>
      <c r="K4654" s="8" t="n"/>
      <c r="L4654" s="8" t="n"/>
      <c r="M4654" s="8" t="n"/>
      <c r="N4654" s="8" t="n"/>
      <c r="O4654" s="8" t="n"/>
      <c r="P4654" s="8" t="n"/>
      <c r="Q4654" s="8" t="n"/>
      <c r="R4654" s="8" t="n"/>
      <c r="S4654" s="8" t="n"/>
      <c r="T4654" s="7" t="inlineStr">
        <is>
          <t>SEM COTAÇÃO</t>
        </is>
      </c>
      <c r="U4654" s="8" t="n"/>
      <c r="V4654" s="14" t="n"/>
      <c r="W4654" s="14" t="n"/>
      <c r="X4654" s="7" t="inlineStr"/>
      <c r="Y4654" s="7" t="inlineStr"/>
    </row>
    <row r="4655">
      <c r="A4655" s="7" t="n">
        <v>638011</v>
      </c>
      <c r="B4655" s="12" t="inlineStr">
        <is>
          <t>7896253401557</t>
        </is>
      </c>
      <c r="C4655" s="7" t="inlineStr">
        <is>
          <t>WAFER MORANGO RANCHEIRO 40X78G</t>
        </is>
      </c>
      <c r="D4655" s="7" t="inlineStr">
        <is>
          <t>CONVENIENCIA</t>
        </is>
      </c>
      <c r="E4655" s="7" t="inlineStr">
        <is>
          <t>C</t>
        </is>
      </c>
      <c r="F4655" s="13" t="n">
        <v>3</v>
      </c>
      <c r="G4655" s="13" t="n">
        <v>3</v>
      </c>
      <c r="H4655" s="8" t="n">
        <v>1.7522</v>
      </c>
      <c r="I4655" s="8" t="n">
        <v>1.7522</v>
      </c>
      <c r="J4655" s="8" t="n">
        <v>1.7522</v>
      </c>
      <c r="K4655" s="8" t="n"/>
      <c r="L4655" s="8" t="n"/>
      <c r="M4655" s="8" t="n"/>
      <c r="N4655" s="8" t="n"/>
      <c r="O4655" s="8" t="n"/>
      <c r="P4655" s="8" t="n"/>
      <c r="Q4655" s="8" t="n"/>
      <c r="R4655" s="8" t="n"/>
      <c r="S4655" s="8" t="n"/>
      <c r="T4655" s="7" t="inlineStr">
        <is>
          <t>SEM COTAÇÃO</t>
        </is>
      </c>
      <c r="U4655" s="8" t="n"/>
      <c r="V4655" s="14" t="n"/>
      <c r="W4655" s="14" t="n"/>
      <c r="X4655" s="7" t="inlineStr"/>
      <c r="Y4655" s="7" t="inlineStr"/>
    </row>
    <row r="4656">
      <c r="A4656" s="7" t="n">
        <v>655901</v>
      </c>
      <c r="B4656" s="12" t="inlineStr">
        <is>
          <t>7898708732278</t>
        </is>
      </c>
      <c r="C4656" s="7" t="inlineStr">
        <is>
          <t>WHEY 100% HD CAVEIRAPRETA CHOCOLATE 900G</t>
        </is>
      </c>
      <c r="D4656" s="7" t="inlineStr">
        <is>
          <t>SUPLEMENTO</t>
        </is>
      </c>
      <c r="E4656" s="7" t="inlineStr">
        <is>
          <t>C</t>
        </is>
      </c>
      <c r="F4656" s="13" t="n">
        <v>1</v>
      </c>
      <c r="G4656" s="13" t="n">
        <v>1</v>
      </c>
      <c r="H4656" s="8" t="n">
        <v>96.51000000000001</v>
      </c>
      <c r="I4656" s="8" t="n">
        <v>96.51000000000001</v>
      </c>
      <c r="J4656" s="8" t="n">
        <v>96.51000000000001</v>
      </c>
      <c r="K4656" s="8" t="n"/>
      <c r="L4656" s="8" t="n"/>
      <c r="M4656" s="8" t="n"/>
      <c r="N4656" s="8" t="n"/>
      <c r="O4656" s="8" t="n"/>
      <c r="P4656" s="8" t="n"/>
      <c r="Q4656" s="8" t="n"/>
      <c r="R4656" s="8" t="n"/>
      <c r="S4656" s="15" t="n">
        <v>146</v>
      </c>
      <c r="T4656" s="7" t="inlineStr">
        <is>
          <t>AT_SUPLEMENTOS</t>
        </is>
      </c>
      <c r="U4656" s="8" t="n">
        <v>146</v>
      </c>
      <c r="V4656" s="14">
        <f>U4656/J4656-1</f>
        <v/>
      </c>
      <c r="W4656" s="14">
        <f>U4656/H4656-1</f>
        <v/>
      </c>
      <c r="X4656" s="16" t="inlineStr">
        <is>
          <t>ACIMA +51.3%</t>
        </is>
      </c>
      <c r="Y4656" s="7" t="inlineStr"/>
    </row>
    <row r="4657">
      <c r="A4657" s="7" t="n">
        <v>638361</v>
      </c>
      <c r="B4657" s="12" t="inlineStr">
        <is>
          <t>7898708733596</t>
        </is>
      </c>
      <c r="C4657" s="7" t="inlineStr">
        <is>
          <t>WHEY 100% HD CAVEIRAPRETA COOKIES CREAM 900G</t>
        </is>
      </c>
      <c r="D4657" s="7" t="inlineStr">
        <is>
          <t>SUPLEMENTO</t>
        </is>
      </c>
      <c r="E4657" s="7" t="inlineStr">
        <is>
          <t>C</t>
        </is>
      </c>
      <c r="F4657" s="13" t="n">
        <v>1</v>
      </c>
      <c r="G4657" s="13" t="n">
        <v>1</v>
      </c>
      <c r="H4657" s="8" t="n">
        <v>96.51000000000001</v>
      </c>
      <c r="I4657" s="8" t="n">
        <v>96.51000000000001</v>
      </c>
      <c r="J4657" s="8" t="n">
        <v>96.51000000000001</v>
      </c>
      <c r="K4657" s="8" t="n"/>
      <c r="L4657" s="8" t="n"/>
      <c r="M4657" s="8" t="n"/>
      <c r="N4657" s="8" t="n"/>
      <c r="O4657" s="8" t="n"/>
      <c r="P4657" s="8" t="n"/>
      <c r="Q4657" s="8" t="n"/>
      <c r="R4657" s="8" t="n"/>
      <c r="S4657" s="15" t="n">
        <v>146</v>
      </c>
      <c r="T4657" s="7" t="inlineStr">
        <is>
          <t>AT_SUPLEMENTOS</t>
        </is>
      </c>
      <c r="U4657" s="8" t="n">
        <v>146</v>
      </c>
      <c r="V4657" s="14">
        <f>U4657/J4657-1</f>
        <v/>
      </c>
      <c r="W4657" s="14">
        <f>U4657/H4657-1</f>
        <v/>
      </c>
      <c r="X4657" s="16" t="inlineStr">
        <is>
          <t>ACIMA +51.3%</t>
        </is>
      </c>
      <c r="Y4657" s="7" t="inlineStr"/>
    </row>
    <row r="4658">
      <c r="A4658" s="7" t="n">
        <v>638371</v>
      </c>
      <c r="B4658" s="12" t="inlineStr">
        <is>
          <t>7898708732261</t>
        </is>
      </c>
      <c r="C4658" s="7" t="inlineStr">
        <is>
          <t>WHEY 100% HD CAVEIRAPRETA MORANGO 900G</t>
        </is>
      </c>
      <c r="D4658" s="7" t="inlineStr">
        <is>
          <t>SUPLEMENTO</t>
        </is>
      </c>
      <c r="E4658" s="7" t="inlineStr">
        <is>
          <t>C</t>
        </is>
      </c>
      <c r="F4658" s="13" t="n">
        <v>1</v>
      </c>
      <c r="G4658" s="13" t="n">
        <v>1</v>
      </c>
      <c r="H4658" s="8" t="n">
        <v>96.51000000000001</v>
      </c>
      <c r="I4658" s="8" t="n">
        <v>96.51000000000001</v>
      </c>
      <c r="J4658" s="8" t="n">
        <v>96.51000000000001</v>
      </c>
      <c r="K4658" s="8" t="n"/>
      <c r="L4658" s="8" t="n"/>
      <c r="M4658" s="8" t="n"/>
      <c r="N4658" s="8" t="n"/>
      <c r="O4658" s="8" t="n"/>
      <c r="P4658" s="8" t="n"/>
      <c r="Q4658" s="8" t="n"/>
      <c r="R4658" s="8" t="n"/>
      <c r="S4658" s="15" t="n">
        <v>146</v>
      </c>
      <c r="T4658" s="7" t="inlineStr">
        <is>
          <t>AT_SUPLEMENTOS</t>
        </is>
      </c>
      <c r="U4658" s="8" t="n">
        <v>146</v>
      </c>
      <c r="V4658" s="14">
        <f>U4658/J4658-1</f>
        <v/>
      </c>
      <c r="W4658" s="14">
        <f>U4658/H4658-1</f>
        <v/>
      </c>
      <c r="X4658" s="16" t="inlineStr">
        <is>
          <t>ACIMA +51.3%</t>
        </is>
      </c>
      <c r="Y4658" s="7" t="inlineStr"/>
    </row>
    <row r="4659">
      <c r="A4659" s="7" t="n">
        <v>597441</v>
      </c>
      <c r="B4659" s="12" t="inlineStr">
        <is>
          <t>7896311709984</t>
        </is>
      </c>
      <c r="C4659" s="7" t="inlineStr">
        <is>
          <t>WHEY 100% PURE INTEGRALMEDICA BAUNILHA PT 900G</t>
        </is>
      </c>
      <c r="D4659" s="7" t="inlineStr">
        <is>
          <t>SUPLEMENTO</t>
        </is>
      </c>
      <c r="E4659" s="7" t="inlineStr">
        <is>
          <t>A</t>
        </is>
      </c>
      <c r="F4659" s="13" t="n">
        <v>1</v>
      </c>
      <c r="G4659" s="13" t="n">
        <v>1</v>
      </c>
      <c r="H4659" s="8" t="n">
        <v>141.71</v>
      </c>
      <c r="I4659" s="8" t="n">
        <v>124.11</v>
      </c>
      <c r="J4659" s="8" t="n">
        <v>135.8433333333333</v>
      </c>
      <c r="K4659" s="8" t="n"/>
      <c r="L4659" s="8" t="n"/>
      <c r="M4659" s="8" t="n"/>
      <c r="N4659" s="8" t="n"/>
      <c r="O4659" s="8" t="n"/>
      <c r="P4659" s="8" t="n"/>
      <c r="Q4659" s="8" t="n"/>
      <c r="R4659" s="8" t="n"/>
      <c r="S4659" s="15" t="n">
        <v>164</v>
      </c>
      <c r="T4659" s="7" t="inlineStr">
        <is>
          <t>AT_SUPLEMENTOS</t>
        </is>
      </c>
      <c r="U4659" s="8" t="n">
        <v>164</v>
      </c>
      <c r="V4659" s="14">
        <f>U4659/J4659-1</f>
        <v/>
      </c>
      <c r="W4659" s="14">
        <f>U4659/H4659-1</f>
        <v/>
      </c>
      <c r="X4659" s="16" t="inlineStr">
        <is>
          <t>ACIMA +15.7%</t>
        </is>
      </c>
      <c r="Y4659" s="7" t="inlineStr"/>
    </row>
    <row r="4660">
      <c r="A4660" s="7" t="n">
        <v>606031</v>
      </c>
      <c r="B4660" s="12" t="inlineStr">
        <is>
          <t>7896311709991</t>
        </is>
      </c>
      <c r="C4660" s="7" t="inlineStr">
        <is>
          <t>WHEY 100% PURE INTEGRALMEDICA CHOCOLATE PT 907G</t>
        </is>
      </c>
      <c r="D4660" s="7" t="inlineStr">
        <is>
          <t>SUPLEMENTO</t>
        </is>
      </c>
      <c r="E4660" s="7" t="inlineStr">
        <is>
          <t>A</t>
        </is>
      </c>
      <c r="F4660" s="13" t="n">
        <v>1</v>
      </c>
      <c r="G4660" s="13" t="n">
        <v>1</v>
      </c>
      <c r="H4660" s="8" t="n">
        <v>141.71</v>
      </c>
      <c r="I4660" s="8" t="n">
        <v>124.11</v>
      </c>
      <c r="J4660" s="8" t="n">
        <v>135.8433333333333</v>
      </c>
      <c r="K4660" s="8" t="n"/>
      <c r="L4660" s="8" t="n"/>
      <c r="M4660" s="8" t="n"/>
      <c r="N4660" s="8" t="n"/>
      <c r="O4660" s="8" t="n"/>
      <c r="P4660" s="8" t="n"/>
      <c r="Q4660" s="8" t="n"/>
      <c r="R4660" s="8" t="n"/>
      <c r="S4660" s="15" t="n">
        <v>164</v>
      </c>
      <c r="T4660" s="7" t="inlineStr">
        <is>
          <t>AT_SUPLEMENTOS</t>
        </is>
      </c>
      <c r="U4660" s="8" t="n">
        <v>164</v>
      </c>
      <c r="V4660" s="14">
        <f>U4660/J4660-1</f>
        <v/>
      </c>
      <c r="W4660" s="14">
        <f>U4660/H4660-1</f>
        <v/>
      </c>
      <c r="X4660" s="16" t="inlineStr">
        <is>
          <t>ACIMA +15.7%</t>
        </is>
      </c>
      <c r="Y4660" s="7" t="inlineStr"/>
    </row>
    <row r="4661">
      <c r="A4661" s="7" t="n">
        <v>635351</v>
      </c>
      <c r="B4661" s="12" t="inlineStr">
        <is>
          <t>7896311710010</t>
        </is>
      </c>
      <c r="C4661" s="7" t="inlineStr">
        <is>
          <t>WHEY 100% PURE INTEGRALMEDICA MORANGO PT 900G</t>
        </is>
      </c>
      <c r="D4661" s="7" t="inlineStr">
        <is>
          <t>SUPLEMENTO</t>
        </is>
      </c>
      <c r="E4661" s="7" t="inlineStr">
        <is>
          <t>B</t>
        </is>
      </c>
      <c r="F4661" s="13" t="n">
        <v>1</v>
      </c>
      <c r="G4661" s="13" t="n">
        <v>1</v>
      </c>
      <c r="H4661" s="8" t="n">
        <v>124.11</v>
      </c>
      <c r="I4661" s="8" t="n">
        <v>124.11</v>
      </c>
      <c r="J4661" s="8" t="n">
        <v>124.11</v>
      </c>
      <c r="K4661" s="8" t="n"/>
      <c r="L4661" s="8" t="n"/>
      <c r="M4661" s="8" t="n"/>
      <c r="N4661" s="8" t="n"/>
      <c r="O4661" s="8" t="n"/>
      <c r="P4661" s="8" t="n"/>
      <c r="Q4661" s="8" t="n"/>
      <c r="R4661" s="8" t="n"/>
      <c r="S4661" s="15" t="n">
        <v>164</v>
      </c>
      <c r="T4661" s="7" t="inlineStr">
        <is>
          <t>AT_SUPLEMENTOS</t>
        </is>
      </c>
      <c r="U4661" s="8" t="n">
        <v>164</v>
      </c>
      <c r="V4661" s="14">
        <f>U4661/J4661-1</f>
        <v/>
      </c>
      <c r="W4661" s="14">
        <f>U4661/H4661-1</f>
        <v/>
      </c>
      <c r="X4661" s="16" t="inlineStr">
        <is>
          <t>ACIMA +32.1%</t>
        </is>
      </c>
      <c r="Y4661" s="7" t="inlineStr"/>
    </row>
    <row r="4662">
      <c r="A4662" s="7" t="n">
        <v>655921</v>
      </c>
      <c r="B4662" s="12" t="inlineStr">
        <is>
          <t>7898641077054</t>
        </is>
      </c>
      <c r="C4662" s="7" t="inlineStr">
        <is>
          <t>WHEY DUX SHAKE CAFE C/LEITE 250ML</t>
        </is>
      </c>
      <c r="D4662" s="7" t="inlineStr">
        <is>
          <t>BEBIDAS GERAL</t>
        </is>
      </c>
      <c r="E4662" s="7" t="inlineStr">
        <is>
          <t>C</t>
        </is>
      </c>
      <c r="F4662" s="13" t="n">
        <v>1</v>
      </c>
      <c r="G4662" s="13" t="n">
        <v>1</v>
      </c>
      <c r="H4662" s="8" t="n">
        <v>7.59</v>
      </c>
      <c r="I4662" s="8" t="n">
        <v>7.59</v>
      </c>
      <c r="J4662" s="8" t="n">
        <v>7.59</v>
      </c>
      <c r="K4662" s="8" t="n"/>
      <c r="L4662" s="8" t="n"/>
      <c r="M4662" s="8" t="n"/>
      <c r="N4662" s="8" t="n"/>
      <c r="O4662" s="8" t="n"/>
      <c r="P4662" s="8" t="n"/>
      <c r="Q4662" s="8" t="n"/>
      <c r="R4662" s="8" t="n"/>
      <c r="S4662" s="8" t="n"/>
      <c r="T4662" s="7" t="inlineStr">
        <is>
          <t>SEM COTAÇÃO</t>
        </is>
      </c>
      <c r="U4662" s="8" t="n"/>
      <c r="V4662" s="14" t="n"/>
      <c r="W4662" s="14" t="n"/>
      <c r="X4662" s="7" t="inlineStr"/>
      <c r="Y4662" s="7" t="inlineStr"/>
    </row>
    <row r="4663">
      <c r="A4663" s="7" t="n">
        <v>655911</v>
      </c>
      <c r="B4663" s="12" t="inlineStr"/>
      <c r="C4663" s="7" t="inlineStr">
        <is>
          <t>WHEY DUX SHAKE CHOCOLATE 250ML</t>
        </is>
      </c>
      <c r="D4663" s="7" t="inlineStr">
        <is>
          <t>BEBIDAS GERAL</t>
        </is>
      </c>
      <c r="E4663" s="7" t="inlineStr">
        <is>
          <t>C</t>
        </is>
      </c>
      <c r="F4663" s="13" t="n">
        <v>1</v>
      </c>
      <c r="G4663" s="13" t="n">
        <v>1</v>
      </c>
      <c r="H4663" s="8" t="n">
        <v>8.1</v>
      </c>
      <c r="I4663" s="8" t="n">
        <v>7.59</v>
      </c>
      <c r="J4663" s="8" t="n">
        <v>7.93</v>
      </c>
      <c r="K4663" s="8" t="n"/>
      <c r="L4663" s="8" t="n"/>
      <c r="M4663" s="8" t="n"/>
      <c r="N4663" s="8" t="n"/>
      <c r="O4663" s="8" t="n"/>
      <c r="P4663" s="8" t="n"/>
      <c r="Q4663" s="8" t="n"/>
      <c r="R4663" s="8" t="n"/>
      <c r="S4663" s="8" t="n"/>
      <c r="T4663" s="7" t="inlineStr">
        <is>
          <t>SEM COTAÇÃO</t>
        </is>
      </c>
      <c r="U4663" s="8" t="n"/>
      <c r="V4663" s="14" t="n"/>
      <c r="W4663" s="14" t="n"/>
      <c r="X4663" s="7" t="inlineStr"/>
      <c r="Y4663" s="7" t="inlineStr"/>
    </row>
    <row r="4664">
      <c r="A4664" s="7" t="n">
        <v>643311</v>
      </c>
      <c r="B4664" s="12" t="inlineStr">
        <is>
          <t>7898641074503</t>
        </is>
      </c>
      <c r="C4664" s="7" t="inlineStr">
        <is>
          <t>WHEY DUX SHAKE CHOCOLATE BRANCO 250ML</t>
        </is>
      </c>
      <c r="D4664" s="7" t="inlineStr">
        <is>
          <t>SUPLEMENTO</t>
        </is>
      </c>
      <c r="E4664" s="7" t="inlineStr">
        <is>
          <t>C</t>
        </is>
      </c>
      <c r="F4664" s="13" t="n">
        <v>1</v>
      </c>
      <c r="G4664" s="13" t="n">
        <v>1</v>
      </c>
      <c r="H4664" s="8" t="n">
        <v>7.59</v>
      </c>
      <c r="I4664" s="8" t="n">
        <v>7.59</v>
      </c>
      <c r="J4664" s="8" t="n">
        <v>7.59</v>
      </c>
      <c r="K4664" s="8" t="n"/>
      <c r="L4664" s="8" t="n"/>
      <c r="M4664" s="8" t="n"/>
      <c r="N4664" s="8" t="n"/>
      <c r="O4664" s="8" t="n"/>
      <c r="P4664" s="8" t="n"/>
      <c r="Q4664" s="8" t="n"/>
      <c r="R4664" s="8" t="n"/>
      <c r="S4664" s="8" t="n"/>
      <c r="T4664" s="7" t="inlineStr">
        <is>
          <t>SEM COTAÇÃO</t>
        </is>
      </c>
      <c r="U4664" s="8" t="n"/>
      <c r="V4664" s="14" t="n"/>
      <c r="W4664" s="14" t="n"/>
      <c r="X4664" s="7" t="inlineStr"/>
      <c r="Y4664" s="7" t="inlineStr"/>
    </row>
    <row r="4665">
      <c r="A4665" s="7" t="n">
        <v>646201</v>
      </c>
      <c r="B4665" s="12" t="inlineStr">
        <is>
          <t>7898641074473</t>
        </is>
      </c>
      <c r="C4665" s="7" t="inlineStr">
        <is>
          <t>WHEY DUX SHAKE COOKIES 250ML</t>
        </is>
      </c>
      <c r="D4665" s="7" t="inlineStr">
        <is>
          <t>SUPLEMENTO</t>
        </is>
      </c>
      <c r="E4665" s="7" t="inlineStr">
        <is>
          <t>C</t>
        </is>
      </c>
      <c r="F4665" s="13" t="n">
        <v>1</v>
      </c>
      <c r="G4665" s="13" t="n">
        <v>1</v>
      </c>
      <c r="H4665" s="8" t="n">
        <v>6.99</v>
      </c>
      <c r="I4665" s="8" t="n">
        <v>6.99</v>
      </c>
      <c r="J4665" s="8" t="n">
        <v>6.989999999999999</v>
      </c>
      <c r="K4665" s="8" t="n"/>
      <c r="L4665" s="8" t="n"/>
      <c r="M4665" s="8" t="n"/>
      <c r="N4665" s="8" t="n"/>
      <c r="O4665" s="8" t="n"/>
      <c r="P4665" s="8" t="n"/>
      <c r="Q4665" s="8" t="n"/>
      <c r="R4665" s="8" t="n"/>
      <c r="S4665" s="8" t="n"/>
      <c r="T4665" s="7" t="inlineStr">
        <is>
          <t>SEM COTAÇÃO</t>
        </is>
      </c>
      <c r="U4665" s="8" t="n"/>
      <c r="V4665" s="14" t="n"/>
      <c r="W4665" s="14" t="n"/>
      <c r="X4665" s="7" t="inlineStr"/>
      <c r="Y4665" s="7" t="inlineStr"/>
    </row>
    <row r="4666">
      <c r="A4666" s="7" t="n">
        <v>65101</v>
      </c>
      <c r="B4666" s="12" t="inlineStr"/>
      <c r="C4666" s="7" t="inlineStr">
        <is>
          <t>XAROPE 44 E 1,30+13,30MG/ML XPE FR 120ML</t>
        </is>
      </c>
      <c r="D4666" s="7" t="inlineStr">
        <is>
          <t>RX - OTC</t>
        </is>
      </c>
      <c r="E4666" s="7" t="inlineStr">
        <is>
          <t>A</t>
        </is>
      </c>
      <c r="F4666" s="13" t="n">
        <v>12</v>
      </c>
      <c r="G4666" s="13" t="n">
        <v>12</v>
      </c>
      <c r="H4666" s="8" t="n">
        <v>30.73</v>
      </c>
      <c r="I4666" s="8" t="n">
        <v>23.2152</v>
      </c>
      <c r="J4666" s="8" t="n">
        <v>26.89673333333333</v>
      </c>
      <c r="K4666" s="8" t="n"/>
      <c r="L4666" s="8" t="n"/>
      <c r="M4666" s="8" t="n"/>
      <c r="N4666" s="8" t="n"/>
      <c r="O4666" s="8" t="n"/>
      <c r="P4666" s="8" t="n"/>
      <c r="Q4666" s="8" t="n"/>
      <c r="R4666" s="8" t="n"/>
      <c r="S4666" s="8" t="n"/>
      <c r="T4666" s="7" t="inlineStr">
        <is>
          <t>SEM COTAÇÃO</t>
        </is>
      </c>
      <c r="U4666" s="8" t="n"/>
      <c r="V4666" s="14" t="n"/>
      <c r="W4666" s="14" t="n"/>
      <c r="X4666" s="7" t="inlineStr"/>
      <c r="Y4666" s="7" t="inlineStr"/>
    </row>
    <row r="4667">
      <c r="A4667" s="7" t="n">
        <v>65081</v>
      </c>
      <c r="B4667" s="12" t="inlineStr">
        <is>
          <t>7500435144384</t>
        </is>
      </c>
      <c r="C4667" s="7" t="inlineStr">
        <is>
          <t>XAROPE 44 E 1,30+13,30MG/ML XPE FR 240ML</t>
        </is>
      </c>
      <c r="D4667" s="7" t="inlineStr">
        <is>
          <t>RX - OTC</t>
        </is>
      </c>
      <c r="E4667" s="7" t="inlineStr">
        <is>
          <t>A</t>
        </is>
      </c>
      <c r="F4667" s="13" t="n">
        <v>1</v>
      </c>
      <c r="G4667" s="13" t="n">
        <v>1</v>
      </c>
      <c r="H4667" s="8" t="n">
        <v>51.6533</v>
      </c>
      <c r="I4667" s="8" t="n">
        <v>45.41</v>
      </c>
      <c r="J4667" s="8" t="n">
        <v>49.5722</v>
      </c>
      <c r="K4667" s="8" t="n"/>
      <c r="L4667" s="8" t="n"/>
      <c r="M4667" s="8" t="n"/>
      <c r="N4667" s="8" t="n"/>
      <c r="O4667" s="15" t="n">
        <v>54</v>
      </c>
      <c r="P4667" s="8" t="n">
        <v>58.292</v>
      </c>
      <c r="Q4667" s="8" t="n"/>
      <c r="R4667" s="8" t="n"/>
      <c r="S4667" s="8" t="n"/>
      <c r="T4667" s="7" t="inlineStr">
        <is>
          <t>TAPAJOS</t>
        </is>
      </c>
      <c r="U4667" s="8" t="n">
        <v>54</v>
      </c>
      <c r="V4667" s="14">
        <f>U4667/J4667-1</f>
        <v/>
      </c>
      <c r="W4667" s="14">
        <f>U4667/H4667-1</f>
        <v/>
      </c>
      <c r="X4667" s="16" t="inlineStr">
        <is>
          <t>ACIMA +4.5%</t>
        </is>
      </c>
      <c r="Y4667" s="7" t="inlineStr"/>
    </row>
    <row r="4668">
      <c r="A4668" s="7" t="n">
        <v>273361</v>
      </c>
      <c r="B4668" s="12" t="inlineStr"/>
      <c r="C4668" s="7" t="inlineStr">
        <is>
          <t>XAROPE VICK 13,3MG/ML XPE FR 120ML</t>
        </is>
      </c>
      <c r="D4668" s="7" t="inlineStr">
        <is>
          <t>RX - OTC</t>
        </is>
      </c>
      <c r="E4668" s="7" t="inlineStr">
        <is>
          <t>A</t>
        </is>
      </c>
      <c r="F4668" s="13" t="n">
        <v>6</v>
      </c>
      <c r="G4668" s="13" t="n">
        <v>6</v>
      </c>
      <c r="H4668" s="8" t="n">
        <v>28.7379</v>
      </c>
      <c r="I4668" s="8" t="n">
        <v>24.3825</v>
      </c>
      <c r="J4668" s="8" t="n">
        <v>27.2861</v>
      </c>
      <c r="K4668" s="8" t="n"/>
      <c r="L4668" s="8" t="n"/>
      <c r="M4668" s="8" t="n"/>
      <c r="N4668" s="8" t="n"/>
      <c r="O4668" s="8" t="n"/>
      <c r="P4668" s="8" t="n"/>
      <c r="Q4668" s="8" t="n"/>
      <c r="R4668" s="8" t="n"/>
      <c r="S4668" s="8" t="n"/>
      <c r="T4668" s="7" t="inlineStr">
        <is>
          <t>SEM COTAÇÃO</t>
        </is>
      </c>
      <c r="U4668" s="8" t="n"/>
      <c r="V4668" s="14" t="n"/>
      <c r="W4668" s="14" t="n"/>
      <c r="X4668" s="7" t="inlineStr"/>
      <c r="Y4668" s="7" t="inlineStr"/>
    </row>
    <row r="4669">
      <c r="A4669" s="7" t="n">
        <v>564601</v>
      </c>
      <c r="B4669" s="12" t="inlineStr">
        <is>
          <t>7897947607057</t>
        </is>
      </c>
      <c r="C4669" s="7" t="inlineStr">
        <is>
          <t>XO INSETO AEROSOL 150 ML</t>
        </is>
      </c>
      <c r="D4669" s="7" t="inlineStr">
        <is>
          <t>PERF/COSME</t>
        </is>
      </c>
      <c r="E4669" s="7" t="inlineStr">
        <is>
          <t>C</t>
        </is>
      </c>
      <c r="F4669" s="13" t="n">
        <v>1</v>
      </c>
      <c r="G4669" s="13" t="n">
        <v>1</v>
      </c>
      <c r="H4669" s="8" t="n">
        <v>25.83</v>
      </c>
      <c r="I4669" s="8" t="n">
        <v>25.83</v>
      </c>
      <c r="J4669" s="8" t="n">
        <v>25.83</v>
      </c>
      <c r="K4669" s="8" t="n"/>
      <c r="L4669" s="8" t="n"/>
      <c r="M4669" s="8" t="n"/>
      <c r="N4669" s="8" t="n"/>
      <c r="O4669" s="8" t="n"/>
      <c r="P4669" s="8" t="n"/>
      <c r="Q4669" s="8" t="n"/>
      <c r="R4669" s="8" t="n"/>
      <c r="S4669" s="8" t="n"/>
      <c r="T4669" s="7" t="inlineStr">
        <is>
          <t>SEM COTAÇÃO</t>
        </is>
      </c>
      <c r="U4669" s="8" t="n"/>
      <c r="V4669" s="14" t="n"/>
      <c r="W4669" s="14" t="n"/>
      <c r="X4669" s="7" t="inlineStr"/>
      <c r="Y4669" s="7" t="inlineStr"/>
    </row>
    <row r="4670">
      <c r="A4670" s="7" t="n">
        <v>556961</v>
      </c>
      <c r="B4670" s="12" t="inlineStr">
        <is>
          <t>7897947604506</t>
        </is>
      </c>
      <c r="C4670" s="7" t="inlineStr">
        <is>
          <t>XO INSETO KIDS LOCAO 100 ML</t>
        </is>
      </c>
      <c r="D4670" s="7" t="inlineStr">
        <is>
          <t>PERF/COSME</t>
        </is>
      </c>
      <c r="E4670" s="7" t="inlineStr">
        <is>
          <t>A</t>
        </is>
      </c>
      <c r="F4670" s="13" t="n">
        <v>22</v>
      </c>
      <c r="G4670" s="13" t="n">
        <v>22</v>
      </c>
      <c r="H4670" s="8" t="n">
        <v>8.69</v>
      </c>
      <c r="I4670" s="8" t="n">
        <v>7.99</v>
      </c>
      <c r="J4670" s="8" t="n">
        <v>8.223333333333334</v>
      </c>
      <c r="K4670" s="8" t="n"/>
      <c r="L4670" s="8" t="n"/>
      <c r="M4670" s="8" t="n"/>
      <c r="N4670" s="8" t="n"/>
      <c r="O4670" s="8" t="n"/>
      <c r="P4670" s="15" t="n">
        <v>12.22</v>
      </c>
      <c r="Q4670" s="8" t="n"/>
      <c r="R4670" s="8" t="n"/>
      <c r="S4670" s="8" t="n"/>
      <c r="T4670" s="7" t="inlineStr">
        <is>
          <t>NAZARIA</t>
        </is>
      </c>
      <c r="U4670" s="8" t="n">
        <v>12.22</v>
      </c>
      <c r="V4670" s="14">
        <f>U4670/J4670-1</f>
        <v/>
      </c>
      <c r="W4670" s="14">
        <f>U4670/H4670-1</f>
        <v/>
      </c>
      <c r="X4670" s="16" t="inlineStr">
        <is>
          <t>ACIMA +40.6%</t>
        </is>
      </c>
      <c r="Y4670" s="7" t="inlineStr"/>
    </row>
    <row r="4671">
      <c r="A4671" s="7" t="n">
        <v>621611</v>
      </c>
      <c r="B4671" s="12" t="inlineStr">
        <is>
          <t>7896020154532</t>
        </is>
      </c>
      <c r="C4671" s="7" t="inlineStr">
        <is>
          <t>XUXINHA SH 120ML CAMOMILA</t>
        </is>
      </c>
      <c r="D4671" s="7" t="inlineStr">
        <is>
          <t>PERF/COSME</t>
        </is>
      </c>
      <c r="E4671" s="7" t="inlineStr">
        <is>
          <t>C</t>
        </is>
      </c>
      <c r="F4671" s="13" t="n">
        <v>1</v>
      </c>
      <c r="G4671" s="13" t="n">
        <v>1</v>
      </c>
      <c r="H4671" s="8" t="n">
        <v>6.76</v>
      </c>
      <c r="I4671" s="8" t="n">
        <v>6.76</v>
      </c>
      <c r="J4671" s="8" t="n">
        <v>6.760000000000001</v>
      </c>
      <c r="K4671" s="8" t="n"/>
      <c r="L4671" s="8" t="n"/>
      <c r="M4671" s="8" t="n"/>
      <c r="N4671" s="8" t="n"/>
      <c r="O4671" s="8" t="n"/>
      <c r="P4671" s="8" t="n"/>
      <c r="Q4671" s="8" t="n"/>
      <c r="R4671" s="8" t="n"/>
      <c r="S4671" s="8" t="n"/>
      <c r="T4671" s="7" t="inlineStr">
        <is>
          <t>SEM COTAÇÃO</t>
        </is>
      </c>
      <c r="U4671" s="8" t="n"/>
      <c r="V4671" s="14" t="n"/>
      <c r="W4671" s="14" t="n"/>
      <c r="X4671" s="7" t="inlineStr"/>
      <c r="Y4671" s="7" t="inlineStr"/>
    </row>
    <row r="4672">
      <c r="A4672" s="7" t="n">
        <v>629041</v>
      </c>
      <c r="B4672" s="12" t="inlineStr">
        <is>
          <t>7896150017226</t>
        </is>
      </c>
      <c r="C4672" s="7" t="inlineStr">
        <is>
          <t>YAMA AG OX CR 40V 60ML</t>
        </is>
      </c>
      <c r="D4672" s="7" t="inlineStr">
        <is>
          <t>USO INTERNO</t>
        </is>
      </c>
      <c r="E4672" s="7" t="inlineStr">
        <is>
          <t>C</t>
        </is>
      </c>
      <c r="F4672" s="13" t="n">
        <v>1</v>
      </c>
      <c r="G4672" s="13" t="n">
        <v>1</v>
      </c>
      <c r="H4672" s="8" t="n">
        <v>3.16</v>
      </c>
      <c r="I4672" s="8" t="n">
        <v>3.16</v>
      </c>
      <c r="J4672" s="8" t="n">
        <v>3.16</v>
      </c>
      <c r="K4672" s="8" t="n"/>
      <c r="L4672" s="8" t="n"/>
      <c r="M4672" s="8" t="n"/>
      <c r="N4672" s="8" t="n"/>
      <c r="O4672" s="8" t="n"/>
      <c r="P4672" s="8" t="n"/>
      <c r="Q4672" s="8" t="n"/>
      <c r="R4672" s="8" t="n"/>
      <c r="S4672" s="8" t="n"/>
      <c r="T4672" s="7" t="inlineStr">
        <is>
          <t>SEM COTAÇÃO</t>
        </is>
      </c>
      <c r="U4672" s="8" t="n"/>
      <c r="V4672" s="14" t="n"/>
      <c r="W4672" s="14" t="n"/>
      <c r="X4672" s="7" t="inlineStr"/>
      <c r="Y4672" s="7" t="inlineStr"/>
    </row>
    <row r="4673">
      <c r="A4673" s="7" t="n">
        <v>629021</v>
      </c>
      <c r="B4673" s="12" t="inlineStr">
        <is>
          <t>7896150017202</t>
        </is>
      </c>
      <c r="C4673" s="7" t="inlineStr">
        <is>
          <t>YAMA DESCOLORANT AG OX CR 20V 60ML</t>
        </is>
      </c>
      <c r="D4673" s="7" t="inlineStr">
        <is>
          <t>USO INTERNO</t>
        </is>
      </c>
      <c r="E4673" s="7" t="inlineStr">
        <is>
          <t>C</t>
        </is>
      </c>
      <c r="F4673" s="13" t="n">
        <v>2</v>
      </c>
      <c r="G4673" s="13" t="n">
        <v>2</v>
      </c>
      <c r="H4673" s="8" t="n">
        <v>3.16</v>
      </c>
      <c r="I4673" s="8" t="n">
        <v>3.16</v>
      </c>
      <c r="J4673" s="8" t="n">
        <v>3.16</v>
      </c>
      <c r="K4673" s="8" t="n"/>
      <c r="L4673" s="8" t="n"/>
      <c r="M4673" s="8" t="n"/>
      <c r="N4673" s="8" t="n"/>
      <c r="O4673" s="8" t="n"/>
      <c r="P4673" s="8" t="n"/>
      <c r="Q4673" s="8" t="n"/>
      <c r="R4673" s="8" t="n"/>
      <c r="S4673" s="8" t="n"/>
      <c r="T4673" s="7" t="inlineStr">
        <is>
          <t>SEM COTAÇÃO</t>
        </is>
      </c>
      <c r="U4673" s="8" t="n"/>
      <c r="V4673" s="14" t="n"/>
      <c r="W4673" s="14" t="n"/>
      <c r="X4673" s="7" t="inlineStr"/>
      <c r="Y4673" s="7" t="inlineStr"/>
    </row>
    <row r="4674">
      <c r="A4674" s="7" t="n">
        <v>629031</v>
      </c>
      <c r="B4674" s="12" t="inlineStr">
        <is>
          <t>7896150017219</t>
        </is>
      </c>
      <c r="C4674" s="7" t="inlineStr">
        <is>
          <t>YAMA DESCOLORANT AG OX CR 30V 60ML</t>
        </is>
      </c>
      <c r="D4674" s="7" t="inlineStr">
        <is>
          <t>USO INTERNO</t>
        </is>
      </c>
      <c r="E4674" s="7" t="inlineStr">
        <is>
          <t>C</t>
        </is>
      </c>
      <c r="F4674" s="13" t="n">
        <v>1</v>
      </c>
      <c r="G4674" s="13" t="n">
        <v>1</v>
      </c>
      <c r="H4674" s="8" t="n">
        <v>3.16</v>
      </c>
      <c r="I4674" s="8" t="n">
        <v>3.16</v>
      </c>
      <c r="J4674" s="8" t="n">
        <v>3.16</v>
      </c>
      <c r="K4674" s="8" t="n"/>
      <c r="L4674" s="8" t="n"/>
      <c r="M4674" s="8" t="n"/>
      <c r="N4674" s="8" t="n"/>
      <c r="O4674" s="8" t="n"/>
      <c r="P4674" s="8" t="n"/>
      <c r="Q4674" s="8" t="n"/>
      <c r="R4674" s="8" t="n"/>
      <c r="S4674" s="8" t="n"/>
      <c r="T4674" s="7" t="inlineStr">
        <is>
          <t>SEM COTAÇÃO</t>
        </is>
      </c>
      <c r="U4674" s="8" t="n"/>
      <c r="V4674" s="14" t="n"/>
      <c r="W4674" s="14" t="n"/>
      <c r="X4674" s="7" t="inlineStr"/>
      <c r="Y4674" s="7" t="inlineStr"/>
    </row>
    <row r="4675">
      <c r="A4675" s="7" t="n">
        <v>629201</v>
      </c>
      <c r="B4675" s="12" t="inlineStr">
        <is>
          <t>7896150000068</t>
        </is>
      </c>
      <c r="C4675" s="7" t="inlineStr">
        <is>
          <t>YAMA YAMASTEROL CR MULT BABO+D-PANT 320G</t>
        </is>
      </c>
      <c r="D4675" s="7" t="inlineStr">
        <is>
          <t>PERF/COSME</t>
        </is>
      </c>
      <c r="E4675" s="7" t="inlineStr">
        <is>
          <t>C</t>
        </is>
      </c>
      <c r="F4675" s="13" t="n">
        <v>1</v>
      </c>
      <c r="G4675" s="13" t="n">
        <v>1</v>
      </c>
      <c r="H4675" s="8" t="n">
        <v>8.23</v>
      </c>
      <c r="I4675" s="8" t="n">
        <v>8.23</v>
      </c>
      <c r="J4675" s="8" t="n">
        <v>8.23</v>
      </c>
      <c r="K4675" s="8" t="n"/>
      <c r="L4675" s="8" t="n"/>
      <c r="M4675" s="8" t="n"/>
      <c r="N4675" s="8" t="n"/>
      <c r="O4675" s="8" t="n"/>
      <c r="P4675" s="8" t="n"/>
      <c r="Q4675" s="8" t="n"/>
      <c r="R4675" s="8" t="n"/>
      <c r="S4675" s="8" t="n"/>
      <c r="T4675" s="7" t="inlineStr">
        <is>
          <t>SEM COTAÇÃO</t>
        </is>
      </c>
      <c r="U4675" s="8" t="n"/>
      <c r="V4675" s="14" t="n"/>
      <c r="W4675" s="14" t="n"/>
      <c r="X4675" s="7" t="inlineStr"/>
      <c r="Y4675" s="7" t="inlineStr"/>
    </row>
    <row r="4676">
      <c r="A4676" s="7" t="n">
        <v>590821</v>
      </c>
      <c r="B4676" s="12" t="inlineStr">
        <is>
          <t>7896150001096</t>
        </is>
      </c>
      <c r="C4676" s="7" t="inlineStr">
        <is>
          <t>YAMASTEROL BABOSA E D-PANTENOL 200G UN</t>
        </is>
      </c>
      <c r="D4676" s="7" t="inlineStr">
        <is>
          <t>PERF/COSME</t>
        </is>
      </c>
      <c r="E4676" s="7" t="inlineStr">
        <is>
          <t>C</t>
        </is>
      </c>
      <c r="F4676" s="13" t="n">
        <v>2</v>
      </c>
      <c r="G4676" s="13" t="n">
        <v>2</v>
      </c>
      <c r="H4676" s="8" t="n">
        <v>6.11</v>
      </c>
      <c r="I4676" s="8" t="n">
        <v>6.11</v>
      </c>
      <c r="J4676" s="8" t="n">
        <v>6.11</v>
      </c>
      <c r="K4676" s="8" t="n"/>
      <c r="L4676" s="8" t="n"/>
      <c r="M4676" s="8" t="n"/>
      <c r="N4676" s="8" t="n"/>
      <c r="O4676" s="8" t="n"/>
      <c r="P4676" s="8" t="n"/>
      <c r="Q4676" s="8" t="n"/>
      <c r="R4676" s="8" t="n"/>
      <c r="S4676" s="8" t="n"/>
      <c r="T4676" s="7" t="inlineStr">
        <is>
          <t>SEM COTAÇÃO</t>
        </is>
      </c>
      <c r="U4676" s="8" t="n"/>
      <c r="V4676" s="14" t="n"/>
      <c r="W4676" s="14" t="n"/>
      <c r="X4676" s="7" t="inlineStr"/>
      <c r="Y4676" s="7" t="inlineStr"/>
    </row>
    <row r="4677">
      <c r="A4677" s="7" t="n">
        <v>593871</v>
      </c>
      <c r="B4677" s="12" t="inlineStr">
        <is>
          <t>7896150001256</t>
        </is>
      </c>
      <c r="C4677" s="7" t="inlineStr">
        <is>
          <t>YAMASTEROL BRANCO 200G</t>
        </is>
      </c>
      <c r="D4677" s="7" t="inlineStr">
        <is>
          <t>PERF/COSME</t>
        </is>
      </c>
      <c r="E4677" s="7" t="inlineStr">
        <is>
          <t>B</t>
        </is>
      </c>
      <c r="F4677" s="13" t="n">
        <v>4</v>
      </c>
      <c r="G4677" s="13" t="n">
        <v>4</v>
      </c>
      <c r="H4677" s="8" t="n">
        <v>6.07</v>
      </c>
      <c r="I4677" s="8" t="n">
        <v>6.07</v>
      </c>
      <c r="J4677" s="8" t="n">
        <v>6.07</v>
      </c>
      <c r="K4677" s="8" t="n"/>
      <c r="L4677" s="8" t="n"/>
      <c r="M4677" s="8" t="n"/>
      <c r="N4677" s="8" t="n"/>
      <c r="O4677" s="8" t="n"/>
      <c r="P4677" s="8" t="n"/>
      <c r="Q4677" s="8" t="n"/>
      <c r="R4677" s="8" t="n"/>
      <c r="S4677" s="8" t="n"/>
      <c r="T4677" s="7" t="inlineStr">
        <is>
          <t>SEM COTAÇÃO</t>
        </is>
      </c>
      <c r="U4677" s="8" t="n"/>
      <c r="V4677" s="14" t="n"/>
      <c r="W4677" s="14" t="n"/>
      <c r="X4677" s="7" t="inlineStr"/>
      <c r="Y4677" s="7" t="inlineStr"/>
    </row>
    <row r="4678">
      <c r="A4678" s="7" t="n">
        <v>593881</v>
      </c>
      <c r="B4678" s="12" t="inlineStr">
        <is>
          <t>7896150020172</t>
        </is>
      </c>
      <c r="C4678" s="7" t="inlineStr">
        <is>
          <t>YAMASTEROL HIALURONICO 200G</t>
        </is>
      </c>
      <c r="D4678" s="7" t="inlineStr">
        <is>
          <t>PERF/COSME</t>
        </is>
      </c>
      <c r="E4678" s="7" t="inlineStr">
        <is>
          <t>C</t>
        </is>
      </c>
      <c r="F4678" s="13" t="n">
        <v>2</v>
      </c>
      <c r="G4678" s="13" t="n">
        <v>2</v>
      </c>
      <c r="H4678" s="8" t="n">
        <v>7.26</v>
      </c>
      <c r="I4678" s="8" t="n">
        <v>7.26</v>
      </c>
      <c r="J4678" s="8" t="n">
        <v>7.260000000000001</v>
      </c>
      <c r="K4678" s="8" t="n"/>
      <c r="L4678" s="8" t="n"/>
      <c r="M4678" s="8" t="n"/>
      <c r="N4678" s="8" t="n"/>
      <c r="O4678" s="8" t="n"/>
      <c r="P4678" s="8" t="n"/>
      <c r="Q4678" s="8" t="n"/>
      <c r="R4678" s="8" t="n"/>
      <c r="S4678" s="8" t="n"/>
      <c r="T4678" s="7" t="inlineStr">
        <is>
          <t>SEM COTAÇÃO</t>
        </is>
      </c>
      <c r="U4678" s="8" t="n"/>
      <c r="V4678" s="14" t="n"/>
      <c r="W4678" s="14" t="n"/>
      <c r="X4678" s="7" t="inlineStr"/>
      <c r="Y4678" s="7" t="inlineStr"/>
    </row>
    <row r="4679">
      <c r="A4679" s="7" t="n">
        <v>656161</v>
      </c>
      <c r="B4679" s="12" t="inlineStr">
        <is>
          <t>7891025118985</t>
        </is>
      </c>
      <c r="C4679" s="7" t="inlineStr">
        <is>
          <t>YOPRO MILK BAUNILHA 25G PROT 250ML</t>
        </is>
      </c>
      <c r="D4679" s="7" t="inlineStr">
        <is>
          <t>BEBIDAS GERAL</t>
        </is>
      </c>
      <c r="E4679" s="7" t="inlineStr">
        <is>
          <t>C</t>
        </is>
      </c>
      <c r="F4679" s="13" t="n">
        <v>1</v>
      </c>
      <c r="G4679" s="13" t="n">
        <v>1</v>
      </c>
      <c r="H4679" s="8" t="n">
        <v>10.2</v>
      </c>
      <c r="I4679" s="8" t="n">
        <v>10.2</v>
      </c>
      <c r="J4679" s="8" t="n">
        <v>10.2</v>
      </c>
      <c r="K4679" s="8" t="n"/>
      <c r="L4679" s="8" t="n"/>
      <c r="M4679" s="8" t="n"/>
      <c r="N4679" s="8" t="n"/>
      <c r="O4679" s="8" t="n"/>
      <c r="P4679" s="8" t="n"/>
      <c r="Q4679" s="8" t="n"/>
      <c r="R4679" s="8" t="n"/>
      <c r="S4679" s="8" t="n"/>
      <c r="T4679" s="7" t="inlineStr">
        <is>
          <t>SEM COTAÇÃO</t>
        </is>
      </c>
      <c r="U4679" s="8" t="n"/>
      <c r="V4679" s="14" t="n"/>
      <c r="W4679" s="14" t="n"/>
      <c r="X4679" s="7" t="inlineStr"/>
      <c r="Y4679" s="7" t="inlineStr"/>
    </row>
    <row r="4680">
      <c r="A4680" s="7" t="n">
        <v>593561</v>
      </c>
      <c r="B4680" s="12" t="inlineStr">
        <is>
          <t>7891025115632</t>
        </is>
      </c>
      <c r="C4680" s="7" t="inlineStr">
        <is>
          <t>YOPRO UHT BANANA 15G PROTEIN 250ML</t>
        </is>
      </c>
      <c r="D4680" s="7" t="inlineStr">
        <is>
          <t>VITAMINA E SIMILARES</t>
        </is>
      </c>
      <c r="E4680" s="7" t="inlineStr">
        <is>
          <t>C</t>
        </is>
      </c>
      <c r="F4680" s="13" t="n">
        <v>3</v>
      </c>
      <c r="G4680" s="13" t="n">
        <v>3</v>
      </c>
      <c r="H4680" s="8" t="n">
        <v>6.5817</v>
      </c>
      <c r="I4680" s="8" t="n">
        <v>6.5817</v>
      </c>
      <c r="J4680" s="8" t="n">
        <v>6.581700000000001</v>
      </c>
      <c r="K4680" s="8" t="n"/>
      <c r="L4680" s="8" t="n"/>
      <c r="M4680" s="8" t="n"/>
      <c r="N4680" s="8" t="n"/>
      <c r="O4680" s="8" t="n"/>
      <c r="P4680" s="8" t="n">
        <v>7.52</v>
      </c>
      <c r="Q4680" s="8" t="n"/>
      <c r="R4680" s="8" t="n"/>
      <c r="S4680" s="8" t="n"/>
      <c r="T4680" s="7" t="inlineStr">
        <is>
          <t>SEM COTAÇÃO</t>
        </is>
      </c>
      <c r="U4680" s="8" t="n"/>
      <c r="V4680" s="14" t="n"/>
      <c r="W4680" s="14" t="n"/>
      <c r="X4680" s="7" t="inlineStr"/>
      <c r="Y4680" s="7" t="inlineStr">
        <is>
          <t>NAZARIA: sem estoque</t>
        </is>
      </c>
    </row>
    <row r="4681">
      <c r="A4681" s="7" t="n">
        <v>593581</v>
      </c>
      <c r="B4681" s="12" t="inlineStr">
        <is>
          <t>7891025115656</t>
        </is>
      </c>
      <c r="C4681" s="7" t="inlineStr">
        <is>
          <t>YOPRO UHT CHOCOLATE 15G PROTEIN 250ML</t>
        </is>
      </c>
      <c r="D4681" s="7" t="inlineStr">
        <is>
          <t>BEBIDAS GERAL</t>
        </is>
      </c>
      <c r="E4681" s="7" t="inlineStr">
        <is>
          <t>C</t>
        </is>
      </c>
      <c r="F4681" s="13" t="n">
        <v>7</v>
      </c>
      <c r="G4681" s="13" t="n">
        <v>7</v>
      </c>
      <c r="H4681" s="8" t="n">
        <v>6.5817</v>
      </c>
      <c r="I4681" s="8" t="n">
        <v>6.1517</v>
      </c>
      <c r="J4681" s="8" t="n">
        <v>6.438366666666667</v>
      </c>
      <c r="K4681" s="8" t="n"/>
      <c r="L4681" s="8" t="n"/>
      <c r="M4681" s="8" t="n"/>
      <c r="N4681" s="8" t="n"/>
      <c r="O4681" s="8" t="n"/>
      <c r="P4681" s="8" t="n">
        <v>8.08</v>
      </c>
      <c r="Q4681" s="8" t="n"/>
      <c r="R4681" s="8" t="n"/>
      <c r="S4681" s="8" t="n"/>
      <c r="T4681" s="7" t="inlineStr">
        <is>
          <t>SEM COTAÇÃO</t>
        </is>
      </c>
      <c r="U4681" s="8" t="n"/>
      <c r="V4681" s="14" t="n"/>
      <c r="W4681" s="14" t="n"/>
      <c r="X4681" s="7" t="inlineStr"/>
      <c r="Y4681" s="7" t="inlineStr">
        <is>
          <t>NAZARIA: sem estoque</t>
        </is>
      </c>
    </row>
    <row r="4682">
      <c r="A4682" s="7" t="n">
        <v>326621</v>
      </c>
      <c r="B4682" s="12" t="inlineStr"/>
      <c r="C4682" s="7" t="inlineStr">
        <is>
          <t>ZART 50MG CX 30 COMP REV</t>
        </is>
      </c>
      <c r="D4682" s="7" t="inlineStr">
        <is>
          <t>RX</t>
        </is>
      </c>
      <c r="E4682" s="7" t="inlineStr">
        <is>
          <t>A</t>
        </is>
      </c>
      <c r="F4682" s="13" t="n">
        <v>14</v>
      </c>
      <c r="G4682" s="13" t="n">
        <v>14</v>
      </c>
      <c r="H4682" s="8" t="n">
        <v>4.9244</v>
      </c>
      <c r="I4682" s="8" t="n">
        <v>3.8667</v>
      </c>
      <c r="J4682" s="8" t="n">
        <v>4.400366666666667</v>
      </c>
      <c r="K4682" s="8" t="n"/>
      <c r="L4682" s="8" t="n"/>
      <c r="M4682" s="8" t="n"/>
      <c r="N4682" s="8" t="n"/>
      <c r="O4682" s="8" t="n"/>
      <c r="P4682" s="8" t="n"/>
      <c r="Q4682" s="8" t="n"/>
      <c r="R4682" s="8" t="n"/>
      <c r="S4682" s="8" t="n"/>
      <c r="T4682" s="7" t="inlineStr">
        <is>
          <t>SEM COTAÇÃO</t>
        </is>
      </c>
      <c r="U4682" s="8" t="n"/>
      <c r="V4682" s="14" t="n"/>
      <c r="W4682" s="14" t="n"/>
      <c r="X4682" s="7" t="inlineStr"/>
      <c r="Y4682" s="7" t="inlineStr"/>
    </row>
    <row r="4683">
      <c r="A4683" s="7" t="n">
        <v>287141</v>
      </c>
      <c r="B4683" s="12" t="inlineStr">
        <is>
          <t>7891317451417</t>
        </is>
      </c>
      <c r="C4683" s="7" t="inlineStr">
        <is>
          <t>ZART H H 50+12,5MG CX 30 COMP REV</t>
        </is>
      </c>
      <c r="D4683" s="7" t="inlineStr">
        <is>
          <t>RX</t>
        </is>
      </c>
      <c r="E4683" s="7" t="inlineStr">
        <is>
          <t>C</t>
        </is>
      </c>
      <c r="F4683" s="13" t="n">
        <v>2</v>
      </c>
      <c r="G4683" s="13" t="n">
        <v>2</v>
      </c>
      <c r="H4683" s="8" t="n">
        <v>41.61</v>
      </c>
      <c r="I4683" s="8" t="n">
        <v>36.88</v>
      </c>
      <c r="J4683" s="8" t="n">
        <v>40.03333333333333</v>
      </c>
      <c r="K4683" s="8" t="n"/>
      <c r="L4683" s="8" t="n"/>
      <c r="M4683" s="15" t="n">
        <v>41.61</v>
      </c>
      <c r="N4683" s="8" t="n"/>
      <c r="O4683" s="8" t="n"/>
      <c r="P4683" s="8" t="n">
        <v>42.189</v>
      </c>
      <c r="Q4683" s="8" t="n"/>
      <c r="R4683" s="8" t="n"/>
      <c r="S4683" s="8" t="n"/>
      <c r="T4683" s="7" t="inlineStr">
        <is>
          <t>EPAN</t>
        </is>
      </c>
      <c r="U4683" s="8" t="n">
        <v>41.61</v>
      </c>
      <c r="V4683" s="14">
        <f>U4683/J4683-1</f>
        <v/>
      </c>
      <c r="W4683" s="14">
        <f>U4683/H4683-1</f>
        <v/>
      </c>
      <c r="X4683" s="17" t="inlineStr">
        <is>
          <t>OK (≤ últ. compra)</t>
        </is>
      </c>
      <c r="Y4683" s="7" t="inlineStr">
        <is>
          <t>NAZARIA: sem estoque</t>
        </is>
      </c>
    </row>
    <row r="4684">
      <c r="A4684" s="7" t="n">
        <v>429501</v>
      </c>
      <c r="B4684" s="12" t="inlineStr"/>
      <c r="C4684" s="7" t="inlineStr">
        <is>
          <t>ZINPASS EZE 40+10MG CX 30 COMP REV</t>
        </is>
      </c>
      <c r="D4684" s="7" t="inlineStr">
        <is>
          <t>RX</t>
        </is>
      </c>
      <c r="E4684" s="7" t="inlineStr">
        <is>
          <t>A</t>
        </is>
      </c>
      <c r="F4684" s="13" t="n">
        <v>2</v>
      </c>
      <c r="G4684" s="13" t="n">
        <v>2</v>
      </c>
      <c r="H4684" s="8" t="n">
        <v>140.09</v>
      </c>
      <c r="I4684" s="8" t="n">
        <v>133.3</v>
      </c>
      <c r="J4684" s="8" t="n">
        <v>137.82</v>
      </c>
      <c r="K4684" s="8" t="n"/>
      <c r="L4684" s="8" t="n"/>
      <c r="M4684" s="8" t="n"/>
      <c r="N4684" s="8" t="n"/>
      <c r="O4684" s="8" t="n"/>
      <c r="P4684" s="8" t="n"/>
      <c r="Q4684" s="8" t="n"/>
      <c r="R4684" s="8" t="n"/>
      <c r="S4684" s="8" t="n"/>
      <c r="T4684" s="7" t="inlineStr">
        <is>
          <t>SEM COTAÇÃO</t>
        </is>
      </c>
      <c r="U4684" s="8" t="n"/>
      <c r="V4684" s="14" t="n"/>
      <c r="W4684" s="14" t="n"/>
      <c r="X4684" s="7" t="inlineStr"/>
      <c r="Y4684" s="7" t="inlineStr"/>
    </row>
    <row r="4685">
      <c r="A4685" s="7" t="n">
        <v>261481</v>
      </c>
      <c r="B4685" s="12" t="inlineStr">
        <is>
          <t>7897316805442</t>
        </is>
      </c>
      <c r="C4685" s="7" t="inlineStr">
        <is>
          <t>ZYPRED 3+10MG/ML SUS OFT FR GOT 6ML</t>
        </is>
      </c>
      <c r="D4685" s="7" t="inlineStr">
        <is>
          <t>RX - REFERENCIA - ATB</t>
        </is>
      </c>
      <c r="E4685" s="7" t="inlineStr">
        <is>
          <t>A</t>
        </is>
      </c>
      <c r="F4685" s="13" t="n">
        <v>4</v>
      </c>
      <c r="G4685" s="13" t="n">
        <v>4</v>
      </c>
      <c r="H4685" s="8" t="n">
        <v>67.565</v>
      </c>
      <c r="I4685" s="8" t="n">
        <v>61.93</v>
      </c>
      <c r="J4685" s="8" t="n">
        <v>65.68666666666667</v>
      </c>
      <c r="K4685" s="8" t="n"/>
      <c r="L4685" s="8" t="n"/>
      <c r="M4685" s="8" t="n"/>
      <c r="N4685" s="8" t="n"/>
      <c r="O4685" s="15" t="n">
        <v>68.62</v>
      </c>
      <c r="P4685" s="8" t="n">
        <v>72.98</v>
      </c>
      <c r="Q4685" s="8" t="n"/>
      <c r="R4685" s="8" t="n"/>
      <c r="S4685" s="8" t="n"/>
      <c r="T4685" s="7" t="inlineStr">
        <is>
          <t>TAPAJOS</t>
        </is>
      </c>
      <c r="U4685" s="8" t="n">
        <v>68.62</v>
      </c>
      <c r="V4685" s="14">
        <f>U4685/J4685-1</f>
        <v/>
      </c>
      <c r="W4685" s="14">
        <f>U4685/H4685-1</f>
        <v/>
      </c>
      <c r="X4685" s="16" t="inlineStr">
        <is>
          <t>ACIMA +1.6%</t>
        </is>
      </c>
      <c r="Y4685" s="7" t="inlineStr">
        <is>
          <t>NAZARIA: estoque parcial (2 un)</t>
        </is>
      </c>
    </row>
    <row r="4686">
      <c r="A4686" s="7" t="n">
        <v>535521</v>
      </c>
      <c r="B4686" s="12" t="inlineStr">
        <is>
          <t>78922686</t>
        </is>
      </c>
      <c r="C4686" s="7" t="inlineStr">
        <is>
          <t>ÓLEO DESODORANTE CORPORAL TENTADORA FRASCO 200ML</t>
        </is>
      </c>
      <c r="D4686" s="7" t="inlineStr">
        <is>
          <t>PERF/COSME</t>
        </is>
      </c>
      <c r="E4686" s="7" t="inlineStr">
        <is>
          <t>C</t>
        </is>
      </c>
      <c r="F4686" s="13" t="n">
        <v>2</v>
      </c>
      <c r="G4686" s="13" t="n">
        <v>2</v>
      </c>
      <c r="H4686" s="8" t="n">
        <v>9.26</v>
      </c>
      <c r="I4686" s="8" t="n">
        <v>9.26</v>
      </c>
      <c r="J4686" s="8" t="n">
        <v>9.26</v>
      </c>
      <c r="K4686" s="8" t="n"/>
      <c r="L4686" s="8" t="n"/>
      <c r="M4686" s="8" t="n"/>
      <c r="N4686" s="8" t="n"/>
      <c r="O4686" s="8" t="n"/>
      <c r="P4686" s="8" t="n"/>
      <c r="Q4686" s="8" t="n"/>
      <c r="R4686" s="8" t="n"/>
      <c r="S4686" s="8" t="n"/>
      <c r="T4686" s="7" t="inlineStr">
        <is>
          <t>SEM COTAÇÃO</t>
        </is>
      </c>
      <c r="U4686" s="8" t="n"/>
      <c r="V4686" s="14" t="n"/>
      <c r="W4686" s="14" t="n"/>
      <c r="X4686" s="7" t="inlineStr"/>
      <c r="Y4686" s="7" t="inlineStr"/>
    </row>
    <row r="4687">
      <c r="A4687" s="7" t="n">
        <v>654811</v>
      </c>
      <c r="B4687" s="12" t="inlineStr">
        <is>
          <t>7908475808172</t>
        </is>
      </c>
      <c r="C4687" s="7" t="inlineStr">
        <is>
          <t>ÔMEGA 3/6/9 + VITAMINA E 30 CAPS</t>
        </is>
      </c>
      <c r="D4687" s="7" t="inlineStr">
        <is>
          <t>VITAMINA E SIMILARES</t>
        </is>
      </c>
      <c r="E4687" s="7" t="inlineStr">
        <is>
          <t>C</t>
        </is>
      </c>
      <c r="F4687" s="13" t="n">
        <v>3</v>
      </c>
      <c r="G4687" s="13" t="n">
        <v>3</v>
      </c>
      <c r="H4687" s="8" t="n">
        <v>22.17</v>
      </c>
      <c r="I4687" s="8" t="n">
        <v>22.17</v>
      </c>
      <c r="J4687" s="8" t="n">
        <v>22.17</v>
      </c>
      <c r="K4687" s="8" t="n"/>
      <c r="L4687" s="8" t="n"/>
      <c r="M4687" s="8" t="n"/>
      <c r="N4687" s="8" t="n"/>
      <c r="O4687" s="8" t="n"/>
      <c r="P4687" s="8" t="n"/>
      <c r="Q4687" s="8" t="n"/>
      <c r="R4687" s="8" t="n"/>
      <c r="S4687" s="8" t="n"/>
      <c r="T4687" s="7" t="inlineStr">
        <is>
          <t>SEM COTAÇÃO</t>
        </is>
      </c>
      <c r="U4687" s="8" t="n"/>
      <c r="V4687" s="14" t="n"/>
      <c r="W4687" s="14" t="n"/>
      <c r="X4687" s="7" t="inlineStr"/>
      <c r="Y4687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7" customWidth="1" min="16" max="16"/>
    <col width="26" customWidth="1" min="17" max="17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Média hist.</t>
        </is>
      </c>
      <c r="N1" s="11" t="inlineStr">
        <is>
          <t>% vs média hist.</t>
        </is>
      </c>
      <c r="O1" s="11" t="inlineStr">
        <is>
          <t>% vs últ. compra</t>
        </is>
      </c>
      <c r="P1" s="11" t="inlineStr">
        <is>
          <t>Status</t>
        </is>
      </c>
      <c r="Q1" s="11" t="inlineStr">
        <is>
          <t>OBS</t>
        </is>
      </c>
    </row>
    <row r="2">
      <c r="A2" s="7" t="n">
        <v>441</v>
      </c>
      <c r="B2" s="7" t="inlineStr">
        <is>
          <t>4853</t>
        </is>
      </c>
      <c r="C2" s="12" t="inlineStr">
        <is>
          <t>7896422513173</t>
        </is>
      </c>
      <c r="D2" s="7" t="inlineStr">
        <is>
          <t>- DOMPERIDONA 1MG/ML SUS OR FR 100ML+PIPET DOS</t>
        </is>
      </c>
      <c r="E2" s="13" t="n">
        <v>1</v>
      </c>
      <c r="F2" s="13" t="n">
        <v>3</v>
      </c>
      <c r="G2" s="13" t="n">
        <v>3</v>
      </c>
      <c r="H2" s="8" t="n">
        <v>12.2</v>
      </c>
      <c r="I2" s="8">
        <f>G2*H2</f>
        <v/>
      </c>
      <c r="J2" s="8">
        <f>H2/E2</f>
        <v/>
      </c>
      <c r="K2" s="8" t="n">
        <v>9.367100000000001</v>
      </c>
      <c r="L2" s="8" t="n">
        <v>9.367100000000001</v>
      </c>
      <c r="M2" s="8" t="n">
        <v>9.367100000000001</v>
      </c>
      <c r="N2" s="14">
        <f>J2/M2-1</f>
        <v/>
      </c>
      <c r="O2" s="14">
        <f>J2/K2-1</f>
        <v/>
      </c>
      <c r="P2" s="7" t="inlineStr">
        <is>
          <t>ACIMA +30.2%</t>
        </is>
      </c>
      <c r="Q2" s="7" t="inlineStr"/>
    </row>
    <row r="3">
      <c r="A3" s="7" t="n">
        <v>634551</v>
      </c>
      <c r="B3" s="7" t="inlineStr">
        <is>
          <t>9626</t>
        </is>
      </c>
      <c r="C3" s="12" t="inlineStr">
        <is>
          <t>7895143226942</t>
        </is>
      </c>
      <c r="D3" s="7" t="inlineStr">
        <is>
          <t>5MAG 500MG 60CAPS QUALYNUTRI</t>
        </is>
      </c>
      <c r="E3" s="13" t="n">
        <v>1</v>
      </c>
      <c r="F3" s="13" t="n">
        <v>2</v>
      </c>
      <c r="G3" s="13" t="n">
        <v>2</v>
      </c>
      <c r="H3" s="8" t="n">
        <v>33.53</v>
      </c>
      <c r="I3" s="8">
        <f>G3*H3</f>
        <v/>
      </c>
      <c r="J3" s="8">
        <f>H3/E3</f>
        <v/>
      </c>
      <c r="K3" s="8" t="n">
        <v>33.53</v>
      </c>
      <c r="L3" s="8" t="n">
        <v>33.53</v>
      </c>
      <c r="M3" s="8" t="n">
        <v>33.53</v>
      </c>
      <c r="N3" s="14">
        <f>J3/M3-1</f>
        <v/>
      </c>
      <c r="O3" s="14">
        <f>J3/K3-1</f>
        <v/>
      </c>
      <c r="P3" s="7" t="inlineStr">
        <is>
          <t>OK (≤ menor hist.)</t>
        </is>
      </c>
      <c r="Q3" s="7" t="inlineStr"/>
    </row>
    <row r="4">
      <c r="A4" s="7" t="n">
        <v>403321</v>
      </c>
      <c r="B4" s="7" t="inlineStr">
        <is>
          <t>866</t>
        </is>
      </c>
      <c r="C4" s="12" t="inlineStr">
        <is>
          <t>7893454300115</t>
        </is>
      </c>
      <c r="D4" s="7" t="inlineStr">
        <is>
          <t>ACERATUM SOL FR 10ML</t>
        </is>
      </c>
      <c r="E4" s="13" t="n">
        <v>1</v>
      </c>
      <c r="F4" s="13" t="n">
        <v>1</v>
      </c>
      <c r="G4" s="13" t="n">
        <v>1</v>
      </c>
      <c r="H4" s="8" t="n">
        <v>11.39</v>
      </c>
      <c r="I4" s="8">
        <f>G4*H4</f>
        <v/>
      </c>
      <c r="J4" s="8">
        <f>H4/E4</f>
        <v/>
      </c>
      <c r="K4" s="8" t="n">
        <v>13.04</v>
      </c>
      <c r="L4" s="8" t="n">
        <v>13.04</v>
      </c>
      <c r="M4" s="8" t="n">
        <v>13.04</v>
      </c>
      <c r="N4" s="14">
        <f>J4/M4-1</f>
        <v/>
      </c>
      <c r="O4" s="14">
        <f>J4/K4-1</f>
        <v/>
      </c>
      <c r="P4" s="7" t="inlineStr">
        <is>
          <t>OK (≤ menor hist.)</t>
        </is>
      </c>
      <c r="Q4" s="7" t="inlineStr"/>
    </row>
    <row r="5">
      <c r="A5" s="7" t="n">
        <v>14301</v>
      </c>
      <c r="B5" s="7" t="inlineStr">
        <is>
          <t>2509</t>
        </is>
      </c>
      <c r="C5" s="12" t="inlineStr">
        <is>
          <t>7898122913772</t>
        </is>
      </c>
      <c r="D5" s="7" t="inlineStr">
        <is>
          <t>ACIDO ASCORBICO (VIT C) HYPOFARMA 100 MG/ML SOL INJ IV/IM CX 100 AMP VD AMB X 5 ML (EMB HOSP)</t>
        </is>
      </c>
      <c r="E5" s="13" t="n">
        <v>1</v>
      </c>
      <c r="F5" s="13" t="n">
        <v>1</v>
      </c>
      <c r="G5" s="13" t="n">
        <v>1</v>
      </c>
      <c r="H5" s="8" t="n">
        <v>103.59</v>
      </c>
      <c r="I5" s="8">
        <f>G5*H5</f>
        <v/>
      </c>
      <c r="J5" s="8">
        <f>H5/E5</f>
        <v/>
      </c>
      <c r="K5" s="8" t="n">
        <v>117</v>
      </c>
      <c r="L5" s="8" t="n">
        <v>117</v>
      </c>
      <c r="M5" s="8" t="n">
        <v>117</v>
      </c>
      <c r="N5" s="14">
        <f>J5/M5-1</f>
        <v/>
      </c>
      <c r="O5" s="14">
        <f>J5/K5-1</f>
        <v/>
      </c>
      <c r="P5" s="7" t="inlineStr">
        <is>
          <t>OK (≤ menor hist.)</t>
        </is>
      </c>
      <c r="Q5" s="7" t="inlineStr"/>
    </row>
    <row r="6">
      <c r="A6" s="7" t="n">
        <v>1463</v>
      </c>
      <c r="B6" s="7" t="inlineStr">
        <is>
          <t>2194</t>
        </is>
      </c>
      <c r="C6" s="12" t="inlineStr">
        <is>
          <t>7898277713739</t>
        </is>
      </c>
      <c r="D6" s="7" t="inlineStr">
        <is>
          <t>AFT RUB 30ML SPRAY BUCAL</t>
        </is>
      </c>
      <c r="E6" s="13" t="n">
        <v>1</v>
      </c>
      <c r="F6" s="13" t="n">
        <v>1</v>
      </c>
      <c r="G6" s="13" t="n">
        <v>1</v>
      </c>
      <c r="H6" s="8" t="n">
        <v>8.09</v>
      </c>
      <c r="I6" s="8">
        <f>G6*H6</f>
        <v/>
      </c>
      <c r="J6" s="8">
        <f>H6/E6</f>
        <v/>
      </c>
      <c r="K6" s="8" t="n">
        <v>8.09</v>
      </c>
      <c r="L6" s="8" t="n">
        <v>8.09</v>
      </c>
      <c r="M6" s="8" t="n">
        <v>8.09</v>
      </c>
      <c r="N6" s="14">
        <f>J6/M6-1</f>
        <v/>
      </c>
      <c r="O6" s="14">
        <f>J6/K6-1</f>
        <v/>
      </c>
      <c r="P6" s="7" t="inlineStr">
        <is>
          <t>OK (≤ menor hist.)</t>
        </is>
      </c>
      <c r="Q6" s="7" t="inlineStr"/>
    </row>
    <row r="7">
      <c r="A7" s="7" t="n">
        <v>538041</v>
      </c>
      <c r="B7" s="7" t="inlineStr">
        <is>
          <t>4782</t>
        </is>
      </c>
      <c r="C7" s="12" t="inlineStr">
        <is>
          <t>7894164005208</t>
        </is>
      </c>
      <c r="D7" s="7" t="inlineStr">
        <is>
          <t>AFTANAX 100MG/ML SPRAY 25ML</t>
        </is>
      </c>
      <c r="E7" s="13" t="n">
        <v>1</v>
      </c>
      <c r="F7" s="13" t="n">
        <v>1</v>
      </c>
      <c r="G7" s="13" t="n">
        <v>1</v>
      </c>
      <c r="H7" s="8" t="n">
        <v>12.35</v>
      </c>
      <c r="I7" s="8">
        <f>G7*H7</f>
        <v/>
      </c>
      <c r="J7" s="8">
        <f>H7/E7</f>
        <v/>
      </c>
      <c r="K7" s="8" t="n">
        <v>12.35</v>
      </c>
      <c r="L7" s="8" t="n">
        <v>12.35</v>
      </c>
      <c r="M7" s="8" t="n">
        <v>12.35</v>
      </c>
      <c r="N7" s="14">
        <f>J7/M7-1</f>
        <v/>
      </c>
      <c r="O7" s="14">
        <f>J7/K7-1</f>
        <v/>
      </c>
      <c r="P7" s="7" t="inlineStr">
        <is>
          <t>OK (≤ menor hist.)</t>
        </is>
      </c>
      <c r="Q7" s="7" t="inlineStr"/>
    </row>
    <row r="8">
      <c r="A8" s="7" t="n">
        <v>541181</v>
      </c>
      <c r="B8" s="7" t="inlineStr">
        <is>
          <t>1251</t>
        </is>
      </c>
      <c r="C8" s="12" t="inlineStr">
        <is>
          <t>7898048691419</t>
        </is>
      </c>
      <c r="D8" s="7" t="inlineStr">
        <is>
          <t>AGUA FLOR DE LARANJEIRA 100ML</t>
        </is>
      </c>
      <c r="E8" s="13" t="n">
        <v>1</v>
      </c>
      <c r="F8" s="13" t="n">
        <v>2</v>
      </c>
      <c r="G8" s="13" t="n">
        <v>2</v>
      </c>
      <c r="H8" s="8" t="n">
        <v>5.06</v>
      </c>
      <c r="I8" s="8">
        <f>G8*H8</f>
        <v/>
      </c>
      <c r="J8" s="8">
        <f>H8/E8</f>
        <v/>
      </c>
      <c r="K8" s="8" t="n">
        <v>5.06</v>
      </c>
      <c r="L8" s="8" t="n">
        <v>5.06</v>
      </c>
      <c r="M8" s="8" t="n">
        <v>5.06</v>
      </c>
      <c r="N8" s="14">
        <f>J8/M8-1</f>
        <v/>
      </c>
      <c r="O8" s="14">
        <f>J8/K8-1</f>
        <v/>
      </c>
      <c r="P8" s="7" t="inlineStr">
        <is>
          <t>OK (≤ menor hist.)</t>
        </is>
      </c>
      <c r="Q8" s="7" t="inlineStr"/>
    </row>
    <row r="9">
      <c r="A9" s="7" t="n">
        <v>618971</v>
      </c>
      <c r="B9" s="7" t="inlineStr">
        <is>
          <t>324</t>
        </is>
      </c>
      <c r="C9" s="12" t="inlineStr">
        <is>
          <t>7898048690771</t>
        </is>
      </c>
      <c r="D9" s="7" t="inlineStr">
        <is>
          <t>AGUA INGLESA 450ML (CINCHONA OFFICINALI)</t>
        </is>
      </c>
      <c r="E9" s="13" t="n">
        <v>1</v>
      </c>
      <c r="F9" s="13" t="n">
        <v>7</v>
      </c>
      <c r="G9" s="13" t="n">
        <v>7</v>
      </c>
      <c r="H9" s="8" t="n">
        <v>10.73</v>
      </c>
      <c r="I9" s="8">
        <f>G9*H9</f>
        <v/>
      </c>
      <c r="J9" s="8">
        <f>H9/E9</f>
        <v/>
      </c>
      <c r="K9" s="8" t="n">
        <v>11.95</v>
      </c>
      <c r="L9" s="8" t="n">
        <v>10.05</v>
      </c>
      <c r="M9" s="8" t="n">
        <v>11.25666666666667</v>
      </c>
      <c r="N9" s="14">
        <f>J9/M9-1</f>
        <v/>
      </c>
      <c r="O9" s="14">
        <f>J9/K9-1</f>
        <v/>
      </c>
      <c r="P9" s="7" t="inlineStr">
        <is>
          <t>OK (≤ últ. compra)</t>
        </is>
      </c>
      <c r="Q9" s="7" t="inlineStr"/>
    </row>
    <row r="10">
      <c r="A10" s="7" t="n">
        <v>647221</v>
      </c>
      <c r="B10" s="7" t="inlineStr">
        <is>
          <t>685</t>
        </is>
      </c>
      <c r="C10" s="12" t="inlineStr">
        <is>
          <t>7896023705397</t>
        </is>
      </c>
      <c r="D10" s="7" t="inlineStr">
        <is>
          <t>AGUA INGLESA 500ML</t>
        </is>
      </c>
      <c r="E10" s="13" t="n">
        <v>1</v>
      </c>
      <c r="F10" s="13" t="n">
        <v>3</v>
      </c>
      <c r="G10" s="13" t="n">
        <v>3</v>
      </c>
      <c r="H10" s="8" t="n">
        <v>22.17</v>
      </c>
      <c r="I10" s="8">
        <f>G10*H10</f>
        <v/>
      </c>
      <c r="J10" s="8">
        <f>H10/E10</f>
        <v/>
      </c>
      <c r="K10" s="8" t="n">
        <v>22.12</v>
      </c>
      <c r="L10" s="8" t="n">
        <v>22.12</v>
      </c>
      <c r="M10" s="8" t="n">
        <v>22.12</v>
      </c>
      <c r="N10" s="14">
        <f>J10/M10-1</f>
        <v/>
      </c>
      <c r="O10" s="14">
        <f>J10/K10-1</f>
        <v/>
      </c>
      <c r="P10" s="7" t="inlineStr">
        <is>
          <t>ACIMA +0.2%</t>
        </is>
      </c>
      <c r="Q10" s="7" t="inlineStr"/>
    </row>
    <row r="11">
      <c r="A11" s="7" t="n">
        <v>532201</v>
      </c>
      <c r="B11" s="7" t="inlineStr">
        <is>
          <t>854</t>
        </is>
      </c>
      <c r="C11" s="12" t="inlineStr">
        <is>
          <t>7898048690887</t>
        </is>
      </c>
      <c r="D11" s="7" t="inlineStr">
        <is>
          <t>AGUARDENTE ALEMA JALAPA D1 30ML</t>
        </is>
      </c>
      <c r="E11" s="13" t="n">
        <v>1</v>
      </c>
      <c r="F11" s="13" t="n">
        <v>3</v>
      </c>
      <c r="G11" s="13" t="n">
        <v>3</v>
      </c>
      <c r="H11" s="8" t="n">
        <v>2.4</v>
      </c>
      <c r="I11" s="8">
        <f>G11*H11</f>
        <v/>
      </c>
      <c r="J11" s="8">
        <f>H11/E11</f>
        <v/>
      </c>
      <c r="K11" s="8" t="n">
        <v>2.4</v>
      </c>
      <c r="L11" s="8" t="n">
        <v>2.38</v>
      </c>
      <c r="M11" s="8" t="n">
        <v>2.38</v>
      </c>
      <c r="N11" s="14">
        <f>J11/M11-1</f>
        <v/>
      </c>
      <c r="O11" s="14">
        <f>J11/K11-1</f>
        <v/>
      </c>
      <c r="P11" s="7" t="inlineStr">
        <is>
          <t>OK (≤ últ. compra)</t>
        </is>
      </c>
      <c r="Q11" s="7" t="inlineStr"/>
    </row>
    <row r="12">
      <c r="A12" s="7" t="n">
        <v>578621</v>
      </c>
      <c r="B12" s="7" t="inlineStr">
        <is>
          <t>505</t>
        </is>
      </c>
      <c r="C12" s="12" t="inlineStr">
        <is>
          <t>7899780159182</t>
        </is>
      </c>
      <c r="D12" s="7" t="inlineStr">
        <is>
          <t>AGULHA 30X0,7 DESC. WILTEX</t>
        </is>
      </c>
      <c r="E12" s="13" t="n">
        <v>100</v>
      </c>
      <c r="F12" s="13" t="n">
        <v>1</v>
      </c>
      <c r="G12" s="13" t="n">
        <v>1</v>
      </c>
      <c r="H12" s="8" t="n">
        <v>11.6</v>
      </c>
      <c r="I12" s="8">
        <f>G12*H12</f>
        <v/>
      </c>
      <c r="J12" s="8">
        <f>H12/E12</f>
        <v/>
      </c>
      <c r="K12" s="8" t="n">
        <v>0.1234</v>
      </c>
      <c r="L12" s="8" t="n">
        <v>0.1234</v>
      </c>
      <c r="M12" s="8" t="n">
        <v>0.1234</v>
      </c>
      <c r="N12" s="14">
        <f>J12/M12-1</f>
        <v/>
      </c>
      <c r="O12" s="14">
        <f>J12/K12-1</f>
        <v/>
      </c>
      <c r="P12" s="7" t="inlineStr">
        <is>
          <t>OK (≤ menor hist.)</t>
        </is>
      </c>
      <c r="Q12" s="7" t="inlineStr">
        <is>
          <t>1 emb = 100 un</t>
        </is>
      </c>
    </row>
    <row r="13">
      <c r="A13" s="7" t="n">
        <v>553701</v>
      </c>
      <c r="B13" s="7" t="inlineStr">
        <is>
          <t>503</t>
        </is>
      </c>
      <c r="C13" s="12" t="inlineStr">
        <is>
          <t>78936263</t>
        </is>
      </c>
      <c r="D13" s="7" t="inlineStr">
        <is>
          <t>AGULHA 30X8 WILTEX</t>
        </is>
      </c>
      <c r="E13" s="13" t="n">
        <v>100</v>
      </c>
      <c r="F13" s="13" t="n">
        <v>3</v>
      </c>
      <c r="G13" s="13" t="n">
        <v>1</v>
      </c>
      <c r="H13" s="8" t="n">
        <v>11.42</v>
      </c>
      <c r="I13" s="8">
        <f>G13*H13</f>
        <v/>
      </c>
      <c r="J13" s="8">
        <f>H13/E13</f>
        <v/>
      </c>
      <c r="K13" s="8" t="n">
        <v>0.15</v>
      </c>
      <c r="L13" s="8" t="n">
        <v>0.15</v>
      </c>
      <c r="M13" s="8" t="n">
        <v>0.15</v>
      </c>
      <c r="N13" s="14">
        <f>J13/M13-1</f>
        <v/>
      </c>
      <c r="O13" s="14">
        <f>J13/K13-1</f>
        <v/>
      </c>
      <c r="P13" s="7" t="inlineStr">
        <is>
          <t>OK (≤ menor hist.)</t>
        </is>
      </c>
      <c r="Q13" s="7" t="inlineStr">
        <is>
          <t>1 emb = 100 un</t>
        </is>
      </c>
    </row>
    <row r="14">
      <c r="A14" s="7" t="n">
        <v>532221</v>
      </c>
      <c r="B14" s="7" t="inlineStr">
        <is>
          <t>7101</t>
        </is>
      </c>
      <c r="C14" s="12" t="inlineStr">
        <is>
          <t>7898031311010</t>
        </is>
      </c>
      <c r="D14" s="7" t="inlineStr">
        <is>
          <t>ALCOOL 70% SPRAY 50 ML</t>
        </is>
      </c>
      <c r="E14" s="13" t="n">
        <v>1</v>
      </c>
      <c r="F14" s="13" t="n">
        <v>15</v>
      </c>
      <c r="G14" s="13" t="n">
        <v>15</v>
      </c>
      <c r="H14" s="8" t="n">
        <v>4.24</v>
      </c>
      <c r="I14" s="8">
        <f>G14*H14</f>
        <v/>
      </c>
      <c r="J14" s="8">
        <f>H14/E14</f>
        <v/>
      </c>
      <c r="K14" s="8" t="n">
        <v>4.01</v>
      </c>
      <c r="L14" s="8" t="n">
        <v>4.01</v>
      </c>
      <c r="M14" s="8" t="n">
        <v>4.01</v>
      </c>
      <c r="N14" s="14">
        <f>J14/M14-1</f>
        <v/>
      </c>
      <c r="O14" s="14">
        <f>J14/K14-1</f>
        <v/>
      </c>
      <c r="P14" s="7" t="inlineStr">
        <is>
          <t>ACIMA +5.7%</t>
        </is>
      </c>
      <c r="Q14" s="7" t="inlineStr"/>
    </row>
    <row r="15">
      <c r="A15" s="7" t="n">
        <v>559941</v>
      </c>
      <c r="B15" s="7" t="inlineStr">
        <is>
          <t>5030</t>
        </is>
      </c>
      <c r="C15" s="12" t="inlineStr">
        <is>
          <t>7898179710775</t>
        </is>
      </c>
      <c r="D15" s="7" t="inlineStr">
        <is>
          <t>ALCOOL ETILICO 50ML</t>
        </is>
      </c>
      <c r="E15" s="13" t="n">
        <v>1</v>
      </c>
      <c r="F15" s="13" t="n">
        <v>7</v>
      </c>
      <c r="G15" s="13" t="n">
        <v>7</v>
      </c>
      <c r="H15" s="8" t="n">
        <v>2.43</v>
      </c>
      <c r="I15" s="8">
        <f>G15*H15</f>
        <v/>
      </c>
      <c r="J15" s="8">
        <f>H15/E15</f>
        <v/>
      </c>
      <c r="K15" s="8" t="n">
        <v>2.11</v>
      </c>
      <c r="L15" s="8" t="n">
        <v>2.11</v>
      </c>
      <c r="M15" s="8" t="n">
        <v>2.11</v>
      </c>
      <c r="N15" s="14">
        <f>J15/M15-1</f>
        <v/>
      </c>
      <c r="O15" s="14">
        <f>J15/K15-1</f>
        <v/>
      </c>
      <c r="P15" s="7" t="inlineStr">
        <is>
          <t>ACIMA +15.2%</t>
        </is>
      </c>
      <c r="Q15" s="7" t="inlineStr"/>
    </row>
    <row r="16">
      <c r="A16" s="7" t="n">
        <v>4353</v>
      </c>
      <c r="B16" s="7" t="inlineStr">
        <is>
          <t>1959</t>
        </is>
      </c>
      <c r="C16" s="12" t="inlineStr">
        <is>
          <t>7898582292257</t>
        </is>
      </c>
      <c r="D16" s="7" t="inlineStr">
        <is>
          <t>ALCOOL GEL 60ML UNIPROTEGE</t>
        </is>
      </c>
      <c r="E16" s="13" t="n">
        <v>1</v>
      </c>
      <c r="F16" s="13" t="n">
        <v>4</v>
      </c>
      <c r="G16" s="13" t="n">
        <v>4</v>
      </c>
      <c r="H16" s="8" t="n">
        <v>5.17</v>
      </c>
      <c r="I16" s="8">
        <f>G16*H16</f>
        <v/>
      </c>
      <c r="J16" s="8">
        <f>H16/E16</f>
        <v/>
      </c>
      <c r="K16" s="8" t="n">
        <v>4.51</v>
      </c>
      <c r="L16" s="8" t="n">
        <v>4.51</v>
      </c>
      <c r="M16" s="8" t="n">
        <v>4.51</v>
      </c>
      <c r="N16" s="14">
        <f>J16/M16-1</f>
        <v/>
      </c>
      <c r="O16" s="14">
        <f>J16/K16-1</f>
        <v/>
      </c>
      <c r="P16" s="7" t="inlineStr">
        <is>
          <t>ACIMA +14.6%</t>
        </is>
      </c>
      <c r="Q16" s="7" t="inlineStr"/>
    </row>
    <row r="17">
      <c r="A17" s="7" t="n">
        <v>571901</v>
      </c>
      <c r="B17" s="7" t="inlineStr">
        <is>
          <t>9310</t>
        </is>
      </c>
      <c r="C17" s="12" t="inlineStr">
        <is>
          <t>7898582291694</t>
        </is>
      </c>
      <c r="D17" s="7" t="inlineStr">
        <is>
          <t>ALCOOL GEL 70% PERFUMAD COM MICROES 60ML</t>
        </is>
      </c>
      <c r="E17" s="13" t="n">
        <v>1</v>
      </c>
      <c r="F17" s="13" t="n">
        <v>4</v>
      </c>
      <c r="G17" s="13" t="n">
        <v>4</v>
      </c>
      <c r="H17" s="8" t="n">
        <v>5.6</v>
      </c>
      <c r="I17" s="8">
        <f>G17*H17</f>
        <v/>
      </c>
      <c r="J17" s="8">
        <f>H17/E17</f>
        <v/>
      </c>
      <c r="K17" s="8" t="n">
        <v>5.59</v>
      </c>
      <c r="L17" s="8" t="n">
        <v>5.39</v>
      </c>
      <c r="M17" s="8" t="n">
        <v>5.523333333333333</v>
      </c>
      <c r="N17" s="14">
        <f>J17/M17-1</f>
        <v/>
      </c>
      <c r="O17" s="14">
        <f>J17/K17-1</f>
        <v/>
      </c>
      <c r="P17" s="7" t="inlineStr">
        <is>
          <t>ACIMA +0.2%</t>
        </is>
      </c>
      <c r="Q17" s="7" t="inlineStr"/>
    </row>
    <row r="18">
      <c r="A18" s="7" t="n">
        <v>532241</v>
      </c>
      <c r="B18" s="7" t="inlineStr">
        <is>
          <t>141</t>
        </is>
      </c>
      <c r="C18" s="12" t="inlineStr">
        <is>
          <t>7898031310198</t>
        </is>
      </c>
      <c r="D18" s="7" t="inlineStr">
        <is>
          <t>ALCOOL IODADO 1% 100ML</t>
        </is>
      </c>
      <c r="E18" s="13" t="n">
        <v>1</v>
      </c>
      <c r="F18" s="13" t="n">
        <v>11</v>
      </c>
      <c r="G18" s="13" t="n">
        <v>11</v>
      </c>
      <c r="H18" s="8" t="n">
        <v>4.17</v>
      </c>
      <c r="I18" s="8">
        <f>G18*H18</f>
        <v/>
      </c>
      <c r="J18" s="8">
        <f>H18/E18</f>
        <v/>
      </c>
      <c r="K18" s="8" t="n">
        <v>3.91</v>
      </c>
      <c r="L18" s="8" t="n">
        <v>3.66</v>
      </c>
      <c r="M18" s="8" t="n">
        <v>3.826666666666667</v>
      </c>
      <c r="N18" s="14">
        <f>J18/M18-1</f>
        <v/>
      </c>
      <c r="O18" s="14">
        <f>J18/K18-1</f>
        <v/>
      </c>
      <c r="P18" s="7" t="inlineStr">
        <is>
          <t>ACIMA +6.6%</t>
        </is>
      </c>
      <c r="Q18" s="7" t="inlineStr"/>
    </row>
    <row r="19">
      <c r="A19" s="7" t="n">
        <v>331061</v>
      </c>
      <c r="B19" s="7" t="inlineStr">
        <is>
          <t>1521</t>
        </is>
      </c>
      <c r="C19" s="12" t="inlineStr">
        <is>
          <t>7896523209715</t>
        </is>
      </c>
      <c r="D19" s="7" t="inlineStr">
        <is>
          <t>ALERGOMINE 10MG/G CREME BG 30G</t>
        </is>
      </c>
      <c r="E19" s="13" t="n">
        <v>1</v>
      </c>
      <c r="F19" s="13" t="n">
        <v>5</v>
      </c>
      <c r="G19" s="13" t="n">
        <v>5</v>
      </c>
      <c r="H19" s="8" t="n">
        <v>6.55</v>
      </c>
      <c r="I19" s="8">
        <f>G19*H19</f>
        <v/>
      </c>
      <c r="J19" s="8">
        <f>H19/E19</f>
        <v/>
      </c>
      <c r="K19" s="8" t="n">
        <v>6.89</v>
      </c>
      <c r="L19" s="8" t="n">
        <v>6.89</v>
      </c>
      <c r="M19" s="8" t="n">
        <v>6.89</v>
      </c>
      <c r="N19" s="14">
        <f>J19/M19-1</f>
        <v/>
      </c>
      <c r="O19" s="14">
        <f>J19/K19-1</f>
        <v/>
      </c>
      <c r="P19" s="7" t="inlineStr">
        <is>
          <t>OK (≤ menor hist.)</t>
        </is>
      </c>
      <c r="Q19" s="7" t="inlineStr"/>
    </row>
    <row r="20">
      <c r="A20" s="7" t="n">
        <v>562421</v>
      </c>
      <c r="B20" s="7" t="inlineStr">
        <is>
          <t>812</t>
        </is>
      </c>
      <c r="C20" s="12" t="inlineStr">
        <is>
          <t>7894488000019</t>
        </is>
      </c>
      <c r="D20" s="7" t="inlineStr">
        <is>
          <t>ALGODAO SPARTERX MULTIUSO 25G</t>
        </is>
      </c>
      <c r="E20" s="13" t="n">
        <v>1</v>
      </c>
      <c r="F20" s="13" t="n">
        <v>25</v>
      </c>
      <c r="G20" s="13" t="n">
        <v>25</v>
      </c>
      <c r="H20" s="8" t="n">
        <v>1.09</v>
      </c>
      <c r="I20" s="8">
        <f>G20*H20</f>
        <v/>
      </c>
      <c r="J20" s="8">
        <f>H20/E20</f>
        <v/>
      </c>
      <c r="K20" s="8" t="n">
        <v>1.09</v>
      </c>
      <c r="L20" s="8" t="n">
        <v>1.09</v>
      </c>
      <c r="M20" s="8" t="n">
        <v>1.09</v>
      </c>
      <c r="N20" s="14">
        <f>J20/M20-1</f>
        <v/>
      </c>
      <c r="O20" s="14">
        <f>J20/K20-1</f>
        <v/>
      </c>
      <c r="P20" s="7" t="inlineStr">
        <is>
          <t>OK (≤ menor hist.)</t>
        </is>
      </c>
      <c r="Q20" s="7" t="inlineStr"/>
    </row>
    <row r="21">
      <c r="A21" s="7" t="n">
        <v>4373</v>
      </c>
      <c r="B21" s="7" t="inlineStr">
        <is>
          <t>5181</t>
        </is>
      </c>
      <c r="C21" s="12" t="inlineStr">
        <is>
          <t>7896186003316</t>
        </is>
      </c>
      <c r="D21" s="7" t="inlineStr">
        <is>
          <t>ALIVIK 40G POTE</t>
        </is>
      </c>
      <c r="E21" s="13" t="n">
        <v>1</v>
      </c>
      <c r="F21" s="13" t="n">
        <v>5</v>
      </c>
      <c r="G21" s="13" t="n">
        <v>5</v>
      </c>
      <c r="H21" s="8" t="n">
        <v>8.02</v>
      </c>
      <c r="I21" s="8">
        <f>G21*H21</f>
        <v/>
      </c>
      <c r="J21" s="8">
        <f>H21/E21</f>
        <v/>
      </c>
      <c r="K21" s="8" t="n">
        <v>6.52</v>
      </c>
      <c r="L21" s="8" t="n">
        <v>6.52</v>
      </c>
      <c r="M21" s="8" t="n">
        <v>6.52</v>
      </c>
      <c r="N21" s="14">
        <f>J21/M21-1</f>
        <v/>
      </c>
      <c r="O21" s="14">
        <f>J21/K21-1</f>
        <v/>
      </c>
      <c r="P21" s="7" t="inlineStr">
        <is>
          <t>ACIMA +23.0%</t>
        </is>
      </c>
      <c r="Q21" s="7" t="inlineStr"/>
    </row>
    <row r="22">
      <c r="A22" s="7" t="n">
        <v>29321</v>
      </c>
      <c r="B22" s="7" t="inlineStr">
        <is>
          <t>161</t>
        </is>
      </c>
      <c r="C22" s="12" t="inlineStr">
        <is>
          <t>7896422516921</t>
        </is>
      </c>
      <c r="D22" s="7" t="inlineStr">
        <is>
          <t>ALOPURINOL 100MG CX 30 COMP</t>
        </is>
      </c>
      <c r="E22" s="13" t="n">
        <v>1</v>
      </c>
      <c r="F22" s="13" t="n">
        <v>1</v>
      </c>
      <c r="G22" s="13" t="n">
        <v>1</v>
      </c>
      <c r="H22" s="8" t="n">
        <v>4.85</v>
      </c>
      <c r="I22" s="8">
        <f>G22*H22</f>
        <v/>
      </c>
      <c r="J22" s="8">
        <f>H22/E22</f>
        <v/>
      </c>
      <c r="K22" s="8" t="n">
        <v>4.0675</v>
      </c>
      <c r="L22" s="8" t="n">
        <v>3.83</v>
      </c>
      <c r="M22" s="8" t="n">
        <v>3.988333333333333</v>
      </c>
      <c r="N22" s="14">
        <f>J22/M22-1</f>
        <v/>
      </c>
      <c r="O22" s="14">
        <f>J22/K22-1</f>
        <v/>
      </c>
      <c r="P22" s="7" t="inlineStr">
        <is>
          <t>ACIMA +19.2%</t>
        </is>
      </c>
      <c r="Q22" s="7" t="inlineStr"/>
    </row>
    <row r="23">
      <c r="A23" s="7" t="n">
        <v>533061</v>
      </c>
      <c r="B23" s="7" t="inlineStr">
        <is>
          <t>6555</t>
        </is>
      </c>
      <c r="C23" s="12" t="inlineStr">
        <is>
          <t>7899620915091</t>
        </is>
      </c>
      <c r="D23" s="7" t="inlineStr">
        <is>
          <t>APETISINA BC 240ML MORANGO</t>
        </is>
      </c>
      <c r="E23" s="13" t="n">
        <v>1</v>
      </c>
      <c r="F23" s="13" t="n">
        <v>5</v>
      </c>
      <c r="G23" s="13" t="n">
        <v>5</v>
      </c>
      <c r="H23" s="8" t="n">
        <v>5.49</v>
      </c>
      <c r="I23" s="8">
        <f>G23*H23</f>
        <v/>
      </c>
      <c r="J23" s="8">
        <f>H23/E23</f>
        <v/>
      </c>
      <c r="K23" s="8" t="n">
        <v>4.35</v>
      </c>
      <c r="L23" s="8" t="n">
        <v>4.35</v>
      </c>
      <c r="M23" s="8" t="n">
        <v>4.35</v>
      </c>
      <c r="N23" s="14">
        <f>J23/M23-1</f>
        <v/>
      </c>
      <c r="O23" s="14">
        <f>J23/K23-1</f>
        <v/>
      </c>
      <c r="P23" s="7" t="inlineStr">
        <is>
          <t>ACIMA +26.2%</t>
        </is>
      </c>
      <c r="Q23" s="7" t="inlineStr"/>
    </row>
    <row r="24">
      <c r="A24" s="7" t="n">
        <v>547741</v>
      </c>
      <c r="B24" s="7" t="inlineStr">
        <is>
          <t>2609</t>
        </is>
      </c>
      <c r="C24" s="12" t="inlineStr">
        <is>
          <t>7899620910584</t>
        </is>
      </c>
      <c r="D24" s="7" t="inlineStr">
        <is>
          <t>APETISINA BC 240ML UVA</t>
        </is>
      </c>
      <c r="E24" s="13" t="n">
        <v>1</v>
      </c>
      <c r="F24" s="13" t="n">
        <v>4</v>
      </c>
      <c r="G24" s="13" t="n">
        <v>4</v>
      </c>
      <c r="H24" s="8" t="n">
        <v>5.49</v>
      </c>
      <c r="I24" s="8">
        <f>G24*H24</f>
        <v/>
      </c>
      <c r="J24" s="8">
        <f>H24/E24</f>
        <v/>
      </c>
      <c r="K24" s="8" t="n">
        <v>5.48</v>
      </c>
      <c r="L24" s="8" t="n">
        <v>4.8</v>
      </c>
      <c r="M24" s="8" t="n">
        <v>5.253333333333334</v>
      </c>
      <c r="N24" s="14">
        <f>J24/M24-1</f>
        <v/>
      </c>
      <c r="O24" s="14">
        <f>J24/K24-1</f>
        <v/>
      </c>
      <c r="P24" s="7" t="inlineStr">
        <is>
          <t>ACIMA +0.2%</t>
        </is>
      </c>
      <c r="Q24" s="7" t="inlineStr"/>
    </row>
    <row r="25">
      <c r="A25" s="7" t="n">
        <v>5503</v>
      </c>
      <c r="B25" s="7" t="inlineStr">
        <is>
          <t>9627</t>
        </is>
      </c>
      <c r="C25" s="12" t="inlineStr">
        <is>
          <t>7898767760922</t>
        </is>
      </c>
      <c r="D25" s="7" t="inlineStr">
        <is>
          <t>ARTRIFLEX 40MG C/60 CPS</t>
        </is>
      </c>
      <c r="E25" s="13" t="n">
        <v>1</v>
      </c>
      <c r="F25" s="13" t="n">
        <v>1</v>
      </c>
      <c r="G25" s="13" t="n">
        <v>1</v>
      </c>
      <c r="H25" s="8" t="n">
        <v>42.39</v>
      </c>
      <c r="I25" s="8">
        <f>G25*H25</f>
        <v/>
      </c>
      <c r="J25" s="8">
        <f>H25/E25</f>
        <v/>
      </c>
      <c r="K25" s="8" t="n">
        <v>26.99</v>
      </c>
      <c r="L25" s="8" t="n">
        <v>26.99</v>
      </c>
      <c r="M25" s="8" t="n">
        <v>26.99</v>
      </c>
      <c r="N25" s="14">
        <f>J25/M25-1</f>
        <v/>
      </c>
      <c r="O25" s="14">
        <f>J25/K25-1</f>
        <v/>
      </c>
      <c r="P25" s="7" t="inlineStr">
        <is>
          <t>ACIMA +57.1%</t>
        </is>
      </c>
      <c r="Q25" s="7" t="inlineStr"/>
    </row>
    <row r="26">
      <c r="A26" s="7" t="n">
        <v>597791</v>
      </c>
      <c r="B26" s="7" t="inlineStr">
        <is>
          <t>7705</t>
        </is>
      </c>
      <c r="C26" s="12" t="inlineStr">
        <is>
          <t>7898933598625</t>
        </is>
      </c>
      <c r="D26" s="7" t="inlineStr">
        <is>
          <t>ATADURA DE CREPE 06CM UND</t>
        </is>
      </c>
      <c r="E26" s="13" t="n">
        <v>12</v>
      </c>
      <c r="F26" s="13" t="n">
        <v>7</v>
      </c>
      <c r="G26" s="13" t="n">
        <v>1</v>
      </c>
      <c r="H26" s="8" t="n">
        <v>5.25</v>
      </c>
      <c r="I26" s="8">
        <f>G26*H26</f>
        <v/>
      </c>
      <c r="J26" s="8">
        <f>H26/E26</f>
        <v/>
      </c>
      <c r="K26" s="8" t="n">
        <v>0.4992</v>
      </c>
      <c r="L26" s="8" t="n">
        <v>0.4992</v>
      </c>
      <c r="M26" s="8" t="n">
        <v>0.4991999999999999</v>
      </c>
      <c r="N26" s="14">
        <f>J26/M26-1</f>
        <v/>
      </c>
      <c r="O26" s="14">
        <f>J26/K26-1</f>
        <v/>
      </c>
      <c r="P26" s="7" t="inlineStr">
        <is>
          <t>OK (≤ menor hist.)</t>
        </is>
      </c>
      <c r="Q26" s="7" t="inlineStr">
        <is>
          <t>1 emb = 12 un</t>
        </is>
      </c>
    </row>
    <row r="27">
      <c r="A27" s="7" t="n">
        <v>621511</v>
      </c>
      <c r="B27" s="7" t="inlineStr">
        <is>
          <t>7648</t>
        </is>
      </c>
      <c r="C27" s="12" t="inlineStr">
        <is>
          <t>7898933598816</t>
        </is>
      </c>
      <c r="D27" s="7" t="inlineStr">
        <is>
          <t>ATADURA DE CREPE 10CM 13 FIOS TEXPHARMA</t>
        </is>
      </c>
      <c r="E27" s="13" t="n">
        <v>12</v>
      </c>
      <c r="F27" s="13" t="n">
        <v>12</v>
      </c>
      <c r="G27" s="13" t="n">
        <v>1</v>
      </c>
      <c r="H27" s="8" t="n">
        <v>6.53</v>
      </c>
      <c r="I27" s="8">
        <f>G27*H27</f>
        <v/>
      </c>
      <c r="J27" s="8">
        <f>H27/E27</f>
        <v/>
      </c>
      <c r="K27" s="8" t="n">
        <v>0.8325</v>
      </c>
      <c r="L27" s="8" t="n">
        <v>0.8325</v>
      </c>
      <c r="M27" s="8" t="n">
        <v>0.8325</v>
      </c>
      <c r="N27" s="14">
        <f>J27/M27-1</f>
        <v/>
      </c>
      <c r="O27" s="14">
        <f>J27/K27-1</f>
        <v/>
      </c>
      <c r="P27" s="7" t="inlineStr">
        <is>
          <t>OK (≤ menor hist.)</t>
        </is>
      </c>
      <c r="Q27" s="7" t="inlineStr">
        <is>
          <t>1 emb = 12 un</t>
        </is>
      </c>
    </row>
    <row r="28">
      <c r="A28" s="7" t="n">
        <v>623471</v>
      </c>
      <c r="B28" s="7" t="inlineStr">
        <is>
          <t>7553</t>
        </is>
      </c>
      <c r="C28" s="12" t="inlineStr">
        <is>
          <t>7898933598755</t>
        </is>
      </c>
      <c r="D28" s="7" t="inlineStr">
        <is>
          <t>ATADURA DE CREPE 15CM C/12 UND</t>
        </is>
      </c>
      <c r="E28" s="13" t="n">
        <v>12</v>
      </c>
      <c r="F28" s="13" t="n">
        <v>11</v>
      </c>
      <c r="G28" s="13" t="n">
        <v>1</v>
      </c>
      <c r="H28" s="8" t="n">
        <v>9.82</v>
      </c>
      <c r="I28" s="8">
        <f>G28*H28</f>
        <v/>
      </c>
      <c r="J28" s="8">
        <f>H28/E28</f>
        <v/>
      </c>
      <c r="K28" s="8" t="n">
        <v>1.2492</v>
      </c>
      <c r="L28" s="8" t="n">
        <v>1.1658</v>
      </c>
      <c r="M28" s="8" t="n">
        <v>1.2214</v>
      </c>
      <c r="N28" s="14">
        <f>J28/M28-1</f>
        <v/>
      </c>
      <c r="O28" s="14">
        <f>J28/K28-1</f>
        <v/>
      </c>
      <c r="P28" s="7" t="inlineStr">
        <is>
          <t>OK (≤ menor hist.)</t>
        </is>
      </c>
      <c r="Q28" s="7" t="inlineStr">
        <is>
          <t>1 emb = 12 un</t>
        </is>
      </c>
    </row>
    <row r="29">
      <c r="A29" s="7" t="n">
        <v>623481</v>
      </c>
      <c r="B29" s="7" t="inlineStr">
        <is>
          <t>7706</t>
        </is>
      </c>
      <c r="C29" s="12" t="inlineStr">
        <is>
          <t>7898933598847</t>
        </is>
      </c>
      <c r="D29" s="7" t="inlineStr">
        <is>
          <t>ATADURA DE CREPE 20CM 13 FIOS TEXPHARMA</t>
        </is>
      </c>
      <c r="E29" s="13" t="n">
        <v>12</v>
      </c>
      <c r="F29" s="13" t="n">
        <v>1</v>
      </c>
      <c r="G29" s="13" t="n">
        <v>1</v>
      </c>
      <c r="H29" s="8" t="n">
        <v>13.08</v>
      </c>
      <c r="I29" s="8">
        <f>G29*H29</f>
        <v/>
      </c>
      <c r="J29" s="8">
        <f>H29/E29</f>
        <v/>
      </c>
      <c r="K29" s="8" t="n">
        <v>1.6658</v>
      </c>
      <c r="L29" s="8" t="n">
        <v>1.6658</v>
      </c>
      <c r="M29" s="8" t="n">
        <v>1.6658</v>
      </c>
      <c r="N29" s="14">
        <f>J29/M29-1</f>
        <v/>
      </c>
      <c r="O29" s="14">
        <f>J29/K29-1</f>
        <v/>
      </c>
      <c r="P29" s="7" t="inlineStr">
        <is>
          <t>OK (≤ menor hist.)</t>
        </is>
      </c>
      <c r="Q29" s="7" t="inlineStr">
        <is>
          <t>1 emb = 12 un</t>
        </is>
      </c>
    </row>
    <row r="30">
      <c r="A30" s="7" t="n">
        <v>613211</v>
      </c>
      <c r="B30" s="7" t="inlineStr">
        <is>
          <t>7710</t>
        </is>
      </c>
      <c r="C30" s="12" t="inlineStr">
        <is>
          <t>7898933598786</t>
        </is>
      </c>
      <c r="D30" s="7" t="inlineStr">
        <is>
          <t>ATADURA DE CREPE 30CM C/12 UND</t>
        </is>
      </c>
      <c r="E30" s="13" t="n">
        <v>12</v>
      </c>
      <c r="F30" s="13" t="n">
        <v>3</v>
      </c>
      <c r="G30" s="13" t="n">
        <v>1</v>
      </c>
      <c r="H30" s="8" t="n">
        <v>19.67</v>
      </c>
      <c r="I30" s="8">
        <f>G30*H30</f>
        <v/>
      </c>
      <c r="J30" s="8">
        <f>H30/E30</f>
        <v/>
      </c>
      <c r="K30" s="8" t="n">
        <v>2.1658</v>
      </c>
      <c r="L30" s="8" t="n">
        <v>2.1658</v>
      </c>
      <c r="M30" s="8" t="n">
        <v>2.1658</v>
      </c>
      <c r="N30" s="14">
        <f>J30/M30-1</f>
        <v/>
      </c>
      <c r="O30" s="14">
        <f>J30/K30-1</f>
        <v/>
      </c>
      <c r="P30" s="7" t="inlineStr">
        <is>
          <t>OK (≤ menor hist.)</t>
        </is>
      </c>
      <c r="Q30" s="7" t="inlineStr">
        <is>
          <t>1 emb = 12 un</t>
        </is>
      </c>
    </row>
    <row r="31">
      <c r="A31" s="7" t="n">
        <v>648271</v>
      </c>
      <c r="B31" s="7" t="inlineStr">
        <is>
          <t>225</t>
        </is>
      </c>
      <c r="C31" s="12" t="inlineStr">
        <is>
          <t>7898108641354</t>
        </is>
      </c>
      <c r="D31" s="7" t="inlineStr">
        <is>
          <t>ATADURA DE CREPE SANF 15CMX1,80M</t>
        </is>
      </c>
      <c r="E31" s="13" t="n">
        <v>1</v>
      </c>
      <c r="F31" s="13" t="n">
        <v>1</v>
      </c>
      <c r="G31" s="13" t="n">
        <v>1</v>
      </c>
      <c r="H31" s="8" t="n">
        <v>3.07</v>
      </c>
      <c r="I31" s="8">
        <f>G31*H31</f>
        <v/>
      </c>
      <c r="J31" s="8">
        <f>H31/E31</f>
        <v/>
      </c>
      <c r="K31" s="8" t="n">
        <v>2.6808</v>
      </c>
      <c r="L31" s="8" t="n">
        <v>2.6808</v>
      </c>
      <c r="M31" s="8" t="n">
        <v>2.6808</v>
      </c>
      <c r="N31" s="14">
        <f>J31/M31-1</f>
        <v/>
      </c>
      <c r="O31" s="14">
        <f>J31/K31-1</f>
        <v/>
      </c>
      <c r="P31" s="7" t="inlineStr">
        <is>
          <t>ACIMA +14.5%</t>
        </is>
      </c>
      <c r="Q31" s="7" t="inlineStr"/>
    </row>
    <row r="32">
      <c r="A32" s="7" t="n">
        <v>648171</v>
      </c>
      <c r="B32" s="7" t="inlineStr">
        <is>
          <t>8460</t>
        </is>
      </c>
      <c r="C32" s="12" t="inlineStr">
        <is>
          <t>7908007905478</t>
        </is>
      </c>
      <c r="D32" s="7" t="inlineStr">
        <is>
          <t>AUTOTESTE COVID-19 AG (TESTE RAPIDO)</t>
        </is>
      </c>
      <c r="E32" s="13" t="n">
        <v>1</v>
      </c>
      <c r="F32" s="13" t="n">
        <v>1</v>
      </c>
      <c r="G32" s="13" t="n">
        <v>1</v>
      </c>
      <c r="H32" s="8" t="n">
        <v>8.289999999999999</v>
      </c>
      <c r="I32" s="8">
        <f>G32*H32</f>
        <v/>
      </c>
      <c r="J32" s="8">
        <f>H32/E32</f>
        <v/>
      </c>
      <c r="K32" s="8" t="n">
        <v>10.7</v>
      </c>
      <c r="L32" s="8" t="n">
        <v>10.7</v>
      </c>
      <c r="M32" s="8" t="n">
        <v>10.7</v>
      </c>
      <c r="N32" s="14">
        <f>J32/M32-1</f>
        <v/>
      </c>
      <c r="O32" s="14">
        <f>J32/K32-1</f>
        <v/>
      </c>
      <c r="P32" s="7" t="inlineStr">
        <is>
          <t>OK (≤ menor hist.)</t>
        </is>
      </c>
      <c r="Q32" s="7" t="inlineStr"/>
    </row>
    <row r="33">
      <c r="A33" s="7" t="n">
        <v>533001</v>
      </c>
      <c r="B33" s="7" t="inlineStr">
        <is>
          <t>1371</t>
        </is>
      </c>
      <c r="C33" s="12" t="inlineStr">
        <is>
          <t>7896523223223</t>
        </is>
      </c>
      <c r="D33" s="7" t="inlineStr">
        <is>
          <t>BABYMED MENINO 45G POMADA</t>
        </is>
      </c>
      <c r="E33" s="13" t="n">
        <v>1</v>
      </c>
      <c r="F33" s="13" t="n">
        <v>11</v>
      </c>
      <c r="G33" s="13" t="n">
        <v>11</v>
      </c>
      <c r="H33" s="8" t="n">
        <v>6.74</v>
      </c>
      <c r="I33" s="8">
        <f>G33*H33</f>
        <v/>
      </c>
      <c r="J33" s="8">
        <f>H33/E33</f>
        <v/>
      </c>
      <c r="K33" s="8" t="n">
        <v>4.99</v>
      </c>
      <c r="L33" s="8" t="n">
        <v>4.99</v>
      </c>
      <c r="M33" s="8" t="n">
        <v>4.99</v>
      </c>
      <c r="N33" s="14">
        <f>J33/M33-1</f>
        <v/>
      </c>
      <c r="O33" s="14">
        <f>J33/K33-1</f>
        <v/>
      </c>
      <c r="P33" s="7" t="inlineStr">
        <is>
          <t>ACIMA +35.1%</t>
        </is>
      </c>
      <c r="Q33" s="7" t="inlineStr"/>
    </row>
    <row r="34">
      <c r="A34" s="7" t="n">
        <v>541321</v>
      </c>
      <c r="B34" s="7" t="inlineStr">
        <is>
          <t>10510</t>
        </is>
      </c>
      <c r="C34" s="12" t="inlineStr">
        <is>
          <t>7898563802468</t>
        </is>
      </c>
      <c r="D34" s="7" t="inlineStr">
        <is>
          <t>BATOM DE CACAU UN</t>
        </is>
      </c>
      <c r="E34" s="13" t="n">
        <v>1</v>
      </c>
      <c r="F34" s="13" t="n">
        <v>1</v>
      </c>
      <c r="G34" s="13" t="n">
        <v>1</v>
      </c>
      <c r="H34" s="8" t="n">
        <v>1.61</v>
      </c>
      <c r="I34" s="8">
        <f>G34*H34</f>
        <v/>
      </c>
      <c r="J34" s="8">
        <f>H34/E34</f>
        <v/>
      </c>
      <c r="K34" s="8" t="n">
        <v>1.61</v>
      </c>
      <c r="L34" s="8" t="n">
        <v>1.61</v>
      </c>
      <c r="M34" s="8" t="n">
        <v>1.61</v>
      </c>
      <c r="N34" s="14">
        <f>J34/M34-1</f>
        <v/>
      </c>
      <c r="O34" s="14">
        <f>J34/K34-1</f>
        <v/>
      </c>
      <c r="P34" s="7" t="inlineStr">
        <is>
          <t>OK (≤ menor hist.)</t>
        </is>
      </c>
      <c r="Q34" s="7" t="inlineStr"/>
    </row>
    <row r="35">
      <c r="A35" s="7" t="n">
        <v>590701</v>
      </c>
      <c r="B35" s="7" t="inlineStr">
        <is>
          <t>3079</t>
        </is>
      </c>
      <c r="C35" s="12" t="inlineStr">
        <is>
          <t>7898031310075</t>
        </is>
      </c>
      <c r="D35" s="7" t="inlineStr">
        <is>
          <t>BAZELIN 10G UN</t>
        </is>
      </c>
      <c r="E35" s="13" t="n">
        <v>1</v>
      </c>
      <c r="F35" s="13" t="n">
        <v>1</v>
      </c>
      <c r="G35" s="13" t="n">
        <v>1</v>
      </c>
      <c r="H35" s="8" t="n">
        <v>3.81</v>
      </c>
      <c r="I35" s="8">
        <f>G35*H35</f>
        <v/>
      </c>
      <c r="J35" s="8">
        <f>H35/E35</f>
        <v/>
      </c>
      <c r="K35" s="8" t="n">
        <v>3.79</v>
      </c>
      <c r="L35" s="8" t="n">
        <v>3.79</v>
      </c>
      <c r="M35" s="8" t="n">
        <v>3.79</v>
      </c>
      <c r="N35" s="14">
        <f>J35/M35-1</f>
        <v/>
      </c>
      <c r="O35" s="14">
        <f>J35/K35-1</f>
        <v/>
      </c>
      <c r="P35" s="7" t="inlineStr">
        <is>
          <t>ACIMA +0.5%</t>
        </is>
      </c>
      <c r="Q35" s="7" t="inlineStr"/>
    </row>
    <row r="36">
      <c r="A36" s="7" t="n">
        <v>212561</v>
      </c>
      <c r="B36" s="7" t="inlineStr">
        <is>
          <t>181</t>
        </is>
      </c>
      <c r="C36" s="12" t="inlineStr">
        <is>
          <t>7897917001465</t>
        </is>
      </c>
      <c r="D36" s="7" t="inlineStr">
        <is>
          <t>BELFAREN 50MG CX 20 COMP</t>
        </is>
      </c>
      <c r="E36" s="13" t="n">
        <v>1</v>
      </c>
      <c r="F36" s="13" t="n">
        <v>2</v>
      </c>
      <c r="G36" s="13" t="n">
        <v>2</v>
      </c>
      <c r="H36" s="8" t="n">
        <v>1.78</v>
      </c>
      <c r="I36" s="8">
        <f>G36*H36</f>
        <v/>
      </c>
      <c r="J36" s="8">
        <f>H36/E36</f>
        <v/>
      </c>
      <c r="K36" s="8" t="n">
        <v>1.62</v>
      </c>
      <c r="L36" s="8" t="n">
        <v>1.62</v>
      </c>
      <c r="M36" s="8" t="n">
        <v>1.62</v>
      </c>
      <c r="N36" s="14">
        <f>J36/M36-1</f>
        <v/>
      </c>
      <c r="O36" s="14">
        <f>J36/K36-1</f>
        <v/>
      </c>
      <c r="P36" s="7" t="inlineStr">
        <is>
          <t>ACIMA +9.9%</t>
        </is>
      </c>
      <c r="Q36" s="7" t="inlineStr"/>
    </row>
    <row r="37">
      <c r="A37" s="7" t="n">
        <v>210461</v>
      </c>
      <c r="B37" s="7" t="inlineStr">
        <is>
          <t>9611</t>
        </is>
      </c>
      <c r="C37" s="12" t="inlineStr">
        <is>
          <t>7896004800400</t>
        </is>
      </c>
      <c r="D37" s="7" t="inlineStr">
        <is>
          <t>BENEVRAN CX 20 DRG</t>
        </is>
      </c>
      <c r="E37" s="13" t="n">
        <v>1</v>
      </c>
      <c r="F37" s="13" t="n">
        <v>31</v>
      </c>
      <c r="G37" s="13" t="n">
        <v>31</v>
      </c>
      <c r="H37" s="8" t="n">
        <v>2.34</v>
      </c>
      <c r="I37" s="8">
        <f>G37*H37</f>
        <v/>
      </c>
      <c r="J37" s="8">
        <f>H37/E37</f>
        <v/>
      </c>
      <c r="K37" s="8" t="n">
        <v>2.34</v>
      </c>
      <c r="L37" s="8" t="n">
        <v>2.34</v>
      </c>
      <c r="M37" s="8" t="n">
        <v>2.34</v>
      </c>
      <c r="N37" s="14">
        <f>J37/M37-1</f>
        <v/>
      </c>
      <c r="O37" s="14">
        <f>J37/K37-1</f>
        <v/>
      </c>
      <c r="P37" s="7" t="inlineStr">
        <is>
          <t>OK (≤ menor hist.)</t>
        </is>
      </c>
      <c r="Q37" s="7" t="inlineStr"/>
    </row>
    <row r="38">
      <c r="A38" s="7" t="n">
        <v>49581</v>
      </c>
      <c r="B38" s="7" t="inlineStr">
        <is>
          <t>453</t>
        </is>
      </c>
      <c r="C38" s="12" t="inlineStr">
        <is>
          <t>7898014560077</t>
        </is>
      </c>
      <c r="D38" s="7" t="inlineStr">
        <is>
          <t>BENZODERM 100 MG/G SAB CT FIL PP X 60 G</t>
        </is>
      </c>
      <c r="E38" s="13" t="n">
        <v>1</v>
      </c>
      <c r="F38" s="13" t="n">
        <v>1</v>
      </c>
      <c r="G38" s="13" t="n">
        <v>1</v>
      </c>
      <c r="H38" s="8" t="n">
        <v>6.59</v>
      </c>
      <c r="I38" s="8">
        <f>G38*H38</f>
        <v/>
      </c>
      <c r="J38" s="8">
        <f>H38/E38</f>
        <v/>
      </c>
      <c r="K38" s="8" t="n">
        <v>6.59</v>
      </c>
      <c r="L38" s="8" t="n">
        <v>6.59</v>
      </c>
      <c r="M38" s="8" t="n">
        <v>6.59</v>
      </c>
      <c r="N38" s="14">
        <f>J38/M38-1</f>
        <v/>
      </c>
      <c r="O38" s="14">
        <f>J38/K38-1</f>
        <v/>
      </c>
      <c r="P38" s="7" t="inlineStr">
        <is>
          <t>OK (≤ menor hist.)</t>
        </is>
      </c>
      <c r="Q38" s="7" t="inlineStr"/>
    </row>
    <row r="39">
      <c r="A39" s="7" t="n">
        <v>50061</v>
      </c>
      <c r="B39" s="7" t="inlineStr">
        <is>
          <t>5589</t>
        </is>
      </c>
      <c r="C39" s="12" t="inlineStr">
        <is>
          <t>7897917000994</t>
        </is>
      </c>
      <c r="D39" s="7" t="inlineStr">
        <is>
          <t>BENZOILMETRONIDAZOL 40MG/ML SUS OR FR 100ML+COP MED</t>
        </is>
      </c>
      <c r="E39" s="13" t="n">
        <v>1</v>
      </c>
      <c r="F39" s="13" t="n">
        <v>10</v>
      </c>
      <c r="G39" s="13" t="n">
        <v>10</v>
      </c>
      <c r="H39" s="8" t="n">
        <v>9.83</v>
      </c>
      <c r="I39" s="8">
        <f>G39*H39</f>
        <v/>
      </c>
      <c r="J39" s="8">
        <f>H39/E39</f>
        <v/>
      </c>
      <c r="K39" s="8" t="n">
        <v>8.84</v>
      </c>
      <c r="L39" s="8" t="n">
        <v>8.84</v>
      </c>
      <c r="M39" s="8" t="n">
        <v>8.84</v>
      </c>
      <c r="N39" s="14">
        <f>J39/M39-1</f>
        <v/>
      </c>
      <c r="O39" s="14">
        <f>J39/K39-1</f>
        <v/>
      </c>
      <c r="P39" s="7" t="inlineStr">
        <is>
          <t>ACIMA +11.2%</t>
        </is>
      </c>
      <c r="Q39" s="7" t="inlineStr"/>
    </row>
    <row r="40">
      <c r="A40" s="7" t="n">
        <v>208141</v>
      </c>
      <c r="B40" s="7" t="inlineStr">
        <is>
          <t>1357</t>
        </is>
      </c>
      <c r="C40" s="12" t="inlineStr">
        <is>
          <t>7896523210797</t>
        </is>
      </c>
      <c r="D40" s="7" t="inlineStr">
        <is>
          <t>BEPANTRIZ 50MG/G POM DERM BG 30G</t>
        </is>
      </c>
      <c r="E40" s="13" t="n">
        <v>1</v>
      </c>
      <c r="F40" s="13" t="n">
        <v>9</v>
      </c>
      <c r="G40" s="13" t="n">
        <v>9</v>
      </c>
      <c r="H40" s="8" t="n">
        <v>7.43</v>
      </c>
      <c r="I40" s="8">
        <f>G40*H40</f>
        <v/>
      </c>
      <c r="J40" s="8">
        <f>H40/E40</f>
        <v/>
      </c>
      <c r="K40" s="8" t="n">
        <v>6.49</v>
      </c>
      <c r="L40" s="8" t="n">
        <v>6.49</v>
      </c>
      <c r="M40" s="8" t="n">
        <v>6.489999999999999</v>
      </c>
      <c r="N40" s="14">
        <f>J40/M40-1</f>
        <v/>
      </c>
      <c r="O40" s="14">
        <f>J40/K40-1</f>
        <v/>
      </c>
      <c r="P40" s="7" t="inlineStr">
        <is>
          <t>ACIMA +14.5%</t>
        </is>
      </c>
      <c r="Q40" s="7" t="inlineStr"/>
    </row>
    <row r="41">
      <c r="A41" s="7" t="n">
        <v>538061</v>
      </c>
      <c r="B41" s="7" t="inlineStr">
        <is>
          <t>143</t>
        </is>
      </c>
      <c r="C41" s="12" t="inlineStr">
        <is>
          <t>7898031310303</t>
        </is>
      </c>
      <c r="D41" s="7" t="inlineStr">
        <is>
          <t>BICARBONATO DE SODIO 100G</t>
        </is>
      </c>
      <c r="E41" s="13" t="n">
        <v>1</v>
      </c>
      <c r="F41" s="13" t="n">
        <v>24</v>
      </c>
      <c r="G41" s="13" t="n">
        <v>24</v>
      </c>
      <c r="H41" s="8" t="n">
        <v>3.23</v>
      </c>
      <c r="I41" s="8">
        <f>G41*H41</f>
        <v/>
      </c>
      <c r="J41" s="8">
        <f>H41/E41</f>
        <v/>
      </c>
      <c r="K41" s="8" t="n">
        <v>3.05</v>
      </c>
      <c r="L41" s="8" t="n">
        <v>3.05</v>
      </c>
      <c r="M41" s="8" t="n">
        <v>3.049999999999999</v>
      </c>
      <c r="N41" s="14">
        <f>J41/M41-1</f>
        <v/>
      </c>
      <c r="O41" s="14">
        <f>J41/K41-1</f>
        <v/>
      </c>
      <c r="P41" s="7" t="inlineStr">
        <is>
          <t>ACIMA +5.9%</t>
        </is>
      </c>
      <c r="Q41" s="7" t="inlineStr"/>
    </row>
    <row r="42">
      <c r="A42" s="7" t="n">
        <v>619101</v>
      </c>
      <c r="B42" s="7" t="inlineStr">
        <is>
          <t>8452</t>
        </is>
      </c>
      <c r="C42" s="12" t="inlineStr">
        <is>
          <t>7898953484243</t>
        </is>
      </c>
      <c r="D42" s="7" t="inlineStr">
        <is>
          <t>BICO P/ SERINGA DE LAVAGEN NASAL C/2</t>
        </is>
      </c>
      <c r="E42" s="13" t="n">
        <v>1</v>
      </c>
      <c r="F42" s="13" t="n">
        <v>7</v>
      </c>
      <c r="G42" s="13" t="n">
        <v>7</v>
      </c>
      <c r="H42" s="8" t="n">
        <v>4.3</v>
      </c>
      <c r="I42" s="8">
        <f>G42*H42</f>
        <v/>
      </c>
      <c r="J42" s="8">
        <f>H42/E42</f>
        <v/>
      </c>
      <c r="K42" s="8" t="n">
        <v>4.3</v>
      </c>
      <c r="L42" s="8" t="n">
        <v>4.3</v>
      </c>
      <c r="M42" s="8" t="n">
        <v>4.3</v>
      </c>
      <c r="N42" s="14">
        <f>J42/M42-1</f>
        <v/>
      </c>
      <c r="O42" s="14">
        <f>J42/K42-1</f>
        <v/>
      </c>
      <c r="P42" s="7" t="inlineStr">
        <is>
          <t>OK (≤ menor hist.)</t>
        </is>
      </c>
      <c r="Q42" s="7" t="inlineStr"/>
    </row>
    <row r="43">
      <c r="A43" s="7" t="n">
        <v>3893</v>
      </c>
      <c r="B43" s="7" t="inlineStr">
        <is>
          <t>7444</t>
        </is>
      </c>
      <c r="C43" s="12" t="inlineStr">
        <is>
          <t>7908414448933</t>
        </is>
      </c>
      <c r="D43" s="7" t="inlineStr">
        <is>
          <t>BOLSA TERMICA GEL AZUL HC353</t>
        </is>
      </c>
      <c r="E43" s="13" t="n">
        <v>1</v>
      </c>
      <c r="F43" s="13" t="n">
        <v>6</v>
      </c>
      <c r="G43" s="13" t="n">
        <v>6</v>
      </c>
      <c r="H43" s="8" t="n">
        <v>12.92</v>
      </c>
      <c r="I43" s="8">
        <f>G43*H43</f>
        <v/>
      </c>
      <c r="J43" s="8">
        <f>H43/E43</f>
        <v/>
      </c>
      <c r="K43" s="8" t="n">
        <v>12.92</v>
      </c>
      <c r="L43" s="8" t="n">
        <v>12.92</v>
      </c>
      <c r="M43" s="8" t="n">
        <v>12.92</v>
      </c>
      <c r="N43" s="14">
        <f>J43/M43-1</f>
        <v/>
      </c>
      <c r="O43" s="14">
        <f>J43/K43-1</f>
        <v/>
      </c>
      <c r="P43" s="7" t="inlineStr">
        <is>
          <t>OK (≤ menor hist.)</t>
        </is>
      </c>
      <c r="Q43" s="7" t="inlineStr"/>
    </row>
    <row r="44">
      <c r="A44" s="7" t="n">
        <v>674321</v>
      </c>
      <c r="B44" s="7" t="inlineStr">
        <is>
          <t>9959</t>
        </is>
      </c>
      <c r="C44" s="12" t="inlineStr">
        <is>
          <t>7898975719040</t>
        </is>
      </c>
      <c r="D44" s="7" t="inlineStr">
        <is>
          <t>BOLSA TERMICA GEL QUENTE OU FRIO GRANDE</t>
        </is>
      </c>
      <c r="E44" s="13" t="n">
        <v>1</v>
      </c>
      <c r="F44" s="13" t="n">
        <v>1</v>
      </c>
      <c r="G44" s="13" t="n">
        <v>1</v>
      </c>
      <c r="H44" s="8" t="n">
        <v>10.63</v>
      </c>
      <c r="I44" s="8">
        <f>G44*H44</f>
        <v/>
      </c>
      <c r="J44" s="8">
        <f>H44/E44</f>
        <v/>
      </c>
      <c r="K44" s="8" t="n">
        <v>10.63</v>
      </c>
      <c r="L44" s="8" t="n">
        <v>10.63</v>
      </c>
      <c r="M44" s="8" t="n">
        <v>10.63</v>
      </c>
      <c r="N44" s="14">
        <f>J44/M44-1</f>
        <v/>
      </c>
      <c r="O44" s="14">
        <f>J44/K44-1</f>
        <v/>
      </c>
      <c r="P44" s="7" t="inlineStr">
        <is>
          <t>OK (≤ menor hist.)</t>
        </is>
      </c>
      <c r="Q44" s="7" t="inlineStr"/>
    </row>
    <row r="45">
      <c r="A45" s="7" t="n">
        <v>194</v>
      </c>
      <c r="B45" s="7" t="inlineStr">
        <is>
          <t>10651</t>
        </is>
      </c>
      <c r="C45" s="12" t="inlineStr">
        <is>
          <t>7894164010264</t>
        </is>
      </c>
      <c r="D45" s="7" t="inlineStr">
        <is>
          <t>BROMOPRIDA 4MG/ML 20ML</t>
        </is>
      </c>
      <c r="E45" s="13" t="n">
        <v>1</v>
      </c>
      <c r="F45" s="13" t="n">
        <v>2</v>
      </c>
      <c r="G45" s="13" t="n">
        <v>2</v>
      </c>
      <c r="H45" s="8" t="n">
        <v>3.58</v>
      </c>
      <c r="I45" s="8">
        <f>G45*H45</f>
        <v/>
      </c>
      <c r="J45" s="8">
        <f>H45/E45</f>
        <v/>
      </c>
      <c r="K45" s="8" t="n">
        <v>3.58</v>
      </c>
      <c r="L45" s="8" t="n">
        <v>3.58</v>
      </c>
      <c r="M45" s="8" t="n">
        <v>3.58</v>
      </c>
      <c r="N45" s="14">
        <f>J45/M45-1</f>
        <v/>
      </c>
      <c r="O45" s="14">
        <f>J45/K45-1</f>
        <v/>
      </c>
      <c r="P45" s="7" t="inlineStr">
        <is>
          <t>OK (≤ menor hist.)</t>
        </is>
      </c>
      <c r="Q45" s="7" t="inlineStr"/>
    </row>
    <row r="46">
      <c r="A46" s="7" t="n">
        <v>294981</v>
      </c>
      <c r="B46" s="7" t="inlineStr">
        <is>
          <t>1553</t>
        </is>
      </c>
      <c r="C46" s="12" t="inlineStr">
        <is>
          <t>7896472513284</t>
        </is>
      </c>
      <c r="D46" s="7" t="inlineStr">
        <is>
          <t>BUPROVIL 300MG CX 20 COMP</t>
        </is>
      </c>
      <c r="E46" s="13" t="n">
        <v>1</v>
      </c>
      <c r="F46" s="13" t="n">
        <v>1</v>
      </c>
      <c r="G46" s="13" t="n">
        <v>1</v>
      </c>
      <c r="H46" s="8" t="n">
        <v>5.63</v>
      </c>
      <c r="I46" s="8">
        <f>G46*H46</f>
        <v/>
      </c>
      <c r="J46" s="8">
        <f>H46/E46</f>
        <v/>
      </c>
      <c r="K46" s="8" t="n">
        <v>5.63</v>
      </c>
      <c r="L46" s="8" t="n">
        <v>5.63</v>
      </c>
      <c r="M46" s="8" t="n">
        <v>5.63</v>
      </c>
      <c r="N46" s="14">
        <f>J46/M46-1</f>
        <v/>
      </c>
      <c r="O46" s="14">
        <f>J46/K46-1</f>
        <v/>
      </c>
      <c r="P46" s="7" t="inlineStr">
        <is>
          <t>OK (≤ menor hist.)</t>
        </is>
      </c>
      <c r="Q46" s="7" t="inlineStr"/>
    </row>
    <row r="47">
      <c r="A47" s="7" t="n">
        <v>74721</v>
      </c>
      <c r="B47" s="7" t="inlineStr">
        <is>
          <t>1128</t>
        </is>
      </c>
      <c r="C47" s="12" t="inlineStr">
        <is>
          <t>7899620910164</t>
        </is>
      </c>
      <c r="D47" s="7" t="inlineStr">
        <is>
          <t>CAPTOPRIL 50MG CX 30 COMP</t>
        </is>
      </c>
      <c r="E47" s="13" t="n">
        <v>1</v>
      </c>
      <c r="F47" s="13" t="n">
        <v>3</v>
      </c>
      <c r="G47" s="13" t="n">
        <v>3</v>
      </c>
      <c r="H47" s="8" t="n">
        <v>4.04</v>
      </c>
      <c r="I47" s="8">
        <f>G47*H47</f>
        <v/>
      </c>
      <c r="J47" s="8">
        <f>H47/E47</f>
        <v/>
      </c>
      <c r="K47" s="8" t="n">
        <v>4.04</v>
      </c>
      <c r="L47" s="8" t="n">
        <v>4.04</v>
      </c>
      <c r="M47" s="8" t="n">
        <v>4.04</v>
      </c>
      <c r="N47" s="14">
        <f>J47/M47-1</f>
        <v/>
      </c>
      <c r="O47" s="14">
        <f>J47/K47-1</f>
        <v/>
      </c>
      <c r="P47" s="7" t="inlineStr">
        <is>
          <t>OK (≤ menor hist.)</t>
        </is>
      </c>
      <c r="Q47" s="7" t="inlineStr"/>
    </row>
    <row r="48">
      <c r="A48" s="7" t="n">
        <v>86481</v>
      </c>
      <c r="B48" s="7" t="inlineStr">
        <is>
          <t>1669</t>
        </is>
      </c>
      <c r="C48" s="12" t="inlineStr">
        <is>
          <t>7896004718309</t>
        </is>
      </c>
      <c r="D48" s="7" t="inlineStr">
        <is>
          <t>CEDROXIL 500MG CX 8 CAP</t>
        </is>
      </c>
      <c r="E48" s="13" t="n">
        <v>1</v>
      </c>
      <c r="F48" s="13" t="n">
        <v>1</v>
      </c>
      <c r="G48" s="13" t="n">
        <v>1</v>
      </c>
      <c r="H48" s="8" t="n">
        <v>9.789999999999999</v>
      </c>
      <c r="I48" s="8">
        <f>G48*H48</f>
        <v/>
      </c>
      <c r="J48" s="8">
        <f>H48/E48</f>
        <v/>
      </c>
      <c r="K48" s="8" t="n">
        <v>9.4</v>
      </c>
      <c r="L48" s="8" t="n">
        <v>9.35</v>
      </c>
      <c r="M48" s="8" t="n">
        <v>9.35</v>
      </c>
      <c r="N48" s="14">
        <f>J48/M48-1</f>
        <v/>
      </c>
      <c r="O48" s="14">
        <f>J48/K48-1</f>
        <v/>
      </c>
      <c r="P48" s="7" t="inlineStr">
        <is>
          <t>ACIMA +4.1%</t>
        </is>
      </c>
      <c r="Q48" s="7" t="inlineStr"/>
    </row>
    <row r="49">
      <c r="A49" s="7" t="n">
        <v>630661</v>
      </c>
      <c r="B49" s="7" t="inlineStr">
        <is>
          <t>8333</t>
        </is>
      </c>
      <c r="C49" s="12" t="inlineStr">
        <is>
          <t>7896920304556</t>
        </is>
      </c>
      <c r="D49" s="7" t="inlineStr">
        <is>
          <t>CENTROMAX A Z 60 CAPS</t>
        </is>
      </c>
      <c r="E49" s="13" t="n">
        <v>1</v>
      </c>
      <c r="F49" s="13" t="n">
        <v>1</v>
      </c>
      <c r="G49" s="13" t="n">
        <v>1</v>
      </c>
      <c r="H49" s="8" t="n">
        <v>28.48981</v>
      </c>
      <c r="I49" s="8">
        <f>G49*H49</f>
        <v/>
      </c>
      <c r="J49" s="8">
        <f>H49/E49</f>
        <v/>
      </c>
      <c r="K49" s="8" t="n">
        <v>26.85</v>
      </c>
      <c r="L49" s="8" t="n">
        <v>26.85</v>
      </c>
      <c r="M49" s="8" t="n">
        <v>26.85</v>
      </c>
      <c r="N49" s="14">
        <f>J49/M49-1</f>
        <v/>
      </c>
      <c r="O49" s="14">
        <f>J49/K49-1</f>
        <v/>
      </c>
      <c r="P49" s="7" t="inlineStr">
        <is>
          <t>ACIMA +6.1%</t>
        </is>
      </c>
      <c r="Q49" s="7" t="inlineStr"/>
    </row>
    <row r="50">
      <c r="A50" s="7" t="n">
        <v>96181</v>
      </c>
      <c r="B50" s="7" t="inlineStr">
        <is>
          <t>4848</t>
        </is>
      </c>
      <c r="C50" s="12" t="inlineStr">
        <is>
          <t>7896422507295</t>
        </is>
      </c>
      <c r="D50" s="7" t="inlineStr">
        <is>
          <t>CETOPROFENO 100MG CX 20 COMP</t>
        </is>
      </c>
      <c r="E50" s="13" t="n">
        <v>1</v>
      </c>
      <c r="F50" s="13" t="n">
        <v>36</v>
      </c>
      <c r="G50" s="13" t="n">
        <v>36</v>
      </c>
      <c r="H50" s="8" t="n">
        <v>22.49</v>
      </c>
      <c r="I50" s="8">
        <f>G50*H50</f>
        <v/>
      </c>
      <c r="J50" s="8">
        <f>H50/E50</f>
        <v/>
      </c>
      <c r="K50" s="8" t="n">
        <v>20.1267</v>
      </c>
      <c r="L50" s="8" t="n">
        <v>17.7656</v>
      </c>
      <c r="M50" s="8" t="n">
        <v>19.33833333333333</v>
      </c>
      <c r="N50" s="14">
        <f>J50/M50-1</f>
        <v/>
      </c>
      <c r="O50" s="14">
        <f>J50/K50-1</f>
        <v/>
      </c>
      <c r="P50" s="7" t="inlineStr">
        <is>
          <t>ACIMA +11.7%</t>
        </is>
      </c>
      <c r="Q50" s="7" t="inlineStr"/>
    </row>
    <row r="51">
      <c r="A51" s="7" t="n">
        <v>95101</v>
      </c>
      <c r="B51" s="7" t="inlineStr">
        <is>
          <t>4849</t>
        </is>
      </c>
      <c r="C51" s="12" t="inlineStr">
        <is>
          <t>7891058002961</t>
        </is>
      </c>
      <c r="D51" s="7" t="inlineStr">
        <is>
          <t>CETOPROFENO 150MG CX 10 COMP REV LIB PROL</t>
        </is>
      </c>
      <c r="E51" s="13" t="n">
        <v>1</v>
      </c>
      <c r="F51" s="13" t="n">
        <v>153</v>
      </c>
      <c r="G51" s="13" t="n">
        <v>153</v>
      </c>
      <c r="H51" s="8" t="n">
        <v>5.99</v>
      </c>
      <c r="I51" s="8">
        <f>G51*H51</f>
        <v/>
      </c>
      <c r="J51" s="8">
        <f>H51/E51</f>
        <v/>
      </c>
      <c r="K51" s="8" t="n">
        <v>5.1338</v>
      </c>
      <c r="L51" s="8" t="n">
        <v>5.1338</v>
      </c>
      <c r="M51" s="8" t="n">
        <v>5.1338</v>
      </c>
      <c r="N51" s="14">
        <f>J51/M51-1</f>
        <v/>
      </c>
      <c r="O51" s="14">
        <f>J51/K51-1</f>
        <v/>
      </c>
      <c r="P51" s="7" t="inlineStr">
        <is>
          <t>ACIMA +16.7%</t>
        </is>
      </c>
      <c r="Q51" s="7" t="inlineStr"/>
    </row>
    <row r="52">
      <c r="A52" s="7" t="n">
        <v>95121</v>
      </c>
      <c r="B52" s="7" t="inlineStr">
        <is>
          <t>4850</t>
        </is>
      </c>
      <c r="C52" s="12" t="inlineStr">
        <is>
          <t>7896422507349</t>
        </is>
      </c>
      <c r="D52" s="7" t="inlineStr">
        <is>
          <t>CETOPROFENO 50MG CX 24 CAP</t>
        </is>
      </c>
      <c r="E52" s="13" t="n">
        <v>1</v>
      </c>
      <c r="F52" s="13" t="n">
        <v>1</v>
      </c>
      <c r="G52" s="13" t="n">
        <v>1</v>
      </c>
      <c r="H52" s="8" t="n">
        <v>10.49</v>
      </c>
      <c r="I52" s="8">
        <f>G52*H52</f>
        <v/>
      </c>
      <c r="J52" s="8">
        <f>H52/E52</f>
        <v/>
      </c>
      <c r="K52" s="8" t="n">
        <v>8.57</v>
      </c>
      <c r="L52" s="8" t="n">
        <v>7.375</v>
      </c>
      <c r="M52" s="8" t="n">
        <v>8.171666666666667</v>
      </c>
      <c r="N52" s="14">
        <f>J52/M52-1</f>
        <v/>
      </c>
      <c r="O52" s="14">
        <f>J52/K52-1</f>
        <v/>
      </c>
      <c r="P52" s="7" t="inlineStr">
        <is>
          <t>ACIMA +22.4%</t>
        </is>
      </c>
      <c r="Q52" s="7" t="inlineStr"/>
    </row>
    <row r="53">
      <c r="A53" s="7" t="n">
        <v>98201</v>
      </c>
      <c r="B53" s="7" t="inlineStr">
        <is>
          <t>9995</t>
        </is>
      </c>
      <c r="C53" s="12" t="inlineStr">
        <is>
          <t>7896422512169</t>
        </is>
      </c>
      <c r="D53" s="7" t="inlineStr">
        <is>
          <t>CICLOPIROX OLAMINA 10MG CREME DERM BG 20G</t>
        </is>
      </c>
      <c r="E53" s="13" t="n">
        <v>1</v>
      </c>
      <c r="F53" s="13" t="n">
        <v>1</v>
      </c>
      <c r="G53" s="13" t="n">
        <v>1</v>
      </c>
      <c r="H53" s="8" t="n">
        <v>12.91</v>
      </c>
      <c r="I53" s="8">
        <f>G53*H53</f>
        <v/>
      </c>
      <c r="J53" s="8">
        <f>H53/E53</f>
        <v/>
      </c>
      <c r="K53" s="8" t="n">
        <v>9.56</v>
      </c>
      <c r="L53" s="8" t="n">
        <v>9.19</v>
      </c>
      <c r="M53" s="8" t="n">
        <v>9.436666666666667</v>
      </c>
      <c r="N53" s="14">
        <f>J53/M53-1</f>
        <v/>
      </c>
      <c r="O53" s="14">
        <f>J53/K53-1</f>
        <v/>
      </c>
      <c r="P53" s="7" t="inlineStr">
        <is>
          <t>ACIMA +35.0%</t>
        </is>
      </c>
      <c r="Q53" s="7" t="inlineStr"/>
    </row>
    <row r="54">
      <c r="A54" s="7" t="n">
        <v>127321</v>
      </c>
      <c r="B54" s="7" t="inlineStr">
        <is>
          <t>1135</t>
        </is>
      </c>
      <c r="C54" s="12" t="inlineStr">
        <is>
          <t>7896523216454</t>
        </is>
      </c>
      <c r="D54" s="7" t="inlineStr">
        <is>
          <t>CIFLOGEX 3,0MG CX 12 PAST SB LARANJA</t>
        </is>
      </c>
      <c r="E54" s="13" t="n">
        <v>1</v>
      </c>
      <c r="F54" s="13" t="n">
        <v>7</v>
      </c>
      <c r="G54" s="13" t="n">
        <v>7</v>
      </c>
      <c r="H54" s="8" t="n">
        <v>9.44</v>
      </c>
      <c r="I54" s="8">
        <f>G54*H54</f>
        <v/>
      </c>
      <c r="J54" s="8">
        <f>H54/E54</f>
        <v/>
      </c>
      <c r="K54" s="8" t="n">
        <v>7.49</v>
      </c>
      <c r="L54" s="8" t="n">
        <v>7.49</v>
      </c>
      <c r="M54" s="8" t="n">
        <v>7.489999999999999</v>
      </c>
      <c r="N54" s="14">
        <f>J54/M54-1</f>
        <v/>
      </c>
      <c r="O54" s="14">
        <f>J54/K54-1</f>
        <v/>
      </c>
      <c r="P54" s="7" t="inlineStr">
        <is>
          <t>ACIMA +26.0%</t>
        </is>
      </c>
      <c r="Q54" s="7" t="inlineStr"/>
    </row>
    <row r="55">
      <c r="A55" s="7" t="n">
        <v>646641</v>
      </c>
      <c r="B55" s="7" t="inlineStr">
        <is>
          <t>8003</t>
        </is>
      </c>
      <c r="C55" s="12" t="inlineStr">
        <is>
          <t>7898048690405</t>
        </is>
      </c>
      <c r="D55" s="7" t="inlineStr">
        <is>
          <t>CLORETO DE MAGNESIO P.A 600MG C/60 CPR</t>
        </is>
      </c>
      <c r="E55" s="13" t="n">
        <v>1</v>
      </c>
      <c r="F55" s="13" t="n">
        <v>5</v>
      </c>
      <c r="G55" s="13" t="n">
        <v>5</v>
      </c>
      <c r="H55" s="8" t="n">
        <v>9.18</v>
      </c>
      <c r="I55" s="8">
        <f>G55*H55</f>
        <v/>
      </c>
      <c r="J55" s="8">
        <f>H55/E55</f>
        <v/>
      </c>
      <c r="K55" s="8" t="n">
        <v>8.9</v>
      </c>
      <c r="L55" s="8" t="n">
        <v>8.9</v>
      </c>
      <c r="M55" s="8" t="n">
        <v>8.9</v>
      </c>
      <c r="N55" s="14">
        <f>J55/M55-1</f>
        <v/>
      </c>
      <c r="O55" s="14">
        <f>J55/K55-1</f>
        <v/>
      </c>
      <c r="P55" s="7" t="inlineStr">
        <is>
          <t>ACIMA +3.1%</t>
        </is>
      </c>
      <c r="Q55" s="7" t="inlineStr"/>
    </row>
    <row r="56">
      <c r="A56" s="7" t="n">
        <v>560161</v>
      </c>
      <c r="B56" s="7" t="inlineStr">
        <is>
          <t>147</t>
        </is>
      </c>
      <c r="C56" s="12" t="inlineStr">
        <is>
          <t>7898031310365</t>
        </is>
      </c>
      <c r="D56" s="7" t="inlineStr">
        <is>
          <t>CLORETO DE MAGNESIO PA 33G</t>
        </is>
      </c>
      <c r="E56" s="13" t="n">
        <v>1</v>
      </c>
      <c r="F56" s="13" t="n">
        <v>1</v>
      </c>
      <c r="G56" s="13" t="n">
        <v>1</v>
      </c>
      <c r="H56" s="8" t="n">
        <v>5.39</v>
      </c>
      <c r="I56" s="8">
        <f>G56*H56</f>
        <v/>
      </c>
      <c r="J56" s="8">
        <f>H56/E56</f>
        <v/>
      </c>
      <c r="K56" s="8" t="n">
        <v>4.93</v>
      </c>
      <c r="L56" s="8" t="n">
        <v>4.93</v>
      </c>
      <c r="M56" s="8" t="n">
        <v>4.93</v>
      </c>
      <c r="N56" s="14">
        <f>J56/M56-1</f>
        <v/>
      </c>
      <c r="O56" s="14">
        <f>J56/K56-1</f>
        <v/>
      </c>
      <c r="P56" s="7" t="inlineStr">
        <is>
          <t>ACIMA +9.3%</t>
        </is>
      </c>
      <c r="Q56" s="7" t="inlineStr"/>
    </row>
    <row r="57">
      <c r="A57" s="7" t="n">
        <v>619951</v>
      </c>
      <c r="B57" s="7" t="inlineStr">
        <is>
          <t>1332</t>
        </is>
      </c>
      <c r="C57" s="12" t="inlineStr">
        <is>
          <t>7898031310853</t>
        </is>
      </c>
      <c r="D57" s="7" t="inlineStr">
        <is>
          <t>CLORETO DE MAGNESIO PA 500MG C/60 CPS</t>
        </is>
      </c>
      <c r="E57" s="13" t="n">
        <v>1</v>
      </c>
      <c r="F57" s="13" t="n">
        <v>6</v>
      </c>
      <c r="G57" s="13" t="n">
        <v>6</v>
      </c>
      <c r="H57" s="8" t="n">
        <v>13.61</v>
      </c>
      <c r="I57" s="8">
        <f>G57*H57</f>
        <v/>
      </c>
      <c r="J57" s="8">
        <f>H57/E57</f>
        <v/>
      </c>
      <c r="K57" s="8" t="n">
        <v>13.61</v>
      </c>
      <c r="L57" s="8" t="n">
        <v>13.61</v>
      </c>
      <c r="M57" s="8" t="n">
        <v>13.61</v>
      </c>
      <c r="N57" s="14">
        <f>J57/M57-1</f>
        <v/>
      </c>
      <c r="O57" s="14">
        <f>J57/K57-1</f>
        <v/>
      </c>
      <c r="P57" s="7" t="inlineStr">
        <is>
          <t>OK (≤ menor hist.)</t>
        </is>
      </c>
      <c r="Q57" s="7" t="inlineStr"/>
    </row>
    <row r="58">
      <c r="A58" s="7" t="n">
        <v>124681</v>
      </c>
      <c r="B58" s="7" t="inlineStr">
        <is>
          <t>9911</t>
        </is>
      </c>
      <c r="C58" s="12" t="inlineStr">
        <is>
          <t>7891058001681</t>
        </is>
      </c>
      <c r="D58" s="7" t="inlineStr">
        <is>
          <t>CLORIDRATO DE AMIODARONA 200MG CX 30 COMP</t>
        </is>
      </c>
      <c r="E58" s="13" t="n">
        <v>1</v>
      </c>
      <c r="F58" s="13" t="n">
        <v>1</v>
      </c>
      <c r="G58" s="13" t="n">
        <v>1</v>
      </c>
      <c r="H58" s="8" t="n">
        <v>20.44</v>
      </c>
      <c r="I58" s="8">
        <f>G58*H58</f>
        <v/>
      </c>
      <c r="J58" s="8">
        <f>H58/E58</f>
        <v/>
      </c>
      <c r="K58" s="8" t="n">
        <v>16.4233</v>
      </c>
      <c r="L58" s="8" t="n">
        <v>13.6767</v>
      </c>
      <c r="M58" s="8" t="n">
        <v>15.50776666666667</v>
      </c>
      <c r="N58" s="14">
        <f>J58/M58-1</f>
        <v/>
      </c>
      <c r="O58" s="14">
        <f>J58/K58-1</f>
        <v/>
      </c>
      <c r="P58" s="7" t="inlineStr">
        <is>
          <t>ACIMA +24.5%</t>
        </is>
      </c>
      <c r="Q58" s="7" t="inlineStr"/>
    </row>
    <row r="59">
      <c r="A59" s="7" t="n">
        <v>132801</v>
      </c>
      <c r="B59" s="7" t="inlineStr">
        <is>
          <t>2260</t>
        </is>
      </c>
      <c r="C59" s="12" t="inlineStr">
        <is>
          <t>7896523214641</t>
        </is>
      </c>
      <c r="D59" s="7" t="inlineStr">
        <is>
          <t>CLORIDRATO DE CICLOBENZAPRINA 10MG CX 15 COMP REV</t>
        </is>
      </c>
      <c r="E59" s="13" t="n">
        <v>1</v>
      </c>
      <c r="F59" s="13" t="n">
        <v>34</v>
      </c>
      <c r="G59" s="13" t="n">
        <v>34</v>
      </c>
      <c r="H59" s="8" t="n">
        <v>2.63</v>
      </c>
      <c r="I59" s="8">
        <f>G59*H59</f>
        <v/>
      </c>
      <c r="J59" s="8">
        <f>H59/E59</f>
        <v/>
      </c>
      <c r="K59" s="8" t="n">
        <v>2.63</v>
      </c>
      <c r="L59" s="8" t="n">
        <v>2.49</v>
      </c>
      <c r="M59" s="8" t="n">
        <v>2.57</v>
      </c>
      <c r="N59" s="14">
        <f>J59/M59-1</f>
        <v/>
      </c>
      <c r="O59" s="14">
        <f>J59/K59-1</f>
        <v/>
      </c>
      <c r="P59" s="7" t="inlineStr">
        <is>
          <t>OK (≤ últ. compra)</t>
        </is>
      </c>
      <c r="Q59" s="7" t="inlineStr"/>
    </row>
    <row r="60">
      <c r="A60" s="7" t="n">
        <v>146661</v>
      </c>
      <c r="B60" s="7" t="inlineStr">
        <is>
          <t>4270</t>
        </is>
      </c>
      <c r="C60" s="12" t="inlineStr">
        <is>
          <t>7896523220239</t>
        </is>
      </c>
      <c r="D60" s="7" t="inlineStr">
        <is>
          <t>CLORIDRATO DE FEXOFENADINA 60MG CX 10 COMP REV</t>
        </is>
      </c>
      <c r="E60" s="13" t="n">
        <v>1</v>
      </c>
      <c r="F60" s="13" t="n">
        <v>3</v>
      </c>
      <c r="G60" s="13" t="n">
        <v>3</v>
      </c>
      <c r="H60" s="8" t="n">
        <v>8.4</v>
      </c>
      <c r="I60" s="8">
        <f>G60*H60</f>
        <v/>
      </c>
      <c r="J60" s="8">
        <f>H60/E60</f>
        <v/>
      </c>
      <c r="K60" s="8" t="n">
        <v>6.69</v>
      </c>
      <c r="L60" s="8" t="n">
        <v>6.18</v>
      </c>
      <c r="M60" s="8" t="n">
        <v>6.513333333333333</v>
      </c>
      <c r="N60" s="14">
        <f>J60/M60-1</f>
        <v/>
      </c>
      <c r="O60" s="14">
        <f>J60/K60-1</f>
        <v/>
      </c>
      <c r="P60" s="7" t="inlineStr">
        <is>
          <t>ACIMA +25.6%</t>
        </is>
      </c>
      <c r="Q60" s="7" t="inlineStr"/>
    </row>
    <row r="61">
      <c r="A61" s="7" t="n">
        <v>323981</v>
      </c>
      <c r="B61" s="7" t="inlineStr">
        <is>
          <t>3580</t>
        </is>
      </c>
      <c r="C61" s="12" t="inlineStr">
        <is>
          <t>7898060132600</t>
        </is>
      </c>
      <c r="D61" s="7" t="inlineStr">
        <is>
          <t>CLORIDRATO DE LOPERAMIDA 2MG CX 12 COMP</t>
        </is>
      </c>
      <c r="E61" s="13" t="n">
        <v>1</v>
      </c>
      <c r="F61" s="13" t="n">
        <v>19</v>
      </c>
      <c r="G61" s="13" t="n">
        <v>19</v>
      </c>
      <c r="H61" s="8" t="n">
        <v>2.08</v>
      </c>
      <c r="I61" s="8">
        <f>G61*H61</f>
        <v/>
      </c>
      <c r="J61" s="8">
        <f>H61/E61</f>
        <v/>
      </c>
      <c r="K61" s="8" t="n">
        <v>2.02</v>
      </c>
      <c r="L61" s="8" t="n">
        <v>2.02</v>
      </c>
      <c r="M61" s="8" t="n">
        <v>2.02</v>
      </c>
      <c r="N61" s="14">
        <f>J61/M61-1</f>
        <v/>
      </c>
      <c r="O61" s="14">
        <f>J61/K61-1</f>
        <v/>
      </c>
      <c r="P61" s="7" t="inlineStr">
        <is>
          <t>ACIMA +3.0%</t>
        </is>
      </c>
      <c r="Q61" s="7" t="inlineStr"/>
    </row>
    <row r="62">
      <c r="A62" s="7" t="n">
        <v>511621</v>
      </c>
      <c r="B62" s="7" t="inlineStr">
        <is>
          <t>8223</t>
        </is>
      </c>
      <c r="C62" s="12" t="inlineStr">
        <is>
          <t>7897917005708</t>
        </is>
      </c>
      <c r="D62" s="7" t="inlineStr">
        <is>
          <t>CLORIDRATO DE METOCLOPRAMIDA 10MG CX 20 COMP</t>
        </is>
      </c>
      <c r="E62" s="13" t="n">
        <v>1</v>
      </c>
      <c r="F62" s="13" t="n">
        <v>1</v>
      </c>
      <c r="G62" s="13" t="n">
        <v>1</v>
      </c>
      <c r="H62" s="8" t="n">
        <v>3.2</v>
      </c>
      <c r="I62" s="8">
        <f>G62*H62</f>
        <v/>
      </c>
      <c r="J62" s="8">
        <f>H62/E62</f>
        <v/>
      </c>
      <c r="K62" s="8" t="n">
        <v>3.2</v>
      </c>
      <c r="L62" s="8" t="n">
        <v>3.2</v>
      </c>
      <c r="M62" s="8" t="n">
        <v>3.200000000000001</v>
      </c>
      <c r="N62" s="14">
        <f>J62/M62-1</f>
        <v/>
      </c>
      <c r="O62" s="14">
        <f>J62/K62-1</f>
        <v/>
      </c>
      <c r="P62" s="7" t="inlineStr">
        <is>
          <t>OK (≤ menor hist.)</t>
        </is>
      </c>
      <c r="Q62" s="7" t="inlineStr"/>
    </row>
    <row r="63">
      <c r="A63" s="7" t="n">
        <v>189601</v>
      </c>
      <c r="B63" s="7" t="inlineStr">
        <is>
          <t>9914</t>
        </is>
      </c>
      <c r="C63" s="12" t="inlineStr">
        <is>
          <t>7896422506427</t>
        </is>
      </c>
      <c r="D63" s="7" t="inlineStr">
        <is>
          <t>CLOTRIMAZOL 10MG CREM VAG BG 35G+6APLIC</t>
        </is>
      </c>
      <c r="E63" s="13" t="n">
        <v>1</v>
      </c>
      <c r="F63" s="13" t="n">
        <v>7</v>
      </c>
      <c r="G63" s="13" t="n">
        <v>7</v>
      </c>
      <c r="H63" s="8" t="n">
        <v>17.18</v>
      </c>
      <c r="I63" s="8">
        <f>G63*H63</f>
        <v/>
      </c>
      <c r="J63" s="8">
        <f>H63/E63</f>
        <v/>
      </c>
      <c r="K63" s="8" t="n">
        <v>15.376</v>
      </c>
      <c r="L63" s="8" t="n">
        <v>13.0614</v>
      </c>
      <c r="M63" s="8" t="n">
        <v>14.60446666666667</v>
      </c>
      <c r="N63" s="14">
        <f>J63/M63-1</f>
        <v/>
      </c>
      <c r="O63" s="14">
        <f>J63/K63-1</f>
        <v/>
      </c>
      <c r="P63" s="7" t="inlineStr">
        <is>
          <t>ACIMA +11.7%</t>
        </is>
      </c>
      <c r="Q63" s="7" t="inlineStr"/>
    </row>
    <row r="64">
      <c r="A64" s="7" t="n">
        <v>189641</v>
      </c>
      <c r="B64" s="7" t="inlineStr">
        <is>
          <t>9898</t>
        </is>
      </c>
      <c r="C64" s="12" t="inlineStr">
        <is>
          <t>7896422506434</t>
        </is>
      </c>
      <c r="D64" s="7" t="inlineStr">
        <is>
          <t>CLOTRIMAZOL 20MG CREM VAG BG 20G+3APLIC</t>
        </is>
      </c>
      <c r="E64" s="13" t="n">
        <v>1</v>
      </c>
      <c r="F64" s="13" t="n">
        <v>7</v>
      </c>
      <c r="G64" s="13" t="n">
        <v>7</v>
      </c>
      <c r="H64" s="8" t="n">
        <v>17</v>
      </c>
      <c r="I64" s="8">
        <f>G64*H64</f>
        <v/>
      </c>
      <c r="J64" s="8">
        <f>H64/E64</f>
        <v/>
      </c>
      <c r="K64" s="8" t="n">
        <v>13.045</v>
      </c>
      <c r="L64" s="8" t="n">
        <v>13.045</v>
      </c>
      <c r="M64" s="8" t="n">
        <v>13.045</v>
      </c>
      <c r="N64" s="14">
        <f>J64/M64-1</f>
        <v/>
      </c>
      <c r="O64" s="14">
        <f>J64/K64-1</f>
        <v/>
      </c>
      <c r="P64" s="7" t="inlineStr">
        <is>
          <t>ACIMA +30.3%</t>
        </is>
      </c>
      <c r="Q64" s="7" t="inlineStr"/>
    </row>
    <row r="65">
      <c r="A65" s="7" t="n">
        <v>189681</v>
      </c>
      <c r="B65" s="7" t="inlineStr">
        <is>
          <t>8235</t>
        </is>
      </c>
      <c r="C65" s="12" t="inlineStr">
        <is>
          <t>7896422504812</t>
        </is>
      </c>
      <c r="D65" s="7" t="inlineStr">
        <is>
          <t>CLOTRIMAZOL CREM DERM BG 20G</t>
        </is>
      </c>
      <c r="E65" s="13" t="n">
        <v>1</v>
      </c>
      <c r="F65" s="13" t="n">
        <v>6</v>
      </c>
      <c r="G65" s="13" t="n">
        <v>6</v>
      </c>
      <c r="H65" s="8" t="n">
        <v>5.44</v>
      </c>
      <c r="I65" s="8">
        <f>G65*H65</f>
        <v/>
      </c>
      <c r="J65" s="8">
        <f>H65/E65</f>
        <v/>
      </c>
      <c r="K65" s="8" t="n">
        <v>4.1567</v>
      </c>
      <c r="L65" s="8" t="n">
        <v>4.1567</v>
      </c>
      <c r="M65" s="8" t="n">
        <v>4.1567</v>
      </c>
      <c r="N65" s="14">
        <f>J65/M65-1</f>
        <v/>
      </c>
      <c r="O65" s="14">
        <f>J65/K65-1</f>
        <v/>
      </c>
      <c r="P65" s="7" t="inlineStr">
        <is>
          <t>ACIMA +30.9%</t>
        </is>
      </c>
      <c r="Q65" s="7" t="inlineStr"/>
    </row>
    <row r="66">
      <c r="A66" s="7" t="n">
        <v>570701</v>
      </c>
      <c r="B66" s="7" t="inlineStr">
        <is>
          <t>6994</t>
        </is>
      </c>
      <c r="C66" s="12" t="inlineStr">
        <is>
          <t>7898953484014</t>
        </is>
      </c>
      <c r="D66" s="7" t="inlineStr">
        <is>
          <t>COLETOR UNIV.BRANCO 80ML TAMPA VERDE</t>
        </is>
      </c>
      <c r="E66" s="13" t="n">
        <v>1</v>
      </c>
      <c r="F66" s="13" t="n">
        <v>113</v>
      </c>
      <c r="G66" s="13" t="n">
        <v>113</v>
      </c>
      <c r="H66" s="8" t="n">
        <v>0.6</v>
      </c>
      <c r="I66" s="8">
        <f>G66*H66</f>
        <v/>
      </c>
      <c r="J66" s="8">
        <f>H66/E66</f>
        <v/>
      </c>
      <c r="K66" s="8" t="n">
        <v>0.54</v>
      </c>
      <c r="L66" s="8" t="n">
        <v>0.54</v>
      </c>
      <c r="M66" s="8" t="n">
        <v>0.54</v>
      </c>
      <c r="N66" s="14">
        <f>J66/M66-1</f>
        <v/>
      </c>
      <c r="O66" s="14">
        <f>J66/K66-1</f>
        <v/>
      </c>
      <c r="P66" s="7" t="inlineStr">
        <is>
          <t>ACIMA +11.1%</t>
        </is>
      </c>
      <c r="Q66" s="7" t="inlineStr"/>
    </row>
    <row r="67">
      <c r="A67" s="7" t="n">
        <v>661121</v>
      </c>
      <c r="B67" s="7" t="inlineStr">
        <is>
          <t>8069</t>
        </is>
      </c>
      <c r="C67" s="12" t="inlineStr">
        <is>
          <t>7897146650021</t>
        </is>
      </c>
      <c r="D67" s="7" t="inlineStr">
        <is>
          <t>COMPLEXO B C/100 CPR.</t>
        </is>
      </c>
      <c r="E67" s="13" t="n">
        <v>1</v>
      </c>
      <c r="F67" s="13" t="n">
        <v>1</v>
      </c>
      <c r="G67" s="13" t="n">
        <v>1</v>
      </c>
      <c r="H67" s="8" t="n">
        <v>7.97</v>
      </c>
      <c r="I67" s="8">
        <f>G67*H67</f>
        <v/>
      </c>
      <c r="J67" s="8">
        <f>H67/E67</f>
        <v/>
      </c>
      <c r="K67" s="8" t="n">
        <v>7.97</v>
      </c>
      <c r="L67" s="8" t="n">
        <v>7.97</v>
      </c>
      <c r="M67" s="8" t="n">
        <v>7.97</v>
      </c>
      <c r="N67" s="14">
        <f>J67/M67-1</f>
        <v/>
      </c>
      <c r="O67" s="14">
        <f>J67/K67-1</f>
        <v/>
      </c>
      <c r="P67" s="7" t="inlineStr">
        <is>
          <t>OK (≤ menor hist.)</t>
        </is>
      </c>
      <c r="Q67" s="7" t="inlineStr"/>
    </row>
    <row r="68">
      <c r="A68" s="7" t="n">
        <v>608751</v>
      </c>
      <c r="B68" s="7" t="inlineStr">
        <is>
          <t>795</t>
        </is>
      </c>
      <c r="C68" s="12" t="inlineStr">
        <is>
          <t>7897146600200</t>
        </is>
      </c>
      <c r="D68" s="7" t="inlineStr">
        <is>
          <t>COMPLEXO B C/30 CPR</t>
        </is>
      </c>
      <c r="E68" s="13" t="n">
        <v>1</v>
      </c>
      <c r="F68" s="13" t="n">
        <v>1</v>
      </c>
      <c r="G68" s="13" t="n">
        <v>1</v>
      </c>
      <c r="H68" s="8" t="n">
        <v>3.38</v>
      </c>
      <c r="I68" s="8">
        <f>G68*H68</f>
        <v/>
      </c>
      <c r="J68" s="8">
        <f>H68/E68</f>
        <v/>
      </c>
      <c r="K68" s="8" t="n">
        <v>3.38</v>
      </c>
      <c r="L68" s="8" t="n">
        <v>3.38</v>
      </c>
      <c r="M68" s="8" t="n">
        <v>3.38</v>
      </c>
      <c r="N68" s="14">
        <f>J68/M68-1</f>
        <v/>
      </c>
      <c r="O68" s="14">
        <f>J68/K68-1</f>
        <v/>
      </c>
      <c r="P68" s="7" t="inlineStr">
        <is>
          <t>OK (≤ menor hist.)</t>
        </is>
      </c>
      <c r="Q68" s="7" t="inlineStr"/>
    </row>
    <row r="69">
      <c r="A69" s="7" t="n">
        <v>592581</v>
      </c>
      <c r="B69" s="7" t="inlineStr">
        <is>
          <t>7632</t>
        </is>
      </c>
      <c r="C69" s="12" t="inlineStr">
        <is>
          <t>7897146600064</t>
        </is>
      </c>
      <c r="D69" s="7" t="inlineStr">
        <is>
          <t>COMPLEXO B C/50 CPR</t>
        </is>
      </c>
      <c r="E69" s="13" t="n">
        <v>1</v>
      </c>
      <c r="F69" s="13" t="n">
        <v>4</v>
      </c>
      <c r="G69" s="13" t="n">
        <v>4</v>
      </c>
      <c r="H69" s="8" t="n">
        <v>5</v>
      </c>
      <c r="I69" s="8">
        <f>G69*H69</f>
        <v/>
      </c>
      <c r="J69" s="8">
        <f>H69/E69</f>
        <v/>
      </c>
      <c r="K69" s="8" t="n">
        <v>5</v>
      </c>
      <c r="L69" s="8" t="n">
        <v>5</v>
      </c>
      <c r="M69" s="8" t="n">
        <v>5</v>
      </c>
      <c r="N69" s="14">
        <f>J69/M69-1</f>
        <v/>
      </c>
      <c r="O69" s="14">
        <f>J69/K69-1</f>
        <v/>
      </c>
      <c r="P69" s="7" t="inlineStr">
        <is>
          <t>OK (≤ menor hist.)</t>
        </is>
      </c>
      <c r="Q69" s="7" t="inlineStr"/>
    </row>
    <row r="70">
      <c r="A70" s="7" t="n">
        <v>541341</v>
      </c>
      <c r="B70" s="7" t="inlineStr">
        <is>
          <t>5033</t>
        </is>
      </c>
      <c r="C70" s="12" t="inlineStr">
        <is>
          <t>7898964832156</t>
        </is>
      </c>
      <c r="D70" s="7" t="inlineStr">
        <is>
          <t>COMPLEXO B C/60COMP.</t>
        </is>
      </c>
      <c r="E70" s="13" t="n">
        <v>1</v>
      </c>
      <c r="F70" s="13" t="n">
        <v>10</v>
      </c>
      <c r="G70" s="13" t="n">
        <v>10</v>
      </c>
      <c r="H70" s="8" t="n">
        <v>5.24</v>
      </c>
      <c r="I70" s="8">
        <f>G70*H70</f>
        <v/>
      </c>
      <c r="J70" s="8">
        <f>H70/E70</f>
        <v/>
      </c>
      <c r="K70" s="8" t="n">
        <v>5.24</v>
      </c>
      <c r="L70" s="8" t="n">
        <v>5.13</v>
      </c>
      <c r="M70" s="8" t="n">
        <v>5.203333333333333</v>
      </c>
      <c r="N70" s="14">
        <f>J70/M70-1</f>
        <v/>
      </c>
      <c r="O70" s="14">
        <f>J70/K70-1</f>
        <v/>
      </c>
      <c r="P70" s="7" t="inlineStr">
        <is>
          <t>OK (≤ últ. compra)</t>
        </is>
      </c>
      <c r="Q70" s="7" t="inlineStr"/>
    </row>
    <row r="71">
      <c r="A71" s="7" t="n">
        <v>581021</v>
      </c>
      <c r="B71" s="7" t="inlineStr">
        <is>
          <t>3494</t>
        </is>
      </c>
      <c r="C71" s="12" t="inlineStr">
        <is>
          <t>7898277713333</t>
        </is>
      </c>
      <c r="D71" s="7" t="inlineStr">
        <is>
          <t>COMPLEXO B SOL ORAL 100ML (POLIVITAMINAS</t>
        </is>
      </c>
      <c r="E71" s="13" t="n">
        <v>1</v>
      </c>
      <c r="F71" s="13" t="n">
        <v>3</v>
      </c>
      <c r="G71" s="13" t="n">
        <v>3</v>
      </c>
      <c r="H71" s="8" t="n">
        <v>3.9</v>
      </c>
      <c r="I71" s="8">
        <f>G71*H71</f>
        <v/>
      </c>
      <c r="J71" s="8">
        <f>H71/E71</f>
        <v/>
      </c>
      <c r="K71" s="8" t="n">
        <v>3.9</v>
      </c>
      <c r="L71" s="8" t="n">
        <v>3.9</v>
      </c>
      <c r="M71" s="8" t="n">
        <v>3.9</v>
      </c>
      <c r="N71" s="14">
        <f>J71/M71-1</f>
        <v/>
      </c>
      <c r="O71" s="14">
        <f>J71/K71-1</f>
        <v/>
      </c>
      <c r="P71" s="7" t="inlineStr">
        <is>
          <t>OK (≤ menor hist.)</t>
        </is>
      </c>
      <c r="Q71" s="7" t="inlineStr"/>
    </row>
    <row r="72">
      <c r="A72" s="7" t="n">
        <v>556101</v>
      </c>
      <c r="B72" s="7" t="inlineStr">
        <is>
          <t>6037</t>
        </is>
      </c>
      <c r="C72" s="12" t="inlineStr">
        <is>
          <t>7898668060152</t>
        </is>
      </c>
      <c r="D72" s="7" t="inlineStr">
        <is>
          <t>COMPRESSA GAZE 11 FIOS C/10 UND LIVIA</t>
        </is>
      </c>
      <c r="E72" s="13" t="n">
        <v>1</v>
      </c>
      <c r="F72" s="13" t="n">
        <v>347</v>
      </c>
      <c r="G72" s="13" t="n">
        <v>347</v>
      </c>
      <c r="H72" s="8" t="n">
        <v>0.55</v>
      </c>
      <c r="I72" s="8">
        <f>G72*H72</f>
        <v/>
      </c>
      <c r="J72" s="8">
        <f>H72/E72</f>
        <v/>
      </c>
      <c r="K72" s="8" t="n">
        <v>0.55</v>
      </c>
      <c r="L72" s="8" t="n">
        <v>0.1</v>
      </c>
      <c r="M72" s="8" t="n">
        <v>0.4000000000000001</v>
      </c>
      <c r="N72" s="14">
        <f>J72/M72-1</f>
        <v/>
      </c>
      <c r="O72" s="14">
        <f>J72/K72-1</f>
        <v/>
      </c>
      <c r="P72" s="7" t="inlineStr">
        <is>
          <t>OK (≤ últ. compra)</t>
        </is>
      </c>
      <c r="Q72" s="7" t="inlineStr"/>
    </row>
    <row r="73">
      <c r="A73" s="7" t="n">
        <v>593361</v>
      </c>
      <c r="B73" s="7" t="inlineStr">
        <is>
          <t>5571</t>
        </is>
      </c>
      <c r="C73" s="12" t="inlineStr">
        <is>
          <t>7898933598168</t>
        </is>
      </c>
      <c r="D73" s="7" t="inlineStr">
        <is>
          <t>COMPRESSA GAZE 13 FIOS C/10 UN TEXPHARMA</t>
        </is>
      </c>
      <c r="E73" s="13" t="n">
        <v>1</v>
      </c>
      <c r="F73" s="13" t="n">
        <v>144</v>
      </c>
      <c r="G73" s="13" t="n">
        <v>144</v>
      </c>
      <c r="H73" s="8" t="n">
        <v>0.59</v>
      </c>
      <c r="I73" s="8">
        <f>G73*H73</f>
        <v/>
      </c>
      <c r="J73" s="8">
        <f>H73/E73</f>
        <v/>
      </c>
      <c r="K73" s="8" t="n">
        <v>0.1</v>
      </c>
      <c r="L73" s="8" t="n">
        <v>0.1</v>
      </c>
      <c r="M73" s="8" t="n">
        <v>0.1</v>
      </c>
      <c r="N73" s="14">
        <f>J73/M73-1</f>
        <v/>
      </c>
      <c r="O73" s="14">
        <f>J73/K73-1</f>
        <v/>
      </c>
      <c r="P73" s="7" t="inlineStr">
        <is>
          <t>ACIMA +490.0%</t>
        </is>
      </c>
      <c r="Q73" s="7" t="inlineStr">
        <is>
          <t>conferir emb.</t>
        </is>
      </c>
    </row>
    <row r="74">
      <c r="A74" s="7" t="n">
        <v>538361</v>
      </c>
      <c r="B74" s="7" t="inlineStr">
        <is>
          <t>4382</t>
        </is>
      </c>
      <c r="C74" s="12" t="inlineStr">
        <is>
          <t>7898668060190</t>
        </is>
      </c>
      <c r="D74" s="7" t="inlineStr">
        <is>
          <t>COMPRESSA GAZE 13 FIOS C/10 UND LIVIA</t>
        </is>
      </c>
      <c r="E74" s="13" t="n">
        <v>1</v>
      </c>
      <c r="F74" s="13" t="n">
        <v>368</v>
      </c>
      <c r="G74" s="13" t="n">
        <v>368</v>
      </c>
      <c r="H74" s="8" t="n">
        <v>0.58</v>
      </c>
      <c r="I74" s="8">
        <f>G74*H74</f>
        <v/>
      </c>
      <c r="J74" s="8">
        <f>H74/E74</f>
        <v/>
      </c>
      <c r="K74" s="8" t="n">
        <v>0.58</v>
      </c>
      <c r="L74" s="8" t="n">
        <v>0.1</v>
      </c>
      <c r="M74" s="8" t="n">
        <v>0.26</v>
      </c>
      <c r="N74" s="14">
        <f>J74/M74-1</f>
        <v/>
      </c>
      <c r="O74" s="14">
        <f>J74/K74-1</f>
        <v/>
      </c>
      <c r="P74" s="7" t="inlineStr">
        <is>
          <t>OK (≤ últ. compra)</t>
        </is>
      </c>
      <c r="Q74" s="7" t="inlineStr"/>
    </row>
    <row r="75">
      <c r="A75" s="7" t="n">
        <v>620061</v>
      </c>
      <c r="B75" s="7" t="inlineStr">
        <is>
          <t>9825</t>
        </is>
      </c>
      <c r="C75" s="12" t="inlineStr">
        <is>
          <t>7898136150446</t>
        </is>
      </c>
      <c r="D75" s="7" t="inlineStr">
        <is>
          <t>CURATIVO ADESIVO NATHY TRANSPARENTE 10UN</t>
        </is>
      </c>
      <c r="E75" s="13" t="n">
        <v>1</v>
      </c>
      <c r="F75" s="13" t="n">
        <v>2</v>
      </c>
      <c r="G75" s="13" t="n">
        <v>2</v>
      </c>
      <c r="H75" s="8" t="n">
        <v>1.42</v>
      </c>
      <c r="I75" s="8">
        <f>G75*H75</f>
        <v/>
      </c>
      <c r="J75" s="8">
        <f>H75/E75</f>
        <v/>
      </c>
      <c r="K75" s="8" t="n">
        <v>1.91</v>
      </c>
      <c r="L75" s="8" t="n">
        <v>1.91</v>
      </c>
      <c r="M75" s="8" t="n">
        <v>1.91</v>
      </c>
      <c r="N75" s="14">
        <f>J75/M75-1</f>
        <v/>
      </c>
      <c r="O75" s="14">
        <f>J75/K75-1</f>
        <v/>
      </c>
      <c r="P75" s="7" t="inlineStr">
        <is>
          <t>OK (≤ menor hist.)</t>
        </is>
      </c>
      <c r="Q75" s="7" t="inlineStr"/>
    </row>
    <row r="76">
      <c r="A76" s="7" t="n">
        <v>3243</v>
      </c>
      <c r="B76" s="7" t="inlineStr">
        <is>
          <t>3468</t>
        </is>
      </c>
      <c r="C76" s="12" t="inlineStr">
        <is>
          <t>7898108640791</t>
        </is>
      </c>
      <c r="D76" s="7" t="inlineStr">
        <is>
          <t>CURATIVO HIDROCOLOIDE SANCARE C/24 UND</t>
        </is>
      </c>
      <c r="E76" s="13" t="n">
        <v>1</v>
      </c>
      <c r="F76" s="13" t="n">
        <v>5</v>
      </c>
      <c r="G76" s="13" t="n">
        <v>5</v>
      </c>
      <c r="H76" s="8" t="n">
        <v>17.17</v>
      </c>
      <c r="I76" s="8">
        <f>G76*H76</f>
        <v/>
      </c>
      <c r="J76" s="8">
        <f>H76/E76</f>
        <v/>
      </c>
      <c r="K76" s="8" t="n">
        <v>14.93</v>
      </c>
      <c r="L76" s="8" t="n">
        <v>14.93</v>
      </c>
      <c r="M76" s="8" t="n">
        <v>14.93</v>
      </c>
      <c r="N76" s="14">
        <f>J76/M76-1</f>
        <v/>
      </c>
      <c r="O76" s="14">
        <f>J76/K76-1</f>
        <v/>
      </c>
      <c r="P76" s="7" t="inlineStr">
        <is>
          <t>ACIMA +15.0%</t>
        </is>
      </c>
      <c r="Q76" s="7" t="inlineStr"/>
    </row>
    <row r="77">
      <c r="A77" s="7" t="n">
        <v>656461</v>
      </c>
      <c r="B77" s="7" t="inlineStr">
        <is>
          <t>9828</t>
        </is>
      </c>
      <c r="C77" s="12" t="inlineStr">
        <is>
          <t>7898136150620</t>
        </is>
      </c>
      <c r="D77" s="7" t="inlineStr">
        <is>
          <t>CURATIVO NATHY C/35UN BEGE</t>
        </is>
      </c>
      <c r="E77" s="13" t="n">
        <v>1</v>
      </c>
      <c r="F77" s="13" t="n">
        <v>22</v>
      </c>
      <c r="G77" s="13" t="n">
        <v>22</v>
      </c>
      <c r="H77" s="8" t="n">
        <v>3.25</v>
      </c>
      <c r="I77" s="8">
        <f>G77*H77</f>
        <v/>
      </c>
      <c r="J77" s="8">
        <f>H77/E77</f>
        <v/>
      </c>
      <c r="K77" s="8" t="n">
        <v>3.25</v>
      </c>
      <c r="L77" s="8" t="n">
        <v>3.25</v>
      </c>
      <c r="M77" s="8" t="n">
        <v>3.25</v>
      </c>
      <c r="N77" s="14">
        <f>J77/M77-1</f>
        <v/>
      </c>
      <c r="O77" s="14">
        <f>J77/K77-1</f>
        <v/>
      </c>
      <c r="P77" s="7" t="inlineStr">
        <is>
          <t>OK (≤ menor hist.)</t>
        </is>
      </c>
      <c r="Q77" s="7" t="inlineStr"/>
    </row>
    <row r="78">
      <c r="A78" s="7" t="n">
        <v>354681</v>
      </c>
      <c r="B78" s="7" t="inlineStr">
        <is>
          <t>1363</t>
        </is>
      </c>
      <c r="C78" s="12" t="inlineStr">
        <is>
          <t>7893736010220</t>
        </is>
      </c>
      <c r="D78" s="7" t="inlineStr">
        <is>
          <t>DERMOBAN 20MG CREME DERM BG 15G</t>
        </is>
      </c>
      <c r="E78" s="13" t="n">
        <v>1</v>
      </c>
      <c r="F78" s="13" t="n">
        <v>10</v>
      </c>
      <c r="G78" s="13" t="n">
        <v>10</v>
      </c>
      <c r="H78" s="8" t="n">
        <v>25.99</v>
      </c>
      <c r="I78" s="8">
        <f>G78*H78</f>
        <v/>
      </c>
      <c r="J78" s="8">
        <f>H78/E78</f>
        <v/>
      </c>
      <c r="K78" s="8" t="n">
        <v>32.99</v>
      </c>
      <c r="L78" s="8" t="n">
        <v>25.01</v>
      </c>
      <c r="M78" s="8" t="n">
        <v>25.01</v>
      </c>
      <c r="N78" s="14">
        <f>J78/M78-1</f>
        <v/>
      </c>
      <c r="O78" s="14">
        <f>J78/K78-1</f>
        <v/>
      </c>
      <c r="P78" s="7" t="inlineStr">
        <is>
          <t>OK (≤ últ. compra)</t>
        </is>
      </c>
      <c r="Q78" s="7" t="inlineStr"/>
    </row>
    <row r="79">
      <c r="A79" s="7" t="n">
        <v>691501</v>
      </c>
      <c r="B79" s="7" t="inlineStr">
        <is>
          <t>6114</t>
        </is>
      </c>
      <c r="C79" s="12" t="inlineStr">
        <is>
          <t>7898593050716</t>
        </is>
      </c>
      <c r="D79" s="7" t="inlineStr">
        <is>
          <t>DERMUP COLAGENO VERISOL C/90 CPS</t>
        </is>
      </c>
      <c r="E79" s="13" t="n">
        <v>1</v>
      </c>
      <c r="F79" s="13" t="n">
        <v>1</v>
      </c>
      <c r="G79" s="13" t="n">
        <v>1</v>
      </c>
      <c r="H79" s="8" t="n">
        <v>42.53</v>
      </c>
      <c r="I79" s="8">
        <f>G79*H79</f>
        <v/>
      </c>
      <c r="J79" s="8">
        <f>H79/E79</f>
        <v/>
      </c>
      <c r="K79" s="8" t="n">
        <v>41.85</v>
      </c>
      <c r="L79" s="8" t="n">
        <v>41.85</v>
      </c>
      <c r="M79" s="8" t="n">
        <v>41.85</v>
      </c>
      <c r="N79" s="14">
        <f>J79/M79-1</f>
        <v/>
      </c>
      <c r="O79" s="14">
        <f>J79/K79-1</f>
        <v/>
      </c>
      <c r="P79" s="7" t="inlineStr">
        <is>
          <t>ACIMA +1.6%</t>
        </is>
      </c>
      <c r="Q79" s="7" t="inlineStr"/>
    </row>
    <row r="80">
      <c r="A80" s="7" t="n">
        <v>573701</v>
      </c>
      <c r="B80" s="7" t="inlineStr">
        <is>
          <t>5772</t>
        </is>
      </c>
      <c r="C80" s="12" t="inlineStr">
        <is>
          <t>7898582290178</t>
        </is>
      </c>
      <c r="D80" s="7" t="inlineStr">
        <is>
          <t>DERSOL LOCAO OLEOSA 200ML</t>
        </is>
      </c>
      <c r="E80" s="13" t="n">
        <v>1</v>
      </c>
      <c r="F80" s="13" t="n">
        <v>5</v>
      </c>
      <c r="G80" s="13" t="n">
        <v>5</v>
      </c>
      <c r="H80" s="8" t="n">
        <v>11.41</v>
      </c>
      <c r="I80" s="8">
        <f>G80*H80</f>
        <v/>
      </c>
      <c r="J80" s="8">
        <f>H80/E80</f>
        <v/>
      </c>
      <c r="K80" s="8" t="n">
        <v>10.99</v>
      </c>
      <c r="L80" s="8" t="n">
        <v>10.99</v>
      </c>
      <c r="M80" s="8" t="n">
        <v>10.99</v>
      </c>
      <c r="N80" s="14">
        <f>J80/M80-1</f>
        <v/>
      </c>
      <c r="O80" s="14">
        <f>J80/K80-1</f>
        <v/>
      </c>
      <c r="P80" s="7" t="inlineStr">
        <is>
          <t>ACIMA +3.8%</t>
        </is>
      </c>
      <c r="Q80" s="7" t="inlineStr"/>
    </row>
    <row r="81">
      <c r="A81" s="7" t="n">
        <v>668951</v>
      </c>
      <c r="B81" s="7" t="inlineStr">
        <is>
          <t>2447</t>
        </is>
      </c>
      <c r="C81" s="12" t="inlineStr">
        <is>
          <t>7896472520299</t>
        </is>
      </c>
      <c r="D81" s="7" t="inlineStr">
        <is>
          <t>DESLORATADINA 5MG CX 10 COMP REV</t>
        </is>
      </c>
      <c r="E81" s="13" t="n">
        <v>1</v>
      </c>
      <c r="F81" s="13" t="n">
        <v>25</v>
      </c>
      <c r="G81" s="13" t="n">
        <v>25</v>
      </c>
      <c r="H81" s="8" t="n">
        <v>4.83</v>
      </c>
      <c r="I81" s="8">
        <f>G81*H81</f>
        <v/>
      </c>
      <c r="J81" s="8">
        <f>H81/E81</f>
        <v/>
      </c>
      <c r="K81" s="8" t="n">
        <v>6.11</v>
      </c>
      <c r="L81" s="8" t="n">
        <v>5.7026</v>
      </c>
      <c r="M81" s="8" t="n">
        <v>5.974200000000001</v>
      </c>
      <c r="N81" s="14">
        <f>J81/M81-1</f>
        <v/>
      </c>
      <c r="O81" s="14">
        <f>J81/K81-1</f>
        <v/>
      </c>
      <c r="P81" s="7" t="inlineStr">
        <is>
          <t>OK (≤ menor hist.)</t>
        </is>
      </c>
      <c r="Q81" s="7" t="inlineStr"/>
    </row>
    <row r="82">
      <c r="A82" s="7" t="n">
        <v>490121</v>
      </c>
      <c r="B82" s="7" t="inlineStr">
        <is>
          <t>5588</t>
        </is>
      </c>
      <c r="C82" s="12" t="inlineStr">
        <is>
          <t>7897917004008</t>
        </is>
      </c>
      <c r="D82" s="7" t="inlineStr">
        <is>
          <t>DICLOFENACO SODICO 50MG CX 20 COMP REV</t>
        </is>
      </c>
      <c r="E82" s="13" t="n">
        <v>1</v>
      </c>
      <c r="F82" s="13" t="n">
        <v>4</v>
      </c>
      <c r="G82" s="13" t="n">
        <v>4</v>
      </c>
      <c r="H82" s="8" t="n">
        <v>1.65</v>
      </c>
      <c r="I82" s="8">
        <f>G82*H82</f>
        <v/>
      </c>
      <c r="J82" s="8">
        <f>H82/E82</f>
        <v/>
      </c>
      <c r="K82" s="8" t="n">
        <v>1.65</v>
      </c>
      <c r="L82" s="8" t="n">
        <v>1.65</v>
      </c>
      <c r="M82" s="8" t="n">
        <v>1.65</v>
      </c>
      <c r="N82" s="14">
        <f>J82/M82-1</f>
        <v/>
      </c>
      <c r="O82" s="14">
        <f>J82/K82-1</f>
        <v/>
      </c>
      <c r="P82" s="7" t="inlineStr">
        <is>
          <t>OK (≤ menor hist.)</t>
        </is>
      </c>
      <c r="Q82" s="7" t="inlineStr"/>
    </row>
    <row r="83">
      <c r="A83" s="7" t="n">
        <v>222121</v>
      </c>
      <c r="B83" s="7" t="inlineStr">
        <is>
          <t>1032</t>
        </is>
      </c>
      <c r="C83" s="12" t="inlineStr">
        <is>
          <t>7898166041004</t>
        </is>
      </c>
      <c r="D83" s="7" t="inlineStr">
        <is>
          <t>DIPIFARMA 500 MG/ML SOL INJ CX 100 AMP VD AMB X 2 ML (EMB HOSP)</t>
        </is>
      </c>
      <c r="E83" s="13" t="n">
        <v>1</v>
      </c>
      <c r="F83" s="13" t="n">
        <v>1</v>
      </c>
      <c r="G83" s="13" t="n">
        <v>1</v>
      </c>
      <c r="H83" s="8" t="n">
        <v>81</v>
      </c>
      <c r="I83" s="8">
        <f>G83*H83</f>
        <v/>
      </c>
      <c r="J83" s="8">
        <f>H83/E83</f>
        <v/>
      </c>
      <c r="K83" s="8" t="n">
        <v>2.56</v>
      </c>
      <c r="L83" s="8" t="n">
        <v>2.56</v>
      </c>
      <c r="M83" s="8" t="n">
        <v>2.56</v>
      </c>
      <c r="N83" s="14">
        <f>J83/M83-1</f>
        <v/>
      </c>
      <c r="O83" s="14">
        <f>J83/K83-1</f>
        <v/>
      </c>
      <c r="P83" s="7" t="inlineStr">
        <is>
          <t>ACIMA +3064.1%</t>
        </is>
      </c>
      <c r="Q83" s="7" t="inlineStr">
        <is>
          <t>conferir emb.</t>
        </is>
      </c>
    </row>
    <row r="84">
      <c r="A84" s="7" t="n">
        <v>558021</v>
      </c>
      <c r="B84" s="7" t="inlineStr">
        <is>
          <t>3021</t>
        </is>
      </c>
      <c r="C84" s="12" t="inlineStr">
        <is>
          <t>00742832304719</t>
        </is>
      </c>
      <c r="D84" s="7" t="inlineStr">
        <is>
          <t>DIPIRONA 500MG CT 10CP</t>
        </is>
      </c>
      <c r="E84" s="13" t="n">
        <v>1</v>
      </c>
      <c r="F84" s="13" t="n">
        <v>1</v>
      </c>
      <c r="G84" s="13" t="n">
        <v>1</v>
      </c>
      <c r="H84" s="8" t="n">
        <v>17.91</v>
      </c>
      <c r="I84" s="8">
        <f>G84*H84</f>
        <v/>
      </c>
      <c r="J84" s="8">
        <f>H84/E84</f>
        <v/>
      </c>
      <c r="K84" s="8" t="n"/>
      <c r="L84" s="8" t="n"/>
      <c r="M84" s="8" t="n"/>
      <c r="N84" s="14" t="n"/>
      <c r="O84" s="14" t="n"/>
      <c r="P84" s="7" t="inlineStr">
        <is>
          <t>SEM HISTÓRICO</t>
        </is>
      </c>
      <c r="Q84" s="7" t="inlineStr"/>
    </row>
    <row r="85">
      <c r="A85" s="7" t="n">
        <v>526021</v>
      </c>
      <c r="B85" s="7" t="inlineStr">
        <is>
          <t>8168</t>
        </is>
      </c>
      <c r="C85" s="12" t="inlineStr">
        <is>
          <t>7896523201054</t>
        </is>
      </c>
      <c r="D85" s="7" t="inlineStr">
        <is>
          <t>DOMPERIDONA 10MG CX 30 COMP</t>
        </is>
      </c>
      <c r="E85" s="13" t="n">
        <v>1</v>
      </c>
      <c r="F85" s="13" t="n">
        <v>23</v>
      </c>
      <c r="G85" s="13" t="n">
        <v>23</v>
      </c>
      <c r="H85" s="8" t="n">
        <v>3.23</v>
      </c>
      <c r="I85" s="8">
        <f>G85*H85</f>
        <v/>
      </c>
      <c r="J85" s="8">
        <f>H85/E85</f>
        <v/>
      </c>
      <c r="K85" s="8" t="n">
        <v>2.28</v>
      </c>
      <c r="L85" s="8" t="n">
        <v>2.19</v>
      </c>
      <c r="M85" s="8" t="n">
        <v>2.22</v>
      </c>
      <c r="N85" s="14">
        <f>J85/M85-1</f>
        <v/>
      </c>
      <c r="O85" s="14">
        <f>J85/K85-1</f>
        <v/>
      </c>
      <c r="P85" s="7" t="inlineStr">
        <is>
          <t>ACIMA +41.7%</t>
        </is>
      </c>
      <c r="Q85" s="7" t="inlineStr"/>
    </row>
    <row r="86">
      <c r="A86" s="7" t="n">
        <v>13361</v>
      </c>
      <c r="B86" s="7" t="inlineStr">
        <is>
          <t>4788</t>
        </is>
      </c>
      <c r="C86" s="12" t="inlineStr">
        <is>
          <t>7898179710065</t>
        </is>
      </c>
      <c r="D86" s="7" t="inlineStr">
        <is>
          <t>DORMEC 100 MG C/10 (CARTELA)</t>
        </is>
      </c>
      <c r="E86" s="13" t="n">
        <v>20</v>
      </c>
      <c r="F86" s="13" t="n">
        <v>21</v>
      </c>
      <c r="G86" s="13" t="n">
        <v>2</v>
      </c>
      <c r="H86" s="8" t="n">
        <v>12.12</v>
      </c>
      <c r="I86" s="8">
        <f>G86*H86</f>
        <v/>
      </c>
      <c r="J86" s="8">
        <f>H86/E86</f>
        <v/>
      </c>
      <c r="K86" s="8" t="n">
        <v>0.5885</v>
      </c>
      <c r="L86" s="8" t="n">
        <v>0.5855</v>
      </c>
      <c r="M86" s="8" t="n">
        <v>0.5865</v>
      </c>
      <c r="N86" s="14">
        <f>J86/M86-1</f>
        <v/>
      </c>
      <c r="O86" s="14">
        <f>J86/K86-1</f>
        <v/>
      </c>
      <c r="P86" s="7" t="inlineStr">
        <is>
          <t>ACIMA +3.0%</t>
        </is>
      </c>
      <c r="Q86" s="7" t="inlineStr">
        <is>
          <t>1 emb = 20 un</t>
        </is>
      </c>
    </row>
    <row r="87">
      <c r="A87" s="7" t="n">
        <v>393461</v>
      </c>
      <c r="B87" s="7" t="inlineStr">
        <is>
          <t>270</t>
        </is>
      </c>
      <c r="C87" s="12" t="inlineStr">
        <is>
          <t>7896023701436</t>
        </is>
      </c>
      <c r="D87" s="7" t="inlineStr">
        <is>
          <t>ELIXIR PAREGORICO 0,05ML/ML SOL OR FR GOT 30ML</t>
        </is>
      </c>
      <c r="E87" s="13" t="n">
        <v>1</v>
      </c>
      <c r="F87" s="13" t="n">
        <v>13</v>
      </c>
      <c r="G87" s="13" t="n">
        <v>13</v>
      </c>
      <c r="H87" s="8" t="n">
        <v>10.65</v>
      </c>
      <c r="I87" s="8">
        <f>G87*H87</f>
        <v/>
      </c>
      <c r="J87" s="8">
        <f>H87/E87</f>
        <v/>
      </c>
      <c r="K87" s="8" t="n">
        <v>10.65</v>
      </c>
      <c r="L87" s="8" t="n">
        <v>10.65</v>
      </c>
      <c r="M87" s="8" t="n">
        <v>10.65</v>
      </c>
      <c r="N87" s="14">
        <f>J87/M87-1</f>
        <v/>
      </c>
      <c r="O87" s="14">
        <f>J87/K87-1</f>
        <v/>
      </c>
      <c r="P87" s="7" t="inlineStr">
        <is>
          <t>OK (≤ menor hist.)</t>
        </is>
      </c>
      <c r="Q87" s="7" t="inlineStr"/>
    </row>
    <row r="88">
      <c r="A88" s="7" t="n">
        <v>604941</v>
      </c>
      <c r="B88" s="7" t="inlineStr">
        <is>
          <t>6901</t>
        </is>
      </c>
      <c r="C88" s="12" t="inlineStr">
        <is>
          <t>7898687731996</t>
        </is>
      </c>
      <c r="D88" s="7" t="inlineStr">
        <is>
          <t>EQUALIV MELATONINA 0,21MG X120</t>
        </is>
      </c>
      <c r="E88" s="13" t="n">
        <v>1</v>
      </c>
      <c r="F88" s="13" t="n">
        <v>1</v>
      </c>
      <c r="G88" s="13" t="n">
        <v>1</v>
      </c>
      <c r="H88" s="8" t="n">
        <v>23.73</v>
      </c>
      <c r="I88" s="8">
        <f>G88*H88</f>
        <v/>
      </c>
      <c r="J88" s="8">
        <f>H88/E88</f>
        <v/>
      </c>
      <c r="K88" s="8" t="n">
        <v>18.9925</v>
      </c>
      <c r="L88" s="8" t="n">
        <v>18.9925</v>
      </c>
      <c r="M88" s="8" t="n">
        <v>18.9925</v>
      </c>
      <c r="N88" s="14">
        <f>J88/M88-1</f>
        <v/>
      </c>
      <c r="O88" s="14">
        <f>J88/K88-1</f>
        <v/>
      </c>
      <c r="P88" s="7" t="inlineStr">
        <is>
          <t>ACIMA +24.9%</t>
        </is>
      </c>
      <c r="Q88" s="7" t="inlineStr"/>
    </row>
    <row r="89">
      <c r="A89" s="7" t="n">
        <v>611991</v>
      </c>
      <c r="B89" s="7" t="inlineStr">
        <is>
          <t>6875</t>
        </is>
      </c>
      <c r="C89" s="12" t="inlineStr">
        <is>
          <t>7898157722707</t>
        </is>
      </c>
      <c r="D89" s="7" t="inlineStr">
        <is>
          <t>EQUIPO MACROGOTAS MOD L2 - M25</t>
        </is>
      </c>
      <c r="E89" s="13" t="n">
        <v>1</v>
      </c>
      <c r="F89" s="13" t="n">
        <v>5</v>
      </c>
      <c r="G89" s="13" t="n">
        <v>5</v>
      </c>
      <c r="H89" s="8" t="n">
        <v>0.9</v>
      </c>
      <c r="I89" s="8">
        <f>G89*H89</f>
        <v/>
      </c>
      <c r="J89" s="8">
        <f>H89/E89</f>
        <v/>
      </c>
      <c r="K89" s="8" t="n">
        <v>1.49</v>
      </c>
      <c r="L89" s="8" t="n">
        <v>1.49</v>
      </c>
      <c r="M89" s="8" t="n">
        <v>1.49</v>
      </c>
      <c r="N89" s="14">
        <f>J89/M89-1</f>
        <v/>
      </c>
      <c r="O89" s="14">
        <f>J89/K89-1</f>
        <v/>
      </c>
      <c r="P89" s="7" t="inlineStr">
        <is>
          <t>OK (≤ menor hist.)</t>
        </is>
      </c>
      <c r="Q89" s="7" t="inlineStr"/>
    </row>
    <row r="90">
      <c r="A90" s="7" t="n">
        <v>234861</v>
      </c>
      <c r="B90" s="7" t="inlineStr">
        <is>
          <t>406</t>
        </is>
      </c>
      <c r="C90" s="12" t="inlineStr">
        <is>
          <t>7895296128124</t>
        </is>
      </c>
      <c r="D90" s="7" t="inlineStr">
        <is>
          <t>ESOP 20MG CX 28 COMP REV</t>
        </is>
      </c>
      <c r="E90" s="13" t="n">
        <v>1</v>
      </c>
      <c r="F90" s="13" t="n">
        <v>1</v>
      </c>
      <c r="G90" s="13" t="n">
        <v>1</v>
      </c>
      <c r="H90" s="8" t="n">
        <v>24.96</v>
      </c>
      <c r="I90" s="8">
        <f>G90*H90</f>
        <v/>
      </c>
      <c r="J90" s="8">
        <f>H90/E90</f>
        <v/>
      </c>
      <c r="K90" s="8" t="n">
        <v>21.71</v>
      </c>
      <c r="L90" s="8" t="n">
        <v>21.71</v>
      </c>
      <c r="M90" s="8" t="n">
        <v>21.71</v>
      </c>
      <c r="N90" s="14">
        <f>J90/M90-1</f>
        <v/>
      </c>
      <c r="O90" s="14">
        <f>J90/K90-1</f>
        <v/>
      </c>
      <c r="P90" s="7" t="inlineStr">
        <is>
          <t>ACIMA +15.0%</t>
        </is>
      </c>
      <c r="Q90" s="7" t="inlineStr"/>
    </row>
    <row r="91">
      <c r="A91" s="7" t="n">
        <v>234881</v>
      </c>
      <c r="B91" s="7" t="inlineStr">
        <is>
          <t>1127</t>
        </is>
      </c>
      <c r="C91" s="12" t="inlineStr">
        <is>
          <t>7895296128162</t>
        </is>
      </c>
      <c r="D91" s="7" t="inlineStr">
        <is>
          <t>ESOP 40MG CX 28 COMP REV</t>
        </is>
      </c>
      <c r="E91" s="13" t="n">
        <v>1</v>
      </c>
      <c r="F91" s="13" t="n">
        <v>1</v>
      </c>
      <c r="G91" s="13" t="n">
        <v>1</v>
      </c>
      <c r="H91" s="8" t="n">
        <v>43.2</v>
      </c>
      <c r="I91" s="8">
        <f>G91*H91</f>
        <v/>
      </c>
      <c r="J91" s="8">
        <f>H91/E91</f>
        <v/>
      </c>
      <c r="K91" s="8" t="n">
        <v>41.75</v>
      </c>
      <c r="L91" s="8" t="n">
        <v>41.75</v>
      </c>
      <c r="M91" s="8" t="n">
        <v>41.75</v>
      </c>
      <c r="N91" s="14">
        <f>J91/M91-1</f>
        <v/>
      </c>
      <c r="O91" s="14">
        <f>J91/K91-1</f>
        <v/>
      </c>
      <c r="P91" s="7" t="inlineStr">
        <is>
          <t>ACIMA +3.5%</t>
        </is>
      </c>
      <c r="Q91" s="7" t="inlineStr"/>
    </row>
    <row r="92">
      <c r="A92" s="7" t="n">
        <v>613791</v>
      </c>
      <c r="B92" s="7" t="inlineStr">
        <is>
          <t>232</t>
        </is>
      </c>
      <c r="C92" s="12" t="inlineStr">
        <is>
          <t>7896544900073</t>
        </is>
      </c>
      <c r="D92" s="7" t="inlineStr">
        <is>
          <t>ESPARAD IMP MISSNER 1,2CMX4,5M</t>
        </is>
      </c>
      <c r="E92" s="13" t="n">
        <v>1</v>
      </c>
      <c r="F92" s="13" t="n">
        <v>2</v>
      </c>
      <c r="G92" s="13" t="n">
        <v>2</v>
      </c>
      <c r="H92" s="8" t="n">
        <v>2.83</v>
      </c>
      <c r="I92" s="8">
        <f>G92*H92</f>
        <v/>
      </c>
      <c r="J92" s="8">
        <f>H92/E92</f>
        <v/>
      </c>
      <c r="K92" s="8" t="n">
        <v>2.83</v>
      </c>
      <c r="L92" s="8" t="n">
        <v>2.83</v>
      </c>
      <c r="M92" s="8" t="n">
        <v>2.83</v>
      </c>
      <c r="N92" s="14">
        <f>J92/M92-1</f>
        <v/>
      </c>
      <c r="O92" s="14">
        <f>J92/K92-1</f>
        <v/>
      </c>
      <c r="P92" s="7" t="inlineStr">
        <is>
          <t>OK (≤ menor hist.)</t>
        </is>
      </c>
      <c r="Q92" s="7" t="inlineStr"/>
    </row>
    <row r="93">
      <c r="A93" s="7" t="n">
        <v>540961</v>
      </c>
      <c r="B93" s="7" t="inlineStr">
        <is>
          <t>229</t>
        </is>
      </c>
      <c r="C93" s="12" t="inlineStr">
        <is>
          <t>7896544910102</t>
        </is>
      </c>
      <c r="D93" s="7" t="inlineStr">
        <is>
          <t>ESPARADRAPO BRANCO 10 X 4,5</t>
        </is>
      </c>
      <c r="E93" s="13" t="n">
        <v>1</v>
      </c>
      <c r="F93" s="13" t="n">
        <v>13</v>
      </c>
      <c r="G93" s="13" t="n">
        <v>13</v>
      </c>
      <c r="H93" s="8" t="n">
        <v>12.33</v>
      </c>
      <c r="I93" s="8">
        <f>G93*H93</f>
        <v/>
      </c>
      <c r="J93" s="8">
        <f>H93/E93</f>
        <v/>
      </c>
      <c r="K93" s="8" t="n">
        <v>12.32</v>
      </c>
      <c r="L93" s="8" t="n">
        <v>12.32</v>
      </c>
      <c r="M93" s="8" t="n">
        <v>12.32</v>
      </c>
      <c r="N93" s="14">
        <f>J93/M93-1</f>
        <v/>
      </c>
      <c r="O93" s="14">
        <f>J93/K93-1</f>
        <v/>
      </c>
      <c r="P93" s="7" t="inlineStr">
        <is>
          <t>ACIMA +0.1%</t>
        </is>
      </c>
      <c r="Q93" s="7" t="inlineStr"/>
    </row>
    <row r="94">
      <c r="A94" s="7" t="n">
        <v>541301</v>
      </c>
      <c r="B94" s="7" t="inlineStr">
        <is>
          <t>231</t>
        </is>
      </c>
      <c r="C94" s="12" t="inlineStr">
        <is>
          <t>7896544925014</t>
        </is>
      </c>
      <c r="D94" s="7" t="inlineStr">
        <is>
          <t>ESPARADRAPO IMP BRANCO 2,5CM X 0,90MTS UND QTD. 14.00 UN</t>
        </is>
      </c>
      <c r="E94" s="13" t="n">
        <v>1</v>
      </c>
      <c r="F94" s="13" t="n">
        <v>17</v>
      </c>
      <c r="G94" s="13" t="n">
        <v>17</v>
      </c>
      <c r="H94" s="8" t="n">
        <v>2.15</v>
      </c>
      <c r="I94" s="8">
        <f>G94*H94</f>
        <v/>
      </c>
      <c r="J94" s="8">
        <f>H94/E94</f>
        <v/>
      </c>
      <c r="K94" s="8" t="n">
        <v>2.15</v>
      </c>
      <c r="L94" s="8" t="n">
        <v>2.15</v>
      </c>
      <c r="M94" s="8" t="n">
        <v>2.15</v>
      </c>
      <c r="N94" s="14">
        <f>J94/M94-1</f>
        <v/>
      </c>
      <c r="O94" s="14">
        <f>J94/K94-1</f>
        <v/>
      </c>
      <c r="P94" s="7" t="inlineStr">
        <is>
          <t>OK (≤ menor hist.)</t>
        </is>
      </c>
      <c r="Q94" s="7" t="inlineStr"/>
    </row>
    <row r="95">
      <c r="A95" s="7" t="n">
        <v>541421</v>
      </c>
      <c r="B95" s="7" t="inlineStr">
        <is>
          <t>230</t>
        </is>
      </c>
      <c r="C95" s="12" t="inlineStr">
        <is>
          <t>7896544925458</t>
        </is>
      </c>
      <c r="D95" s="7" t="inlineStr">
        <is>
          <t>ESPARADRAPO IMP BRANCO 2,5CM X 4,5MTS UND QTD. 10.00 UN</t>
        </is>
      </c>
      <c r="E95" s="13" t="n">
        <v>1</v>
      </c>
      <c r="F95" s="13" t="n">
        <v>41</v>
      </c>
      <c r="G95" s="13" t="n">
        <v>41</v>
      </c>
      <c r="H95" s="8" t="n">
        <v>3.71</v>
      </c>
      <c r="I95" s="8">
        <f>G95*H95</f>
        <v/>
      </c>
      <c r="J95" s="8">
        <f>H95/E95</f>
        <v/>
      </c>
      <c r="K95" s="8" t="n">
        <v>3.71</v>
      </c>
      <c r="L95" s="8" t="n">
        <v>3.71</v>
      </c>
      <c r="M95" s="8" t="n">
        <v>3.71</v>
      </c>
      <c r="N95" s="14">
        <f>J95/M95-1</f>
        <v/>
      </c>
      <c r="O95" s="14">
        <f>J95/K95-1</f>
        <v/>
      </c>
      <c r="P95" s="7" t="inlineStr">
        <is>
          <t>OK (≤ menor hist.)</t>
        </is>
      </c>
      <c r="Q95" s="7" t="inlineStr"/>
    </row>
    <row r="96">
      <c r="A96" s="7" t="n">
        <v>552501</v>
      </c>
      <c r="B96" s="7" t="inlineStr">
        <is>
          <t>1049</t>
        </is>
      </c>
      <c r="C96" s="12" t="inlineStr">
        <is>
          <t>7896544910058</t>
        </is>
      </c>
      <c r="D96" s="7" t="inlineStr">
        <is>
          <t>ESPARADRAPO IMPERM. BRANCO 5CMX4,5M</t>
        </is>
      </c>
      <c r="E96" s="13" t="n">
        <v>1</v>
      </c>
      <c r="F96" s="13" t="n">
        <v>14</v>
      </c>
      <c r="G96" s="13" t="n">
        <v>14</v>
      </c>
      <c r="H96" s="8" t="n">
        <v>5.98</v>
      </c>
      <c r="I96" s="8">
        <f>G96*H96</f>
        <v/>
      </c>
      <c r="J96" s="8">
        <f>H96/E96</f>
        <v/>
      </c>
      <c r="K96" s="8" t="n">
        <v>5.98</v>
      </c>
      <c r="L96" s="8" t="n">
        <v>5.97</v>
      </c>
      <c r="M96" s="8" t="n">
        <v>5.973333333333333</v>
      </c>
      <c r="N96" s="14">
        <f>J96/M96-1</f>
        <v/>
      </c>
      <c r="O96" s="14">
        <f>J96/K96-1</f>
        <v/>
      </c>
      <c r="P96" s="7" t="inlineStr">
        <is>
          <t>OK (≤ últ. compra)</t>
        </is>
      </c>
      <c r="Q96" s="7" t="inlineStr"/>
    </row>
    <row r="97">
      <c r="A97" s="7" t="n">
        <v>631171</v>
      </c>
      <c r="B97" s="7" t="inlineStr">
        <is>
          <t>8601</t>
        </is>
      </c>
      <c r="C97" s="12" t="inlineStr">
        <is>
          <t>7898687733990</t>
        </is>
      </c>
      <c r="D97" s="7" t="inlineStr">
        <is>
          <t>ETODOLACO 500MG CX 14 COMP REV</t>
        </is>
      </c>
      <c r="E97" s="13" t="n">
        <v>1</v>
      </c>
      <c r="F97" s="13" t="n">
        <v>13</v>
      </c>
      <c r="G97" s="13" t="n">
        <v>13</v>
      </c>
      <c r="H97" s="8" t="n">
        <v>19.83</v>
      </c>
      <c r="I97" s="8">
        <f>G97*H97</f>
        <v/>
      </c>
      <c r="J97" s="8">
        <f>H97/E97</f>
        <v/>
      </c>
      <c r="K97" s="8" t="n">
        <v>16.3492</v>
      </c>
      <c r="L97" s="8" t="n">
        <v>16.3492</v>
      </c>
      <c r="M97" s="8" t="n">
        <v>16.3492</v>
      </c>
      <c r="N97" s="14">
        <f>J97/M97-1</f>
        <v/>
      </c>
      <c r="O97" s="14">
        <f>J97/K97-1</f>
        <v/>
      </c>
      <c r="P97" s="7" t="inlineStr">
        <is>
          <t>ACIMA +21.3%</t>
        </is>
      </c>
      <c r="Q97" s="7" t="inlineStr"/>
    </row>
    <row r="98">
      <c r="A98" s="7" t="n">
        <v>607431</v>
      </c>
      <c r="B98" s="7" t="inlineStr">
        <is>
          <t>9066</t>
        </is>
      </c>
      <c r="C98" s="12" t="inlineStr">
        <is>
          <t>7897732607897</t>
        </is>
      </c>
      <c r="D98" s="7" t="inlineStr">
        <is>
          <t>EXTRATO DE PROPOLIS VERDE 30ML</t>
        </is>
      </c>
      <c r="E98" s="13" t="n">
        <v>1</v>
      </c>
      <c r="F98" s="13" t="n">
        <v>6</v>
      </c>
      <c r="G98" s="13" t="n">
        <v>6</v>
      </c>
      <c r="H98" s="8" t="n">
        <v>9.76</v>
      </c>
      <c r="I98" s="8">
        <f>G98*H98</f>
        <v/>
      </c>
      <c r="J98" s="8">
        <f>H98/E98</f>
        <v/>
      </c>
      <c r="K98" s="8" t="n">
        <v>9.51</v>
      </c>
      <c r="L98" s="8" t="n">
        <v>9.51</v>
      </c>
      <c r="M98" s="8" t="n">
        <v>9.51</v>
      </c>
      <c r="N98" s="14">
        <f>J98/M98-1</f>
        <v/>
      </c>
      <c r="O98" s="14">
        <f>J98/K98-1</f>
        <v/>
      </c>
      <c r="P98" s="7" t="inlineStr">
        <is>
          <t>ACIMA +2.6%</t>
        </is>
      </c>
      <c r="Q98" s="7" t="inlineStr"/>
    </row>
    <row r="99">
      <c r="A99" s="7" t="n">
        <v>21941</v>
      </c>
      <c r="B99" s="7" t="inlineStr">
        <is>
          <t>1172</t>
        </is>
      </c>
      <c r="C99" s="12" t="inlineStr">
        <is>
          <t>7898166040328</t>
        </is>
      </c>
      <c r="D99" s="7" t="inlineStr">
        <is>
          <t>FARMACE -AGUA PARA INJECAO 1 ML/ML SOL INJ CX 200 AMP PLAS TRANS X 10 ML</t>
        </is>
      </c>
      <c r="E99" s="13" t="n">
        <v>1</v>
      </c>
      <c r="F99" s="13" t="n">
        <v>1</v>
      </c>
      <c r="G99" s="13" t="n">
        <v>1</v>
      </c>
      <c r="H99" s="8" t="n">
        <v>0.32</v>
      </c>
      <c r="I99" s="8">
        <f>G99*H99</f>
        <v/>
      </c>
      <c r="J99" s="8">
        <f>H99/E99</f>
        <v/>
      </c>
      <c r="K99" s="8" t="n">
        <v>0.45</v>
      </c>
      <c r="L99" s="8" t="n">
        <v>0.45</v>
      </c>
      <c r="M99" s="8" t="n">
        <v>0.45</v>
      </c>
      <c r="N99" s="14">
        <f>J99/M99-1</f>
        <v/>
      </c>
      <c r="O99" s="14">
        <f>J99/K99-1</f>
        <v/>
      </c>
      <c r="P99" s="7" t="inlineStr">
        <is>
          <t>OK (≤ menor hist.)</t>
        </is>
      </c>
      <c r="Q99" s="7" t="inlineStr"/>
    </row>
    <row r="100">
      <c r="A100" s="7" t="n">
        <v>591221</v>
      </c>
      <c r="B100" s="7" t="inlineStr">
        <is>
          <t>7313</t>
        </is>
      </c>
      <c r="C100" s="12" t="inlineStr">
        <is>
          <t>7898216362172</t>
        </is>
      </c>
      <c r="D100" s="7" t="inlineStr">
        <is>
          <t>FARMOXICAM 20MG CX 10 CAP</t>
        </is>
      </c>
      <c r="E100" s="13" t="n">
        <v>1</v>
      </c>
      <c r="F100" s="13" t="n">
        <v>4</v>
      </c>
      <c r="G100" s="13" t="n">
        <v>4</v>
      </c>
      <c r="H100" s="8" t="n">
        <v>4.4</v>
      </c>
      <c r="I100" s="8">
        <f>G100*H100</f>
        <v/>
      </c>
      <c r="J100" s="8">
        <f>H100/E100</f>
        <v/>
      </c>
      <c r="K100" s="8" t="n">
        <v>3.52</v>
      </c>
      <c r="L100" s="8" t="n">
        <v>3.52</v>
      </c>
      <c r="M100" s="8" t="n">
        <v>3.52</v>
      </c>
      <c r="N100" s="14">
        <f>J100/M100-1</f>
        <v/>
      </c>
      <c r="O100" s="14">
        <f>J100/K100-1</f>
        <v/>
      </c>
      <c r="P100" s="7" t="inlineStr">
        <is>
          <t>ACIMA +25.0%</t>
        </is>
      </c>
      <c r="Q100" s="7" t="inlineStr"/>
    </row>
    <row r="101">
      <c r="A101" s="7" t="n">
        <v>532361</v>
      </c>
      <c r="B101" s="7" t="inlineStr">
        <is>
          <t>1045</t>
        </is>
      </c>
      <c r="C101" s="12" t="inlineStr">
        <is>
          <t>7896544900011</t>
        </is>
      </c>
      <c r="D101" s="7" t="inlineStr">
        <is>
          <t>FITA CIRUGICA MICRO 1,2X4,5 MISSNER</t>
        </is>
      </c>
      <c r="E101" s="13" t="n">
        <v>1</v>
      </c>
      <c r="F101" s="13" t="n">
        <v>41</v>
      </c>
      <c r="G101" s="13" t="n">
        <v>41</v>
      </c>
      <c r="H101" s="8" t="n">
        <v>2.23</v>
      </c>
      <c r="I101" s="8">
        <f>G101*H101</f>
        <v/>
      </c>
      <c r="J101" s="8">
        <f>H101/E101</f>
        <v/>
      </c>
      <c r="K101" s="8" t="n">
        <v>2.23</v>
      </c>
      <c r="L101" s="8" t="n">
        <v>2.23</v>
      </c>
      <c r="M101" s="8" t="n">
        <v>2.23</v>
      </c>
      <c r="N101" s="14">
        <f>J101/M101-1</f>
        <v/>
      </c>
      <c r="O101" s="14">
        <f>J101/K101-1</f>
        <v/>
      </c>
      <c r="P101" s="7" t="inlineStr">
        <is>
          <t>OK (≤ menor hist.)</t>
        </is>
      </c>
      <c r="Q101" s="7" t="inlineStr"/>
    </row>
    <row r="102">
      <c r="A102" s="7" t="n">
        <v>532401</v>
      </c>
      <c r="B102" s="7" t="inlineStr">
        <is>
          <t>1047</t>
        </is>
      </c>
      <c r="C102" s="12" t="inlineStr">
        <is>
          <t>7896544900097</t>
        </is>
      </c>
      <c r="D102" s="7" t="inlineStr">
        <is>
          <t>FITA CIRURGICA MICROPOROSA MISSNER 2,5CM X 4,5M</t>
        </is>
      </c>
      <c r="E102" s="13" t="n">
        <v>1</v>
      </c>
      <c r="F102" s="13" t="n">
        <v>95</v>
      </c>
      <c r="G102" s="13" t="n">
        <v>95</v>
      </c>
      <c r="H102" s="8" t="n">
        <v>3.14</v>
      </c>
      <c r="I102" s="8">
        <f>G102*H102</f>
        <v/>
      </c>
      <c r="J102" s="8">
        <f>H102/E102</f>
        <v/>
      </c>
      <c r="K102" s="8" t="n">
        <v>3.14</v>
      </c>
      <c r="L102" s="8" t="n">
        <v>3.14</v>
      </c>
      <c r="M102" s="8" t="n">
        <v>3.14</v>
      </c>
      <c r="N102" s="14">
        <f>J102/M102-1</f>
        <v/>
      </c>
      <c r="O102" s="14">
        <f>J102/K102-1</f>
        <v/>
      </c>
      <c r="P102" s="7" t="inlineStr">
        <is>
          <t>OK (≤ menor hist.)</t>
        </is>
      </c>
      <c r="Q102" s="7" t="inlineStr"/>
    </row>
    <row r="103">
      <c r="A103" s="7" t="n">
        <v>606871</v>
      </c>
      <c r="B103" s="7" t="inlineStr">
        <is>
          <t>7377</t>
        </is>
      </c>
      <c r="C103" s="12" t="inlineStr">
        <is>
          <t>7899838831992</t>
        </is>
      </c>
      <c r="D103" s="7" t="inlineStr">
        <is>
          <t>FITA DE KINESIO 5CM X 5M BEGE</t>
        </is>
      </c>
      <c r="E103" s="13" t="n">
        <v>1</v>
      </c>
      <c r="F103" s="13" t="n">
        <v>1</v>
      </c>
      <c r="G103" s="13" t="n">
        <v>1</v>
      </c>
      <c r="H103" s="8" t="n">
        <v>20.48</v>
      </c>
      <c r="I103" s="8">
        <f>G103*H103</f>
        <v/>
      </c>
      <c r="J103" s="8">
        <f>H103/E103</f>
        <v/>
      </c>
      <c r="K103" s="8" t="n">
        <v>20.48</v>
      </c>
      <c r="L103" s="8" t="n">
        <v>20.48</v>
      </c>
      <c r="M103" s="8" t="n">
        <v>20.48</v>
      </c>
      <c r="N103" s="14">
        <f>J103/M103-1</f>
        <v/>
      </c>
      <c r="O103" s="14">
        <f>J103/K103-1</f>
        <v/>
      </c>
      <c r="P103" s="7" t="inlineStr">
        <is>
          <t>OK (≤ menor hist.)</t>
        </is>
      </c>
      <c r="Q103" s="7" t="inlineStr"/>
    </row>
    <row r="104">
      <c r="A104" s="7" t="n">
        <v>591031</v>
      </c>
      <c r="B104" s="7" t="inlineStr">
        <is>
          <t>7428</t>
        </is>
      </c>
      <c r="C104" s="12" t="inlineStr">
        <is>
          <t>7899838832005</t>
        </is>
      </c>
      <c r="D104" s="7" t="inlineStr">
        <is>
          <t>FITA KINESIO ROLO 5CMX5M AZUL HC042</t>
        </is>
      </c>
      <c r="E104" s="13" t="n">
        <v>1</v>
      </c>
      <c r="F104" s="13" t="n">
        <v>2</v>
      </c>
      <c r="G104" s="13" t="n">
        <v>2</v>
      </c>
      <c r="H104" s="8" t="n">
        <v>20.43</v>
      </c>
      <c r="I104" s="8">
        <f>G104*H104</f>
        <v/>
      </c>
      <c r="J104" s="8">
        <f>H104/E104</f>
        <v/>
      </c>
      <c r="K104" s="8" t="n">
        <v>20.43</v>
      </c>
      <c r="L104" s="8" t="n">
        <v>19.65</v>
      </c>
      <c r="M104" s="8" t="n">
        <v>19.65</v>
      </c>
      <c r="N104" s="14">
        <f>J104/M104-1</f>
        <v/>
      </c>
      <c r="O104" s="14">
        <f>J104/K104-1</f>
        <v/>
      </c>
      <c r="P104" s="7" t="inlineStr">
        <is>
          <t>OK (≤ últ. compra)</t>
        </is>
      </c>
      <c r="Q104" s="7" t="inlineStr"/>
    </row>
    <row r="105">
      <c r="A105" s="7" t="n">
        <v>594901</v>
      </c>
      <c r="B105" s="7" t="inlineStr">
        <is>
          <t>7307</t>
        </is>
      </c>
      <c r="C105" s="12" t="inlineStr">
        <is>
          <t>7899838831985</t>
        </is>
      </c>
      <c r="D105" s="7" t="inlineStr">
        <is>
          <t>FITA KINESIO ROLO 5CMX5M PRETA HC040</t>
        </is>
      </c>
      <c r="E105" s="13" t="n">
        <v>1</v>
      </c>
      <c r="F105" s="13" t="n">
        <v>1</v>
      </c>
      <c r="G105" s="13" t="n">
        <v>1</v>
      </c>
      <c r="H105" s="8" t="n">
        <v>20.48</v>
      </c>
      <c r="I105" s="8">
        <f>G105*H105</f>
        <v/>
      </c>
      <c r="J105" s="8">
        <f>H105/E105</f>
        <v/>
      </c>
      <c r="K105" s="8" t="n">
        <v>23.3</v>
      </c>
      <c r="L105" s="8" t="n">
        <v>23.3</v>
      </c>
      <c r="M105" s="8" t="n">
        <v>23.3</v>
      </c>
      <c r="N105" s="14">
        <f>J105/M105-1</f>
        <v/>
      </c>
      <c r="O105" s="14">
        <f>J105/K105-1</f>
        <v/>
      </c>
      <c r="P105" s="7" t="inlineStr">
        <is>
          <t>OK (≤ menor hist.)</t>
        </is>
      </c>
      <c r="Q105" s="7" t="inlineStr"/>
    </row>
    <row r="106">
      <c r="A106" s="7" t="n">
        <v>547461</v>
      </c>
      <c r="B106" s="7" t="inlineStr">
        <is>
          <t>1046</t>
        </is>
      </c>
      <c r="C106" s="12" t="inlineStr">
        <is>
          <t>7896544900103</t>
        </is>
      </c>
      <c r="D106" s="7" t="inlineStr">
        <is>
          <t>FITA MICROPORO BRANCO 2,5CM X 0,90MTS</t>
        </is>
      </c>
      <c r="E106" s="13" t="n">
        <v>1</v>
      </c>
      <c r="F106" s="13" t="n">
        <v>28</v>
      </c>
      <c r="G106" s="13" t="n">
        <v>28</v>
      </c>
      <c r="H106" s="8" t="n">
        <v>1.86</v>
      </c>
      <c r="I106" s="8">
        <f>G106*H106</f>
        <v/>
      </c>
      <c r="J106" s="8">
        <f>H106/E106</f>
        <v/>
      </c>
      <c r="K106" s="8" t="n">
        <v>1.86</v>
      </c>
      <c r="L106" s="8" t="n">
        <v>1.86</v>
      </c>
      <c r="M106" s="8" t="n">
        <v>1.86</v>
      </c>
      <c r="N106" s="14">
        <f>J106/M106-1</f>
        <v/>
      </c>
      <c r="O106" s="14">
        <f>J106/K106-1</f>
        <v/>
      </c>
      <c r="P106" s="7" t="inlineStr">
        <is>
          <t>OK (≤ menor hist.)</t>
        </is>
      </c>
      <c r="Q106" s="7" t="inlineStr"/>
    </row>
    <row r="107">
      <c r="A107" s="7" t="n">
        <v>541021</v>
      </c>
      <c r="B107" s="7" t="inlineStr">
        <is>
          <t>1048</t>
        </is>
      </c>
      <c r="C107" s="12" t="inlineStr">
        <is>
          <t>7896544900158</t>
        </is>
      </c>
      <c r="D107" s="7" t="inlineStr">
        <is>
          <t>FITA MICROPOROSA BRANCO 10 X 4,5</t>
        </is>
      </c>
      <c r="E107" s="13" t="n">
        <v>1</v>
      </c>
      <c r="F107" s="13" t="n">
        <v>4</v>
      </c>
      <c r="G107" s="13" t="n">
        <v>4</v>
      </c>
      <c r="H107" s="8" t="n">
        <v>8.1</v>
      </c>
      <c r="I107" s="8">
        <f>G107*H107</f>
        <v/>
      </c>
      <c r="J107" s="8">
        <f>H107/E107</f>
        <v/>
      </c>
      <c r="K107" s="8" t="n">
        <v>8.1</v>
      </c>
      <c r="L107" s="8" t="n">
        <v>8.1</v>
      </c>
      <c r="M107" s="8" t="n">
        <v>8.1</v>
      </c>
      <c r="N107" s="14">
        <f>J107/M107-1</f>
        <v/>
      </c>
      <c r="O107" s="14">
        <f>J107/K107-1</f>
        <v/>
      </c>
      <c r="P107" s="7" t="inlineStr">
        <is>
          <t>OK (≤ menor hist.)</t>
        </is>
      </c>
      <c r="Q107" s="7" t="inlineStr"/>
    </row>
    <row r="108">
      <c r="A108" s="7" t="n">
        <v>541381</v>
      </c>
      <c r="B108" s="7" t="inlineStr">
        <is>
          <t>942</t>
        </is>
      </c>
      <c r="C108" s="12" t="inlineStr">
        <is>
          <t>7896544900165</t>
        </is>
      </c>
      <c r="D108" s="7" t="inlineStr">
        <is>
          <t>FITA MICROPOROSA BRANCO 5,0CM X 4,5MTS UND QTD. 4.00 UN</t>
        </is>
      </c>
      <c r="E108" s="13" t="n">
        <v>1</v>
      </c>
      <c r="F108" s="13" t="n">
        <v>33</v>
      </c>
      <c r="G108" s="13" t="n">
        <v>33</v>
      </c>
      <c r="H108" s="8" t="n">
        <v>5.02</v>
      </c>
      <c r="I108" s="8">
        <f>G108*H108</f>
        <v/>
      </c>
      <c r="J108" s="8">
        <f>H108/E108</f>
        <v/>
      </c>
      <c r="K108" s="8" t="n">
        <v>5.02</v>
      </c>
      <c r="L108" s="8" t="n">
        <v>5.02</v>
      </c>
      <c r="M108" s="8" t="n">
        <v>5.02</v>
      </c>
      <c r="N108" s="14">
        <f>J108/M108-1</f>
        <v/>
      </c>
      <c r="O108" s="14">
        <f>J108/K108-1</f>
        <v/>
      </c>
      <c r="P108" s="7" t="inlineStr">
        <is>
          <t>OK (≤ menor hist.)</t>
        </is>
      </c>
      <c r="Q108" s="7" t="inlineStr"/>
    </row>
    <row r="109">
      <c r="A109" s="7" t="n">
        <v>606861</v>
      </c>
      <c r="B109" s="7" t="inlineStr">
        <is>
          <t>4781</t>
        </is>
      </c>
      <c r="C109" s="12" t="inlineStr">
        <is>
          <t>7894164005239</t>
        </is>
      </c>
      <c r="D109" s="7" t="inlineStr">
        <is>
          <t>FLEXENEMA 130ML (ARL)</t>
        </is>
      </c>
      <c r="E109" s="13" t="n">
        <v>1</v>
      </c>
      <c r="F109" s="13" t="n">
        <v>3</v>
      </c>
      <c r="G109" s="13" t="n">
        <v>3</v>
      </c>
      <c r="H109" s="8" t="n">
        <v>14.17</v>
      </c>
      <c r="I109" s="8">
        <f>G109*H109</f>
        <v/>
      </c>
      <c r="J109" s="8">
        <f>H109/E109</f>
        <v/>
      </c>
      <c r="K109" s="8" t="n">
        <v>13.49</v>
      </c>
      <c r="L109" s="8" t="n">
        <v>13.49</v>
      </c>
      <c r="M109" s="8" t="n">
        <v>13.49</v>
      </c>
      <c r="N109" s="14">
        <f>J109/M109-1</f>
        <v/>
      </c>
      <c r="O109" s="14">
        <f>J109/K109-1</f>
        <v/>
      </c>
      <c r="P109" s="7" t="inlineStr">
        <is>
          <t>ACIMA +5.0%</t>
        </is>
      </c>
      <c r="Q109" s="7" t="inlineStr"/>
    </row>
    <row r="110">
      <c r="A110" s="7" t="n">
        <v>550941</v>
      </c>
      <c r="B110" s="7" t="inlineStr">
        <is>
          <t>2233</t>
        </is>
      </c>
      <c r="C110" s="12" t="inlineStr">
        <is>
          <t>7894488000101</t>
        </is>
      </c>
      <c r="D110" s="7" t="inlineStr">
        <is>
          <t>FLOCONETES SEGUROS E ABSORVENTES 75UN</t>
        </is>
      </c>
      <c r="E110" s="13" t="n">
        <v>1</v>
      </c>
      <c r="F110" s="13" t="n">
        <v>2</v>
      </c>
      <c r="G110" s="13" t="n">
        <v>2</v>
      </c>
      <c r="H110" s="8" t="n">
        <v>1.35</v>
      </c>
      <c r="I110" s="8">
        <f>G110*H110</f>
        <v/>
      </c>
      <c r="J110" s="8">
        <f>H110/E110</f>
        <v/>
      </c>
      <c r="K110" s="8" t="n">
        <v>1.35</v>
      </c>
      <c r="L110" s="8" t="n">
        <v>1.35</v>
      </c>
      <c r="M110" s="8" t="n">
        <v>1.35</v>
      </c>
      <c r="N110" s="14">
        <f>J110/M110-1</f>
        <v/>
      </c>
      <c r="O110" s="14">
        <f>J110/K110-1</f>
        <v/>
      </c>
      <c r="P110" s="7" t="inlineStr">
        <is>
          <t>OK (≤ menor hist.)</t>
        </is>
      </c>
      <c r="Q110" s="7" t="inlineStr"/>
    </row>
    <row r="111">
      <c r="A111" s="7" t="n">
        <v>592591</v>
      </c>
      <c r="B111" s="7" t="inlineStr">
        <is>
          <t>1982</t>
        </is>
      </c>
      <c r="C111" s="12" t="inlineStr">
        <is>
          <t>7898556850049</t>
        </is>
      </c>
      <c r="D111" s="7" t="inlineStr">
        <is>
          <t>GEL INTIMO LUBRIF MENTA 50G RILEX</t>
        </is>
      </c>
      <c r="E111" s="13" t="n">
        <v>1</v>
      </c>
      <c r="F111" s="13" t="n">
        <v>2</v>
      </c>
      <c r="G111" s="13" t="n">
        <v>2</v>
      </c>
      <c r="H111" s="8" t="n">
        <v>7.05</v>
      </c>
      <c r="I111" s="8">
        <f>G111*H111</f>
        <v/>
      </c>
      <c r="J111" s="8">
        <f>H111/E111</f>
        <v/>
      </c>
      <c r="K111" s="8" t="n">
        <v>6.25</v>
      </c>
      <c r="L111" s="8" t="n">
        <v>6.25</v>
      </c>
      <c r="M111" s="8" t="n">
        <v>6.25</v>
      </c>
      <c r="N111" s="14">
        <f>J111/M111-1</f>
        <v/>
      </c>
      <c r="O111" s="14">
        <f>J111/K111-1</f>
        <v/>
      </c>
      <c r="P111" s="7" t="inlineStr">
        <is>
          <t>ACIMA +12.8%</t>
        </is>
      </c>
      <c r="Q111" s="7" t="inlineStr"/>
    </row>
    <row r="112">
      <c r="A112" s="7" t="n">
        <v>557181</v>
      </c>
      <c r="B112" s="7" t="inlineStr">
        <is>
          <t>5498</t>
        </is>
      </c>
      <c r="C112" s="12" t="inlineStr">
        <is>
          <t>7898556850506</t>
        </is>
      </c>
      <c r="D112" s="7" t="inlineStr">
        <is>
          <t>GEL INTIMO LUBRIF. MORANGO 100G TOY RILE</t>
        </is>
      </c>
      <c r="E112" s="13" t="n">
        <v>1</v>
      </c>
      <c r="F112" s="13" t="n">
        <v>2</v>
      </c>
      <c r="G112" s="13" t="n">
        <v>2</v>
      </c>
      <c r="H112" s="8" t="n">
        <v>15.36</v>
      </c>
      <c r="I112" s="8">
        <f>G112*H112</f>
        <v/>
      </c>
      <c r="J112" s="8">
        <f>H112/E112</f>
        <v/>
      </c>
      <c r="K112" s="8" t="n">
        <v>13.54</v>
      </c>
      <c r="L112" s="8" t="n">
        <v>13.54</v>
      </c>
      <c r="M112" s="8" t="n">
        <v>13.54</v>
      </c>
      <c r="N112" s="14">
        <f>J112/M112-1</f>
        <v/>
      </c>
      <c r="O112" s="14">
        <f>J112/K112-1</f>
        <v/>
      </c>
      <c r="P112" s="7" t="inlineStr">
        <is>
          <t>ACIMA +13.4%</t>
        </is>
      </c>
      <c r="Q112" s="7" t="inlineStr"/>
    </row>
    <row r="113">
      <c r="A113" s="7" t="n">
        <v>630481</v>
      </c>
      <c r="B113" s="7" t="inlineStr">
        <is>
          <t>9931</t>
        </is>
      </c>
      <c r="C113" s="12" t="inlineStr">
        <is>
          <t>7898556851084</t>
        </is>
      </c>
      <c r="D113" s="7" t="inlineStr">
        <is>
          <t>GEL INTIMO LUBRIF.TRADICIONAL 200G RILEX</t>
        </is>
      </c>
      <c r="E113" s="13" t="n">
        <v>1</v>
      </c>
      <c r="F113" s="13" t="n">
        <v>1</v>
      </c>
      <c r="G113" s="13" t="n">
        <v>1</v>
      </c>
      <c r="H113" s="8" t="n">
        <v>23.26</v>
      </c>
      <c r="I113" s="8">
        <f>G113*H113</f>
        <v/>
      </c>
      <c r="J113" s="8">
        <f>H113/E113</f>
        <v/>
      </c>
      <c r="K113" s="8" t="n">
        <v>24.89</v>
      </c>
      <c r="L113" s="8" t="n">
        <v>24.89</v>
      </c>
      <c r="M113" s="8" t="n">
        <v>24.89</v>
      </c>
      <c r="N113" s="14">
        <f>J113/M113-1</f>
        <v/>
      </c>
      <c r="O113" s="14">
        <f>J113/K113-1</f>
        <v/>
      </c>
      <c r="P113" s="7" t="inlineStr">
        <is>
          <t>OK (≤ menor hist.)</t>
        </is>
      </c>
      <c r="Q113" s="7" t="inlineStr"/>
    </row>
    <row r="114">
      <c r="A114" s="7" t="n">
        <v>584681</v>
      </c>
      <c r="B114" s="7" t="inlineStr">
        <is>
          <t>1983</t>
        </is>
      </c>
      <c r="C114" s="12" t="inlineStr">
        <is>
          <t>7898556850025</t>
        </is>
      </c>
      <c r="D114" s="7" t="inlineStr">
        <is>
          <t>GEL LUBRIFICANTE RILEX MORANGO 50G</t>
        </is>
      </c>
      <c r="E114" s="13" t="n">
        <v>1</v>
      </c>
      <c r="F114" s="13" t="n">
        <v>2</v>
      </c>
      <c r="G114" s="13" t="n">
        <v>2</v>
      </c>
      <c r="H114" s="8" t="n">
        <v>7.07</v>
      </c>
      <c r="I114" s="8">
        <f>G114*H114</f>
        <v/>
      </c>
      <c r="J114" s="8">
        <f>H114/E114</f>
        <v/>
      </c>
      <c r="K114" s="8" t="n">
        <v>6.25</v>
      </c>
      <c r="L114" s="8" t="n">
        <v>6.25</v>
      </c>
      <c r="M114" s="8" t="n">
        <v>6.25</v>
      </c>
      <c r="N114" s="14">
        <f>J114/M114-1</f>
        <v/>
      </c>
      <c r="O114" s="14">
        <f>J114/K114-1</f>
        <v/>
      </c>
      <c r="P114" s="7" t="inlineStr">
        <is>
          <t>ACIMA +13.1%</t>
        </is>
      </c>
      <c r="Q114" s="7" t="inlineStr"/>
    </row>
    <row r="115">
      <c r="A115" s="7" t="n">
        <v>584661</v>
      </c>
      <c r="B115" s="7" t="inlineStr">
        <is>
          <t>1951</t>
        </is>
      </c>
      <c r="C115" s="12" t="inlineStr">
        <is>
          <t>7898903991951</t>
        </is>
      </c>
      <c r="D115" s="7" t="inlineStr">
        <is>
          <t>GEL LUBRIFICANTE RILEX TRADIOCIONAL 50G</t>
        </is>
      </c>
      <c r="E115" s="13" t="n">
        <v>1</v>
      </c>
      <c r="F115" s="13" t="n">
        <v>1</v>
      </c>
      <c r="G115" s="13" t="n">
        <v>1</v>
      </c>
      <c r="H115" s="8" t="n">
        <v>6.64</v>
      </c>
      <c r="I115" s="8">
        <f>G115*H115</f>
        <v/>
      </c>
      <c r="J115" s="8">
        <f>H115/E115</f>
        <v/>
      </c>
      <c r="K115" s="8" t="n">
        <v>6.57</v>
      </c>
      <c r="L115" s="8" t="n">
        <v>6.57</v>
      </c>
      <c r="M115" s="8" t="n">
        <v>6.57</v>
      </c>
      <c r="N115" s="14">
        <f>J115/M115-1</f>
        <v/>
      </c>
      <c r="O115" s="14">
        <f>J115/K115-1</f>
        <v/>
      </c>
      <c r="P115" s="7" t="inlineStr">
        <is>
          <t>ACIMA +1.1%</t>
        </is>
      </c>
      <c r="Q115" s="7" t="inlineStr"/>
    </row>
    <row r="116">
      <c r="A116" s="7" t="n">
        <v>691301</v>
      </c>
      <c r="B116" s="7" t="inlineStr">
        <is>
          <t>10354</t>
        </is>
      </c>
      <c r="C116" s="12" t="inlineStr">
        <is>
          <t>7898741951353</t>
        </is>
      </c>
      <c r="D116" s="7" t="inlineStr">
        <is>
          <t>GEL MASSAGEADOR BLUE ICE 240G</t>
        </is>
      </c>
      <c r="E116" s="13" t="n">
        <v>1</v>
      </c>
      <c r="F116" s="13" t="n">
        <v>1</v>
      </c>
      <c r="G116" s="13" t="n">
        <v>1</v>
      </c>
      <c r="H116" s="8" t="n">
        <v>6.15</v>
      </c>
      <c r="I116" s="8">
        <f>G116*H116</f>
        <v/>
      </c>
      <c r="J116" s="8">
        <f>H116/E116</f>
        <v/>
      </c>
      <c r="K116" s="8" t="n">
        <v>6.15</v>
      </c>
      <c r="L116" s="8" t="n">
        <v>6.15</v>
      </c>
      <c r="M116" s="8" t="n">
        <v>6.150000000000001</v>
      </c>
      <c r="N116" s="14">
        <f>J116/M116-1</f>
        <v/>
      </c>
      <c r="O116" s="14">
        <f>J116/K116-1</f>
        <v/>
      </c>
      <c r="P116" s="7" t="inlineStr">
        <is>
          <t>OK (≤ menor hist.)</t>
        </is>
      </c>
      <c r="Q116" s="7" t="inlineStr"/>
    </row>
    <row r="117">
      <c r="A117" s="7" t="n">
        <v>691801</v>
      </c>
      <c r="B117" s="7" t="inlineStr">
        <is>
          <t>7193</t>
        </is>
      </c>
      <c r="C117" s="12" t="inlineStr">
        <is>
          <t>7898936049612</t>
        </is>
      </c>
      <c r="D117" s="7" t="inlineStr">
        <is>
          <t>GEL MASSAGEM 17 ERVAS 250G POTE</t>
        </is>
      </c>
      <c r="E117" s="13" t="n">
        <v>1</v>
      </c>
      <c r="F117" s="13" t="n">
        <v>1</v>
      </c>
      <c r="G117" s="13" t="n">
        <v>1</v>
      </c>
      <c r="H117" s="8" t="n">
        <v>4.19</v>
      </c>
      <c r="I117" s="8">
        <f>G117*H117</f>
        <v/>
      </c>
      <c r="J117" s="8">
        <f>H117/E117</f>
        <v/>
      </c>
      <c r="K117" s="8" t="n">
        <v>4.19</v>
      </c>
      <c r="L117" s="8" t="n">
        <v>4.19</v>
      </c>
      <c r="M117" s="8" t="n">
        <v>4.19</v>
      </c>
      <c r="N117" s="14">
        <f>J117/M117-1</f>
        <v/>
      </c>
      <c r="O117" s="14">
        <f>J117/K117-1</f>
        <v/>
      </c>
      <c r="P117" s="7" t="inlineStr">
        <is>
          <t>OK (≤ menor hist.)</t>
        </is>
      </c>
      <c r="Q117" s="7" t="inlineStr"/>
    </row>
    <row r="118">
      <c r="A118" s="7" t="n">
        <v>691601</v>
      </c>
      <c r="B118" s="7" t="inlineStr">
        <is>
          <t>9398</t>
        </is>
      </c>
      <c r="C118" s="12" t="inlineStr">
        <is>
          <t>7898936049704</t>
        </is>
      </c>
      <c r="D118" s="7" t="inlineStr">
        <is>
          <t>GEL MASSAGEM ARNICA E COPAIBA 250G POTE</t>
        </is>
      </c>
      <c r="E118" s="13" t="n">
        <v>1</v>
      </c>
      <c r="F118" s="13" t="n">
        <v>10</v>
      </c>
      <c r="G118" s="13" t="n">
        <v>10</v>
      </c>
      <c r="H118" s="8" t="n">
        <v>3.67</v>
      </c>
      <c r="I118" s="8">
        <f>G118*H118</f>
        <v/>
      </c>
      <c r="J118" s="8">
        <f>H118/E118</f>
        <v/>
      </c>
      <c r="K118" s="8" t="n">
        <v>3.67</v>
      </c>
      <c r="L118" s="8" t="n">
        <v>3.67</v>
      </c>
      <c r="M118" s="8" t="n">
        <v>3.67</v>
      </c>
      <c r="N118" s="14">
        <f>J118/M118-1</f>
        <v/>
      </c>
      <c r="O118" s="14">
        <f>J118/K118-1</f>
        <v/>
      </c>
      <c r="P118" s="7" t="inlineStr">
        <is>
          <t>OK (≤ menor hist.)</t>
        </is>
      </c>
      <c r="Q118" s="7" t="inlineStr"/>
    </row>
    <row r="119">
      <c r="A119" s="7" t="n">
        <v>627931</v>
      </c>
      <c r="B119" s="7" t="inlineStr">
        <is>
          <t>8354</t>
        </is>
      </c>
      <c r="C119" s="12" t="inlineStr">
        <is>
          <t>7898741950288</t>
        </is>
      </c>
      <c r="D119" s="7" t="inlineStr">
        <is>
          <t>GEL MASSAGEM COPAIBA 190G FRASCO</t>
        </is>
      </c>
      <c r="E119" s="13" t="n">
        <v>1</v>
      </c>
      <c r="F119" s="13" t="n">
        <v>2</v>
      </c>
      <c r="G119" s="13" t="n">
        <v>2</v>
      </c>
      <c r="H119" s="8" t="n">
        <v>4.36</v>
      </c>
      <c r="I119" s="8">
        <f>G119*H119</f>
        <v/>
      </c>
      <c r="J119" s="8">
        <f>H119/E119</f>
        <v/>
      </c>
      <c r="K119" s="8" t="n">
        <v>4.36</v>
      </c>
      <c r="L119" s="8" t="n">
        <v>4.36</v>
      </c>
      <c r="M119" s="8" t="n">
        <v>4.36</v>
      </c>
      <c r="N119" s="14">
        <f>J119/M119-1</f>
        <v/>
      </c>
      <c r="O119" s="14">
        <f>J119/K119-1</f>
        <v/>
      </c>
      <c r="P119" s="7" t="inlineStr">
        <is>
          <t>OK (≤ menor hist.)</t>
        </is>
      </c>
      <c r="Q119" s="7" t="inlineStr"/>
    </row>
    <row r="120">
      <c r="A120" s="7" t="n">
        <v>627901</v>
      </c>
      <c r="B120" s="7" t="inlineStr">
        <is>
          <t>7190</t>
        </is>
      </c>
      <c r="C120" s="12" t="inlineStr">
        <is>
          <t>7898936049506</t>
        </is>
      </c>
      <c r="D120" s="7" t="inlineStr">
        <is>
          <t>GEL MASSAGEM EXTRA FORTE ANDIROBA 200G</t>
        </is>
      </c>
      <c r="E120" s="13" t="n">
        <v>1</v>
      </c>
      <c r="F120" s="13" t="n">
        <v>2</v>
      </c>
      <c r="G120" s="13" t="n">
        <v>2</v>
      </c>
      <c r="H120" s="8" t="n">
        <v>4.39</v>
      </c>
      <c r="I120" s="8">
        <f>G120*H120</f>
        <v/>
      </c>
      <c r="J120" s="8">
        <f>H120/E120</f>
        <v/>
      </c>
      <c r="K120" s="8" t="n">
        <v>4.41</v>
      </c>
      <c r="L120" s="8" t="n">
        <v>4.41</v>
      </c>
      <c r="M120" s="8" t="n">
        <v>4.41</v>
      </c>
      <c r="N120" s="14">
        <f>J120/M120-1</f>
        <v/>
      </c>
      <c r="O120" s="14">
        <f>J120/K120-1</f>
        <v/>
      </c>
      <c r="P120" s="7" t="inlineStr">
        <is>
          <t>OK (≤ menor hist.)</t>
        </is>
      </c>
      <c r="Q120" s="7" t="inlineStr"/>
    </row>
    <row r="121">
      <c r="A121" s="7" t="n">
        <v>627921</v>
      </c>
      <c r="B121" s="7" t="inlineStr">
        <is>
          <t>7192</t>
        </is>
      </c>
      <c r="C121" s="12" t="inlineStr">
        <is>
          <t>7898936049278</t>
        </is>
      </c>
      <c r="D121" s="7" t="inlineStr">
        <is>
          <t>GEL MASSAGEM TUBARAO BRANCO 250G POTE</t>
        </is>
      </c>
      <c r="E121" s="13" t="n">
        <v>1</v>
      </c>
      <c r="F121" s="13" t="n">
        <v>5</v>
      </c>
      <c r="G121" s="13" t="n">
        <v>5</v>
      </c>
      <c r="H121" s="8" t="n">
        <v>3.7</v>
      </c>
      <c r="I121" s="8">
        <f>G121*H121</f>
        <v/>
      </c>
      <c r="J121" s="8">
        <f>H121/E121</f>
        <v/>
      </c>
      <c r="K121" s="8" t="n">
        <v>3.7</v>
      </c>
      <c r="L121" s="8" t="n">
        <v>3.7</v>
      </c>
      <c r="M121" s="8" t="n">
        <v>3.700000000000001</v>
      </c>
      <c r="N121" s="14">
        <f>J121/M121-1</f>
        <v/>
      </c>
      <c r="O121" s="14">
        <f>J121/K121-1</f>
        <v/>
      </c>
      <c r="P121" s="7" t="inlineStr">
        <is>
          <t>OK (≤ menor hist.)</t>
        </is>
      </c>
      <c r="Q121" s="7" t="inlineStr"/>
    </row>
    <row r="122">
      <c r="A122" s="7" t="n">
        <v>324</v>
      </c>
      <c r="B122" s="7" t="inlineStr">
        <is>
          <t>8419</t>
        </is>
      </c>
      <c r="C122" s="12" t="inlineStr">
        <is>
          <t>7896920305225</t>
        </is>
      </c>
      <c r="D122" s="7" t="inlineStr">
        <is>
          <t>GEROFOR TESTO C/60 CAPS</t>
        </is>
      </c>
      <c r="E122" s="13" t="n">
        <v>1</v>
      </c>
      <c r="F122" s="13" t="n">
        <v>1</v>
      </c>
      <c r="G122" s="13" t="n">
        <v>1</v>
      </c>
      <c r="H122" s="8" t="n">
        <v>42.612902</v>
      </c>
      <c r="I122" s="8">
        <f>G122*H122</f>
        <v/>
      </c>
      <c r="J122" s="8">
        <f>H122/E122</f>
        <v/>
      </c>
      <c r="K122" s="8" t="n">
        <v>37.48</v>
      </c>
      <c r="L122" s="8" t="n">
        <v>37.48</v>
      </c>
      <c r="M122" s="8" t="n">
        <v>37.48</v>
      </c>
      <c r="N122" s="14">
        <f>J122/M122-1</f>
        <v/>
      </c>
      <c r="O122" s="14">
        <f>J122/K122-1</f>
        <v/>
      </c>
      <c r="P122" s="7" t="inlineStr">
        <is>
          <t>ACIMA +13.7%</t>
        </is>
      </c>
      <c r="Q122" s="7" t="inlineStr"/>
    </row>
    <row r="123">
      <c r="A123" s="7" t="n">
        <v>599261</v>
      </c>
      <c r="B123" s="7" t="inlineStr">
        <is>
          <t>3877</t>
        </is>
      </c>
      <c r="C123" s="12" t="inlineStr">
        <is>
          <t>7899620911840</t>
        </is>
      </c>
      <c r="D123" s="7" t="inlineStr">
        <is>
          <t>GLICENIX (N.S.) 0,91G CX 6 GLICEROL LACTENTE</t>
        </is>
      </c>
      <c r="E123" s="13" t="n">
        <v>1</v>
      </c>
      <c r="F123" s="13" t="n">
        <v>4</v>
      </c>
      <c r="G123" s="13" t="n">
        <v>4</v>
      </c>
      <c r="H123" s="8" t="n">
        <v>5.94</v>
      </c>
      <c r="I123" s="8">
        <f>G123*H123</f>
        <v/>
      </c>
      <c r="J123" s="8">
        <f>H123/E123</f>
        <v/>
      </c>
      <c r="K123" s="8" t="n">
        <v>5.79</v>
      </c>
      <c r="L123" s="8" t="n">
        <v>5.79</v>
      </c>
      <c r="M123" s="8" t="n">
        <v>5.79</v>
      </c>
      <c r="N123" s="14">
        <f>J123/M123-1</f>
        <v/>
      </c>
      <c r="O123" s="14">
        <f>J123/K123-1</f>
        <v/>
      </c>
      <c r="P123" s="7" t="inlineStr">
        <is>
          <t>ACIMA +2.6%</t>
        </is>
      </c>
      <c r="Q123" s="7" t="inlineStr"/>
    </row>
    <row r="124">
      <c r="A124" s="7" t="n">
        <v>532961</v>
      </c>
      <c r="B124" s="7" t="inlineStr">
        <is>
          <t>1253</t>
        </is>
      </c>
      <c r="C124" s="12" t="inlineStr">
        <is>
          <t>7898100243587</t>
        </is>
      </c>
      <c r="D124" s="7" t="inlineStr">
        <is>
          <t>GRIPALCE 400MG+4MG+4MG CARTELA C/10 CP</t>
        </is>
      </c>
      <c r="E124" s="13" t="n">
        <v>20</v>
      </c>
      <c r="F124" s="13" t="n">
        <v>18</v>
      </c>
      <c r="G124" s="13" t="n">
        <v>1</v>
      </c>
      <c r="H124" s="8" t="n">
        <v>44.97</v>
      </c>
      <c r="I124" s="8">
        <f>G124*H124</f>
        <v/>
      </c>
      <c r="J124" s="8">
        <f>H124/E124</f>
        <v/>
      </c>
      <c r="K124" s="8" t="n">
        <v>1.9845</v>
      </c>
      <c r="L124" s="8" t="n">
        <v>1.85</v>
      </c>
      <c r="M124" s="8" t="n">
        <v>1.939666666666667</v>
      </c>
      <c r="N124" s="14">
        <f>J124/M124-1</f>
        <v/>
      </c>
      <c r="O124" s="14">
        <f>J124/K124-1</f>
        <v/>
      </c>
      <c r="P124" s="7" t="inlineStr">
        <is>
          <t>ACIMA +13.3%</t>
        </is>
      </c>
      <c r="Q124" s="7" t="inlineStr">
        <is>
          <t>1 emb = 20 un</t>
        </is>
      </c>
    </row>
    <row r="125">
      <c r="A125" s="7" t="n">
        <v>330261</v>
      </c>
      <c r="B125" s="7" t="inlineStr">
        <is>
          <t>6660</t>
        </is>
      </c>
      <c r="C125" s="12" t="inlineStr">
        <is>
          <t>7898100244430</t>
        </is>
      </c>
      <c r="D125" s="7" t="inlineStr">
        <is>
          <t>GRIPALCE CX 20BL X 5 COMP</t>
        </is>
      </c>
      <c r="E125" s="13" t="n">
        <v>20</v>
      </c>
      <c r="F125" s="13" t="n">
        <v>107</v>
      </c>
      <c r="G125" s="13" t="n">
        <v>6</v>
      </c>
      <c r="H125" s="8" t="n">
        <v>26.99</v>
      </c>
      <c r="I125" s="8">
        <f>G125*H125</f>
        <v/>
      </c>
      <c r="J125" s="8">
        <f>H125/E125</f>
        <v/>
      </c>
      <c r="K125" s="8" t="n">
        <v>1.0425</v>
      </c>
      <c r="L125" s="8" t="n">
        <v>1.0425</v>
      </c>
      <c r="M125" s="8" t="n">
        <v>1.0425</v>
      </c>
      <c r="N125" s="14">
        <f>J125/M125-1</f>
        <v/>
      </c>
      <c r="O125" s="14">
        <f>J125/K125-1</f>
        <v/>
      </c>
      <c r="P125" s="7" t="inlineStr">
        <is>
          <t>ACIMA +29.4%</t>
        </is>
      </c>
      <c r="Q125" s="7" t="inlineStr">
        <is>
          <t>1 emb = 20 un</t>
        </is>
      </c>
    </row>
    <row r="126">
      <c r="A126" s="7" t="n">
        <v>531501</v>
      </c>
      <c r="B126" s="7" t="inlineStr">
        <is>
          <t>5688</t>
        </is>
      </c>
      <c r="C126" s="12" t="inlineStr">
        <is>
          <t>7894164005406</t>
        </is>
      </c>
      <c r="D126" s="7" t="inlineStr">
        <is>
          <t>HIDRALI 500ML UVA ROXA AIRELA</t>
        </is>
      </c>
      <c r="E126" s="13" t="n">
        <v>1</v>
      </c>
      <c r="F126" s="13" t="n">
        <v>2</v>
      </c>
      <c r="G126" s="13" t="n">
        <v>2</v>
      </c>
      <c r="H126" s="8" t="n">
        <v>8.359999999999999</v>
      </c>
      <c r="I126" s="8">
        <f>G126*H126</f>
        <v/>
      </c>
      <c r="J126" s="8">
        <f>H126/E126</f>
        <v/>
      </c>
      <c r="K126" s="8" t="n">
        <v>8.300000000000001</v>
      </c>
      <c r="L126" s="8" t="n">
        <v>7.97</v>
      </c>
      <c r="M126" s="8" t="n">
        <v>8.19</v>
      </c>
      <c r="N126" s="14">
        <f>J126/M126-1</f>
        <v/>
      </c>
      <c r="O126" s="14">
        <f>J126/K126-1</f>
        <v/>
      </c>
      <c r="P126" s="7" t="inlineStr">
        <is>
          <t>ACIMA +0.7%</t>
        </is>
      </c>
      <c r="Q126" s="7" t="inlineStr"/>
    </row>
    <row r="127">
      <c r="A127" s="7" t="n">
        <v>604151</v>
      </c>
      <c r="B127" s="7" t="inlineStr">
        <is>
          <t>7783</t>
        </is>
      </c>
      <c r="C127" s="12" t="inlineStr">
        <is>
          <t>7894164009473</t>
        </is>
      </c>
      <c r="D127" s="7" t="inlineStr">
        <is>
          <t>HIDRALI PO 28,29G  ENVELOPE CX COM 4 (GUARANÁ)</t>
        </is>
      </c>
      <c r="E127" s="13" t="n">
        <v>1</v>
      </c>
      <c r="F127" s="13" t="n">
        <v>9</v>
      </c>
      <c r="G127" s="13" t="n">
        <v>9</v>
      </c>
      <c r="H127" s="8" t="n">
        <v>8.94</v>
      </c>
      <c r="I127" s="8">
        <f>G127*H127</f>
        <v/>
      </c>
      <c r="J127" s="8">
        <f>H127/E127</f>
        <v/>
      </c>
      <c r="K127" s="8" t="n">
        <v>8.94</v>
      </c>
      <c r="L127" s="8" t="n">
        <v>8.890000000000001</v>
      </c>
      <c r="M127" s="8" t="n">
        <v>8.923333333333334</v>
      </c>
      <c r="N127" s="14">
        <f>J127/M127-1</f>
        <v/>
      </c>
      <c r="O127" s="14">
        <f>J127/K127-1</f>
        <v/>
      </c>
      <c r="P127" s="7" t="inlineStr">
        <is>
          <t>OK (≤ últ. compra)</t>
        </is>
      </c>
      <c r="Q127" s="7" t="inlineStr"/>
    </row>
    <row r="128">
      <c r="A128" s="7" t="n">
        <v>602561</v>
      </c>
      <c r="B128" s="7" t="inlineStr">
        <is>
          <t>7708</t>
        </is>
      </c>
      <c r="C128" s="12" t="inlineStr">
        <is>
          <t>7894164009466</t>
        </is>
      </c>
      <c r="D128" s="7" t="inlineStr">
        <is>
          <t>HIDRALI PO 28,29G 4ENV LARANJA SOL</t>
        </is>
      </c>
      <c r="E128" s="13" t="n">
        <v>1</v>
      </c>
      <c r="F128" s="13" t="n">
        <v>8</v>
      </c>
      <c r="G128" s="13" t="n">
        <v>8</v>
      </c>
      <c r="H128" s="8" t="n">
        <v>8.94</v>
      </c>
      <c r="I128" s="8">
        <f>G128*H128</f>
        <v/>
      </c>
      <c r="J128" s="8">
        <f>H128/E128</f>
        <v/>
      </c>
      <c r="K128" s="8" t="n">
        <v>8.6</v>
      </c>
      <c r="L128" s="8" t="n">
        <v>8.6</v>
      </c>
      <c r="M128" s="8" t="n">
        <v>8.6</v>
      </c>
      <c r="N128" s="14">
        <f>J128/M128-1</f>
        <v/>
      </c>
      <c r="O128" s="14">
        <f>J128/K128-1</f>
        <v/>
      </c>
      <c r="P128" s="7" t="inlineStr">
        <is>
          <t>ACIMA +4.0%</t>
        </is>
      </c>
      <c r="Q128" s="7" t="inlineStr"/>
    </row>
    <row r="129">
      <c r="A129" s="7" t="n">
        <v>604091</v>
      </c>
      <c r="B129" s="7" t="inlineStr">
        <is>
          <t>7693</t>
        </is>
      </c>
      <c r="C129" s="12" t="inlineStr">
        <is>
          <t>7894164009510</t>
        </is>
      </c>
      <c r="D129" s="7" t="inlineStr">
        <is>
          <t>HIDRALI PO NATURAL  UND</t>
        </is>
      </c>
      <c r="E129" s="13" t="n">
        <v>1</v>
      </c>
      <c r="F129" s="13" t="n">
        <v>2</v>
      </c>
      <c r="G129" s="13" t="n">
        <v>2</v>
      </c>
      <c r="H129" s="8" t="n">
        <v>8.94</v>
      </c>
      <c r="I129" s="8">
        <f>G129*H129</f>
        <v/>
      </c>
      <c r="J129" s="8">
        <f>H129/E129</f>
        <v/>
      </c>
      <c r="K129" s="8" t="n">
        <v>8.890000000000001</v>
      </c>
      <c r="L129" s="8" t="n">
        <v>8.890000000000001</v>
      </c>
      <c r="M129" s="8" t="n">
        <v>8.890000000000001</v>
      </c>
      <c r="N129" s="14">
        <f>J129/M129-1</f>
        <v/>
      </c>
      <c r="O129" s="14">
        <f>J129/K129-1</f>
        <v/>
      </c>
      <c r="P129" s="7" t="inlineStr">
        <is>
          <t>ACIMA +0.6%</t>
        </is>
      </c>
      <c r="Q129" s="7" t="inlineStr"/>
    </row>
    <row r="130">
      <c r="A130" s="7" t="n">
        <v>558881</v>
      </c>
      <c r="B130" s="7" t="inlineStr">
        <is>
          <t>313</t>
        </is>
      </c>
      <c r="C130" s="12" t="inlineStr">
        <is>
          <t>7898133137358</t>
        </is>
      </c>
      <c r="D130" s="7" t="inlineStr">
        <is>
          <t>HIDRAPLEX PO 27,9G ENVELOPE  FRACIONADO  UVA EN</t>
        </is>
      </c>
      <c r="E130" s="13" t="n">
        <v>1</v>
      </c>
      <c r="F130" s="13" t="n">
        <v>2</v>
      </c>
      <c r="G130" s="13" t="n">
        <v>2</v>
      </c>
      <c r="H130" s="8" t="n">
        <v>11.41</v>
      </c>
      <c r="I130" s="8">
        <f>G130*H130</f>
        <v/>
      </c>
      <c r="J130" s="8">
        <f>H130/E130</f>
        <v/>
      </c>
      <c r="K130" s="8" t="n">
        <v>2.475</v>
      </c>
      <c r="L130" s="8" t="n">
        <v>2.475</v>
      </c>
      <c r="M130" s="8" t="n">
        <v>2.475</v>
      </c>
      <c r="N130" s="14">
        <f>J130/M130-1</f>
        <v/>
      </c>
      <c r="O130" s="14">
        <f>J130/K130-1</f>
        <v/>
      </c>
      <c r="P130" s="7" t="inlineStr">
        <is>
          <t>ACIMA +361.0%</t>
        </is>
      </c>
      <c r="Q130" s="7" t="inlineStr">
        <is>
          <t>conferir emb.</t>
        </is>
      </c>
    </row>
    <row r="131">
      <c r="A131" s="7" t="n">
        <v>531561</v>
      </c>
      <c r="B131" s="7" t="inlineStr">
        <is>
          <t>6167</t>
        </is>
      </c>
      <c r="C131" s="12" t="inlineStr">
        <is>
          <t>7894164006762</t>
        </is>
      </c>
      <c r="D131" s="7" t="inlineStr">
        <is>
          <t>HIDROXIDO ALUMINIO SAB HORTELA 150ML</t>
        </is>
      </c>
      <c r="E131" s="13" t="n">
        <v>1</v>
      </c>
      <c r="F131" s="13" t="n">
        <v>4</v>
      </c>
      <c r="G131" s="13" t="n">
        <v>4</v>
      </c>
      <c r="H131" s="8" t="n">
        <v>7.25</v>
      </c>
      <c r="I131" s="8">
        <f>G131*H131</f>
        <v/>
      </c>
      <c r="J131" s="8">
        <f>H131/E131</f>
        <v/>
      </c>
      <c r="K131" s="8" t="n">
        <v>7.25</v>
      </c>
      <c r="L131" s="8" t="n">
        <v>7.25</v>
      </c>
      <c r="M131" s="8" t="n">
        <v>7.25</v>
      </c>
      <c r="N131" s="14">
        <f>J131/M131-1</f>
        <v/>
      </c>
      <c r="O131" s="14">
        <f>J131/K131-1</f>
        <v/>
      </c>
      <c r="P131" s="7" t="inlineStr">
        <is>
          <t>OK (≤ menor hist.)</t>
        </is>
      </c>
      <c r="Q131" s="7" t="inlineStr"/>
    </row>
    <row r="132">
      <c r="A132" s="7" t="n">
        <v>359601</v>
      </c>
      <c r="B132" s="7" t="inlineStr">
        <is>
          <t>578</t>
        </is>
      </c>
      <c r="C132" s="12" t="inlineStr">
        <is>
          <t>7898122911587</t>
        </is>
      </c>
      <c r="D132" s="7" t="inlineStr">
        <is>
          <t>HYPLEX B SOL INJ IM CX 100 AMP VD AMB X 2 ML</t>
        </is>
      </c>
      <c r="E132" s="13" t="n">
        <v>1</v>
      </c>
      <c r="F132" s="13" t="n">
        <v>1</v>
      </c>
      <c r="G132" s="13" t="n">
        <v>1</v>
      </c>
      <c r="H132" s="8" t="n">
        <v>126.14</v>
      </c>
      <c r="I132" s="8">
        <f>G132*H132</f>
        <v/>
      </c>
      <c r="J132" s="8">
        <f>H132/E132</f>
        <v/>
      </c>
      <c r="K132" s="8" t="n">
        <v>1.4052</v>
      </c>
      <c r="L132" s="8" t="n">
        <v>1.4052</v>
      </c>
      <c r="M132" s="8" t="n">
        <v>1.4052</v>
      </c>
      <c r="N132" s="14">
        <f>J132/M132-1</f>
        <v/>
      </c>
      <c r="O132" s="14">
        <f>J132/K132-1</f>
        <v/>
      </c>
      <c r="P132" s="7" t="inlineStr">
        <is>
          <t>ACIMA +8876.7%</t>
        </is>
      </c>
      <c r="Q132" s="7" t="inlineStr">
        <is>
          <t>conferir emb.</t>
        </is>
      </c>
    </row>
    <row r="133">
      <c r="A133" s="7" t="n">
        <v>627841</v>
      </c>
      <c r="B133" s="7" t="inlineStr">
        <is>
          <t>379</t>
        </is>
      </c>
      <c r="C133" s="12" t="inlineStr">
        <is>
          <t>7897344301527</t>
        </is>
      </c>
      <c r="D133" s="7" t="inlineStr">
        <is>
          <t>ICE GEL 250G POTE</t>
        </is>
      </c>
      <c r="E133" s="13" t="n">
        <v>1</v>
      </c>
      <c r="F133" s="13" t="n">
        <v>5</v>
      </c>
      <c r="G133" s="13" t="n">
        <v>5</v>
      </c>
      <c r="H133" s="8" t="n">
        <v>8.1</v>
      </c>
      <c r="I133" s="8">
        <f>G133*H133</f>
        <v/>
      </c>
      <c r="J133" s="8">
        <f>H133/E133</f>
        <v/>
      </c>
      <c r="K133" s="8" t="n">
        <v>8.1</v>
      </c>
      <c r="L133" s="8" t="n">
        <v>8.1</v>
      </c>
      <c r="M133" s="8" t="n">
        <v>8.1</v>
      </c>
      <c r="N133" s="14">
        <f>J133/M133-1</f>
        <v/>
      </c>
      <c r="O133" s="14">
        <f>J133/K133-1</f>
        <v/>
      </c>
      <c r="P133" s="7" t="inlineStr">
        <is>
          <t>OK (≤ menor hist.)</t>
        </is>
      </c>
      <c r="Q133" s="7" t="inlineStr"/>
    </row>
    <row r="134">
      <c r="A134" s="7" t="n">
        <v>153041</v>
      </c>
      <c r="B134" s="7" t="inlineStr">
        <is>
          <t>3581</t>
        </is>
      </c>
      <c r="C134" s="12" t="inlineStr">
        <is>
          <t>7898060132297</t>
        </is>
      </c>
      <c r="D134" s="7" t="inlineStr">
        <is>
          <t>INTESTIN 2MG CX 12 COMP</t>
        </is>
      </c>
      <c r="E134" s="13" t="n">
        <v>1</v>
      </c>
      <c r="F134" s="13" t="n">
        <v>2</v>
      </c>
      <c r="G134" s="13" t="n">
        <v>2</v>
      </c>
      <c r="H134" s="8" t="n">
        <v>2.08</v>
      </c>
      <c r="I134" s="8">
        <f>G134*H134</f>
        <v/>
      </c>
      <c r="J134" s="8">
        <f>H134/E134</f>
        <v/>
      </c>
      <c r="K134" s="8" t="n">
        <v>2.02</v>
      </c>
      <c r="L134" s="8" t="n">
        <v>2.02</v>
      </c>
      <c r="M134" s="8" t="n">
        <v>2.02</v>
      </c>
      <c r="N134" s="14">
        <f>J134/M134-1</f>
        <v/>
      </c>
      <c r="O134" s="14">
        <f>J134/K134-1</f>
        <v/>
      </c>
      <c r="P134" s="7" t="inlineStr">
        <is>
          <t>ACIMA +3.0%</t>
        </is>
      </c>
      <c r="Q134" s="7" t="inlineStr"/>
    </row>
    <row r="135">
      <c r="A135" s="7" t="n">
        <v>553601</v>
      </c>
      <c r="B135" s="7" t="inlineStr">
        <is>
          <t>3745</t>
        </is>
      </c>
      <c r="C135" s="12" t="inlineStr">
        <is>
          <t>7896523207834</t>
        </is>
      </c>
      <c r="D135" s="7" t="inlineStr">
        <is>
          <t>K-MED GEL BG 25 G</t>
        </is>
      </c>
      <c r="E135" s="13" t="n">
        <v>1</v>
      </c>
      <c r="F135" s="13" t="n">
        <v>13</v>
      </c>
      <c r="G135" s="13" t="n">
        <v>13</v>
      </c>
      <c r="H135" s="8" t="n">
        <v>5.67</v>
      </c>
      <c r="I135" s="8">
        <f>G135*H135</f>
        <v/>
      </c>
      <c r="J135" s="8">
        <f>H135/E135</f>
        <v/>
      </c>
      <c r="K135" s="8" t="n">
        <v>6.59</v>
      </c>
      <c r="L135" s="8" t="n">
        <v>2.99</v>
      </c>
      <c r="M135" s="8" t="n">
        <v>5.19</v>
      </c>
      <c r="N135" s="14">
        <f>J135/M135-1</f>
        <v/>
      </c>
      <c r="O135" s="14">
        <f>J135/K135-1</f>
        <v/>
      </c>
      <c r="P135" s="7" t="inlineStr">
        <is>
          <t>OK (≤ últ. compra)</t>
        </is>
      </c>
      <c r="Q135" s="7" t="inlineStr"/>
    </row>
    <row r="136">
      <c r="A136" s="7" t="n">
        <v>3583</v>
      </c>
      <c r="B136" s="7" t="inlineStr">
        <is>
          <t>8512</t>
        </is>
      </c>
      <c r="C136" s="12" t="inlineStr">
        <is>
          <t>7898953484311</t>
        </is>
      </c>
      <c r="D136" s="7" t="inlineStr">
        <is>
          <t>KIT PARA COLETA DE URINA C/1 TUBO</t>
        </is>
      </c>
      <c r="E136" s="13" t="n">
        <v>1</v>
      </c>
      <c r="F136" s="13" t="n">
        <v>8</v>
      </c>
      <c r="G136" s="13" t="n">
        <v>8</v>
      </c>
      <c r="H136" s="8" t="n">
        <v>1.03</v>
      </c>
      <c r="I136" s="8">
        <f>G136*H136</f>
        <v/>
      </c>
      <c r="J136" s="8">
        <f>H136/E136</f>
        <v/>
      </c>
      <c r="K136" s="8" t="n">
        <v>0.89</v>
      </c>
      <c r="L136" s="8" t="n">
        <v>0.89</v>
      </c>
      <c r="M136" s="8" t="n">
        <v>0.89</v>
      </c>
      <c r="N136" s="14">
        <f>J136/M136-1</f>
        <v/>
      </c>
      <c r="O136" s="14">
        <f>J136/K136-1</f>
        <v/>
      </c>
      <c r="P136" s="7" t="inlineStr">
        <is>
          <t>ACIMA +15.7%</t>
        </is>
      </c>
      <c r="Q136" s="7" t="inlineStr"/>
    </row>
    <row r="137">
      <c r="A137" s="7" t="n">
        <v>3203</v>
      </c>
      <c r="B137" s="7" t="inlineStr">
        <is>
          <t>8602</t>
        </is>
      </c>
      <c r="C137" s="12" t="inlineStr">
        <is>
          <t>7898953484304</t>
        </is>
      </c>
      <c r="D137" s="7" t="inlineStr">
        <is>
          <t>LAVADOR NASAL COM FRASCO 300ML C/2 BICOS</t>
        </is>
      </c>
      <c r="E137" s="13" t="n">
        <v>1</v>
      </c>
      <c r="F137" s="13" t="n">
        <v>2</v>
      </c>
      <c r="G137" s="13" t="n">
        <v>2</v>
      </c>
      <c r="H137" s="8" t="n">
        <v>11.49</v>
      </c>
      <c r="I137" s="8">
        <f>G137*H137</f>
        <v/>
      </c>
      <c r="J137" s="8">
        <f>H137/E137</f>
        <v/>
      </c>
      <c r="K137" s="8" t="n">
        <v>11.49</v>
      </c>
      <c r="L137" s="8" t="n">
        <v>11.49</v>
      </c>
      <c r="M137" s="8" t="n">
        <v>11.49</v>
      </c>
      <c r="N137" s="14">
        <f>J137/M137-1</f>
        <v/>
      </c>
      <c r="O137" s="14">
        <f>J137/K137-1</f>
        <v/>
      </c>
      <c r="P137" s="7" t="inlineStr">
        <is>
          <t>OK (≤ menor hist.)</t>
        </is>
      </c>
      <c r="Q137" s="7" t="inlineStr"/>
    </row>
    <row r="138">
      <c r="A138" s="7" t="n">
        <v>546081</v>
      </c>
      <c r="B138" s="7" t="inlineStr">
        <is>
          <t>2228</t>
        </is>
      </c>
      <c r="C138" s="12" t="inlineStr">
        <is>
          <t>7897947612358</t>
        </is>
      </c>
      <c r="D138" s="7" t="inlineStr">
        <is>
          <t>LAVITAN MEMORIA 60CP</t>
        </is>
      </c>
      <c r="E138" s="13" t="n">
        <v>1</v>
      </c>
      <c r="F138" s="13" t="n">
        <v>7</v>
      </c>
      <c r="G138" s="13" t="n">
        <v>7</v>
      </c>
      <c r="H138" s="8" t="n">
        <v>14.85</v>
      </c>
      <c r="I138" s="8">
        <f>G138*H138</f>
        <v/>
      </c>
      <c r="J138" s="8">
        <f>H138/E138</f>
        <v/>
      </c>
      <c r="K138" s="8" t="n">
        <v>21.27</v>
      </c>
      <c r="L138" s="8" t="n">
        <v>21.27</v>
      </c>
      <c r="M138" s="8" t="n">
        <v>21.27</v>
      </c>
      <c r="N138" s="14">
        <f>J138/M138-1</f>
        <v/>
      </c>
      <c r="O138" s="14">
        <f>J138/K138-1</f>
        <v/>
      </c>
      <c r="P138" s="7" t="inlineStr">
        <is>
          <t>OK (≤ menor hist.)</t>
        </is>
      </c>
      <c r="Q138" s="7" t="inlineStr"/>
    </row>
    <row r="139">
      <c r="A139" s="7" t="n">
        <v>546481</v>
      </c>
      <c r="B139" s="7" t="inlineStr">
        <is>
          <t>6961</t>
        </is>
      </c>
      <c r="C139" s="12" t="inlineStr">
        <is>
          <t>7897947600928</t>
        </is>
      </c>
      <c r="D139" s="7" t="inlineStr">
        <is>
          <t>LAVITAN VIT 50+ 60CP</t>
        </is>
      </c>
      <c r="E139" s="13" t="n">
        <v>1</v>
      </c>
      <c r="F139" s="13" t="n">
        <v>11</v>
      </c>
      <c r="G139" s="13" t="n">
        <v>11</v>
      </c>
      <c r="H139" s="8" t="n">
        <v>14.85</v>
      </c>
      <c r="I139" s="8">
        <f>G139*H139</f>
        <v/>
      </c>
      <c r="J139" s="8">
        <f>H139/E139</f>
        <v/>
      </c>
      <c r="K139" s="8" t="n">
        <v>14.85</v>
      </c>
      <c r="L139" s="8" t="n">
        <v>14.85</v>
      </c>
      <c r="M139" s="8" t="n">
        <v>14.85</v>
      </c>
      <c r="N139" s="14">
        <f>J139/M139-1</f>
        <v/>
      </c>
      <c r="O139" s="14">
        <f>J139/K139-1</f>
        <v/>
      </c>
      <c r="P139" s="7" t="inlineStr">
        <is>
          <t>OK (≤ menor hist.)</t>
        </is>
      </c>
      <c r="Q139" s="7" t="inlineStr"/>
    </row>
    <row r="140">
      <c r="A140" s="7" t="n">
        <v>550901</v>
      </c>
      <c r="B140" s="7" t="inlineStr">
        <is>
          <t>660</t>
        </is>
      </c>
      <c r="C140" s="12" t="inlineStr">
        <is>
          <t>7897947606517</t>
        </is>
      </c>
      <c r="D140" s="7" t="inlineStr">
        <is>
          <t>LAVITAN VIT AZ ORIGINAL COMP REV FR C/60</t>
        </is>
      </c>
      <c r="E140" s="13" t="n">
        <v>1</v>
      </c>
      <c r="F140" s="13" t="n">
        <v>19</v>
      </c>
      <c r="G140" s="13" t="n">
        <v>19</v>
      </c>
      <c r="H140" s="8" t="n">
        <v>14.85</v>
      </c>
      <c r="I140" s="8">
        <f>G140*H140</f>
        <v/>
      </c>
      <c r="J140" s="8">
        <f>H140/E140</f>
        <v/>
      </c>
      <c r="K140" s="8" t="n">
        <v>9.99</v>
      </c>
      <c r="L140" s="8" t="n">
        <v>9.99</v>
      </c>
      <c r="M140" s="8" t="n">
        <v>9.99</v>
      </c>
      <c r="N140" s="14">
        <f>J140/M140-1</f>
        <v/>
      </c>
      <c r="O140" s="14">
        <f>J140/K140-1</f>
        <v/>
      </c>
      <c r="P140" s="7" t="inlineStr">
        <is>
          <t>ACIMA +48.6%</t>
        </is>
      </c>
      <c r="Q140" s="7" t="inlineStr"/>
    </row>
    <row r="141">
      <c r="A141" s="7" t="n">
        <v>556981</v>
      </c>
      <c r="B141" s="7" t="inlineStr">
        <is>
          <t>2944</t>
        </is>
      </c>
      <c r="C141" s="12" t="inlineStr">
        <is>
          <t>7897947607996</t>
        </is>
      </c>
      <c r="D141" s="7" t="inlineStr">
        <is>
          <t>LAVITAN VIT CABELOS E UNHAS 30CP</t>
        </is>
      </c>
      <c r="E141" s="13" t="n">
        <v>1</v>
      </c>
      <c r="F141" s="13" t="n">
        <v>8</v>
      </c>
      <c r="G141" s="13" t="n">
        <v>8</v>
      </c>
      <c r="H141" s="8" t="n">
        <v>12.62</v>
      </c>
      <c r="I141" s="8">
        <f>G141*H141</f>
        <v/>
      </c>
      <c r="J141" s="8">
        <f>H141/E141</f>
        <v/>
      </c>
      <c r="K141" s="8" t="n">
        <v>8.99</v>
      </c>
      <c r="L141" s="8" t="n">
        <v>6.99</v>
      </c>
      <c r="M141" s="8" t="n">
        <v>7.656666666666666</v>
      </c>
      <c r="N141" s="14">
        <f>J141/M141-1</f>
        <v/>
      </c>
      <c r="O141" s="14">
        <f>J141/K141-1</f>
        <v/>
      </c>
      <c r="P141" s="7" t="inlineStr">
        <is>
          <t>ACIMA +40.4%</t>
        </is>
      </c>
      <c r="Q141" s="7" t="inlineStr"/>
    </row>
    <row r="142">
      <c r="A142" s="7" t="n">
        <v>553661</v>
      </c>
      <c r="B142" s="7" t="inlineStr">
        <is>
          <t>716</t>
        </is>
      </c>
      <c r="C142" s="12" t="inlineStr">
        <is>
          <t>7897947614673</t>
        </is>
      </c>
      <c r="D142" s="7" t="inlineStr">
        <is>
          <t>LAVITAN VIT INF SOL OR FR 240ML TUT FRUT</t>
        </is>
      </c>
      <c r="E142" s="13" t="n">
        <v>1</v>
      </c>
      <c r="F142" s="13" t="n">
        <v>2</v>
      </c>
      <c r="G142" s="13" t="n">
        <v>2</v>
      </c>
      <c r="H142" s="8" t="n">
        <v>13.85</v>
      </c>
      <c r="I142" s="8">
        <f>G142*H142</f>
        <v/>
      </c>
      <c r="J142" s="8">
        <f>H142/E142</f>
        <v/>
      </c>
      <c r="K142" s="8" t="n">
        <v>10.99</v>
      </c>
      <c r="L142" s="8" t="n">
        <v>8.99</v>
      </c>
      <c r="M142" s="8" t="n">
        <v>9.656666666666666</v>
      </c>
      <c r="N142" s="14">
        <f>J142/M142-1</f>
        <v/>
      </c>
      <c r="O142" s="14">
        <f>J142/K142-1</f>
        <v/>
      </c>
      <c r="P142" s="7" t="inlineStr">
        <is>
          <t>ACIMA +26.0%</t>
        </is>
      </c>
      <c r="Q142" s="7" t="inlineStr"/>
    </row>
    <row r="143">
      <c r="A143" s="7" t="n">
        <v>627791</v>
      </c>
      <c r="B143" s="7" t="inlineStr">
        <is>
          <t>8628</t>
        </is>
      </c>
      <c r="C143" s="12" t="inlineStr">
        <is>
          <t>7897947617605</t>
        </is>
      </c>
      <c r="D143" s="7" t="inlineStr">
        <is>
          <t>LAVITAN ZMA PERFORMANCE COMP 2 BL X 15</t>
        </is>
      </c>
      <c r="E143" s="13" t="n">
        <v>1</v>
      </c>
      <c r="F143" s="13" t="n">
        <v>10</v>
      </c>
      <c r="G143" s="13" t="n">
        <v>10</v>
      </c>
      <c r="H143" s="8" t="n">
        <v>13.5</v>
      </c>
      <c r="I143" s="8">
        <f>G143*H143</f>
        <v/>
      </c>
      <c r="J143" s="8">
        <f>H143/E143</f>
        <v/>
      </c>
      <c r="K143" s="8" t="n">
        <v>18.36</v>
      </c>
      <c r="L143" s="8" t="n">
        <v>16.39</v>
      </c>
      <c r="M143" s="8" t="n">
        <v>16.39</v>
      </c>
      <c r="N143" s="14">
        <f>J143/M143-1</f>
        <v/>
      </c>
      <c r="O143" s="14">
        <f>J143/K143-1</f>
        <v/>
      </c>
      <c r="P143" s="7" t="inlineStr">
        <is>
          <t>OK (≤ menor hist.)</t>
        </is>
      </c>
      <c r="Q143" s="7" t="inlineStr"/>
    </row>
    <row r="144">
      <c r="A144" s="7" t="n">
        <v>4083</v>
      </c>
      <c r="B144" s="7" t="inlineStr">
        <is>
          <t>8859</t>
        </is>
      </c>
      <c r="C144" s="12" t="inlineStr">
        <is>
          <t>7898575780754</t>
        </is>
      </c>
      <c r="D144" s="7" t="inlineStr">
        <is>
          <t>LEITE DE MAGNESIA 100ML HORTELA</t>
        </is>
      </c>
      <c r="E144" s="13" t="n">
        <v>1</v>
      </c>
      <c r="F144" s="13" t="n">
        <v>6</v>
      </c>
      <c r="G144" s="13" t="n">
        <v>6</v>
      </c>
      <c r="H144" s="8" t="n">
        <v>1.99</v>
      </c>
      <c r="I144" s="8">
        <f>G144*H144</f>
        <v/>
      </c>
      <c r="J144" s="8">
        <f>H144/E144</f>
        <v/>
      </c>
      <c r="K144" s="8" t="n">
        <v>3.54</v>
      </c>
      <c r="L144" s="8" t="n">
        <v>3.54</v>
      </c>
      <c r="M144" s="8" t="n">
        <v>3.54</v>
      </c>
      <c r="N144" s="14">
        <f>J144/M144-1</f>
        <v/>
      </c>
      <c r="O144" s="14">
        <f>J144/K144-1</f>
        <v/>
      </c>
      <c r="P144" s="7" t="inlineStr">
        <is>
          <t>OK (≤ menor hist.)</t>
        </is>
      </c>
      <c r="Q144" s="7" t="inlineStr"/>
    </row>
    <row r="145">
      <c r="A145" s="7" t="n">
        <v>646631</v>
      </c>
      <c r="B145" s="7" t="inlineStr">
        <is>
          <t>7615</t>
        </is>
      </c>
      <c r="C145" s="12" t="inlineStr">
        <is>
          <t>7898031310211</t>
        </is>
      </c>
      <c r="D145" s="7" t="inlineStr">
        <is>
          <t>LEITE DE MAGNESIA 120ML TRADICIONAL</t>
        </is>
      </c>
      <c r="E145" s="13" t="n">
        <v>1</v>
      </c>
      <c r="F145" s="13" t="n">
        <v>2</v>
      </c>
      <c r="G145" s="13" t="n">
        <v>2</v>
      </c>
      <c r="H145" s="8" t="n">
        <v>5</v>
      </c>
      <c r="I145" s="8">
        <f>G145*H145</f>
        <v/>
      </c>
      <c r="J145" s="8">
        <f>H145/E145</f>
        <v/>
      </c>
      <c r="K145" s="8" t="n">
        <v>5.01</v>
      </c>
      <c r="L145" s="8" t="n">
        <v>5.01</v>
      </c>
      <c r="M145" s="8" t="n">
        <v>5.01</v>
      </c>
      <c r="N145" s="14">
        <f>J145/M145-1</f>
        <v/>
      </c>
      <c r="O145" s="14">
        <f>J145/K145-1</f>
        <v/>
      </c>
      <c r="P145" s="7" t="inlineStr">
        <is>
          <t>OK (≤ menor hist.)</t>
        </is>
      </c>
      <c r="Q145" s="7" t="inlineStr"/>
    </row>
    <row r="146">
      <c r="A146" s="7" t="n">
        <v>651461</v>
      </c>
      <c r="B146" s="7" t="inlineStr">
        <is>
          <t>8917</t>
        </is>
      </c>
      <c r="C146" s="12" t="inlineStr">
        <is>
          <t>7898179711314</t>
        </is>
      </c>
      <c r="D146" s="7" t="inlineStr">
        <is>
          <t>LEITE DE MAGNESIA GASTRIMEC 100ML TRADIC</t>
        </is>
      </c>
      <c r="E146" s="13" t="n">
        <v>1</v>
      </c>
      <c r="F146" s="13" t="n">
        <v>11</v>
      </c>
      <c r="G146" s="13" t="n">
        <v>11</v>
      </c>
      <c r="H146" s="8" t="n">
        <v>4.58</v>
      </c>
      <c r="I146" s="8">
        <f>G146*H146</f>
        <v/>
      </c>
      <c r="J146" s="8">
        <f>H146/E146</f>
        <v/>
      </c>
      <c r="K146" s="8" t="n">
        <v>4.5</v>
      </c>
      <c r="L146" s="8" t="n">
        <v>4.5</v>
      </c>
      <c r="M146" s="8" t="n">
        <v>4.5</v>
      </c>
      <c r="N146" s="14">
        <f>J146/M146-1</f>
        <v/>
      </c>
      <c r="O146" s="14">
        <f>J146/K146-1</f>
        <v/>
      </c>
      <c r="P146" s="7" t="inlineStr">
        <is>
          <t>ACIMA +1.8%</t>
        </is>
      </c>
      <c r="Q146" s="7" t="inlineStr"/>
    </row>
    <row r="147">
      <c r="A147" s="7" t="n">
        <v>55801</v>
      </c>
      <c r="B147" s="7" t="inlineStr">
        <is>
          <t>2610</t>
        </is>
      </c>
      <c r="C147" s="12" t="inlineStr">
        <is>
          <t>7898060133904</t>
        </is>
      </c>
      <c r="D147" s="7" t="inlineStr">
        <is>
          <t>LERGIDRIN 0,4+0,05MG/ML XPE FR X 120ML+CM</t>
        </is>
      </c>
      <c r="E147" s="13" t="n">
        <v>1</v>
      </c>
      <c r="F147" s="13" t="n">
        <v>4</v>
      </c>
      <c r="G147" s="13" t="n">
        <v>4</v>
      </c>
      <c r="H147" s="8" t="n">
        <v>4.5</v>
      </c>
      <c r="I147" s="8">
        <f>G147*H147</f>
        <v/>
      </c>
      <c r="J147" s="8">
        <f>H147/E147</f>
        <v/>
      </c>
      <c r="K147" s="8" t="n">
        <v>4.31</v>
      </c>
      <c r="L147" s="8" t="n">
        <v>4.31</v>
      </c>
      <c r="M147" s="8" t="n">
        <v>4.31</v>
      </c>
      <c r="N147" s="14">
        <f>J147/M147-1</f>
        <v/>
      </c>
      <c r="O147" s="14">
        <f>J147/K147-1</f>
        <v/>
      </c>
      <c r="P147" s="7" t="inlineStr">
        <is>
          <t>ACIMA +4.4%</t>
        </is>
      </c>
      <c r="Q147" s="7" t="inlineStr"/>
    </row>
    <row r="148">
      <c r="A148" s="7" t="n">
        <v>151761</v>
      </c>
      <c r="B148" s="7" t="inlineStr">
        <is>
          <t>385</t>
        </is>
      </c>
      <c r="C148" s="12" t="inlineStr">
        <is>
          <t>7893454100555</t>
        </is>
      </c>
      <c r="D148" s="7" t="inlineStr">
        <is>
          <t>LIDIAL 50MG/G POM BG 25G</t>
        </is>
      </c>
      <c r="E148" s="13" t="n">
        <v>1</v>
      </c>
      <c r="F148" s="13" t="n">
        <v>3</v>
      </c>
      <c r="G148" s="13" t="n">
        <v>3</v>
      </c>
      <c r="H148" s="8" t="n">
        <v>6.95</v>
      </c>
      <c r="I148" s="8">
        <f>G148*H148</f>
        <v/>
      </c>
      <c r="J148" s="8">
        <f>H148/E148</f>
        <v/>
      </c>
      <c r="K148" s="8" t="n">
        <v>6.73</v>
      </c>
      <c r="L148" s="8" t="n">
        <v>6.73</v>
      </c>
      <c r="M148" s="8" t="n">
        <v>6.73</v>
      </c>
      <c r="N148" s="14">
        <f>J148/M148-1</f>
        <v/>
      </c>
      <c r="O148" s="14">
        <f>J148/K148-1</f>
        <v/>
      </c>
      <c r="P148" s="7" t="inlineStr">
        <is>
          <t>ACIMA +3.3%</t>
        </is>
      </c>
      <c r="Q148" s="7" t="inlineStr"/>
    </row>
    <row r="149">
      <c r="A149" s="7" t="n">
        <v>324761</v>
      </c>
      <c r="B149" s="7" t="inlineStr">
        <is>
          <t>931</t>
        </is>
      </c>
      <c r="C149" s="12" t="inlineStr">
        <is>
          <t>7896523202822</t>
        </is>
      </c>
      <c r="D149" s="7" t="inlineStr">
        <is>
          <t>LORATAMED 10MG CX 12 COMP</t>
        </is>
      </c>
      <c r="E149" s="13" t="n">
        <v>1</v>
      </c>
      <c r="F149" s="13" t="n">
        <v>42</v>
      </c>
      <c r="G149" s="13" t="n">
        <v>42</v>
      </c>
      <c r="H149" s="8" t="n">
        <v>1.76</v>
      </c>
      <c r="I149" s="8">
        <f>G149*H149</f>
        <v/>
      </c>
      <c r="J149" s="8">
        <f>H149/E149</f>
        <v/>
      </c>
      <c r="K149" s="8" t="n">
        <v>1.69</v>
      </c>
      <c r="L149" s="8" t="n">
        <v>1.49</v>
      </c>
      <c r="M149" s="8" t="n">
        <v>1.556666666666667</v>
      </c>
      <c r="N149" s="14">
        <f>J149/M149-1</f>
        <v/>
      </c>
      <c r="O149" s="14">
        <f>J149/K149-1</f>
        <v/>
      </c>
      <c r="P149" s="7" t="inlineStr">
        <is>
          <t>ACIMA +4.1%</t>
        </is>
      </c>
      <c r="Q149" s="7" t="inlineStr"/>
    </row>
    <row r="150">
      <c r="A150" s="7" t="n">
        <v>668941</v>
      </c>
      <c r="B150" s="7" t="inlineStr">
        <is>
          <t>7927</t>
        </is>
      </c>
      <c r="C150" s="12" t="inlineStr">
        <is>
          <t>7896004785769</t>
        </is>
      </c>
      <c r="D150" s="7" t="inlineStr">
        <is>
          <t>LOZEPREL 40MG CX 28 CAP</t>
        </is>
      </c>
      <c r="E150" s="13" t="n">
        <v>1</v>
      </c>
      <c r="F150" s="13" t="n">
        <v>9</v>
      </c>
      <c r="G150" s="13" t="n">
        <v>9</v>
      </c>
      <c r="H150" s="8" t="n">
        <v>9.07</v>
      </c>
      <c r="I150" s="8">
        <f>G150*H150</f>
        <v/>
      </c>
      <c r="J150" s="8">
        <f>H150/E150</f>
        <v/>
      </c>
      <c r="K150" s="8" t="n">
        <v>9.9</v>
      </c>
      <c r="L150" s="8" t="n">
        <v>9.9</v>
      </c>
      <c r="M150" s="8" t="n">
        <v>9.9</v>
      </c>
      <c r="N150" s="14">
        <f>J150/M150-1</f>
        <v/>
      </c>
      <c r="O150" s="14">
        <f>J150/K150-1</f>
        <v/>
      </c>
      <c r="P150" s="7" t="inlineStr">
        <is>
          <t>OK (≤ menor hist.)</t>
        </is>
      </c>
      <c r="Q150" s="7" t="inlineStr"/>
    </row>
    <row r="151">
      <c r="A151" s="7" t="n">
        <v>558921</v>
      </c>
      <c r="B151" s="7" t="inlineStr">
        <is>
          <t>5499</t>
        </is>
      </c>
      <c r="C151" s="12" t="inlineStr">
        <is>
          <t>7898556850513</t>
        </is>
      </c>
      <c r="D151" s="7" t="inlineStr">
        <is>
          <t>LUBRIFICANTE GEL RILEX MENTA 100G</t>
        </is>
      </c>
      <c r="E151" s="13" t="n">
        <v>1</v>
      </c>
      <c r="F151" s="13" t="n">
        <v>1</v>
      </c>
      <c r="G151" s="13" t="n">
        <v>1</v>
      </c>
      <c r="H151" s="8" t="n">
        <v>15.34</v>
      </c>
      <c r="I151" s="8">
        <f>G151*H151</f>
        <v/>
      </c>
      <c r="J151" s="8">
        <f>H151/E151</f>
        <v/>
      </c>
      <c r="K151" s="8" t="n">
        <v>15.27</v>
      </c>
      <c r="L151" s="8" t="n">
        <v>15.27</v>
      </c>
      <c r="M151" s="8" t="n">
        <v>15.27</v>
      </c>
      <c r="N151" s="14">
        <f>J151/M151-1</f>
        <v/>
      </c>
      <c r="O151" s="14">
        <f>J151/K151-1</f>
        <v/>
      </c>
      <c r="P151" s="7" t="inlineStr">
        <is>
          <t>ACIMA +0.5%</t>
        </is>
      </c>
      <c r="Q151" s="7" t="inlineStr"/>
    </row>
    <row r="152">
      <c r="A152" s="7" t="n">
        <v>557121</v>
      </c>
      <c r="B152" s="7" t="inlineStr">
        <is>
          <t>5469</t>
        </is>
      </c>
      <c r="C152" s="12" t="inlineStr">
        <is>
          <t>7896523200026</t>
        </is>
      </c>
      <c r="D152" s="7" t="inlineStr">
        <is>
          <t>LUBRIFIK LUBRIFICANTE INTIMO GEL BG 50G</t>
        </is>
      </c>
      <c r="E152" s="13" t="n">
        <v>1</v>
      </c>
      <c r="F152" s="13" t="n">
        <v>17</v>
      </c>
      <c r="G152" s="13" t="n">
        <v>17</v>
      </c>
      <c r="H152" s="8" t="n">
        <v>4.32</v>
      </c>
      <c r="I152" s="8">
        <f>G152*H152</f>
        <v/>
      </c>
      <c r="J152" s="8">
        <f>H152/E152</f>
        <v/>
      </c>
      <c r="K152" s="8" t="n">
        <v>4.32</v>
      </c>
      <c r="L152" s="8" t="n">
        <v>4.32</v>
      </c>
      <c r="M152" s="8" t="n">
        <v>4.32</v>
      </c>
      <c r="N152" s="14">
        <f>J152/M152-1</f>
        <v/>
      </c>
      <c r="O152" s="14">
        <f>J152/K152-1</f>
        <v/>
      </c>
      <c r="P152" s="7" t="inlineStr">
        <is>
          <t>OK (≤ menor hist.)</t>
        </is>
      </c>
      <c r="Q152" s="7" t="inlineStr"/>
    </row>
    <row r="153">
      <c r="A153" s="7" t="n">
        <v>4143</v>
      </c>
      <c r="B153" s="7" t="inlineStr">
        <is>
          <t>9434</t>
        </is>
      </c>
      <c r="C153" s="12" t="inlineStr">
        <is>
          <t>7898947170176</t>
        </is>
      </c>
      <c r="D153" s="7" t="inlineStr">
        <is>
          <t>LUVA CIRURGICA 7,0 ESTERIL COM PO</t>
        </is>
      </c>
      <c r="E153" s="13" t="n">
        <v>1</v>
      </c>
      <c r="F153" s="13" t="n">
        <v>2</v>
      </c>
      <c r="G153" s="13" t="n">
        <v>2</v>
      </c>
      <c r="H153" s="8" t="n">
        <v>1.76</v>
      </c>
      <c r="I153" s="8">
        <f>G153*H153</f>
        <v/>
      </c>
      <c r="J153" s="8">
        <f>H153/E153</f>
        <v/>
      </c>
      <c r="K153" s="8" t="n">
        <v>1.76</v>
      </c>
      <c r="L153" s="8" t="n">
        <v>1.76</v>
      </c>
      <c r="M153" s="8" t="n">
        <v>1.76</v>
      </c>
      <c r="N153" s="14">
        <f>J153/M153-1</f>
        <v/>
      </c>
      <c r="O153" s="14">
        <f>J153/K153-1</f>
        <v/>
      </c>
      <c r="P153" s="7" t="inlineStr">
        <is>
          <t>OK (≤ menor hist.)</t>
        </is>
      </c>
      <c r="Q153" s="7" t="inlineStr"/>
    </row>
    <row r="154">
      <c r="A154" s="7" t="n">
        <v>4153</v>
      </c>
      <c r="B154" s="7" t="inlineStr">
        <is>
          <t>9437</t>
        </is>
      </c>
      <c r="C154" s="12" t="inlineStr">
        <is>
          <t>7898947170190</t>
        </is>
      </c>
      <c r="D154" s="7" t="inlineStr">
        <is>
          <t>LUVA CIRURGICA 8,0 ESTERIL COM PO</t>
        </is>
      </c>
      <c r="E154" s="13" t="n">
        <v>1</v>
      </c>
      <c r="F154" s="13" t="n">
        <v>2</v>
      </c>
      <c r="G154" s="13" t="n">
        <v>2</v>
      </c>
      <c r="H154" s="8" t="n">
        <v>1.74</v>
      </c>
      <c r="I154" s="8">
        <f>G154*H154</f>
        <v/>
      </c>
      <c r="J154" s="8">
        <f>H154/E154</f>
        <v/>
      </c>
      <c r="K154" s="8" t="n">
        <v>1.74</v>
      </c>
      <c r="L154" s="8" t="n">
        <v>1.74</v>
      </c>
      <c r="M154" s="8" t="n">
        <v>1.74</v>
      </c>
      <c r="N154" s="14">
        <f>J154/M154-1</f>
        <v/>
      </c>
      <c r="O154" s="14">
        <f>J154/K154-1</f>
        <v/>
      </c>
      <c r="P154" s="7" t="inlineStr">
        <is>
          <t>OK (≤ menor hist.)</t>
        </is>
      </c>
      <c r="Q154" s="7" t="inlineStr"/>
    </row>
    <row r="155">
      <c r="A155" s="7" t="n">
        <v>675981</v>
      </c>
      <c r="B155" s="7" t="inlineStr">
        <is>
          <t>9414</t>
        </is>
      </c>
      <c r="C155" s="12" t="inlineStr">
        <is>
          <t>7898947170619</t>
        </is>
      </c>
      <c r="D155" s="7" t="inlineStr">
        <is>
          <t>LUVA LATEX MEDIX PROFI C/PO TAM PP C/100 UN</t>
        </is>
      </c>
      <c r="E155" s="13" t="n">
        <v>1</v>
      </c>
      <c r="F155" s="13" t="n">
        <v>2</v>
      </c>
      <c r="G155" s="13" t="n">
        <v>2</v>
      </c>
      <c r="H155" s="8" t="n">
        <v>26.33</v>
      </c>
      <c r="I155" s="8">
        <f>G155*H155</f>
        <v/>
      </c>
      <c r="J155" s="8">
        <f>H155/E155</f>
        <v/>
      </c>
      <c r="K155" s="8" t="n">
        <v>19.9</v>
      </c>
      <c r="L155" s="8" t="n">
        <v>19.9</v>
      </c>
      <c r="M155" s="8" t="n">
        <v>19.9</v>
      </c>
      <c r="N155" s="14">
        <f>J155/M155-1</f>
        <v/>
      </c>
      <c r="O155" s="14">
        <f>J155/K155-1</f>
        <v/>
      </c>
      <c r="P155" s="7" t="inlineStr">
        <is>
          <t>ACIMA +32.3%</t>
        </is>
      </c>
      <c r="Q155" s="7" t="inlineStr"/>
    </row>
    <row r="156">
      <c r="A156" s="7" t="n">
        <v>591291</v>
      </c>
      <c r="B156" s="7" t="inlineStr">
        <is>
          <t>7719</t>
        </is>
      </c>
      <c r="C156" s="12" t="inlineStr">
        <is>
          <t>7898048699651</t>
        </is>
      </c>
      <c r="D156" s="7" t="inlineStr">
        <is>
          <t>MAGNESIO DIMALATO 60CP</t>
        </is>
      </c>
      <c r="E156" s="13" t="n">
        <v>1</v>
      </c>
      <c r="F156" s="13" t="n">
        <v>8</v>
      </c>
      <c r="G156" s="13" t="n">
        <v>8</v>
      </c>
      <c r="H156" s="8" t="n">
        <v>15.98</v>
      </c>
      <c r="I156" s="8">
        <f>G156*H156</f>
        <v/>
      </c>
      <c r="J156" s="8">
        <f>H156/E156</f>
        <v/>
      </c>
      <c r="K156" s="8" t="n">
        <v>15.98</v>
      </c>
      <c r="L156" s="8" t="n">
        <v>13.84</v>
      </c>
      <c r="M156" s="8" t="n">
        <v>14.53666666666667</v>
      </c>
      <c r="N156" s="14">
        <f>J156/M156-1</f>
        <v/>
      </c>
      <c r="O156" s="14">
        <f>J156/K156-1</f>
        <v/>
      </c>
      <c r="P156" s="7" t="inlineStr">
        <is>
          <t>OK (≤ últ. compra)</t>
        </is>
      </c>
      <c r="Q156" s="7" t="inlineStr"/>
    </row>
    <row r="157">
      <c r="A157" s="7" t="n">
        <v>512501</v>
      </c>
      <c r="B157" s="7" t="inlineStr">
        <is>
          <t>4401</t>
        </is>
      </c>
      <c r="C157" s="12" t="inlineStr">
        <is>
          <t>7896523210773</t>
        </is>
      </c>
      <c r="D157" s="7" t="inlineStr">
        <is>
          <t>MALEATO DE ENALAPRIL 20MG CX 30 COMP</t>
        </is>
      </c>
      <c r="E157" s="13" t="n">
        <v>1</v>
      </c>
      <c r="F157" s="13" t="n">
        <v>26</v>
      </c>
      <c r="G157" s="13" t="n">
        <v>26</v>
      </c>
      <c r="H157" s="8" t="n">
        <v>2.86</v>
      </c>
      <c r="I157" s="8">
        <f>G157*H157</f>
        <v/>
      </c>
      <c r="J157" s="8">
        <f>H157/E157</f>
        <v/>
      </c>
      <c r="K157" s="8" t="n">
        <v>2.35</v>
      </c>
      <c r="L157" s="8" t="n">
        <v>2.23</v>
      </c>
      <c r="M157" s="8" t="n">
        <v>2.26</v>
      </c>
      <c r="N157" s="14">
        <f>J157/M157-1</f>
        <v/>
      </c>
      <c r="O157" s="14">
        <f>J157/K157-1</f>
        <v/>
      </c>
      <c r="P157" s="7" t="inlineStr">
        <is>
          <t>ACIMA +21.7%</t>
        </is>
      </c>
      <c r="Q157" s="7" t="inlineStr"/>
    </row>
    <row r="158">
      <c r="A158" s="7" t="n">
        <v>346381</v>
      </c>
      <c r="B158" s="7" t="inlineStr">
        <is>
          <t>4558</t>
        </is>
      </c>
      <c r="C158" s="12" t="inlineStr">
        <is>
          <t>7895296445085</t>
        </is>
      </c>
      <c r="D158" s="7" t="inlineStr">
        <is>
          <t>MEFLAGIN 400MG 2BL X 10 COMP REV</t>
        </is>
      </c>
      <c r="E158" s="13" t="n">
        <v>1</v>
      </c>
      <c r="F158" s="13" t="n">
        <v>1</v>
      </c>
      <c r="G158" s="13" t="n">
        <v>1</v>
      </c>
      <c r="H158" s="8" t="n">
        <v>7.35</v>
      </c>
      <c r="I158" s="8">
        <f>G158*H158</f>
        <v/>
      </c>
      <c r="J158" s="8">
        <f>H158/E158</f>
        <v/>
      </c>
      <c r="K158" s="8" t="n">
        <v>7.08</v>
      </c>
      <c r="L158" s="8" t="n">
        <v>7.08</v>
      </c>
      <c r="M158" s="8" t="n">
        <v>7.080000000000001</v>
      </c>
      <c r="N158" s="14">
        <f>J158/M158-1</f>
        <v/>
      </c>
      <c r="O158" s="14">
        <f>J158/K158-1</f>
        <v/>
      </c>
      <c r="P158" s="7" t="inlineStr">
        <is>
          <t>ACIMA +3.8%</t>
        </is>
      </c>
      <c r="Q158" s="7" t="inlineStr"/>
    </row>
    <row r="159">
      <c r="A159" s="7" t="n">
        <v>3223</v>
      </c>
      <c r="B159" s="7" t="inlineStr">
        <is>
          <t>4729</t>
        </is>
      </c>
      <c r="C159" s="12" t="inlineStr">
        <is>
          <t>7896023708626</t>
        </is>
      </c>
      <c r="D159" s="7" t="inlineStr">
        <is>
          <t>MELAGRIAO SPRAY 30ML EXTRA FORTE</t>
        </is>
      </c>
      <c r="E159" s="13" t="n">
        <v>1</v>
      </c>
      <c r="F159" s="13" t="n">
        <v>2</v>
      </c>
      <c r="G159" s="13" t="n">
        <v>2</v>
      </c>
      <c r="H159" s="8" t="n">
        <v>13.22</v>
      </c>
      <c r="I159" s="8">
        <f>G159*H159</f>
        <v/>
      </c>
      <c r="J159" s="8">
        <f>H159/E159</f>
        <v/>
      </c>
      <c r="K159" s="8" t="n">
        <v>21.72</v>
      </c>
      <c r="L159" s="8" t="n">
        <v>18.02</v>
      </c>
      <c r="M159" s="8" t="n">
        <v>20.07333333333333</v>
      </c>
      <c r="N159" s="14">
        <f>J159/M159-1</f>
        <v/>
      </c>
      <c r="O159" s="14">
        <f>J159/K159-1</f>
        <v/>
      </c>
      <c r="P159" s="7" t="inlineStr">
        <is>
          <t>OK (≤ menor hist.)</t>
        </is>
      </c>
      <c r="Q159" s="7" t="inlineStr"/>
    </row>
    <row r="160">
      <c r="A160" s="7" t="n">
        <v>548221</v>
      </c>
      <c r="B160" s="7" t="inlineStr">
        <is>
          <t>625</t>
        </is>
      </c>
      <c r="C160" s="12" t="inlineStr">
        <is>
          <t>7896023719899</t>
        </is>
      </c>
      <c r="D160" s="7" t="inlineStr">
        <is>
          <t>MELAGRIÃO EXPECTORANTE CATARINENSE 150ML</t>
        </is>
      </c>
      <c r="E160" s="13" t="n">
        <v>1</v>
      </c>
      <c r="F160" s="13" t="n">
        <v>3</v>
      </c>
      <c r="G160" s="13" t="n">
        <v>3</v>
      </c>
      <c r="H160" s="8" t="n">
        <v>15.82</v>
      </c>
      <c r="I160" s="8">
        <f>G160*H160</f>
        <v/>
      </c>
      <c r="J160" s="8">
        <f>H160/E160</f>
        <v/>
      </c>
      <c r="K160" s="8" t="n">
        <v>35.31</v>
      </c>
      <c r="L160" s="8" t="n">
        <v>14.77</v>
      </c>
      <c r="M160" s="8" t="n">
        <v>15.39</v>
      </c>
      <c r="N160" s="14">
        <f>J160/M160-1</f>
        <v/>
      </c>
      <c r="O160" s="14">
        <f>J160/K160-1</f>
        <v/>
      </c>
      <c r="P160" s="7" t="inlineStr">
        <is>
          <t>OK (≤ últ. compra)</t>
        </is>
      </c>
      <c r="Q160" s="7" t="inlineStr">
        <is>
          <t>conferir emb.</t>
        </is>
      </c>
    </row>
    <row r="161">
      <c r="A161" s="7" t="n">
        <v>3573</v>
      </c>
      <c r="B161" s="7" t="inlineStr">
        <is>
          <t>6951</t>
        </is>
      </c>
      <c r="C161" s="12" t="inlineStr">
        <is>
          <t>7894164008551</t>
        </is>
      </c>
      <c r="D161" s="7" t="inlineStr">
        <is>
          <t>MELATONINA 210MCG 20ML GTS</t>
        </is>
      </c>
      <c r="E161" s="13" t="n">
        <v>1</v>
      </c>
      <c r="F161" s="13" t="n">
        <v>6</v>
      </c>
      <c r="G161" s="13" t="n">
        <v>6</v>
      </c>
      <c r="H161" s="8" t="n">
        <v>10.65</v>
      </c>
      <c r="I161" s="8">
        <f>G161*H161</f>
        <v/>
      </c>
      <c r="J161" s="8">
        <f>H161/E161</f>
        <v/>
      </c>
      <c r="K161" s="8" t="n">
        <v>10.65</v>
      </c>
      <c r="L161" s="8" t="n">
        <v>8.57</v>
      </c>
      <c r="M161" s="8" t="n">
        <v>9.263333333333334</v>
      </c>
      <c r="N161" s="14">
        <f>J161/M161-1</f>
        <v/>
      </c>
      <c r="O161" s="14">
        <f>J161/K161-1</f>
        <v/>
      </c>
      <c r="P161" s="7" t="inlineStr">
        <is>
          <t>OK (≤ últ. compra)</t>
        </is>
      </c>
      <c r="Q161" s="7" t="inlineStr"/>
    </row>
    <row r="162">
      <c r="A162" s="7" t="n">
        <v>639011</v>
      </c>
      <c r="B162" s="7" t="inlineStr">
        <is>
          <t>8820</t>
        </is>
      </c>
      <c r="C162" s="12" t="inlineStr">
        <is>
          <t>7894164011483</t>
        </is>
      </c>
      <c r="D162" s="7" t="inlineStr">
        <is>
          <t>METIOCURE 10MG 45ML SPRAY</t>
        </is>
      </c>
      <c r="E162" s="13" t="n">
        <v>1</v>
      </c>
      <c r="F162" s="13" t="n">
        <v>1</v>
      </c>
      <c r="G162" s="13" t="n">
        <v>1</v>
      </c>
      <c r="H162" s="8" t="n">
        <v>8.26</v>
      </c>
      <c r="I162" s="8">
        <f>G162*H162</f>
        <v/>
      </c>
      <c r="J162" s="8">
        <f>H162/E162</f>
        <v/>
      </c>
      <c r="K162" s="8" t="n">
        <v>8.26</v>
      </c>
      <c r="L162" s="8" t="n">
        <v>7.88</v>
      </c>
      <c r="M162" s="8" t="n">
        <v>7.899999999999999</v>
      </c>
      <c r="N162" s="14">
        <f>J162/M162-1</f>
        <v/>
      </c>
      <c r="O162" s="14">
        <f>J162/K162-1</f>
        <v/>
      </c>
      <c r="P162" s="7" t="inlineStr">
        <is>
          <t>OK (≤ últ. compra)</t>
        </is>
      </c>
      <c r="Q162" s="7" t="inlineStr"/>
    </row>
    <row r="163">
      <c r="A163" s="7" t="n">
        <v>605891</v>
      </c>
      <c r="B163" s="7" t="inlineStr">
        <is>
          <t>201</t>
        </is>
      </c>
      <c r="C163" s="12" t="inlineStr">
        <is>
          <t>7897917004589</t>
        </is>
      </c>
      <c r="D163" s="7" t="inlineStr">
        <is>
          <t>MICOSBEL 50MG 30G POMADA</t>
        </is>
      </c>
      <c r="E163" s="13" t="n">
        <v>1</v>
      </c>
      <c r="F163" s="13" t="n">
        <v>3</v>
      </c>
      <c r="G163" s="13" t="n">
        <v>3</v>
      </c>
      <c r="H163" s="8" t="n">
        <v>10.3</v>
      </c>
      <c r="I163" s="8">
        <f>G163*H163</f>
        <v/>
      </c>
      <c r="J163" s="8">
        <f>H163/E163</f>
        <v/>
      </c>
      <c r="K163" s="8" t="n">
        <v>10.3</v>
      </c>
      <c r="L163" s="8" t="n">
        <v>10.3</v>
      </c>
      <c r="M163" s="8" t="n">
        <v>10.3</v>
      </c>
      <c r="N163" s="14">
        <f>J163/M163-1</f>
        <v/>
      </c>
      <c r="O163" s="14">
        <f>J163/K163-1</f>
        <v/>
      </c>
      <c r="P163" s="7" t="inlineStr">
        <is>
          <t>OK (≤ menor hist.)</t>
        </is>
      </c>
      <c r="Q163" s="7" t="inlineStr"/>
    </row>
    <row r="164">
      <c r="A164" s="7" t="n">
        <v>621241</v>
      </c>
      <c r="B164" s="7" t="inlineStr">
        <is>
          <t>5739</t>
        </is>
      </c>
      <c r="C164" s="12" t="inlineStr">
        <is>
          <t>7896920304334</t>
        </is>
      </c>
      <c r="D164" s="7" t="inlineStr">
        <is>
          <t>MILMUNE CONCENTRADO 120ML</t>
        </is>
      </c>
      <c r="E164" s="13" t="n">
        <v>1</v>
      </c>
      <c r="F164" s="13" t="n">
        <v>4</v>
      </c>
      <c r="G164" s="13" t="n">
        <v>4</v>
      </c>
      <c r="H164" s="8" t="n">
        <v>26.484262</v>
      </c>
      <c r="I164" s="8">
        <f>G164*H164</f>
        <v/>
      </c>
      <c r="J164" s="8">
        <f>H164/E164</f>
        <v/>
      </c>
      <c r="K164" s="8" t="n">
        <v>21.33</v>
      </c>
      <c r="L164" s="8" t="n">
        <v>21.33</v>
      </c>
      <c r="M164" s="8" t="n">
        <v>21.33</v>
      </c>
      <c r="N164" s="14">
        <f>J164/M164-1</f>
        <v/>
      </c>
      <c r="O164" s="14">
        <f>J164/K164-1</f>
        <v/>
      </c>
      <c r="P164" s="7" t="inlineStr">
        <is>
          <t>ACIMA +24.2%</t>
        </is>
      </c>
      <c r="Q164" s="7" t="inlineStr"/>
    </row>
    <row r="165">
      <c r="A165" s="7" t="n">
        <v>557961</v>
      </c>
      <c r="B165" s="7" t="inlineStr">
        <is>
          <t>5738</t>
        </is>
      </c>
      <c r="C165" s="12" t="inlineStr">
        <is>
          <t>7896920304037</t>
        </is>
      </c>
      <c r="D165" s="7" t="inlineStr">
        <is>
          <t>MILMUNE CONCENTRADO 30CP</t>
        </is>
      </c>
      <c r="E165" s="13" t="n">
        <v>1</v>
      </c>
      <c r="F165" s="13" t="n">
        <v>6</v>
      </c>
      <c r="G165" s="13" t="n">
        <v>6</v>
      </c>
      <c r="H165" s="8" t="n">
        <v>42.609678</v>
      </c>
      <c r="I165" s="8">
        <f>G165*H165</f>
        <v/>
      </c>
      <c r="J165" s="8">
        <f>H165/E165</f>
        <v/>
      </c>
      <c r="K165" s="8" t="n">
        <v>37.65</v>
      </c>
      <c r="L165" s="8" t="n">
        <v>34.22</v>
      </c>
      <c r="M165" s="8" t="n">
        <v>36.50666666666667</v>
      </c>
      <c r="N165" s="14">
        <f>J165/M165-1</f>
        <v/>
      </c>
      <c r="O165" s="14">
        <f>J165/K165-1</f>
        <v/>
      </c>
      <c r="P165" s="7" t="inlineStr">
        <is>
          <t>ACIMA +13.2%</t>
        </is>
      </c>
      <c r="Q165" s="7" t="inlineStr"/>
    </row>
    <row r="166">
      <c r="A166" s="7" t="n">
        <v>531621</v>
      </c>
      <c r="B166" s="7" t="inlineStr">
        <is>
          <t>1584</t>
        </is>
      </c>
      <c r="C166" s="12" t="inlineStr">
        <is>
          <t>7896472501694</t>
        </is>
      </c>
      <c r="D166" s="7" t="inlineStr">
        <is>
          <t>MULTISORO INFANTIL 30ML</t>
        </is>
      </c>
      <c r="E166" s="13" t="n">
        <v>1</v>
      </c>
      <c r="F166" s="13" t="n">
        <v>3</v>
      </c>
      <c r="G166" s="13" t="n">
        <v>3</v>
      </c>
      <c r="H166" s="8" t="n">
        <v>2.9</v>
      </c>
      <c r="I166" s="8">
        <f>G166*H166</f>
        <v/>
      </c>
      <c r="J166" s="8">
        <f>H166/E166</f>
        <v/>
      </c>
      <c r="K166" s="8" t="n">
        <v>2.53</v>
      </c>
      <c r="L166" s="8" t="n">
        <v>2.53</v>
      </c>
      <c r="M166" s="8" t="n">
        <v>2.53</v>
      </c>
      <c r="N166" s="14">
        <f>J166/M166-1</f>
        <v/>
      </c>
      <c r="O166" s="14">
        <f>J166/K166-1</f>
        <v/>
      </c>
      <c r="P166" s="7" t="inlineStr">
        <is>
          <t>ACIMA +14.6%</t>
        </is>
      </c>
      <c r="Q166" s="7" t="inlineStr"/>
    </row>
    <row r="167">
      <c r="A167" s="7" t="n">
        <v>3503</v>
      </c>
      <c r="B167" s="7" t="inlineStr">
        <is>
          <t>2629</t>
        </is>
      </c>
      <c r="C167" s="12" t="inlineStr">
        <is>
          <t>7897344300933</t>
        </is>
      </c>
      <c r="D167" s="7" t="inlineStr">
        <is>
          <t>OLEO DE ANDIROBA 30ML</t>
        </is>
      </c>
      <c r="E167" s="13" t="n">
        <v>1</v>
      </c>
      <c r="F167" s="13" t="n">
        <v>2</v>
      </c>
      <c r="G167" s="13" t="n">
        <v>2</v>
      </c>
      <c r="H167" s="8" t="n">
        <v>7.59</v>
      </c>
      <c r="I167" s="8">
        <f>G167*H167</f>
        <v/>
      </c>
      <c r="J167" s="8">
        <f>H167/E167</f>
        <v/>
      </c>
      <c r="K167" s="8" t="n">
        <v>7.59</v>
      </c>
      <c r="L167" s="8" t="n">
        <v>7.59</v>
      </c>
      <c r="M167" s="8" t="n">
        <v>7.59</v>
      </c>
      <c r="N167" s="14">
        <f>J167/M167-1</f>
        <v/>
      </c>
      <c r="O167" s="14">
        <f>J167/K167-1</f>
        <v/>
      </c>
      <c r="P167" s="7" t="inlineStr">
        <is>
          <t>OK (≤ menor hist.)</t>
        </is>
      </c>
      <c r="Q167" s="7" t="inlineStr"/>
    </row>
    <row r="168">
      <c r="A168" s="7" t="n">
        <v>565841</v>
      </c>
      <c r="B168" s="7" t="inlineStr">
        <is>
          <t>3</t>
        </is>
      </c>
      <c r="C168" s="12" t="inlineStr">
        <is>
          <t>7898031313335</t>
        </is>
      </c>
      <c r="D168" s="7" t="inlineStr">
        <is>
          <t>OLEO DE COPAIBA 30ML</t>
        </is>
      </c>
      <c r="E168" s="13" t="n">
        <v>1</v>
      </c>
      <c r="F168" s="13" t="n">
        <v>3</v>
      </c>
      <c r="G168" s="13" t="n">
        <v>3</v>
      </c>
      <c r="H168" s="8" t="n">
        <v>7.16</v>
      </c>
      <c r="I168" s="8">
        <f>G168*H168</f>
        <v/>
      </c>
      <c r="J168" s="8">
        <f>H168/E168</f>
        <v/>
      </c>
      <c r="K168" s="8" t="n">
        <v>7.16</v>
      </c>
      <c r="L168" s="8" t="n">
        <v>7.16</v>
      </c>
      <c r="M168" s="8" t="n">
        <v>7.16</v>
      </c>
      <c r="N168" s="14">
        <f>J168/M168-1</f>
        <v/>
      </c>
      <c r="O168" s="14">
        <f>J168/K168-1</f>
        <v/>
      </c>
      <c r="P168" s="7" t="inlineStr">
        <is>
          <t>OK (≤ menor hist.)</t>
        </is>
      </c>
      <c r="Q168" s="7" t="inlineStr"/>
    </row>
    <row r="169">
      <c r="A169" s="7" t="n">
        <v>4983</v>
      </c>
      <c r="B169" s="7" t="inlineStr">
        <is>
          <t>9599</t>
        </is>
      </c>
      <c r="C169" s="12" t="inlineStr">
        <is>
          <t>7896544927704</t>
        </is>
      </c>
      <c r="D169" s="7" t="inlineStr">
        <is>
          <t>OLEO DE GIRASSOL DERMA PROTECT 100ML</t>
        </is>
      </c>
      <c r="E169" s="13" t="n">
        <v>1</v>
      </c>
      <c r="F169" s="13" t="n">
        <v>12</v>
      </c>
      <c r="G169" s="13" t="n">
        <v>12</v>
      </c>
      <c r="H169" s="8" t="n">
        <v>3.6</v>
      </c>
      <c r="I169" s="8">
        <f>G169*H169</f>
        <v/>
      </c>
      <c r="J169" s="8">
        <f>H169/E169</f>
        <v/>
      </c>
      <c r="K169" s="8" t="n">
        <v>3.61</v>
      </c>
      <c r="L169" s="8" t="n">
        <v>3.61</v>
      </c>
      <c r="M169" s="8" t="n">
        <v>3.61</v>
      </c>
      <c r="N169" s="14">
        <f>J169/M169-1</f>
        <v/>
      </c>
      <c r="O169" s="14">
        <f>J169/K169-1</f>
        <v/>
      </c>
      <c r="P169" s="7" t="inlineStr">
        <is>
          <t>OK (≤ menor hist.)</t>
        </is>
      </c>
      <c r="Q169" s="7" t="inlineStr"/>
    </row>
    <row r="170">
      <c r="A170" s="7" t="n">
        <v>5053</v>
      </c>
      <c r="B170" s="7" t="inlineStr">
        <is>
          <t>9598</t>
        </is>
      </c>
      <c r="C170" s="12" t="inlineStr">
        <is>
          <t>7896544927698</t>
        </is>
      </c>
      <c r="D170" s="7" t="inlineStr">
        <is>
          <t>OLEO DE GIRASSOL DERMA PROTECT 200ML</t>
        </is>
      </c>
      <c r="E170" s="13" t="n">
        <v>1</v>
      </c>
      <c r="F170" s="13" t="n">
        <v>7</v>
      </c>
      <c r="G170" s="13" t="n">
        <v>7</v>
      </c>
      <c r="H170" s="8" t="n">
        <v>5.79</v>
      </c>
      <c r="I170" s="8">
        <f>G170*H170</f>
        <v/>
      </c>
      <c r="J170" s="8">
        <f>H170/E170</f>
        <v/>
      </c>
      <c r="K170" s="8" t="n">
        <v>5.45</v>
      </c>
      <c r="L170" s="8" t="n">
        <v>5.45</v>
      </c>
      <c r="M170" s="8" t="n">
        <v>5.45</v>
      </c>
      <c r="N170" s="14">
        <f>J170/M170-1</f>
        <v/>
      </c>
      <c r="O170" s="14">
        <f>J170/K170-1</f>
        <v/>
      </c>
      <c r="P170" s="7" t="inlineStr">
        <is>
          <t>ACIMA +6.2%</t>
        </is>
      </c>
      <c r="Q170" s="7" t="inlineStr"/>
    </row>
    <row r="171">
      <c r="A171" s="7" t="n">
        <v>605901</v>
      </c>
      <c r="B171" s="7" t="inlineStr">
        <is>
          <t>7508</t>
        </is>
      </c>
      <c r="C171" s="12" t="inlineStr">
        <is>
          <t>7898719040157</t>
        </is>
      </c>
      <c r="D171" s="7" t="inlineStr">
        <is>
          <t>OLEO DE GIRASSOL DERSIN 100ML</t>
        </is>
      </c>
      <c r="E171" s="13" t="n">
        <v>1</v>
      </c>
      <c r="F171" s="13" t="n">
        <v>22</v>
      </c>
      <c r="G171" s="13" t="n">
        <v>22</v>
      </c>
      <c r="H171" s="8" t="n">
        <v>5.3</v>
      </c>
      <c r="I171" s="8">
        <f>G171*H171</f>
        <v/>
      </c>
      <c r="J171" s="8">
        <f>H171/E171</f>
        <v/>
      </c>
      <c r="K171" s="8" t="n">
        <v>5.22</v>
      </c>
      <c r="L171" s="8" t="n">
        <v>5.22</v>
      </c>
      <c r="M171" s="8" t="n">
        <v>5.22</v>
      </c>
      <c r="N171" s="14">
        <f>J171/M171-1</f>
        <v/>
      </c>
      <c r="O171" s="14">
        <f>J171/K171-1</f>
        <v/>
      </c>
      <c r="P171" s="7" t="inlineStr">
        <is>
          <t>ACIMA +1.5%</t>
        </is>
      </c>
      <c r="Q171" s="7" t="inlineStr"/>
    </row>
    <row r="172">
      <c r="A172" s="7" t="n">
        <v>613861</v>
      </c>
      <c r="B172" s="7" t="inlineStr">
        <is>
          <t>7541</t>
        </is>
      </c>
      <c r="C172" s="12" t="inlineStr">
        <is>
          <t>7898719040164</t>
        </is>
      </c>
      <c r="D172" s="7" t="inlineStr">
        <is>
          <t>OLEO DE GIRASSOL DERSIN 200ML</t>
        </is>
      </c>
      <c r="E172" s="13" t="n">
        <v>1</v>
      </c>
      <c r="F172" s="13" t="n">
        <v>4</v>
      </c>
      <c r="G172" s="13" t="n">
        <v>4</v>
      </c>
      <c r="H172" s="8" t="n">
        <v>8.67</v>
      </c>
      <c r="I172" s="8">
        <f>G172*H172</f>
        <v/>
      </c>
      <c r="J172" s="8">
        <f>H172/E172</f>
        <v/>
      </c>
      <c r="K172" s="8" t="n">
        <v>8.67</v>
      </c>
      <c r="L172" s="8" t="n">
        <v>8.67</v>
      </c>
      <c r="M172" s="8" t="n">
        <v>8.67</v>
      </c>
      <c r="N172" s="14">
        <f>J172/M172-1</f>
        <v/>
      </c>
      <c r="O172" s="14">
        <f>J172/K172-1</f>
        <v/>
      </c>
      <c r="P172" s="7" t="inlineStr">
        <is>
          <t>OK (≤ menor hist.)</t>
        </is>
      </c>
      <c r="Q172" s="7" t="inlineStr"/>
    </row>
    <row r="173">
      <c r="A173" s="7" t="n">
        <v>37703</v>
      </c>
      <c r="B173" s="7" t="inlineStr">
        <is>
          <t>2959</t>
        </is>
      </c>
      <c r="C173" s="12" t="inlineStr">
        <is>
          <t>7898582292639</t>
        </is>
      </c>
      <c r="D173" s="7" t="inlineStr">
        <is>
          <t>OLEO DE GIRASSOL DERSOL 100ML</t>
        </is>
      </c>
      <c r="E173" s="13" t="n">
        <v>1</v>
      </c>
      <c r="F173" s="13" t="n">
        <v>9</v>
      </c>
      <c r="G173" s="13" t="n">
        <v>9</v>
      </c>
      <c r="H173" s="8" t="n">
        <v>6.89</v>
      </c>
      <c r="I173" s="8">
        <f>G173*H173</f>
        <v/>
      </c>
      <c r="J173" s="8">
        <f>H173/E173</f>
        <v/>
      </c>
      <c r="K173" s="8" t="n">
        <v>5.66</v>
      </c>
      <c r="L173" s="8" t="n">
        <v>5.66</v>
      </c>
      <c r="M173" s="8" t="n">
        <v>5.66</v>
      </c>
      <c r="N173" s="14">
        <f>J173/M173-1</f>
        <v/>
      </c>
      <c r="O173" s="14">
        <f>J173/K173-1</f>
        <v/>
      </c>
      <c r="P173" s="7" t="inlineStr">
        <is>
          <t>ACIMA +21.7%</t>
        </is>
      </c>
      <c r="Q173" s="7" t="inlineStr"/>
    </row>
    <row r="174">
      <c r="A174" s="7" t="n">
        <v>653701</v>
      </c>
      <c r="B174" s="7" t="inlineStr">
        <is>
          <t>5186</t>
        </is>
      </c>
      <c r="C174" s="12" t="inlineStr">
        <is>
          <t>7898639690999</t>
        </is>
      </c>
      <c r="D174" s="7" t="inlineStr">
        <is>
          <t>OXIMETRO DE DEDO LED OXILED1</t>
        </is>
      </c>
      <c r="E174" s="13" t="n">
        <v>1</v>
      </c>
      <c r="F174" s="13" t="n">
        <v>1</v>
      </c>
      <c r="G174" s="13" t="n">
        <v>1</v>
      </c>
      <c r="H174" s="8" t="n">
        <v>78.61</v>
      </c>
      <c r="I174" s="8">
        <f>G174*H174</f>
        <v/>
      </c>
      <c r="J174" s="8">
        <f>H174/E174</f>
        <v/>
      </c>
      <c r="K174" s="8" t="n">
        <v>72.55</v>
      </c>
      <c r="L174" s="8" t="n">
        <v>71.25</v>
      </c>
      <c r="M174" s="8" t="n">
        <v>71.85833333333333</v>
      </c>
      <c r="N174" s="14">
        <f>J174/M174-1</f>
        <v/>
      </c>
      <c r="O174" s="14">
        <f>J174/K174-1</f>
        <v/>
      </c>
      <c r="P174" s="7" t="inlineStr">
        <is>
          <t>ACIMA +8.4%</t>
        </is>
      </c>
      <c r="Q174" s="7" t="inlineStr"/>
    </row>
    <row r="175">
      <c r="A175" s="7" t="n">
        <v>531661</v>
      </c>
      <c r="B175" s="7" t="inlineStr">
        <is>
          <t>153</t>
        </is>
      </c>
      <c r="C175" s="12" t="inlineStr">
        <is>
          <t>7898031310709</t>
        </is>
      </c>
      <c r="D175" s="7" t="inlineStr">
        <is>
          <t>PASTA D AGUA 100G</t>
        </is>
      </c>
      <c r="E175" s="13" t="n">
        <v>1</v>
      </c>
      <c r="F175" s="13" t="n">
        <v>12</v>
      </c>
      <c r="G175" s="13" t="n">
        <v>12</v>
      </c>
      <c r="H175" s="8" t="n">
        <v>6.28</v>
      </c>
      <c r="I175" s="8">
        <f>G175*H175</f>
        <v/>
      </c>
      <c r="J175" s="8">
        <f>H175/E175</f>
        <v/>
      </c>
      <c r="K175" s="8" t="n">
        <v>6.28</v>
      </c>
      <c r="L175" s="8" t="n">
        <v>6.13</v>
      </c>
      <c r="M175" s="8" t="n">
        <v>6.13</v>
      </c>
      <c r="N175" s="14">
        <f>J175/M175-1</f>
        <v/>
      </c>
      <c r="O175" s="14">
        <f>J175/K175-1</f>
        <v/>
      </c>
      <c r="P175" s="7" t="inlineStr">
        <is>
          <t>OK (≤ últ. compra)</t>
        </is>
      </c>
      <c r="Q175" s="7" t="inlineStr"/>
    </row>
    <row r="176">
      <c r="A176" s="7" t="n">
        <v>4063</v>
      </c>
      <c r="B176" s="7" t="inlineStr">
        <is>
          <t>7284</t>
        </is>
      </c>
      <c r="C176" s="12" t="inlineStr">
        <is>
          <t>7898031311102</t>
        </is>
      </c>
      <c r="D176" s="7" t="inlineStr">
        <is>
          <t>PASTA DAGUA SIMPLES 90G BISNAGA</t>
        </is>
      </c>
      <c r="E176" s="13" t="n">
        <v>1</v>
      </c>
      <c r="F176" s="13" t="n">
        <v>3</v>
      </c>
      <c r="G176" s="13" t="n">
        <v>3</v>
      </c>
      <c r="H176" s="8" t="n">
        <v>7.74</v>
      </c>
      <c r="I176" s="8">
        <f>G176*H176</f>
        <v/>
      </c>
      <c r="J176" s="8">
        <f>H176/E176</f>
        <v/>
      </c>
      <c r="K176" s="8" t="n">
        <v>7.74</v>
      </c>
      <c r="L176" s="8" t="n">
        <v>7.57</v>
      </c>
      <c r="M176" s="8" t="n">
        <v>7.683333333333334</v>
      </c>
      <c r="N176" s="14">
        <f>J176/M176-1</f>
        <v/>
      </c>
      <c r="O176" s="14">
        <f>J176/K176-1</f>
        <v/>
      </c>
      <c r="P176" s="7" t="inlineStr">
        <is>
          <t>OK (≤ últ. compra)</t>
        </is>
      </c>
      <c r="Q176" s="7" t="inlineStr"/>
    </row>
    <row r="177">
      <c r="A177" s="7" t="n">
        <v>662241</v>
      </c>
      <c r="B177" s="7" t="inlineStr">
        <is>
          <t>6841</t>
        </is>
      </c>
      <c r="C177" s="12" t="inlineStr">
        <is>
          <t>7898719041048</t>
        </is>
      </c>
      <c r="D177" s="7" t="inlineStr">
        <is>
          <t>PEDRA HUME 35ML SPRAY</t>
        </is>
      </c>
      <c r="E177" s="13" t="n">
        <v>1</v>
      </c>
      <c r="F177" s="13" t="n">
        <v>2</v>
      </c>
      <c r="G177" s="13" t="n">
        <v>2</v>
      </c>
      <c r="H177" s="8" t="n">
        <v>6.59</v>
      </c>
      <c r="I177" s="8">
        <f>G177*H177</f>
        <v/>
      </c>
      <c r="J177" s="8">
        <f>H177/E177</f>
        <v/>
      </c>
      <c r="K177" s="8" t="n">
        <v>6.59</v>
      </c>
      <c r="L177" s="8" t="n">
        <v>6.59</v>
      </c>
      <c r="M177" s="8" t="n">
        <v>6.59</v>
      </c>
      <c r="N177" s="14">
        <f>J177/M177-1</f>
        <v/>
      </c>
      <c r="O177" s="14">
        <f>J177/K177-1</f>
        <v/>
      </c>
      <c r="P177" s="7" t="inlineStr">
        <is>
          <t>OK (≤ menor hist.)</t>
        </is>
      </c>
      <c r="Q177" s="7" t="inlineStr"/>
    </row>
    <row r="178">
      <c r="A178" s="7" t="n">
        <v>639911</v>
      </c>
      <c r="B178" s="7" t="inlineStr">
        <is>
          <t>8454</t>
        </is>
      </c>
      <c r="C178" s="12" t="inlineStr">
        <is>
          <t>7898953484410</t>
        </is>
      </c>
      <c r="D178" s="7" t="inlineStr">
        <is>
          <t>PENTE FINO TIRA PIOLHO 1 UN ROSA</t>
        </is>
      </c>
      <c r="E178" s="13" t="n">
        <v>1</v>
      </c>
      <c r="F178" s="13" t="n">
        <v>5</v>
      </c>
      <c r="G178" s="13" t="n">
        <v>5</v>
      </c>
      <c r="H178" s="8" t="n">
        <v>11.84</v>
      </c>
      <c r="I178" s="8">
        <f>G178*H178</f>
        <v/>
      </c>
      <c r="J178" s="8">
        <f>H178/E178</f>
        <v/>
      </c>
      <c r="K178" s="8" t="n">
        <v>11.84</v>
      </c>
      <c r="L178" s="8" t="n">
        <v>11.84</v>
      </c>
      <c r="M178" s="8" t="n">
        <v>11.84</v>
      </c>
      <c r="N178" s="14">
        <f>J178/M178-1</f>
        <v/>
      </c>
      <c r="O178" s="14">
        <f>J178/K178-1</f>
        <v/>
      </c>
      <c r="P178" s="7" t="inlineStr">
        <is>
          <t>OK (≤ menor hist.)</t>
        </is>
      </c>
      <c r="Q178" s="7" t="inlineStr"/>
    </row>
    <row r="179">
      <c r="A179" s="7" t="n">
        <v>3563</v>
      </c>
      <c r="B179" s="7" t="inlineStr">
        <is>
          <t>6735</t>
        </is>
      </c>
      <c r="C179" s="12" t="inlineStr">
        <is>
          <t>7898719040539</t>
        </is>
      </c>
      <c r="D179" s="7" t="inlineStr">
        <is>
          <t>PERIOASSEPT 250ML MENTA COM ALCOOL</t>
        </is>
      </c>
      <c r="E179" s="13" t="n">
        <v>1</v>
      </c>
      <c r="F179" s="13" t="n">
        <v>1</v>
      </c>
      <c r="G179" s="13" t="n">
        <v>1</v>
      </c>
      <c r="H179" s="8" t="n">
        <v>12.95</v>
      </c>
      <c r="I179" s="8">
        <f>G179*H179</f>
        <v/>
      </c>
      <c r="J179" s="8">
        <f>H179/E179</f>
        <v/>
      </c>
      <c r="K179" s="8" t="n">
        <v>11.99</v>
      </c>
      <c r="L179" s="8" t="n">
        <v>11.99</v>
      </c>
      <c r="M179" s="8" t="n">
        <v>11.99</v>
      </c>
      <c r="N179" s="14">
        <f>J179/M179-1</f>
        <v/>
      </c>
      <c r="O179" s="14">
        <f>J179/K179-1</f>
        <v/>
      </c>
      <c r="P179" s="7" t="inlineStr">
        <is>
          <t>ACIMA +8.0%</t>
        </is>
      </c>
      <c r="Q179" s="7" t="inlineStr"/>
    </row>
    <row r="180">
      <c r="A180" s="7" t="n">
        <v>547801</v>
      </c>
      <c r="B180" s="7" t="inlineStr">
        <is>
          <t>3806</t>
        </is>
      </c>
      <c r="C180" s="12" t="inlineStr">
        <is>
          <t>7899620913059</t>
        </is>
      </c>
      <c r="D180" s="7" t="inlineStr">
        <is>
          <t>PERIODENT SOLUCAO BUCAL 250 ML</t>
        </is>
      </c>
      <c r="E180" s="13" t="n">
        <v>1</v>
      </c>
      <c r="F180" s="13" t="n">
        <v>2</v>
      </c>
      <c r="G180" s="13" t="n">
        <v>2</v>
      </c>
      <c r="H180" s="8" t="n">
        <v>10.79</v>
      </c>
      <c r="I180" s="8">
        <f>G180*H180</f>
        <v/>
      </c>
      <c r="J180" s="8">
        <f>H180/E180</f>
        <v/>
      </c>
      <c r="K180" s="8" t="n">
        <v>10.79</v>
      </c>
      <c r="L180" s="8" t="n">
        <v>10.79</v>
      </c>
      <c r="M180" s="8" t="n">
        <v>10.79</v>
      </c>
      <c r="N180" s="14">
        <f>J180/M180-1</f>
        <v/>
      </c>
      <c r="O180" s="14">
        <f>J180/K180-1</f>
        <v/>
      </c>
      <c r="P180" s="7" t="inlineStr">
        <is>
          <t>OK (≤ menor hist.)</t>
        </is>
      </c>
      <c r="Q180" s="7" t="inlineStr"/>
    </row>
    <row r="181">
      <c r="A181" s="7" t="n">
        <v>5703</v>
      </c>
      <c r="B181" s="7" t="inlineStr">
        <is>
          <t>9657</t>
        </is>
      </c>
      <c r="C181" s="12" t="inlineStr">
        <is>
          <t>609963917563</t>
        </is>
      </c>
      <c r="D181" s="7" t="inlineStr">
        <is>
          <t>POLIVITAMINICO AZ C/60 CPS</t>
        </is>
      </c>
      <c r="E181" s="13" t="n">
        <v>1</v>
      </c>
      <c r="F181" s="13" t="n">
        <v>1</v>
      </c>
      <c r="G181" s="13" t="n">
        <v>1</v>
      </c>
      <c r="H181" s="8" t="n">
        <v>12.62</v>
      </c>
      <c r="I181" s="8">
        <f>G181*H181</f>
        <v/>
      </c>
      <c r="J181" s="8">
        <f>H181/E181</f>
        <v/>
      </c>
      <c r="K181" s="8" t="n"/>
      <c r="L181" s="8" t="n"/>
      <c r="M181" s="8" t="n"/>
      <c r="N181" s="14" t="n"/>
      <c r="O181" s="14" t="n"/>
      <c r="P181" s="7" t="inlineStr">
        <is>
          <t>SEM HISTÓRICO</t>
        </is>
      </c>
      <c r="Q181" s="7" t="inlineStr"/>
    </row>
    <row r="182">
      <c r="A182" s="7" t="n">
        <v>588931</v>
      </c>
      <c r="B182" s="7" t="inlineStr">
        <is>
          <t>1212</t>
        </is>
      </c>
      <c r="C182" s="12" t="inlineStr">
        <is>
          <t>7897146600583</t>
        </is>
      </c>
      <c r="D182" s="7" t="inlineStr">
        <is>
          <t>PRANFIGALDO 10ML ABACAXI UN (FLACONETE)</t>
        </is>
      </c>
      <c r="E182" s="13" t="n">
        <v>60</v>
      </c>
      <c r="F182" s="13" t="n">
        <v>2</v>
      </c>
      <c r="G182" s="13" t="n">
        <v>1</v>
      </c>
      <c r="H182" s="8" t="n">
        <v>24.29</v>
      </c>
      <c r="I182" s="8">
        <f>G182*H182</f>
        <v/>
      </c>
      <c r="J182" s="8">
        <f>H182/E182</f>
        <v/>
      </c>
      <c r="K182" s="8" t="n">
        <v>0.4048</v>
      </c>
      <c r="L182" s="8" t="n">
        <v>0.4048</v>
      </c>
      <c r="M182" s="8" t="n">
        <v>0.4048</v>
      </c>
      <c r="N182" s="14">
        <f>J182/M182-1</f>
        <v/>
      </c>
      <c r="O182" s="14">
        <f>J182/K182-1</f>
        <v/>
      </c>
      <c r="P182" s="7" t="inlineStr">
        <is>
          <t>OK (≤ menor hist.)</t>
        </is>
      </c>
      <c r="Q182" s="7" t="inlineStr">
        <is>
          <t>1 emb = 60 un</t>
        </is>
      </c>
    </row>
    <row r="183">
      <c r="A183" s="7" t="n">
        <v>543501</v>
      </c>
      <c r="B183" s="7" t="inlineStr">
        <is>
          <t>794</t>
        </is>
      </c>
      <c r="C183" s="12" t="inlineStr">
        <is>
          <t>7897146600040</t>
        </is>
      </c>
      <c r="D183" s="7" t="inlineStr">
        <is>
          <t>PRANFIGALDO BOLDO 10ML(FLACONETES)</t>
        </is>
      </c>
      <c r="E183" s="13" t="n">
        <v>60</v>
      </c>
      <c r="F183" s="13" t="n">
        <v>4</v>
      </c>
      <c r="G183" s="13" t="n">
        <v>1</v>
      </c>
      <c r="H183" s="8" t="n">
        <v>33.75</v>
      </c>
      <c r="I183" s="8">
        <f>G183*H183</f>
        <v/>
      </c>
      <c r="J183" s="8">
        <f>H183/E183</f>
        <v/>
      </c>
      <c r="K183" s="8" t="n">
        <v>0.5625</v>
      </c>
      <c r="L183" s="8" t="n">
        <v>0.5367</v>
      </c>
      <c r="M183" s="8" t="n">
        <v>0.5538999999999999</v>
      </c>
      <c r="N183" s="14">
        <f>J183/M183-1</f>
        <v/>
      </c>
      <c r="O183" s="14">
        <f>J183/K183-1</f>
        <v/>
      </c>
      <c r="P183" s="7" t="inlineStr">
        <is>
          <t>OK (≤ últ. compra)</t>
        </is>
      </c>
      <c r="Q183" s="7" t="inlineStr">
        <is>
          <t>1 emb = 60 un</t>
        </is>
      </c>
    </row>
    <row r="184">
      <c r="A184" s="7" t="n">
        <v>550201</v>
      </c>
      <c r="B184" s="7" t="inlineStr">
        <is>
          <t>4713</t>
        </is>
      </c>
      <c r="C184" s="12" t="inlineStr">
        <is>
          <t>7898556850254</t>
        </is>
      </c>
      <c r="D184" s="7" t="inlineStr">
        <is>
          <t>PRES RILEX HOT 3UN</t>
        </is>
      </c>
      <c r="E184" s="13" t="n">
        <v>1</v>
      </c>
      <c r="F184" s="13" t="n">
        <v>2</v>
      </c>
      <c r="G184" s="13" t="n">
        <v>2</v>
      </c>
      <c r="H184" s="8" t="n">
        <v>5.3</v>
      </c>
      <c r="I184" s="8">
        <f>G184*H184</f>
        <v/>
      </c>
      <c r="J184" s="8">
        <f>H184/E184</f>
        <v/>
      </c>
      <c r="K184" s="8" t="n">
        <v>5.07</v>
      </c>
      <c r="L184" s="8" t="n">
        <v>4.85</v>
      </c>
      <c r="M184" s="8" t="n">
        <v>4.996666666666667</v>
      </c>
      <c r="N184" s="14">
        <f>J184/M184-1</f>
        <v/>
      </c>
      <c r="O184" s="14">
        <f>J184/K184-1</f>
        <v/>
      </c>
      <c r="P184" s="7" t="inlineStr">
        <is>
          <t>ACIMA +4.5%</t>
        </is>
      </c>
      <c r="Q184" s="7" t="inlineStr"/>
    </row>
    <row r="185">
      <c r="A185" s="7" t="n">
        <v>550161</v>
      </c>
      <c r="B185" s="7" t="inlineStr">
        <is>
          <t>4711</t>
        </is>
      </c>
      <c r="C185" s="12" t="inlineStr">
        <is>
          <t>7898556850209</t>
        </is>
      </c>
      <c r="D185" s="7" t="inlineStr">
        <is>
          <t>PRES RILEX TEXTURIZADO 3UN</t>
        </is>
      </c>
      <c r="E185" s="13" t="n">
        <v>1</v>
      </c>
      <c r="F185" s="13" t="n">
        <v>1</v>
      </c>
      <c r="G185" s="13" t="n">
        <v>1</v>
      </c>
      <c r="H185" s="8" t="n">
        <v>4.73</v>
      </c>
      <c r="I185" s="8">
        <f>G185*H185</f>
        <v/>
      </c>
      <c r="J185" s="8">
        <f>H185/E185</f>
        <v/>
      </c>
      <c r="K185" s="8" t="n">
        <v>4.56</v>
      </c>
      <c r="L185" s="8" t="n">
        <v>4.55</v>
      </c>
      <c r="M185" s="8" t="n">
        <v>4.553333333333334</v>
      </c>
      <c r="N185" s="14">
        <f>J185/M185-1</f>
        <v/>
      </c>
      <c r="O185" s="14">
        <f>J185/K185-1</f>
        <v/>
      </c>
      <c r="P185" s="7" t="inlineStr">
        <is>
          <t>ACIMA +3.7%</t>
        </is>
      </c>
      <c r="Q185" s="7" t="inlineStr"/>
    </row>
    <row r="186">
      <c r="A186" s="7" t="n">
        <v>584461</v>
      </c>
      <c r="B186" s="7" t="inlineStr">
        <is>
          <t>5736</t>
        </is>
      </c>
      <c r="C186" s="12" t="inlineStr">
        <is>
          <t>7898556850452</t>
        </is>
      </c>
      <c r="D186" s="7" t="inlineStr">
        <is>
          <t>PRESERVATIVO RILEX LEITE CONDENSADO 3UN</t>
        </is>
      </c>
      <c r="E186" s="13" t="n">
        <v>1</v>
      </c>
      <c r="F186" s="13" t="n">
        <v>4</v>
      </c>
      <c r="G186" s="13" t="n">
        <v>4</v>
      </c>
      <c r="H186" s="8" t="n">
        <v>2.33</v>
      </c>
      <c r="I186" s="8">
        <f>G186*H186</f>
        <v/>
      </c>
      <c r="J186" s="8">
        <f>H186/E186</f>
        <v/>
      </c>
      <c r="K186" s="8" t="n">
        <v>2.22</v>
      </c>
      <c r="L186" s="8" t="n">
        <v>2.22</v>
      </c>
      <c r="M186" s="8" t="n">
        <v>2.22</v>
      </c>
      <c r="N186" s="14">
        <f>J186/M186-1</f>
        <v/>
      </c>
      <c r="O186" s="14">
        <f>J186/K186-1</f>
        <v/>
      </c>
      <c r="P186" s="7" t="inlineStr">
        <is>
          <t>ACIMA +5.0%</t>
        </is>
      </c>
      <c r="Q186" s="7" t="inlineStr"/>
    </row>
    <row r="187">
      <c r="A187" s="7" t="n">
        <v>532801</v>
      </c>
      <c r="B187" s="7" t="inlineStr">
        <is>
          <t>879</t>
        </is>
      </c>
      <c r="C187" s="12" t="inlineStr">
        <is>
          <t>7898903991487</t>
        </is>
      </c>
      <c r="D187" s="7" t="inlineStr">
        <is>
          <t>PRESERVATIVO RILEX LUBRIFICADO C/3</t>
        </is>
      </c>
      <c r="E187" s="13" t="n">
        <v>1</v>
      </c>
      <c r="F187" s="13" t="n">
        <v>3</v>
      </c>
      <c r="G187" s="13" t="n">
        <v>3</v>
      </c>
      <c r="H187" s="8" t="n">
        <v>2.17</v>
      </c>
      <c r="I187" s="8">
        <f>G187*H187</f>
        <v/>
      </c>
      <c r="J187" s="8">
        <f>H187/E187</f>
        <v/>
      </c>
      <c r="K187" s="8" t="n">
        <v>2.11</v>
      </c>
      <c r="L187" s="8" t="n">
        <v>2.09</v>
      </c>
      <c r="M187" s="8" t="n">
        <v>2.096666666666666</v>
      </c>
      <c r="N187" s="14">
        <f>J187/M187-1</f>
        <v/>
      </c>
      <c r="O187" s="14">
        <f>J187/K187-1</f>
        <v/>
      </c>
      <c r="P187" s="7" t="inlineStr">
        <is>
          <t>ACIMA +2.8%</t>
        </is>
      </c>
      <c r="Q187" s="7" t="inlineStr"/>
    </row>
    <row r="188">
      <c r="A188" s="7" t="n">
        <v>532821</v>
      </c>
      <c r="B188" s="7" t="inlineStr">
        <is>
          <t>882</t>
        </is>
      </c>
      <c r="C188" s="12" t="inlineStr">
        <is>
          <t>7898903991517</t>
        </is>
      </c>
      <c r="D188" s="7" t="inlineStr">
        <is>
          <t>PRESERVATIVO RILEX MORANGO C/3</t>
        </is>
      </c>
      <c r="E188" s="13" t="n">
        <v>1</v>
      </c>
      <c r="F188" s="13" t="n">
        <v>1</v>
      </c>
      <c r="G188" s="13" t="n">
        <v>1</v>
      </c>
      <c r="H188" s="8" t="n">
        <v>2.21</v>
      </c>
      <c r="I188" s="8">
        <f>G188*H188</f>
        <v/>
      </c>
      <c r="J188" s="8">
        <f>H188/E188</f>
        <v/>
      </c>
      <c r="K188" s="8" t="n">
        <v>2.14</v>
      </c>
      <c r="L188" s="8" t="n">
        <v>2.13</v>
      </c>
      <c r="M188" s="8" t="n">
        <v>2.133333333333333</v>
      </c>
      <c r="N188" s="14">
        <f>J188/M188-1</f>
        <v/>
      </c>
      <c r="O188" s="14">
        <f>J188/K188-1</f>
        <v/>
      </c>
      <c r="P188" s="7" t="inlineStr">
        <is>
          <t>ACIMA +3.3%</t>
        </is>
      </c>
      <c r="Q188" s="7" t="inlineStr"/>
    </row>
    <row r="189">
      <c r="A189" s="7" t="n">
        <v>532781</v>
      </c>
      <c r="B189" s="7" t="inlineStr">
        <is>
          <t>877</t>
        </is>
      </c>
      <c r="C189" s="12" t="inlineStr">
        <is>
          <t>7898556850193</t>
        </is>
      </c>
      <c r="D189" s="7" t="inlineStr">
        <is>
          <t>PRESERVATIVO RILEX SENSITIVE C/3</t>
        </is>
      </c>
      <c r="E189" s="13" t="n">
        <v>1</v>
      </c>
      <c r="F189" s="13" t="n">
        <v>5</v>
      </c>
      <c r="G189" s="13" t="n">
        <v>5</v>
      </c>
      <c r="H189" s="8" t="n">
        <v>4.55</v>
      </c>
      <c r="I189" s="8">
        <f>G189*H189</f>
        <v/>
      </c>
      <c r="J189" s="8">
        <f>H189/E189</f>
        <v/>
      </c>
      <c r="K189" s="8" t="n">
        <v>4.38</v>
      </c>
      <c r="L189" s="8" t="n">
        <v>4.37</v>
      </c>
      <c r="M189" s="8" t="n">
        <v>4.373333333333334</v>
      </c>
      <c r="N189" s="14">
        <f>J189/M189-1</f>
        <v/>
      </c>
      <c r="O189" s="14">
        <f>J189/K189-1</f>
        <v/>
      </c>
      <c r="P189" s="7" t="inlineStr">
        <is>
          <t>ACIMA +3.9%</t>
        </is>
      </c>
      <c r="Q189" s="7" t="inlineStr"/>
    </row>
    <row r="190">
      <c r="A190" s="7" t="n">
        <v>68841</v>
      </c>
      <c r="B190" s="7" t="inlineStr">
        <is>
          <t>4578</t>
        </is>
      </c>
      <c r="C190" s="12" t="inlineStr">
        <is>
          <t>7896004765709</t>
        </is>
      </c>
      <c r="D190" s="7" t="inlineStr">
        <is>
          <t>PV - INALIDE 64MPV - CG SUS SPR NAS FR 120 ACION</t>
        </is>
      </c>
      <c r="E190" s="13" t="n">
        <v>1</v>
      </c>
      <c r="F190" s="13" t="n">
        <v>2</v>
      </c>
      <c r="G190" s="13" t="n">
        <v>2</v>
      </c>
      <c r="H190" s="8" t="n">
        <v>20.33</v>
      </c>
      <c r="I190" s="8">
        <f>G190*H190</f>
        <v/>
      </c>
      <c r="J190" s="8">
        <f>H190/E190</f>
        <v/>
      </c>
      <c r="K190" s="8" t="n">
        <v>23.98</v>
      </c>
      <c r="L190" s="8" t="n">
        <v>23.98</v>
      </c>
      <c r="M190" s="8" t="n">
        <v>23.98</v>
      </c>
      <c r="N190" s="14">
        <f>J190/M190-1</f>
        <v/>
      </c>
      <c r="O190" s="14">
        <f>J190/K190-1</f>
        <v/>
      </c>
      <c r="P190" s="7" t="inlineStr">
        <is>
          <t>OK (≤ menor hist.)</t>
        </is>
      </c>
      <c r="Q190" s="7" t="inlineStr"/>
    </row>
    <row r="191">
      <c r="A191" s="7" t="n">
        <v>660341</v>
      </c>
      <c r="B191" s="7" t="inlineStr">
        <is>
          <t>10727</t>
        </is>
      </c>
      <c r="C191" s="12" t="inlineStr">
        <is>
          <t>7891058005658</t>
        </is>
      </c>
      <c r="D191" s="7" t="inlineStr">
        <is>
          <t>PV - PREDNISONA 5MG CX 20 COMP</t>
        </is>
      </c>
      <c r="E191" s="13" t="n">
        <v>1</v>
      </c>
      <c r="F191" s="13" t="n">
        <v>13</v>
      </c>
      <c r="G191" s="13" t="n">
        <v>13</v>
      </c>
      <c r="H191" s="8" t="n">
        <v>4.14</v>
      </c>
      <c r="I191" s="8">
        <f>G191*H191</f>
        <v/>
      </c>
      <c r="J191" s="8">
        <f>H191/E191</f>
        <v/>
      </c>
      <c r="K191" s="8" t="n">
        <v>3.468</v>
      </c>
      <c r="L191" s="8" t="n">
        <v>2.967</v>
      </c>
      <c r="M191" s="8" t="n">
        <v>3.301</v>
      </c>
      <c r="N191" s="14">
        <f>J191/M191-1</f>
        <v/>
      </c>
      <c r="O191" s="14">
        <f>J191/K191-1</f>
        <v/>
      </c>
      <c r="P191" s="7" t="inlineStr">
        <is>
          <t>ACIMA +19.4%</t>
        </is>
      </c>
      <c r="Q191" s="7" t="inlineStr"/>
    </row>
    <row r="192">
      <c r="A192" s="7" t="n">
        <v>1353</v>
      </c>
      <c r="B192" s="7" t="inlineStr">
        <is>
          <t>8774</t>
        </is>
      </c>
      <c r="C192" s="12" t="inlineStr">
        <is>
          <t>7898714761477</t>
        </is>
      </c>
      <c r="D192" s="7" t="inlineStr">
        <is>
          <t>PV K2+D3 CAPS REV X 30</t>
        </is>
      </c>
      <c r="E192" s="13" t="n">
        <v>1</v>
      </c>
      <c r="F192" s="13" t="n">
        <v>1</v>
      </c>
      <c r="G192" s="13" t="n">
        <v>1</v>
      </c>
      <c r="H192" s="8" t="n">
        <v>20.61</v>
      </c>
      <c r="I192" s="8">
        <f>G192*H192</f>
        <v/>
      </c>
      <c r="J192" s="8">
        <f>H192/E192</f>
        <v/>
      </c>
      <c r="K192" s="8" t="n">
        <v>41.8867</v>
      </c>
      <c r="L192" s="8" t="n">
        <v>41.8867</v>
      </c>
      <c r="M192" s="8" t="n">
        <v>41.8867</v>
      </c>
      <c r="N192" s="14">
        <f>J192/M192-1</f>
        <v/>
      </c>
      <c r="O192" s="14">
        <f>J192/K192-1</f>
        <v/>
      </c>
      <c r="P192" s="7" t="inlineStr">
        <is>
          <t>OK (≤ menor hist.)</t>
        </is>
      </c>
      <c r="Q192" s="7" t="inlineStr">
        <is>
          <t>conferir emb.</t>
        </is>
      </c>
    </row>
    <row r="193">
      <c r="A193" s="7" t="n">
        <v>622411</v>
      </c>
      <c r="B193" s="7" t="inlineStr">
        <is>
          <t>7803</t>
        </is>
      </c>
      <c r="C193" s="12" t="inlineStr">
        <is>
          <t>7898582291854</t>
        </is>
      </c>
      <c r="D193" s="7" t="inlineStr">
        <is>
          <t>QUEIMADOL POMADA 30G</t>
        </is>
      </c>
      <c r="E193" s="13" t="n">
        <v>1</v>
      </c>
      <c r="F193" s="13" t="n">
        <v>3</v>
      </c>
      <c r="G193" s="13" t="n">
        <v>3</v>
      </c>
      <c r="H193" s="8" t="n">
        <v>12.34</v>
      </c>
      <c r="I193" s="8">
        <f>G193*H193</f>
        <v/>
      </c>
      <c r="J193" s="8">
        <f>H193/E193</f>
        <v/>
      </c>
      <c r="K193" s="8" t="n">
        <v>11.52</v>
      </c>
      <c r="L193" s="8" t="n">
        <v>11.52</v>
      </c>
      <c r="M193" s="8" t="n">
        <v>11.52</v>
      </c>
      <c r="N193" s="14">
        <f>J193/M193-1</f>
        <v/>
      </c>
      <c r="O193" s="14">
        <f>J193/K193-1</f>
        <v/>
      </c>
      <c r="P193" s="7" t="inlineStr">
        <is>
          <t>ACIMA +7.1%</t>
        </is>
      </c>
      <c r="Q193" s="7" t="inlineStr"/>
    </row>
    <row r="194">
      <c r="A194" s="7" t="n">
        <v>5603</v>
      </c>
      <c r="B194" s="7" t="inlineStr">
        <is>
          <t>9721</t>
        </is>
      </c>
      <c r="C194" s="12" t="inlineStr">
        <is>
          <t>7898767761684</t>
        </is>
      </c>
      <c r="D194" s="7" t="inlineStr">
        <is>
          <t>REHIDRAX PO C/04 ENVE AGUA DE COCO</t>
        </is>
      </c>
      <c r="E194" s="13" t="n">
        <v>1</v>
      </c>
      <c r="F194" s="13" t="n">
        <v>1</v>
      </c>
      <c r="G194" s="13" t="n">
        <v>1</v>
      </c>
      <c r="H194" s="8" t="n">
        <v>8.76</v>
      </c>
      <c r="I194" s="8">
        <f>G194*H194</f>
        <v/>
      </c>
      <c r="J194" s="8">
        <f>H194/E194</f>
        <v/>
      </c>
      <c r="K194" s="8" t="n">
        <v>8.07</v>
      </c>
      <c r="L194" s="8" t="n">
        <v>8.07</v>
      </c>
      <c r="M194" s="8" t="n">
        <v>8.07</v>
      </c>
      <c r="N194" s="14">
        <f>J194/M194-1</f>
        <v/>
      </c>
      <c r="O194" s="14">
        <f>J194/K194-1</f>
        <v/>
      </c>
      <c r="P194" s="7" t="inlineStr">
        <is>
          <t>ACIMA +8.6%</t>
        </is>
      </c>
      <c r="Q194" s="7" t="inlineStr"/>
    </row>
    <row r="195">
      <c r="A195" s="7" t="n">
        <v>5903</v>
      </c>
      <c r="B195" s="7" t="inlineStr">
        <is>
          <t>9719</t>
        </is>
      </c>
      <c r="C195" s="12" t="inlineStr">
        <is>
          <t>7898767761707</t>
        </is>
      </c>
      <c r="D195" s="7" t="inlineStr">
        <is>
          <t>REHIDRAX PO C/04 ENVE LARANJA</t>
        </is>
      </c>
      <c r="E195" s="13" t="n">
        <v>1</v>
      </c>
      <c r="F195" s="13" t="n">
        <v>1</v>
      </c>
      <c r="G195" s="13" t="n">
        <v>1</v>
      </c>
      <c r="H195" s="8" t="n">
        <v>8.76</v>
      </c>
      <c r="I195" s="8">
        <f>G195*H195</f>
        <v/>
      </c>
      <c r="J195" s="8">
        <f>H195/E195</f>
        <v/>
      </c>
      <c r="K195" s="8" t="n">
        <v>8.07</v>
      </c>
      <c r="L195" s="8" t="n">
        <v>8.07</v>
      </c>
      <c r="M195" s="8" t="n">
        <v>8.07</v>
      </c>
      <c r="N195" s="14">
        <f>J195/M195-1</f>
        <v/>
      </c>
      <c r="O195" s="14">
        <f>J195/K195-1</f>
        <v/>
      </c>
      <c r="P195" s="7" t="inlineStr">
        <is>
          <t>ACIMA +8.6%</t>
        </is>
      </c>
      <c r="Q195" s="7" t="inlineStr"/>
    </row>
    <row r="196">
      <c r="A196" s="7" t="n">
        <v>4701</v>
      </c>
      <c r="B196" s="7" t="inlineStr">
        <is>
          <t>1702</t>
        </is>
      </c>
      <c r="C196" s="12" t="inlineStr">
        <is>
          <t>7896004703954</t>
        </is>
      </c>
      <c r="D196" s="7" t="inlineStr">
        <is>
          <t>REPOPIL 35 2+0,035MG CX 21 COMP REV</t>
        </is>
      </c>
      <c r="E196" s="13" t="n">
        <v>1</v>
      </c>
      <c r="F196" s="13" t="n">
        <v>8</v>
      </c>
      <c r="G196" s="13" t="n">
        <v>8</v>
      </c>
      <c r="H196" s="8" t="n">
        <v>9.41</v>
      </c>
      <c r="I196" s="8">
        <f>G196*H196</f>
        <v/>
      </c>
      <c r="J196" s="8">
        <f>H196/E196</f>
        <v/>
      </c>
      <c r="K196" s="8" t="n">
        <v>8.869999999999999</v>
      </c>
      <c r="L196" s="8" t="n">
        <v>8.869999999999999</v>
      </c>
      <c r="M196" s="8" t="n">
        <v>8.869999999999999</v>
      </c>
      <c r="N196" s="14">
        <f>J196/M196-1</f>
        <v/>
      </c>
      <c r="O196" s="14">
        <f>J196/K196-1</f>
        <v/>
      </c>
      <c r="P196" s="7" t="inlineStr">
        <is>
          <t>ACIMA +6.1%</t>
        </is>
      </c>
      <c r="Q196" s="7" t="inlineStr"/>
    </row>
    <row r="197">
      <c r="A197" s="7" t="n">
        <v>419001</v>
      </c>
      <c r="B197" s="7" t="inlineStr">
        <is>
          <t>4865</t>
        </is>
      </c>
      <c r="C197" s="12" t="inlineStr">
        <is>
          <t>7898569763916</t>
        </is>
      </c>
      <c r="D197" s="7" t="inlineStr">
        <is>
          <t>RISEDRONATO SODICO 150MG CX 1 COMP REV</t>
        </is>
      </c>
      <c r="E197" s="13" t="n">
        <v>1</v>
      </c>
      <c r="F197" s="13" t="n">
        <v>1</v>
      </c>
      <c r="G197" s="13" t="n">
        <v>1</v>
      </c>
      <c r="H197" s="8" t="n">
        <v>9.99</v>
      </c>
      <c r="I197" s="8">
        <f>G197*H197</f>
        <v/>
      </c>
      <c r="J197" s="8">
        <f>H197/E197</f>
        <v/>
      </c>
      <c r="K197" s="8" t="n">
        <v>18.43</v>
      </c>
      <c r="L197" s="8" t="n">
        <v>13.5</v>
      </c>
      <c r="M197" s="8" t="n">
        <v>13.5</v>
      </c>
      <c r="N197" s="14">
        <f>J197/M197-1</f>
        <v/>
      </c>
      <c r="O197" s="14">
        <f>J197/K197-1</f>
        <v/>
      </c>
      <c r="P197" s="7" t="inlineStr">
        <is>
          <t>OK (≤ menor hist.)</t>
        </is>
      </c>
      <c r="Q197" s="7" t="inlineStr"/>
    </row>
    <row r="198">
      <c r="A198" s="7" t="n">
        <v>234</v>
      </c>
      <c r="B198" s="7" t="inlineStr">
        <is>
          <t>528</t>
        </is>
      </c>
      <c r="C198" s="12" t="inlineStr">
        <is>
          <t>7898277711421</t>
        </is>
      </c>
      <c r="D198" s="7" t="inlineStr">
        <is>
          <t>SAB DE COCO BARRA 100G</t>
        </is>
      </c>
      <c r="E198" s="13" t="n">
        <v>1</v>
      </c>
      <c r="F198" s="13" t="n">
        <v>1</v>
      </c>
      <c r="G198" s="13" t="n">
        <v>1</v>
      </c>
      <c r="H198" s="8" t="n">
        <v>5.74</v>
      </c>
      <c r="I198" s="8">
        <f>G198*H198</f>
        <v/>
      </c>
      <c r="J198" s="8">
        <f>H198/E198</f>
        <v/>
      </c>
      <c r="K198" s="8" t="n"/>
      <c r="L198" s="8" t="n"/>
      <c r="M198" s="8" t="n"/>
      <c r="N198" s="14" t="n"/>
      <c r="O198" s="14" t="n"/>
      <c r="P198" s="7" t="inlineStr">
        <is>
          <t>SEM HISTÓRICO</t>
        </is>
      </c>
      <c r="Q198" s="7" t="inlineStr"/>
    </row>
    <row r="199">
      <c r="A199" s="7" t="n">
        <v>674361</v>
      </c>
      <c r="B199" s="7" t="inlineStr">
        <is>
          <t>7213</t>
        </is>
      </c>
      <c r="C199" s="12" t="inlineStr">
        <is>
          <t>7898936049049</t>
        </is>
      </c>
      <c r="D199" s="7" t="inlineStr">
        <is>
          <t>SABONETE INTIMO 17 ERVAS 210ML</t>
        </is>
      </c>
      <c r="E199" s="13" t="n">
        <v>1</v>
      </c>
      <c r="F199" s="13" t="n">
        <v>7</v>
      </c>
      <c r="G199" s="13" t="n">
        <v>7</v>
      </c>
      <c r="H199" s="8" t="n">
        <v>3.33</v>
      </c>
      <c r="I199" s="8">
        <f>G199*H199</f>
        <v/>
      </c>
      <c r="J199" s="8">
        <f>H199/E199</f>
        <v/>
      </c>
      <c r="K199" s="8" t="n">
        <v>3.35</v>
      </c>
      <c r="L199" s="8" t="n">
        <v>3.35</v>
      </c>
      <c r="M199" s="8" t="n">
        <v>3.35</v>
      </c>
      <c r="N199" s="14">
        <f>J199/M199-1</f>
        <v/>
      </c>
      <c r="O199" s="14">
        <f>J199/K199-1</f>
        <v/>
      </c>
      <c r="P199" s="7" t="inlineStr">
        <is>
          <t>OK (≤ menor hist.)</t>
        </is>
      </c>
      <c r="Q199" s="7" t="inlineStr"/>
    </row>
    <row r="200">
      <c r="A200" s="7" t="n">
        <v>1503</v>
      </c>
      <c r="B200" s="7" t="inlineStr">
        <is>
          <t>7206</t>
        </is>
      </c>
      <c r="C200" s="12" t="inlineStr">
        <is>
          <t>7898936049735</t>
        </is>
      </c>
      <c r="D200" s="7" t="inlineStr">
        <is>
          <t>SABONETE INTIMO BARBATIMAO AROEIRA 210ML</t>
        </is>
      </c>
      <c r="E200" s="13" t="n">
        <v>1</v>
      </c>
      <c r="F200" s="13" t="n">
        <v>3</v>
      </c>
      <c r="G200" s="13" t="n">
        <v>3</v>
      </c>
      <c r="H200" s="8" t="n">
        <v>3.36</v>
      </c>
      <c r="I200" s="8">
        <f>G200*H200</f>
        <v/>
      </c>
      <c r="J200" s="8">
        <f>H200/E200</f>
        <v/>
      </c>
      <c r="K200" s="8" t="n">
        <v>3.38</v>
      </c>
      <c r="L200" s="8" t="n">
        <v>3.38</v>
      </c>
      <c r="M200" s="8" t="n">
        <v>3.38</v>
      </c>
      <c r="N200" s="14">
        <f>J200/M200-1</f>
        <v/>
      </c>
      <c r="O200" s="14">
        <f>J200/K200-1</f>
        <v/>
      </c>
      <c r="P200" s="7" t="inlineStr">
        <is>
          <t>OK (≤ menor hist.)</t>
        </is>
      </c>
      <c r="Q200" s="7" t="inlineStr"/>
    </row>
    <row r="201">
      <c r="A201" s="7" t="n">
        <v>531721</v>
      </c>
      <c r="B201" s="7" t="inlineStr">
        <is>
          <t>157</t>
        </is>
      </c>
      <c r="C201" s="12" t="inlineStr">
        <is>
          <t>7898031311324</t>
        </is>
      </c>
      <c r="D201" s="7" t="inlineStr">
        <is>
          <t>SAL AMARGO 30G</t>
        </is>
      </c>
      <c r="E201" s="13" t="n">
        <v>1</v>
      </c>
      <c r="F201" s="13" t="n">
        <v>5</v>
      </c>
      <c r="G201" s="13" t="n">
        <v>5</v>
      </c>
      <c r="H201" s="8" t="n">
        <v>2.36</v>
      </c>
      <c r="I201" s="8">
        <f>G201*H201</f>
        <v/>
      </c>
      <c r="J201" s="8">
        <f>H201/E201</f>
        <v/>
      </c>
      <c r="K201" s="8" t="n">
        <v>2.49</v>
      </c>
      <c r="L201" s="8" t="n">
        <v>2.23</v>
      </c>
      <c r="M201" s="8" t="n">
        <v>2.316666666666667</v>
      </c>
      <c r="N201" s="14">
        <f>J201/M201-1</f>
        <v/>
      </c>
      <c r="O201" s="14">
        <f>J201/K201-1</f>
        <v/>
      </c>
      <c r="P201" s="7" t="inlineStr">
        <is>
          <t>OK (≤ últ. compra)</t>
        </is>
      </c>
      <c r="Q201" s="7" t="inlineStr"/>
    </row>
    <row r="202">
      <c r="A202" s="7" t="n">
        <v>432121</v>
      </c>
      <c r="B202" s="7" t="inlineStr">
        <is>
          <t>253</t>
        </is>
      </c>
      <c r="C202" s="12" t="inlineStr">
        <is>
          <t>7898060138220</t>
        </is>
      </c>
      <c r="D202" s="7" t="inlineStr">
        <is>
          <t>SECNIMAX 1000MG CX 2 COMP</t>
        </is>
      </c>
      <c r="E202" s="13" t="n">
        <v>1</v>
      </c>
      <c r="F202" s="13" t="n">
        <v>134</v>
      </c>
      <c r="G202" s="13" t="n">
        <v>134</v>
      </c>
      <c r="H202" s="8" t="n">
        <v>2.61</v>
      </c>
      <c r="I202" s="8">
        <f>G202*H202</f>
        <v/>
      </c>
      <c r="J202" s="8">
        <f>H202/E202</f>
        <v/>
      </c>
      <c r="K202" s="8" t="n">
        <v>2.49</v>
      </c>
      <c r="L202" s="8" t="n">
        <v>2.39</v>
      </c>
      <c r="M202" s="8" t="n">
        <v>2.39</v>
      </c>
      <c r="N202" s="14">
        <f>J202/M202-1</f>
        <v/>
      </c>
      <c r="O202" s="14">
        <f>J202/K202-1</f>
        <v/>
      </c>
      <c r="P202" s="7" t="inlineStr">
        <is>
          <t>ACIMA +4.8%</t>
        </is>
      </c>
      <c r="Q202" s="7" t="inlineStr"/>
    </row>
    <row r="203">
      <c r="A203" s="7" t="n">
        <v>671301</v>
      </c>
      <c r="B203" s="7" t="inlineStr">
        <is>
          <t>8808</t>
        </is>
      </c>
      <c r="C203" s="12" t="inlineStr">
        <is>
          <t>7898652375736</t>
        </is>
      </c>
      <c r="D203" s="7" t="inlineStr">
        <is>
          <t>SERINGA 20ML LL AGULHA 0,7X25</t>
        </is>
      </c>
      <c r="E203" s="13" t="n">
        <v>1</v>
      </c>
      <c r="F203" s="13" t="n">
        <v>24</v>
      </c>
      <c r="G203" s="13" t="n">
        <v>24</v>
      </c>
      <c r="H203" s="8" t="n">
        <v>0.89</v>
      </c>
      <c r="I203" s="8">
        <f>G203*H203</f>
        <v/>
      </c>
      <c r="J203" s="8">
        <f>H203/E203</f>
        <v/>
      </c>
      <c r="K203" s="8" t="n">
        <v>0.59</v>
      </c>
      <c r="L203" s="8" t="n">
        <v>0.59</v>
      </c>
      <c r="M203" s="8" t="n">
        <v>0.59</v>
      </c>
      <c r="N203" s="14">
        <f>J203/M203-1</f>
        <v/>
      </c>
      <c r="O203" s="14">
        <f>J203/K203-1</f>
        <v/>
      </c>
      <c r="P203" s="7" t="inlineStr">
        <is>
          <t>ACIMA +50.8%</t>
        </is>
      </c>
      <c r="Q203" s="7" t="inlineStr"/>
    </row>
    <row r="204">
      <c r="A204" s="7" t="n">
        <v>639041</v>
      </c>
      <c r="B204" s="7" t="inlineStr">
        <is>
          <t>7222</t>
        </is>
      </c>
      <c r="C204" s="12" t="inlineStr">
        <is>
          <t>7898259496001</t>
        </is>
      </c>
      <c r="D204" s="7" t="inlineStr">
        <is>
          <t>SERINGA 20ML LL AGULHA 0,7X25</t>
        </is>
      </c>
      <c r="E204" s="13" t="n">
        <v>1</v>
      </c>
      <c r="F204" s="13" t="n">
        <v>76</v>
      </c>
      <c r="G204" s="13" t="n">
        <v>76</v>
      </c>
      <c r="H204" s="8" t="n">
        <v>0.57</v>
      </c>
      <c r="I204" s="8">
        <f>G204*H204</f>
        <v/>
      </c>
      <c r="J204" s="8">
        <f>H204/E204</f>
        <v/>
      </c>
      <c r="K204" s="8" t="n">
        <v>0.64</v>
      </c>
      <c r="L204" s="8" t="n">
        <v>0.64</v>
      </c>
      <c r="M204" s="8" t="n">
        <v>0.64</v>
      </c>
      <c r="N204" s="14">
        <f>J204/M204-1</f>
        <v/>
      </c>
      <c r="O204" s="14">
        <f>J204/K204-1</f>
        <v/>
      </c>
      <c r="P204" s="7" t="inlineStr">
        <is>
          <t>OK (≤ menor hist.)</t>
        </is>
      </c>
      <c r="Q204" s="7" t="inlineStr"/>
    </row>
    <row r="205">
      <c r="A205" s="7" t="n">
        <v>619851</v>
      </c>
      <c r="B205" s="7" t="inlineStr">
        <is>
          <t>3550</t>
        </is>
      </c>
      <c r="C205" s="12" t="inlineStr">
        <is>
          <t>7899620912441</t>
        </is>
      </c>
      <c r="D205" s="7" t="inlineStr">
        <is>
          <t>SIMETICONA (N.S.) 40MG CX 20 COMP</t>
        </is>
      </c>
      <c r="E205" s="13" t="n">
        <v>1</v>
      </c>
      <c r="F205" s="13" t="n">
        <v>16</v>
      </c>
      <c r="G205" s="13" t="n">
        <v>16</v>
      </c>
      <c r="H205" s="8" t="n">
        <v>2.97</v>
      </c>
      <c r="I205" s="8">
        <f>G205*H205</f>
        <v/>
      </c>
      <c r="J205" s="8">
        <f>H205/E205</f>
        <v/>
      </c>
      <c r="K205" s="8" t="n">
        <v>2.97</v>
      </c>
      <c r="L205" s="8" t="n">
        <v>2.97</v>
      </c>
      <c r="M205" s="8" t="n">
        <v>2.97</v>
      </c>
      <c r="N205" s="14">
        <f>J205/M205-1</f>
        <v/>
      </c>
      <c r="O205" s="14">
        <f>J205/K205-1</f>
        <v/>
      </c>
      <c r="P205" s="7" t="inlineStr">
        <is>
          <t>OK (≤ menor hist.)</t>
        </is>
      </c>
      <c r="Q205" s="7" t="inlineStr"/>
    </row>
    <row r="206">
      <c r="A206" s="7" t="n">
        <v>588661</v>
      </c>
      <c r="B206" s="7" t="inlineStr">
        <is>
          <t>7576</t>
        </is>
      </c>
      <c r="C206" s="12" t="inlineStr">
        <is>
          <t>7898031310594</t>
        </is>
      </c>
      <c r="D206" s="7" t="inlineStr">
        <is>
          <t>SOLUCAO FISIOLOGICA 0,9% 250ML UN</t>
        </is>
      </c>
      <c r="E206" s="13" t="n">
        <v>1</v>
      </c>
      <c r="F206" s="13" t="n">
        <v>4</v>
      </c>
      <c r="G206" s="13" t="n">
        <v>4</v>
      </c>
      <c r="H206" s="8" t="n">
        <v>3.585</v>
      </c>
      <c r="I206" s="8">
        <f>G206*H206</f>
        <v/>
      </c>
      <c r="J206" s="8">
        <f>H206/E206</f>
        <v/>
      </c>
      <c r="K206" s="8" t="n">
        <v>3.09</v>
      </c>
      <c r="L206" s="8" t="n">
        <v>3.09</v>
      </c>
      <c r="M206" s="8" t="n">
        <v>3.09</v>
      </c>
      <c r="N206" s="14">
        <f>J206/M206-1</f>
        <v/>
      </c>
      <c r="O206" s="14">
        <f>J206/K206-1</f>
        <v/>
      </c>
      <c r="P206" s="7" t="inlineStr">
        <is>
          <t>ACIMA +16.0%</t>
        </is>
      </c>
      <c r="Q206" s="7" t="inlineStr"/>
    </row>
    <row r="207">
      <c r="A207" s="7" t="n">
        <v>614021</v>
      </c>
      <c r="B207" s="7" t="inlineStr">
        <is>
          <t>8240</t>
        </is>
      </c>
      <c r="C207" s="12" t="inlineStr">
        <is>
          <t>7897732608146</t>
        </is>
      </c>
      <c r="D207" s="7" t="inlineStr">
        <is>
          <t>SORALYT 450ML SABOR MORANGO</t>
        </is>
      </c>
      <c r="E207" s="13" t="n">
        <v>1</v>
      </c>
      <c r="F207" s="13" t="n">
        <v>7</v>
      </c>
      <c r="G207" s="13" t="n">
        <v>7</v>
      </c>
      <c r="H207" s="8" t="n">
        <v>6.67</v>
      </c>
      <c r="I207" s="8">
        <f>G207*H207</f>
        <v/>
      </c>
      <c r="J207" s="8">
        <f>H207/E207</f>
        <v/>
      </c>
      <c r="K207" s="8" t="n">
        <v>6.55</v>
      </c>
      <c r="L207" s="8" t="n">
        <v>6.55</v>
      </c>
      <c r="M207" s="8" t="n">
        <v>6.55</v>
      </c>
      <c r="N207" s="14">
        <f>J207/M207-1</f>
        <v/>
      </c>
      <c r="O207" s="14">
        <f>J207/K207-1</f>
        <v/>
      </c>
      <c r="P207" s="7" t="inlineStr">
        <is>
          <t>ACIMA +1.8%</t>
        </is>
      </c>
      <c r="Q207" s="7" t="inlineStr"/>
    </row>
    <row r="208">
      <c r="A208" s="7" t="n">
        <v>531861</v>
      </c>
      <c r="B208" s="7" t="inlineStr">
        <is>
          <t>809</t>
        </is>
      </c>
      <c r="C208" s="12" t="inlineStr">
        <is>
          <t>7898031310389</t>
        </is>
      </c>
      <c r="D208" s="7" t="inlineStr">
        <is>
          <t>SORO FISIOLOGICO 9% 100ML</t>
        </is>
      </c>
      <c r="E208" s="13" t="n">
        <v>1</v>
      </c>
      <c r="F208" s="13" t="n">
        <v>103</v>
      </c>
      <c r="G208" s="13" t="n">
        <v>103</v>
      </c>
      <c r="H208" s="8" t="n">
        <v>2.28</v>
      </c>
      <c r="I208" s="8">
        <f>G208*H208</f>
        <v/>
      </c>
      <c r="J208" s="8">
        <f>H208/E208</f>
        <v/>
      </c>
      <c r="K208" s="8" t="n">
        <v>2.27</v>
      </c>
      <c r="L208" s="8" t="n">
        <v>2.0228</v>
      </c>
      <c r="M208" s="8" t="n">
        <v>2.094266666666666</v>
      </c>
      <c r="N208" s="14">
        <f>J208/M208-1</f>
        <v/>
      </c>
      <c r="O208" s="14">
        <f>J208/K208-1</f>
        <v/>
      </c>
      <c r="P208" s="7" t="inlineStr">
        <is>
          <t>ACIMA +0.4%</t>
        </is>
      </c>
      <c r="Q208" s="7" t="inlineStr"/>
    </row>
    <row r="209">
      <c r="A209" s="7" t="n">
        <v>616441</v>
      </c>
      <c r="B209" s="7" t="inlineStr">
        <is>
          <t>10045</t>
        </is>
      </c>
      <c r="C209" s="12" t="inlineStr">
        <is>
          <t>7896523201542</t>
        </is>
      </c>
      <c r="D209" s="7" t="inlineStr">
        <is>
          <t>SUCCINATO METOPROLOL 100MG CX 30 COMP REV</t>
        </is>
      </c>
      <c r="E209" s="13" t="n">
        <v>1</v>
      </c>
      <c r="F209" s="13" t="n">
        <v>1</v>
      </c>
      <c r="G209" s="13" t="n">
        <v>1</v>
      </c>
      <c r="H209" s="8" t="n">
        <v>0.01</v>
      </c>
      <c r="I209" s="8">
        <f>G209*H209</f>
        <v/>
      </c>
      <c r="J209" s="8">
        <f>H209/E209</f>
        <v/>
      </c>
      <c r="K209" s="8" t="n">
        <v>18.99</v>
      </c>
      <c r="L209" s="8" t="n">
        <v>17.03</v>
      </c>
      <c r="M209" s="8" t="n">
        <v>18.23666666666667</v>
      </c>
      <c r="N209" s="14">
        <f>J209/M209-1</f>
        <v/>
      </c>
      <c r="O209" s="14">
        <f>J209/K209-1</f>
        <v/>
      </c>
      <c r="P209" s="7" t="inlineStr">
        <is>
          <t>OK (≤ menor hist.)</t>
        </is>
      </c>
      <c r="Q209" s="7" t="inlineStr">
        <is>
          <t>conferir emb.</t>
        </is>
      </c>
    </row>
    <row r="210">
      <c r="A210" s="7" t="n">
        <v>691001</v>
      </c>
      <c r="B210" s="7" t="inlineStr">
        <is>
          <t>8698</t>
        </is>
      </c>
      <c r="C210" s="12" t="inlineStr">
        <is>
          <t>7898575780792</t>
        </is>
      </c>
      <c r="D210" s="7" t="inlineStr">
        <is>
          <t>SULFATO FERROSO 125MG 120ML SUS..</t>
        </is>
      </c>
      <c r="E210" s="13" t="n">
        <v>1</v>
      </c>
      <c r="F210" s="13" t="n">
        <v>9</v>
      </c>
      <c r="G210" s="13" t="n">
        <v>9</v>
      </c>
      <c r="H210" s="8" t="n">
        <v>4.04</v>
      </c>
      <c r="I210" s="8">
        <f>G210*H210</f>
        <v/>
      </c>
      <c r="J210" s="8">
        <f>H210/E210</f>
        <v/>
      </c>
      <c r="K210" s="8" t="n">
        <v>4.04</v>
      </c>
      <c r="L210" s="8" t="n">
        <v>4.04</v>
      </c>
      <c r="M210" s="8" t="n">
        <v>4.04</v>
      </c>
      <c r="N210" s="14">
        <f>J210/M210-1</f>
        <v/>
      </c>
      <c r="O210" s="14">
        <f>J210/K210-1</f>
        <v/>
      </c>
      <c r="P210" s="7" t="inlineStr">
        <is>
          <t>OK (≤ menor hist.)</t>
        </is>
      </c>
      <c r="Q210" s="7" t="inlineStr"/>
    </row>
    <row r="211">
      <c r="A211" s="7" t="n">
        <v>3593</v>
      </c>
      <c r="B211" s="7" t="inlineStr">
        <is>
          <t>8743</t>
        </is>
      </c>
      <c r="C211" s="12" t="inlineStr">
        <is>
          <t>7898575780808</t>
        </is>
      </c>
      <c r="D211" s="7" t="inlineStr">
        <is>
          <t>SULFATO FERROSO 125MG 30ML GTS</t>
        </is>
      </c>
      <c r="E211" s="13" t="n">
        <v>1</v>
      </c>
      <c r="F211" s="13" t="n">
        <v>3</v>
      </c>
      <c r="G211" s="13" t="n">
        <v>3</v>
      </c>
      <c r="H211" s="8" t="n">
        <v>2.69</v>
      </c>
      <c r="I211" s="8">
        <f>G211*H211</f>
        <v/>
      </c>
      <c r="J211" s="8">
        <f>H211/E211</f>
        <v/>
      </c>
      <c r="K211" s="8" t="n">
        <v>2.69</v>
      </c>
      <c r="L211" s="8" t="n">
        <v>2.69</v>
      </c>
      <c r="M211" s="8" t="n">
        <v>2.69</v>
      </c>
      <c r="N211" s="14">
        <f>J211/M211-1</f>
        <v/>
      </c>
      <c r="O211" s="14">
        <f>J211/K211-1</f>
        <v/>
      </c>
      <c r="P211" s="7" t="inlineStr">
        <is>
          <t>OK (≤ menor hist.)</t>
        </is>
      </c>
      <c r="Q211" s="7" t="inlineStr"/>
    </row>
    <row r="212">
      <c r="A212" s="7" t="n">
        <v>548381</v>
      </c>
      <c r="B212" s="7" t="inlineStr">
        <is>
          <t>1422</t>
        </is>
      </c>
      <c r="C212" s="12" t="inlineStr">
        <is>
          <t>7897146600255</t>
        </is>
      </c>
      <c r="D212" s="7" t="inlineStr">
        <is>
          <t>SULFATO FERROSO 200MG C/50 CPR</t>
        </is>
      </c>
      <c r="E212" s="13" t="n">
        <v>1</v>
      </c>
      <c r="F212" s="13" t="n">
        <v>7</v>
      </c>
      <c r="G212" s="13" t="n">
        <v>7</v>
      </c>
      <c r="H212" s="8" t="n">
        <v>4.37</v>
      </c>
      <c r="I212" s="8">
        <f>G212*H212</f>
        <v/>
      </c>
      <c r="J212" s="8">
        <f>H212/E212</f>
        <v/>
      </c>
      <c r="K212" s="8" t="n">
        <v>4.37</v>
      </c>
      <c r="L212" s="8" t="n">
        <v>4.37</v>
      </c>
      <c r="M212" s="8" t="n">
        <v>4.37</v>
      </c>
      <c r="N212" s="14">
        <f>J212/M212-1</f>
        <v/>
      </c>
      <c r="O212" s="14">
        <f>J212/K212-1</f>
        <v/>
      </c>
      <c r="P212" s="7" t="inlineStr">
        <is>
          <t>OK (≤ menor hist.)</t>
        </is>
      </c>
      <c r="Q212" s="7" t="inlineStr"/>
    </row>
    <row r="213">
      <c r="A213" s="7" t="n">
        <v>612291</v>
      </c>
      <c r="B213" s="7" t="inlineStr">
        <is>
          <t>4795</t>
        </is>
      </c>
      <c r="C213" s="12" t="inlineStr">
        <is>
          <t>7894164005802</t>
        </is>
      </c>
      <c r="D213" s="7" t="inlineStr">
        <is>
          <t>SULFERMAX GTS 30ML (SULFATO FERROSO)</t>
        </is>
      </c>
      <c r="E213" s="13" t="n">
        <v>1</v>
      </c>
      <c r="F213" s="13" t="n">
        <v>3</v>
      </c>
      <c r="G213" s="13" t="n">
        <v>3</v>
      </c>
      <c r="H213" s="8" t="n">
        <v>3.29</v>
      </c>
      <c r="I213" s="8">
        <f>G213*H213</f>
        <v/>
      </c>
      <c r="J213" s="8">
        <f>H213/E213</f>
        <v/>
      </c>
      <c r="K213" s="8" t="n">
        <v>3.17</v>
      </c>
      <c r="L213" s="8" t="n">
        <v>3.08</v>
      </c>
      <c r="M213" s="8" t="n">
        <v>3.123333333333334</v>
      </c>
      <c r="N213" s="14">
        <f>J213/M213-1</f>
        <v/>
      </c>
      <c r="O213" s="14">
        <f>J213/K213-1</f>
        <v/>
      </c>
      <c r="P213" s="7" t="inlineStr">
        <is>
          <t>ACIMA +3.8%</t>
        </is>
      </c>
      <c r="Q213" s="7" t="inlineStr"/>
    </row>
    <row r="214">
      <c r="A214" s="7" t="n">
        <v>601291</v>
      </c>
      <c r="B214" s="7" t="inlineStr">
        <is>
          <t>4759</t>
        </is>
      </c>
      <c r="C214" s="12" t="inlineStr">
        <is>
          <t>7898301056955</t>
        </is>
      </c>
      <c r="D214" s="7" t="inlineStr">
        <is>
          <t>TERMOMETRO CLIN. DIG. AZUL G-TECH</t>
        </is>
      </c>
      <c r="E214" s="13" t="n">
        <v>1</v>
      </c>
      <c r="F214" s="13" t="n">
        <v>1</v>
      </c>
      <c r="G214" s="13" t="n">
        <v>1</v>
      </c>
      <c r="H214" s="8" t="n">
        <v>13.33</v>
      </c>
      <c r="I214" s="8">
        <f>G214*H214</f>
        <v/>
      </c>
      <c r="J214" s="8">
        <f>H214/E214</f>
        <v/>
      </c>
      <c r="K214" s="8" t="n">
        <v>12.56</v>
      </c>
      <c r="L214" s="8" t="n">
        <v>12.56</v>
      </c>
      <c r="M214" s="8" t="n">
        <v>12.56</v>
      </c>
      <c r="N214" s="14">
        <f>J214/M214-1</f>
        <v/>
      </c>
      <c r="O214" s="14">
        <f>J214/K214-1</f>
        <v/>
      </c>
      <c r="P214" s="7" t="inlineStr">
        <is>
          <t>ACIMA +6.1%</t>
        </is>
      </c>
      <c r="Q214" s="7" t="inlineStr"/>
    </row>
    <row r="215">
      <c r="A215" s="7" t="n">
        <v>578801</v>
      </c>
      <c r="B215" s="7" t="inlineStr">
        <is>
          <t>4760</t>
        </is>
      </c>
      <c r="C215" s="12" t="inlineStr">
        <is>
          <t>7898301056986</t>
        </is>
      </c>
      <c r="D215" s="7" t="inlineStr">
        <is>
          <t>TERMOMETRO DIGITAL CLINICO TH150 LARANJA</t>
        </is>
      </c>
      <c r="E215" s="13" t="n">
        <v>1</v>
      </c>
      <c r="F215" s="13" t="n">
        <v>1</v>
      </c>
      <c r="G215" s="13" t="n">
        <v>1</v>
      </c>
      <c r="H215" s="8" t="n">
        <v>11.88</v>
      </c>
      <c r="I215" s="8">
        <f>G215*H215</f>
        <v/>
      </c>
      <c r="J215" s="8">
        <f>H215/E215</f>
        <v/>
      </c>
      <c r="K215" s="8" t="n">
        <v>12.59</v>
      </c>
      <c r="L215" s="8" t="n">
        <v>12.59</v>
      </c>
      <c r="M215" s="8" t="n">
        <v>12.59</v>
      </c>
      <c r="N215" s="14">
        <f>J215/M215-1</f>
        <v/>
      </c>
      <c r="O215" s="14">
        <f>J215/K215-1</f>
        <v/>
      </c>
      <c r="P215" s="7" t="inlineStr">
        <is>
          <t>OK (≤ menor hist.)</t>
        </is>
      </c>
      <c r="Q215" s="7" t="inlineStr"/>
    </row>
    <row r="216">
      <c r="A216" s="7" t="n">
        <v>543341</v>
      </c>
      <c r="B216" s="7" t="inlineStr">
        <is>
          <t>4761</t>
        </is>
      </c>
      <c r="C216" s="12" t="inlineStr">
        <is>
          <t>7898301056979</t>
        </is>
      </c>
      <c r="D216" s="7" t="inlineStr">
        <is>
          <t>TERMOMETRO DIGITAL G-TECH ROSA UNIDADE</t>
        </is>
      </c>
      <c r="E216" s="13" t="n">
        <v>1</v>
      </c>
      <c r="F216" s="13" t="n">
        <v>1</v>
      </c>
      <c r="G216" s="13" t="n">
        <v>1</v>
      </c>
      <c r="H216" s="8" t="n">
        <v>13.33</v>
      </c>
      <c r="I216" s="8">
        <f>G216*H216</f>
        <v/>
      </c>
      <c r="J216" s="8">
        <f>H216/E216</f>
        <v/>
      </c>
      <c r="K216" s="8" t="n">
        <v>12.59</v>
      </c>
      <c r="L216" s="8" t="n">
        <v>12.59</v>
      </c>
      <c r="M216" s="8" t="n">
        <v>12.59</v>
      </c>
      <c r="N216" s="14">
        <f>J216/M216-1</f>
        <v/>
      </c>
      <c r="O216" s="14">
        <f>J216/K216-1</f>
        <v/>
      </c>
      <c r="P216" s="7" t="inlineStr">
        <is>
          <t>ACIMA +5.9%</t>
        </is>
      </c>
      <c r="Q216" s="7" t="inlineStr"/>
    </row>
    <row r="217">
      <c r="A217" s="7" t="n">
        <v>543361</v>
      </c>
      <c r="B217" s="7" t="inlineStr">
        <is>
          <t>4762</t>
        </is>
      </c>
      <c r="C217" s="12" t="inlineStr">
        <is>
          <t>7898301056962</t>
        </is>
      </c>
      <c r="D217" s="7" t="inlineStr">
        <is>
          <t>TERMÔMETRO DIGITAL G-TECH COM PONTA RIGIDA THGTH150V - VERDE</t>
        </is>
      </c>
      <c r="E217" s="13" t="n">
        <v>1</v>
      </c>
      <c r="F217" s="13" t="n">
        <v>1</v>
      </c>
      <c r="G217" s="13" t="n">
        <v>1</v>
      </c>
      <c r="H217" s="8" t="n">
        <v>13.33</v>
      </c>
      <c r="I217" s="8">
        <f>G217*H217</f>
        <v/>
      </c>
      <c r="J217" s="8">
        <f>H217/E217</f>
        <v/>
      </c>
      <c r="K217" s="8" t="n">
        <v>12.59</v>
      </c>
      <c r="L217" s="8" t="n">
        <v>12.59</v>
      </c>
      <c r="M217" s="8" t="n">
        <v>12.59</v>
      </c>
      <c r="N217" s="14">
        <f>J217/M217-1</f>
        <v/>
      </c>
      <c r="O217" s="14">
        <f>J217/K217-1</f>
        <v/>
      </c>
      <c r="P217" s="7" t="inlineStr">
        <is>
          <t>ACIMA +5.9%</t>
        </is>
      </c>
      <c r="Q217" s="7" t="inlineStr"/>
    </row>
    <row r="218">
      <c r="A218" s="7" t="n">
        <v>532641</v>
      </c>
      <c r="B218" s="7" t="inlineStr">
        <is>
          <t>271</t>
        </is>
      </c>
      <c r="C218" s="12" t="inlineStr">
        <is>
          <t>7898126050022</t>
        </is>
      </c>
      <c r="D218" s="7" t="inlineStr">
        <is>
          <t>TESTE CONFIRME C/01 UND</t>
        </is>
      </c>
      <c r="E218" s="13" t="n">
        <v>1</v>
      </c>
      <c r="F218" s="13" t="n">
        <v>4</v>
      </c>
      <c r="G218" s="13" t="n">
        <v>4</v>
      </c>
      <c r="H218" s="8" t="n">
        <v>1.69</v>
      </c>
      <c r="I218" s="8">
        <f>G218*H218</f>
        <v/>
      </c>
      <c r="J218" s="8">
        <f>H218/E218</f>
        <v/>
      </c>
      <c r="K218" s="8" t="n">
        <v>1.69</v>
      </c>
      <c r="L218" s="8" t="n">
        <v>1.69</v>
      </c>
      <c r="M218" s="8" t="n">
        <v>1.69</v>
      </c>
      <c r="N218" s="14">
        <f>J218/M218-1</f>
        <v/>
      </c>
      <c r="O218" s="14">
        <f>J218/K218-1</f>
        <v/>
      </c>
      <c r="P218" s="7" t="inlineStr">
        <is>
          <t>OK (≤ menor hist.)</t>
        </is>
      </c>
      <c r="Q218" s="7" t="inlineStr"/>
    </row>
    <row r="219">
      <c r="A219" s="7" t="n">
        <v>588881</v>
      </c>
      <c r="B219" s="7" t="inlineStr">
        <is>
          <t>3232</t>
        </is>
      </c>
      <c r="C219" s="12" t="inlineStr">
        <is>
          <t>7898108611968</t>
        </is>
      </c>
      <c r="D219" s="7" t="inlineStr">
        <is>
          <t>TESTE DE GRAVIDEZ CONFIRA PRATIC CANETA</t>
        </is>
      </c>
      <c r="E219" s="13" t="n">
        <v>1</v>
      </c>
      <c r="F219" s="13" t="n">
        <v>8</v>
      </c>
      <c r="G219" s="13" t="n">
        <v>8</v>
      </c>
      <c r="H219" s="8" t="n">
        <v>5.57</v>
      </c>
      <c r="I219" s="8">
        <f>G219*H219</f>
        <v/>
      </c>
      <c r="J219" s="8">
        <f>H219/E219</f>
        <v/>
      </c>
      <c r="K219" s="8" t="n">
        <v>4.91</v>
      </c>
      <c r="L219" s="8" t="n">
        <v>4.91</v>
      </c>
      <c r="M219" s="8" t="n">
        <v>4.91</v>
      </c>
      <c r="N219" s="14">
        <f>J219/M219-1</f>
        <v/>
      </c>
      <c r="O219" s="14">
        <f>J219/K219-1</f>
        <v/>
      </c>
      <c r="P219" s="7" t="inlineStr">
        <is>
          <t>ACIMA +13.4%</t>
        </is>
      </c>
      <c r="Q219" s="7" t="inlineStr"/>
    </row>
    <row r="220">
      <c r="A220" s="7" t="n">
        <v>532741</v>
      </c>
      <c r="B220" s="7" t="inlineStr">
        <is>
          <t>5792</t>
        </is>
      </c>
      <c r="C220" s="12" t="inlineStr">
        <is>
          <t>7898126050091</t>
        </is>
      </c>
      <c r="D220" s="7" t="inlineStr">
        <is>
          <t>TESTE DE GRAVIDEZ VERIFIK C/01 UND</t>
        </is>
      </c>
      <c r="E220" s="13" t="n">
        <v>1</v>
      </c>
      <c r="F220" s="13" t="n">
        <v>38</v>
      </c>
      <c r="G220" s="13" t="n">
        <v>38</v>
      </c>
      <c r="H220" s="8" t="n">
        <v>1.35</v>
      </c>
      <c r="I220" s="8">
        <f>G220*H220</f>
        <v/>
      </c>
      <c r="J220" s="8">
        <f>H220/E220</f>
        <v/>
      </c>
      <c r="K220" s="8" t="n">
        <v>1.17</v>
      </c>
      <c r="L220" s="8" t="n">
        <v>1.17</v>
      </c>
      <c r="M220" s="8" t="n">
        <v>1.17</v>
      </c>
      <c r="N220" s="14">
        <f>J220/M220-1</f>
        <v/>
      </c>
      <c r="O220" s="14">
        <f>J220/K220-1</f>
        <v/>
      </c>
      <c r="P220" s="7" t="inlineStr">
        <is>
          <t>ACIMA +15.4%</t>
        </is>
      </c>
      <c r="Q220" s="7" t="inlineStr"/>
    </row>
    <row r="221">
      <c r="A221" s="7" t="n">
        <v>640411</v>
      </c>
      <c r="B221" s="7" t="inlineStr">
        <is>
          <t>7368</t>
        </is>
      </c>
      <c r="C221" s="12" t="inlineStr">
        <is>
          <t>7898126050220</t>
        </is>
      </c>
      <c r="D221" s="7" t="inlineStr">
        <is>
          <t>TESTE GRAVIDEZ CONFIRME SEMANAS TIRA C/1</t>
        </is>
      </c>
      <c r="E221" s="13" t="n">
        <v>1</v>
      </c>
      <c r="F221" s="13" t="n">
        <v>2</v>
      </c>
      <c r="G221" s="13" t="n">
        <v>2</v>
      </c>
      <c r="H221" s="8" t="n">
        <v>7.71</v>
      </c>
      <c r="I221" s="8">
        <f>G221*H221</f>
        <v/>
      </c>
      <c r="J221" s="8">
        <f>H221/E221</f>
        <v/>
      </c>
      <c r="K221" s="8" t="n">
        <v>10.85</v>
      </c>
      <c r="L221" s="8" t="n">
        <v>10.85</v>
      </c>
      <c r="M221" s="8" t="n">
        <v>10.85</v>
      </c>
      <c r="N221" s="14">
        <f>J221/M221-1</f>
        <v/>
      </c>
      <c r="O221" s="14">
        <f>J221/K221-1</f>
        <v/>
      </c>
      <c r="P221" s="7" t="inlineStr">
        <is>
          <t>OK (≤ menor hist.)</t>
        </is>
      </c>
      <c r="Q221" s="7" t="inlineStr"/>
    </row>
    <row r="222">
      <c r="A222" s="7" t="n">
        <v>180141</v>
      </c>
      <c r="B222" s="7" t="inlineStr">
        <is>
          <t>1534</t>
        </is>
      </c>
      <c r="C222" s="12" t="inlineStr">
        <is>
          <t>7896862970031</t>
        </is>
      </c>
      <c r="D222" s="7" t="inlineStr">
        <is>
          <t>TETRAMED 500MG CART C/ 4CP</t>
        </is>
      </c>
      <c r="E222" s="13" t="n">
        <v>25</v>
      </c>
      <c r="F222" s="13" t="n">
        <v>1</v>
      </c>
      <c r="G222" s="13" t="n">
        <v>1</v>
      </c>
      <c r="H222" s="8" t="n">
        <v>41.62</v>
      </c>
      <c r="I222" s="8">
        <f>G222*H222</f>
        <v/>
      </c>
      <c r="J222" s="8">
        <f>H222/E222</f>
        <v/>
      </c>
      <c r="K222" s="8" t="n">
        <v>1.4796</v>
      </c>
      <c r="L222" s="8" t="n">
        <v>1.4796</v>
      </c>
      <c r="M222" s="8" t="n">
        <v>1.4796</v>
      </c>
      <c r="N222" s="14">
        <f>J222/M222-1</f>
        <v/>
      </c>
      <c r="O222" s="14">
        <f>J222/K222-1</f>
        <v/>
      </c>
      <c r="P222" s="7" t="inlineStr">
        <is>
          <t>ACIMA +12.5%</t>
        </is>
      </c>
      <c r="Q222" s="7" t="inlineStr">
        <is>
          <t>1 emb = 25 un</t>
        </is>
      </c>
    </row>
    <row r="223">
      <c r="A223" s="7" t="n">
        <v>568541</v>
      </c>
      <c r="B223" s="7" t="inlineStr">
        <is>
          <t>2886</t>
        </is>
      </c>
      <c r="C223" s="12" t="inlineStr">
        <is>
          <t>7896862970208</t>
        </is>
      </c>
      <c r="D223" s="7" t="inlineStr">
        <is>
          <t>TETRAMED 500MG CX100 CAP (10X10)</t>
        </is>
      </c>
      <c r="E223" s="13" t="n">
        <v>10</v>
      </c>
      <c r="F223" s="13" t="n">
        <v>1</v>
      </c>
      <c r="G223" s="13" t="n">
        <v>1</v>
      </c>
      <c r="H223" s="8" t="n">
        <v>43.72</v>
      </c>
      <c r="I223" s="8">
        <f>G223*H223</f>
        <v/>
      </c>
      <c r="J223" s="8">
        <f>H223/E223</f>
        <v/>
      </c>
      <c r="K223" s="8" t="n">
        <v>3.69</v>
      </c>
      <c r="L223" s="8" t="n">
        <v>3.69</v>
      </c>
      <c r="M223" s="8" t="n">
        <v>3.69</v>
      </c>
      <c r="N223" s="14">
        <f>J223/M223-1</f>
        <v/>
      </c>
      <c r="O223" s="14">
        <f>J223/K223-1</f>
        <v/>
      </c>
      <c r="P223" s="7" t="inlineStr">
        <is>
          <t>ACIMA +18.5%</t>
        </is>
      </c>
      <c r="Q223" s="7" t="inlineStr">
        <is>
          <t>1 emb = 10 un</t>
        </is>
      </c>
    </row>
    <row r="224">
      <c r="A224" s="7" t="n">
        <v>461941</v>
      </c>
      <c r="B224" s="7" t="inlineStr">
        <is>
          <t>386</t>
        </is>
      </c>
      <c r="C224" s="12" t="inlineStr">
        <is>
          <t>7893454100715</t>
        </is>
      </c>
      <c r="D224" s="7" t="inlineStr">
        <is>
          <t>TIADOL 50MG/G POM DERM BG 20G</t>
        </is>
      </c>
      <c r="E224" s="13" t="n">
        <v>1</v>
      </c>
      <c r="F224" s="13" t="n">
        <v>3</v>
      </c>
      <c r="G224" s="13" t="n">
        <v>3</v>
      </c>
      <c r="H224" s="8" t="n">
        <v>13.89</v>
      </c>
      <c r="I224" s="8">
        <f>G224*H224</f>
        <v/>
      </c>
      <c r="J224" s="8">
        <f>H224/E224</f>
        <v/>
      </c>
      <c r="K224" s="8" t="n">
        <v>13.36</v>
      </c>
      <c r="L224" s="8" t="n">
        <v>13.36</v>
      </c>
      <c r="M224" s="8" t="n">
        <v>13.36</v>
      </c>
      <c r="N224" s="14">
        <f>J224/M224-1</f>
        <v/>
      </c>
      <c r="O224" s="14">
        <f>J224/K224-1</f>
        <v/>
      </c>
      <c r="P224" s="7" t="inlineStr">
        <is>
          <t>ACIMA +4.0%</t>
        </is>
      </c>
      <c r="Q224" s="7" t="inlineStr"/>
    </row>
    <row r="225">
      <c r="A225" s="7" t="n">
        <v>540941</v>
      </c>
      <c r="B225" s="7" t="inlineStr">
        <is>
          <t>177</t>
        </is>
      </c>
      <c r="C225" s="12" t="inlineStr">
        <is>
          <t>7898031310952</t>
        </is>
      </c>
      <c r="D225" s="7" t="inlineStr">
        <is>
          <t>TINTURA DE ARNICA 30ML</t>
        </is>
      </c>
      <c r="E225" s="13" t="n">
        <v>1</v>
      </c>
      <c r="F225" s="13" t="n">
        <v>19</v>
      </c>
      <c r="G225" s="13" t="n">
        <v>19</v>
      </c>
      <c r="H225" s="8" t="n">
        <v>4.31</v>
      </c>
      <c r="I225" s="8">
        <f>G225*H225</f>
        <v/>
      </c>
      <c r="J225" s="8">
        <f>H225/E225</f>
        <v/>
      </c>
      <c r="K225" s="8" t="n">
        <v>4.31</v>
      </c>
      <c r="L225" s="8" t="n">
        <v>4.31</v>
      </c>
      <c r="M225" s="8" t="n">
        <v>4.31</v>
      </c>
      <c r="N225" s="14">
        <f>J225/M225-1</f>
        <v/>
      </c>
      <c r="O225" s="14">
        <f>J225/K225-1</f>
        <v/>
      </c>
      <c r="P225" s="7" t="inlineStr">
        <is>
          <t>OK (≤ menor hist.)</t>
        </is>
      </c>
      <c r="Q225" s="7" t="inlineStr"/>
    </row>
    <row r="226">
      <c r="A226" s="7" t="n">
        <v>18001</v>
      </c>
      <c r="B226" s="7" t="inlineStr">
        <is>
          <t>1121</t>
        </is>
      </c>
      <c r="C226" s="12" t="inlineStr">
        <is>
          <t>7896004739083</t>
        </is>
      </c>
      <c r="D226" s="7" t="inlineStr">
        <is>
          <t>TREXACONT 250MG 1BL X 12 COMP</t>
        </is>
      </c>
      <c r="E226" s="13" t="n">
        <v>1</v>
      </c>
      <c r="F226" s="13" t="n">
        <v>1</v>
      </c>
      <c r="G226" s="13" t="n">
        <v>1</v>
      </c>
      <c r="H226" s="8" t="n">
        <v>35.81</v>
      </c>
      <c r="I226" s="8">
        <f>G226*H226</f>
        <v/>
      </c>
      <c r="J226" s="8">
        <f>H226/E226</f>
        <v/>
      </c>
      <c r="K226" s="8" t="n">
        <v>40.53</v>
      </c>
      <c r="L226" s="8" t="n">
        <v>40.53</v>
      </c>
      <c r="M226" s="8" t="n">
        <v>40.53</v>
      </c>
      <c r="N226" s="14">
        <f>J226/M226-1</f>
        <v/>
      </c>
      <c r="O226" s="14">
        <f>J226/K226-1</f>
        <v/>
      </c>
      <c r="P226" s="7" t="inlineStr">
        <is>
          <t>OK (≤ menor hist.)</t>
        </is>
      </c>
      <c r="Q226" s="7" t="inlineStr"/>
    </row>
    <row r="227">
      <c r="A227" s="7" t="n">
        <v>39303</v>
      </c>
      <c r="B227" s="7" t="inlineStr">
        <is>
          <t>10612</t>
        </is>
      </c>
      <c r="C227" s="12" t="inlineStr">
        <is>
          <t>7896004821993</t>
        </is>
      </c>
      <c r="D227" s="7" t="inlineStr">
        <is>
          <t>TRIMETAZIDINA 35MG 30CPR</t>
        </is>
      </c>
      <c r="E227" s="13" t="n">
        <v>1</v>
      </c>
      <c r="F227" s="13" t="n">
        <v>8</v>
      </c>
      <c r="G227" s="13" t="n">
        <v>8</v>
      </c>
      <c r="H227" s="8" t="n">
        <v>22.59</v>
      </c>
      <c r="I227" s="8">
        <f>G227*H227</f>
        <v/>
      </c>
      <c r="J227" s="8">
        <f>H227/E227</f>
        <v/>
      </c>
      <c r="K227" s="8" t="n">
        <v>16.385</v>
      </c>
      <c r="L227" s="8" t="n">
        <v>16.385</v>
      </c>
      <c r="M227" s="8" t="n">
        <v>16.385</v>
      </c>
      <c r="N227" s="14">
        <f>J227/M227-1</f>
        <v/>
      </c>
      <c r="O227" s="14">
        <f>J227/K227-1</f>
        <v/>
      </c>
      <c r="P227" s="7" t="inlineStr">
        <is>
          <t>ACIMA +37.9%</t>
        </is>
      </c>
      <c r="Q227" s="7" t="inlineStr"/>
    </row>
    <row r="228">
      <c r="A228" s="7" t="n">
        <v>563961</v>
      </c>
      <c r="B228" s="7" t="inlineStr">
        <is>
          <t>395</t>
        </is>
      </c>
      <c r="C228" s="12" t="inlineStr">
        <is>
          <t>7898100243945</t>
        </is>
      </c>
      <c r="D228" s="7" t="inlineStr">
        <is>
          <t>TYFLEN 500MG CARTELA COM 10CP</t>
        </is>
      </c>
      <c r="E228" s="13" t="n">
        <v>20</v>
      </c>
      <c r="F228" s="13" t="n">
        <v>1</v>
      </c>
      <c r="G228" s="13" t="n">
        <v>1</v>
      </c>
      <c r="H228" s="8" t="n">
        <v>29.55</v>
      </c>
      <c r="I228" s="8">
        <f>G228*H228</f>
        <v/>
      </c>
      <c r="J228" s="8">
        <f>H228/E228</f>
        <v/>
      </c>
      <c r="K228" s="8" t="n">
        <v>1.8355</v>
      </c>
      <c r="L228" s="8" t="n">
        <v>1.8355</v>
      </c>
      <c r="M228" s="8" t="n">
        <v>1.8355</v>
      </c>
      <c r="N228" s="14">
        <f>J228/M228-1</f>
        <v/>
      </c>
      <c r="O228" s="14">
        <f>J228/K228-1</f>
        <v/>
      </c>
      <c r="P228" s="7" t="inlineStr">
        <is>
          <t>OK (≤ menor hist.)</t>
        </is>
      </c>
      <c r="Q228" s="7" t="inlineStr">
        <is>
          <t>1 emb = 20 un</t>
        </is>
      </c>
    </row>
    <row r="229">
      <c r="A229" s="7" t="n">
        <v>565801</v>
      </c>
      <c r="B229" s="7" t="inlineStr">
        <is>
          <t>3126</t>
        </is>
      </c>
      <c r="C229" s="12" t="inlineStr">
        <is>
          <t>7898031310600</t>
        </is>
      </c>
      <c r="D229" s="7" t="inlineStr">
        <is>
          <t>UNISSEPT ALCOOL GEL ANTISSEPTICO 450G</t>
        </is>
      </c>
      <c r="E229" s="13" t="n">
        <v>1</v>
      </c>
      <c r="F229" s="13" t="n">
        <v>13</v>
      </c>
      <c r="G229" s="13" t="n">
        <v>13</v>
      </c>
      <c r="H229" s="8" t="n">
        <v>13.08</v>
      </c>
      <c r="I229" s="8">
        <f>G229*H229</f>
        <v/>
      </c>
      <c r="J229" s="8">
        <f>H229/E229</f>
        <v/>
      </c>
      <c r="K229" s="8" t="n">
        <v>13.08</v>
      </c>
      <c r="L229" s="8" t="n">
        <v>12.51</v>
      </c>
      <c r="M229" s="8" t="n">
        <v>12.70333333333333</v>
      </c>
      <c r="N229" s="14">
        <f>J229/M229-1</f>
        <v/>
      </c>
      <c r="O229" s="14">
        <f>J229/K229-1</f>
        <v/>
      </c>
      <c r="P229" s="7" t="inlineStr">
        <is>
          <t>OK (≤ últ. compra)</t>
        </is>
      </c>
      <c r="Q229" s="7" t="inlineStr"/>
    </row>
    <row r="230">
      <c r="A230" s="7" t="n">
        <v>2973</v>
      </c>
      <c r="B230" s="7" t="inlineStr">
        <is>
          <t>163</t>
        </is>
      </c>
      <c r="C230" s="12" t="inlineStr">
        <is>
          <t>7898031313533</t>
        </is>
      </c>
      <c r="D230" s="7" t="inlineStr">
        <is>
          <t>VASELINA SOLIDA 20G BISNAGA</t>
        </is>
      </c>
      <c r="E230" s="13" t="n">
        <v>1</v>
      </c>
      <c r="F230" s="13" t="n">
        <v>12</v>
      </c>
      <c r="G230" s="13" t="n">
        <v>12</v>
      </c>
      <c r="H230" s="8" t="n">
        <v>5.26</v>
      </c>
      <c r="I230" s="8">
        <f>G230*H230</f>
        <v/>
      </c>
      <c r="J230" s="8">
        <f>H230/E230</f>
        <v/>
      </c>
      <c r="K230" s="8" t="n">
        <v>5.26</v>
      </c>
      <c r="L230" s="8" t="n">
        <v>5.06</v>
      </c>
      <c r="M230" s="8" t="n">
        <v>5.126666666666666</v>
      </c>
      <c r="N230" s="14">
        <f>J230/M230-1</f>
        <v/>
      </c>
      <c r="O230" s="14">
        <f>J230/K230-1</f>
        <v/>
      </c>
      <c r="P230" s="7" t="inlineStr">
        <is>
          <t>OK (≤ últ. compra)</t>
        </is>
      </c>
      <c r="Q230" s="7" t="inlineStr"/>
    </row>
    <row r="231">
      <c r="A231" s="7" t="n">
        <v>604001</v>
      </c>
      <c r="B231" s="7" t="inlineStr">
        <is>
          <t>851</t>
        </is>
      </c>
      <c r="C231" s="12" t="inlineStr">
        <is>
          <t>7898031310495</t>
        </is>
      </c>
      <c r="D231" s="7" t="inlineStr">
        <is>
          <t>VASELINA SOLIDA 25G POTE (UNIPHAR)</t>
        </is>
      </c>
      <c r="E231" s="13" t="n">
        <v>1</v>
      </c>
      <c r="F231" s="13" t="n">
        <v>10</v>
      </c>
      <c r="G231" s="13" t="n">
        <v>10</v>
      </c>
      <c r="H231" s="8" t="n">
        <v>4.78</v>
      </c>
      <c r="I231" s="8">
        <f>G231*H231</f>
        <v/>
      </c>
      <c r="J231" s="8">
        <f>H231/E231</f>
        <v/>
      </c>
      <c r="K231" s="8" t="n">
        <v>4.48</v>
      </c>
      <c r="L231" s="8" t="n">
        <v>4.35</v>
      </c>
      <c r="M231" s="8" t="n">
        <v>4.35</v>
      </c>
      <c r="N231" s="14">
        <f>J231/M231-1</f>
        <v/>
      </c>
      <c r="O231" s="14">
        <f>J231/K231-1</f>
        <v/>
      </c>
      <c r="P231" s="7" t="inlineStr">
        <is>
          <t>ACIMA +6.7%</t>
        </is>
      </c>
      <c r="Q231" s="7" t="inlineStr"/>
    </row>
    <row r="232">
      <c r="A232" s="7" t="n">
        <v>591211</v>
      </c>
      <c r="B232" s="7" t="inlineStr">
        <is>
          <t>7292</t>
        </is>
      </c>
      <c r="C232" s="12" t="inlineStr">
        <is>
          <t>7898241250031</t>
        </is>
      </c>
      <c r="D232" s="7" t="inlineStr">
        <is>
          <t>VELA SEBO DE HOLANDA</t>
        </is>
      </c>
      <c r="E232" s="13" t="n">
        <v>8</v>
      </c>
      <c r="F232" s="13" t="n">
        <v>3</v>
      </c>
      <c r="G232" s="13" t="n">
        <v>1</v>
      </c>
      <c r="H232" s="8" t="n">
        <v>3.99</v>
      </c>
      <c r="I232" s="8">
        <f>G232*H232</f>
        <v/>
      </c>
      <c r="J232" s="8">
        <f>H232/E232</f>
        <v/>
      </c>
      <c r="K232" s="8" t="n">
        <v>0.4988</v>
      </c>
      <c r="L232" s="8" t="n">
        <v>0.4988</v>
      </c>
      <c r="M232" s="8" t="n">
        <v>0.4988</v>
      </c>
      <c r="N232" s="14">
        <f>J232/M232-1</f>
        <v/>
      </c>
      <c r="O232" s="14">
        <f>J232/K232-1</f>
        <v/>
      </c>
      <c r="P232" s="7" t="inlineStr">
        <is>
          <t>OK (≤ menor hist.)</t>
        </is>
      </c>
      <c r="Q232" s="7" t="inlineStr">
        <is>
          <t>1 emb = 8 un</t>
        </is>
      </c>
    </row>
    <row r="233">
      <c r="A233" s="7" t="n">
        <v>653211</v>
      </c>
      <c r="B233" s="7" t="inlineStr">
        <is>
          <t>8544</t>
        </is>
      </c>
      <c r="C233" s="12" t="inlineStr">
        <is>
          <t>7898687734096</t>
        </is>
      </c>
      <c r="D233" s="7" t="inlineStr">
        <is>
          <t>VITAMINA D3 15000UI CX 10 CAP</t>
        </is>
      </c>
      <c r="E233" s="13" t="n">
        <v>1</v>
      </c>
      <c r="F233" s="13" t="n">
        <v>2</v>
      </c>
      <c r="G233" s="13" t="n">
        <v>2</v>
      </c>
      <c r="H233" s="8" t="n">
        <v>23.22</v>
      </c>
      <c r="I233" s="8">
        <f>G233*H233</f>
        <v/>
      </c>
      <c r="J233" s="8">
        <f>H233/E233</f>
        <v/>
      </c>
      <c r="K233" s="8" t="n">
        <v>19.58</v>
      </c>
      <c r="L233" s="8" t="n">
        <v>19.58</v>
      </c>
      <c r="M233" s="8" t="n">
        <v>19.58</v>
      </c>
      <c r="N233" s="14">
        <f>J233/M233-1</f>
        <v/>
      </c>
      <c r="O233" s="14">
        <f>J233/K233-1</f>
        <v/>
      </c>
      <c r="P233" s="7" t="inlineStr">
        <is>
          <t>ACIMA +18.6%</t>
        </is>
      </c>
      <c r="Q233" s="7" t="inlineStr"/>
    </row>
    <row r="234">
      <c r="A234" s="7" t="n">
        <v>4053</v>
      </c>
      <c r="B234" s="7" t="inlineStr">
        <is>
          <t>5175</t>
        </is>
      </c>
      <c r="C234" s="12" t="inlineStr">
        <is>
          <t>7894164007127</t>
        </is>
      </c>
      <c r="D234" s="7" t="inlineStr">
        <is>
          <t>VITAXON C TRIPLA ACAO IMUNO C/30 CPR.</t>
        </is>
      </c>
      <c r="E234" s="13" t="n">
        <v>1</v>
      </c>
      <c r="F234" s="13" t="n">
        <v>1</v>
      </c>
      <c r="G234" s="13" t="n">
        <v>1</v>
      </c>
      <c r="H234" s="8" t="n">
        <v>14.84</v>
      </c>
      <c r="I234" s="8">
        <f>G234*H234</f>
        <v/>
      </c>
      <c r="J234" s="8">
        <f>H234/E234</f>
        <v/>
      </c>
      <c r="K234" s="8" t="n">
        <v>14.84</v>
      </c>
      <c r="L234" s="8" t="n">
        <v>14.84</v>
      </c>
      <c r="M234" s="8" t="n">
        <v>14.84</v>
      </c>
      <c r="N234" s="14">
        <f>J234/M234-1</f>
        <v/>
      </c>
      <c r="O234" s="14">
        <f>J234/K234-1</f>
        <v/>
      </c>
      <c r="P234" s="7" t="inlineStr">
        <is>
          <t>OK (≤ menor hist.)</t>
        </is>
      </c>
      <c r="Q234" s="7" t="inlineStr"/>
    </row>
    <row r="235">
      <c r="A235" s="7" t="n">
        <v>604081</v>
      </c>
      <c r="B235" s="7" t="inlineStr">
        <is>
          <t>5905</t>
        </is>
      </c>
      <c r="C235" s="12" t="inlineStr">
        <is>
          <t>7894164007134</t>
        </is>
      </c>
      <c r="D235" s="7" t="inlineStr">
        <is>
          <t>VITAXON C+ZINCO ACAO PROLONGADA 30CP</t>
        </is>
      </c>
      <c r="E235" s="13" t="n">
        <v>1</v>
      </c>
      <c r="F235" s="13" t="n">
        <v>1</v>
      </c>
      <c r="G235" s="13" t="n">
        <v>1</v>
      </c>
      <c r="H235" s="8" t="n">
        <v>11.73</v>
      </c>
      <c r="I235" s="8">
        <f>G235*H235</f>
        <v/>
      </c>
      <c r="J235" s="8">
        <f>H235/E235</f>
        <v/>
      </c>
      <c r="K235" s="8" t="n">
        <v>10.79</v>
      </c>
      <c r="L235" s="8" t="n">
        <v>10.79</v>
      </c>
      <c r="M235" s="8" t="n">
        <v>10.79</v>
      </c>
      <c r="N235" s="14">
        <f>J235/M235-1</f>
        <v/>
      </c>
      <c r="O235" s="14">
        <f>J235/K235-1</f>
        <v/>
      </c>
      <c r="P235" s="7" t="inlineStr">
        <is>
          <t>ACIMA +8.7%</t>
        </is>
      </c>
      <c r="Q235" s="7" t="inlineStr"/>
    </row>
    <row r="236">
      <c r="A236" s="7" t="n">
        <v>121961</v>
      </c>
      <c r="B236" s="7" t="inlineStr">
        <is>
          <t>6402</t>
        </is>
      </c>
      <c r="C236" s="12" t="inlineStr">
        <is>
          <t>7896004774947</t>
        </is>
      </c>
      <c r="D236" s="7" t="inlineStr">
        <is>
          <t>VOLIG 8MG CX 10 COMP</t>
        </is>
      </c>
      <c r="E236" s="13" t="n">
        <v>1</v>
      </c>
      <c r="F236" s="13" t="n">
        <v>8</v>
      </c>
      <c r="G236" s="13" t="n">
        <v>8</v>
      </c>
      <c r="H236" s="8" t="n">
        <v>7.31</v>
      </c>
      <c r="I236" s="8">
        <f>G236*H236</f>
        <v/>
      </c>
      <c r="J236" s="8">
        <f>H236/E236</f>
        <v/>
      </c>
      <c r="K236" s="8" t="n">
        <v>7.29</v>
      </c>
      <c r="L236" s="8" t="n">
        <v>7.29</v>
      </c>
      <c r="M236" s="8" t="n">
        <v>7.29</v>
      </c>
      <c r="N236" s="14">
        <f>J236/M236-1</f>
        <v/>
      </c>
      <c r="O236" s="14">
        <f>J236/K236-1</f>
        <v/>
      </c>
      <c r="P236" s="7" t="inlineStr">
        <is>
          <t>ACIMA +0.3%</t>
        </is>
      </c>
      <c r="Q236" s="7" t="inlineStr"/>
    </row>
    <row r="237">
      <c r="D237" s="5" t="inlineStr">
        <is>
          <t>TOTAL</t>
        </is>
      </c>
      <c r="I237" s="18">
        <f>SUM(I2:I236)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7" customWidth="1" min="16" max="16"/>
    <col width="26" customWidth="1" min="17" max="17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Média hist.</t>
        </is>
      </c>
      <c r="N1" s="11" t="inlineStr">
        <is>
          <t>% vs média hist.</t>
        </is>
      </c>
      <c r="O1" s="11" t="inlineStr">
        <is>
          <t>% vs últ. compra</t>
        </is>
      </c>
      <c r="P1" s="11" t="inlineStr">
        <is>
          <t>Status</t>
        </is>
      </c>
      <c r="Q1" s="11" t="inlineStr">
        <is>
          <t>OBS</t>
        </is>
      </c>
    </row>
    <row r="2">
      <c r="A2" s="7" t="n">
        <v>527641</v>
      </c>
      <c r="B2" s="7" t="inlineStr">
        <is>
          <t>24767</t>
        </is>
      </c>
      <c r="C2" s="12" t="inlineStr">
        <is>
          <t>7896004729770</t>
        </is>
      </c>
      <c r="D2" s="7" t="inlineStr">
        <is>
          <t>BENZIFLEX 10MG CX 15 COMP REV</t>
        </is>
      </c>
      <c r="E2" s="13" t="n">
        <v>1</v>
      </c>
      <c r="F2" s="13" t="n">
        <v>1</v>
      </c>
      <c r="G2" s="13" t="n">
        <v>1</v>
      </c>
      <c r="H2" s="8" t="n">
        <v>6.68</v>
      </c>
      <c r="I2" s="8">
        <f>G2*H2</f>
        <v/>
      </c>
      <c r="J2" s="8">
        <f>H2/E2</f>
        <v/>
      </c>
      <c r="K2" s="8" t="n">
        <v>6.32</v>
      </c>
      <c r="L2" s="8" t="n">
        <v>6.32</v>
      </c>
      <c r="M2" s="8" t="n">
        <v>6.32</v>
      </c>
      <c r="N2" s="14">
        <f>J2/M2-1</f>
        <v/>
      </c>
      <c r="O2" s="14">
        <f>J2/K2-1</f>
        <v/>
      </c>
      <c r="P2" s="7" t="inlineStr">
        <is>
          <t>ACIMA +5.7%</t>
        </is>
      </c>
      <c r="Q2" s="7" t="inlineStr"/>
    </row>
    <row r="3">
      <c r="A3" s="7" t="n">
        <v>211061</v>
      </c>
      <c r="B3" s="7" t="inlineStr">
        <is>
          <t>52787</t>
        </is>
      </c>
      <c r="C3" s="12" t="inlineStr">
        <is>
          <t>7896004726045</t>
        </is>
      </c>
      <c r="D3" s="7" t="inlineStr">
        <is>
          <t>BIOFLADEX FR 60G</t>
        </is>
      </c>
      <c r="E3" s="13" t="n">
        <v>1</v>
      </c>
      <c r="F3" s="13" t="n">
        <v>1</v>
      </c>
      <c r="G3" s="13" t="n">
        <v>1</v>
      </c>
      <c r="H3" s="8" t="n">
        <v>16.29</v>
      </c>
      <c r="I3" s="8">
        <f>G3*H3</f>
        <v/>
      </c>
      <c r="J3" s="8">
        <f>H3/E3</f>
        <v/>
      </c>
      <c r="K3" s="8" t="n">
        <v>15.66</v>
      </c>
      <c r="L3" s="8" t="n">
        <v>15.66</v>
      </c>
      <c r="M3" s="8" t="n">
        <v>15.66</v>
      </c>
      <c r="N3" s="14">
        <f>J3/M3-1</f>
        <v/>
      </c>
      <c r="O3" s="14">
        <f>J3/K3-1</f>
        <v/>
      </c>
      <c r="P3" s="7" t="inlineStr">
        <is>
          <t>ACIMA +4.0%</t>
        </is>
      </c>
      <c r="Q3" s="7" t="inlineStr"/>
    </row>
    <row r="4">
      <c r="A4" s="7" t="n">
        <v>71481</v>
      </c>
      <c r="B4" s="7" t="inlineStr">
        <is>
          <t>182303</t>
        </is>
      </c>
      <c r="C4" s="12" t="inlineStr">
        <is>
          <t>7895296211024</t>
        </is>
      </c>
      <c r="D4" s="7" t="inlineStr">
        <is>
          <t>CABERGOLINA 0,5 MG CX 8 COMP</t>
        </is>
      </c>
      <c r="E4" s="13" t="n">
        <v>1</v>
      </c>
      <c r="F4" s="13" t="n">
        <v>1</v>
      </c>
      <c r="G4" s="13" t="n">
        <v>1</v>
      </c>
      <c r="H4" s="8" t="n">
        <v>61.3</v>
      </c>
      <c r="I4" s="8">
        <f>G4*H4</f>
        <v/>
      </c>
      <c r="J4" s="8">
        <f>H4/E4</f>
        <v/>
      </c>
      <c r="K4" s="8" t="n">
        <v>50.565</v>
      </c>
      <c r="L4" s="8" t="n">
        <v>50.565</v>
      </c>
      <c r="M4" s="8" t="n">
        <v>50.565</v>
      </c>
      <c r="N4" s="14">
        <f>J4/M4-1</f>
        <v/>
      </c>
      <c r="O4" s="14">
        <f>J4/K4-1</f>
        <v/>
      </c>
      <c r="P4" s="7" t="inlineStr">
        <is>
          <t>ACIMA +21.2%</t>
        </is>
      </c>
      <c r="Q4" s="7" t="inlineStr"/>
    </row>
    <row r="5">
      <c r="A5" s="7" t="n">
        <v>146381</v>
      </c>
      <c r="B5" s="7" t="inlineStr">
        <is>
          <t>193615</t>
        </is>
      </c>
      <c r="C5" s="12" t="inlineStr">
        <is>
          <t>7895296447317</t>
        </is>
      </c>
      <c r="D5" s="7" t="inlineStr">
        <is>
          <t>CLOR.FEXOFENADINA 120MG 1BLX10COM REV-NQ</t>
        </is>
      </c>
      <c r="E5" s="13" t="n">
        <v>1</v>
      </c>
      <c r="F5" s="13" t="n">
        <v>1</v>
      </c>
      <c r="G5" s="13" t="n">
        <v>1</v>
      </c>
      <c r="H5" s="8" t="n">
        <v>7.35</v>
      </c>
      <c r="I5" s="8">
        <f>G5*H5</f>
        <v/>
      </c>
      <c r="J5" s="8">
        <f>H5/E5</f>
        <v/>
      </c>
      <c r="K5" s="8" t="n">
        <v>5.6</v>
      </c>
      <c r="L5" s="8" t="n">
        <v>5.6</v>
      </c>
      <c r="M5" s="8" t="n">
        <v>5.599999999999999</v>
      </c>
      <c r="N5" s="14">
        <f>J5/M5-1</f>
        <v/>
      </c>
      <c r="O5" s="14">
        <f>J5/K5-1</f>
        <v/>
      </c>
      <c r="P5" s="7" t="inlineStr">
        <is>
          <t>ACIMA +31.2%</t>
        </is>
      </c>
      <c r="Q5" s="7" t="inlineStr"/>
    </row>
    <row r="6">
      <c r="A6" s="7" t="n">
        <v>4923</v>
      </c>
      <c r="B6" s="7" t="inlineStr">
        <is>
          <t>183130</t>
        </is>
      </c>
      <c r="C6" s="12" t="inlineStr">
        <is>
          <t>7896472521821</t>
        </is>
      </c>
      <c r="D6" s="7" t="inlineStr">
        <is>
          <t>CLORIDRATO DE FEXOFENADINA 6MG/ML 60ML-NQ</t>
        </is>
      </c>
      <c r="E6" s="13" t="n">
        <v>1</v>
      </c>
      <c r="F6" s="13" t="n">
        <v>2</v>
      </c>
      <c r="G6" s="13" t="n">
        <v>2</v>
      </c>
      <c r="H6" s="8" t="n">
        <v>10.19</v>
      </c>
      <c r="I6" s="8">
        <f>G6*H6</f>
        <v/>
      </c>
      <c r="J6" s="8">
        <f>H6/E6</f>
        <v/>
      </c>
      <c r="K6" s="8" t="n">
        <v>13.28</v>
      </c>
      <c r="L6" s="8" t="n">
        <v>13.28</v>
      </c>
      <c r="M6" s="8" t="n">
        <v>13.28</v>
      </c>
      <c r="N6" s="14">
        <f>J6/M6-1</f>
        <v/>
      </c>
      <c r="O6" s="14">
        <f>J6/K6-1</f>
        <v/>
      </c>
      <c r="P6" s="7" t="inlineStr">
        <is>
          <t>OK (≤ menor hist.)</t>
        </is>
      </c>
      <c r="Q6" s="7" t="inlineStr"/>
    </row>
    <row r="7">
      <c r="A7" s="7" t="n">
        <v>651091</v>
      </c>
      <c r="B7" s="7" t="inlineStr">
        <is>
          <t>140287</t>
        </is>
      </c>
      <c r="C7" s="12" t="inlineStr">
        <is>
          <t>7895296449823</t>
        </is>
      </c>
      <c r="D7" s="7" t="inlineStr">
        <is>
          <t>CLORIDRATO DE NARATRIPTANA 2,5MG 10 CPR</t>
        </is>
      </c>
      <c r="E7" s="13" t="n">
        <v>1</v>
      </c>
      <c r="F7" s="13" t="n">
        <v>2</v>
      </c>
      <c r="G7" s="13" t="n">
        <v>2</v>
      </c>
      <c r="H7" s="8" t="n">
        <v>18.09</v>
      </c>
      <c r="I7" s="8">
        <f>G7*H7</f>
        <v/>
      </c>
      <c r="J7" s="8">
        <f>H7/E7</f>
        <v/>
      </c>
      <c r="K7" s="8" t="n">
        <v>14.9512</v>
      </c>
      <c r="L7" s="8" t="n">
        <v>14.9512</v>
      </c>
      <c r="M7" s="8" t="n">
        <v>14.9512</v>
      </c>
      <c r="N7" s="14">
        <f>J7/M7-1</f>
        <v/>
      </c>
      <c r="O7" s="14">
        <f>J7/K7-1</f>
        <v/>
      </c>
      <c r="P7" s="7" t="inlineStr">
        <is>
          <t>ACIMA +21.0%</t>
        </is>
      </c>
      <c r="Q7" s="7" t="inlineStr"/>
    </row>
    <row r="8">
      <c r="A8" s="7" t="n">
        <v>597761</v>
      </c>
      <c r="B8" s="7" t="inlineStr">
        <is>
          <t>190829</t>
        </is>
      </c>
      <c r="C8" s="12" t="inlineStr">
        <is>
          <t>7898687731552</t>
        </is>
      </c>
      <c r="D8" s="7" t="inlineStr">
        <is>
          <t>CLORIDRATO DE ONDANSETRONA DI-HIDRATADO 4MG CX 10 COMP ORODISP</t>
        </is>
      </c>
      <c r="E8" s="13" t="n">
        <v>1</v>
      </c>
      <c r="F8" s="13" t="n">
        <v>1</v>
      </c>
      <c r="G8" s="13" t="n">
        <v>1</v>
      </c>
      <c r="H8" s="8" t="n">
        <v>8.15</v>
      </c>
      <c r="I8" s="8">
        <f>G8*H8</f>
        <v/>
      </c>
      <c r="J8" s="8">
        <f>H8/E8</f>
        <v/>
      </c>
      <c r="K8" s="8" t="n">
        <v>6.71</v>
      </c>
      <c r="L8" s="8" t="n">
        <v>6.71</v>
      </c>
      <c r="M8" s="8" t="n">
        <v>6.71</v>
      </c>
      <c r="N8" s="14">
        <f>J8/M8-1</f>
        <v/>
      </c>
      <c r="O8" s="14">
        <f>J8/K8-1</f>
        <v/>
      </c>
      <c r="P8" s="7" t="inlineStr">
        <is>
          <t>ACIMA +21.5%</t>
        </is>
      </c>
      <c r="Q8" s="7" t="inlineStr"/>
    </row>
    <row r="9">
      <c r="A9" s="7" t="n">
        <v>182141</v>
      </c>
      <c r="B9" s="7" t="inlineStr">
        <is>
          <t>193976</t>
        </is>
      </c>
      <c r="C9" s="12" t="inlineStr">
        <is>
          <t>7895296014014</t>
        </is>
      </c>
      <c r="D9" s="7" t="inlineStr">
        <is>
          <t>CLORIDRATO DE TRAMADOL 50MG CX 10 CAP</t>
        </is>
      </c>
      <c r="E9" s="13" t="n">
        <v>1</v>
      </c>
      <c r="F9" s="13" t="n">
        <v>6</v>
      </c>
      <c r="G9" s="13" t="n">
        <v>6</v>
      </c>
      <c r="H9" s="8" t="n">
        <v>4.75</v>
      </c>
      <c r="I9" s="8">
        <f>G9*H9</f>
        <v/>
      </c>
      <c r="J9" s="8">
        <f>H9/E9</f>
        <v/>
      </c>
      <c r="K9" s="8" t="n">
        <v>4.7842</v>
      </c>
      <c r="L9" s="8" t="n">
        <v>4.7842</v>
      </c>
      <c r="M9" s="8" t="n">
        <v>4.7842</v>
      </c>
      <c r="N9" s="14">
        <f>J9/M9-1</f>
        <v/>
      </c>
      <c r="O9" s="14">
        <f>J9/K9-1</f>
        <v/>
      </c>
      <c r="P9" s="7" t="inlineStr">
        <is>
          <t>OK (≤ menor hist.)</t>
        </is>
      </c>
      <c r="Q9" s="7" t="inlineStr"/>
    </row>
    <row r="10">
      <c r="A10" s="7" t="n">
        <v>3433</v>
      </c>
      <c r="B10" s="7" t="inlineStr">
        <is>
          <t>187984</t>
        </is>
      </c>
      <c r="C10" s="12" t="inlineStr">
        <is>
          <t>7898108640692</t>
        </is>
      </c>
      <c r="D10" s="7" t="inlineStr">
        <is>
          <t>CURATIVO REDONDO CICATRISAN C/20 UND</t>
        </is>
      </c>
      <c r="E10" s="13" t="n">
        <v>1</v>
      </c>
      <c r="F10" s="13" t="n">
        <v>2</v>
      </c>
      <c r="G10" s="13" t="n">
        <v>2</v>
      </c>
      <c r="H10" s="8" t="n">
        <v>5.95</v>
      </c>
      <c r="I10" s="8">
        <f>G10*H10</f>
        <v/>
      </c>
      <c r="J10" s="8">
        <f>H10/E10</f>
        <v/>
      </c>
      <c r="K10" s="8" t="n">
        <v>5.815</v>
      </c>
      <c r="L10" s="8" t="n">
        <v>5.815</v>
      </c>
      <c r="M10" s="8" t="n">
        <v>5.815</v>
      </c>
      <c r="N10" s="14">
        <f>J10/M10-1</f>
        <v/>
      </c>
      <c r="O10" s="14">
        <f>J10/K10-1</f>
        <v/>
      </c>
      <c r="P10" s="7" t="inlineStr">
        <is>
          <t>ACIMA +2.3%</t>
        </is>
      </c>
      <c r="Q10" s="7" t="inlineStr"/>
    </row>
    <row r="11">
      <c r="A11" s="7" t="n">
        <v>201421</v>
      </c>
      <c r="B11" s="7" t="inlineStr">
        <is>
          <t>194123</t>
        </is>
      </c>
      <c r="C11" s="12" t="inlineStr">
        <is>
          <t>7895296277051</t>
        </is>
      </c>
      <c r="D11" s="7" t="inlineStr">
        <is>
          <t>DEFLAZACORTE 6MG CX 20 COMP</t>
        </is>
      </c>
      <c r="E11" s="13" t="n">
        <v>1</v>
      </c>
      <c r="F11" s="13" t="n">
        <v>1</v>
      </c>
      <c r="G11" s="13" t="n">
        <v>1</v>
      </c>
      <c r="H11" s="8" t="n">
        <v>36.45</v>
      </c>
      <c r="I11" s="8">
        <f>G11*H11</f>
        <v/>
      </c>
      <c r="J11" s="8">
        <f>H11/E11</f>
        <v/>
      </c>
      <c r="K11" s="8" t="n">
        <v>34.39</v>
      </c>
      <c r="L11" s="8" t="n">
        <v>34.39</v>
      </c>
      <c r="M11" s="8" t="n">
        <v>34.39</v>
      </c>
      <c r="N11" s="14">
        <f>J11/M11-1</f>
        <v/>
      </c>
      <c r="O11" s="14">
        <f>J11/K11-1</f>
        <v/>
      </c>
      <c r="P11" s="7" t="inlineStr">
        <is>
          <t>ACIMA +6.0%</t>
        </is>
      </c>
      <c r="Q11" s="7" t="inlineStr"/>
    </row>
    <row r="12">
      <c r="A12" s="7" t="n">
        <v>661161</v>
      </c>
      <c r="B12" s="7" t="inlineStr">
        <is>
          <t>190659</t>
        </is>
      </c>
      <c r="C12" s="12" t="inlineStr">
        <is>
          <t>7898569767556</t>
        </is>
      </c>
      <c r="D12" s="7" t="inlineStr">
        <is>
          <t>DESVENLAFAXINA 50MG CX 30 COMP REV</t>
        </is>
      </c>
      <c r="E12" s="13" t="n">
        <v>1</v>
      </c>
      <c r="F12" s="13" t="n">
        <v>1</v>
      </c>
      <c r="G12" s="13" t="n">
        <v>1</v>
      </c>
      <c r="H12" s="8" t="n">
        <v>29.27</v>
      </c>
      <c r="I12" s="8">
        <f>G12*H12</f>
        <v/>
      </c>
      <c r="J12" s="8">
        <f>H12/E12</f>
        <v/>
      </c>
      <c r="K12" s="8" t="n">
        <v>24.56</v>
      </c>
      <c r="L12" s="8" t="n">
        <v>24.56</v>
      </c>
      <c r="M12" s="8" t="n">
        <v>24.56</v>
      </c>
      <c r="N12" s="14">
        <f>J12/M12-1</f>
        <v/>
      </c>
      <c r="O12" s="14">
        <f>J12/K12-1</f>
        <v/>
      </c>
      <c r="P12" s="7" t="inlineStr">
        <is>
          <t>ACIMA +19.2%</t>
        </is>
      </c>
      <c r="Q12" s="7" t="inlineStr"/>
    </row>
    <row r="13">
      <c r="A13" s="7" t="n">
        <v>150061</v>
      </c>
      <c r="B13" s="7" t="inlineStr">
        <is>
          <t>162922</t>
        </is>
      </c>
      <c r="C13" s="12" t="inlineStr">
        <is>
          <t>7895296053044</t>
        </is>
      </c>
      <c r="D13" s="7" t="inlineStr">
        <is>
          <t>DICLORIDRATO DE HIDROXIZINA 25MG CX 30 COMP</t>
        </is>
      </c>
      <c r="E13" s="13" t="n">
        <v>1</v>
      </c>
      <c r="F13" s="13" t="n">
        <v>1</v>
      </c>
      <c r="G13" s="13" t="n">
        <v>1</v>
      </c>
      <c r="H13" s="8" t="n">
        <v>28.55</v>
      </c>
      <c r="I13" s="8">
        <f>G13*H13</f>
        <v/>
      </c>
      <c r="J13" s="8">
        <f>H13/E13</f>
        <v/>
      </c>
      <c r="K13" s="8" t="n">
        <v>26.56</v>
      </c>
      <c r="L13" s="8" t="n">
        <v>26.56</v>
      </c>
      <c r="M13" s="8" t="n">
        <v>26.56</v>
      </c>
      <c r="N13" s="14">
        <f>J13/M13-1</f>
        <v/>
      </c>
      <c r="O13" s="14">
        <f>J13/K13-1</f>
        <v/>
      </c>
      <c r="P13" s="7" t="inlineStr">
        <is>
          <t>ACIMA +7.5%</t>
        </is>
      </c>
      <c r="Q13" s="7" t="inlineStr"/>
    </row>
    <row r="14">
      <c r="A14" s="7" t="n">
        <v>238761</v>
      </c>
      <c r="B14" s="7" t="inlineStr">
        <is>
          <t>194379</t>
        </is>
      </c>
      <c r="C14" s="12" t="inlineStr">
        <is>
          <t>7895296100038</t>
        </is>
      </c>
      <c r="D14" s="7" t="inlineStr">
        <is>
          <t>DROSPIRENONA+ETINILESTRADIOL 3+0,03MG CX 21 COMP REV</t>
        </is>
      </c>
      <c r="E14" s="13" t="n">
        <v>1</v>
      </c>
      <c r="F14" s="13" t="n">
        <v>11</v>
      </c>
      <c r="G14" s="13" t="n">
        <v>11</v>
      </c>
      <c r="H14" s="8" t="n">
        <v>10.39</v>
      </c>
      <c r="I14" s="8">
        <f>G14*H14</f>
        <v/>
      </c>
      <c r="J14" s="8">
        <f>H14/E14</f>
        <v/>
      </c>
      <c r="K14" s="8" t="n">
        <v>10.44</v>
      </c>
      <c r="L14" s="8" t="n">
        <v>8.948700000000001</v>
      </c>
      <c r="M14" s="8" t="n">
        <v>9.9429</v>
      </c>
      <c r="N14" s="14">
        <f>J14/M14-1</f>
        <v/>
      </c>
      <c r="O14" s="14">
        <f>J14/K14-1</f>
        <v/>
      </c>
      <c r="P14" s="7" t="inlineStr">
        <is>
          <t>OK (≤ últ. compra)</t>
        </is>
      </c>
      <c r="Q14" s="7" t="inlineStr"/>
    </row>
    <row r="15">
      <c r="A15" s="7" t="n">
        <v>660351</v>
      </c>
      <c r="B15" s="7" t="inlineStr">
        <is>
          <t>194328</t>
        </is>
      </c>
      <c r="C15" s="12" t="inlineStr">
        <is>
          <t>7896472521845</t>
        </is>
      </c>
      <c r="D15" s="7" t="inlineStr">
        <is>
          <t>EZETIMIBA 10MG 30 CPR</t>
        </is>
      </c>
      <c r="E15" s="13" t="n">
        <v>1</v>
      </c>
      <c r="F15" s="13" t="n">
        <v>6</v>
      </c>
      <c r="G15" s="13" t="n">
        <v>6</v>
      </c>
      <c r="H15" s="8" t="n">
        <v>16.49</v>
      </c>
      <c r="I15" s="8">
        <f>G15*H15</f>
        <v/>
      </c>
      <c r="J15" s="8">
        <f>H15/E15</f>
        <v/>
      </c>
      <c r="K15" s="8" t="n">
        <v>15.99</v>
      </c>
      <c r="L15" s="8" t="n">
        <v>15.99</v>
      </c>
      <c r="M15" s="8" t="n">
        <v>15.99</v>
      </c>
      <c r="N15" s="14">
        <f>J15/M15-1</f>
        <v/>
      </c>
      <c r="O15" s="14">
        <f>J15/K15-1</f>
        <v/>
      </c>
      <c r="P15" s="7" t="inlineStr">
        <is>
          <t>ACIMA +3.1%</t>
        </is>
      </c>
      <c r="Q15" s="7" t="inlineStr"/>
    </row>
    <row r="16">
      <c r="A16" s="7" t="n">
        <v>249001</v>
      </c>
      <c r="B16" s="7" t="inlineStr">
        <is>
          <t>194280</t>
        </is>
      </c>
      <c r="C16" s="12" t="inlineStr">
        <is>
          <t>7895296276047</t>
        </is>
      </c>
      <c r="D16" s="7" t="inlineStr">
        <is>
          <t>FINASTERIDA 5MG CX 30 COMP REV</t>
        </is>
      </c>
      <c r="E16" s="13" t="n">
        <v>1</v>
      </c>
      <c r="F16" s="13" t="n">
        <v>2</v>
      </c>
      <c r="G16" s="13" t="n">
        <v>2</v>
      </c>
      <c r="H16" s="8" t="n">
        <v>19.99</v>
      </c>
      <c r="I16" s="8">
        <f>G16*H16</f>
        <v/>
      </c>
      <c r="J16" s="8">
        <f>H16/E16</f>
        <v/>
      </c>
      <c r="K16" s="8" t="n">
        <v>18.78</v>
      </c>
      <c r="L16" s="8" t="n">
        <v>18.78</v>
      </c>
      <c r="M16" s="8" t="n">
        <v>18.78</v>
      </c>
      <c r="N16" s="14">
        <f>J16/M16-1</f>
        <v/>
      </c>
      <c r="O16" s="14">
        <f>J16/K16-1</f>
        <v/>
      </c>
      <c r="P16" s="7" t="inlineStr">
        <is>
          <t>ACIMA +6.4%</t>
        </is>
      </c>
      <c r="Q16" s="7" t="inlineStr"/>
    </row>
    <row r="17">
      <c r="A17" s="7" t="n">
        <v>294061</v>
      </c>
      <c r="B17" s="7" t="inlineStr">
        <is>
          <t>141305</t>
        </is>
      </c>
      <c r="C17" s="12" t="inlineStr">
        <is>
          <t>7898569763633</t>
        </is>
      </c>
      <c r="D17" s="7" t="inlineStr">
        <is>
          <t>IBANDRONATO DE SODIO 150MG CX 1 COMP REV</t>
        </is>
      </c>
      <c r="E17" s="13" t="n">
        <v>1</v>
      </c>
      <c r="F17" s="13" t="n">
        <v>1</v>
      </c>
      <c r="G17" s="13" t="n">
        <v>1</v>
      </c>
      <c r="H17" s="8" t="n">
        <v>24.46</v>
      </c>
      <c r="I17" s="8">
        <f>G17*H17</f>
        <v/>
      </c>
      <c r="J17" s="8">
        <f>H17/E17</f>
        <v/>
      </c>
      <c r="K17" s="8" t="n">
        <v>19.51</v>
      </c>
      <c r="L17" s="8" t="n">
        <v>19.51</v>
      </c>
      <c r="M17" s="8" t="n">
        <v>19.51</v>
      </c>
      <c r="N17" s="14">
        <f>J17/M17-1</f>
        <v/>
      </c>
      <c r="O17" s="14">
        <f>J17/K17-1</f>
        <v/>
      </c>
      <c r="P17" s="7" t="inlineStr">
        <is>
          <t>ACIMA +25.4%</t>
        </is>
      </c>
      <c r="Q17" s="7" t="inlineStr"/>
    </row>
    <row r="18">
      <c r="A18" s="7" t="n">
        <v>630321</v>
      </c>
      <c r="B18" s="7" t="inlineStr">
        <is>
          <t>179620</t>
        </is>
      </c>
      <c r="C18" s="12" t="inlineStr">
        <is>
          <t>7898687735918</t>
        </is>
      </c>
      <c r="D18" s="7" t="inlineStr">
        <is>
          <t>IROSE  NITAZOXANIDA 20MG/ML PO SUS OR FR 100ML+SER DOS</t>
        </is>
      </c>
      <c r="E18" s="13" t="n">
        <v>1</v>
      </c>
      <c r="F18" s="13" t="n">
        <v>11</v>
      </c>
      <c r="G18" s="13" t="n">
        <v>11</v>
      </c>
      <c r="H18" s="8" t="n">
        <v>15.11</v>
      </c>
      <c r="I18" s="8">
        <f>G18*H18</f>
        <v/>
      </c>
      <c r="J18" s="8">
        <f>H18/E18</f>
        <v/>
      </c>
      <c r="K18" s="8" t="n">
        <v>14.56</v>
      </c>
      <c r="L18" s="8" t="n">
        <v>14.56</v>
      </c>
      <c r="M18" s="8" t="n">
        <v>14.56</v>
      </c>
      <c r="N18" s="14">
        <f>J18/M18-1</f>
        <v/>
      </c>
      <c r="O18" s="14">
        <f>J18/K18-1</f>
        <v/>
      </c>
      <c r="P18" s="7" t="inlineStr">
        <is>
          <t>ACIMA +3.8%</t>
        </is>
      </c>
      <c r="Q18" s="7" t="inlineStr"/>
    </row>
    <row r="19">
      <c r="A19" s="7" t="n">
        <v>305921</v>
      </c>
      <c r="B19" s="7" t="inlineStr">
        <is>
          <t>194093</t>
        </is>
      </c>
      <c r="C19" s="12" t="inlineStr">
        <is>
          <t>7895296043069</t>
        </is>
      </c>
      <c r="D19" s="7" t="inlineStr">
        <is>
          <t>ISOTRETINOINA 20MG CX 30 CAP</t>
        </is>
      </c>
      <c r="E19" s="13" t="n">
        <v>1</v>
      </c>
      <c r="F19" s="13" t="n">
        <v>1</v>
      </c>
      <c r="G19" s="13" t="n">
        <v>1</v>
      </c>
      <c r="H19" s="8" t="n">
        <v>36.39</v>
      </c>
      <c r="I19" s="8">
        <f>G19*H19</f>
        <v/>
      </c>
      <c r="J19" s="8">
        <f>H19/E19</f>
        <v/>
      </c>
      <c r="K19" s="8" t="n">
        <v>31.09</v>
      </c>
      <c r="L19" s="8" t="n">
        <v>31.09</v>
      </c>
      <c r="M19" s="8" t="n">
        <v>31.09</v>
      </c>
      <c r="N19" s="14">
        <f>J19/M19-1</f>
        <v/>
      </c>
      <c r="O19" s="14">
        <f>J19/K19-1</f>
        <v/>
      </c>
      <c r="P19" s="7" t="inlineStr">
        <is>
          <t>ACIMA +17.0%</t>
        </is>
      </c>
      <c r="Q19" s="7" t="inlineStr"/>
    </row>
    <row r="20">
      <c r="A20" s="7" t="n">
        <v>336001</v>
      </c>
      <c r="B20" s="7" t="inlineStr">
        <is>
          <t>132721</t>
        </is>
      </c>
      <c r="C20" s="12" t="inlineStr">
        <is>
          <t>7898945030212</t>
        </is>
      </c>
      <c r="D20" s="7" t="inlineStr">
        <is>
          <t>MALEATO DE TRIMEBUTINA 200MG CX 30 COMP</t>
        </is>
      </c>
      <c r="E20" s="13" t="n">
        <v>1</v>
      </c>
      <c r="F20" s="13" t="n">
        <v>1</v>
      </c>
      <c r="G20" s="13" t="n">
        <v>1</v>
      </c>
      <c r="H20" s="8" t="n">
        <v>34.66</v>
      </c>
      <c r="I20" s="8">
        <f>G20*H20</f>
        <v/>
      </c>
      <c r="J20" s="8">
        <f>H20/E20</f>
        <v/>
      </c>
      <c r="K20" s="8" t="n">
        <v>33.8</v>
      </c>
      <c r="L20" s="8" t="n">
        <v>31.95</v>
      </c>
      <c r="M20" s="8" t="n">
        <v>33.18333333333333</v>
      </c>
      <c r="N20" s="14">
        <f>J20/M20-1</f>
        <v/>
      </c>
      <c r="O20" s="14">
        <f>J20/K20-1</f>
        <v/>
      </c>
      <c r="P20" s="7" t="inlineStr">
        <is>
          <t>ACIMA +2.5%</t>
        </is>
      </c>
      <c r="Q20" s="7" t="inlineStr"/>
    </row>
    <row r="21">
      <c r="A21" s="7" t="n">
        <v>652061</v>
      </c>
      <c r="B21" s="7" t="inlineStr">
        <is>
          <t>184640</t>
        </is>
      </c>
      <c r="C21" s="12" t="inlineStr">
        <is>
          <t>7891317029951</t>
        </is>
      </c>
      <c r="D21" s="7" t="inlineStr">
        <is>
          <t>MAQ SENIOR PREMIUM 30CPR-DEMAIS PROD</t>
        </is>
      </c>
      <c r="E21" s="13" t="n">
        <v>1</v>
      </c>
      <c r="F21" s="13" t="n">
        <v>1</v>
      </c>
      <c r="G21" s="13" t="n">
        <v>1</v>
      </c>
      <c r="H21" s="8" t="n">
        <v>39.15</v>
      </c>
      <c r="I21" s="8">
        <f>G21*H21</f>
        <v/>
      </c>
      <c r="J21" s="8">
        <f>H21/E21</f>
        <v/>
      </c>
      <c r="K21" s="8" t="n">
        <v>40.97</v>
      </c>
      <c r="L21" s="8" t="n">
        <v>40.97</v>
      </c>
      <c r="M21" s="8" t="n">
        <v>40.97</v>
      </c>
      <c r="N21" s="14">
        <f>J21/M21-1</f>
        <v/>
      </c>
      <c r="O21" s="14">
        <f>J21/K21-1</f>
        <v/>
      </c>
      <c r="P21" s="7" t="inlineStr">
        <is>
          <t>OK (≤ menor hist.)</t>
        </is>
      </c>
      <c r="Q21" s="7" t="inlineStr"/>
    </row>
    <row r="22">
      <c r="A22" s="7" t="n">
        <v>613381</v>
      </c>
      <c r="B22" s="7" t="inlineStr">
        <is>
          <t>190764</t>
        </is>
      </c>
      <c r="C22" s="12" t="inlineStr">
        <is>
          <t>7898687730487</t>
        </is>
      </c>
      <c r="D22" s="7" t="inlineStr">
        <is>
          <t>NITAZOXANIDA 20MG/ML PO SUS OR FR 100ML+SER DOS</t>
        </is>
      </c>
      <c r="E22" s="13" t="n">
        <v>1</v>
      </c>
      <c r="F22" s="13" t="n">
        <v>7</v>
      </c>
      <c r="G22" s="13" t="n">
        <v>7</v>
      </c>
      <c r="H22" s="8" t="n">
        <v>15.07</v>
      </c>
      <c r="I22" s="8">
        <f>G22*H22</f>
        <v/>
      </c>
      <c r="J22" s="8">
        <f>H22/E22</f>
        <v/>
      </c>
      <c r="K22" s="8" t="n">
        <v>12.23</v>
      </c>
      <c r="L22" s="8" t="n">
        <v>12.23</v>
      </c>
      <c r="M22" s="8" t="n">
        <v>12.23</v>
      </c>
      <c r="N22" s="14">
        <f>J22/M22-1</f>
        <v/>
      </c>
      <c r="O22" s="14">
        <f>J22/K22-1</f>
        <v/>
      </c>
      <c r="P22" s="7" t="inlineStr">
        <is>
          <t>ACIMA +23.2%</t>
        </is>
      </c>
      <c r="Q22" s="7" t="inlineStr"/>
    </row>
    <row r="23">
      <c r="A23" s="7" t="n">
        <v>610201</v>
      </c>
      <c r="B23" s="7" t="inlineStr">
        <is>
          <t>190721</t>
        </is>
      </c>
      <c r="C23" s="12" t="inlineStr">
        <is>
          <t>7898687730470</t>
        </is>
      </c>
      <c r="D23" s="7" t="inlineStr">
        <is>
          <t>NITAZOXANIDA 20MG/ML PO SUS OR FR 45ML+SER DOS</t>
        </is>
      </c>
      <c r="E23" s="13" t="n">
        <v>1</v>
      </c>
      <c r="F23" s="13" t="n">
        <v>11</v>
      </c>
      <c r="G23" s="13" t="n">
        <v>11</v>
      </c>
      <c r="H23" s="8" t="n">
        <v>7.68</v>
      </c>
      <c r="I23" s="8">
        <f>G23*H23</f>
        <v/>
      </c>
      <c r="J23" s="8">
        <f>H23/E23</f>
        <v/>
      </c>
      <c r="K23" s="8" t="n">
        <v>6.62</v>
      </c>
      <c r="L23" s="8" t="n">
        <v>6.62</v>
      </c>
      <c r="M23" s="8" t="n">
        <v>6.62</v>
      </c>
      <c r="N23" s="14">
        <f>J23/M23-1</f>
        <v/>
      </c>
      <c r="O23" s="14">
        <f>J23/K23-1</f>
        <v/>
      </c>
      <c r="P23" s="7" t="inlineStr">
        <is>
          <t>ACIMA +16.0%</t>
        </is>
      </c>
      <c r="Q23" s="7" t="inlineStr"/>
    </row>
    <row r="24">
      <c r="A24" s="7" t="n">
        <v>375941</v>
      </c>
      <c r="B24" s="7" t="inlineStr">
        <is>
          <t>143162</t>
        </is>
      </c>
      <c r="C24" s="12" t="inlineStr">
        <is>
          <t>7898569763015</t>
        </is>
      </c>
      <c r="D24" s="7" t="inlineStr">
        <is>
          <t>OLMESARTANA MEDOXOMILA 20MG CX 30 COMP REV</t>
        </is>
      </c>
      <c r="E24" s="13" t="n">
        <v>1</v>
      </c>
      <c r="F24" s="13" t="n">
        <v>3</v>
      </c>
      <c r="G24" s="13" t="n">
        <v>3</v>
      </c>
      <c r="H24" s="8" t="n">
        <v>14.13</v>
      </c>
      <c r="I24" s="8">
        <f>G24*H24</f>
        <v/>
      </c>
      <c r="J24" s="8">
        <f>H24/E24</f>
        <v/>
      </c>
      <c r="K24" s="8" t="n">
        <v>11.77</v>
      </c>
      <c r="L24" s="8" t="n">
        <v>9.99</v>
      </c>
      <c r="M24" s="8" t="n">
        <v>9.99</v>
      </c>
      <c r="N24" s="14">
        <f>J24/M24-1</f>
        <v/>
      </c>
      <c r="O24" s="14">
        <f>J24/K24-1</f>
        <v/>
      </c>
      <c r="P24" s="7" t="inlineStr">
        <is>
          <t>ACIMA +20.1%</t>
        </is>
      </c>
      <c r="Q24" s="7" t="inlineStr"/>
    </row>
    <row r="25">
      <c r="A25" s="7" t="n">
        <v>388861</v>
      </c>
      <c r="B25" s="7" t="inlineStr">
        <is>
          <t>193720</t>
        </is>
      </c>
      <c r="C25" s="12" t="inlineStr">
        <is>
          <t>7895296199025</t>
        </is>
      </c>
      <c r="D25" s="7" t="inlineStr">
        <is>
          <t>PANTOPRAZOL 20MG CX 4BL X 7 COMP REV</t>
        </is>
      </c>
      <c r="E25" s="13" t="n">
        <v>1</v>
      </c>
      <c r="F25" s="13" t="n">
        <v>1</v>
      </c>
      <c r="G25" s="13" t="n">
        <v>1</v>
      </c>
      <c r="H25" s="8" t="n">
        <v>4.69</v>
      </c>
      <c r="I25" s="8">
        <f>G25*H25</f>
        <v/>
      </c>
      <c r="J25" s="8">
        <f>H25/E25</f>
        <v/>
      </c>
      <c r="K25" s="8" t="n">
        <v>6.5</v>
      </c>
      <c r="L25" s="8" t="n">
        <v>6.38</v>
      </c>
      <c r="M25" s="8" t="n">
        <v>6.419999999999999</v>
      </c>
      <c r="N25" s="14">
        <f>J25/M25-1</f>
        <v/>
      </c>
      <c r="O25" s="14">
        <f>J25/K25-1</f>
        <v/>
      </c>
      <c r="P25" s="7" t="inlineStr">
        <is>
          <t>OK (≤ menor hist.)</t>
        </is>
      </c>
      <c r="Q25" s="7" t="inlineStr"/>
    </row>
    <row r="26">
      <c r="A26" s="7" t="n">
        <v>407821</v>
      </c>
      <c r="B26" s="7" t="inlineStr">
        <is>
          <t>190837</t>
        </is>
      </c>
      <c r="C26" s="12" t="inlineStr">
        <is>
          <t>7898569765347</t>
        </is>
      </c>
      <c r="D26" s="7" t="inlineStr">
        <is>
          <t>PREDNISOLONA 5MG CX 10 COMP</t>
        </is>
      </c>
      <c r="E26" s="13" t="n">
        <v>1</v>
      </c>
      <c r="F26" s="13" t="n">
        <v>3</v>
      </c>
      <c r="G26" s="13" t="n">
        <v>3</v>
      </c>
      <c r="H26" s="8" t="n">
        <v>4.22</v>
      </c>
      <c r="I26" s="8">
        <f>G26*H26</f>
        <v/>
      </c>
      <c r="J26" s="8">
        <f>H26/E26</f>
        <v/>
      </c>
      <c r="K26" s="8" t="n">
        <v>4.32</v>
      </c>
      <c r="L26" s="8" t="n">
        <v>4.32</v>
      </c>
      <c r="M26" s="8" t="n">
        <v>4.32</v>
      </c>
      <c r="N26" s="14">
        <f>J26/M26-1</f>
        <v/>
      </c>
      <c r="O26" s="14">
        <f>J26/K26-1</f>
        <v/>
      </c>
      <c r="P26" s="7" t="inlineStr">
        <is>
          <t>OK (≤ menor hist.)</t>
        </is>
      </c>
      <c r="Q26" s="7" t="inlineStr"/>
    </row>
    <row r="27">
      <c r="A27" s="7" t="n">
        <v>409221</v>
      </c>
      <c r="B27" s="7" t="inlineStr">
        <is>
          <t>193518</t>
        </is>
      </c>
      <c r="C27" s="12" t="inlineStr">
        <is>
          <t>7895296286022</t>
        </is>
      </c>
      <c r="D27" s="7" t="inlineStr">
        <is>
          <t>PREDNISONA 5MG CX 20 COMP</t>
        </is>
      </c>
      <c r="E27" s="13" t="n">
        <v>1</v>
      </c>
      <c r="F27" s="13" t="n">
        <v>2</v>
      </c>
      <c r="G27" s="13" t="n">
        <v>2</v>
      </c>
      <c r="H27" s="8" t="n">
        <v>4.49</v>
      </c>
      <c r="I27" s="8">
        <f>G27*H27</f>
        <v/>
      </c>
      <c r="J27" s="8">
        <f>H27/E27</f>
        <v/>
      </c>
      <c r="K27" s="8" t="n">
        <v>4.28</v>
      </c>
      <c r="L27" s="8" t="n">
        <v>4.28</v>
      </c>
      <c r="M27" s="8" t="n">
        <v>4.28</v>
      </c>
      <c r="N27" s="14">
        <f>J27/M27-1</f>
        <v/>
      </c>
      <c r="O27" s="14">
        <f>J27/K27-1</f>
        <v/>
      </c>
      <c r="P27" s="7" t="inlineStr">
        <is>
          <t>ACIMA +4.9%</t>
        </is>
      </c>
      <c r="Q27" s="7" t="inlineStr"/>
    </row>
    <row r="28">
      <c r="A28" s="7" t="n">
        <v>630531</v>
      </c>
      <c r="B28" s="7" t="inlineStr">
        <is>
          <t>200441</t>
        </is>
      </c>
      <c r="C28" s="12" t="inlineStr">
        <is>
          <t>7892643940019</t>
        </is>
      </c>
      <c r="D28" s="7" t="inlineStr">
        <is>
          <t>SORO FISIOLOGICO 0,9% 500ML - SANDOM</t>
        </is>
      </c>
      <c r="E28" s="13" t="n">
        <v>1</v>
      </c>
      <c r="F28" s="13" t="n">
        <v>183</v>
      </c>
      <c r="G28" s="13" t="n">
        <v>183</v>
      </c>
      <c r="H28" s="8" t="n">
        <v>4.99</v>
      </c>
      <c r="I28" s="8">
        <f>G28*H28</f>
        <v/>
      </c>
      <c r="J28" s="8">
        <f>H28/E28</f>
        <v/>
      </c>
      <c r="K28" s="8" t="n">
        <v>3.89</v>
      </c>
      <c r="L28" s="8" t="n">
        <v>3.89</v>
      </c>
      <c r="M28" s="8" t="n">
        <v>3.89</v>
      </c>
      <c r="N28" s="14">
        <f>J28/M28-1</f>
        <v/>
      </c>
      <c r="O28" s="14">
        <f>J28/K28-1</f>
        <v/>
      </c>
      <c r="P28" s="7" t="inlineStr">
        <is>
          <t>ACIMA +28.3%</t>
        </is>
      </c>
      <c r="Q28" s="7" t="inlineStr"/>
    </row>
    <row r="29">
      <c r="A29" s="7" t="n">
        <v>457261</v>
      </c>
      <c r="B29" s="7" t="inlineStr">
        <is>
          <t>193143</t>
        </is>
      </c>
      <c r="C29" s="12" t="inlineStr">
        <is>
          <t>7895296240031</t>
        </is>
      </c>
      <c r="D29" s="7" t="inlineStr">
        <is>
          <t>TADALAFILA 5MG CX 2BL X 15 COMP REV</t>
        </is>
      </c>
      <c r="E29" s="13" t="n">
        <v>1</v>
      </c>
      <c r="F29" s="13" t="n">
        <v>2</v>
      </c>
      <c r="G29" s="13" t="n">
        <v>2</v>
      </c>
      <c r="H29" s="8" t="n">
        <v>3.69</v>
      </c>
      <c r="I29" s="8">
        <f>G29*H29</f>
        <v/>
      </c>
      <c r="J29" s="8">
        <f>H29/E29</f>
        <v/>
      </c>
      <c r="K29" s="8" t="n">
        <v>3.74</v>
      </c>
      <c r="L29" s="8" t="n">
        <v>3.74</v>
      </c>
      <c r="M29" s="8" t="n">
        <v>3.74</v>
      </c>
      <c r="N29" s="14">
        <f>J29/M29-1</f>
        <v/>
      </c>
      <c r="O29" s="14">
        <f>J29/K29-1</f>
        <v/>
      </c>
      <c r="P29" s="7" t="inlineStr">
        <is>
          <t>OK (≤ menor hist.)</t>
        </is>
      </c>
      <c r="Q29" s="7" t="inlineStr"/>
    </row>
    <row r="30">
      <c r="A30" s="7" t="n">
        <v>460261</v>
      </c>
      <c r="B30" s="7" t="inlineStr">
        <is>
          <t>161691</t>
        </is>
      </c>
      <c r="C30" s="12" t="inlineStr">
        <is>
          <t>7898569762858</t>
        </is>
      </c>
      <c r="D30" s="7" t="inlineStr">
        <is>
          <t>TELMISARTANA 80MG CX 30 COMP</t>
        </is>
      </c>
      <c r="E30" s="13" t="n">
        <v>1</v>
      </c>
      <c r="F30" s="13" t="n">
        <v>1</v>
      </c>
      <c r="G30" s="13" t="n">
        <v>1</v>
      </c>
      <c r="H30" s="8" t="n">
        <v>48.63</v>
      </c>
      <c r="I30" s="8">
        <f>G30*H30</f>
        <v/>
      </c>
      <c r="J30" s="8">
        <f>H30/E30</f>
        <v/>
      </c>
      <c r="K30" s="8" t="n">
        <v>41.255</v>
      </c>
      <c r="L30" s="8" t="n">
        <v>41.255</v>
      </c>
      <c r="M30" s="8" t="n">
        <v>41.255</v>
      </c>
      <c r="N30" s="14">
        <f>J30/M30-1</f>
        <v/>
      </c>
      <c r="O30" s="14">
        <f>J30/K30-1</f>
        <v/>
      </c>
      <c r="P30" s="7" t="inlineStr">
        <is>
          <t>ACIMA +17.9%</t>
        </is>
      </c>
      <c r="Q30" s="7" t="inlineStr"/>
    </row>
    <row r="31">
      <c r="A31" s="7" t="n">
        <v>462441</v>
      </c>
      <c r="B31" s="7" t="inlineStr">
        <is>
          <t>193135</t>
        </is>
      </c>
      <c r="C31" s="12" t="inlineStr">
        <is>
          <t>7895296132039</t>
        </is>
      </c>
      <c r="D31" s="7" t="inlineStr">
        <is>
          <t>TIBOLONA 2,5MG  CX 30 COMP</t>
        </is>
      </c>
      <c r="E31" s="13" t="n">
        <v>1</v>
      </c>
      <c r="F31" s="13" t="n">
        <v>3</v>
      </c>
      <c r="G31" s="13" t="n">
        <v>3</v>
      </c>
      <c r="H31" s="8" t="n">
        <v>24.85</v>
      </c>
      <c r="I31" s="8">
        <f>G31*H31</f>
        <v/>
      </c>
      <c r="J31" s="8">
        <f>H31/E31</f>
        <v/>
      </c>
      <c r="K31" s="8" t="n">
        <v>25.2</v>
      </c>
      <c r="L31" s="8" t="n">
        <v>24.21</v>
      </c>
      <c r="M31" s="8" t="n">
        <v>24.54</v>
      </c>
      <c r="N31" s="14">
        <f>J31/M31-1</f>
        <v/>
      </c>
      <c r="O31" s="14">
        <f>J31/K31-1</f>
        <v/>
      </c>
      <c r="P31" s="7" t="inlineStr">
        <is>
          <t>OK (≤ últ. compra)</t>
        </is>
      </c>
      <c r="Q31" s="7" t="inlineStr"/>
    </row>
    <row r="32">
      <c r="A32" s="7" t="n">
        <v>648221</v>
      </c>
      <c r="B32" s="7" t="inlineStr">
        <is>
          <t>204820</t>
        </is>
      </c>
      <c r="C32" s="12" t="inlineStr">
        <is>
          <t>6939184632407</t>
        </is>
      </c>
      <c r="D32" s="7" t="inlineStr">
        <is>
          <t>TIRA DE TESTE DE GLICOSE C/50 UND</t>
        </is>
      </c>
      <c r="E32" s="13" t="n">
        <v>1</v>
      </c>
      <c r="F32" s="13" t="n">
        <v>2</v>
      </c>
      <c r="G32" s="13" t="n">
        <v>2</v>
      </c>
      <c r="H32" s="8" t="n">
        <v>29.9</v>
      </c>
      <c r="I32" s="8">
        <f>G32*H32</f>
        <v/>
      </c>
      <c r="J32" s="8">
        <f>H32/E32</f>
        <v/>
      </c>
      <c r="K32" s="8" t="n">
        <v>44.53</v>
      </c>
      <c r="L32" s="8" t="n">
        <v>44.53</v>
      </c>
      <c r="M32" s="8" t="n">
        <v>44.53</v>
      </c>
      <c r="N32" s="14">
        <f>J32/M32-1</f>
        <v/>
      </c>
      <c r="O32" s="14">
        <f>J32/K32-1</f>
        <v/>
      </c>
      <c r="P32" s="7" t="inlineStr">
        <is>
          <t>OK (≤ menor hist.)</t>
        </is>
      </c>
      <c r="Q32" s="7" t="inlineStr"/>
    </row>
    <row r="33">
      <c r="A33" s="7" t="n">
        <v>662781</v>
      </c>
      <c r="B33" s="7" t="inlineStr">
        <is>
          <t>192929</t>
        </is>
      </c>
      <c r="C33" s="12" t="inlineStr">
        <is>
          <t>7896472521784</t>
        </is>
      </c>
      <c r="D33" s="7" t="inlineStr">
        <is>
          <t>VALSARTANA 320MG 30 COM-NQ</t>
        </is>
      </c>
      <c r="E33" s="13" t="n">
        <v>1</v>
      </c>
      <c r="F33" s="13" t="n">
        <v>5</v>
      </c>
      <c r="G33" s="13" t="n">
        <v>5</v>
      </c>
      <c r="H33" s="8" t="n">
        <v>25.05</v>
      </c>
      <c r="I33" s="8">
        <f>G33*H33</f>
        <v/>
      </c>
      <c r="J33" s="8">
        <f>H33/E33</f>
        <v/>
      </c>
      <c r="K33" s="8" t="n">
        <v>25.39</v>
      </c>
      <c r="L33" s="8" t="n">
        <v>25.39</v>
      </c>
      <c r="M33" s="8" t="n">
        <v>25.39</v>
      </c>
      <c r="N33" s="14">
        <f>J33/M33-1</f>
        <v/>
      </c>
      <c r="O33" s="14">
        <f>J33/K33-1</f>
        <v/>
      </c>
      <c r="P33" s="7" t="inlineStr">
        <is>
          <t>OK (≤ menor hist.)</t>
        </is>
      </c>
      <c r="Q33" s="7" t="inlineStr"/>
    </row>
    <row r="34">
      <c r="A34" s="7" t="n">
        <v>653221</v>
      </c>
      <c r="B34" s="7" t="inlineStr">
        <is>
          <t>190624</t>
        </is>
      </c>
      <c r="C34" s="12" t="inlineStr">
        <is>
          <t>7898687737684</t>
        </is>
      </c>
      <c r="D34" s="7" t="inlineStr">
        <is>
          <t>VITAMINA D 50000UI CX 12 CAP</t>
        </is>
      </c>
      <c r="E34" s="13" t="n">
        <v>1</v>
      </c>
      <c r="F34" s="13" t="n">
        <v>1</v>
      </c>
      <c r="G34" s="13" t="n">
        <v>1</v>
      </c>
      <c r="H34" s="8" t="n">
        <v>35.43</v>
      </c>
      <c r="I34" s="8">
        <f>G34*H34</f>
        <v/>
      </c>
      <c r="J34" s="8">
        <f>H34/E34</f>
        <v/>
      </c>
      <c r="K34" s="8" t="n">
        <v>29.28</v>
      </c>
      <c r="L34" s="8" t="n">
        <v>29.28</v>
      </c>
      <c r="M34" s="8" t="n">
        <v>29.28</v>
      </c>
      <c r="N34" s="14">
        <f>J34/M34-1</f>
        <v/>
      </c>
      <c r="O34" s="14">
        <f>J34/K34-1</f>
        <v/>
      </c>
      <c r="P34" s="7" t="inlineStr">
        <is>
          <t>ACIMA +21.0%</t>
        </is>
      </c>
      <c r="Q34" s="7" t="inlineStr"/>
    </row>
    <row r="35">
      <c r="A35" s="7" t="n">
        <v>193221</v>
      </c>
      <c r="B35" s="7" t="inlineStr">
        <is>
          <t>143685</t>
        </is>
      </c>
      <c r="C35" s="12" t="inlineStr">
        <is>
          <t>7898569765149</t>
        </is>
      </c>
      <c r="D35" s="7" t="inlineStr">
        <is>
          <t>VITAMINA D3 10000UI CX 30 CAP</t>
        </is>
      </c>
      <c r="E35" s="13" t="n">
        <v>1</v>
      </c>
      <c r="F35" s="13" t="n">
        <v>2</v>
      </c>
      <c r="G35" s="13" t="n">
        <v>2</v>
      </c>
      <c r="H35" s="8" t="n">
        <v>26.49</v>
      </c>
      <c r="I35" s="8">
        <f>G35*H35</f>
        <v/>
      </c>
      <c r="J35" s="8">
        <f>H35/E35</f>
        <v/>
      </c>
      <c r="K35" s="8" t="n">
        <v>21.98</v>
      </c>
      <c r="L35" s="8" t="n">
        <v>21.98</v>
      </c>
      <c r="M35" s="8" t="n">
        <v>21.98</v>
      </c>
      <c r="N35" s="14">
        <f>J35/M35-1</f>
        <v/>
      </c>
      <c r="O35" s="14">
        <f>J35/K35-1</f>
        <v/>
      </c>
      <c r="P35" s="7" t="inlineStr">
        <is>
          <t>ACIMA +20.5%</t>
        </is>
      </c>
      <c r="Q35" s="7" t="inlineStr"/>
    </row>
    <row r="36">
      <c r="A36" s="7" t="n">
        <v>198101</v>
      </c>
      <c r="B36" s="7" t="inlineStr">
        <is>
          <t>175439</t>
        </is>
      </c>
      <c r="C36" s="12" t="inlineStr">
        <is>
          <t>7898569765828</t>
        </is>
      </c>
      <c r="D36" s="7" t="inlineStr">
        <is>
          <t>VITAMINA D3 50000UI CX 10 CAP</t>
        </is>
      </c>
      <c r="E36" s="13" t="n">
        <v>1</v>
      </c>
      <c r="F36" s="13" t="n">
        <v>2</v>
      </c>
      <c r="G36" s="13" t="n">
        <v>2</v>
      </c>
      <c r="H36" s="8" t="n">
        <v>31.11</v>
      </c>
      <c r="I36" s="8">
        <f>G36*H36</f>
        <v/>
      </c>
      <c r="J36" s="8">
        <f>H36/E36</f>
        <v/>
      </c>
      <c r="K36" s="8" t="n">
        <v>25.99</v>
      </c>
      <c r="L36" s="8" t="n">
        <v>25.99</v>
      </c>
      <c r="M36" s="8" t="n">
        <v>25.99</v>
      </c>
      <c r="N36" s="14">
        <f>J36/M36-1</f>
        <v/>
      </c>
      <c r="O36" s="14">
        <f>J36/K36-1</f>
        <v/>
      </c>
      <c r="P36" s="7" t="inlineStr">
        <is>
          <t>ACIMA +19.7%</t>
        </is>
      </c>
      <c r="Q36" s="7" t="inlineStr"/>
    </row>
    <row r="37">
      <c r="A37" s="7" t="n">
        <v>193241</v>
      </c>
      <c r="B37" s="7" t="inlineStr">
        <is>
          <t>143618</t>
        </is>
      </c>
      <c r="C37" s="12" t="inlineStr">
        <is>
          <t>7898569765170</t>
        </is>
      </c>
      <c r="D37" s="7" t="inlineStr">
        <is>
          <t>VITAMINA D3 50000UI CX 4 CAP</t>
        </is>
      </c>
      <c r="E37" s="13" t="n">
        <v>1</v>
      </c>
      <c r="F37" s="13" t="n">
        <v>2</v>
      </c>
      <c r="G37" s="13" t="n">
        <v>2</v>
      </c>
      <c r="H37" s="8" t="n">
        <v>16.22</v>
      </c>
      <c r="I37" s="8">
        <f>G37*H37</f>
        <v/>
      </c>
      <c r="J37" s="8">
        <f>H37/E37</f>
        <v/>
      </c>
      <c r="K37" s="8" t="n">
        <v>13.95</v>
      </c>
      <c r="L37" s="8" t="n">
        <v>13.95</v>
      </c>
      <c r="M37" s="8" t="n">
        <v>13.95</v>
      </c>
      <c r="N37" s="14">
        <f>J37/M37-1</f>
        <v/>
      </c>
      <c r="O37" s="14">
        <f>J37/K37-1</f>
        <v/>
      </c>
      <c r="P37" s="7" t="inlineStr">
        <is>
          <t>ACIMA +16.3%</t>
        </is>
      </c>
      <c r="Q37" s="7" t="inlineStr"/>
    </row>
    <row r="38">
      <c r="A38" s="7" t="n">
        <v>193101</v>
      </c>
      <c r="B38" s="7" t="inlineStr">
        <is>
          <t>139203</t>
        </is>
      </c>
      <c r="C38" s="12" t="inlineStr">
        <is>
          <t>7898569765071</t>
        </is>
      </c>
      <c r="D38" s="7" t="inlineStr">
        <is>
          <t>VITAMINA D3 7000UI CX 30 CAP</t>
        </is>
      </c>
      <c r="E38" s="13" t="n">
        <v>1</v>
      </c>
      <c r="F38" s="13" t="n">
        <v>1</v>
      </c>
      <c r="G38" s="13" t="n">
        <v>1</v>
      </c>
      <c r="H38" s="8" t="n">
        <v>23.44</v>
      </c>
      <c r="I38" s="8">
        <f>G38*H38</f>
        <v/>
      </c>
      <c r="J38" s="8">
        <f>H38/E38</f>
        <v/>
      </c>
      <c r="K38" s="8" t="n">
        <v>18.96</v>
      </c>
      <c r="L38" s="8" t="n">
        <v>18.96</v>
      </c>
      <c r="M38" s="8" t="n">
        <v>18.96</v>
      </c>
      <c r="N38" s="14">
        <f>J38/M38-1</f>
        <v/>
      </c>
      <c r="O38" s="14">
        <f>J38/K38-1</f>
        <v/>
      </c>
      <c r="P38" s="7" t="inlineStr">
        <is>
          <t>ACIMA +23.6%</t>
        </is>
      </c>
      <c r="Q38" s="7" t="inlineStr"/>
    </row>
    <row r="39">
      <c r="D39" s="5" t="inlineStr">
        <is>
          <t>TOTAL</t>
        </is>
      </c>
      <c r="I39" s="18">
        <f>SUM(I2:I38)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7" customWidth="1" min="16" max="16"/>
    <col width="26" customWidth="1" min="17" max="17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Média hist.</t>
        </is>
      </c>
      <c r="N1" s="11" t="inlineStr">
        <is>
          <t>% vs média hist.</t>
        </is>
      </c>
      <c r="O1" s="11" t="inlineStr">
        <is>
          <t>% vs últ. compra</t>
        </is>
      </c>
      <c r="P1" s="11" t="inlineStr">
        <is>
          <t>Status</t>
        </is>
      </c>
      <c r="Q1" s="11" t="inlineStr">
        <is>
          <t>OBS</t>
        </is>
      </c>
    </row>
    <row r="2">
      <c r="A2" s="7" t="n">
        <v>653411</v>
      </c>
      <c r="B2" s="7" t="inlineStr">
        <is>
          <t>722932</t>
        </is>
      </c>
      <c r="C2" s="12" t="inlineStr">
        <is>
          <t>7896512927606</t>
        </is>
      </c>
      <c r="D2" s="7" t="inlineStr">
        <is>
          <t>- LENCO UMED BEBE LAVANDA 50UN   CASA %DN:10.00</t>
        </is>
      </c>
      <c r="E2" s="13" t="n">
        <v>1</v>
      </c>
      <c r="F2" s="13" t="n">
        <v>1</v>
      </c>
      <c r="G2" s="13" t="n">
        <v>1</v>
      </c>
      <c r="H2" s="8" t="n">
        <v>9.109999999999999</v>
      </c>
      <c r="I2" s="8">
        <f>G2*H2</f>
        <v/>
      </c>
      <c r="J2" s="8">
        <f>H2/E2</f>
        <v/>
      </c>
      <c r="K2" s="8" t="n">
        <v>10.44</v>
      </c>
      <c r="L2" s="8" t="n">
        <v>10.44</v>
      </c>
      <c r="M2" s="8" t="n">
        <v>10.44</v>
      </c>
      <c r="N2" s="14">
        <f>J2/M2-1</f>
        <v/>
      </c>
      <c r="O2" s="14">
        <f>J2/K2-1</f>
        <v/>
      </c>
      <c r="P2" s="7" t="inlineStr">
        <is>
          <t>OK (≤ menor hist.)</t>
        </is>
      </c>
      <c r="Q2" s="7" t="inlineStr"/>
    </row>
    <row r="3">
      <c r="A3" s="7" t="n">
        <v>556581</v>
      </c>
      <c r="B3" s="7" t="inlineStr">
        <is>
          <t>710692</t>
        </is>
      </c>
      <c r="C3" s="12" t="inlineStr">
        <is>
          <t>7891010886547</t>
        </is>
      </c>
      <c r="D3" s="7" t="inlineStr">
        <is>
          <t>ABS OB INTERNO MEDIO 10UN</t>
        </is>
      </c>
      <c r="E3" s="13" t="n">
        <v>1</v>
      </c>
      <c r="F3" s="13" t="n">
        <v>11</v>
      </c>
      <c r="G3" s="13" t="n">
        <v>11</v>
      </c>
      <c r="H3" s="8" t="n">
        <v>9.109999999999999</v>
      </c>
      <c r="I3" s="8">
        <f>G3*H3</f>
        <v/>
      </c>
      <c r="J3" s="8">
        <f>H3/E3</f>
        <v/>
      </c>
      <c r="K3" s="8" t="n">
        <v>10.83</v>
      </c>
      <c r="L3" s="8" t="n">
        <v>8.3733</v>
      </c>
      <c r="M3" s="8" t="n">
        <v>9.347099999999999</v>
      </c>
      <c r="N3" s="14">
        <f>J3/M3-1</f>
        <v/>
      </c>
      <c r="O3" s="14">
        <f>J3/K3-1</f>
        <v/>
      </c>
      <c r="P3" s="7" t="inlineStr">
        <is>
          <t>OK (≤ últ. compra)</t>
        </is>
      </c>
      <c r="Q3" s="7" t="inlineStr"/>
    </row>
    <row r="4">
      <c r="A4" s="7" t="n">
        <v>25403</v>
      </c>
      <c r="B4" s="7" t="inlineStr">
        <is>
          <t>722371</t>
        </is>
      </c>
      <c r="C4" s="12" t="inlineStr">
        <is>
          <t>7897211100482</t>
        </is>
      </c>
      <c r="D4" s="7" t="inlineStr">
        <is>
          <t>ABS P/SEIOS AMAME DIA&amp;NOITE C/24-DEMAIS PROD</t>
        </is>
      </c>
      <c r="E4" s="13" t="n">
        <v>1</v>
      </c>
      <c r="F4" s="13" t="n">
        <v>4</v>
      </c>
      <c r="G4" s="13" t="n">
        <v>4</v>
      </c>
      <c r="H4" s="8" t="n">
        <v>16.92</v>
      </c>
      <c r="I4" s="8">
        <f>G4*H4</f>
        <v/>
      </c>
      <c r="J4" s="8">
        <f>H4/E4</f>
        <v/>
      </c>
      <c r="K4" s="8" t="n">
        <v>21.76</v>
      </c>
      <c r="L4" s="8" t="n">
        <v>17.955</v>
      </c>
      <c r="M4" s="8" t="n">
        <v>17.955</v>
      </c>
      <c r="N4" s="14">
        <f>J4/M4-1</f>
        <v/>
      </c>
      <c r="O4" s="14">
        <f>J4/K4-1</f>
        <v/>
      </c>
      <c r="P4" s="7" t="inlineStr">
        <is>
          <t>OK (≤ menor hist.)</t>
        </is>
      </c>
      <c r="Q4" s="7" t="inlineStr"/>
    </row>
    <row r="5">
      <c r="A5" s="7" t="n">
        <v>656241</v>
      </c>
      <c r="B5" s="7" t="inlineStr">
        <is>
          <t>714892</t>
        </is>
      </c>
      <c r="C5" s="12" t="inlineStr">
        <is>
          <t>7891010245610</t>
        </is>
      </c>
      <c r="D5" s="7" t="inlineStr">
        <is>
          <t>ABSORVENTE INTERNO OB SUPER PRO CONFORT C/ 8UN</t>
        </is>
      </c>
      <c r="E5" s="13" t="n">
        <v>1</v>
      </c>
      <c r="F5" s="13" t="n">
        <v>10</v>
      </c>
      <c r="G5" s="13" t="n">
        <v>10</v>
      </c>
      <c r="H5" s="8" t="n">
        <v>9.109999999999999</v>
      </c>
      <c r="I5" s="8">
        <f>G5*H5</f>
        <v/>
      </c>
      <c r="J5" s="8">
        <f>H5/E5</f>
        <v/>
      </c>
      <c r="K5" s="8" t="n">
        <v>10.83</v>
      </c>
      <c r="L5" s="8" t="n">
        <v>8.42</v>
      </c>
      <c r="M5" s="8" t="n">
        <v>10.02666666666667</v>
      </c>
      <c r="N5" s="14">
        <f>J5/M5-1</f>
        <v/>
      </c>
      <c r="O5" s="14">
        <f>J5/K5-1</f>
        <v/>
      </c>
      <c r="P5" s="7" t="inlineStr">
        <is>
          <t>OK (≤ últ. compra)</t>
        </is>
      </c>
      <c r="Q5" s="7" t="inlineStr"/>
    </row>
    <row r="6">
      <c r="A6" s="7" t="n">
        <v>621431</v>
      </c>
      <c r="B6" s="7" t="inlineStr">
        <is>
          <t>715600</t>
        </is>
      </c>
      <c r="C6" s="12" t="inlineStr">
        <is>
          <t>3282770206036</t>
        </is>
      </c>
      <c r="D6" s="7" t="inlineStr">
        <is>
          <t>ACTINE PROT SOLAR FPS60 40G</t>
        </is>
      </c>
      <c r="E6" s="13" t="n">
        <v>1</v>
      </c>
      <c r="F6" s="13" t="n">
        <v>1</v>
      </c>
      <c r="G6" s="13" t="n">
        <v>1</v>
      </c>
      <c r="H6" s="8" t="n">
        <v>56.86</v>
      </c>
      <c r="I6" s="8">
        <f>G6*H6</f>
        <v/>
      </c>
      <c r="J6" s="8">
        <f>H6/E6</f>
        <v/>
      </c>
      <c r="K6" s="8" t="n">
        <v>54.63</v>
      </c>
      <c r="L6" s="8" t="n">
        <v>42.49</v>
      </c>
      <c r="M6" s="8" t="n">
        <v>42.49</v>
      </c>
      <c r="N6" s="14">
        <f>J6/M6-1</f>
        <v/>
      </c>
      <c r="O6" s="14">
        <f>J6/K6-1</f>
        <v/>
      </c>
      <c r="P6" s="7" t="inlineStr">
        <is>
          <t>ACIMA +4.1%</t>
        </is>
      </c>
      <c r="Q6" s="7" t="inlineStr"/>
    </row>
    <row r="7">
      <c r="A7" s="7" t="n">
        <v>621421</v>
      </c>
      <c r="B7" s="7" t="inlineStr">
        <is>
          <t>715587</t>
        </is>
      </c>
      <c r="C7" s="12" t="inlineStr">
        <is>
          <t>3282770206050</t>
        </is>
      </c>
      <c r="D7" s="7" t="inlineStr">
        <is>
          <t>ACTINE PROT SOLAR FPS60 COR 40G</t>
        </is>
      </c>
      <c r="E7" s="13" t="n">
        <v>1</v>
      </c>
      <c r="F7" s="13" t="n">
        <v>1</v>
      </c>
      <c r="G7" s="13" t="n">
        <v>1</v>
      </c>
      <c r="H7" s="8" t="n">
        <v>56.86</v>
      </c>
      <c r="I7" s="8">
        <f>G7*H7</f>
        <v/>
      </c>
      <c r="J7" s="8">
        <f>H7/E7</f>
        <v/>
      </c>
      <c r="K7" s="8" t="n">
        <v>54.91</v>
      </c>
      <c r="L7" s="8" t="n">
        <v>54.91</v>
      </c>
      <c r="M7" s="8" t="n">
        <v>54.91</v>
      </c>
      <c r="N7" s="14">
        <f>J7/M7-1</f>
        <v/>
      </c>
      <c r="O7" s="14">
        <f>J7/K7-1</f>
        <v/>
      </c>
      <c r="P7" s="7" t="inlineStr">
        <is>
          <t>ACIMA +3.6%</t>
        </is>
      </c>
      <c r="Q7" s="7" t="inlineStr"/>
    </row>
    <row r="8">
      <c r="A8" s="7" t="n">
        <v>642771</v>
      </c>
      <c r="B8" s="7" t="inlineStr">
        <is>
          <t>722011</t>
        </is>
      </c>
      <c r="C8" s="12" t="inlineStr">
        <is>
          <t>7892828001016</t>
        </is>
      </c>
      <c r="D8" s="7" t="inlineStr">
        <is>
          <t>ADEFORTE ORAL 01 AMP</t>
        </is>
      </c>
      <c r="E8" s="13" t="n">
        <v>1</v>
      </c>
      <c r="F8" s="13" t="n">
        <v>8</v>
      </c>
      <c r="G8" s="13" t="n">
        <v>8</v>
      </c>
      <c r="H8" s="8" t="n">
        <v>21.42</v>
      </c>
      <c r="I8" s="8">
        <f>G8*H8</f>
        <v/>
      </c>
      <c r="J8" s="8">
        <f>H8/E8</f>
        <v/>
      </c>
      <c r="K8" s="8" t="n">
        <v>24.86</v>
      </c>
      <c r="L8" s="8" t="n">
        <v>17.3474</v>
      </c>
      <c r="M8" s="8" t="n">
        <v>21.62523333333333</v>
      </c>
      <c r="N8" s="14">
        <f>J8/M8-1</f>
        <v/>
      </c>
      <c r="O8" s="14">
        <f>J8/K8-1</f>
        <v/>
      </c>
      <c r="P8" s="7" t="inlineStr">
        <is>
          <t>OK (≤ últ. compra)</t>
        </is>
      </c>
      <c r="Q8" s="7" t="inlineStr"/>
    </row>
    <row r="9">
      <c r="A9" s="7" t="n">
        <v>570461</v>
      </c>
      <c r="B9" s="7" t="inlineStr">
        <is>
          <t>705275</t>
        </is>
      </c>
      <c r="C9" s="12" t="inlineStr">
        <is>
          <t>7891025111825</t>
        </is>
      </c>
      <c r="D9" s="7" t="inlineStr">
        <is>
          <t>APTAMIL 1 PREMIUM 800G</t>
        </is>
      </c>
      <c r="E9" s="13" t="n">
        <v>1</v>
      </c>
      <c r="F9" s="13" t="n">
        <v>5</v>
      </c>
      <c r="G9" s="13" t="n">
        <v>5</v>
      </c>
      <c r="H9" s="8" t="n">
        <v>58.12</v>
      </c>
      <c r="I9" s="8">
        <f>G9*H9</f>
        <v/>
      </c>
      <c r="J9" s="8">
        <f>H9/E9</f>
        <v/>
      </c>
      <c r="K9" s="8" t="n">
        <v>66.36499999999999</v>
      </c>
      <c r="L9" s="8" t="n">
        <v>57.9178</v>
      </c>
      <c r="M9" s="8" t="n">
        <v>63.54926666666666</v>
      </c>
      <c r="N9" s="14">
        <f>J9/M9-1</f>
        <v/>
      </c>
      <c r="O9" s="14">
        <f>J9/K9-1</f>
        <v/>
      </c>
      <c r="P9" s="7" t="inlineStr">
        <is>
          <t>OK (≤ últ. compra)</t>
        </is>
      </c>
      <c r="Q9" s="7" t="inlineStr"/>
    </row>
    <row r="10">
      <c r="A10" s="7" t="n">
        <v>570481</v>
      </c>
      <c r="B10" s="7" t="inlineStr">
        <is>
          <t>705310</t>
        </is>
      </c>
      <c r="C10" s="12" t="inlineStr">
        <is>
          <t>7891025107897</t>
        </is>
      </c>
      <c r="D10" s="7" t="inlineStr">
        <is>
          <t>APTAMIL 2 800G</t>
        </is>
      </c>
      <c r="E10" s="13" t="n">
        <v>1</v>
      </c>
      <c r="F10" s="13" t="n">
        <v>1</v>
      </c>
      <c r="G10" s="13" t="n">
        <v>1</v>
      </c>
      <c r="H10" s="8" t="n">
        <v>57.69</v>
      </c>
      <c r="I10" s="8">
        <f>G10*H10</f>
        <v/>
      </c>
      <c r="J10" s="8">
        <f>H10/E10</f>
        <v/>
      </c>
      <c r="K10" s="8" t="n">
        <v>67.1267</v>
      </c>
      <c r="L10" s="8" t="n">
        <v>58.5988</v>
      </c>
      <c r="M10" s="8" t="n">
        <v>64.28406666666666</v>
      </c>
      <c r="N10" s="14">
        <f>J10/M10-1</f>
        <v/>
      </c>
      <c r="O10" s="14">
        <f>J10/K10-1</f>
        <v/>
      </c>
      <c r="P10" s="7" t="inlineStr">
        <is>
          <t>OK (≤ menor hist.)</t>
        </is>
      </c>
      <c r="Q10" s="7" t="inlineStr"/>
    </row>
    <row r="11">
      <c r="A11" s="7" t="n">
        <v>646691</v>
      </c>
      <c r="B11" s="7" t="inlineStr">
        <is>
          <t>709703</t>
        </is>
      </c>
      <c r="C11" s="12" t="inlineStr">
        <is>
          <t>7891025112679</t>
        </is>
      </c>
      <c r="D11" s="7" t="inlineStr">
        <is>
          <t>APTAMIL PROFUT 1 400G-DEMAIS PROD</t>
        </is>
      </c>
      <c r="E11" s="13" t="n">
        <v>1</v>
      </c>
      <c r="F11" s="13" t="n">
        <v>2</v>
      </c>
      <c r="G11" s="13" t="n">
        <v>2</v>
      </c>
      <c r="H11" s="8" t="n">
        <v>44.01</v>
      </c>
      <c r="I11" s="8">
        <f>G11*H11</f>
        <v/>
      </c>
      <c r="J11" s="8">
        <f>H11/E11</f>
        <v/>
      </c>
      <c r="K11" s="8" t="n">
        <v>50.285</v>
      </c>
      <c r="L11" s="8" t="n">
        <v>50.285</v>
      </c>
      <c r="M11" s="8" t="n">
        <v>50.285</v>
      </c>
      <c r="N11" s="14">
        <f>J11/M11-1</f>
        <v/>
      </c>
      <c r="O11" s="14">
        <f>J11/K11-1</f>
        <v/>
      </c>
      <c r="P11" s="7" t="inlineStr">
        <is>
          <t>OK (≤ menor hist.)</t>
        </is>
      </c>
      <c r="Q11" s="7" t="inlineStr"/>
    </row>
    <row r="12">
      <c r="A12" s="7" t="n">
        <v>82401</v>
      </c>
      <c r="B12" s="7" t="inlineStr">
        <is>
          <t>100480</t>
        </is>
      </c>
      <c r="C12" s="12" t="inlineStr">
        <is>
          <t>7896026171182</t>
        </is>
      </c>
      <c r="D12" s="7" t="inlineStr">
        <is>
          <t>BESEROL 300+125+50+30MG CX 12 COMP</t>
        </is>
      </c>
      <c r="E12" s="13" t="n">
        <v>1</v>
      </c>
      <c r="F12" s="13" t="n">
        <v>4</v>
      </c>
      <c r="G12" s="13" t="n">
        <v>4</v>
      </c>
      <c r="H12" s="8" t="n">
        <v>14.43</v>
      </c>
      <c r="I12" s="8">
        <f>G12*H12</f>
        <v/>
      </c>
      <c r="J12" s="8">
        <f>H12/E12</f>
        <v/>
      </c>
      <c r="K12" s="8" t="n">
        <v>18.3167</v>
      </c>
      <c r="L12" s="8" t="n">
        <v>11.71</v>
      </c>
      <c r="M12" s="8" t="n">
        <v>12.97953333333333</v>
      </c>
      <c r="N12" s="14">
        <f>J12/M12-1</f>
        <v/>
      </c>
      <c r="O12" s="14">
        <f>J12/K12-1</f>
        <v/>
      </c>
      <c r="P12" s="7" t="inlineStr">
        <is>
          <t>OK (≤ últ. compra)</t>
        </is>
      </c>
      <c r="Q12" s="7" t="inlineStr"/>
    </row>
    <row r="13">
      <c r="A13" s="7" t="n">
        <v>48321</v>
      </c>
      <c r="B13" s="7" t="inlineStr">
        <is>
          <t>404362</t>
        </is>
      </c>
      <c r="C13" s="12" t="inlineStr">
        <is>
          <t>7898100268290</t>
        </is>
      </c>
      <c r="D13" s="7" t="inlineStr">
        <is>
          <t>BIOVICERIN  END/ML SUS OR 2 FLAC X 5ML</t>
        </is>
      </c>
      <c r="E13" s="13" t="n">
        <v>1</v>
      </c>
      <c r="F13" s="13" t="n">
        <v>9</v>
      </c>
      <c r="G13" s="13" t="n">
        <v>9</v>
      </c>
      <c r="H13" s="8" t="n">
        <v>9.65</v>
      </c>
      <c r="I13" s="8">
        <f>G13*H13</f>
        <v/>
      </c>
      <c r="J13" s="8">
        <f>H13/E13</f>
        <v/>
      </c>
      <c r="K13" s="8" t="n">
        <v>11.36</v>
      </c>
      <c r="L13" s="8" t="n">
        <v>8.533300000000001</v>
      </c>
      <c r="M13" s="8" t="n">
        <v>8.757766666666667</v>
      </c>
      <c r="N13" s="14">
        <f>J13/M13-1</f>
        <v/>
      </c>
      <c r="O13" s="14">
        <f>J13/K13-1</f>
        <v/>
      </c>
      <c r="P13" s="7" t="inlineStr">
        <is>
          <t>OK (≤ últ. compra)</t>
        </is>
      </c>
      <c r="Q13" s="7" t="inlineStr"/>
    </row>
    <row r="14">
      <c r="A14" s="7" t="n">
        <v>584301</v>
      </c>
      <c r="B14" s="7" t="inlineStr">
        <is>
          <t>719603</t>
        </is>
      </c>
      <c r="C14" s="12" t="inlineStr">
        <is>
          <t>4987188568729</t>
        </is>
      </c>
      <c r="D14" s="7" t="inlineStr">
        <is>
          <t>BYE BYE FEVER PARA CRIANCAS C/2UN(HSM)</t>
        </is>
      </c>
      <c r="E14" s="13" t="n">
        <v>1</v>
      </c>
      <c r="F14" s="13" t="n">
        <v>8</v>
      </c>
      <c r="G14" s="13" t="n">
        <v>8</v>
      </c>
      <c r="H14" s="8" t="n">
        <v>9.58</v>
      </c>
      <c r="I14" s="8">
        <f>G14*H14</f>
        <v/>
      </c>
      <c r="J14" s="8">
        <f>H14/E14</f>
        <v/>
      </c>
      <c r="K14" s="8" t="n">
        <v>11.07</v>
      </c>
      <c r="L14" s="8" t="n">
        <v>8.99</v>
      </c>
      <c r="M14" s="8" t="n">
        <v>10.37666666666667</v>
      </c>
      <c r="N14" s="14">
        <f>J14/M14-1</f>
        <v/>
      </c>
      <c r="O14" s="14">
        <f>J14/K14-1</f>
        <v/>
      </c>
      <c r="P14" s="7" t="inlineStr">
        <is>
          <t>OK (≤ últ. compra)</t>
        </is>
      </c>
      <c r="Q14" s="7" t="inlineStr"/>
    </row>
    <row r="15">
      <c r="A15" s="7" t="n">
        <v>606351</v>
      </c>
      <c r="B15" s="7" t="inlineStr">
        <is>
          <t>716050</t>
        </is>
      </c>
      <c r="C15" s="12" t="inlineStr">
        <is>
          <t>7896004780078</t>
        </is>
      </c>
      <c r="D15" s="7" t="inlineStr">
        <is>
          <t>CALADRYL POS SOL CR 28G</t>
        </is>
      </c>
      <c r="E15" s="13" t="n">
        <v>1</v>
      </c>
      <c r="F15" s="13" t="n">
        <v>2</v>
      </c>
      <c r="G15" s="13" t="n">
        <v>2</v>
      </c>
      <c r="H15" s="8" t="n">
        <v>21.21</v>
      </c>
      <c r="I15" s="8">
        <f>G15*H15</f>
        <v/>
      </c>
      <c r="J15" s="8">
        <f>H15/E15</f>
        <v/>
      </c>
      <c r="K15" s="8" t="n">
        <v>18.74</v>
      </c>
      <c r="L15" s="8" t="n">
        <v>14.1583</v>
      </c>
      <c r="M15" s="8" t="n">
        <v>17.21276666666667</v>
      </c>
      <c r="N15" s="14">
        <f>J15/M15-1</f>
        <v/>
      </c>
      <c r="O15" s="14">
        <f>J15/K15-1</f>
        <v/>
      </c>
      <c r="P15" s="7" t="inlineStr">
        <is>
          <t>ACIMA +13.2%</t>
        </is>
      </c>
      <c r="Q15" s="7" t="inlineStr"/>
    </row>
    <row r="16">
      <c r="A16" s="7" t="n">
        <v>600551</v>
      </c>
      <c r="B16" s="7" t="inlineStr">
        <is>
          <t>720223</t>
        </is>
      </c>
      <c r="C16" s="12" t="inlineStr">
        <is>
          <t>7898040329761</t>
        </is>
      </c>
      <c r="D16" s="7" t="inlineStr">
        <is>
          <t>CALCITRAN B12 SUSP FR 150ML</t>
        </is>
      </c>
      <c r="E16" s="13" t="n">
        <v>1</v>
      </c>
      <c r="F16" s="13" t="n">
        <v>1</v>
      </c>
      <c r="G16" s="13" t="n">
        <v>1</v>
      </c>
      <c r="H16" s="8" t="n">
        <v>32.31</v>
      </c>
      <c r="I16" s="8">
        <f>G16*H16</f>
        <v/>
      </c>
      <c r="J16" s="8">
        <f>H16/E16</f>
        <v/>
      </c>
      <c r="K16" s="8" t="n">
        <v>34.35</v>
      </c>
      <c r="L16" s="8" t="n">
        <v>31.035</v>
      </c>
      <c r="M16" s="8" t="n">
        <v>32.35386666666667</v>
      </c>
      <c r="N16" s="14">
        <f>J16/M16-1</f>
        <v/>
      </c>
      <c r="O16" s="14">
        <f>J16/K16-1</f>
        <v/>
      </c>
      <c r="P16" s="7" t="inlineStr">
        <is>
          <t>OK (≤ últ. compra)</t>
        </is>
      </c>
      <c r="Q16" s="7" t="inlineStr"/>
    </row>
    <row r="17">
      <c r="A17" s="7" t="n">
        <v>539701</v>
      </c>
      <c r="B17" s="7" t="inlineStr">
        <is>
          <t>705541</t>
        </is>
      </c>
      <c r="C17" s="12" t="inlineStr">
        <is>
          <t>7898414850891</t>
        </is>
      </c>
      <c r="D17" s="7" t="inlineStr">
        <is>
          <t>CALCITRAN D3 CX 30 COMP</t>
        </is>
      </c>
      <c r="E17" s="13" t="n">
        <v>1</v>
      </c>
      <c r="F17" s="13" t="n">
        <v>4</v>
      </c>
      <c r="G17" s="13" t="n">
        <v>4</v>
      </c>
      <c r="H17" s="8" t="n">
        <v>36.55</v>
      </c>
      <c r="I17" s="8">
        <f>G17*H17</f>
        <v/>
      </c>
      <c r="J17" s="8">
        <f>H17/E17</f>
        <v/>
      </c>
      <c r="K17" s="8" t="n">
        <v>36.48</v>
      </c>
      <c r="L17" s="8" t="n">
        <v>30.8</v>
      </c>
      <c r="M17" s="8" t="n">
        <v>34.51666666666667</v>
      </c>
      <c r="N17" s="14">
        <f>J17/M17-1</f>
        <v/>
      </c>
      <c r="O17" s="14">
        <f>J17/K17-1</f>
        <v/>
      </c>
      <c r="P17" s="7" t="inlineStr">
        <is>
          <t>ACIMA +0.2%</t>
        </is>
      </c>
      <c r="Q17" s="7" t="inlineStr"/>
    </row>
    <row r="18">
      <c r="A18" s="7" t="n">
        <v>594131</v>
      </c>
      <c r="B18" s="7" t="inlineStr">
        <is>
          <t>708955</t>
        </is>
      </c>
      <c r="C18" s="12" t="inlineStr">
        <is>
          <t>7898040329464</t>
        </is>
      </c>
      <c r="D18" s="7" t="inlineStr">
        <is>
          <t>CALCITRAN MDK CX 30 COMP</t>
        </is>
      </c>
      <c r="E18" s="13" t="n">
        <v>1</v>
      </c>
      <c r="F18" s="13" t="n">
        <v>9</v>
      </c>
      <c r="G18" s="13" t="n">
        <v>9</v>
      </c>
      <c r="H18" s="8" t="n">
        <v>53.87</v>
      </c>
      <c r="I18" s="8">
        <f>G18*H18</f>
        <v/>
      </c>
      <c r="J18" s="8">
        <f>H18/E18</f>
        <v/>
      </c>
      <c r="K18" s="8" t="n">
        <v>53.72</v>
      </c>
      <c r="L18" s="8" t="n">
        <v>42.77</v>
      </c>
      <c r="M18" s="8" t="n">
        <v>49.83333333333334</v>
      </c>
      <c r="N18" s="14">
        <f>J18/M18-1</f>
        <v/>
      </c>
      <c r="O18" s="14">
        <f>J18/K18-1</f>
        <v/>
      </c>
      <c r="P18" s="7" t="inlineStr">
        <is>
          <t>ACIMA +0.3%</t>
        </is>
      </c>
      <c r="Q18" s="7" t="inlineStr"/>
    </row>
    <row r="19">
      <c r="A19" s="7" t="n">
        <v>210221</v>
      </c>
      <c r="B19" s="7" t="inlineStr">
        <is>
          <t>100664</t>
        </is>
      </c>
      <c r="C19" s="12" t="inlineStr">
        <is>
          <t>7896261013490</t>
        </is>
      </c>
      <c r="D19" s="7" t="inlineStr">
        <is>
          <t>CATAFLAM 50MG CX 10 DRG</t>
        </is>
      </c>
      <c r="E19" s="13" t="n">
        <v>1</v>
      </c>
      <c r="F19" s="13" t="n">
        <v>3</v>
      </c>
      <c r="G19" s="13" t="n">
        <v>3</v>
      </c>
      <c r="H19" s="8" t="n">
        <v>17.03</v>
      </c>
      <c r="I19" s="8">
        <f>G19*H19</f>
        <v/>
      </c>
      <c r="J19" s="8">
        <f>H19/E19</f>
        <v/>
      </c>
      <c r="K19" s="8" t="n">
        <v>17.03</v>
      </c>
      <c r="L19" s="8" t="n">
        <v>16.38</v>
      </c>
      <c r="M19" s="8" t="n">
        <v>16.595</v>
      </c>
      <c r="N19" s="14">
        <f>J19/M19-1</f>
        <v/>
      </c>
      <c r="O19" s="14">
        <f>J19/K19-1</f>
        <v/>
      </c>
      <c r="P19" s="7" t="inlineStr">
        <is>
          <t>OK (≤ últ. compra)</t>
        </is>
      </c>
      <c r="Q19" s="7" t="inlineStr"/>
    </row>
    <row r="20">
      <c r="A20" s="7" t="n">
        <v>653981</v>
      </c>
      <c r="B20" s="7" t="inlineStr">
        <is>
          <t>722182</t>
        </is>
      </c>
      <c r="C20" s="12" t="inlineStr">
        <is>
          <t>7500435231510</t>
        </is>
      </c>
      <c r="D20" s="7" t="inlineStr">
        <is>
          <t>CEBION EFV 1G C/10 COMP-DEMAIS PROD</t>
        </is>
      </c>
      <c r="E20" s="13" t="n">
        <v>1</v>
      </c>
      <c r="F20" s="13" t="n">
        <v>1</v>
      </c>
      <c r="G20" s="13" t="n">
        <v>1</v>
      </c>
      <c r="H20" s="8" t="n">
        <v>12.03</v>
      </c>
      <c r="I20" s="8">
        <f>G20*H20</f>
        <v/>
      </c>
      <c r="J20" s="8">
        <f>H20/E20</f>
        <v/>
      </c>
      <c r="K20" s="8" t="n">
        <v>14.32</v>
      </c>
      <c r="L20" s="8" t="n">
        <v>10.775</v>
      </c>
      <c r="M20" s="8" t="n">
        <v>13.13833333333333</v>
      </c>
      <c r="N20" s="14">
        <f>J20/M20-1</f>
        <v/>
      </c>
      <c r="O20" s="14">
        <f>J20/K20-1</f>
        <v/>
      </c>
      <c r="P20" s="7" t="inlineStr">
        <is>
          <t>OK (≤ últ. compra)</t>
        </is>
      </c>
      <c r="Q20" s="7" t="inlineStr"/>
    </row>
    <row r="21">
      <c r="A21" s="7" t="n">
        <v>624291</v>
      </c>
      <c r="B21" s="7" t="inlineStr">
        <is>
          <t>720235</t>
        </is>
      </c>
      <c r="C21" s="12" t="inlineStr">
        <is>
          <t>7899706211178</t>
        </is>
      </c>
      <c r="D21" s="7" t="inlineStr">
        <is>
          <t>CERAVE SA GEL DE LIMPEZA RENOVA 150G</t>
        </is>
      </c>
      <c r="E21" s="13" t="n">
        <v>1</v>
      </c>
      <c r="F21" s="13" t="n">
        <v>1</v>
      </c>
      <c r="G21" s="13" t="n">
        <v>1</v>
      </c>
      <c r="H21" s="8" t="n">
        <v>53.04</v>
      </c>
      <c r="I21" s="8">
        <f>G21*H21</f>
        <v/>
      </c>
      <c r="J21" s="8">
        <f>H21/E21</f>
        <v/>
      </c>
      <c r="K21" s="8" t="n">
        <v>65.59</v>
      </c>
      <c r="L21" s="8" t="n">
        <v>65.59</v>
      </c>
      <c r="M21" s="8" t="n">
        <v>65.59</v>
      </c>
      <c r="N21" s="14">
        <f>J21/M21-1</f>
        <v/>
      </c>
      <c r="O21" s="14">
        <f>J21/K21-1</f>
        <v/>
      </c>
      <c r="P21" s="7" t="inlineStr">
        <is>
          <t>OK (≤ menor hist.)</t>
        </is>
      </c>
      <c r="Q21" s="7" t="inlineStr"/>
    </row>
    <row r="22">
      <c r="A22" s="7" t="n">
        <v>654251</v>
      </c>
      <c r="B22" s="7" t="inlineStr">
        <is>
          <t>100712</t>
        </is>
      </c>
      <c r="C22" s="12" t="inlineStr">
        <is>
          <t>7897337716215</t>
        </is>
      </c>
      <c r="D22" s="7" t="inlineStr">
        <is>
          <t>CERAZETTE 75MCG 28CPR</t>
        </is>
      </c>
      <c r="E22" s="13" t="n">
        <v>1</v>
      </c>
      <c r="F22" s="13" t="n">
        <v>4</v>
      </c>
      <c r="G22" s="13" t="n">
        <v>4</v>
      </c>
      <c r="H22" s="8" t="n">
        <v>37.81</v>
      </c>
      <c r="I22" s="8">
        <f>G22*H22</f>
        <v/>
      </c>
      <c r="J22" s="8">
        <f>H22/E22</f>
        <v/>
      </c>
      <c r="K22" s="8" t="n">
        <v>37.81</v>
      </c>
      <c r="L22" s="8" t="n">
        <v>35.07</v>
      </c>
      <c r="M22" s="8" t="n">
        <v>36.89333333333334</v>
      </c>
      <c r="N22" s="14">
        <f>J22/M22-1</f>
        <v/>
      </c>
      <c r="O22" s="14">
        <f>J22/K22-1</f>
        <v/>
      </c>
      <c r="P22" s="7" t="inlineStr">
        <is>
          <t>OK (≤ últ. compra)</t>
        </is>
      </c>
      <c r="Q22" s="7" t="inlineStr"/>
    </row>
    <row r="23">
      <c r="A23" s="7" t="n">
        <v>363</v>
      </c>
      <c r="B23" s="7" t="inlineStr">
        <is>
          <t>700545</t>
        </is>
      </c>
      <c r="C23" s="12" t="inlineStr">
        <is>
          <t>7897930777798</t>
        </is>
      </c>
      <c r="D23" s="7" t="inlineStr">
        <is>
          <t>CETAPHIL CR HIDRAT 453GR-DEMAIS PROD</t>
        </is>
      </c>
      <c r="E23" s="13" t="n">
        <v>1</v>
      </c>
      <c r="F23" s="13" t="n">
        <v>1</v>
      </c>
      <c r="G23" s="13" t="n">
        <v>1</v>
      </c>
      <c r="H23" s="8" t="n">
        <v>86.76000000000001</v>
      </c>
      <c r="I23" s="8">
        <f>G23*H23</f>
        <v/>
      </c>
      <c r="J23" s="8">
        <f>H23/E23</f>
        <v/>
      </c>
      <c r="K23" s="8" t="n">
        <v>90.42</v>
      </c>
      <c r="L23" s="8" t="n">
        <v>80.845</v>
      </c>
      <c r="M23" s="8" t="n">
        <v>87.22833333333334</v>
      </c>
      <c r="N23" s="14">
        <f>J23/M23-1</f>
        <v/>
      </c>
      <c r="O23" s="14">
        <f>J23/K23-1</f>
        <v/>
      </c>
      <c r="P23" s="7" t="inlineStr">
        <is>
          <t>OK (≤ últ. compra)</t>
        </is>
      </c>
      <c r="Q23" s="7" t="inlineStr"/>
    </row>
    <row r="24">
      <c r="A24" s="7" t="n">
        <v>383</v>
      </c>
      <c r="B24" s="7" t="inlineStr">
        <is>
          <t>700549</t>
        </is>
      </c>
      <c r="C24" s="12" t="inlineStr">
        <is>
          <t>7897930777743</t>
        </is>
      </c>
      <c r="D24" s="7" t="inlineStr">
        <is>
          <t>CETAPHIL LOC HIDRATANTE 473ML</t>
        </is>
      </c>
      <c r="E24" s="13" t="n">
        <v>1</v>
      </c>
      <c r="F24" s="13" t="n">
        <v>4</v>
      </c>
      <c r="G24" s="13" t="n">
        <v>4</v>
      </c>
      <c r="H24" s="8" t="n">
        <v>85.77</v>
      </c>
      <c r="I24" s="8">
        <f>G24*H24</f>
        <v/>
      </c>
      <c r="J24" s="8">
        <f>H24/E24</f>
        <v/>
      </c>
      <c r="K24" s="8" t="n">
        <v>102.75</v>
      </c>
      <c r="L24" s="8" t="n">
        <v>85.77</v>
      </c>
      <c r="M24" s="8" t="n">
        <v>88.18333333333334</v>
      </c>
      <c r="N24" s="14">
        <f>J24/M24-1</f>
        <v/>
      </c>
      <c r="O24" s="14">
        <f>J24/K24-1</f>
        <v/>
      </c>
      <c r="P24" s="7" t="inlineStr">
        <is>
          <t>OK (≤ menor hist.)</t>
        </is>
      </c>
      <c r="Q24" s="7" t="inlineStr"/>
    </row>
    <row r="25">
      <c r="A25" s="7" t="n">
        <v>632071</v>
      </c>
      <c r="B25" s="7" t="inlineStr">
        <is>
          <t>705994</t>
        </is>
      </c>
      <c r="C25" s="12" t="inlineStr">
        <is>
          <t>7908615000244</t>
        </is>
      </c>
      <c r="D25" s="7" t="inlineStr">
        <is>
          <t>CICAPLAST LRP B5 PLUS 40ML</t>
        </is>
      </c>
      <c r="E25" s="13" t="n">
        <v>1</v>
      </c>
      <c r="F25" s="13" t="n">
        <v>1</v>
      </c>
      <c r="G25" s="13" t="n">
        <v>1</v>
      </c>
      <c r="H25" s="8" t="n">
        <v>71.06999999999999</v>
      </c>
      <c r="I25" s="8">
        <f>G25*H25</f>
        <v/>
      </c>
      <c r="J25" s="8">
        <f>H25/E25</f>
        <v/>
      </c>
      <c r="K25" s="8" t="n">
        <v>83.09</v>
      </c>
      <c r="L25" s="8" t="n">
        <v>76.59</v>
      </c>
      <c r="M25" s="8" t="n">
        <v>78.98443333333334</v>
      </c>
      <c r="N25" s="14">
        <f>J25/M25-1</f>
        <v/>
      </c>
      <c r="O25" s="14">
        <f>J25/K25-1</f>
        <v/>
      </c>
      <c r="P25" s="7" t="inlineStr">
        <is>
          <t>OK (≤ menor hist.)</t>
        </is>
      </c>
      <c r="Q25" s="7" t="inlineStr"/>
    </row>
    <row r="26">
      <c r="A26" s="7" t="n">
        <v>161441</v>
      </c>
      <c r="B26" s="7" t="inlineStr">
        <is>
          <t>400336</t>
        </is>
      </c>
      <c r="C26" s="12" t="inlineStr">
        <is>
          <t>7896548113479</t>
        </is>
      </c>
      <c r="D26" s="7" t="inlineStr">
        <is>
          <t>CLARIL 0,25+3MG SOL FR OFT GTS 15ML</t>
        </is>
      </c>
      <c r="E26" s="13" t="n">
        <v>1</v>
      </c>
      <c r="F26" s="13" t="n">
        <v>6</v>
      </c>
      <c r="G26" s="13" t="n">
        <v>6</v>
      </c>
      <c r="H26" s="8" t="n">
        <v>21.37</v>
      </c>
      <c r="I26" s="8">
        <f>G26*H26</f>
        <v/>
      </c>
      <c r="J26" s="8">
        <f>H26/E26</f>
        <v/>
      </c>
      <c r="K26" s="8" t="n">
        <v>21.37</v>
      </c>
      <c r="L26" s="8" t="n">
        <v>18.9119</v>
      </c>
      <c r="M26" s="8" t="n">
        <v>20.54843333333334</v>
      </c>
      <c r="N26" s="14">
        <f>J26/M26-1</f>
        <v/>
      </c>
      <c r="O26" s="14">
        <f>J26/K26-1</f>
        <v/>
      </c>
      <c r="P26" s="7" t="inlineStr">
        <is>
          <t>OK (≤ últ. compra)</t>
        </is>
      </c>
      <c r="Q26" s="7" t="inlineStr"/>
    </row>
    <row r="27">
      <c r="A27" s="7" t="n">
        <v>162341</v>
      </c>
      <c r="B27" s="7" t="inlineStr">
        <is>
          <t>303253</t>
        </is>
      </c>
      <c r="C27" s="12" t="inlineStr">
        <is>
          <t>8902220114906</t>
        </is>
      </c>
      <c r="D27" s="7" t="inlineStr">
        <is>
          <t>CLORIDRATO DE NEBIVOLOL 5MG CX 30 COMP</t>
        </is>
      </c>
      <c r="E27" s="13" t="n">
        <v>1</v>
      </c>
      <c r="F27" s="13" t="n">
        <v>2</v>
      </c>
      <c r="G27" s="13" t="n">
        <v>2</v>
      </c>
      <c r="H27" s="8" t="n">
        <v>14.86</v>
      </c>
      <c r="I27" s="8">
        <f>G27*H27</f>
        <v/>
      </c>
      <c r="J27" s="8">
        <f>H27/E27</f>
        <v/>
      </c>
      <c r="K27" s="8" t="n">
        <v>14.865</v>
      </c>
      <c r="L27" s="8" t="n">
        <v>14.865</v>
      </c>
      <c r="M27" s="8" t="n">
        <v>14.865</v>
      </c>
      <c r="N27" s="14">
        <f>J27/M27-1</f>
        <v/>
      </c>
      <c r="O27" s="14">
        <f>J27/K27-1</f>
        <v/>
      </c>
      <c r="P27" s="7" t="inlineStr">
        <is>
          <t>OK (≤ menor hist.)</t>
        </is>
      </c>
      <c r="Q27" s="7" t="inlineStr"/>
    </row>
    <row r="28">
      <c r="A28" s="7" t="n">
        <v>597771</v>
      </c>
      <c r="B28" s="7" t="inlineStr">
        <is>
          <t>308032</t>
        </is>
      </c>
      <c r="C28" s="12" t="inlineStr">
        <is>
          <t>7898687731736</t>
        </is>
      </c>
      <c r="D28" s="7" t="inlineStr">
        <is>
          <t>CLORIDRATO DE ONDANSETRONA DI-HIDRATADO 8MG CX 10 COMP ORODISP</t>
        </is>
      </c>
      <c r="E28" s="13" t="n">
        <v>1</v>
      </c>
      <c r="F28" s="13" t="n">
        <v>1</v>
      </c>
      <c r="G28" s="13" t="n">
        <v>1</v>
      </c>
      <c r="H28" s="8" t="n">
        <v>12.15</v>
      </c>
      <c r="I28" s="8">
        <f>G28*H28</f>
        <v/>
      </c>
      <c r="J28" s="8">
        <f>H28/E28</f>
        <v/>
      </c>
      <c r="K28" s="8" t="n">
        <v>14.57</v>
      </c>
      <c r="L28" s="8" t="n">
        <v>14.57</v>
      </c>
      <c r="M28" s="8" t="n">
        <v>14.57</v>
      </c>
      <c r="N28" s="14">
        <f>J28/M28-1</f>
        <v/>
      </c>
      <c r="O28" s="14">
        <f>J28/K28-1</f>
        <v/>
      </c>
      <c r="P28" s="7" t="inlineStr">
        <is>
          <t>OK (≤ menor hist.)</t>
        </is>
      </c>
      <c r="Q28" s="7" t="inlineStr"/>
    </row>
    <row r="29">
      <c r="A29" s="7" t="n">
        <v>674291</v>
      </c>
      <c r="B29" s="7" t="inlineStr">
        <is>
          <t>115680</t>
        </is>
      </c>
      <c r="C29" s="12" t="inlineStr">
        <is>
          <t>7896637035736</t>
        </is>
      </c>
      <c r="D29" s="7" t="inlineStr">
        <is>
          <t>COBI-12 1000MCG C/30 COMP SUBL-OUTROS</t>
        </is>
      </c>
      <c r="E29" s="13" t="n">
        <v>1</v>
      </c>
      <c r="F29" s="13" t="n">
        <v>17</v>
      </c>
      <c r="G29" s="13" t="n">
        <v>17</v>
      </c>
      <c r="H29" s="8" t="n">
        <v>22.81</v>
      </c>
      <c r="I29" s="8">
        <f>G29*H29</f>
        <v/>
      </c>
      <c r="J29" s="8">
        <f>H29/E29</f>
        <v/>
      </c>
      <c r="K29" s="8" t="n">
        <v>22.805</v>
      </c>
      <c r="L29" s="8" t="n">
        <v>18.8279</v>
      </c>
      <c r="M29" s="8" t="n">
        <v>20.9315</v>
      </c>
      <c r="N29" s="14">
        <f>J29/M29-1</f>
        <v/>
      </c>
      <c r="O29" s="14">
        <f>J29/K29-1</f>
        <v/>
      </c>
      <c r="P29" s="7" t="inlineStr">
        <is>
          <t>ACIMA +0.0%</t>
        </is>
      </c>
      <c r="Q29" s="7" t="inlineStr"/>
    </row>
    <row r="30">
      <c r="A30" s="7" t="n">
        <v>114941</v>
      </c>
      <c r="B30" s="7" t="inlineStr">
        <is>
          <t>400349</t>
        </is>
      </c>
      <c r="C30" s="12" t="inlineStr">
        <is>
          <t>7899824400928</t>
        </is>
      </c>
      <c r="D30" s="7" t="inlineStr">
        <is>
          <t>COLPIST MT 62,5+1,25MG/G+25000UI/G CREM BG 40G+10APLIC</t>
        </is>
      </c>
      <c r="E30" s="13" t="n">
        <v>1</v>
      </c>
      <c r="F30" s="13" t="n">
        <v>2</v>
      </c>
      <c r="G30" s="13" t="n">
        <v>2</v>
      </c>
      <c r="H30" s="8" t="n">
        <v>35.98</v>
      </c>
      <c r="I30" s="8">
        <f>G30*H30</f>
        <v/>
      </c>
      <c r="J30" s="8">
        <f>H30/E30</f>
        <v/>
      </c>
      <c r="K30" s="8" t="n">
        <v>45.99</v>
      </c>
      <c r="L30" s="8" t="n">
        <v>35.9767</v>
      </c>
      <c r="M30" s="8" t="n">
        <v>35.9767</v>
      </c>
      <c r="N30" s="14">
        <f>J30/M30-1</f>
        <v/>
      </c>
      <c r="O30" s="14">
        <f>J30/K30-1</f>
        <v/>
      </c>
      <c r="P30" s="7" t="inlineStr">
        <is>
          <t>OK (≤ últ. compra)</t>
        </is>
      </c>
      <c r="Q30" s="7" t="inlineStr"/>
    </row>
    <row r="31">
      <c r="A31" s="7" t="n">
        <v>594501</v>
      </c>
      <c r="B31" s="7" t="inlineStr">
        <is>
          <t>714729</t>
        </is>
      </c>
      <c r="C31" s="12" t="inlineStr">
        <is>
          <t>0000042360414</t>
        </is>
      </c>
      <c r="D31" s="7" t="inlineStr">
        <is>
          <t>CR FACIAL NIVEA ANTISSINAIS 100G</t>
        </is>
      </c>
      <c r="E31" s="13" t="n">
        <v>1</v>
      </c>
      <c r="F31" s="13" t="n">
        <v>8</v>
      </c>
      <c r="G31" s="13" t="n">
        <v>8</v>
      </c>
      <c r="H31" s="8" t="n">
        <v>19.6</v>
      </c>
      <c r="I31" s="8">
        <f>G31*H31</f>
        <v/>
      </c>
      <c r="J31" s="8">
        <f>H31/E31</f>
        <v/>
      </c>
      <c r="K31" s="8" t="n">
        <v>21.63</v>
      </c>
      <c r="L31" s="8" t="n">
        <v>20.9125</v>
      </c>
      <c r="M31" s="8" t="n">
        <v>21.39083333333333</v>
      </c>
      <c r="N31" s="14">
        <f>J31/M31-1</f>
        <v/>
      </c>
      <c r="O31" s="14">
        <f>J31/K31-1</f>
        <v/>
      </c>
      <c r="P31" s="7" t="inlineStr">
        <is>
          <t>OK (≤ menor hist.)</t>
        </is>
      </c>
      <c r="Q31" s="7" t="inlineStr"/>
    </row>
    <row r="32">
      <c r="A32" s="7" t="n">
        <v>594521</v>
      </c>
      <c r="B32" s="7" t="inlineStr">
        <is>
          <t>714740</t>
        </is>
      </c>
      <c r="C32" s="12" t="inlineStr">
        <is>
          <t>0000042360407</t>
        </is>
      </c>
      <c r="D32" s="7" t="inlineStr">
        <is>
          <t>CR FACIAL NIVEA NUTRITIVO 100G</t>
        </is>
      </c>
      <c r="E32" s="13" t="n">
        <v>1</v>
      </c>
      <c r="F32" s="13" t="n">
        <v>8</v>
      </c>
      <c r="G32" s="13" t="n">
        <v>8</v>
      </c>
      <c r="H32" s="8" t="n">
        <v>20.91</v>
      </c>
      <c r="I32" s="8">
        <f>G32*H32</f>
        <v/>
      </c>
      <c r="J32" s="8">
        <f>H32/E32</f>
        <v/>
      </c>
      <c r="K32" s="8" t="n">
        <v>23.392</v>
      </c>
      <c r="L32" s="8" t="n">
        <v>20.9117</v>
      </c>
      <c r="M32" s="8" t="n">
        <v>22.56523333333334</v>
      </c>
      <c r="N32" s="14">
        <f>J32/M32-1</f>
        <v/>
      </c>
      <c r="O32" s="14">
        <f>J32/K32-1</f>
        <v/>
      </c>
      <c r="P32" s="7" t="inlineStr">
        <is>
          <t>OK (≤ menor hist.)</t>
        </is>
      </c>
      <c r="Q32" s="7" t="inlineStr"/>
    </row>
    <row r="33">
      <c r="A33" s="7" t="n">
        <v>594271</v>
      </c>
      <c r="B33" s="7" t="inlineStr">
        <is>
          <t>710474</t>
        </is>
      </c>
      <c r="C33" s="12" t="inlineStr">
        <is>
          <t>0000042277217</t>
        </is>
      </c>
      <c r="D33" s="7" t="inlineStr">
        <is>
          <t>CR NIVEA 29G</t>
        </is>
      </c>
      <c r="E33" s="13" t="n">
        <v>1</v>
      </c>
      <c r="F33" s="13" t="n">
        <v>1</v>
      </c>
      <c r="G33" s="13" t="n">
        <v>1</v>
      </c>
      <c r="H33" s="8" t="n">
        <v>10.98</v>
      </c>
      <c r="I33" s="8">
        <f>G33*H33</f>
        <v/>
      </c>
      <c r="J33" s="8">
        <f>H33/E33</f>
        <v/>
      </c>
      <c r="K33" s="8" t="n">
        <v>13.41</v>
      </c>
      <c r="L33" s="8" t="n">
        <v>13.41</v>
      </c>
      <c r="M33" s="8" t="n">
        <v>13.41</v>
      </c>
      <c r="N33" s="14">
        <f>J33/M33-1</f>
        <v/>
      </c>
      <c r="O33" s="14">
        <f>J33/K33-1</f>
        <v/>
      </c>
      <c r="P33" s="7" t="inlineStr">
        <is>
          <t>OK (≤ menor hist.)</t>
        </is>
      </c>
      <c r="Q33" s="7" t="inlineStr"/>
    </row>
    <row r="34">
      <c r="A34" s="7" t="n">
        <v>556501</v>
      </c>
      <c r="B34" s="7" t="inlineStr">
        <is>
          <t>710474</t>
        </is>
      </c>
      <c r="C34" s="12" t="inlineStr">
        <is>
          <t>42277217</t>
        </is>
      </c>
      <c r="D34" s="7" t="inlineStr">
        <is>
          <t>CR NIVEA 29G</t>
        </is>
      </c>
      <c r="E34" s="13" t="n">
        <v>1</v>
      </c>
      <c r="F34" s="13" t="n">
        <v>18</v>
      </c>
      <c r="G34" s="13" t="n">
        <v>18</v>
      </c>
      <c r="H34" s="8" t="n">
        <v>10.98</v>
      </c>
      <c r="I34" s="8">
        <f>G34*H34</f>
        <v/>
      </c>
      <c r="J34" s="8">
        <f>H34/E34</f>
        <v/>
      </c>
      <c r="K34" s="8" t="n">
        <v>14.24</v>
      </c>
      <c r="L34" s="8" t="n">
        <v>8.833299999999999</v>
      </c>
      <c r="M34" s="8" t="n">
        <v>9.341633333333334</v>
      </c>
      <c r="N34" s="14">
        <f>J34/M34-1</f>
        <v/>
      </c>
      <c r="O34" s="14">
        <f>J34/K34-1</f>
        <v/>
      </c>
      <c r="P34" s="7" t="inlineStr">
        <is>
          <t>OK (≤ últ. compra)</t>
        </is>
      </c>
      <c r="Q34" s="7" t="inlineStr"/>
    </row>
    <row r="35">
      <c r="A35" s="7" t="n">
        <v>576481</v>
      </c>
      <c r="B35" s="7" t="inlineStr">
        <is>
          <t>701022</t>
        </is>
      </c>
      <c r="C35" s="12" t="inlineStr">
        <is>
          <t>4005808890590</t>
        </is>
      </c>
      <c r="D35" s="7" t="inlineStr">
        <is>
          <t>CR NIVEA SOFT HIDRAT.97G</t>
        </is>
      </c>
      <c r="E35" s="13" t="n">
        <v>1</v>
      </c>
      <c r="F35" s="13" t="n">
        <v>4</v>
      </c>
      <c r="G35" s="13" t="n">
        <v>4</v>
      </c>
      <c r="H35" s="8" t="n">
        <v>24.32</v>
      </c>
      <c r="I35" s="8">
        <f>G35*H35</f>
        <v/>
      </c>
      <c r="J35" s="8">
        <f>H35/E35</f>
        <v/>
      </c>
      <c r="K35" s="8" t="n">
        <v>29.8083</v>
      </c>
      <c r="L35" s="8" t="n">
        <v>29.8083</v>
      </c>
      <c r="M35" s="8" t="n">
        <v>29.8083</v>
      </c>
      <c r="N35" s="14">
        <f>J35/M35-1</f>
        <v/>
      </c>
      <c r="O35" s="14">
        <f>J35/K35-1</f>
        <v/>
      </c>
      <c r="P35" s="7" t="inlineStr">
        <is>
          <t>OK (≤ menor hist.)</t>
        </is>
      </c>
      <c r="Q35" s="7" t="inlineStr"/>
    </row>
    <row r="36">
      <c r="A36" s="7" t="n">
        <v>567181</v>
      </c>
      <c r="B36" s="7" t="inlineStr">
        <is>
          <t>704180</t>
        </is>
      </c>
      <c r="C36" s="12" t="inlineStr">
        <is>
          <t>7891010695415</t>
        </is>
      </c>
      <c r="D36" s="7" t="inlineStr">
        <is>
          <t>CURAT BAND-AID PEQ FERIMENTOS 16UN</t>
        </is>
      </c>
      <c r="E36" s="13" t="n">
        <v>1</v>
      </c>
      <c r="F36" s="13" t="n">
        <v>2</v>
      </c>
      <c r="G36" s="13" t="n">
        <v>2</v>
      </c>
      <c r="H36" s="8" t="n">
        <v>8.039999999999999</v>
      </c>
      <c r="I36" s="8">
        <f>G36*H36</f>
        <v/>
      </c>
      <c r="J36" s="8">
        <f>H36/E36</f>
        <v/>
      </c>
      <c r="K36" s="8" t="n">
        <v>9.369999999999999</v>
      </c>
      <c r="L36" s="8" t="n">
        <v>7.83</v>
      </c>
      <c r="M36" s="8" t="n">
        <v>8.343333333333334</v>
      </c>
      <c r="N36" s="14">
        <f>J36/M36-1</f>
        <v/>
      </c>
      <c r="O36" s="14">
        <f>J36/K36-1</f>
        <v/>
      </c>
      <c r="P36" s="7" t="inlineStr">
        <is>
          <t>OK (≤ últ. compra)</t>
        </is>
      </c>
      <c r="Q36" s="7" t="inlineStr"/>
    </row>
    <row r="37">
      <c r="A37" s="7" t="n">
        <v>575341</v>
      </c>
      <c r="B37" s="7" t="inlineStr">
        <is>
          <t>713084</t>
        </is>
      </c>
      <c r="C37" s="12" t="inlineStr">
        <is>
          <t>7891800342000</t>
        </is>
      </c>
      <c r="D37" s="7" t="inlineStr">
        <is>
          <t>CURATIVO CREMERCARE BEGE C/10</t>
        </is>
      </c>
      <c r="E37" s="13" t="n">
        <v>1</v>
      </c>
      <c r="F37" s="13" t="n">
        <v>2</v>
      </c>
      <c r="G37" s="13" t="n">
        <v>2</v>
      </c>
      <c r="H37" s="8" t="n">
        <v>2.68</v>
      </c>
      <c r="I37" s="8">
        <f>G37*H37</f>
        <v/>
      </c>
      <c r="J37" s="8">
        <f>H37/E37</f>
        <v/>
      </c>
      <c r="K37" s="8" t="n">
        <v>3.16</v>
      </c>
      <c r="L37" s="8" t="n">
        <v>3.16</v>
      </c>
      <c r="M37" s="8" t="n">
        <v>3.16</v>
      </c>
      <c r="N37" s="14">
        <f>J37/M37-1</f>
        <v/>
      </c>
      <c r="O37" s="14">
        <f>J37/K37-1</f>
        <v/>
      </c>
      <c r="P37" s="7" t="inlineStr">
        <is>
          <t>OK (≤ menor hist.)</t>
        </is>
      </c>
      <c r="Q37" s="7" t="inlineStr"/>
    </row>
    <row r="38">
      <c r="A38" s="7" t="n">
        <v>575361</v>
      </c>
      <c r="B38" s="7" t="inlineStr">
        <is>
          <t>713088</t>
        </is>
      </c>
      <c r="C38" s="12" t="inlineStr">
        <is>
          <t>7891800341966</t>
        </is>
      </c>
      <c r="D38" s="7" t="inlineStr">
        <is>
          <t>CURATIVO CREMERCARE REDONDO C/16</t>
        </is>
      </c>
      <c r="E38" s="13" t="n">
        <v>1</v>
      </c>
      <c r="F38" s="13" t="n">
        <v>8</v>
      </c>
      <c r="G38" s="13" t="n">
        <v>8</v>
      </c>
      <c r="H38" s="8" t="n">
        <v>2.58</v>
      </c>
      <c r="I38" s="8">
        <f>G38*H38</f>
        <v/>
      </c>
      <c r="J38" s="8">
        <f>H38/E38</f>
        <v/>
      </c>
      <c r="K38" s="8" t="n">
        <v>3.802</v>
      </c>
      <c r="L38" s="8" t="n">
        <v>3.802</v>
      </c>
      <c r="M38" s="8" t="n">
        <v>3.802</v>
      </c>
      <c r="N38" s="14">
        <f>J38/M38-1</f>
        <v/>
      </c>
      <c r="O38" s="14">
        <f>J38/K38-1</f>
        <v/>
      </c>
      <c r="P38" s="7" t="inlineStr">
        <is>
          <t>OK (≤ menor hist.)</t>
        </is>
      </c>
      <c r="Q38" s="7" t="inlineStr"/>
    </row>
    <row r="39">
      <c r="A39" s="7" t="n">
        <v>604731</v>
      </c>
      <c r="B39" s="7" t="inlineStr">
        <is>
          <t>718264</t>
        </is>
      </c>
      <c r="C39" s="12" t="inlineStr">
        <is>
          <t>7891800341997</t>
        </is>
      </c>
      <c r="D39" s="7" t="inlineStr">
        <is>
          <t>CURATIVO CREMERCARE TRASP C/10</t>
        </is>
      </c>
      <c r="E39" s="13" t="n">
        <v>1</v>
      </c>
      <c r="F39" s="13" t="n">
        <v>7</v>
      </c>
      <c r="G39" s="13" t="n">
        <v>7</v>
      </c>
      <c r="H39" s="8" t="n">
        <v>2.62</v>
      </c>
      <c r="I39" s="8">
        <f>G39*H39</f>
        <v/>
      </c>
      <c r="J39" s="8">
        <f>H39/E39</f>
        <v/>
      </c>
      <c r="K39" s="8" t="n">
        <v>3.162</v>
      </c>
      <c r="L39" s="8" t="n">
        <v>3.162</v>
      </c>
      <c r="M39" s="8" t="n">
        <v>3.162</v>
      </c>
      <c r="N39" s="14">
        <f>J39/M39-1</f>
        <v/>
      </c>
      <c r="O39" s="14">
        <f>J39/K39-1</f>
        <v/>
      </c>
      <c r="P39" s="7" t="inlineStr">
        <is>
          <t>OK (≤ menor hist.)</t>
        </is>
      </c>
      <c r="Q39" s="7" t="inlineStr"/>
    </row>
    <row r="40">
      <c r="A40" s="7" t="n">
        <v>554161</v>
      </c>
      <c r="B40" s="7" t="inlineStr">
        <is>
          <t>704182</t>
        </is>
      </c>
      <c r="C40" s="12" t="inlineStr">
        <is>
          <t>7891010504779</t>
        </is>
      </c>
      <c r="D40" s="7" t="inlineStr">
        <is>
          <t>CURATIVO TRANSPARENTE BAND AID C/10 UNIT</t>
        </is>
      </c>
      <c r="E40" s="13" t="n">
        <v>1</v>
      </c>
      <c r="F40" s="13" t="n">
        <v>5</v>
      </c>
      <c r="G40" s="13" t="n">
        <v>5</v>
      </c>
      <c r="H40" s="8" t="n">
        <v>6.3</v>
      </c>
      <c r="I40" s="8">
        <f>G40*H40</f>
        <v/>
      </c>
      <c r="J40" s="8">
        <f>H40/E40</f>
        <v/>
      </c>
      <c r="K40" s="8" t="n">
        <v>7.32</v>
      </c>
      <c r="L40" s="8" t="n">
        <v>5.662</v>
      </c>
      <c r="M40" s="8" t="n">
        <v>6.086066666666667</v>
      </c>
      <c r="N40" s="14">
        <f>J40/M40-1</f>
        <v/>
      </c>
      <c r="O40" s="14">
        <f>J40/K40-1</f>
        <v/>
      </c>
      <c r="P40" s="7" t="inlineStr">
        <is>
          <t>OK (≤ últ. compra)</t>
        </is>
      </c>
      <c r="Q40" s="7" t="inlineStr"/>
    </row>
    <row r="41">
      <c r="A41" s="7" t="n">
        <v>651401</v>
      </c>
      <c r="B41" s="7" t="inlineStr">
        <is>
          <t>721808</t>
        </is>
      </c>
      <c r="C41" s="12" t="inlineStr">
        <is>
          <t>7896676440508</t>
        </is>
      </c>
      <c r="D41" s="7" t="inlineStr">
        <is>
          <t>CUTISANOL BABY CREME 45G-DEMAIS PROD</t>
        </is>
      </c>
      <c r="E41" s="13" t="n">
        <v>1</v>
      </c>
      <c r="F41" s="13" t="n">
        <v>1</v>
      </c>
      <c r="G41" s="13" t="n">
        <v>1</v>
      </c>
      <c r="H41" s="8" t="n">
        <v>15.03</v>
      </c>
      <c r="I41" s="8">
        <f>G41*H41</f>
        <v/>
      </c>
      <c r="J41" s="8">
        <f>H41/E41</f>
        <v/>
      </c>
      <c r="K41" s="8" t="n">
        <v>11.58</v>
      </c>
      <c r="L41" s="8" t="n">
        <v>11.58</v>
      </c>
      <c r="M41" s="8" t="n">
        <v>11.58</v>
      </c>
      <c r="N41" s="14">
        <f>J41/M41-1</f>
        <v/>
      </c>
      <c r="O41" s="14">
        <f>J41/K41-1</f>
        <v/>
      </c>
      <c r="P41" s="7" t="inlineStr">
        <is>
          <t>ACIMA +29.8%</t>
        </is>
      </c>
      <c r="Q41" s="7" t="inlineStr"/>
    </row>
    <row r="42">
      <c r="A42" s="7" t="n">
        <v>599291</v>
      </c>
      <c r="B42" s="7" t="inlineStr">
        <is>
          <t>704612</t>
        </is>
      </c>
      <c r="C42" s="12" t="inlineStr">
        <is>
          <t>7891025111832</t>
        </is>
      </c>
      <c r="D42" s="7" t="inlineStr">
        <is>
          <t>DANONE APTAMIL PREMIUM 1 LT 400G</t>
        </is>
      </c>
      <c r="E42" s="13" t="n">
        <v>1</v>
      </c>
      <c r="F42" s="13" t="n">
        <v>8</v>
      </c>
      <c r="G42" s="13" t="n">
        <v>8</v>
      </c>
      <c r="H42" s="8" t="n">
        <v>30.85</v>
      </c>
      <c r="I42" s="8">
        <f>G42*H42</f>
        <v/>
      </c>
      <c r="J42" s="8">
        <f>H42/E42</f>
        <v/>
      </c>
      <c r="K42" s="8" t="n">
        <v>35.372</v>
      </c>
      <c r="L42" s="8" t="n">
        <v>33.5244</v>
      </c>
      <c r="M42" s="8" t="n">
        <v>34.75613333333333</v>
      </c>
      <c r="N42" s="14">
        <f>J42/M42-1</f>
        <v/>
      </c>
      <c r="O42" s="14">
        <f>J42/K42-1</f>
        <v/>
      </c>
      <c r="P42" s="7" t="inlineStr">
        <is>
          <t>OK (≤ menor hist.)</t>
        </is>
      </c>
      <c r="Q42" s="7" t="inlineStr"/>
    </row>
    <row r="43">
      <c r="A43" s="7" t="n">
        <v>623211</v>
      </c>
      <c r="B43" s="7" t="inlineStr">
        <is>
          <t>708855</t>
        </is>
      </c>
      <c r="C43" s="12" t="inlineStr">
        <is>
          <t>7899706126335</t>
        </is>
      </c>
      <c r="D43" s="7" t="inlineStr">
        <is>
          <t>DERMO EXP AGUA MICELAR 200ML</t>
        </is>
      </c>
      <c r="E43" s="13" t="n">
        <v>1</v>
      </c>
      <c r="F43" s="13" t="n">
        <v>1</v>
      </c>
      <c r="G43" s="13" t="n">
        <v>1</v>
      </c>
      <c r="H43" s="8" t="n">
        <v>20.36</v>
      </c>
      <c r="I43" s="8">
        <f>G43*H43</f>
        <v/>
      </c>
      <c r="J43" s="8">
        <f>H43/E43</f>
        <v/>
      </c>
      <c r="K43" s="8" t="n">
        <v>21.97</v>
      </c>
      <c r="L43" s="8" t="n">
        <v>18.7783</v>
      </c>
      <c r="M43" s="8" t="n">
        <v>20.9061</v>
      </c>
      <c r="N43" s="14">
        <f>J43/M43-1</f>
        <v/>
      </c>
      <c r="O43" s="14">
        <f>J43/K43-1</f>
        <v/>
      </c>
      <c r="P43" s="7" t="inlineStr">
        <is>
          <t>OK (≤ últ. compra)</t>
        </is>
      </c>
      <c r="Q43" s="7" t="inlineStr"/>
    </row>
    <row r="44">
      <c r="A44" s="7" t="n">
        <v>566421</v>
      </c>
      <c r="B44" s="7" t="inlineStr">
        <is>
          <t>710882</t>
        </is>
      </c>
      <c r="C44" s="12" t="inlineStr">
        <is>
          <t>7891150054646</t>
        </is>
      </c>
      <c r="D44" s="7" t="inlineStr">
        <is>
          <t>DES AER REXONA MEN IMPAC 150ML</t>
        </is>
      </c>
      <c r="E44" s="13" t="n">
        <v>1</v>
      </c>
      <c r="F44" s="13" t="n">
        <v>8</v>
      </c>
      <c r="G44" s="13" t="n">
        <v>8</v>
      </c>
      <c r="H44" s="8" t="n">
        <v>10.89</v>
      </c>
      <c r="I44" s="8">
        <f>G44*H44</f>
        <v/>
      </c>
      <c r="J44" s="8">
        <f>H44/E44</f>
        <v/>
      </c>
      <c r="K44" s="8" t="n">
        <v>12.202</v>
      </c>
      <c r="L44" s="8" t="n">
        <v>11.3367</v>
      </c>
      <c r="M44" s="8" t="n">
        <v>11.91356666666667</v>
      </c>
      <c r="N44" s="14">
        <f>J44/M44-1</f>
        <v/>
      </c>
      <c r="O44" s="14">
        <f>J44/K44-1</f>
        <v/>
      </c>
      <c r="P44" s="7" t="inlineStr">
        <is>
          <t>OK (≤ menor hist.)</t>
        </is>
      </c>
      <c r="Q44" s="7" t="inlineStr"/>
    </row>
    <row r="45">
      <c r="A45" s="7" t="n">
        <v>604491</v>
      </c>
      <c r="B45" s="7" t="inlineStr">
        <is>
          <t>701394</t>
        </is>
      </c>
      <c r="C45" s="12" t="inlineStr">
        <is>
          <t>4005808257669</t>
        </is>
      </c>
      <c r="D45" s="7" t="inlineStr">
        <is>
          <t>DES.NIVEA R-ON FEM.PERAB.50ML</t>
        </is>
      </c>
      <c r="E45" s="13" t="n">
        <v>1</v>
      </c>
      <c r="F45" s="13" t="n">
        <v>1</v>
      </c>
      <c r="G45" s="13" t="n">
        <v>1</v>
      </c>
      <c r="H45" s="8" t="n">
        <v>6.56</v>
      </c>
      <c r="I45" s="8">
        <f>G45*H45</f>
        <v/>
      </c>
      <c r="J45" s="8">
        <f>H45/E45</f>
        <v/>
      </c>
      <c r="K45" s="8" t="n">
        <v>7.91</v>
      </c>
      <c r="L45" s="8" t="n">
        <v>7.07</v>
      </c>
      <c r="M45" s="8" t="n">
        <v>7.63</v>
      </c>
      <c r="N45" s="14">
        <f>J45/M45-1</f>
        <v/>
      </c>
      <c r="O45" s="14">
        <f>J45/K45-1</f>
        <v/>
      </c>
      <c r="P45" s="7" t="inlineStr">
        <is>
          <t>OK (≤ menor hist.)</t>
        </is>
      </c>
      <c r="Q45" s="7" t="inlineStr"/>
    </row>
    <row r="46">
      <c r="A46" s="7" t="n">
        <v>578141</v>
      </c>
      <c r="B46" s="7" t="inlineStr">
        <is>
          <t>101090</t>
        </is>
      </c>
      <c r="C46" s="12" t="inlineStr">
        <is>
          <t>7899824400942</t>
        </is>
      </c>
      <c r="D46" s="7" t="inlineStr">
        <is>
          <t>DEXADOR 5000MCG/ML SOL INJ 3AMP X 2ML+3AMP X 1ML</t>
        </is>
      </c>
      <c r="E46" s="13" t="n">
        <v>1</v>
      </c>
      <c r="F46" s="13" t="n">
        <v>1</v>
      </c>
      <c r="G46" s="13" t="n">
        <v>1</v>
      </c>
      <c r="H46" s="8" t="n">
        <v>37.6</v>
      </c>
      <c r="I46" s="8">
        <f>G46*H46</f>
        <v/>
      </c>
      <c r="J46" s="8">
        <f>H46/E46</f>
        <v/>
      </c>
      <c r="K46" s="8" t="n">
        <v>37.6</v>
      </c>
      <c r="L46" s="8" t="n">
        <v>33.77</v>
      </c>
      <c r="M46" s="8" t="n">
        <v>36.32333333333333</v>
      </c>
      <c r="N46" s="14">
        <f>J46/M46-1</f>
        <v/>
      </c>
      <c r="O46" s="14">
        <f>J46/K46-1</f>
        <v/>
      </c>
      <c r="P46" s="7" t="inlineStr">
        <is>
          <t>OK (≤ últ. compra)</t>
        </is>
      </c>
      <c r="Q46" s="7" t="inlineStr"/>
    </row>
    <row r="47">
      <c r="A47" s="7" t="n">
        <v>645101</v>
      </c>
      <c r="B47" s="7" t="inlineStr">
        <is>
          <t>722193</t>
        </is>
      </c>
      <c r="C47" s="12" t="inlineStr">
        <is>
          <t>7891150095854</t>
        </is>
      </c>
      <c r="D47" s="7" t="inlineStr">
        <is>
          <t>DOVE SER CORP PRO RETINOL 180ML   UNIL %DN:7.00</t>
        </is>
      </c>
      <c r="E47" s="13" t="n">
        <v>1</v>
      </c>
      <c r="F47" s="13" t="n">
        <v>2</v>
      </c>
      <c r="G47" s="13" t="n">
        <v>2</v>
      </c>
      <c r="H47" s="8" t="n">
        <v>19.42</v>
      </c>
      <c r="I47" s="8">
        <f>G47*H47</f>
        <v/>
      </c>
      <c r="J47" s="8">
        <f>H47/E47</f>
        <v/>
      </c>
      <c r="K47" s="8" t="n">
        <v>20.91</v>
      </c>
      <c r="L47" s="8" t="n">
        <v>20.6192</v>
      </c>
      <c r="M47" s="8" t="n">
        <v>20.81306666666667</v>
      </c>
      <c r="N47" s="14">
        <f>J47/M47-1</f>
        <v/>
      </c>
      <c r="O47" s="14">
        <f>J47/K47-1</f>
        <v/>
      </c>
      <c r="P47" s="7" t="inlineStr">
        <is>
          <t>OK (≤ menor hist.)</t>
        </is>
      </c>
      <c r="Q47" s="7" t="inlineStr"/>
    </row>
    <row r="48">
      <c r="A48" s="7" t="n">
        <v>573481</v>
      </c>
      <c r="B48" s="7" t="inlineStr">
        <is>
          <t>710773</t>
        </is>
      </c>
      <c r="C48" s="12" t="inlineStr">
        <is>
          <t>7899706149211</t>
        </is>
      </c>
      <c r="D48" s="7" t="inlineStr">
        <is>
          <t>EFFACLAR LRP CONCENTRADO 70G  LORE %DN:0.00</t>
        </is>
      </c>
      <c r="E48" s="13" t="n">
        <v>1</v>
      </c>
      <c r="F48" s="13" t="n">
        <v>1</v>
      </c>
      <c r="G48" s="13" t="n">
        <v>1</v>
      </c>
      <c r="H48" s="8" t="n">
        <v>47.46</v>
      </c>
      <c r="I48" s="8">
        <f>G48*H48</f>
        <v/>
      </c>
      <c r="J48" s="8">
        <f>H48/E48</f>
        <v/>
      </c>
      <c r="K48" s="8" t="n">
        <v>56.61</v>
      </c>
      <c r="L48" s="8" t="n">
        <v>56.61</v>
      </c>
      <c r="M48" s="8" t="n">
        <v>56.60999999999999</v>
      </c>
      <c r="N48" s="14">
        <f>J48/M48-1</f>
        <v/>
      </c>
      <c r="O48" s="14">
        <f>J48/K48-1</f>
        <v/>
      </c>
      <c r="P48" s="7" t="inlineStr">
        <is>
          <t>OK (≤ menor hist.)</t>
        </is>
      </c>
      <c r="Q48" s="7" t="inlineStr"/>
    </row>
    <row r="49">
      <c r="A49" s="7" t="n">
        <v>599151</v>
      </c>
      <c r="B49" s="7" t="inlineStr">
        <is>
          <t>714750</t>
        </is>
      </c>
      <c r="C49" s="12" t="inlineStr">
        <is>
          <t>7898040327910</t>
        </is>
      </c>
      <c r="D49" s="7" t="inlineStr">
        <is>
          <t>ENZILAC 4500UI CX 30  COMP</t>
        </is>
      </c>
      <c r="E49" s="13" t="n">
        <v>1</v>
      </c>
      <c r="F49" s="13" t="n">
        <v>1</v>
      </c>
      <c r="G49" s="13" t="n">
        <v>1</v>
      </c>
      <c r="H49" s="8" t="n">
        <v>22.24</v>
      </c>
      <c r="I49" s="8">
        <f>G49*H49</f>
        <v/>
      </c>
      <c r="J49" s="8">
        <f>H49/E49</f>
        <v/>
      </c>
      <c r="K49" s="8" t="n">
        <v>23.42</v>
      </c>
      <c r="L49" s="8" t="n">
        <v>23.42</v>
      </c>
      <c r="M49" s="8" t="n">
        <v>23.42</v>
      </c>
      <c r="N49" s="14">
        <f>J49/M49-1</f>
        <v/>
      </c>
      <c r="O49" s="14">
        <f>J49/K49-1</f>
        <v/>
      </c>
      <c r="P49" s="7" t="inlineStr">
        <is>
          <t>OK (≤ menor hist.)</t>
        </is>
      </c>
      <c r="Q49" s="7" t="inlineStr"/>
    </row>
    <row r="50">
      <c r="A50" s="7" t="n">
        <v>643971</v>
      </c>
      <c r="B50" s="7" t="inlineStr">
        <is>
          <t>720779</t>
        </is>
      </c>
      <c r="C50" s="12" t="inlineStr">
        <is>
          <t>7896026172639</t>
        </is>
      </c>
      <c r="D50" s="7" t="inlineStr">
        <is>
          <t>FISIOGEL HID PELE SECA 200G-DEMAIS PROD</t>
        </is>
      </c>
      <c r="E50" s="13" t="n">
        <v>1</v>
      </c>
      <c r="F50" s="13" t="n">
        <v>1</v>
      </c>
      <c r="G50" s="13" t="n">
        <v>1</v>
      </c>
      <c r="H50" s="8" t="n">
        <v>41.94</v>
      </c>
      <c r="I50" s="8">
        <f>G50*H50</f>
        <v/>
      </c>
      <c r="J50" s="8">
        <f>H50/E50</f>
        <v/>
      </c>
      <c r="K50" s="8" t="n">
        <v>39.97</v>
      </c>
      <c r="L50" s="8" t="n">
        <v>36.95</v>
      </c>
      <c r="M50" s="8" t="n">
        <v>37.85666666666667</v>
      </c>
      <c r="N50" s="14">
        <f>J50/M50-1</f>
        <v/>
      </c>
      <c r="O50" s="14">
        <f>J50/K50-1</f>
        <v/>
      </c>
      <c r="P50" s="7" t="inlineStr">
        <is>
          <t>ACIMA +4.9%</t>
        </is>
      </c>
      <c r="Q50" s="7" t="inlineStr"/>
    </row>
    <row r="51">
      <c r="A51" s="7" t="n">
        <v>240241</v>
      </c>
      <c r="B51" s="7" t="inlineStr">
        <is>
          <t>107760</t>
        </is>
      </c>
      <c r="C51" s="12" t="inlineStr">
        <is>
          <t>7896637023238</t>
        </is>
      </c>
      <c r="D51" s="7" t="inlineStr">
        <is>
          <t>FLANCOX 500MG CX 14 COMP REV</t>
        </is>
      </c>
      <c r="E51" s="13" t="n">
        <v>1</v>
      </c>
      <c r="F51" s="13" t="n">
        <v>7</v>
      </c>
      <c r="G51" s="13" t="n">
        <v>7</v>
      </c>
      <c r="H51" s="8" t="n">
        <v>27.92</v>
      </c>
      <c r="I51" s="8">
        <f>G51*H51</f>
        <v/>
      </c>
      <c r="J51" s="8">
        <f>H51/E51</f>
        <v/>
      </c>
      <c r="K51" s="8" t="n">
        <v>27.925</v>
      </c>
      <c r="L51" s="8" t="n">
        <v>25.425</v>
      </c>
      <c r="M51" s="8" t="n">
        <v>26.25666666666666</v>
      </c>
      <c r="N51" s="14">
        <f>J51/M51-1</f>
        <v/>
      </c>
      <c r="O51" s="14">
        <f>J51/K51-1</f>
        <v/>
      </c>
      <c r="P51" s="7" t="inlineStr">
        <is>
          <t>OK (≤ últ. compra)</t>
        </is>
      </c>
      <c r="Q51" s="7" t="inlineStr"/>
    </row>
    <row r="52">
      <c r="A52" s="7" t="n">
        <v>566701</v>
      </c>
      <c r="B52" s="7" t="inlineStr">
        <is>
          <t>707835</t>
        </is>
      </c>
      <c r="C52" s="12" t="inlineStr">
        <is>
          <t>7898040324438</t>
        </is>
      </c>
      <c r="D52" s="7" t="inlineStr">
        <is>
          <t>FLETOP LOCAO 200ML</t>
        </is>
      </c>
      <c r="E52" s="13" t="n">
        <v>1</v>
      </c>
      <c r="F52" s="13" t="n">
        <v>2</v>
      </c>
      <c r="G52" s="13" t="n">
        <v>2</v>
      </c>
      <c r="H52" s="8" t="n">
        <v>49.13</v>
      </c>
      <c r="I52" s="8">
        <f>G52*H52</f>
        <v/>
      </c>
      <c r="J52" s="8">
        <f>H52/E52</f>
        <v/>
      </c>
      <c r="K52" s="8" t="n">
        <v>57.135</v>
      </c>
      <c r="L52" s="8" t="n">
        <v>41.344</v>
      </c>
      <c r="M52" s="8" t="n">
        <v>49.398</v>
      </c>
      <c r="N52" s="14">
        <f>J52/M52-1</f>
        <v/>
      </c>
      <c r="O52" s="14">
        <f>J52/K52-1</f>
        <v/>
      </c>
      <c r="P52" s="7" t="inlineStr">
        <is>
          <t>OK (≤ últ. compra)</t>
        </is>
      </c>
      <c r="Q52" s="7" t="inlineStr"/>
    </row>
    <row r="53">
      <c r="A53" s="7" t="n">
        <v>589611</v>
      </c>
      <c r="B53" s="7" t="inlineStr">
        <is>
          <t>400575</t>
        </is>
      </c>
      <c r="C53" s="12" t="inlineStr">
        <is>
          <t>7898040329570</t>
        </is>
      </c>
      <c r="D53" s="7" t="inlineStr">
        <is>
          <t>FLORATIL 200MG/G PO OR 4 ENV X 1G</t>
        </is>
      </c>
      <c r="E53" s="13" t="n">
        <v>1</v>
      </c>
      <c r="F53" s="13" t="n">
        <v>6</v>
      </c>
      <c r="G53" s="13" t="n">
        <v>6</v>
      </c>
      <c r="H53" s="8" t="n">
        <v>28</v>
      </c>
      <c r="I53" s="8">
        <f>G53*H53</f>
        <v/>
      </c>
      <c r="J53" s="8">
        <f>H53/E53</f>
        <v/>
      </c>
      <c r="K53" s="8" t="n">
        <v>28</v>
      </c>
      <c r="L53" s="8" t="n">
        <v>7.05</v>
      </c>
      <c r="M53" s="8" t="n">
        <v>7.05</v>
      </c>
      <c r="N53" s="14">
        <f>J53/M53-1</f>
        <v/>
      </c>
      <c r="O53" s="14">
        <f>J53/K53-1</f>
        <v/>
      </c>
      <c r="P53" s="7" t="inlineStr">
        <is>
          <t>OK (≤ últ. compra)</t>
        </is>
      </c>
      <c r="Q53" s="7" t="inlineStr"/>
    </row>
    <row r="54">
      <c r="A54" s="7" t="n">
        <v>622951</v>
      </c>
      <c r="B54" s="7" t="inlineStr">
        <is>
          <t>404987</t>
        </is>
      </c>
      <c r="C54" s="12" t="inlineStr">
        <is>
          <t>7898040329679</t>
        </is>
      </c>
      <c r="D54" s="7" t="inlineStr">
        <is>
          <t>FLORATIL 250MG BL 6 CAP</t>
        </is>
      </c>
      <c r="E54" s="13" t="n">
        <v>1</v>
      </c>
      <c r="F54" s="13" t="n">
        <v>7</v>
      </c>
      <c r="G54" s="13" t="n">
        <v>7</v>
      </c>
      <c r="H54" s="8" t="n">
        <v>36.53</v>
      </c>
      <c r="I54" s="8">
        <f>G54*H54</f>
        <v/>
      </c>
      <c r="J54" s="8">
        <f>H54/E54</f>
        <v/>
      </c>
      <c r="K54" s="8" t="n">
        <v>38.6417</v>
      </c>
      <c r="L54" s="8" t="n">
        <v>31.31</v>
      </c>
      <c r="M54" s="8" t="n">
        <v>33.75333333333334</v>
      </c>
      <c r="N54" s="14">
        <f>J54/M54-1</f>
        <v/>
      </c>
      <c r="O54" s="14">
        <f>J54/K54-1</f>
        <v/>
      </c>
      <c r="P54" s="7" t="inlineStr">
        <is>
          <t>OK (≤ últ. compra)</t>
        </is>
      </c>
      <c r="Q54" s="7" t="inlineStr"/>
    </row>
    <row r="55">
      <c r="A55" s="7" t="n">
        <v>635741</v>
      </c>
      <c r="B55" s="7" t="inlineStr">
        <is>
          <t>405483</t>
        </is>
      </c>
      <c r="C55" s="12" t="inlineStr">
        <is>
          <t>7891106916059</t>
        </is>
      </c>
      <c r="D55" s="7" t="inlineStr">
        <is>
          <t>GINO CANESTEN 1 500MG 1COMP+APL-REFERENCIA</t>
        </is>
      </c>
      <c r="E55" s="13" t="n">
        <v>1</v>
      </c>
      <c r="F55" s="13" t="n">
        <v>4</v>
      </c>
      <c r="G55" s="13" t="n">
        <v>4</v>
      </c>
      <c r="H55" s="8" t="n">
        <v>72.45</v>
      </c>
      <c r="I55" s="8">
        <f>G55*H55</f>
        <v/>
      </c>
      <c r="J55" s="8">
        <f>H55/E55</f>
        <v/>
      </c>
      <c r="K55" s="8" t="n">
        <v>80.51000000000001</v>
      </c>
      <c r="L55" s="8" t="n">
        <v>68.87</v>
      </c>
      <c r="M55" s="8" t="n">
        <v>71.25666666666667</v>
      </c>
      <c r="N55" s="14">
        <f>J55/M55-1</f>
        <v/>
      </c>
      <c r="O55" s="14">
        <f>J55/K55-1</f>
        <v/>
      </c>
      <c r="P55" s="7" t="inlineStr">
        <is>
          <t>OK (≤ últ. compra)</t>
        </is>
      </c>
      <c r="Q55" s="7" t="inlineStr"/>
    </row>
    <row r="56">
      <c r="A56" s="7" t="n">
        <v>189141</v>
      </c>
      <c r="B56" s="7" t="inlineStr">
        <is>
          <t>101668</t>
        </is>
      </c>
      <c r="C56" s="12" t="inlineStr">
        <is>
          <t>7891106003230</t>
        </is>
      </c>
      <c r="D56" s="7" t="inlineStr">
        <is>
          <t>GINO CANESTEN 20 MG/G CREME VAG BG 20G+3APLIC</t>
        </is>
      </c>
      <c r="E56" s="13" t="n">
        <v>1</v>
      </c>
      <c r="F56" s="13" t="n">
        <v>2</v>
      </c>
      <c r="G56" s="13" t="n">
        <v>2</v>
      </c>
      <c r="H56" s="8" t="n">
        <v>72.78</v>
      </c>
      <c r="I56" s="8">
        <f>G56*H56</f>
        <v/>
      </c>
      <c r="J56" s="8">
        <f>H56/E56</f>
        <v/>
      </c>
      <c r="K56" s="8" t="n">
        <v>70.93000000000001</v>
      </c>
      <c r="L56" s="8" t="n">
        <v>65.23</v>
      </c>
      <c r="M56" s="8" t="n">
        <v>67.52166666666666</v>
      </c>
      <c r="N56" s="14">
        <f>J56/M56-1</f>
        <v/>
      </c>
      <c r="O56" s="14">
        <f>J56/K56-1</f>
        <v/>
      </c>
      <c r="P56" s="7" t="inlineStr">
        <is>
          <t>ACIMA +2.6%</t>
        </is>
      </c>
      <c r="Q56" s="7" t="inlineStr"/>
    </row>
    <row r="57">
      <c r="A57" s="7" t="n">
        <v>264861</v>
      </c>
      <c r="B57" s="7" t="inlineStr">
        <is>
          <t>309124</t>
        </is>
      </c>
      <c r="C57" s="12" t="inlineStr">
        <is>
          <t>8903855076812</t>
        </is>
      </c>
      <c r="D57" s="7" t="inlineStr">
        <is>
          <t>GLICLAZIDA 30 MG COM LIB PROL CT BL AL AL X 60</t>
        </is>
      </c>
      <c r="E57" s="13" t="n">
        <v>1</v>
      </c>
      <c r="F57" s="13" t="n">
        <v>4</v>
      </c>
      <c r="G57" s="13" t="n">
        <v>4</v>
      </c>
      <c r="H57" s="8" t="n">
        <v>11.56</v>
      </c>
      <c r="I57" s="8">
        <f>G57*H57</f>
        <v/>
      </c>
      <c r="J57" s="8">
        <f>H57/E57</f>
        <v/>
      </c>
      <c r="K57" s="8" t="n">
        <v>11.5525</v>
      </c>
      <c r="L57" s="8" t="n">
        <v>11.5525</v>
      </c>
      <c r="M57" s="8" t="n">
        <v>11.5525</v>
      </c>
      <c r="N57" s="14">
        <f>J57/M57-1</f>
        <v/>
      </c>
      <c r="O57" s="14">
        <f>J57/K57-1</f>
        <v/>
      </c>
      <c r="P57" s="7" t="inlineStr">
        <is>
          <t>ACIMA +0.1%</t>
        </is>
      </c>
      <c r="Q57" s="7" t="inlineStr"/>
    </row>
    <row r="58">
      <c r="A58" s="7" t="n">
        <v>533121</v>
      </c>
      <c r="B58" s="7" t="inlineStr">
        <is>
          <t>101681</t>
        </is>
      </c>
      <c r="C58" s="12" t="inlineStr">
        <is>
          <t>7891721201806</t>
        </is>
      </c>
      <c r="D58" s="7" t="inlineStr">
        <is>
          <t>GLIFAGE XR 500MG CX 30 COMP</t>
        </is>
      </c>
      <c r="E58" s="13" t="n">
        <v>1</v>
      </c>
      <c r="F58" s="13" t="n">
        <v>266</v>
      </c>
      <c r="G58" s="13" t="n">
        <v>266</v>
      </c>
      <c r="H58" s="8" t="n">
        <v>7.42</v>
      </c>
      <c r="I58" s="8">
        <f>G58*H58</f>
        <v/>
      </c>
      <c r="J58" s="8">
        <f>H58/E58</f>
        <v/>
      </c>
      <c r="K58" s="8" t="n">
        <v>7.2626</v>
      </c>
      <c r="L58" s="8" t="n">
        <v>6.4487</v>
      </c>
      <c r="M58" s="8" t="n">
        <v>6.711666666666666</v>
      </c>
      <c r="N58" s="14">
        <f>J58/M58-1</f>
        <v/>
      </c>
      <c r="O58" s="14">
        <f>J58/K58-1</f>
        <v/>
      </c>
      <c r="P58" s="7" t="inlineStr">
        <is>
          <t>ACIMA +2.2%</t>
        </is>
      </c>
      <c r="Q58" s="7" t="inlineStr"/>
    </row>
    <row r="59">
      <c r="A59" s="7" t="n">
        <v>583361</v>
      </c>
      <c r="B59" s="7" t="inlineStr">
        <is>
          <t>707836</t>
        </is>
      </c>
      <c r="C59" s="12" t="inlineStr">
        <is>
          <t>7896512921369</t>
        </is>
      </c>
      <c r="D59" s="7" t="inlineStr">
        <is>
          <t>GRANADO BEBE LCO UMD C/50</t>
        </is>
      </c>
      <c r="E59" s="13" t="n">
        <v>1</v>
      </c>
      <c r="F59" s="13" t="n">
        <v>1</v>
      </c>
      <c r="G59" s="13" t="n">
        <v>1</v>
      </c>
      <c r="H59" s="8" t="n">
        <v>9.06</v>
      </c>
      <c r="I59" s="8">
        <f>G59*H59</f>
        <v/>
      </c>
      <c r="J59" s="8">
        <f>H59/E59</f>
        <v/>
      </c>
      <c r="K59" s="8" t="n">
        <v>10.375</v>
      </c>
      <c r="L59" s="8" t="n">
        <v>10.375</v>
      </c>
      <c r="M59" s="8" t="n">
        <v>10.375</v>
      </c>
      <c r="N59" s="14">
        <f>J59/M59-1</f>
        <v/>
      </c>
      <c r="O59" s="14">
        <f>J59/K59-1</f>
        <v/>
      </c>
      <c r="P59" s="7" t="inlineStr">
        <is>
          <t>OK (≤ menor hist.)</t>
        </is>
      </c>
      <c r="Q59" s="7" t="inlineStr"/>
    </row>
    <row r="60">
      <c r="A60" s="7" t="n">
        <v>639851</v>
      </c>
      <c r="B60" s="7" t="inlineStr">
        <is>
          <t>405167</t>
        </is>
      </c>
      <c r="C60" s="12" t="inlineStr">
        <is>
          <t>7899095200586</t>
        </is>
      </c>
      <c r="D60" s="7" t="inlineStr">
        <is>
          <t>HILUROPT 1,5MG/ML SOL OFT FR GOT X 10ML</t>
        </is>
      </c>
      <c r="E60" s="13" t="n">
        <v>1</v>
      </c>
      <c r="F60" s="13" t="n">
        <v>9</v>
      </c>
      <c r="G60" s="13" t="n">
        <v>9</v>
      </c>
      <c r="H60" s="8" t="n">
        <v>36.09</v>
      </c>
      <c r="I60" s="8">
        <f>G60*H60</f>
        <v/>
      </c>
      <c r="J60" s="8">
        <f>H60/E60</f>
        <v/>
      </c>
      <c r="K60" s="8" t="n">
        <v>39.465</v>
      </c>
      <c r="L60" s="8" t="n">
        <v>33.63</v>
      </c>
      <c r="M60" s="8" t="n">
        <v>35.83166666666667</v>
      </c>
      <c r="N60" s="14">
        <f>J60/M60-1</f>
        <v/>
      </c>
      <c r="O60" s="14">
        <f>J60/K60-1</f>
        <v/>
      </c>
      <c r="P60" s="7" t="inlineStr">
        <is>
          <t>OK (≤ últ. compra)</t>
        </is>
      </c>
      <c r="Q60" s="7" t="inlineStr"/>
    </row>
    <row r="61">
      <c r="A61" s="7" t="n">
        <v>621551</v>
      </c>
      <c r="B61" s="7" t="inlineStr">
        <is>
          <t>721531</t>
        </is>
      </c>
      <c r="C61" s="12" t="inlineStr">
        <is>
          <t>7891010255763</t>
        </is>
      </c>
      <c r="D61" s="7" t="inlineStr">
        <is>
          <t>HIPOGLOS ORIGINAL 40G</t>
        </is>
      </c>
      <c r="E61" s="13" t="n">
        <v>1</v>
      </c>
      <c r="F61" s="13" t="n">
        <v>6</v>
      </c>
      <c r="G61" s="13" t="n">
        <v>6</v>
      </c>
      <c r="H61" s="8" t="n">
        <v>19.49</v>
      </c>
      <c r="I61" s="8">
        <f>G61*H61</f>
        <v/>
      </c>
      <c r="J61" s="8">
        <f>H61/E61</f>
        <v/>
      </c>
      <c r="K61" s="8" t="n">
        <v>21.3575</v>
      </c>
      <c r="L61" s="8" t="n">
        <v>18.405</v>
      </c>
      <c r="M61" s="8" t="n">
        <v>19.7634</v>
      </c>
      <c r="N61" s="14">
        <f>J61/M61-1</f>
        <v/>
      </c>
      <c r="O61" s="14">
        <f>J61/K61-1</f>
        <v/>
      </c>
      <c r="P61" s="7" t="inlineStr">
        <is>
          <t>OK (≤ últ. compra)</t>
        </is>
      </c>
      <c r="Q61" s="7" t="inlineStr"/>
    </row>
    <row r="62">
      <c r="A62" s="7" t="n">
        <v>594891</v>
      </c>
      <c r="B62" s="7" t="inlineStr">
        <is>
          <t>718482</t>
        </is>
      </c>
      <c r="C62" s="12" t="inlineStr">
        <is>
          <t>7898639690708</t>
        </is>
      </c>
      <c r="D62" s="7" t="inlineStr">
        <is>
          <t>INALADOR NEBULIZADOR ULTRANEB DESK2</t>
        </is>
      </c>
      <c r="E62" s="13" t="n">
        <v>1</v>
      </c>
      <c r="F62" s="13" t="n">
        <v>3</v>
      </c>
      <c r="G62" s="13" t="n">
        <v>3</v>
      </c>
      <c r="H62" s="8" t="n">
        <v>117.53</v>
      </c>
      <c r="I62" s="8">
        <f>G62*H62</f>
        <v/>
      </c>
      <c r="J62" s="8">
        <f>H62/E62</f>
        <v/>
      </c>
      <c r="K62" s="8" t="n">
        <v>130.26</v>
      </c>
      <c r="L62" s="8" t="n">
        <v>130.26</v>
      </c>
      <c r="M62" s="8" t="n">
        <v>130.26</v>
      </c>
      <c r="N62" s="14">
        <f>J62/M62-1</f>
        <v/>
      </c>
      <c r="O62" s="14">
        <f>J62/K62-1</f>
        <v/>
      </c>
      <c r="P62" s="7" t="inlineStr">
        <is>
          <t>OK (≤ menor hist.)</t>
        </is>
      </c>
      <c r="Q62" s="7" t="inlineStr"/>
    </row>
    <row r="63">
      <c r="A63" s="7" t="n">
        <v>637531</v>
      </c>
      <c r="B63" s="7" t="inlineStr">
        <is>
          <t>702330</t>
        </is>
      </c>
      <c r="C63" s="12" t="inlineStr">
        <is>
          <t>7897211100192</t>
        </is>
      </c>
      <c r="D63" s="7" t="inlineStr">
        <is>
          <t>K-Y GEL LUBRIF INTIMO 50G</t>
        </is>
      </c>
      <c r="E63" s="13" t="n">
        <v>1</v>
      </c>
      <c r="F63" s="13" t="n">
        <v>3</v>
      </c>
      <c r="G63" s="13" t="n">
        <v>3</v>
      </c>
      <c r="H63" s="8" t="n">
        <v>17.47</v>
      </c>
      <c r="I63" s="8">
        <f>G63*H63</f>
        <v/>
      </c>
      <c r="J63" s="8">
        <f>H63/E63</f>
        <v/>
      </c>
      <c r="K63" s="8" t="n">
        <v>18.53</v>
      </c>
      <c r="L63" s="8" t="n">
        <v>18.53</v>
      </c>
      <c r="M63" s="8" t="n">
        <v>18.53</v>
      </c>
      <c r="N63" s="14">
        <f>J63/M63-1</f>
        <v/>
      </c>
      <c r="O63" s="14">
        <f>J63/K63-1</f>
        <v/>
      </c>
      <c r="P63" s="7" t="inlineStr">
        <is>
          <t>OK (≤ menor hist.)</t>
        </is>
      </c>
      <c r="Q63" s="7" t="inlineStr"/>
    </row>
    <row r="64">
      <c r="A64" s="7" t="n">
        <v>400881</v>
      </c>
      <c r="B64" s="7" t="inlineStr">
        <is>
          <t>101918</t>
        </is>
      </c>
      <c r="C64" s="12" t="inlineStr">
        <is>
          <t>7896641804380</t>
        </is>
      </c>
      <c r="D64" s="7" t="inlineStr">
        <is>
          <t>KALOBA 825MG/ML SOL ORAL FR 20ML</t>
        </is>
      </c>
      <c r="E64" s="13" t="n">
        <v>1</v>
      </c>
      <c r="F64" s="13" t="n">
        <v>7</v>
      </c>
      <c r="G64" s="13" t="n">
        <v>7</v>
      </c>
      <c r="H64" s="8" t="n">
        <v>77.37</v>
      </c>
      <c r="I64" s="8">
        <f>G64*H64</f>
        <v/>
      </c>
      <c r="J64" s="8">
        <f>H64/E64</f>
        <v/>
      </c>
      <c r="K64" s="8" t="n">
        <v>77.37</v>
      </c>
      <c r="L64" s="8" t="n">
        <v>71.405</v>
      </c>
      <c r="M64" s="8" t="n">
        <v>74.71666666666667</v>
      </c>
      <c r="N64" s="14">
        <f>J64/M64-1</f>
        <v/>
      </c>
      <c r="O64" s="14">
        <f>J64/K64-1</f>
        <v/>
      </c>
      <c r="P64" s="7" t="inlineStr">
        <is>
          <t>OK (≤ últ. compra)</t>
        </is>
      </c>
      <c r="Q64" s="7" t="inlineStr"/>
    </row>
    <row r="65">
      <c r="A65" s="7" t="n">
        <v>129021</v>
      </c>
      <c r="B65" s="7" t="inlineStr">
        <is>
          <t>101961</t>
        </is>
      </c>
      <c r="C65" s="12" t="inlineStr">
        <is>
          <t>7896637028523</t>
        </is>
      </c>
      <c r="D65" s="7" t="inlineStr">
        <is>
          <t>LABIRIN 24MG CX 30 COMP</t>
        </is>
      </c>
      <c r="E65" s="13" t="n">
        <v>1</v>
      </c>
      <c r="F65" s="13" t="n">
        <v>3</v>
      </c>
      <c r="G65" s="13" t="n">
        <v>3</v>
      </c>
      <c r="H65" s="8" t="n">
        <v>19.44</v>
      </c>
      <c r="I65" s="8">
        <f>G65*H65</f>
        <v/>
      </c>
      <c r="J65" s="8">
        <f>H65/E65</f>
        <v/>
      </c>
      <c r="K65" s="8" t="n">
        <v>19.44</v>
      </c>
      <c r="L65" s="8" t="n">
        <v>16.2667</v>
      </c>
      <c r="M65" s="8" t="n">
        <v>18.38223333333334</v>
      </c>
      <c r="N65" s="14">
        <f>J65/M65-1</f>
        <v/>
      </c>
      <c r="O65" s="14">
        <f>J65/K65-1</f>
        <v/>
      </c>
      <c r="P65" s="7" t="inlineStr">
        <is>
          <t>OK (≤ últ. compra)</t>
        </is>
      </c>
      <c r="Q65" s="7" t="inlineStr"/>
    </row>
    <row r="66">
      <c r="A66" s="7" t="n">
        <v>539621</v>
      </c>
      <c r="B66" s="7" t="inlineStr">
        <is>
          <t>400763</t>
        </is>
      </c>
      <c r="C66" s="12" t="inlineStr">
        <is>
          <t>7895858015688</t>
        </is>
      </c>
      <c r="D66" s="7" t="inlineStr">
        <is>
          <t>LEITE MAGNESIA PHIL C/120ML</t>
        </is>
      </c>
      <c r="E66" s="13" t="n">
        <v>1</v>
      </c>
      <c r="F66" s="13" t="n">
        <v>11</v>
      </c>
      <c r="G66" s="13" t="n">
        <v>11</v>
      </c>
      <c r="H66" s="8" t="n">
        <v>13.74</v>
      </c>
      <c r="I66" s="8">
        <f>G66*H66</f>
        <v/>
      </c>
      <c r="J66" s="8">
        <f>H66/E66</f>
        <v/>
      </c>
      <c r="K66" s="8" t="n">
        <v>16.875</v>
      </c>
      <c r="L66" s="8" t="n">
        <v>8.1403</v>
      </c>
      <c r="M66" s="8" t="n">
        <v>13.17343333333333</v>
      </c>
      <c r="N66" s="14">
        <f>J66/M66-1</f>
        <v/>
      </c>
      <c r="O66" s="14">
        <f>J66/K66-1</f>
        <v/>
      </c>
      <c r="P66" s="7" t="inlineStr">
        <is>
          <t>OK (≤ últ. compra)</t>
        </is>
      </c>
      <c r="Q66" s="7" t="inlineStr"/>
    </row>
    <row r="67">
      <c r="A67" s="7" t="n">
        <v>560961</v>
      </c>
      <c r="B67" s="7" t="inlineStr">
        <is>
          <t>400764</t>
        </is>
      </c>
      <c r="C67" s="12" t="inlineStr">
        <is>
          <t>7895858015695</t>
        </is>
      </c>
      <c r="D67" s="7" t="inlineStr">
        <is>
          <t>LEITE MAGNESIA PHILL 350ML</t>
        </is>
      </c>
      <c r="E67" s="13" t="n">
        <v>1</v>
      </c>
      <c r="F67" s="13" t="n">
        <v>8</v>
      </c>
      <c r="G67" s="13" t="n">
        <v>8</v>
      </c>
      <c r="H67" s="8" t="n">
        <v>22.18</v>
      </c>
      <c r="I67" s="8">
        <f>G67*H67</f>
        <v/>
      </c>
      <c r="J67" s="8">
        <f>H67/E67</f>
        <v/>
      </c>
      <c r="K67" s="8" t="n">
        <v>27.2467</v>
      </c>
      <c r="L67" s="8" t="n">
        <v>13.1507</v>
      </c>
      <c r="M67" s="8" t="n">
        <v>22.3258</v>
      </c>
      <c r="N67" s="14">
        <f>J67/M67-1</f>
        <v/>
      </c>
      <c r="O67" s="14">
        <f>J67/K67-1</f>
        <v/>
      </c>
      <c r="P67" s="7" t="inlineStr">
        <is>
          <t>OK (≤ últ. compra)</t>
        </is>
      </c>
      <c r="Q67" s="7" t="inlineStr"/>
    </row>
    <row r="68">
      <c r="A68" s="7" t="n">
        <v>320321</v>
      </c>
      <c r="B68" s="7" t="inlineStr">
        <is>
          <t>102028</t>
        </is>
      </c>
      <c r="C68" s="12" t="inlineStr">
        <is>
          <t>7896658008801</t>
        </is>
      </c>
      <c r="D68" s="7" t="inlineStr">
        <is>
          <t>LEVOID 88MCG CX 30 COMP</t>
        </is>
      </c>
      <c r="E68" s="13" t="n">
        <v>1</v>
      </c>
      <c r="F68" s="13" t="n">
        <v>4</v>
      </c>
      <c r="G68" s="13" t="n">
        <v>4</v>
      </c>
      <c r="H68" s="8" t="n">
        <v>20.33</v>
      </c>
      <c r="I68" s="8">
        <f>G68*H68</f>
        <v/>
      </c>
      <c r="J68" s="8">
        <f>H68/E68</f>
        <v/>
      </c>
      <c r="K68" s="8" t="n">
        <v>20.33</v>
      </c>
      <c r="L68" s="8" t="n">
        <v>18.71</v>
      </c>
      <c r="M68" s="8" t="n">
        <v>19.25</v>
      </c>
      <c r="N68" s="14">
        <f>J68/M68-1</f>
        <v/>
      </c>
      <c r="O68" s="14">
        <f>J68/K68-1</f>
        <v/>
      </c>
      <c r="P68" s="7" t="inlineStr">
        <is>
          <t>OK (≤ últ. compra)</t>
        </is>
      </c>
      <c r="Q68" s="7" t="inlineStr"/>
    </row>
    <row r="69">
      <c r="A69" s="7" t="n">
        <v>653771</v>
      </c>
      <c r="B69" s="7" t="inlineStr">
        <is>
          <t>405468</t>
        </is>
      </c>
      <c r="C69" s="12" t="inlineStr">
        <is>
          <t>7898244720630</t>
        </is>
      </c>
      <c r="D69" s="7" t="inlineStr">
        <is>
          <t>MARESIS FLEX 2,16G KIT FR+30SACH   FQM %DN:15.00</t>
        </is>
      </c>
      <c r="E69" s="13" t="n">
        <v>1</v>
      </c>
      <c r="F69" s="13" t="n">
        <v>1</v>
      </c>
      <c r="G69" s="13" t="n">
        <v>1</v>
      </c>
      <c r="H69" s="8" t="n">
        <v>62.16</v>
      </c>
      <c r="I69" s="8">
        <f>G69*H69</f>
        <v/>
      </c>
      <c r="J69" s="8">
        <f>H69/E69</f>
        <v/>
      </c>
      <c r="K69" s="8" t="n">
        <v>52.78</v>
      </c>
      <c r="L69" s="8" t="n">
        <v>52.78</v>
      </c>
      <c r="M69" s="8" t="n">
        <v>52.78</v>
      </c>
      <c r="N69" s="14">
        <f>J69/M69-1</f>
        <v/>
      </c>
      <c r="O69" s="14">
        <f>J69/K69-1</f>
        <v/>
      </c>
      <c r="P69" s="7" t="inlineStr">
        <is>
          <t>ACIMA +17.8%</t>
        </is>
      </c>
      <c r="Q69" s="7" t="inlineStr"/>
    </row>
    <row r="70">
      <c r="A70" s="7" t="n">
        <v>206681</v>
      </c>
      <c r="B70" s="7" t="inlineStr">
        <is>
          <t>102202</t>
        </is>
      </c>
      <c r="C70" s="12" t="inlineStr">
        <is>
          <t>7896548111727</t>
        </is>
      </c>
      <c r="D70" s="7" t="inlineStr">
        <is>
          <t>MAXIDEX 1MG/ML SUS OFT FR GTS 5ML</t>
        </is>
      </c>
      <c r="E70" s="13" t="n">
        <v>1</v>
      </c>
      <c r="F70" s="13" t="n">
        <v>18</v>
      </c>
      <c r="G70" s="13" t="n">
        <v>18</v>
      </c>
      <c r="H70" s="8" t="n">
        <v>8.23</v>
      </c>
      <c r="I70" s="8">
        <f>G70*H70</f>
        <v/>
      </c>
      <c r="J70" s="8">
        <f>H70/E70</f>
        <v/>
      </c>
      <c r="K70" s="8" t="n">
        <v>8.23</v>
      </c>
      <c r="L70" s="8" t="n">
        <v>7.8167</v>
      </c>
      <c r="M70" s="8" t="n">
        <v>7.9889</v>
      </c>
      <c r="N70" s="14">
        <f>J70/M70-1</f>
        <v/>
      </c>
      <c r="O70" s="14">
        <f>J70/K70-1</f>
        <v/>
      </c>
      <c r="P70" s="7" t="inlineStr">
        <is>
          <t>OK (≤ últ. compra)</t>
        </is>
      </c>
      <c r="Q70" s="7" t="inlineStr"/>
    </row>
    <row r="71">
      <c r="A71" s="7" t="n">
        <v>673191</v>
      </c>
      <c r="B71" s="7" t="inlineStr">
        <is>
          <t>705710</t>
        </is>
      </c>
      <c r="C71" s="12" t="inlineStr">
        <is>
          <t>7896023752513</t>
        </is>
      </c>
      <c r="D71" s="7" t="inlineStr">
        <is>
          <t>MELAGRIAO SPRAY - MENTA - 30ML-DEMAIS PROD</t>
        </is>
      </c>
      <c r="E71" s="13" t="n">
        <v>1</v>
      </c>
      <c r="F71" s="13" t="n">
        <v>3</v>
      </c>
      <c r="G71" s="13" t="n">
        <v>3</v>
      </c>
      <c r="H71" s="8" t="n">
        <v>11.42</v>
      </c>
      <c r="I71" s="8">
        <f>G71*H71</f>
        <v/>
      </c>
      <c r="J71" s="8">
        <f>H71/E71</f>
        <v/>
      </c>
      <c r="K71" s="8" t="n">
        <v>16.5517</v>
      </c>
      <c r="L71" s="8" t="n">
        <v>13.14</v>
      </c>
      <c r="M71" s="8" t="n">
        <v>13.97666666666667</v>
      </c>
      <c r="N71" s="14">
        <f>J71/M71-1</f>
        <v/>
      </c>
      <c r="O71" s="14">
        <f>J71/K71-1</f>
        <v/>
      </c>
      <c r="P71" s="7" t="inlineStr">
        <is>
          <t>OK (≤ menor hist.)</t>
        </is>
      </c>
      <c r="Q71" s="7" t="inlineStr"/>
    </row>
    <row r="72">
      <c r="A72" s="7" t="n">
        <v>663861</v>
      </c>
      <c r="B72" s="7" t="inlineStr">
        <is>
          <t>114887</t>
        </is>
      </c>
      <c r="C72" s="12" t="inlineStr">
        <is>
          <t>7891106916233</t>
        </is>
      </c>
      <c r="D72" s="7" t="inlineStr">
        <is>
          <t>MESIGYNA 50+5MG/ML C/1 SER PR+AG-REFERENCIA</t>
        </is>
      </c>
      <c r="E72" s="13" t="n">
        <v>1</v>
      </c>
      <c r="F72" s="13" t="n">
        <v>6</v>
      </c>
      <c r="G72" s="13" t="n">
        <v>6</v>
      </c>
      <c r="H72" s="8" t="n">
        <v>35.54</v>
      </c>
      <c r="I72" s="8">
        <f>G72*H72</f>
        <v/>
      </c>
      <c r="J72" s="8">
        <f>H72/E72</f>
        <v/>
      </c>
      <c r="K72" s="8" t="n">
        <v>35.54</v>
      </c>
      <c r="L72" s="8" t="n">
        <v>29.545</v>
      </c>
      <c r="M72" s="8" t="n">
        <v>32.65833333333334</v>
      </c>
      <c r="N72" s="14">
        <f>J72/M72-1</f>
        <v/>
      </c>
      <c r="O72" s="14">
        <f>J72/K72-1</f>
        <v/>
      </c>
      <c r="P72" s="7" t="inlineStr">
        <is>
          <t>OK (≤ últ. compra)</t>
        </is>
      </c>
      <c r="Q72" s="7" t="inlineStr"/>
    </row>
    <row r="73">
      <c r="A73" s="7" t="n">
        <v>650411</v>
      </c>
      <c r="B73" s="7" t="inlineStr">
        <is>
          <t>710708</t>
        </is>
      </c>
      <c r="C73" s="12" t="inlineStr">
        <is>
          <t>7891800665017</t>
        </is>
      </c>
      <c r="D73" s="7" t="inlineStr">
        <is>
          <t>MICROPOROSA CREMER BEGE 1,2CM X 4,5M</t>
        </is>
      </c>
      <c r="E73" s="13" t="n">
        <v>1</v>
      </c>
      <c r="F73" s="13" t="n">
        <v>3</v>
      </c>
      <c r="G73" s="13" t="n">
        <v>3</v>
      </c>
      <c r="H73" s="8" t="n">
        <v>5.07</v>
      </c>
      <c r="I73" s="8">
        <f>G73*H73</f>
        <v/>
      </c>
      <c r="J73" s="8">
        <f>H73/E73</f>
        <v/>
      </c>
      <c r="K73" s="8" t="n">
        <v>5.32</v>
      </c>
      <c r="L73" s="8" t="n">
        <v>5.27</v>
      </c>
      <c r="M73" s="8" t="n">
        <v>5.303333333333334</v>
      </c>
      <c r="N73" s="14">
        <f>J73/M73-1</f>
        <v/>
      </c>
      <c r="O73" s="14">
        <f>J73/K73-1</f>
        <v/>
      </c>
      <c r="P73" s="7" t="inlineStr">
        <is>
          <t>OK (≤ menor hist.)</t>
        </is>
      </c>
      <c r="Q73" s="7" t="inlineStr"/>
    </row>
    <row r="74">
      <c r="A74" s="7" t="n">
        <v>622791</v>
      </c>
      <c r="B74" s="7" t="inlineStr">
        <is>
          <t>405240</t>
        </is>
      </c>
      <c r="C74" s="12" t="inlineStr">
        <is>
          <t>7891317022174</t>
        </is>
      </c>
      <c r="D74" s="7" t="inlineStr">
        <is>
          <t>MINILAX PEDIATRICO 714,0+7,70MG/G SOL RET 7 BG X 6,5G</t>
        </is>
      </c>
      <c r="E74" s="13" t="n">
        <v>1</v>
      </c>
      <c r="F74" s="13" t="n">
        <v>1</v>
      </c>
      <c r="G74" s="13" t="n">
        <v>1</v>
      </c>
      <c r="H74" s="8" t="n">
        <v>44.5</v>
      </c>
      <c r="I74" s="8">
        <f>G74*H74</f>
        <v/>
      </c>
      <c r="J74" s="8">
        <f>H74/E74</f>
        <v/>
      </c>
      <c r="K74" s="8" t="n">
        <v>44.4967</v>
      </c>
      <c r="L74" s="8" t="n">
        <v>38.8975</v>
      </c>
      <c r="M74" s="8" t="n">
        <v>41.33973333333333</v>
      </c>
      <c r="N74" s="14">
        <f>J74/M74-1</f>
        <v/>
      </c>
      <c r="O74" s="14">
        <f>J74/K74-1</f>
        <v/>
      </c>
      <c r="P74" s="7" t="inlineStr">
        <is>
          <t>ACIMA +0.0%</t>
        </is>
      </c>
      <c r="Q74" s="7" t="inlineStr"/>
    </row>
    <row r="75">
      <c r="A75" s="7" t="n">
        <v>133581</v>
      </c>
      <c r="B75" s="7" t="inlineStr">
        <is>
          <t>102323</t>
        </is>
      </c>
      <c r="C75" s="12" t="inlineStr">
        <is>
          <t>7896637023665</t>
        </is>
      </c>
      <c r="D75" s="7" t="inlineStr">
        <is>
          <t>MIOSAN 10MG CX 10 COMP REV</t>
        </is>
      </c>
      <c r="E75" s="13" t="n">
        <v>1</v>
      </c>
      <c r="F75" s="13" t="n">
        <v>3</v>
      </c>
      <c r="G75" s="13" t="n">
        <v>3</v>
      </c>
      <c r="H75" s="8" t="n">
        <v>12.44</v>
      </c>
      <c r="I75" s="8">
        <f>G75*H75</f>
        <v/>
      </c>
      <c r="J75" s="8">
        <f>H75/E75</f>
        <v/>
      </c>
      <c r="K75" s="8" t="n">
        <v>12.4417</v>
      </c>
      <c r="L75" s="8" t="n">
        <v>9.375</v>
      </c>
      <c r="M75" s="8" t="n">
        <v>10.39666666666667</v>
      </c>
      <c r="N75" s="14">
        <f>J75/M75-1</f>
        <v/>
      </c>
      <c r="O75" s="14">
        <f>J75/K75-1</f>
        <v/>
      </c>
      <c r="P75" s="7" t="inlineStr">
        <is>
          <t>OK (≤ últ. compra)</t>
        </is>
      </c>
      <c r="Q75" s="7" t="inlineStr"/>
    </row>
    <row r="76">
      <c r="A76" s="7" t="n">
        <v>582301</v>
      </c>
      <c r="B76" s="7" t="inlineStr">
        <is>
          <t>102407</t>
        </is>
      </c>
      <c r="C76" s="12" t="inlineStr">
        <is>
          <t>7897337716550</t>
        </is>
      </c>
      <c r="D76" s="7" t="inlineStr">
        <is>
          <t>NASONEX 0,5MG/G SUS NAS FR SPR 60 ATOMIZ</t>
        </is>
      </c>
      <c r="E76" s="13" t="n">
        <v>1</v>
      </c>
      <c r="F76" s="13" t="n">
        <v>3</v>
      </c>
      <c r="G76" s="13" t="n">
        <v>3</v>
      </c>
      <c r="H76" s="8" t="n">
        <v>37.12</v>
      </c>
      <c r="I76" s="8">
        <f>G76*H76</f>
        <v/>
      </c>
      <c r="J76" s="8">
        <f>H76/E76</f>
        <v/>
      </c>
      <c r="K76" s="8" t="n">
        <v>37.12</v>
      </c>
      <c r="L76" s="8" t="n">
        <v>33.325</v>
      </c>
      <c r="M76" s="8" t="n">
        <v>35.51666666666667</v>
      </c>
      <c r="N76" s="14">
        <f>J76/M76-1</f>
        <v/>
      </c>
      <c r="O76" s="14">
        <f>J76/K76-1</f>
        <v/>
      </c>
      <c r="P76" s="7" t="inlineStr">
        <is>
          <t>OK (≤ últ. compra)</t>
        </is>
      </c>
      <c r="Q76" s="7" t="inlineStr"/>
    </row>
    <row r="77">
      <c r="A77" s="7" t="n">
        <v>644791</v>
      </c>
      <c r="B77" s="7" t="inlineStr">
        <is>
          <t>715557</t>
        </is>
      </c>
      <c r="C77" s="12" t="inlineStr">
        <is>
          <t>7891010248130</t>
        </is>
      </c>
      <c r="D77" s="7" t="inlineStr">
        <is>
          <t>NEOS MINESOL COR/ROS FPS99 200ML</t>
        </is>
      </c>
      <c r="E77" s="13" t="n">
        <v>1</v>
      </c>
      <c r="F77" s="13" t="n">
        <v>2</v>
      </c>
      <c r="G77" s="13" t="n">
        <v>2</v>
      </c>
      <c r="H77" s="8" t="n">
        <v>128.52</v>
      </c>
      <c r="I77" s="8">
        <f>G77*H77</f>
        <v/>
      </c>
      <c r="J77" s="8">
        <f>H77/E77</f>
        <v/>
      </c>
      <c r="K77" s="8" t="n">
        <v>126.85</v>
      </c>
      <c r="L77" s="8" t="n">
        <v>126.85</v>
      </c>
      <c r="M77" s="8" t="n">
        <v>126.85</v>
      </c>
      <c r="N77" s="14">
        <f>J77/M77-1</f>
        <v/>
      </c>
      <c r="O77" s="14">
        <f>J77/K77-1</f>
        <v/>
      </c>
      <c r="P77" s="7" t="inlineStr">
        <is>
          <t>ACIMA +1.3%</t>
        </is>
      </c>
      <c r="Q77" s="7" t="inlineStr"/>
    </row>
    <row r="78">
      <c r="A78" s="7" t="n">
        <v>613781</v>
      </c>
      <c r="B78" s="7" t="inlineStr">
        <is>
          <t>715677</t>
        </is>
      </c>
      <c r="C78" s="12" t="inlineStr">
        <is>
          <t>7891010249106</t>
        </is>
      </c>
      <c r="D78" s="7" t="inlineStr">
        <is>
          <t>NEUT SUN FRESH FPS90 200ML</t>
        </is>
      </c>
      <c r="E78" s="13" t="n">
        <v>1</v>
      </c>
      <c r="F78" s="13" t="n">
        <v>1</v>
      </c>
      <c r="G78" s="13" t="n">
        <v>1</v>
      </c>
      <c r="H78" s="8" t="n">
        <v>82.93000000000001</v>
      </c>
      <c r="I78" s="8">
        <f>G78*H78</f>
        <v/>
      </c>
      <c r="J78" s="8">
        <f>H78/E78</f>
        <v/>
      </c>
      <c r="K78" s="8" t="n">
        <v>76.9183</v>
      </c>
      <c r="L78" s="8" t="n">
        <v>76.9183</v>
      </c>
      <c r="M78" s="8" t="n">
        <v>76.9183</v>
      </c>
      <c r="N78" s="14">
        <f>J78/M78-1</f>
        <v/>
      </c>
      <c r="O78" s="14">
        <f>J78/K78-1</f>
        <v/>
      </c>
      <c r="P78" s="7" t="inlineStr">
        <is>
          <t>ACIMA +7.8%</t>
        </is>
      </c>
      <c r="Q78" s="7" t="inlineStr"/>
    </row>
    <row r="79">
      <c r="A79" s="7" t="n">
        <v>473</v>
      </c>
      <c r="B79" s="7" t="inlineStr">
        <is>
          <t>718018</t>
        </is>
      </c>
      <c r="C79" s="12" t="inlineStr">
        <is>
          <t>7891010253899</t>
        </is>
      </c>
      <c r="D79" s="7" t="inlineStr">
        <is>
          <t>NEUTROG HIDRATA &amp; REPARA 200ML</t>
        </is>
      </c>
      <c r="E79" s="13" t="n">
        <v>1</v>
      </c>
      <c r="F79" s="13" t="n">
        <v>1</v>
      </c>
      <c r="G79" s="13" t="n">
        <v>1</v>
      </c>
      <c r="H79" s="8" t="n">
        <v>17.13</v>
      </c>
      <c r="I79" s="8">
        <f>G79*H79</f>
        <v/>
      </c>
      <c r="J79" s="8">
        <f>H79/E79</f>
        <v/>
      </c>
      <c r="K79" s="8" t="n">
        <v>17.1617</v>
      </c>
      <c r="L79" s="8" t="n">
        <v>17.1617</v>
      </c>
      <c r="M79" s="8" t="n">
        <v>17.1617</v>
      </c>
      <c r="N79" s="14">
        <f>J79/M79-1</f>
        <v/>
      </c>
      <c r="O79" s="14">
        <f>J79/K79-1</f>
        <v/>
      </c>
      <c r="P79" s="7" t="inlineStr">
        <is>
          <t>OK (≤ menor hist.)</t>
        </is>
      </c>
      <c r="Q79" s="7" t="inlineStr"/>
    </row>
    <row r="80">
      <c r="A80" s="7" t="n">
        <v>588801</v>
      </c>
      <c r="B80" s="7" t="inlineStr">
        <is>
          <t>102512</t>
        </is>
      </c>
      <c r="C80" s="12" t="inlineStr">
        <is>
          <t>7898581710578</t>
        </is>
      </c>
      <c r="D80" s="7" t="inlineStr">
        <is>
          <t>NORIPURUM 10MG/ML XPE FR 120ML</t>
        </is>
      </c>
      <c r="E80" s="13" t="n">
        <v>1</v>
      </c>
      <c r="F80" s="13" t="n">
        <v>2</v>
      </c>
      <c r="G80" s="13" t="n">
        <v>2</v>
      </c>
      <c r="H80" s="8" t="n">
        <v>26.06</v>
      </c>
      <c r="I80" s="8">
        <f>G80*H80</f>
        <v/>
      </c>
      <c r="J80" s="8">
        <f>H80/E80</f>
        <v/>
      </c>
      <c r="K80" s="8" t="n">
        <v>26.06</v>
      </c>
      <c r="L80" s="8" t="n">
        <v>26.06</v>
      </c>
      <c r="M80" s="8" t="n">
        <v>26.06</v>
      </c>
      <c r="N80" s="14">
        <f>J80/M80-1</f>
        <v/>
      </c>
      <c r="O80" s="14">
        <f>J80/K80-1</f>
        <v/>
      </c>
      <c r="P80" s="7" t="inlineStr">
        <is>
          <t>OK (≤ menor hist.)</t>
        </is>
      </c>
      <c r="Q80" s="7" t="inlineStr"/>
    </row>
    <row r="81">
      <c r="A81" s="7" t="n">
        <v>468981</v>
      </c>
      <c r="B81" s="7" t="inlineStr">
        <is>
          <t>102574</t>
        </is>
      </c>
      <c r="C81" s="12" t="inlineStr">
        <is>
          <t>7895858015824</t>
        </is>
      </c>
      <c r="D81" s="7" t="inlineStr">
        <is>
          <t>OMCILON A 1,0MG/G PAS BG 10G</t>
        </is>
      </c>
      <c r="E81" s="13" t="n">
        <v>1</v>
      </c>
      <c r="F81" s="13" t="n">
        <v>8</v>
      </c>
      <c r="G81" s="13" t="n">
        <v>8</v>
      </c>
      <c r="H81" s="8" t="n">
        <v>18.94</v>
      </c>
      <c r="I81" s="8">
        <f>G81*H81</f>
        <v/>
      </c>
      <c r="J81" s="8">
        <f>H81/E81</f>
        <v/>
      </c>
      <c r="K81" s="8" t="n">
        <v>18.945</v>
      </c>
      <c r="L81" s="8" t="n">
        <v>16.8473</v>
      </c>
      <c r="M81" s="8" t="n">
        <v>18.11743333333333</v>
      </c>
      <c r="N81" s="14">
        <f>J81/M81-1</f>
        <v/>
      </c>
      <c r="O81" s="14">
        <f>J81/K81-1</f>
        <v/>
      </c>
      <c r="P81" s="7" t="inlineStr">
        <is>
          <t>OK (≤ últ. compra)</t>
        </is>
      </c>
      <c r="Q81" s="7" t="inlineStr"/>
    </row>
    <row r="82">
      <c r="A82" s="7" t="n">
        <v>627711</v>
      </c>
      <c r="B82" s="7" t="inlineStr">
        <is>
          <t>722004</t>
        </is>
      </c>
      <c r="C82" s="12" t="inlineStr">
        <is>
          <t>7896023799983</t>
        </is>
      </c>
      <c r="D82" s="7" t="inlineStr">
        <is>
          <t>OMEGA 3 1000MG 60CAP</t>
        </is>
      </c>
      <c r="E82" s="13" t="n">
        <v>1</v>
      </c>
      <c r="F82" s="13" t="n">
        <v>13</v>
      </c>
      <c r="G82" s="13" t="n">
        <v>13</v>
      </c>
      <c r="H82" s="8" t="n">
        <v>19.03</v>
      </c>
      <c r="I82" s="8">
        <f>G82*H82</f>
        <v/>
      </c>
      <c r="J82" s="8">
        <f>H82/E82</f>
        <v/>
      </c>
      <c r="K82" s="8" t="n">
        <v>32.02</v>
      </c>
      <c r="L82" s="8" t="n">
        <v>27.45</v>
      </c>
      <c r="M82" s="8" t="n">
        <v>27.93666666666667</v>
      </c>
      <c r="N82" s="14">
        <f>J82/M82-1</f>
        <v/>
      </c>
      <c r="O82" s="14">
        <f>J82/K82-1</f>
        <v/>
      </c>
      <c r="P82" s="7" t="inlineStr">
        <is>
          <t>OK (≤ menor hist.)</t>
        </is>
      </c>
      <c r="Q82" s="7" t="inlineStr"/>
    </row>
    <row r="83">
      <c r="A83" s="7" t="n">
        <v>589541</v>
      </c>
      <c r="B83" s="7" t="inlineStr">
        <is>
          <t>716754</t>
        </is>
      </c>
      <c r="C83" s="12" t="inlineStr">
        <is>
          <t>7500435154222</t>
        </is>
      </c>
      <c r="D83" s="7" t="inlineStr">
        <is>
          <t>PANTENE SH 200ML BAMBU</t>
        </is>
      </c>
      <c r="E83" s="13" t="n">
        <v>1</v>
      </c>
      <c r="F83" s="13" t="n">
        <v>3</v>
      </c>
      <c r="G83" s="13" t="n">
        <v>3</v>
      </c>
      <c r="H83" s="8" t="n">
        <v>11.92</v>
      </c>
      <c r="I83" s="8">
        <f>G83*H83</f>
        <v/>
      </c>
      <c r="J83" s="8">
        <f>H83/E83</f>
        <v/>
      </c>
      <c r="K83" s="8" t="n">
        <v>14.14</v>
      </c>
      <c r="L83" s="8" t="n">
        <v>11.27</v>
      </c>
      <c r="M83" s="8" t="n">
        <v>12.39</v>
      </c>
      <c r="N83" s="14">
        <f>J83/M83-1</f>
        <v/>
      </c>
      <c r="O83" s="14">
        <f>J83/K83-1</f>
        <v/>
      </c>
      <c r="P83" s="7" t="inlineStr">
        <is>
          <t>OK (≤ últ. compra)</t>
        </is>
      </c>
      <c r="Q83" s="7" t="inlineStr"/>
    </row>
    <row r="84">
      <c r="A84" s="7" t="n">
        <v>115101</v>
      </c>
      <c r="B84" s="7" t="inlineStr">
        <is>
          <t>400847</t>
        </is>
      </c>
      <c r="C84" s="12" t="inlineStr">
        <is>
          <t>78905108</t>
        </is>
      </c>
      <c r="D84" s="7" t="inlineStr">
        <is>
          <t>POMADA MINANCORA 20%+0,5%+5% POM DERM BG 30G</t>
        </is>
      </c>
      <c r="E84" s="13" t="n">
        <v>1</v>
      </c>
      <c r="F84" s="13" t="n">
        <v>1</v>
      </c>
      <c r="G84" s="13" t="n">
        <v>1</v>
      </c>
      <c r="H84" s="8" t="n">
        <v>16.07</v>
      </c>
      <c r="I84" s="8">
        <f>G84*H84</f>
        <v/>
      </c>
      <c r="J84" s="8">
        <f>H84/E84</f>
        <v/>
      </c>
      <c r="K84" s="8" t="n">
        <v>16.1667</v>
      </c>
      <c r="L84" s="8" t="n">
        <v>14.245</v>
      </c>
      <c r="M84" s="8" t="n">
        <v>15.455</v>
      </c>
      <c r="N84" s="14">
        <f>J84/M84-1</f>
        <v/>
      </c>
      <c r="O84" s="14">
        <f>J84/K84-1</f>
        <v/>
      </c>
      <c r="P84" s="7" t="inlineStr">
        <is>
          <t>OK (≤ últ. compra)</t>
        </is>
      </c>
      <c r="Q84" s="7" t="inlineStr"/>
    </row>
    <row r="85">
      <c r="A85" s="7" t="n">
        <v>205761</v>
      </c>
      <c r="B85" s="7" t="inlineStr">
        <is>
          <t>102878</t>
        </is>
      </c>
      <c r="C85" s="12" t="inlineStr">
        <is>
          <t>7891317177652</t>
        </is>
      </c>
      <c r="D85" s="7" t="inlineStr">
        <is>
          <t>PRIMERA 0,150+0,020MG CAIXA C/ 3 CARTELAS</t>
        </is>
      </c>
      <c r="E85" s="13" t="n">
        <v>1</v>
      </c>
      <c r="F85" s="13" t="n">
        <v>2</v>
      </c>
      <c r="G85" s="13" t="n">
        <v>2</v>
      </c>
      <c r="H85" s="8" t="n">
        <v>69.47</v>
      </c>
      <c r="I85" s="8">
        <f>G85*H85</f>
        <v/>
      </c>
      <c r="J85" s="8">
        <f>H85/E85</f>
        <v/>
      </c>
      <c r="K85" s="8" t="n">
        <v>69.47</v>
      </c>
      <c r="L85" s="8" t="n">
        <v>20.79</v>
      </c>
      <c r="M85" s="8" t="n">
        <v>37.67443333333333</v>
      </c>
      <c r="N85" s="14">
        <f>J85/M85-1</f>
        <v/>
      </c>
      <c r="O85" s="14">
        <f>J85/K85-1</f>
        <v/>
      </c>
      <c r="P85" s="7" t="inlineStr">
        <is>
          <t>OK (≤ últ. compra)</t>
        </is>
      </c>
      <c r="Q85" s="7" t="inlineStr"/>
    </row>
    <row r="86">
      <c r="A86" s="7" t="n">
        <v>644221</v>
      </c>
      <c r="B86" s="7" t="inlineStr">
        <is>
          <t>405381</t>
        </is>
      </c>
      <c r="C86" s="12" t="inlineStr">
        <is>
          <t>7898636193622</t>
        </is>
      </c>
      <c r="D86" s="7" t="inlineStr">
        <is>
          <t>PROCTAN 25G C/ 10 LUVAS-OUTROS</t>
        </is>
      </c>
      <c r="E86" s="13" t="n">
        <v>1</v>
      </c>
      <c r="F86" s="13" t="n">
        <v>1</v>
      </c>
      <c r="G86" s="13" t="n">
        <v>1</v>
      </c>
      <c r="H86" s="8" t="n">
        <v>41.77</v>
      </c>
      <c r="I86" s="8">
        <f>G86*H86</f>
        <v/>
      </c>
      <c r="J86" s="8">
        <f>H86/E86</f>
        <v/>
      </c>
      <c r="K86" s="8" t="n">
        <v>44.71</v>
      </c>
      <c r="L86" s="8" t="n">
        <v>34.175</v>
      </c>
      <c r="M86" s="8" t="n">
        <v>37.9211</v>
      </c>
      <c r="N86" s="14">
        <f>J86/M86-1</f>
        <v/>
      </c>
      <c r="O86" s="14">
        <f>J86/K86-1</f>
        <v/>
      </c>
      <c r="P86" s="7" t="inlineStr">
        <is>
          <t>OK (≤ últ. compra)</t>
        </is>
      </c>
      <c r="Q86" s="7" t="inlineStr"/>
    </row>
    <row r="87">
      <c r="A87" s="7" t="n">
        <v>543021</v>
      </c>
      <c r="B87" s="7" t="inlineStr">
        <is>
          <t>402424</t>
        </is>
      </c>
      <c r="C87" s="12" t="inlineStr">
        <is>
          <t>7898949409465</t>
        </is>
      </c>
      <c r="D87" s="7" t="inlineStr">
        <is>
          <t>PROCTAN 25G POMADA GENO %DN:0.00</t>
        </is>
      </c>
      <c r="E87" s="13" t="n">
        <v>1</v>
      </c>
      <c r="F87" s="13" t="n">
        <v>3</v>
      </c>
      <c r="G87" s="13" t="n">
        <v>3</v>
      </c>
      <c r="H87" s="8" t="n">
        <v>41.77</v>
      </c>
      <c r="I87" s="8">
        <f>G87*H87</f>
        <v/>
      </c>
      <c r="J87" s="8">
        <f>H87/E87</f>
        <v/>
      </c>
      <c r="K87" s="8" t="n">
        <v>41.765</v>
      </c>
      <c r="L87" s="8" t="n">
        <v>34.1775</v>
      </c>
      <c r="M87" s="8" t="n">
        <v>38.41583333333333</v>
      </c>
      <c r="N87" s="14">
        <f>J87/M87-1</f>
        <v/>
      </c>
      <c r="O87" s="14">
        <f>J87/K87-1</f>
        <v/>
      </c>
      <c r="P87" s="7" t="inlineStr">
        <is>
          <t>ACIMA +0.0%</t>
        </is>
      </c>
      <c r="Q87" s="7" t="inlineStr"/>
    </row>
    <row r="88">
      <c r="A88" s="7" t="n">
        <v>566961</v>
      </c>
      <c r="B88" s="7" t="inlineStr">
        <is>
          <t>715740</t>
        </is>
      </c>
      <c r="C88" s="12" t="inlineStr">
        <is>
          <t>4005808555345</t>
        </is>
      </c>
      <c r="D88" s="7" t="inlineStr">
        <is>
          <t>PROT NIVEA SOLAR SUN PROT  HIDRAT FPS50 200ML</t>
        </is>
      </c>
      <c r="E88" s="13" t="n">
        <v>1</v>
      </c>
      <c r="F88" s="13" t="n">
        <v>3</v>
      </c>
      <c r="G88" s="13" t="n">
        <v>3</v>
      </c>
      <c r="H88" s="8" t="n">
        <v>50.34</v>
      </c>
      <c r="I88" s="8">
        <f>G88*H88</f>
        <v/>
      </c>
      <c r="J88" s="8">
        <f>H88/E88</f>
        <v/>
      </c>
      <c r="K88" s="8" t="n">
        <v>50.005</v>
      </c>
      <c r="L88" s="8" t="n">
        <v>50.005</v>
      </c>
      <c r="M88" s="8" t="n">
        <v>50.005</v>
      </c>
      <c r="N88" s="14">
        <f>J88/M88-1</f>
        <v/>
      </c>
      <c r="O88" s="14">
        <f>J88/K88-1</f>
        <v/>
      </c>
      <c r="P88" s="7" t="inlineStr">
        <is>
          <t>ACIMA +0.7%</t>
        </is>
      </c>
      <c r="Q88" s="7" t="inlineStr"/>
    </row>
    <row r="89">
      <c r="A89" s="7" t="n">
        <v>615391</v>
      </c>
      <c r="B89" s="7" t="inlineStr">
        <is>
          <t>720013</t>
        </is>
      </c>
      <c r="C89" s="12" t="inlineStr">
        <is>
          <t>4005900980397</t>
        </is>
      </c>
      <c r="D89" s="7" t="inlineStr">
        <is>
          <t>PROT NIVEA SUN FACIAL TOQUE SECO FPS70 40ML</t>
        </is>
      </c>
      <c r="E89" s="13" t="n">
        <v>1</v>
      </c>
      <c r="F89" s="13" t="n">
        <v>1</v>
      </c>
      <c r="G89" s="13" t="n">
        <v>1</v>
      </c>
      <c r="H89" s="8" t="n">
        <v>29.1</v>
      </c>
      <c r="I89" s="8">
        <f>G89*H89</f>
        <v/>
      </c>
      <c r="J89" s="8">
        <f>H89/E89</f>
        <v/>
      </c>
      <c r="K89" s="8" t="n">
        <v>35.045</v>
      </c>
      <c r="L89" s="8" t="n">
        <v>29.3933</v>
      </c>
      <c r="M89" s="8" t="n">
        <v>30.43553333333334</v>
      </c>
      <c r="N89" s="14">
        <f>J89/M89-1</f>
        <v/>
      </c>
      <c r="O89" s="14">
        <f>J89/K89-1</f>
        <v/>
      </c>
      <c r="P89" s="7" t="inlineStr">
        <is>
          <t>OK (≤ menor hist.)</t>
        </is>
      </c>
      <c r="Q89" s="7" t="inlineStr"/>
    </row>
    <row r="90">
      <c r="A90" s="7" t="n">
        <v>69321</v>
      </c>
      <c r="B90" s="7" t="inlineStr">
        <is>
          <t>102953</t>
        </is>
      </c>
      <c r="C90" s="12" t="inlineStr">
        <is>
          <t>7896206402013</t>
        </is>
      </c>
      <c r="D90" s="7" t="inlineStr">
        <is>
          <t>PULMICORT 0,25MG SUS NEB CX 5 FR X 2ML</t>
        </is>
      </c>
      <c r="E90" s="13" t="n">
        <v>1</v>
      </c>
      <c r="F90" s="13" t="n">
        <v>8</v>
      </c>
      <c r="G90" s="13" t="n">
        <v>8</v>
      </c>
      <c r="H90" s="8" t="n">
        <v>41.06</v>
      </c>
      <c r="I90" s="8">
        <f>G90*H90</f>
        <v/>
      </c>
      <c r="J90" s="8">
        <f>H90/E90</f>
        <v/>
      </c>
      <c r="K90" s="8" t="n">
        <v>41.0625</v>
      </c>
      <c r="L90" s="8" t="n">
        <v>39.12</v>
      </c>
      <c r="M90" s="8" t="n">
        <v>40.415</v>
      </c>
      <c r="N90" s="14">
        <f>J90/M90-1</f>
        <v/>
      </c>
      <c r="O90" s="14">
        <f>J90/K90-1</f>
        <v/>
      </c>
      <c r="P90" s="7" t="inlineStr">
        <is>
          <t>OK (≤ últ. compra)</t>
        </is>
      </c>
      <c r="Q90" s="7" t="inlineStr"/>
    </row>
    <row r="91">
      <c r="A91" s="7" t="n">
        <v>319641</v>
      </c>
      <c r="B91" s="7" t="inlineStr">
        <is>
          <t>106525</t>
        </is>
      </c>
      <c r="C91" s="12" t="inlineStr">
        <is>
          <t>7891058003562</t>
        </is>
      </c>
      <c r="D91" s="7" t="inlineStr">
        <is>
          <t>PURAN T4 37,5MCG CX 30 COMP</t>
        </is>
      </c>
      <c r="E91" s="13" t="n">
        <v>1</v>
      </c>
      <c r="F91" s="13" t="n">
        <v>9</v>
      </c>
      <c r="G91" s="13" t="n">
        <v>9</v>
      </c>
      <c r="H91" s="8" t="n">
        <v>8.26</v>
      </c>
      <c r="I91" s="8">
        <f>G91*H91</f>
        <v/>
      </c>
      <c r="J91" s="8">
        <f>H91/E91</f>
        <v/>
      </c>
      <c r="K91" s="8" t="n">
        <v>8.255000000000001</v>
      </c>
      <c r="L91" s="8" t="n">
        <v>7.6</v>
      </c>
      <c r="M91" s="8" t="n">
        <v>7.988333333333334</v>
      </c>
      <c r="N91" s="14">
        <f>J91/M91-1</f>
        <v/>
      </c>
      <c r="O91" s="14">
        <f>J91/K91-1</f>
        <v/>
      </c>
      <c r="P91" s="7" t="inlineStr">
        <is>
          <t>ACIMA +0.1%</t>
        </is>
      </c>
      <c r="Q91" s="7" t="inlineStr"/>
    </row>
    <row r="92">
      <c r="A92" s="7" t="n">
        <v>320861</v>
      </c>
      <c r="B92" s="7" t="inlineStr">
        <is>
          <t>102972</t>
        </is>
      </c>
      <c r="C92" s="12" t="inlineStr">
        <is>
          <t>7897595901316</t>
        </is>
      </c>
      <c r="D92" s="7" t="inlineStr">
        <is>
          <t>PURAN T4 50MCG CX 30 COMP</t>
        </is>
      </c>
      <c r="E92" s="13" t="n">
        <v>1</v>
      </c>
      <c r="F92" s="13" t="n">
        <v>6</v>
      </c>
      <c r="G92" s="13" t="n">
        <v>6</v>
      </c>
      <c r="H92" s="8" t="n">
        <v>14.43</v>
      </c>
      <c r="I92" s="8">
        <f>G92*H92</f>
        <v/>
      </c>
      <c r="J92" s="8">
        <f>H92/E92</f>
        <v/>
      </c>
      <c r="K92" s="8" t="n">
        <v>14.437</v>
      </c>
      <c r="L92" s="8" t="n">
        <v>12.2508</v>
      </c>
      <c r="M92" s="8" t="n">
        <v>13.62703333333333</v>
      </c>
      <c r="N92" s="14">
        <f>J92/M92-1</f>
        <v/>
      </c>
      <c r="O92" s="14">
        <f>J92/K92-1</f>
        <v/>
      </c>
      <c r="P92" s="7" t="inlineStr">
        <is>
          <t>OK (≤ últ. compra)</t>
        </is>
      </c>
      <c r="Q92" s="7" t="inlineStr"/>
    </row>
    <row r="93">
      <c r="A93" s="7" t="n">
        <v>500621</v>
      </c>
      <c r="B93" s="7" t="inlineStr">
        <is>
          <t>106526</t>
        </is>
      </c>
      <c r="C93" s="12" t="inlineStr">
        <is>
          <t>7891058003579</t>
        </is>
      </c>
      <c r="D93" s="7" t="inlineStr">
        <is>
          <t>PURAN T4 62,5MCG CX 30 COMP</t>
        </is>
      </c>
      <c r="E93" s="13" t="n">
        <v>1</v>
      </c>
      <c r="F93" s="13" t="n">
        <v>2</v>
      </c>
      <c r="G93" s="13" t="n">
        <v>2</v>
      </c>
      <c r="H93" s="8" t="n">
        <v>13.74</v>
      </c>
      <c r="I93" s="8">
        <f>G93*H93</f>
        <v/>
      </c>
      <c r="J93" s="8">
        <f>H93/E93</f>
        <v/>
      </c>
      <c r="K93" s="8" t="n">
        <v>13.74</v>
      </c>
      <c r="L93" s="8" t="n">
        <v>12.655</v>
      </c>
      <c r="M93" s="8" t="n">
        <v>13.301</v>
      </c>
      <c r="N93" s="14">
        <f>J93/M93-1</f>
        <v/>
      </c>
      <c r="O93" s="14">
        <f>J93/K93-1</f>
        <v/>
      </c>
      <c r="P93" s="7" t="inlineStr">
        <is>
          <t>OK (≤ últ. compra)</t>
        </is>
      </c>
      <c r="Q93" s="7" t="inlineStr"/>
    </row>
    <row r="94">
      <c r="A94" s="7" t="n">
        <v>649771</v>
      </c>
      <c r="B94" s="7" t="inlineStr">
        <is>
          <t>721848</t>
        </is>
      </c>
      <c r="C94" s="12" t="inlineStr">
        <is>
          <t>7896676440492</t>
        </is>
      </c>
      <c r="D94" s="7" t="inlineStr">
        <is>
          <t>PVV - CUTISANOL BABY CREME 120G-DEMAIS PROD</t>
        </is>
      </c>
      <c r="E94" s="13" t="n">
        <v>1</v>
      </c>
      <c r="F94" s="13" t="n">
        <v>1</v>
      </c>
      <c r="G94" s="13" t="n">
        <v>1</v>
      </c>
      <c r="H94" s="8" t="n">
        <v>41.78</v>
      </c>
      <c r="I94" s="8">
        <f>G94*H94</f>
        <v/>
      </c>
      <c r="J94" s="8">
        <f>H94/E94</f>
        <v/>
      </c>
      <c r="K94" s="8" t="n">
        <v>33.0067</v>
      </c>
      <c r="L94" s="8" t="n">
        <v>33.0067</v>
      </c>
      <c r="M94" s="8" t="n">
        <v>33.0067</v>
      </c>
      <c r="N94" s="14">
        <f>J94/M94-1</f>
        <v/>
      </c>
      <c r="O94" s="14">
        <f>J94/K94-1</f>
        <v/>
      </c>
      <c r="P94" s="7" t="inlineStr">
        <is>
          <t>ACIMA +26.6%</t>
        </is>
      </c>
      <c r="Q94" s="7" t="inlineStr"/>
    </row>
    <row r="95">
      <c r="A95" s="7" t="n">
        <v>654181</v>
      </c>
      <c r="B95" s="7" t="inlineStr">
        <is>
          <t>405686</t>
        </is>
      </c>
      <c r="C95" s="12" t="inlineStr">
        <is>
          <t>7896112409625</t>
        </is>
      </c>
      <c r="D95" s="7" t="inlineStr">
        <is>
          <t>PVV - FLY GOTAS 150MG LAR 15ML</t>
        </is>
      </c>
      <c r="E95" s="13" t="n">
        <v>1</v>
      </c>
      <c r="F95" s="13" t="n">
        <v>1</v>
      </c>
      <c r="G95" s="13" t="n">
        <v>1</v>
      </c>
      <c r="H95" s="8" t="n">
        <v>18.32</v>
      </c>
      <c r="I95" s="8">
        <f>G95*H95</f>
        <v/>
      </c>
      <c r="J95" s="8">
        <f>H95/E95</f>
        <v/>
      </c>
      <c r="K95" s="8" t="n">
        <v>28.935</v>
      </c>
      <c r="L95" s="8" t="n">
        <v>28.935</v>
      </c>
      <c r="M95" s="8" t="n">
        <v>28.935</v>
      </c>
      <c r="N95" s="14">
        <f>J95/M95-1</f>
        <v/>
      </c>
      <c r="O95" s="14">
        <f>J95/K95-1</f>
        <v/>
      </c>
      <c r="P95" s="7" t="inlineStr">
        <is>
          <t>OK (≤ menor hist.)</t>
        </is>
      </c>
      <c r="Q95" s="7" t="inlineStr"/>
    </row>
    <row r="96">
      <c r="A96" s="7" t="n">
        <v>565941</v>
      </c>
      <c r="B96" s="7" t="inlineStr">
        <is>
          <t>715228</t>
        </is>
      </c>
      <c r="C96" s="12" t="inlineStr">
        <is>
          <t>7891106912655</t>
        </is>
      </c>
      <c r="D96" s="7" t="inlineStr">
        <is>
          <t>REDOXON TRIPLA ACAO 10CP EFERV</t>
        </is>
      </c>
      <c r="E96" s="13" t="n">
        <v>1</v>
      </c>
      <c r="F96" s="13" t="n">
        <v>10</v>
      </c>
      <c r="G96" s="13" t="n">
        <v>10</v>
      </c>
      <c r="H96" s="8" t="n">
        <v>13.55</v>
      </c>
      <c r="I96" s="8">
        <f>G96*H96</f>
        <v/>
      </c>
      <c r="J96" s="8">
        <f>H96/E96</f>
        <v/>
      </c>
      <c r="K96" s="8" t="n">
        <v>14.155</v>
      </c>
      <c r="L96" s="8" t="n">
        <v>11.2925</v>
      </c>
      <c r="M96" s="8" t="n">
        <v>13.1425</v>
      </c>
      <c r="N96" s="14">
        <f>J96/M96-1</f>
        <v/>
      </c>
      <c r="O96" s="14">
        <f>J96/K96-1</f>
        <v/>
      </c>
      <c r="P96" s="7" t="inlineStr">
        <is>
          <t>OK (≤ últ. compra)</t>
        </is>
      </c>
      <c r="Q96" s="7" t="inlineStr"/>
    </row>
    <row r="97">
      <c r="A97" s="7" t="n">
        <v>553</v>
      </c>
      <c r="B97" s="7" t="inlineStr">
        <is>
          <t>703976</t>
        </is>
      </c>
      <c r="C97" s="12" t="inlineStr">
        <is>
          <t>310119033227</t>
        </is>
      </c>
      <c r="D97" s="7" t="inlineStr">
        <is>
          <t>RENU PLUS SOL MULTI-USO S/ FRICCAO FR 120ML (+12% IPI)</t>
        </is>
      </c>
      <c r="E97" s="13" t="n">
        <v>1</v>
      </c>
      <c r="F97" s="13" t="n">
        <v>1</v>
      </c>
      <c r="G97" s="13" t="n">
        <v>1</v>
      </c>
      <c r="H97" s="8" t="n">
        <v>34.72</v>
      </c>
      <c r="I97" s="8">
        <f>G97*H97</f>
        <v/>
      </c>
      <c r="J97" s="8">
        <f>H97/E97</f>
        <v/>
      </c>
      <c r="K97" s="8" t="n">
        <v>37.74</v>
      </c>
      <c r="L97" s="8" t="n">
        <v>31.97</v>
      </c>
      <c r="M97" s="8" t="n">
        <v>35.81666666666667</v>
      </c>
      <c r="N97" s="14">
        <f>J97/M97-1</f>
        <v/>
      </c>
      <c r="O97" s="14">
        <f>J97/K97-1</f>
        <v/>
      </c>
      <c r="P97" s="7" t="inlineStr">
        <is>
          <t>OK (≤ últ. compra)</t>
        </is>
      </c>
      <c r="Q97" s="7" t="inlineStr"/>
    </row>
    <row r="98">
      <c r="A98" s="7" t="n">
        <v>617521</v>
      </c>
      <c r="B98" s="7" t="inlineStr">
        <is>
          <t>721167</t>
        </is>
      </c>
      <c r="C98" s="12" t="inlineStr">
        <is>
          <t>7896512959843</t>
        </is>
      </c>
      <c r="D98" s="7" t="inlineStr">
        <is>
          <t>SAB LIQ GRANADO 250ML REF CALENDULA</t>
        </is>
      </c>
      <c r="E98" s="13" t="n">
        <v>1</v>
      </c>
      <c r="F98" s="13" t="n">
        <v>3</v>
      </c>
      <c r="G98" s="13" t="n">
        <v>3</v>
      </c>
      <c r="H98" s="8" t="n">
        <v>11.64</v>
      </c>
      <c r="I98" s="8">
        <f>G98*H98</f>
        <v/>
      </c>
      <c r="J98" s="8">
        <f>H98/E98</f>
        <v/>
      </c>
      <c r="K98" s="8" t="n">
        <v>12.5767</v>
      </c>
      <c r="L98" s="8" t="n">
        <v>12.5767</v>
      </c>
      <c r="M98" s="8" t="n">
        <v>12.5767</v>
      </c>
      <c r="N98" s="14">
        <f>J98/M98-1</f>
        <v/>
      </c>
      <c r="O98" s="14">
        <f>J98/K98-1</f>
        <v/>
      </c>
      <c r="P98" s="7" t="inlineStr">
        <is>
          <t>OK (≤ menor hist.)</t>
        </is>
      </c>
      <c r="Q98" s="7" t="inlineStr"/>
    </row>
    <row r="99">
      <c r="A99" s="7" t="n">
        <v>611001</v>
      </c>
      <c r="B99" s="7" t="inlineStr">
        <is>
          <t>720210</t>
        </is>
      </c>
      <c r="C99" s="12" t="inlineStr">
        <is>
          <t>4005900945709</t>
        </is>
      </c>
      <c r="D99" s="7" t="inlineStr">
        <is>
          <t>SAB NIVEA GEL ACNE CONTROL 150G</t>
        </is>
      </c>
      <c r="E99" s="13" t="n">
        <v>1</v>
      </c>
      <c r="F99" s="13" t="n">
        <v>1</v>
      </c>
      <c r="G99" s="13" t="n">
        <v>1</v>
      </c>
      <c r="H99" s="8" t="n">
        <v>27.4</v>
      </c>
      <c r="I99" s="8">
        <f>G99*H99</f>
        <v/>
      </c>
      <c r="J99" s="8">
        <f>H99/E99</f>
        <v/>
      </c>
      <c r="K99" s="8" t="n">
        <v>23.5633</v>
      </c>
      <c r="L99" s="8" t="n">
        <v>23.5633</v>
      </c>
      <c r="M99" s="8" t="n">
        <v>23.5633</v>
      </c>
      <c r="N99" s="14">
        <f>J99/M99-1</f>
        <v/>
      </c>
      <c r="O99" s="14">
        <f>J99/K99-1</f>
        <v/>
      </c>
      <c r="P99" s="7" t="inlineStr">
        <is>
          <t>ACIMA +16.3%</t>
        </is>
      </c>
      <c r="Q99" s="7" t="inlineStr"/>
    </row>
    <row r="100">
      <c r="A100" s="7" t="n">
        <v>577181</v>
      </c>
      <c r="B100" s="7" t="inlineStr">
        <is>
          <t>715569</t>
        </is>
      </c>
      <c r="C100" s="12" t="inlineStr">
        <is>
          <t>7891150065338</t>
        </is>
      </c>
      <c r="D100" s="7" t="inlineStr">
        <is>
          <t>SAB. LIQ. DOVE BAB.180ML REF.</t>
        </is>
      </c>
      <c r="E100" s="13" t="n">
        <v>1</v>
      </c>
      <c r="F100" s="13" t="n">
        <v>3</v>
      </c>
      <c r="G100" s="13" t="n">
        <v>3</v>
      </c>
      <c r="H100" s="8" t="n">
        <v>7</v>
      </c>
      <c r="I100" s="8">
        <f>G100*H100</f>
        <v/>
      </c>
      <c r="J100" s="8">
        <f>H100/E100</f>
        <v/>
      </c>
      <c r="K100" s="8" t="n">
        <v>9.27</v>
      </c>
      <c r="L100" s="8" t="n">
        <v>9.27</v>
      </c>
      <c r="M100" s="8" t="n">
        <v>9.27</v>
      </c>
      <c r="N100" s="14">
        <f>J100/M100-1</f>
        <v/>
      </c>
      <c r="O100" s="14">
        <f>J100/K100-1</f>
        <v/>
      </c>
      <c r="P100" s="7" t="inlineStr">
        <is>
          <t>OK (≤ menor hist.)</t>
        </is>
      </c>
      <c r="Q100" s="7" t="inlineStr"/>
    </row>
    <row r="101">
      <c r="A101" s="7" t="n">
        <v>577161</v>
      </c>
      <c r="B101" s="7" t="inlineStr">
        <is>
          <t>715567</t>
        </is>
      </c>
      <c r="C101" s="12" t="inlineStr">
        <is>
          <t>7891150065291</t>
        </is>
      </c>
      <c r="D101" s="7" t="inlineStr">
        <is>
          <t>SAB. LIQ. DOVE BABY 200ML HID.</t>
        </is>
      </c>
      <c r="E101" s="13" t="n">
        <v>1</v>
      </c>
      <c r="F101" s="13" t="n">
        <v>8</v>
      </c>
      <c r="G101" s="13" t="n">
        <v>8</v>
      </c>
      <c r="H101" s="8" t="n">
        <v>9.77</v>
      </c>
      <c r="I101" s="8">
        <f>G101*H101</f>
        <v/>
      </c>
      <c r="J101" s="8">
        <f>H101/E101</f>
        <v/>
      </c>
      <c r="K101" s="8" t="n">
        <v>12.4633</v>
      </c>
      <c r="L101" s="8" t="n">
        <v>12.4633</v>
      </c>
      <c r="M101" s="8" t="n">
        <v>12.4633</v>
      </c>
      <c r="N101" s="14">
        <f>J101/M101-1</f>
        <v/>
      </c>
      <c r="O101" s="14">
        <f>J101/K101-1</f>
        <v/>
      </c>
      <c r="P101" s="7" t="inlineStr">
        <is>
          <t>OK (≤ menor hist.)</t>
        </is>
      </c>
      <c r="Q101" s="7" t="inlineStr"/>
    </row>
    <row r="102">
      <c r="A102" s="7" t="n">
        <v>104</v>
      </c>
      <c r="B102" s="7" t="inlineStr">
        <is>
          <t>703913</t>
        </is>
      </c>
      <c r="C102" s="12" t="inlineStr">
        <is>
          <t>4005808189342</t>
        </is>
      </c>
      <c r="D102" s="7" t="inlineStr">
        <is>
          <t>SABONETE FACIAL GEL NIVEA EQUI NUT 150G</t>
        </is>
      </c>
      <c r="E102" s="13" t="n">
        <v>1</v>
      </c>
      <c r="F102" s="13" t="n">
        <v>1</v>
      </c>
      <c r="G102" s="13" t="n">
        <v>1</v>
      </c>
      <c r="H102" s="8" t="n">
        <v>22.03</v>
      </c>
      <c r="I102" s="8">
        <f>G102*H102</f>
        <v/>
      </c>
      <c r="J102" s="8">
        <f>H102/E102</f>
        <v/>
      </c>
      <c r="K102" s="8" t="n">
        <v>26.19</v>
      </c>
      <c r="L102" s="8" t="n">
        <v>21.2</v>
      </c>
      <c r="M102" s="8" t="n">
        <v>24.34</v>
      </c>
      <c r="N102" s="14">
        <f>J102/M102-1</f>
        <v/>
      </c>
      <c r="O102" s="14">
        <f>J102/K102-1</f>
        <v/>
      </c>
      <c r="P102" s="7" t="inlineStr">
        <is>
          <t>OK (≤ últ. compra)</t>
        </is>
      </c>
      <c r="Q102" s="7" t="inlineStr"/>
    </row>
    <row r="103">
      <c r="A103" s="7" t="n">
        <v>660401</v>
      </c>
      <c r="B103" s="7" t="inlineStr">
        <is>
          <t>103151</t>
        </is>
      </c>
      <c r="C103" s="12" t="inlineStr">
        <is>
          <t>7897337716703</t>
        </is>
      </c>
      <c r="D103" s="7" t="inlineStr">
        <is>
          <t>SANDRENA 0,1 PCC GEL CT 28 SACH X 0,5 G</t>
        </is>
      </c>
      <c r="E103" s="13" t="n">
        <v>1</v>
      </c>
      <c r="F103" s="13" t="n">
        <v>1</v>
      </c>
      <c r="G103" s="13" t="n">
        <v>1</v>
      </c>
      <c r="H103" s="8" t="n">
        <v>31.3</v>
      </c>
      <c r="I103" s="8">
        <f>G103*H103</f>
        <v/>
      </c>
      <c r="J103" s="8">
        <f>H103/E103</f>
        <v/>
      </c>
      <c r="K103" s="8" t="n">
        <v>31.3</v>
      </c>
      <c r="L103" s="8" t="n">
        <v>29.42</v>
      </c>
      <c r="M103" s="8" t="n">
        <v>30.67113333333333</v>
      </c>
      <c r="N103" s="14">
        <f>J103/M103-1</f>
        <v/>
      </c>
      <c r="O103" s="14">
        <f>J103/K103-1</f>
        <v/>
      </c>
      <c r="P103" s="7" t="inlineStr">
        <is>
          <t>OK (≤ últ. compra)</t>
        </is>
      </c>
      <c r="Q103" s="7" t="inlineStr"/>
    </row>
    <row r="104">
      <c r="A104" s="7" t="n">
        <v>628971</v>
      </c>
      <c r="B104" s="7" t="inlineStr">
        <is>
          <t>714781</t>
        </is>
      </c>
      <c r="C104" s="12" t="inlineStr">
        <is>
          <t>7891150053229</t>
        </is>
      </c>
      <c r="D104" s="7" t="inlineStr">
        <is>
          <t>SB LIQ DOVE 200ML RF NUTRICAO PROFU M3</t>
        </is>
      </c>
      <c r="E104" s="13" t="n">
        <v>1</v>
      </c>
      <c r="F104" s="13" t="n">
        <v>8</v>
      </c>
      <c r="G104" s="13" t="n">
        <v>8</v>
      </c>
      <c r="H104" s="8" t="n">
        <v>5.92</v>
      </c>
      <c r="I104" s="8">
        <f>G104*H104</f>
        <v/>
      </c>
      <c r="J104" s="8">
        <f>H104/E104</f>
        <v/>
      </c>
      <c r="K104" s="8" t="n">
        <v>7.88</v>
      </c>
      <c r="L104" s="8" t="n">
        <v>7.53</v>
      </c>
      <c r="M104" s="8" t="n">
        <v>7.763333333333333</v>
      </c>
      <c r="N104" s="14">
        <f>J104/M104-1</f>
        <v/>
      </c>
      <c r="O104" s="14">
        <f>J104/K104-1</f>
        <v/>
      </c>
      <c r="P104" s="7" t="inlineStr">
        <is>
          <t>OK (≤ menor hist.)</t>
        </is>
      </c>
      <c r="Q104" s="7" t="inlineStr"/>
    </row>
    <row r="105">
      <c r="A105" s="7" t="n">
        <v>648651</v>
      </c>
      <c r="B105" s="7" t="inlineStr">
        <is>
          <t>722167</t>
        </is>
      </c>
      <c r="C105" s="12" t="inlineStr">
        <is>
          <t>7891150095670</t>
        </is>
      </c>
      <c r="D105" s="7" t="inlineStr">
        <is>
          <t>SDS LIQ DOVE 200ML RF PELE SENSIVEL M3</t>
        </is>
      </c>
      <c r="E105" s="13" t="n">
        <v>1</v>
      </c>
      <c r="F105" s="13" t="n">
        <v>6</v>
      </c>
      <c r="G105" s="13" t="n">
        <v>6</v>
      </c>
      <c r="H105" s="8" t="n">
        <v>5.92</v>
      </c>
      <c r="I105" s="8">
        <f>G105*H105</f>
        <v/>
      </c>
      <c r="J105" s="8">
        <f>H105/E105</f>
        <v/>
      </c>
      <c r="K105" s="8" t="n">
        <v>7.88</v>
      </c>
      <c r="L105" s="8" t="n">
        <v>7.5292</v>
      </c>
      <c r="M105" s="8" t="n">
        <v>7.763066666666667</v>
      </c>
      <c r="N105" s="14">
        <f>J105/M105-1</f>
        <v/>
      </c>
      <c r="O105" s="14">
        <f>J105/K105-1</f>
        <v/>
      </c>
      <c r="P105" s="7" t="inlineStr">
        <is>
          <t>OK (≤ menor hist.)</t>
        </is>
      </c>
      <c r="Q105" s="7" t="inlineStr"/>
    </row>
    <row r="106">
      <c r="A106" s="7" t="n">
        <v>648361</v>
      </c>
      <c r="B106" s="7" t="inlineStr">
        <is>
          <t>721053</t>
        </is>
      </c>
      <c r="C106" s="12" t="inlineStr">
        <is>
          <t>7891150091788</t>
        </is>
      </c>
      <c r="D106" s="7" t="inlineStr">
        <is>
          <t>SEDA CCP 1KG BOOM DEFINICAO SUPER HID M3</t>
        </is>
      </c>
      <c r="E106" s="13" t="n">
        <v>1</v>
      </c>
      <c r="F106" s="13" t="n">
        <v>1</v>
      </c>
      <c r="G106" s="13" t="n">
        <v>1</v>
      </c>
      <c r="H106" s="8" t="n">
        <v>14.15</v>
      </c>
      <c r="I106" s="8">
        <f>G106*H106</f>
        <v/>
      </c>
      <c r="J106" s="8">
        <f>H106/E106</f>
        <v/>
      </c>
      <c r="K106" s="8" t="n">
        <v>20.61</v>
      </c>
      <c r="L106" s="8" t="n">
        <v>17.3012</v>
      </c>
      <c r="M106" s="8" t="n">
        <v>19.50706666666667</v>
      </c>
      <c r="N106" s="14">
        <f>J106/M106-1</f>
        <v/>
      </c>
      <c r="O106" s="14">
        <f>J106/K106-1</f>
        <v/>
      </c>
      <c r="P106" s="7" t="inlineStr">
        <is>
          <t>OK (≤ menor hist.)</t>
        </is>
      </c>
      <c r="Q106" s="7" t="inlineStr"/>
    </row>
    <row r="107">
      <c r="A107" s="7" t="n">
        <v>662751</v>
      </c>
      <c r="B107" s="7" t="inlineStr">
        <is>
          <t>722191</t>
        </is>
      </c>
      <c r="C107" s="12" t="inlineStr">
        <is>
          <t>7891150095823</t>
        </is>
      </c>
      <c r="D107" s="7" t="inlineStr">
        <is>
          <t>SERUM DOVE CORP PRO RETIN 380ML-DEMAIS PROD</t>
        </is>
      </c>
      <c r="E107" s="13" t="n">
        <v>1</v>
      </c>
      <c r="F107" s="13" t="n">
        <v>2</v>
      </c>
      <c r="G107" s="13" t="n">
        <v>2</v>
      </c>
      <c r="H107" s="8" t="n">
        <v>32.08</v>
      </c>
      <c r="I107" s="8">
        <f>G107*H107</f>
        <v/>
      </c>
      <c r="J107" s="8">
        <f>H107/E107</f>
        <v/>
      </c>
      <c r="K107" s="8" t="n">
        <v>34.89</v>
      </c>
      <c r="L107" s="8" t="n">
        <v>34.3683</v>
      </c>
      <c r="M107" s="8" t="n">
        <v>34.7161</v>
      </c>
      <c r="N107" s="14">
        <f>J107/M107-1</f>
        <v/>
      </c>
      <c r="O107" s="14">
        <f>J107/K107-1</f>
        <v/>
      </c>
      <c r="P107" s="7" t="inlineStr">
        <is>
          <t>OK (≤ menor hist.)</t>
        </is>
      </c>
      <c r="Q107" s="7" t="inlineStr"/>
    </row>
    <row r="108">
      <c r="A108" s="7" t="n">
        <v>623061</v>
      </c>
      <c r="B108" s="7" t="inlineStr">
        <is>
          <t>720414</t>
        </is>
      </c>
      <c r="C108" s="12" t="inlineStr">
        <is>
          <t>7899706244107</t>
        </is>
      </c>
      <c r="D108" s="7" t="inlineStr">
        <is>
          <t>SH ELSEVE 400ML PURE HIALURONICO</t>
        </is>
      </c>
      <c r="E108" s="13" t="n">
        <v>1</v>
      </c>
      <c r="F108" s="13" t="n">
        <v>4</v>
      </c>
      <c r="G108" s="13" t="n">
        <v>4</v>
      </c>
      <c r="H108" s="8" t="n">
        <v>21.03</v>
      </c>
      <c r="I108" s="8">
        <f>G108*H108</f>
        <v/>
      </c>
      <c r="J108" s="8">
        <f>H108/E108</f>
        <v/>
      </c>
      <c r="K108" s="8" t="n">
        <v>25.82</v>
      </c>
      <c r="L108" s="8" t="n">
        <v>25.82</v>
      </c>
      <c r="M108" s="8" t="n">
        <v>25.82</v>
      </c>
      <c r="N108" s="14">
        <f>J108/M108-1</f>
        <v/>
      </c>
      <c r="O108" s="14">
        <f>J108/K108-1</f>
        <v/>
      </c>
      <c r="P108" s="7" t="inlineStr">
        <is>
          <t>OK (≤ menor hist.)</t>
        </is>
      </c>
      <c r="Q108" s="7" t="inlineStr"/>
    </row>
    <row r="109">
      <c r="A109" s="7" t="n">
        <v>844</v>
      </c>
      <c r="B109" s="7" t="inlineStr">
        <is>
          <t>710113</t>
        </is>
      </c>
      <c r="C109" s="12" t="inlineStr">
        <is>
          <t>7898949409922</t>
        </is>
      </c>
      <c r="D109" s="7" t="inlineStr">
        <is>
          <t>SHP TIO NACHO ENGROSSADOR 415ML</t>
        </is>
      </c>
      <c r="E109" s="13" t="n">
        <v>1</v>
      </c>
      <c r="F109" s="13" t="n">
        <v>1</v>
      </c>
      <c r="G109" s="13" t="n">
        <v>1</v>
      </c>
      <c r="H109" s="8" t="n">
        <v>25.73</v>
      </c>
      <c r="I109" s="8">
        <f>G109*H109</f>
        <v/>
      </c>
      <c r="J109" s="8">
        <f>H109/E109</f>
        <v/>
      </c>
      <c r="K109" s="8" t="n">
        <v>29.05</v>
      </c>
      <c r="L109" s="8" t="n">
        <v>21.23</v>
      </c>
      <c r="M109" s="8" t="n">
        <v>26.44333333333333</v>
      </c>
      <c r="N109" s="14">
        <f>J109/M109-1</f>
        <v/>
      </c>
      <c r="O109" s="14">
        <f>J109/K109-1</f>
        <v/>
      </c>
      <c r="P109" s="7" t="inlineStr">
        <is>
          <t>OK (≤ últ. compra)</t>
        </is>
      </c>
      <c r="Q109" s="7" t="inlineStr"/>
    </row>
    <row r="110">
      <c r="A110" s="7" t="n">
        <v>109721</v>
      </c>
      <c r="B110" s="7" t="inlineStr">
        <is>
          <t>103232</t>
        </is>
      </c>
      <c r="C110" s="12" t="inlineStr">
        <is>
          <t>7894916501477</t>
        </is>
      </c>
      <c r="D110" s="7" t="inlineStr">
        <is>
          <t>SIGMA-CLAV BD 400+57MG/5ML SUS ORAL FR 70ML</t>
        </is>
      </c>
      <c r="E110" s="13" t="n">
        <v>1</v>
      </c>
      <c r="F110" s="13" t="n">
        <v>2</v>
      </c>
      <c r="G110" s="13" t="n">
        <v>2</v>
      </c>
      <c r="H110" s="8" t="n">
        <v>27.52</v>
      </c>
      <c r="I110" s="8">
        <f>G110*H110</f>
        <v/>
      </c>
      <c r="J110" s="8">
        <f>H110/E110</f>
        <v/>
      </c>
      <c r="K110" s="8" t="n">
        <v>27.52</v>
      </c>
      <c r="L110" s="8" t="n">
        <v>25.95</v>
      </c>
      <c r="M110" s="8" t="n">
        <v>26.47333333333333</v>
      </c>
      <c r="N110" s="14">
        <f>J110/M110-1</f>
        <v/>
      </c>
      <c r="O110" s="14">
        <f>J110/K110-1</f>
        <v/>
      </c>
      <c r="P110" s="7" t="inlineStr">
        <is>
          <t>OK (≤ últ. compra)</t>
        </is>
      </c>
      <c r="Q110" s="7" t="inlineStr"/>
    </row>
    <row r="111">
      <c r="A111" s="7" t="n">
        <v>605291</v>
      </c>
      <c r="B111" s="7" t="inlineStr">
        <is>
          <t>405203</t>
        </is>
      </c>
      <c r="C111" s="12" t="inlineStr">
        <is>
          <t>7897460401934</t>
        </is>
      </c>
      <c r="D111" s="7" t="inlineStr">
        <is>
          <t>SILIMALON 100+70MG CX 10 COMP REV</t>
        </is>
      </c>
      <c r="E111" s="13" t="n">
        <v>1</v>
      </c>
      <c r="F111" s="13" t="n">
        <v>5</v>
      </c>
      <c r="G111" s="13" t="n">
        <v>5</v>
      </c>
      <c r="H111" s="8" t="n">
        <v>18.34</v>
      </c>
      <c r="I111" s="8">
        <f>G111*H111</f>
        <v/>
      </c>
      <c r="J111" s="8">
        <f>H111/E111</f>
        <v/>
      </c>
      <c r="K111" s="8" t="n">
        <v>19.2467</v>
      </c>
      <c r="L111" s="8" t="n">
        <v>15.4333</v>
      </c>
      <c r="M111" s="8" t="n">
        <v>17.66546666666667</v>
      </c>
      <c r="N111" s="14">
        <f>J111/M111-1</f>
        <v/>
      </c>
      <c r="O111" s="14">
        <f>J111/K111-1</f>
        <v/>
      </c>
      <c r="P111" s="7" t="inlineStr">
        <is>
          <t>OK (≤ últ. compra)</t>
        </is>
      </c>
      <c r="Q111" s="7" t="inlineStr"/>
    </row>
    <row r="112">
      <c r="A112" s="7" t="n">
        <v>114821</v>
      </c>
      <c r="B112" s="7" t="inlineStr">
        <is>
          <t>401188</t>
        </is>
      </c>
      <c r="C112" s="12" t="inlineStr">
        <is>
          <t>7896082900337</t>
        </is>
      </c>
      <c r="D112" s="7" t="inlineStr">
        <is>
          <t>SINUSTRAT FR 10ML</t>
        </is>
      </c>
      <c r="E112" s="13" t="n">
        <v>1</v>
      </c>
      <c r="F112" s="13" t="n">
        <v>1</v>
      </c>
      <c r="G112" s="13" t="n">
        <v>1</v>
      </c>
      <c r="H112" s="8" t="n">
        <v>16.46</v>
      </c>
      <c r="I112" s="8">
        <f>G112*H112</f>
        <v/>
      </c>
      <c r="J112" s="8">
        <f>H112/E112</f>
        <v/>
      </c>
      <c r="K112" s="8" t="n">
        <v>13.3867</v>
      </c>
      <c r="L112" s="8" t="n">
        <v>13.3867</v>
      </c>
      <c r="M112" s="8" t="n">
        <v>13.3867</v>
      </c>
      <c r="N112" s="14">
        <f>J112/M112-1</f>
        <v/>
      </c>
      <c r="O112" s="14">
        <f>J112/K112-1</f>
        <v/>
      </c>
      <c r="P112" s="7" t="inlineStr">
        <is>
          <t>ACIMA +23.0%</t>
        </is>
      </c>
      <c r="Q112" s="7" t="inlineStr"/>
    </row>
    <row r="113">
      <c r="A113" s="7" t="n">
        <v>297921</v>
      </c>
      <c r="B113" s="7" t="inlineStr">
        <is>
          <t>103317</t>
        </is>
      </c>
      <c r="C113" s="12" t="inlineStr">
        <is>
          <t>7898074617803</t>
        </is>
      </c>
      <c r="D113" s="7" t="inlineStr">
        <is>
          <t>SPIDUFEN 1155MG GRAN SOL CX 10 ENV 3G SB DAMASCO</t>
        </is>
      </c>
      <c r="E113" s="13" t="n">
        <v>1</v>
      </c>
      <c r="F113" s="13" t="n">
        <v>1</v>
      </c>
      <c r="G113" s="13" t="n">
        <v>1</v>
      </c>
      <c r="H113" s="8" t="n">
        <v>42.05</v>
      </c>
      <c r="I113" s="8">
        <f>G113*H113</f>
        <v/>
      </c>
      <c r="J113" s="8">
        <f>H113/E113</f>
        <v/>
      </c>
      <c r="K113" s="8" t="n">
        <v>42.05</v>
      </c>
      <c r="L113" s="8" t="n">
        <v>36.49</v>
      </c>
      <c r="M113" s="8" t="n">
        <v>40.19666666666667</v>
      </c>
      <c r="N113" s="14">
        <f>J113/M113-1</f>
        <v/>
      </c>
      <c r="O113" s="14">
        <f>J113/K113-1</f>
        <v/>
      </c>
      <c r="P113" s="7" t="inlineStr">
        <is>
          <t>OK (≤ últ. compra)</t>
        </is>
      </c>
      <c r="Q113" s="7" t="inlineStr"/>
    </row>
    <row r="114">
      <c r="A114" s="7" t="n">
        <v>634101</v>
      </c>
      <c r="B114" s="7" t="inlineStr">
        <is>
          <t>721634</t>
        </is>
      </c>
      <c r="C114" s="12" t="inlineStr">
        <is>
          <t>7702031244653</t>
        </is>
      </c>
      <c r="D114" s="7" t="inlineStr">
        <is>
          <t>TALCO J J BABY HORA DO SONO 100G</t>
        </is>
      </c>
      <c r="E114" s="13" t="n">
        <v>1</v>
      </c>
      <c r="F114" s="13" t="n">
        <v>3</v>
      </c>
      <c r="G114" s="13" t="n">
        <v>3</v>
      </c>
      <c r="H114" s="8" t="n">
        <v>19.33</v>
      </c>
      <c r="I114" s="8">
        <f>G114*H114</f>
        <v/>
      </c>
      <c r="J114" s="8">
        <f>H114/E114</f>
        <v/>
      </c>
      <c r="K114" s="8" t="n">
        <v>22.87</v>
      </c>
      <c r="L114" s="8" t="n">
        <v>17.9567</v>
      </c>
      <c r="M114" s="8" t="n">
        <v>19.06113333333333</v>
      </c>
      <c r="N114" s="14">
        <f>J114/M114-1</f>
        <v/>
      </c>
      <c r="O114" s="14">
        <f>J114/K114-1</f>
        <v/>
      </c>
      <c r="P114" s="7" t="inlineStr">
        <is>
          <t>OK (≤ últ. compra)</t>
        </is>
      </c>
      <c r="Q114" s="7" t="inlineStr"/>
    </row>
    <row r="115">
      <c r="A115" s="7" t="n">
        <v>345721</v>
      </c>
      <c r="B115" s="7" t="inlineStr">
        <is>
          <t>103450</t>
        </is>
      </c>
      <c r="C115" s="12" t="inlineStr">
        <is>
          <t>7892953101865</t>
        </is>
      </c>
      <c r="D115" s="7" t="inlineStr">
        <is>
          <t>TECNOMET 2,5MG CX 20 COMP</t>
        </is>
      </c>
      <c r="E115" s="13" t="n">
        <v>1</v>
      </c>
      <c r="F115" s="13" t="n">
        <v>9</v>
      </c>
      <c r="G115" s="13" t="n">
        <v>9</v>
      </c>
      <c r="H115" s="8" t="n">
        <v>31.91</v>
      </c>
      <c r="I115" s="8">
        <f>G115*H115</f>
        <v/>
      </c>
      <c r="J115" s="8">
        <f>H115/E115</f>
        <v/>
      </c>
      <c r="K115" s="8" t="n">
        <v>31.91</v>
      </c>
      <c r="L115" s="8" t="n">
        <v>27.316</v>
      </c>
      <c r="M115" s="8" t="n">
        <v>29.852</v>
      </c>
      <c r="N115" s="14">
        <f>J115/M115-1</f>
        <v/>
      </c>
      <c r="O115" s="14">
        <f>J115/K115-1</f>
        <v/>
      </c>
      <c r="P115" s="7" t="inlineStr">
        <is>
          <t>OK (≤ últ. compra)</t>
        </is>
      </c>
      <c r="Q115" s="7" t="inlineStr"/>
    </row>
    <row r="116">
      <c r="A116" s="7" t="n">
        <v>180421</v>
      </c>
      <c r="B116" s="7" t="inlineStr">
        <is>
          <t>103478</t>
        </is>
      </c>
      <c r="C116" s="12" t="inlineStr">
        <is>
          <t>7899824400911</t>
        </is>
      </c>
      <c r="D116" s="7" t="inlineStr">
        <is>
          <t>TERICIN AT 25+12,5MG CREM VAG BG 45G+10APLIC</t>
        </is>
      </c>
      <c r="E116" s="13" t="n">
        <v>1</v>
      </c>
      <c r="F116" s="13" t="n">
        <v>1</v>
      </c>
      <c r="G116" s="13" t="n">
        <v>1</v>
      </c>
      <c r="H116" s="8" t="n">
        <v>60.41</v>
      </c>
      <c r="I116" s="8">
        <f>G116*H116</f>
        <v/>
      </c>
      <c r="J116" s="8">
        <f>H116/E116</f>
        <v/>
      </c>
      <c r="K116" s="8" t="n">
        <v>73.98999999999999</v>
      </c>
      <c r="L116" s="8" t="n">
        <v>54.77</v>
      </c>
      <c r="M116" s="8" t="n">
        <v>58.53</v>
      </c>
      <c r="N116" s="14">
        <f>J116/M116-1</f>
        <v/>
      </c>
      <c r="O116" s="14">
        <f>J116/K116-1</f>
        <v/>
      </c>
      <c r="P116" s="7" t="inlineStr">
        <is>
          <t>OK (≤ últ. compra)</t>
        </is>
      </c>
      <c r="Q116" s="7" t="inlineStr"/>
    </row>
    <row r="117">
      <c r="A117" s="7" t="n">
        <v>3153</v>
      </c>
      <c r="B117" s="7" t="inlineStr">
        <is>
          <t>713042</t>
        </is>
      </c>
      <c r="C117" s="12" t="inlineStr">
        <is>
          <t>7898301056757</t>
        </is>
      </c>
      <c r="D117" s="7" t="inlineStr">
        <is>
          <t>TIRA DE TESTE DE GLICOSE C/25 UND FREE 1</t>
        </is>
      </c>
      <c r="E117" s="13" t="n">
        <v>1</v>
      </c>
      <c r="F117" s="13" t="n">
        <v>5</v>
      </c>
      <c r="G117" s="13" t="n">
        <v>5</v>
      </c>
      <c r="H117" s="8" t="n">
        <v>39.88</v>
      </c>
      <c r="I117" s="8">
        <f>G117*H117</f>
        <v/>
      </c>
      <c r="J117" s="8">
        <f>H117/E117</f>
        <v/>
      </c>
      <c r="K117" s="8" t="n">
        <v>46.42</v>
      </c>
      <c r="L117" s="8" t="n">
        <v>43.95</v>
      </c>
      <c r="M117" s="8" t="n">
        <v>45.59333333333333</v>
      </c>
      <c r="N117" s="14">
        <f>J117/M117-1</f>
        <v/>
      </c>
      <c r="O117" s="14">
        <f>J117/K117-1</f>
        <v/>
      </c>
      <c r="P117" s="7" t="inlineStr">
        <is>
          <t>OK (≤ menor hist.)</t>
        </is>
      </c>
      <c r="Q117" s="7" t="inlineStr"/>
    </row>
    <row r="118">
      <c r="A118" s="7" t="n">
        <v>3163</v>
      </c>
      <c r="B118" s="7" t="inlineStr">
        <is>
          <t>713043</t>
        </is>
      </c>
      <c r="C118" s="12" t="inlineStr">
        <is>
          <t>7898301056740</t>
        </is>
      </c>
      <c r="D118" s="7" t="inlineStr">
        <is>
          <t>TIRA DE TESTE DE GLICOSE C/50 UND FREE 1</t>
        </is>
      </c>
      <c r="E118" s="13" t="n">
        <v>1</v>
      </c>
      <c r="F118" s="13" t="n">
        <v>23</v>
      </c>
      <c r="G118" s="13" t="n">
        <v>23</v>
      </c>
      <c r="H118" s="8" t="n">
        <v>52.34</v>
      </c>
      <c r="I118" s="8">
        <f>G118*H118</f>
        <v/>
      </c>
      <c r="J118" s="8">
        <f>H118/E118</f>
        <v/>
      </c>
      <c r="K118" s="8" t="n">
        <v>51.625</v>
      </c>
      <c r="L118" s="8" t="n">
        <v>48.88</v>
      </c>
      <c r="M118" s="8" t="n">
        <v>50.70886666666667</v>
      </c>
      <c r="N118" s="14">
        <f>J118/M118-1</f>
        <v/>
      </c>
      <c r="O118" s="14">
        <f>J118/K118-1</f>
        <v/>
      </c>
      <c r="P118" s="7" t="inlineStr">
        <is>
          <t>ACIMA +1.4%</t>
        </is>
      </c>
      <c r="Q118" s="7" t="inlineStr"/>
    </row>
    <row r="119">
      <c r="A119" s="7" t="n">
        <v>600561</v>
      </c>
      <c r="B119" s="7" t="inlineStr">
        <is>
          <t>715318</t>
        </is>
      </c>
      <c r="C119" s="12" t="inlineStr">
        <is>
          <t>7898653620033</t>
        </is>
      </c>
      <c r="D119" s="7" t="inlineStr">
        <is>
          <t>TIRAS ACCU-CHEK CAIXA C/ 3 CX C/ 50UN</t>
        </is>
      </c>
      <c r="E119" s="13" t="n">
        <v>1</v>
      </c>
      <c r="F119" s="13" t="n">
        <v>1</v>
      </c>
      <c r="G119" s="13" t="n">
        <v>1</v>
      </c>
      <c r="H119" s="8" t="n">
        <v>175.73</v>
      </c>
      <c r="I119" s="8">
        <f>G119*H119</f>
        <v/>
      </c>
      <c r="J119" s="8">
        <f>H119/E119</f>
        <v/>
      </c>
      <c r="K119" s="8" t="n">
        <v>64.9867</v>
      </c>
      <c r="L119" s="8" t="n">
        <v>50.8467</v>
      </c>
      <c r="M119" s="8" t="n">
        <v>60.27336666666667</v>
      </c>
      <c r="N119" s="14">
        <f>J119/M119-1</f>
        <v/>
      </c>
      <c r="O119" s="14">
        <f>J119/K119-1</f>
        <v/>
      </c>
      <c r="P119" s="7" t="inlineStr">
        <is>
          <t>ACIMA +170.4%</t>
        </is>
      </c>
      <c r="Q119" s="7" t="inlineStr">
        <is>
          <t>conferir emb.</t>
        </is>
      </c>
    </row>
    <row r="120">
      <c r="A120" s="7" t="n">
        <v>596521</v>
      </c>
      <c r="B120" s="7" t="inlineStr">
        <is>
          <t>113397</t>
        </is>
      </c>
      <c r="C120" s="12" t="inlineStr">
        <is>
          <t>7894916516006</t>
        </is>
      </c>
      <c r="D120" s="7" t="inlineStr">
        <is>
          <t>TORAGESIC 10MG PEEL OFF CX 10 COMP</t>
        </is>
      </c>
      <c r="E120" s="13" t="n">
        <v>1</v>
      </c>
      <c r="F120" s="13" t="n">
        <v>10</v>
      </c>
      <c r="G120" s="13" t="n">
        <v>10</v>
      </c>
      <c r="H120" s="8" t="n">
        <v>26.08</v>
      </c>
      <c r="I120" s="8">
        <f>G120*H120</f>
        <v/>
      </c>
      <c r="J120" s="8">
        <f>H120/E120</f>
        <v/>
      </c>
      <c r="K120" s="8" t="n">
        <v>26.0814</v>
      </c>
      <c r="L120" s="8" t="n">
        <v>23.048</v>
      </c>
      <c r="M120" s="8" t="n">
        <v>23.76266666666666</v>
      </c>
      <c r="N120" s="14">
        <f>J120/M120-1</f>
        <v/>
      </c>
      <c r="O120" s="14">
        <f>J120/K120-1</f>
        <v/>
      </c>
      <c r="P120" s="7" t="inlineStr">
        <is>
          <t>OK (≤ últ. compra)</t>
        </is>
      </c>
      <c r="Q120" s="7" t="inlineStr"/>
    </row>
    <row r="121">
      <c r="A121" s="7" t="n">
        <v>282781</v>
      </c>
      <c r="B121" s="7" t="inlineStr">
        <is>
          <t>401300</t>
        </is>
      </c>
      <c r="C121" s="12" t="inlineStr">
        <is>
          <t>7896255717885</t>
        </is>
      </c>
      <c r="D121" s="7" t="inlineStr">
        <is>
          <t>TROMBOFOB 200UI GEL BG 40G</t>
        </is>
      </c>
      <c r="E121" s="13" t="n">
        <v>1</v>
      </c>
      <c r="F121" s="13" t="n">
        <v>6</v>
      </c>
      <c r="G121" s="13" t="n">
        <v>6</v>
      </c>
      <c r="H121" s="8" t="n">
        <v>32.62</v>
      </c>
      <c r="I121" s="8">
        <f>G121*H121</f>
        <v/>
      </c>
      <c r="J121" s="8">
        <f>H121/E121</f>
        <v/>
      </c>
      <c r="K121" s="8" t="n">
        <v>32.62</v>
      </c>
      <c r="L121" s="8" t="n">
        <v>25.57</v>
      </c>
      <c r="M121" s="8" t="n">
        <v>29.64333333333333</v>
      </c>
      <c r="N121" s="14">
        <f>J121/M121-1</f>
        <v/>
      </c>
      <c r="O121" s="14">
        <f>J121/K121-1</f>
        <v/>
      </c>
      <c r="P121" s="7" t="inlineStr">
        <is>
          <t>OK (≤ últ. compra)</t>
        </is>
      </c>
      <c r="Q121" s="7" t="inlineStr"/>
    </row>
    <row r="122">
      <c r="A122" s="7" t="n">
        <v>612541</v>
      </c>
      <c r="B122" s="7" t="inlineStr">
        <is>
          <t>112768</t>
        </is>
      </c>
      <c r="C122" s="12" t="inlineStr">
        <is>
          <t>7891317010379</t>
        </is>
      </c>
      <c r="D122" s="7" t="inlineStr">
        <is>
          <t>VENTUS 50MCG SUS SPR NAS FR 60 ACIONAMENTOS</t>
        </is>
      </c>
      <c r="E122" s="13" t="n">
        <v>1</v>
      </c>
      <c r="F122" s="13" t="n">
        <v>3</v>
      </c>
      <c r="G122" s="13" t="n">
        <v>3</v>
      </c>
      <c r="H122" s="8" t="n">
        <v>35.24</v>
      </c>
      <c r="I122" s="8">
        <f>G122*H122</f>
        <v/>
      </c>
      <c r="J122" s="8">
        <f>H122/E122</f>
        <v/>
      </c>
      <c r="K122" s="8" t="n">
        <v>35.24</v>
      </c>
      <c r="L122" s="8" t="n">
        <v>31.645</v>
      </c>
      <c r="M122" s="8" t="n">
        <v>34.03946666666666</v>
      </c>
      <c r="N122" s="14">
        <f>J122/M122-1</f>
        <v/>
      </c>
      <c r="O122" s="14">
        <f>J122/K122-1</f>
        <v/>
      </c>
      <c r="P122" s="7" t="inlineStr">
        <is>
          <t>OK (≤ últ. compra)</t>
        </is>
      </c>
      <c r="Q122" s="7" t="inlineStr"/>
    </row>
    <row r="123">
      <c r="A123" s="7" t="n">
        <v>254901</v>
      </c>
      <c r="B123" s="7" t="inlineStr">
        <is>
          <t>103878</t>
        </is>
      </c>
      <c r="C123" s="12" t="inlineStr">
        <is>
          <t>7896548197554</t>
        </is>
      </c>
      <c r="D123" s="7" t="inlineStr">
        <is>
          <t>VIGADEXA 5+1MG/ML SOL OFT FR GOT 5ML</t>
        </is>
      </c>
      <c r="E123" s="13" t="n">
        <v>1</v>
      </c>
      <c r="F123" s="13" t="n">
        <v>1</v>
      </c>
      <c r="G123" s="13" t="n">
        <v>1</v>
      </c>
      <c r="H123" s="8" t="n">
        <v>37.75</v>
      </c>
      <c r="I123" s="8">
        <f>G123*H123</f>
        <v/>
      </c>
      <c r="J123" s="8">
        <f>H123/E123</f>
        <v/>
      </c>
      <c r="K123" s="8" t="n">
        <v>50.5</v>
      </c>
      <c r="L123" s="8" t="n">
        <v>35.1083</v>
      </c>
      <c r="M123" s="8" t="n">
        <v>36.87476666666667</v>
      </c>
      <c r="N123" s="14">
        <f>J123/M123-1</f>
        <v/>
      </c>
      <c r="O123" s="14">
        <f>J123/K123-1</f>
        <v/>
      </c>
      <c r="P123" s="7" t="inlineStr">
        <is>
          <t>OK (≤ últ. compra)</t>
        </is>
      </c>
      <c r="Q123" s="7" t="inlineStr"/>
    </row>
    <row r="124">
      <c r="A124" s="7" t="n">
        <v>211861</v>
      </c>
      <c r="B124" s="7" t="inlineStr">
        <is>
          <t>103907</t>
        </is>
      </c>
      <c r="C124" s="12" t="inlineStr">
        <is>
          <t>7896261000797</t>
        </is>
      </c>
      <c r="D124" s="7" t="inlineStr">
        <is>
          <t>VOLTAREN 25MG INJ CX 5AMP X 3ML</t>
        </is>
      </c>
      <c r="E124" s="13" t="n">
        <v>1</v>
      </c>
      <c r="F124" s="13" t="n">
        <v>1</v>
      </c>
      <c r="G124" s="13" t="n">
        <v>1</v>
      </c>
      <c r="H124" s="8" t="n">
        <v>17.14</v>
      </c>
      <c r="I124" s="8">
        <f>G124*H124</f>
        <v/>
      </c>
      <c r="J124" s="8">
        <f>H124/E124</f>
        <v/>
      </c>
      <c r="K124" s="8" t="n">
        <v>3.428</v>
      </c>
      <c r="L124" s="8" t="n">
        <v>3.4276</v>
      </c>
      <c r="M124" s="8" t="n">
        <v>3.427733333333334</v>
      </c>
      <c r="N124" s="14">
        <f>J124/M124-1</f>
        <v/>
      </c>
      <c r="O124" s="14">
        <f>J124/K124-1</f>
        <v/>
      </c>
      <c r="P124" s="7" t="inlineStr">
        <is>
          <t>ACIMA +400.0%</t>
        </is>
      </c>
      <c r="Q124" s="7" t="inlineStr">
        <is>
          <t>conferir emb.</t>
        </is>
      </c>
    </row>
    <row r="125">
      <c r="A125" s="7" t="n">
        <v>287141</v>
      </c>
      <c r="B125" s="7" t="inlineStr">
        <is>
          <t>103966</t>
        </is>
      </c>
      <c r="C125" s="12" t="inlineStr">
        <is>
          <t>7891317451417</t>
        </is>
      </c>
      <c r="D125" s="7" t="inlineStr">
        <is>
          <t>ZART H H 50+12,5MG CX 30 COMP REV</t>
        </is>
      </c>
      <c r="E125" s="13" t="n">
        <v>1</v>
      </c>
      <c r="F125" s="13" t="n">
        <v>2</v>
      </c>
      <c r="G125" s="13" t="n">
        <v>2</v>
      </c>
      <c r="H125" s="8" t="n">
        <v>41.61</v>
      </c>
      <c r="I125" s="8">
        <f>G125*H125</f>
        <v/>
      </c>
      <c r="J125" s="8">
        <f>H125/E125</f>
        <v/>
      </c>
      <c r="K125" s="8" t="n">
        <v>41.61</v>
      </c>
      <c r="L125" s="8" t="n">
        <v>36.88</v>
      </c>
      <c r="M125" s="8" t="n">
        <v>40.03333333333333</v>
      </c>
      <c r="N125" s="14">
        <f>J125/M125-1</f>
        <v/>
      </c>
      <c r="O125" s="14">
        <f>J125/K125-1</f>
        <v/>
      </c>
      <c r="P125" s="7" t="inlineStr">
        <is>
          <t>OK (≤ últ. compra)</t>
        </is>
      </c>
      <c r="Q125" s="7" t="inlineStr"/>
    </row>
    <row r="126">
      <c r="D126" s="5" t="inlineStr">
        <is>
          <t>TOTAL</t>
        </is>
      </c>
      <c r="I126" s="18">
        <f>SUM(I2:I125)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7" customWidth="1" min="16" max="16"/>
    <col width="26" customWidth="1" min="17" max="17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Média hist.</t>
        </is>
      </c>
      <c r="N1" s="11" t="inlineStr">
        <is>
          <t>% vs média hist.</t>
        </is>
      </c>
      <c r="O1" s="11" t="inlineStr">
        <is>
          <t>% vs últ. compra</t>
        </is>
      </c>
      <c r="P1" s="11" t="inlineStr">
        <is>
          <t>Status</t>
        </is>
      </c>
      <c r="Q1" s="11" t="inlineStr">
        <is>
          <t>OBS</t>
        </is>
      </c>
    </row>
    <row r="2">
      <c r="A2" s="7" t="n">
        <v>568061</v>
      </c>
      <c r="B2" s="7" t="inlineStr">
        <is>
          <t>80</t>
        </is>
      </c>
      <c r="C2" s="12" t="inlineStr">
        <is>
          <t>7896902209114</t>
        </is>
      </c>
      <c r="D2" s="7" t="inlineStr">
        <is>
          <t>ACETONA FARMAX 100ML</t>
        </is>
      </c>
      <c r="E2" s="13" t="n">
        <v>1</v>
      </c>
      <c r="F2" s="13" t="n">
        <v>14</v>
      </c>
      <c r="G2" s="13" t="n">
        <v>14</v>
      </c>
      <c r="H2" s="8" t="n">
        <v>3.09</v>
      </c>
      <c r="I2" s="8">
        <f>G2*H2</f>
        <v/>
      </c>
      <c r="J2" s="8">
        <f>H2/E2</f>
        <v/>
      </c>
      <c r="K2" s="8" t="n">
        <v>2.75</v>
      </c>
      <c r="L2" s="8" t="n">
        <v>2.4775</v>
      </c>
      <c r="M2" s="8" t="n">
        <v>2.4775</v>
      </c>
      <c r="N2" s="14">
        <f>J2/M2-1</f>
        <v/>
      </c>
      <c r="O2" s="14">
        <f>J2/K2-1</f>
        <v/>
      </c>
      <c r="P2" s="7" t="inlineStr">
        <is>
          <t>ACIMA +12.4%</t>
        </is>
      </c>
      <c r="Q2" s="7" t="inlineStr"/>
    </row>
    <row r="3">
      <c r="A3" s="7" t="n">
        <v>647211</v>
      </c>
      <c r="B3" s="7" t="inlineStr">
        <is>
          <t>115</t>
        </is>
      </c>
      <c r="C3" s="12" t="inlineStr">
        <is>
          <t>7896023718533</t>
        </is>
      </c>
      <c r="D3" s="7" t="inlineStr">
        <is>
          <t>ACIDO HIALURONICO 150MG C/30 CAPS.</t>
        </is>
      </c>
      <c r="E3" s="13" t="n">
        <v>1</v>
      </c>
      <c r="F3" s="13" t="n">
        <v>1</v>
      </c>
      <c r="G3" s="13" t="n">
        <v>1</v>
      </c>
      <c r="H3" s="8" t="n">
        <v>74.15000000000001</v>
      </c>
      <c r="I3" s="8">
        <f>G3*H3</f>
        <v/>
      </c>
      <c r="J3" s="8">
        <f>H3/E3</f>
        <v/>
      </c>
      <c r="K3" s="8" t="n">
        <v>56.75</v>
      </c>
      <c r="L3" s="8" t="n">
        <v>56.75</v>
      </c>
      <c r="M3" s="8" t="n">
        <v>56.75</v>
      </c>
      <c r="N3" s="14">
        <f>J3/M3-1</f>
        <v/>
      </c>
      <c r="O3" s="14">
        <f>J3/K3-1</f>
        <v/>
      </c>
      <c r="P3" s="7" t="inlineStr">
        <is>
          <t>ACIMA +30.7%</t>
        </is>
      </c>
      <c r="Q3" s="7" t="inlineStr"/>
    </row>
    <row r="4">
      <c r="A4" s="7" t="n">
        <v>651171</v>
      </c>
      <c r="B4" s="7" t="inlineStr">
        <is>
          <t>174</t>
        </is>
      </c>
      <c r="C4" s="12" t="inlineStr">
        <is>
          <t>7898048690900</t>
        </is>
      </c>
      <c r="D4" s="7" t="inlineStr">
        <is>
          <t>AGUARDENTE ALEMA JALAPA 200ML</t>
        </is>
      </c>
      <c r="E4" s="13" t="n">
        <v>1</v>
      </c>
      <c r="F4" s="13" t="n">
        <v>1</v>
      </c>
      <c r="G4" s="13" t="n">
        <v>1</v>
      </c>
      <c r="H4" s="8" t="n">
        <v>8.08</v>
      </c>
      <c r="I4" s="8">
        <f>G4*H4</f>
        <v/>
      </c>
      <c r="J4" s="8">
        <f>H4/E4</f>
        <v/>
      </c>
      <c r="K4" s="8" t="n">
        <v>8.09</v>
      </c>
      <c r="L4" s="8" t="n">
        <v>8.09</v>
      </c>
      <c r="M4" s="8" t="n">
        <v>8.09</v>
      </c>
      <c r="N4" s="14">
        <f>J4/M4-1</f>
        <v/>
      </c>
      <c r="O4" s="14">
        <f>J4/K4-1</f>
        <v/>
      </c>
      <c r="P4" s="7" t="inlineStr">
        <is>
          <t>OK (≤ menor hist.)</t>
        </is>
      </c>
      <c r="Q4" s="7" t="inlineStr"/>
    </row>
    <row r="5">
      <c r="A5" s="7" t="n">
        <v>642881</v>
      </c>
      <c r="B5" s="7" t="inlineStr">
        <is>
          <t>483</t>
        </is>
      </c>
      <c r="C5" s="12" t="inlineStr">
        <is>
          <t>7894913003875</t>
        </is>
      </c>
      <c r="D5" s="7" t="inlineStr">
        <is>
          <t>ARTICULAM ULTRA C/30 CAPS</t>
        </is>
      </c>
      <c r="E5" s="13" t="n">
        <v>1</v>
      </c>
      <c r="F5" s="13" t="n">
        <v>2</v>
      </c>
      <c r="G5" s="13" t="n">
        <v>2</v>
      </c>
      <c r="H5" s="8" t="n">
        <v>39.71</v>
      </c>
      <c r="I5" s="8">
        <f>G5*H5</f>
        <v/>
      </c>
      <c r="J5" s="8">
        <f>H5/E5</f>
        <v/>
      </c>
      <c r="K5" s="8" t="n">
        <v>37.6</v>
      </c>
      <c r="L5" s="8" t="n">
        <v>37.6</v>
      </c>
      <c r="M5" s="8" t="n">
        <v>37.6</v>
      </c>
      <c r="N5" s="14">
        <f>J5/M5-1</f>
        <v/>
      </c>
      <c r="O5" s="14">
        <f>J5/K5-1</f>
        <v/>
      </c>
      <c r="P5" s="7" t="inlineStr">
        <is>
          <t>ACIMA +5.6%</t>
        </is>
      </c>
      <c r="Q5" s="7" t="inlineStr"/>
    </row>
    <row r="6">
      <c r="A6" s="7" t="n">
        <v>3443</v>
      </c>
      <c r="B6" s="7" t="inlineStr">
        <is>
          <t>497</t>
        </is>
      </c>
      <c r="C6" s="12" t="inlineStr">
        <is>
          <t>7898108641323</t>
        </is>
      </c>
      <c r="D6" s="7" t="inlineStr">
        <is>
          <t>ATADURA DE CREPE 06CM C/12 UND</t>
        </is>
      </c>
      <c r="E6" s="13" t="n">
        <v>1</v>
      </c>
      <c r="F6" s="13" t="n">
        <v>1</v>
      </c>
      <c r="G6" s="13" t="n">
        <v>1</v>
      </c>
      <c r="H6" s="8" t="n">
        <v>1.13</v>
      </c>
      <c r="I6" s="8">
        <f>G6*H6</f>
        <v/>
      </c>
      <c r="J6" s="8">
        <f>H6/E6</f>
        <v/>
      </c>
      <c r="K6" s="8" t="n">
        <v>12.54</v>
      </c>
      <c r="L6" s="8" t="n">
        <v>12.54</v>
      </c>
      <c r="M6" s="8" t="n">
        <v>12.54</v>
      </c>
      <c r="N6" s="14">
        <f>J6/M6-1</f>
        <v/>
      </c>
      <c r="O6" s="14">
        <f>J6/K6-1</f>
        <v/>
      </c>
      <c r="P6" s="7" t="inlineStr">
        <is>
          <t>OK (≤ menor hist.)</t>
        </is>
      </c>
      <c r="Q6" s="7" t="inlineStr">
        <is>
          <t>conferir emb.</t>
        </is>
      </c>
    </row>
    <row r="7">
      <c r="A7" s="7" t="n">
        <v>653611</v>
      </c>
      <c r="B7" s="7" t="inlineStr">
        <is>
          <t>8438</t>
        </is>
      </c>
      <c r="C7" s="12" t="inlineStr">
        <is>
          <t>7898108642078</t>
        </is>
      </c>
      <c r="D7" s="7" t="inlineStr">
        <is>
          <t>ATADURA DE CREPE MICKEY 06CM</t>
        </is>
      </c>
      <c r="E7" s="13" t="n">
        <v>1</v>
      </c>
      <c r="F7" s="13" t="n">
        <v>4</v>
      </c>
      <c r="G7" s="13" t="n">
        <v>4</v>
      </c>
      <c r="H7" s="8" t="n">
        <v>1.32</v>
      </c>
      <c r="I7" s="8">
        <f>G7*H7</f>
        <v/>
      </c>
      <c r="J7" s="8">
        <f>H7/E7</f>
        <v/>
      </c>
      <c r="K7" s="8" t="n">
        <v>1.25</v>
      </c>
      <c r="L7" s="8" t="n">
        <v>1.25</v>
      </c>
      <c r="M7" s="8" t="n">
        <v>1.25</v>
      </c>
      <c r="N7" s="14">
        <f>J7/M7-1</f>
        <v/>
      </c>
      <c r="O7" s="14">
        <f>J7/K7-1</f>
        <v/>
      </c>
      <c r="P7" s="7" t="inlineStr">
        <is>
          <t>ACIMA +5.6%</t>
        </is>
      </c>
      <c r="Q7" s="7" t="inlineStr"/>
    </row>
    <row r="8">
      <c r="A8" s="7" t="n">
        <v>661591</v>
      </c>
      <c r="B8" s="7" t="inlineStr">
        <is>
          <t>8439</t>
        </is>
      </c>
      <c r="C8" s="12" t="inlineStr">
        <is>
          <t>7898108642085</t>
        </is>
      </c>
      <c r="D8" s="7" t="inlineStr">
        <is>
          <t>ATADURA DE CREPE MICKEY 08CM</t>
        </is>
      </c>
      <c r="E8" s="13" t="n">
        <v>1</v>
      </c>
      <c r="F8" s="13" t="n">
        <v>3</v>
      </c>
      <c r="G8" s="13" t="n">
        <v>3</v>
      </c>
      <c r="H8" s="8" t="n">
        <v>1.67</v>
      </c>
      <c r="I8" s="8">
        <f>G8*H8</f>
        <v/>
      </c>
      <c r="J8" s="8">
        <f>H8/E8</f>
        <v/>
      </c>
      <c r="K8" s="8" t="n">
        <v>1.935</v>
      </c>
      <c r="L8" s="8" t="n">
        <v>1.935</v>
      </c>
      <c r="M8" s="8" t="n">
        <v>1.935</v>
      </c>
      <c r="N8" s="14">
        <f>J8/M8-1</f>
        <v/>
      </c>
      <c r="O8" s="14">
        <f>J8/K8-1</f>
        <v/>
      </c>
      <c r="P8" s="7" t="inlineStr">
        <is>
          <t>OK (≤ menor hist.)</t>
        </is>
      </c>
      <c r="Q8" s="7" t="inlineStr"/>
    </row>
    <row r="9">
      <c r="A9" s="7" t="n">
        <v>46141</v>
      </c>
      <c r="B9" s="7" t="inlineStr">
        <is>
          <t>559</t>
        </is>
      </c>
      <c r="C9" s="12" t="inlineStr">
        <is>
          <t>7898060132518</t>
        </is>
      </c>
      <c r="D9" s="7" t="inlineStr">
        <is>
          <t>AZITROMICINA 500MG CX 5 COMP</t>
        </is>
      </c>
      <c r="E9" s="13" t="n">
        <v>1</v>
      </c>
      <c r="F9" s="13" t="n">
        <v>1</v>
      </c>
      <c r="G9" s="13" t="n">
        <v>1</v>
      </c>
      <c r="H9" s="8" t="n">
        <v>6.17</v>
      </c>
      <c r="I9" s="8">
        <f>G9*H9</f>
        <v/>
      </c>
      <c r="J9" s="8">
        <f>H9/E9</f>
        <v/>
      </c>
      <c r="K9" s="8" t="n">
        <v>5.86</v>
      </c>
      <c r="L9" s="8" t="n">
        <v>5.86</v>
      </c>
      <c r="M9" s="8" t="n">
        <v>5.86</v>
      </c>
      <c r="N9" s="14">
        <f>J9/M9-1</f>
        <v/>
      </c>
      <c r="O9" s="14">
        <f>J9/K9-1</f>
        <v/>
      </c>
      <c r="P9" s="7" t="inlineStr">
        <is>
          <t>ACIMA +5.3%</t>
        </is>
      </c>
      <c r="Q9" s="7" t="inlineStr"/>
    </row>
    <row r="10">
      <c r="A10" s="7" t="n">
        <v>632861</v>
      </c>
      <c r="B10" s="7" t="inlineStr">
        <is>
          <t>642</t>
        </is>
      </c>
      <c r="C10" s="12" t="inlineStr">
        <is>
          <t>7899828214026</t>
        </is>
      </c>
      <c r="D10" s="7" t="inlineStr">
        <is>
          <t>BANDAGEM ELAST FITA KINES 5MX5CM PRETO</t>
        </is>
      </c>
      <c r="E10" s="13" t="n">
        <v>1</v>
      </c>
      <c r="F10" s="13" t="n">
        <v>1</v>
      </c>
      <c r="G10" s="13" t="n">
        <v>1</v>
      </c>
      <c r="H10" s="8" t="n">
        <v>27.34</v>
      </c>
      <c r="I10" s="8">
        <f>G10*H10</f>
        <v/>
      </c>
      <c r="J10" s="8">
        <f>H10/E10</f>
        <v/>
      </c>
      <c r="K10" s="8" t="n">
        <v>23.99</v>
      </c>
      <c r="L10" s="8" t="n">
        <v>23.99</v>
      </c>
      <c r="M10" s="8" t="n">
        <v>23.99</v>
      </c>
      <c r="N10" s="14">
        <f>J10/M10-1</f>
        <v/>
      </c>
      <c r="O10" s="14">
        <f>J10/K10-1</f>
        <v/>
      </c>
      <c r="P10" s="7" t="inlineStr">
        <is>
          <t>ACIMA +14.0%</t>
        </is>
      </c>
      <c r="Q10" s="7" t="inlineStr"/>
    </row>
    <row r="11">
      <c r="A11" s="7" t="n">
        <v>632871</v>
      </c>
      <c r="B11" s="7" t="inlineStr">
        <is>
          <t>643</t>
        </is>
      </c>
      <c r="C11" s="12" t="inlineStr">
        <is>
          <t>7899828214033</t>
        </is>
      </c>
      <c r="D11" s="7" t="inlineStr">
        <is>
          <t>BANDAGEM ELAST FITA KINES 5MX5CM ROSA</t>
        </is>
      </c>
      <c r="E11" s="13" t="n">
        <v>1</v>
      </c>
      <c r="F11" s="13" t="n">
        <v>1</v>
      </c>
      <c r="G11" s="13" t="n">
        <v>1</v>
      </c>
      <c r="H11" s="8" t="n">
        <v>27.4</v>
      </c>
      <c r="I11" s="8">
        <f>G11*H11</f>
        <v/>
      </c>
      <c r="J11" s="8">
        <f>H11/E11</f>
        <v/>
      </c>
      <c r="K11" s="8" t="n">
        <v>21.99</v>
      </c>
      <c r="L11" s="8" t="n">
        <v>21.99</v>
      </c>
      <c r="M11" s="8" t="n">
        <v>21.99</v>
      </c>
      <c r="N11" s="14">
        <f>J11/M11-1</f>
        <v/>
      </c>
      <c r="O11" s="14">
        <f>J11/K11-1</f>
        <v/>
      </c>
      <c r="P11" s="7" t="inlineStr">
        <is>
          <t>ACIMA +24.6%</t>
        </is>
      </c>
      <c r="Q11" s="7" t="inlineStr"/>
    </row>
    <row r="12">
      <c r="A12" s="7" t="n">
        <v>655521</v>
      </c>
      <c r="B12" s="7" t="inlineStr">
        <is>
          <t>7002</t>
        </is>
      </c>
      <c r="C12" s="12" t="inlineStr">
        <is>
          <t>7899811100596</t>
        </is>
      </c>
      <c r="D12" s="7" t="inlineStr">
        <is>
          <t>BASILICAO POMADA BISNAGA 27G BASILIFLAM</t>
        </is>
      </c>
      <c r="E12" s="13" t="n">
        <v>1</v>
      </c>
      <c r="F12" s="13" t="n">
        <v>1</v>
      </c>
      <c r="G12" s="13" t="n">
        <v>1</v>
      </c>
      <c r="H12" s="8" t="n">
        <v>15.63</v>
      </c>
      <c r="I12" s="8">
        <f>G12*H12</f>
        <v/>
      </c>
      <c r="J12" s="8">
        <f>H12/E12</f>
        <v/>
      </c>
      <c r="K12" s="8" t="n">
        <v>14.62</v>
      </c>
      <c r="L12" s="8" t="n">
        <v>14.62</v>
      </c>
      <c r="M12" s="8" t="n">
        <v>14.62</v>
      </c>
      <c r="N12" s="14">
        <f>J12/M12-1</f>
        <v/>
      </c>
      <c r="O12" s="14">
        <f>J12/K12-1</f>
        <v/>
      </c>
      <c r="P12" s="7" t="inlineStr">
        <is>
          <t>ACIMA +6.9%</t>
        </is>
      </c>
      <c r="Q12" s="7" t="inlineStr"/>
    </row>
    <row r="13">
      <c r="A13" s="7" t="n">
        <v>597661</v>
      </c>
      <c r="B13" s="7" t="inlineStr">
        <is>
          <t>674</t>
        </is>
      </c>
      <c r="C13" s="12" t="inlineStr">
        <is>
          <t>7898944775053</t>
        </is>
      </c>
      <c r="D13" s="7" t="inlineStr">
        <is>
          <t>BCAA 2400 MAX TITANIUM 60 CAPS</t>
        </is>
      </c>
      <c r="E13" s="13" t="n">
        <v>1</v>
      </c>
      <c r="F13" s="13" t="n">
        <v>1</v>
      </c>
      <c r="G13" s="13" t="n">
        <v>1</v>
      </c>
      <c r="H13" s="8" t="n">
        <v>37.75</v>
      </c>
      <c r="I13" s="8">
        <f>G13*H13</f>
        <v/>
      </c>
      <c r="J13" s="8">
        <f>H13/E13</f>
        <v/>
      </c>
      <c r="K13" s="8" t="n">
        <v>26.95</v>
      </c>
      <c r="L13" s="8" t="n">
        <v>26.68</v>
      </c>
      <c r="M13" s="8" t="n">
        <v>26.68</v>
      </c>
      <c r="N13" s="14">
        <f>J13/M13-1</f>
        <v/>
      </c>
      <c r="O13" s="14">
        <f>J13/K13-1</f>
        <v/>
      </c>
      <c r="P13" s="7" t="inlineStr">
        <is>
          <t>ACIMA +40.1%</t>
        </is>
      </c>
      <c r="Q13" s="7" t="inlineStr"/>
    </row>
    <row r="14">
      <c r="A14" s="7" t="n">
        <v>446981</v>
      </c>
      <c r="B14" s="7" t="inlineStr">
        <is>
          <t>6268</t>
        </is>
      </c>
      <c r="C14" s="12" t="inlineStr">
        <is>
          <t>7897917000260</t>
        </is>
      </c>
      <c r="D14" s="7" t="inlineStr">
        <is>
          <t>BELFACTRIM 400+80MG CX 20 COMP</t>
        </is>
      </c>
      <c r="E14" s="13" t="n">
        <v>1</v>
      </c>
      <c r="F14" s="13" t="n">
        <v>2</v>
      </c>
      <c r="G14" s="13" t="n">
        <v>2</v>
      </c>
      <c r="H14" s="8" t="n">
        <v>5.11</v>
      </c>
      <c r="I14" s="8">
        <f>G14*H14</f>
        <v/>
      </c>
      <c r="J14" s="8">
        <f>H14/E14</f>
        <v/>
      </c>
      <c r="K14" s="8" t="n">
        <v>5.42</v>
      </c>
      <c r="L14" s="8" t="n">
        <v>5.42</v>
      </c>
      <c r="M14" s="8" t="n">
        <v>5.419999999999999</v>
      </c>
      <c r="N14" s="14">
        <f>J14/M14-1</f>
        <v/>
      </c>
      <c r="O14" s="14">
        <f>J14/K14-1</f>
        <v/>
      </c>
      <c r="P14" s="7" t="inlineStr">
        <is>
          <t>OK (≤ menor hist.)</t>
        </is>
      </c>
      <c r="Q14" s="7" t="inlineStr"/>
    </row>
    <row r="15">
      <c r="A15" s="7" t="n">
        <v>337401</v>
      </c>
      <c r="B15" s="7" t="inlineStr">
        <is>
          <t>4297</t>
        </is>
      </c>
      <c r="C15" s="12" t="inlineStr">
        <is>
          <t>7897917000031</t>
        </is>
      </c>
      <c r="D15" s="7" t="inlineStr">
        <is>
          <t>BELMIRAX 100MG CX 6 COMP</t>
        </is>
      </c>
      <c r="E15" s="13" t="n">
        <v>1</v>
      </c>
      <c r="F15" s="13" t="n">
        <v>12</v>
      </c>
      <c r="G15" s="13" t="n">
        <v>12</v>
      </c>
      <c r="H15" s="8" t="n">
        <v>2.54</v>
      </c>
      <c r="I15" s="8">
        <f>G15*H15</f>
        <v/>
      </c>
      <c r="J15" s="8">
        <f>H15/E15</f>
        <v/>
      </c>
      <c r="K15" s="8" t="n">
        <v>2.41</v>
      </c>
      <c r="L15" s="8" t="n">
        <v>1.55</v>
      </c>
      <c r="M15" s="8" t="n">
        <v>2.123333333333334</v>
      </c>
      <c r="N15" s="14">
        <f>J15/M15-1</f>
        <v/>
      </c>
      <c r="O15" s="14">
        <f>J15/K15-1</f>
        <v/>
      </c>
      <c r="P15" s="7" t="inlineStr">
        <is>
          <t>ACIMA +5.4%</t>
        </is>
      </c>
      <c r="Q15" s="7" t="inlineStr"/>
    </row>
    <row r="16">
      <c r="A16" s="7" t="n">
        <v>647231</v>
      </c>
      <c r="B16" s="7" t="inlineStr">
        <is>
          <t>974</t>
        </is>
      </c>
      <c r="C16" s="12" t="inlineStr">
        <is>
          <t>7896023706554</t>
        </is>
      </c>
      <c r="D16" s="7" t="inlineStr">
        <is>
          <t>CALCIO 600 + VIT D3 + K2 C/60 (CALKADE)</t>
        </is>
      </c>
      <c r="E16" s="13" t="n">
        <v>1</v>
      </c>
      <c r="F16" s="13" t="n">
        <v>1</v>
      </c>
      <c r="G16" s="13" t="n">
        <v>1</v>
      </c>
      <c r="H16" s="8" t="n">
        <v>37.15</v>
      </c>
      <c r="I16" s="8">
        <f>G16*H16</f>
        <v/>
      </c>
      <c r="J16" s="8">
        <f>H16/E16</f>
        <v/>
      </c>
      <c r="K16" s="8" t="n">
        <v>14.99</v>
      </c>
      <c r="L16" s="8" t="n">
        <v>14.99</v>
      </c>
      <c r="M16" s="8" t="n">
        <v>14.99</v>
      </c>
      <c r="N16" s="14">
        <f>J16/M16-1</f>
        <v/>
      </c>
      <c r="O16" s="14">
        <f>J16/K16-1</f>
        <v/>
      </c>
      <c r="P16" s="7" t="inlineStr">
        <is>
          <t>ACIMA +147.8%</t>
        </is>
      </c>
      <c r="Q16" s="7" t="inlineStr">
        <is>
          <t>conferir emb.</t>
        </is>
      </c>
    </row>
    <row r="17">
      <c r="A17" s="7" t="n">
        <v>664091</v>
      </c>
      <c r="B17" s="7" t="inlineStr">
        <is>
          <t>1136</t>
        </is>
      </c>
      <c r="C17" s="12" t="inlineStr">
        <is>
          <t>7894913002083</t>
        </is>
      </c>
      <c r="D17" s="7" t="inlineStr">
        <is>
          <t>CENTROLIV HOMEM + 50 C/30 CPR</t>
        </is>
      </c>
      <c r="E17" s="13" t="n">
        <v>1</v>
      </c>
      <c r="F17" s="13" t="n">
        <v>1</v>
      </c>
      <c r="G17" s="13" t="n">
        <v>1</v>
      </c>
      <c r="H17" s="8" t="n">
        <v>36.84</v>
      </c>
      <c r="I17" s="8">
        <f>G17*H17</f>
        <v/>
      </c>
      <c r="J17" s="8">
        <f>H17/E17</f>
        <v/>
      </c>
      <c r="K17" s="8" t="n">
        <v>41.76</v>
      </c>
      <c r="L17" s="8" t="n">
        <v>41.76</v>
      </c>
      <c r="M17" s="8" t="n">
        <v>41.76</v>
      </c>
      <c r="N17" s="14">
        <f>J17/M17-1</f>
        <v/>
      </c>
      <c r="O17" s="14">
        <f>J17/K17-1</f>
        <v/>
      </c>
      <c r="P17" s="7" t="inlineStr">
        <is>
          <t>OK (≤ menor hist.)</t>
        </is>
      </c>
      <c r="Q17" s="7" t="inlineStr"/>
    </row>
    <row r="18">
      <c r="A18" s="7" t="n">
        <v>664141</v>
      </c>
      <c r="B18" s="7" t="inlineStr">
        <is>
          <t>1137</t>
        </is>
      </c>
      <c r="C18" s="12" t="inlineStr">
        <is>
          <t>7894913002069</t>
        </is>
      </c>
      <c r="D18" s="7" t="inlineStr">
        <is>
          <t>CENTROLIV HOMEM C/30 CPR</t>
        </is>
      </c>
      <c r="E18" s="13" t="n">
        <v>1</v>
      </c>
      <c r="F18" s="13" t="n">
        <v>1</v>
      </c>
      <c r="G18" s="13" t="n">
        <v>1</v>
      </c>
      <c r="H18" s="8" t="n">
        <v>27.11</v>
      </c>
      <c r="I18" s="8">
        <f>G18*H18</f>
        <v/>
      </c>
      <c r="J18" s="8">
        <f>H18/E18</f>
        <v/>
      </c>
      <c r="K18" s="8" t="n">
        <v>24.35</v>
      </c>
      <c r="L18" s="8" t="n">
        <v>24.35</v>
      </c>
      <c r="M18" s="8" t="n">
        <v>24.35</v>
      </c>
      <c r="N18" s="14">
        <f>J18/M18-1</f>
        <v/>
      </c>
      <c r="O18" s="14">
        <f>J18/K18-1</f>
        <v/>
      </c>
      <c r="P18" s="7" t="inlineStr">
        <is>
          <t>ACIMA +11.3%</t>
        </is>
      </c>
      <c r="Q18" s="7" t="inlineStr"/>
    </row>
    <row r="19">
      <c r="A19" s="7" t="n">
        <v>31303</v>
      </c>
      <c r="B19" s="7" t="inlineStr">
        <is>
          <t>1579</t>
        </is>
      </c>
      <c r="C19" s="12" t="inlineStr">
        <is>
          <t>7896658049132</t>
        </is>
      </c>
      <c r="D19" s="7" t="inlineStr">
        <is>
          <t>CIPROFIBRATO 100MG CX 60 COMP</t>
        </is>
      </c>
      <c r="E19" s="13" t="n">
        <v>1</v>
      </c>
      <c r="F19" s="13" t="n">
        <v>2</v>
      </c>
      <c r="G19" s="13" t="n">
        <v>2</v>
      </c>
      <c r="H19" s="8" t="n">
        <v>26.34</v>
      </c>
      <c r="I19" s="8">
        <f>G19*H19</f>
        <v/>
      </c>
      <c r="J19" s="8">
        <f>H19/E19</f>
        <v/>
      </c>
      <c r="K19" s="8" t="n">
        <v>28.9</v>
      </c>
      <c r="L19" s="8" t="n">
        <v>28.9</v>
      </c>
      <c r="M19" s="8" t="n">
        <v>28.9</v>
      </c>
      <c r="N19" s="14">
        <f>J19/M19-1</f>
        <v/>
      </c>
      <c r="O19" s="14">
        <f>J19/K19-1</f>
        <v/>
      </c>
      <c r="P19" s="7" t="inlineStr">
        <is>
          <t>OK (≤ menor hist.)</t>
        </is>
      </c>
      <c r="Q19" s="7" t="inlineStr"/>
    </row>
    <row r="20">
      <c r="A20" s="7" t="n">
        <v>4093</v>
      </c>
      <c r="B20" s="7" t="inlineStr">
        <is>
          <t>1547</t>
        </is>
      </c>
      <c r="C20" s="12" t="inlineStr">
        <is>
          <t>7899095204188</t>
        </is>
      </c>
      <c r="D20" s="7" t="inlineStr">
        <is>
          <t>CLORIDRATO DE CICLOBENZAPRINA 5MG C/15 CPR</t>
        </is>
      </c>
      <c r="E20" s="13" t="n">
        <v>1</v>
      </c>
      <c r="F20" s="13" t="n">
        <v>2</v>
      </c>
      <c r="G20" s="13" t="n">
        <v>2</v>
      </c>
      <c r="H20" s="8" t="n">
        <v>4.14</v>
      </c>
      <c r="I20" s="8">
        <f>G20*H20</f>
        <v/>
      </c>
      <c r="J20" s="8">
        <f>H20/E20</f>
        <v/>
      </c>
      <c r="K20" s="8" t="n">
        <v>3.36</v>
      </c>
      <c r="L20" s="8" t="n">
        <v>3.36</v>
      </c>
      <c r="M20" s="8" t="n">
        <v>3.36</v>
      </c>
      <c r="N20" s="14">
        <f>J20/M20-1</f>
        <v/>
      </c>
      <c r="O20" s="14">
        <f>J20/K20-1</f>
        <v/>
      </c>
      <c r="P20" s="7" t="inlineStr">
        <is>
          <t>ACIMA +23.2%</t>
        </is>
      </c>
      <c r="Q20" s="7" t="inlineStr"/>
    </row>
    <row r="21">
      <c r="A21" s="7" t="n">
        <v>136261</v>
      </c>
      <c r="B21" s="7" t="inlineStr">
        <is>
          <t>1588</t>
        </is>
      </c>
      <c r="C21" s="12" t="inlineStr">
        <is>
          <t>7898060131399</t>
        </is>
      </c>
      <c r="D21" s="7" t="inlineStr">
        <is>
          <t>CLORIDRATO DE CIPROFLOXACINO 500MG CX 14 COMP REV</t>
        </is>
      </c>
      <c r="E21" s="13" t="n">
        <v>1</v>
      </c>
      <c r="F21" s="13" t="n">
        <v>1</v>
      </c>
      <c r="G21" s="13" t="n">
        <v>1</v>
      </c>
      <c r="H21" s="8" t="n">
        <v>6.31</v>
      </c>
      <c r="I21" s="8">
        <f>G21*H21</f>
        <v/>
      </c>
      <c r="J21" s="8">
        <f>H21/E21</f>
        <v/>
      </c>
      <c r="K21" s="8" t="n">
        <v>5.99</v>
      </c>
      <c r="L21" s="8" t="n">
        <v>5.99</v>
      </c>
      <c r="M21" s="8" t="n">
        <v>5.989999999999999</v>
      </c>
      <c r="N21" s="14">
        <f>J21/M21-1</f>
        <v/>
      </c>
      <c r="O21" s="14">
        <f>J21/K21-1</f>
        <v/>
      </c>
      <c r="P21" s="7" t="inlineStr">
        <is>
          <t>ACIMA +5.3%</t>
        </is>
      </c>
      <c r="Q21" s="7" t="inlineStr"/>
    </row>
    <row r="22">
      <c r="A22" s="7" t="n">
        <v>651051</v>
      </c>
      <c r="B22" s="7" t="inlineStr">
        <is>
          <t>4444</t>
        </is>
      </c>
      <c r="C22" s="12" t="inlineStr">
        <is>
          <t>7897917004459</t>
        </is>
      </c>
      <c r="D22" s="7" t="inlineStr">
        <is>
          <t>COLPADAK 20MG 30ML LOCAO</t>
        </is>
      </c>
      <c r="E22" s="13" t="n">
        <v>1</v>
      </c>
      <c r="F22" s="13" t="n">
        <v>2</v>
      </c>
      <c r="G22" s="13" t="n">
        <v>2</v>
      </c>
      <c r="H22" s="8" t="n">
        <v>6.41</v>
      </c>
      <c r="I22" s="8">
        <f>G22*H22</f>
        <v/>
      </c>
      <c r="J22" s="8">
        <f>H22/E22</f>
        <v/>
      </c>
      <c r="K22" s="8" t="n">
        <v>4.71</v>
      </c>
      <c r="L22" s="8" t="n">
        <v>4.71</v>
      </c>
      <c r="M22" s="8" t="n">
        <v>4.71</v>
      </c>
      <c r="N22" s="14">
        <f>J22/M22-1</f>
        <v/>
      </c>
      <c r="O22" s="14">
        <f>J22/K22-1</f>
        <v/>
      </c>
      <c r="P22" s="7" t="inlineStr">
        <is>
          <t>ACIMA +36.1%</t>
        </is>
      </c>
      <c r="Q22" s="7" t="inlineStr"/>
    </row>
    <row r="23">
      <c r="A23" s="7" t="n">
        <v>602191</v>
      </c>
      <c r="B23" s="7" t="inlineStr">
        <is>
          <t>1834</t>
        </is>
      </c>
      <c r="C23" s="12" t="inlineStr">
        <is>
          <t>7898277713258</t>
        </is>
      </c>
      <c r="D23" s="7" t="inlineStr">
        <is>
          <t>COMPLEXO B C/50 COMP REV (ARTE NATIVA)</t>
        </is>
      </c>
      <c r="E23" s="13" t="n">
        <v>1</v>
      </c>
      <c r="F23" s="13" t="n">
        <v>5</v>
      </c>
      <c r="G23" s="13" t="n">
        <v>5</v>
      </c>
      <c r="H23" s="8" t="n">
        <v>5.68</v>
      </c>
      <c r="I23" s="8">
        <f>G23*H23</f>
        <v/>
      </c>
      <c r="J23" s="8">
        <f>H23/E23</f>
        <v/>
      </c>
      <c r="K23" s="8" t="n">
        <v>5.75</v>
      </c>
      <c r="L23" s="8" t="n">
        <v>5.75</v>
      </c>
      <c r="M23" s="8" t="n">
        <v>5.75</v>
      </c>
      <c r="N23" s="14">
        <f>J23/M23-1</f>
        <v/>
      </c>
      <c r="O23" s="14">
        <f>J23/K23-1</f>
        <v/>
      </c>
      <c r="P23" s="7" t="inlineStr">
        <is>
          <t>OK (≤ menor hist.)</t>
        </is>
      </c>
      <c r="Q23" s="7" t="inlineStr"/>
    </row>
    <row r="24">
      <c r="A24" s="7" t="n">
        <v>648311</v>
      </c>
      <c r="B24" s="7" t="inlineStr">
        <is>
          <t>1854</t>
        </is>
      </c>
      <c r="C24" s="12" t="inlineStr">
        <is>
          <t>7898108640104</t>
        </is>
      </c>
      <c r="D24" s="7" t="inlineStr">
        <is>
          <t>COMPRESSA GAZES 11FIOS ESTER 10UN</t>
        </is>
      </c>
      <c r="E24" s="13" t="n">
        <v>1</v>
      </c>
      <c r="F24" s="13" t="n">
        <v>8</v>
      </c>
      <c r="G24" s="13" t="n">
        <v>8</v>
      </c>
      <c r="H24" s="8" t="n">
        <v>0.93</v>
      </c>
      <c r="I24" s="8">
        <f>G24*H24</f>
        <v/>
      </c>
      <c r="J24" s="8">
        <f>H24/E24</f>
        <v/>
      </c>
      <c r="K24" s="8" t="n">
        <v>1.1617</v>
      </c>
      <c r="L24" s="8" t="n">
        <v>1.1617</v>
      </c>
      <c r="M24" s="8" t="n">
        <v>1.1617</v>
      </c>
      <c r="N24" s="14">
        <f>J24/M24-1</f>
        <v/>
      </c>
      <c r="O24" s="14">
        <f>J24/K24-1</f>
        <v/>
      </c>
      <c r="P24" s="7" t="inlineStr">
        <is>
          <t>OK (≤ menor hist.)</t>
        </is>
      </c>
      <c r="Q24" s="7" t="inlineStr"/>
    </row>
    <row r="25">
      <c r="A25" s="7" t="n">
        <v>653671</v>
      </c>
      <c r="B25" s="7" t="inlineStr">
        <is>
          <t>2081</t>
        </is>
      </c>
      <c r="C25" s="12" t="inlineStr">
        <is>
          <t>7894913004438</t>
        </is>
      </c>
      <c r="D25" s="7" t="inlineStr">
        <is>
          <t>CORTCLEAN SPRAY 45ML (MERTHIOCORT)</t>
        </is>
      </c>
      <c r="E25" s="13" t="n">
        <v>1</v>
      </c>
      <c r="F25" s="13" t="n">
        <v>2</v>
      </c>
      <c r="G25" s="13" t="n">
        <v>2</v>
      </c>
      <c r="H25" s="8" t="n">
        <v>11.66</v>
      </c>
      <c r="I25" s="8">
        <f>G25*H25</f>
        <v/>
      </c>
      <c r="J25" s="8">
        <f>H25/E25</f>
        <v/>
      </c>
      <c r="K25" s="8" t="n">
        <v>13.41</v>
      </c>
      <c r="L25" s="8" t="n">
        <v>13.41</v>
      </c>
      <c r="M25" s="8" t="n">
        <v>13.41</v>
      </c>
      <c r="N25" s="14">
        <f>J25/M25-1</f>
        <v/>
      </c>
      <c r="O25" s="14">
        <f>J25/K25-1</f>
        <v/>
      </c>
      <c r="P25" s="7" t="inlineStr">
        <is>
          <t>OK (≤ menor hist.)</t>
        </is>
      </c>
      <c r="Q25" s="7" t="inlineStr"/>
    </row>
    <row r="26">
      <c r="A26" s="7" t="n">
        <v>597721</v>
      </c>
      <c r="B26" s="7" t="inlineStr">
        <is>
          <t>2101</t>
        </is>
      </c>
      <c r="C26" s="12" t="inlineStr">
        <is>
          <t>7898920041455</t>
        </is>
      </c>
      <c r="D26" s="7" t="inlineStr">
        <is>
          <t>CREATINE MAX TITANIUM 150G</t>
        </is>
      </c>
      <c r="E26" s="13" t="n">
        <v>1</v>
      </c>
      <c r="F26" s="13" t="n">
        <v>24</v>
      </c>
      <c r="G26" s="13" t="n">
        <v>24</v>
      </c>
      <c r="H26" s="8" t="n">
        <v>28.79</v>
      </c>
      <c r="I26" s="8">
        <f>G26*H26</f>
        <v/>
      </c>
      <c r="J26" s="8">
        <f>H26/E26</f>
        <v/>
      </c>
      <c r="K26" s="8" t="n">
        <v>27.35</v>
      </c>
      <c r="L26" s="8" t="n">
        <v>27.35</v>
      </c>
      <c r="M26" s="8" t="n">
        <v>27.35</v>
      </c>
      <c r="N26" s="14">
        <f>J26/M26-1</f>
        <v/>
      </c>
      <c r="O26" s="14">
        <f>J26/K26-1</f>
        <v/>
      </c>
      <c r="P26" s="7" t="inlineStr">
        <is>
          <t>ACIMA +5.3%</t>
        </is>
      </c>
      <c r="Q26" s="7" t="inlineStr"/>
    </row>
    <row r="27">
      <c r="A27" s="7" t="n">
        <v>201981</v>
      </c>
      <c r="B27" s="7" t="inlineStr">
        <is>
          <t>2188</t>
        </is>
      </c>
      <c r="C27" s="12" t="inlineStr">
        <is>
          <t>7897917000161</t>
        </is>
      </c>
      <c r="D27" s="7" t="inlineStr">
        <is>
          <t>DELTAPIL 0,20MG LOCAO FR 100ML</t>
        </is>
      </c>
      <c r="E27" s="13" t="n">
        <v>1</v>
      </c>
      <c r="F27" s="13" t="n">
        <v>3</v>
      </c>
      <c r="G27" s="13" t="n">
        <v>3</v>
      </c>
      <c r="H27" s="8" t="n">
        <v>8.119999999999999</v>
      </c>
      <c r="I27" s="8">
        <f>G27*H27</f>
        <v/>
      </c>
      <c r="J27" s="8">
        <f>H27/E27</f>
        <v/>
      </c>
      <c r="K27" s="8" t="n">
        <v>8.220000000000001</v>
      </c>
      <c r="L27" s="8" t="n">
        <v>8.220000000000001</v>
      </c>
      <c r="M27" s="8" t="n">
        <v>8.220000000000001</v>
      </c>
      <c r="N27" s="14">
        <f>J27/M27-1</f>
        <v/>
      </c>
      <c r="O27" s="14">
        <f>J27/K27-1</f>
        <v/>
      </c>
      <c r="P27" s="7" t="inlineStr">
        <is>
          <t>OK (≤ menor hist.)</t>
        </is>
      </c>
      <c r="Q27" s="7" t="inlineStr"/>
    </row>
    <row r="28">
      <c r="A28" s="7" t="n">
        <v>649041</v>
      </c>
      <c r="B28" s="7" t="inlineStr">
        <is>
          <t>5289</t>
        </is>
      </c>
      <c r="C28" s="12" t="inlineStr">
        <is>
          <t>7896902208612</t>
        </is>
      </c>
      <c r="D28" s="7" t="inlineStr">
        <is>
          <t>DESCOL FARMAX 8G CAMOMILA P/CABELOS</t>
        </is>
      </c>
      <c r="E28" s="13" t="n">
        <v>1</v>
      </c>
      <c r="F28" s="13" t="n">
        <v>3</v>
      </c>
      <c r="G28" s="13" t="n">
        <v>3</v>
      </c>
      <c r="H28" s="8" t="n">
        <v>2.37</v>
      </c>
      <c r="I28" s="8">
        <f>G28*H28</f>
        <v/>
      </c>
      <c r="J28" s="8">
        <f>H28/E28</f>
        <v/>
      </c>
      <c r="K28" s="8" t="n">
        <v>2.31</v>
      </c>
      <c r="L28" s="8" t="n">
        <v>2.31</v>
      </c>
      <c r="M28" s="8" t="n">
        <v>2.31</v>
      </c>
      <c r="N28" s="14">
        <f>J28/M28-1</f>
        <v/>
      </c>
      <c r="O28" s="14">
        <f>J28/K28-1</f>
        <v/>
      </c>
      <c r="P28" s="7" t="inlineStr">
        <is>
          <t>ACIMA +2.6%</t>
        </is>
      </c>
      <c r="Q28" s="7" t="inlineStr"/>
    </row>
    <row r="29">
      <c r="A29" s="7" t="n">
        <v>638511</v>
      </c>
      <c r="B29" s="7" t="inlineStr">
        <is>
          <t>5292</t>
        </is>
      </c>
      <c r="C29" s="12" t="inlineStr">
        <is>
          <t>7896902208599</t>
        </is>
      </c>
      <c r="D29" s="7" t="inlineStr">
        <is>
          <t>DESCOL FARMAX 8G QUERATIN P/CABELOS</t>
        </is>
      </c>
      <c r="E29" s="13" t="n">
        <v>1</v>
      </c>
      <c r="F29" s="13" t="n">
        <v>3</v>
      </c>
      <c r="G29" s="13" t="n">
        <v>3</v>
      </c>
      <c r="H29" s="8" t="n">
        <v>2.37</v>
      </c>
      <c r="I29" s="8">
        <f>G29*H29</f>
        <v/>
      </c>
      <c r="J29" s="8">
        <f>H29/E29</f>
        <v/>
      </c>
      <c r="K29" s="8" t="n">
        <v>2.25</v>
      </c>
      <c r="L29" s="8" t="n">
        <v>2.25</v>
      </c>
      <c r="M29" s="8" t="n">
        <v>2.25</v>
      </c>
      <c r="N29" s="14">
        <f>J29/M29-1</f>
        <v/>
      </c>
      <c r="O29" s="14">
        <f>J29/K29-1</f>
        <v/>
      </c>
      <c r="P29" s="7" t="inlineStr">
        <is>
          <t>ACIMA +5.3%</t>
        </is>
      </c>
      <c r="Q29" s="7" t="inlineStr"/>
    </row>
    <row r="30">
      <c r="A30" s="7" t="n">
        <v>329901</v>
      </c>
      <c r="B30" s="7" t="inlineStr">
        <is>
          <t>2377</t>
        </is>
      </c>
      <c r="C30" s="12" t="inlineStr">
        <is>
          <t>7897917002677</t>
        </is>
      </c>
      <c r="D30" s="7" t="inlineStr">
        <is>
          <t>DRENOGRIP 500+30+2MG CX 120 COMP</t>
        </is>
      </c>
      <c r="E30" s="13" t="n">
        <v>1</v>
      </c>
      <c r="F30" s="13" t="n">
        <v>5</v>
      </c>
      <c r="G30" s="13" t="n">
        <v>5</v>
      </c>
      <c r="H30" s="8" t="n">
        <v>20.03</v>
      </c>
      <c r="I30" s="8">
        <f>G30*H30</f>
        <v/>
      </c>
      <c r="J30" s="8">
        <f>H30/E30</f>
        <v/>
      </c>
      <c r="K30" s="8" t="n">
        <v>0.874</v>
      </c>
      <c r="L30" s="8" t="n">
        <v>0.874</v>
      </c>
      <c r="M30" s="8" t="n">
        <v>0.874</v>
      </c>
      <c r="N30" s="14">
        <f>J30/M30-1</f>
        <v/>
      </c>
      <c r="O30" s="14">
        <f>J30/K30-1</f>
        <v/>
      </c>
      <c r="P30" s="7" t="inlineStr">
        <is>
          <t>ACIMA +2191.8%</t>
        </is>
      </c>
      <c r="Q30" s="7" t="inlineStr">
        <is>
          <t>conferir emb.</t>
        </is>
      </c>
    </row>
    <row r="31">
      <c r="A31" s="7" t="n">
        <v>38203</v>
      </c>
      <c r="B31" s="7" t="inlineStr">
        <is>
          <t>2856</t>
        </is>
      </c>
      <c r="C31" s="12" t="inlineStr">
        <is>
          <t>7898601061406</t>
        </is>
      </c>
      <c r="D31" s="7" t="inlineStr">
        <is>
          <t>ESTABILIZADOR DE TORNOZELO PT G KSN043</t>
        </is>
      </c>
      <c r="E31" s="13" t="n">
        <v>1</v>
      </c>
      <c r="F31" s="13" t="n">
        <v>1</v>
      </c>
      <c r="G31" s="13" t="n">
        <v>1</v>
      </c>
      <c r="H31" s="8" t="n">
        <v>57.04</v>
      </c>
      <c r="I31" s="8">
        <f>G31*H31</f>
        <v/>
      </c>
      <c r="J31" s="8">
        <f>H31/E31</f>
        <v/>
      </c>
      <c r="K31" s="8" t="n">
        <v>44</v>
      </c>
      <c r="L31" s="8" t="n">
        <v>44</v>
      </c>
      <c r="M31" s="8" t="n">
        <v>44</v>
      </c>
      <c r="N31" s="14">
        <f>J31/M31-1</f>
        <v/>
      </c>
      <c r="O31" s="14">
        <f>J31/K31-1</f>
        <v/>
      </c>
      <c r="P31" s="7" t="inlineStr">
        <is>
          <t>ACIMA +29.6%</t>
        </is>
      </c>
      <c r="Q31" s="7" t="inlineStr"/>
    </row>
    <row r="32">
      <c r="A32" s="7" t="n">
        <v>642951</v>
      </c>
      <c r="B32" s="7" t="inlineStr">
        <is>
          <t>2883</t>
        </is>
      </c>
      <c r="C32" s="12" t="inlineStr">
        <is>
          <t>7894913003745</t>
        </is>
      </c>
      <c r="D32" s="7" t="inlineStr">
        <is>
          <t>EXOMUC ADULTO MEL/LIMAO 120ML</t>
        </is>
      </c>
      <c r="E32" s="13" t="n">
        <v>1</v>
      </c>
      <c r="F32" s="13" t="n">
        <v>1</v>
      </c>
      <c r="G32" s="13" t="n">
        <v>1</v>
      </c>
      <c r="H32" s="8" t="n">
        <v>13.82</v>
      </c>
      <c r="I32" s="8">
        <f>G32*H32</f>
        <v/>
      </c>
      <c r="J32" s="8">
        <f>H32/E32</f>
        <v/>
      </c>
      <c r="K32" s="8" t="n">
        <v>16.33</v>
      </c>
      <c r="L32" s="8" t="n">
        <v>16.33</v>
      </c>
      <c r="M32" s="8" t="n">
        <v>16.33</v>
      </c>
      <c r="N32" s="14">
        <f>J32/M32-1</f>
        <v/>
      </c>
      <c r="O32" s="14">
        <f>J32/K32-1</f>
        <v/>
      </c>
      <c r="P32" s="7" t="inlineStr">
        <is>
          <t>OK (≤ menor hist.)</t>
        </is>
      </c>
      <c r="Q32" s="7" t="inlineStr"/>
    </row>
    <row r="33">
      <c r="A33" s="7" t="n">
        <v>243061</v>
      </c>
      <c r="B33" s="7" t="inlineStr">
        <is>
          <t>2898</t>
        </is>
      </c>
      <c r="C33" s="12" t="inlineStr">
        <is>
          <t>7898569762674</t>
        </is>
      </c>
      <c r="D33" s="7" t="inlineStr">
        <is>
          <t>EZETIMIBA 10MG CX 30 COMP REV</t>
        </is>
      </c>
      <c r="E33" s="13" t="n">
        <v>1</v>
      </c>
      <c r="F33" s="13" t="n">
        <v>14</v>
      </c>
      <c r="G33" s="13" t="n">
        <v>14</v>
      </c>
      <c r="H33" s="8" t="n">
        <v>16.4</v>
      </c>
      <c r="I33" s="8">
        <f>G33*H33</f>
        <v/>
      </c>
      <c r="J33" s="8">
        <f>H33/E33</f>
        <v/>
      </c>
      <c r="K33" s="8" t="n">
        <v>15.58</v>
      </c>
      <c r="L33" s="8" t="n">
        <v>13.1</v>
      </c>
      <c r="M33" s="8" t="n">
        <v>14.75333333333333</v>
      </c>
      <c r="N33" s="14">
        <f>J33/M33-1</f>
        <v/>
      </c>
      <c r="O33" s="14">
        <f>J33/K33-1</f>
        <v/>
      </c>
      <c r="P33" s="7" t="inlineStr">
        <is>
          <t>ACIMA +5.3%</t>
        </is>
      </c>
      <c r="Q33" s="7" t="inlineStr"/>
    </row>
    <row r="34">
      <c r="A34" s="7" t="n">
        <v>642961</v>
      </c>
      <c r="B34" s="7" t="inlineStr">
        <is>
          <t>2906</t>
        </is>
      </c>
      <c r="C34" s="12" t="inlineStr">
        <is>
          <t>7894913002922</t>
        </is>
      </c>
      <c r="D34" s="7" t="inlineStr">
        <is>
          <t>F GARENA 180ML</t>
        </is>
      </c>
      <c r="E34" s="13" t="n">
        <v>1</v>
      </c>
      <c r="F34" s="13" t="n">
        <v>1</v>
      </c>
      <c r="G34" s="13" t="n">
        <v>1</v>
      </c>
      <c r="H34" s="8" t="n">
        <v>15.49</v>
      </c>
      <c r="I34" s="8">
        <f>G34*H34</f>
        <v/>
      </c>
      <c r="J34" s="8">
        <f>H34/E34</f>
        <v/>
      </c>
      <c r="K34" s="8" t="n">
        <v>16.6</v>
      </c>
      <c r="L34" s="8" t="n">
        <v>16.6</v>
      </c>
      <c r="M34" s="8" t="n">
        <v>16.6</v>
      </c>
      <c r="N34" s="14">
        <f>J34/M34-1</f>
        <v/>
      </c>
      <c r="O34" s="14">
        <f>J34/K34-1</f>
        <v/>
      </c>
      <c r="P34" s="7" t="inlineStr">
        <is>
          <t>OK (≤ menor hist.)</t>
        </is>
      </c>
      <c r="Q34" s="7" t="inlineStr"/>
    </row>
    <row r="35">
      <c r="A35" s="7" t="n">
        <v>565341</v>
      </c>
      <c r="B35" s="7" t="inlineStr">
        <is>
          <t>163</t>
        </is>
      </c>
      <c r="C35" s="12" t="inlineStr">
        <is>
          <t>7896902213463</t>
        </is>
      </c>
      <c r="D35" s="7" t="inlineStr">
        <is>
          <t>FARMAX AGUA OXIGENADA 70ML V30</t>
        </is>
      </c>
      <c r="E35" s="13" t="n">
        <v>1</v>
      </c>
      <c r="F35" s="13" t="n">
        <v>5</v>
      </c>
      <c r="G35" s="13" t="n">
        <v>5</v>
      </c>
      <c r="H35" s="8" t="n">
        <v>2.01</v>
      </c>
      <c r="I35" s="8">
        <f>G35*H35</f>
        <v/>
      </c>
      <c r="J35" s="8">
        <f>H35/E35</f>
        <v/>
      </c>
      <c r="K35" s="8" t="n">
        <v>1.84</v>
      </c>
      <c r="L35" s="8" t="n">
        <v>1.84</v>
      </c>
      <c r="M35" s="8" t="n">
        <v>1.84</v>
      </c>
      <c r="N35" s="14">
        <f>J35/M35-1</f>
        <v/>
      </c>
      <c r="O35" s="14">
        <f>J35/K35-1</f>
        <v/>
      </c>
      <c r="P35" s="7" t="inlineStr">
        <is>
          <t>ACIMA +9.2%</t>
        </is>
      </c>
      <c r="Q35" s="7" t="inlineStr"/>
    </row>
    <row r="36">
      <c r="A36" s="7" t="n">
        <v>543981</v>
      </c>
      <c r="B36" s="7" t="inlineStr">
        <is>
          <t>166</t>
        </is>
      </c>
      <c r="C36" s="12" t="inlineStr">
        <is>
          <t>7896902213487</t>
        </is>
      </c>
      <c r="D36" s="7" t="inlineStr">
        <is>
          <t>FARMAX AGUA OXIGENADA 70ML V40</t>
        </is>
      </c>
      <c r="E36" s="13" t="n">
        <v>1</v>
      </c>
      <c r="F36" s="13" t="n">
        <v>4</v>
      </c>
      <c r="G36" s="13" t="n">
        <v>4</v>
      </c>
      <c r="H36" s="8" t="n">
        <v>2.14</v>
      </c>
      <c r="I36" s="8">
        <f>G36*H36</f>
        <v/>
      </c>
      <c r="J36" s="8">
        <f>H36/E36</f>
        <v/>
      </c>
      <c r="K36" s="8" t="n">
        <v>1.79</v>
      </c>
      <c r="L36" s="8" t="n">
        <v>1.79</v>
      </c>
      <c r="M36" s="8" t="n">
        <v>1.79</v>
      </c>
      <c r="N36" s="14">
        <f>J36/M36-1</f>
        <v/>
      </c>
      <c r="O36" s="14">
        <f>J36/K36-1</f>
        <v/>
      </c>
      <c r="P36" s="7" t="inlineStr">
        <is>
          <t>ACIMA +19.6%</t>
        </is>
      </c>
      <c r="Q36" s="7" t="inlineStr"/>
    </row>
    <row r="37">
      <c r="A37" s="7" t="n">
        <v>626071</v>
      </c>
      <c r="B37" s="7" t="inlineStr">
        <is>
          <t>2952</t>
        </is>
      </c>
      <c r="C37" s="12" t="inlineStr">
        <is>
          <t>7896023756849</t>
        </is>
      </c>
      <c r="D37" s="7" t="inlineStr">
        <is>
          <t>FIGATIL 10ML FLACONETE</t>
        </is>
      </c>
      <c r="E37" s="13" t="n">
        <v>48</v>
      </c>
      <c r="F37" s="13" t="n">
        <v>1</v>
      </c>
      <c r="G37" s="13" t="n">
        <v>1</v>
      </c>
      <c r="H37" s="8" t="n">
        <v>94.06</v>
      </c>
      <c r="I37" s="8">
        <f>G37*H37</f>
        <v/>
      </c>
      <c r="J37" s="8">
        <f>H37/E37</f>
        <v/>
      </c>
      <c r="K37" s="8" t="n">
        <v>2.4223</v>
      </c>
      <c r="L37" s="8" t="n">
        <v>1.1388</v>
      </c>
      <c r="M37" s="8" t="n">
        <v>1.994466666666667</v>
      </c>
      <c r="N37" s="14">
        <f>J37/M37-1</f>
        <v/>
      </c>
      <c r="O37" s="14">
        <f>J37/K37-1</f>
        <v/>
      </c>
      <c r="P37" s="7" t="inlineStr">
        <is>
          <t>OK (≤ últ. compra)</t>
        </is>
      </c>
      <c r="Q37" s="7" t="inlineStr">
        <is>
          <t>1 emb = 48 un</t>
        </is>
      </c>
    </row>
    <row r="38">
      <c r="A38" s="7" t="n">
        <v>616141</v>
      </c>
      <c r="B38" s="7" t="inlineStr">
        <is>
          <t>3009</t>
        </is>
      </c>
      <c r="C38" s="12" t="inlineStr">
        <is>
          <t>7899838832012</t>
        </is>
      </c>
      <c r="D38" s="7" t="inlineStr">
        <is>
          <t>FITA DE KINESIO 5CM X 5M VERMELHA</t>
        </is>
      </c>
      <c r="E38" s="13" t="n">
        <v>1</v>
      </c>
      <c r="F38" s="13" t="n">
        <v>1</v>
      </c>
      <c r="G38" s="13" t="n">
        <v>1</v>
      </c>
      <c r="H38" s="8" t="n">
        <v>19.67</v>
      </c>
      <c r="I38" s="8">
        <f>G38*H38</f>
        <v/>
      </c>
      <c r="J38" s="8">
        <f>H38/E38</f>
        <v/>
      </c>
      <c r="K38" s="8" t="n">
        <v>18.69</v>
      </c>
      <c r="L38" s="8" t="n">
        <v>18.69</v>
      </c>
      <c r="M38" s="8" t="n">
        <v>18.69</v>
      </c>
      <c r="N38" s="14">
        <f>J38/M38-1</f>
        <v/>
      </c>
      <c r="O38" s="14">
        <f>J38/K38-1</f>
        <v/>
      </c>
      <c r="P38" s="7" t="inlineStr">
        <is>
          <t>ACIMA +5.2%</t>
        </is>
      </c>
      <c r="Q38" s="7" t="inlineStr"/>
    </row>
    <row r="39">
      <c r="A39" s="7" t="n">
        <v>638781</v>
      </c>
      <c r="B39" s="7" t="inlineStr">
        <is>
          <t>9607</t>
        </is>
      </c>
      <c r="C39" s="12" t="inlineStr">
        <is>
          <t>040141785435</t>
        </is>
      </c>
      <c r="D39" s="7" t="inlineStr">
        <is>
          <t>FORTMAGRI 1500MG 60 CPS (BERBERINA+FENO+MOROSIL+CROMO)</t>
        </is>
      </c>
      <c r="E39" s="13" t="n">
        <v>1</v>
      </c>
      <c r="F39" s="13" t="n">
        <v>1</v>
      </c>
      <c r="G39" s="13" t="n">
        <v>1</v>
      </c>
      <c r="H39" s="8" t="n">
        <v>64.67</v>
      </c>
      <c r="I39" s="8">
        <f>G39*H39</f>
        <v/>
      </c>
      <c r="J39" s="8">
        <f>H39/E39</f>
        <v/>
      </c>
      <c r="K39" s="8" t="n">
        <v>79.90000000000001</v>
      </c>
      <c r="L39" s="8" t="n">
        <v>79.90000000000001</v>
      </c>
      <c r="M39" s="8" t="n">
        <v>79.90000000000001</v>
      </c>
      <c r="N39" s="14">
        <f>J39/M39-1</f>
        <v/>
      </c>
      <c r="O39" s="14">
        <f>J39/K39-1</f>
        <v/>
      </c>
      <c r="P39" s="7" t="inlineStr">
        <is>
          <t>OK (≤ menor hist.)</t>
        </is>
      </c>
      <c r="Q39" s="7" t="inlineStr"/>
    </row>
    <row r="40">
      <c r="A40" s="7" t="n">
        <v>619931</v>
      </c>
      <c r="B40" s="7" t="inlineStr">
        <is>
          <t>3254</t>
        </is>
      </c>
      <c r="C40" s="12" t="inlineStr">
        <is>
          <t>7894913002809</t>
        </is>
      </c>
      <c r="D40" s="7" t="inlineStr">
        <is>
          <t>GLUCOZINC LARANJA 120ML</t>
        </is>
      </c>
      <c r="E40" s="13" t="n">
        <v>1</v>
      </c>
      <c r="F40" s="13" t="n">
        <v>1</v>
      </c>
      <c r="G40" s="13" t="n">
        <v>1</v>
      </c>
      <c r="H40" s="8" t="n">
        <v>16.67</v>
      </c>
      <c r="I40" s="8">
        <f>G40*H40</f>
        <v/>
      </c>
      <c r="J40" s="8">
        <f>H40/E40</f>
        <v/>
      </c>
      <c r="K40" s="8" t="n">
        <v>17.61</v>
      </c>
      <c r="L40" s="8" t="n">
        <v>17.61</v>
      </c>
      <c r="M40" s="8" t="n">
        <v>17.61</v>
      </c>
      <c r="N40" s="14">
        <f>J40/M40-1</f>
        <v/>
      </c>
      <c r="O40" s="14">
        <f>J40/K40-1</f>
        <v/>
      </c>
      <c r="P40" s="7" t="inlineStr">
        <is>
          <t>OK (≤ menor hist.)</t>
        </is>
      </c>
      <c r="Q40" s="7" t="inlineStr"/>
    </row>
    <row r="41">
      <c r="A41" s="7" t="n">
        <v>622371</v>
      </c>
      <c r="B41" s="7" t="inlineStr">
        <is>
          <t>3306</t>
        </is>
      </c>
      <c r="C41" s="12" t="inlineStr">
        <is>
          <t>7896321024657</t>
        </is>
      </c>
      <c r="D41" s="7" t="inlineStr">
        <is>
          <t>GUMMY HAIR VITAMIN MELANCIA 60CPR</t>
        </is>
      </c>
      <c r="E41" s="13" t="n">
        <v>1</v>
      </c>
      <c r="F41" s="13" t="n">
        <v>1</v>
      </c>
      <c r="G41" s="13" t="n">
        <v>1</v>
      </c>
      <c r="H41" s="8" t="n">
        <v>72.22</v>
      </c>
      <c r="I41" s="8">
        <f>G41*H41</f>
        <v/>
      </c>
      <c r="J41" s="8">
        <f>H41/E41</f>
        <v/>
      </c>
      <c r="K41" s="8" t="n">
        <v>58.95</v>
      </c>
      <c r="L41" s="8" t="n">
        <v>58.95</v>
      </c>
      <c r="M41" s="8" t="n">
        <v>58.95000000000001</v>
      </c>
      <c r="N41" s="14">
        <f>J41/M41-1</f>
        <v/>
      </c>
      <c r="O41" s="14">
        <f>J41/K41-1</f>
        <v/>
      </c>
      <c r="P41" s="7" t="inlineStr">
        <is>
          <t>ACIMA +22.5%</t>
        </is>
      </c>
      <c r="Q41" s="7" t="inlineStr"/>
    </row>
    <row r="42">
      <c r="A42" s="7" t="n">
        <v>622351</v>
      </c>
      <c r="B42" s="7" t="inlineStr">
        <is>
          <t>3308</t>
        </is>
      </c>
      <c r="C42" s="12" t="inlineStr">
        <is>
          <t>7896321035820</t>
        </is>
      </c>
      <c r="D42" s="7" t="inlineStr">
        <is>
          <t>GUMMY HAIR VITAMIN TUTTI-FRUTTI 60CPR</t>
        </is>
      </c>
      <c r="E42" s="13" t="n">
        <v>1</v>
      </c>
      <c r="F42" s="13" t="n">
        <v>1</v>
      </c>
      <c r="G42" s="13" t="n">
        <v>1</v>
      </c>
      <c r="H42" s="8" t="n">
        <v>72.22</v>
      </c>
      <c r="I42" s="8">
        <f>G42*H42</f>
        <v/>
      </c>
      <c r="J42" s="8">
        <f>H42/E42</f>
        <v/>
      </c>
      <c r="K42" s="8" t="n">
        <v>51.71</v>
      </c>
      <c r="L42" s="8" t="n">
        <v>51.71</v>
      </c>
      <c r="M42" s="8" t="n">
        <v>51.71</v>
      </c>
      <c r="N42" s="14">
        <f>J42/M42-1</f>
        <v/>
      </c>
      <c r="O42" s="14">
        <f>J42/K42-1</f>
        <v/>
      </c>
      <c r="P42" s="7" t="inlineStr">
        <is>
          <t>ACIMA +39.7%</t>
        </is>
      </c>
      <c r="Q42" s="7" t="inlineStr"/>
    </row>
    <row r="43">
      <c r="A43" s="7" t="n">
        <v>276061</v>
      </c>
      <c r="B43" s="7" t="inlineStr">
        <is>
          <t>9750</t>
        </is>
      </c>
      <c r="C43" s="12" t="inlineStr">
        <is>
          <t>8902220114128</t>
        </is>
      </c>
      <c r="D43" s="7" t="inlineStr">
        <is>
          <t>HEMIFUMARATO DE BISOPROLOL 1,25MG CX 30 COMP REV</t>
        </is>
      </c>
      <c r="E43" s="13" t="n">
        <v>1</v>
      </c>
      <c r="F43" s="13" t="n">
        <v>2</v>
      </c>
      <c r="G43" s="13" t="n">
        <v>2</v>
      </c>
      <c r="H43" s="8" t="n">
        <v>11.81</v>
      </c>
      <c r="I43" s="8">
        <f>G43*H43</f>
        <v/>
      </c>
      <c r="J43" s="8">
        <f>H43/E43</f>
        <v/>
      </c>
      <c r="K43" s="8" t="n">
        <v>19.81</v>
      </c>
      <c r="L43" s="8" t="n">
        <v>19.81</v>
      </c>
      <c r="M43" s="8" t="n">
        <v>19.81</v>
      </c>
      <c r="N43" s="14">
        <f>J43/M43-1</f>
        <v/>
      </c>
      <c r="O43" s="14">
        <f>J43/K43-1</f>
        <v/>
      </c>
      <c r="P43" s="7" t="inlineStr">
        <is>
          <t>OK (≤ menor hist.)</t>
        </is>
      </c>
      <c r="Q43" s="7" t="inlineStr"/>
    </row>
    <row r="44">
      <c r="A44" s="7" t="n">
        <v>276001</v>
      </c>
      <c r="B44" s="7" t="inlineStr">
        <is>
          <t>9752</t>
        </is>
      </c>
      <c r="C44" s="12" t="inlineStr">
        <is>
          <t>8902220114166</t>
        </is>
      </c>
      <c r="D44" s="7" t="inlineStr">
        <is>
          <t>HEMIFUMARATO DE BISOPROLOL 2,5MG CX 30 COMP REV</t>
        </is>
      </c>
      <c r="E44" s="13" t="n">
        <v>1</v>
      </c>
      <c r="F44" s="13" t="n">
        <v>1</v>
      </c>
      <c r="G44" s="13" t="n">
        <v>1</v>
      </c>
      <c r="H44" s="8" t="n">
        <v>7.29</v>
      </c>
      <c r="I44" s="8">
        <f>G44*H44</f>
        <v/>
      </c>
      <c r="J44" s="8">
        <f>H44/E44</f>
        <v/>
      </c>
      <c r="K44" s="8" t="n">
        <v>6.92</v>
      </c>
      <c r="L44" s="8" t="n">
        <v>6.92</v>
      </c>
      <c r="M44" s="8" t="n">
        <v>6.919999999999999</v>
      </c>
      <c r="N44" s="14">
        <f>J44/M44-1</f>
        <v/>
      </c>
      <c r="O44" s="14">
        <f>J44/K44-1</f>
        <v/>
      </c>
      <c r="P44" s="7" t="inlineStr">
        <is>
          <t>ACIMA +5.3%</t>
        </is>
      </c>
      <c r="Q44" s="7" t="inlineStr"/>
    </row>
    <row r="45">
      <c r="A45" s="7" t="n">
        <v>1633</v>
      </c>
      <c r="B45" s="7" t="inlineStr">
        <is>
          <t>6171</t>
        </is>
      </c>
      <c r="C45" s="12" t="inlineStr">
        <is>
          <t>7894164009480</t>
        </is>
      </c>
      <c r="D45" s="7" t="inlineStr">
        <is>
          <t>HIDRALI 45 PO ENVELOPE CX C/ 4</t>
        </is>
      </c>
      <c r="E45" s="13" t="n">
        <v>1</v>
      </c>
      <c r="F45" s="13" t="n">
        <v>1</v>
      </c>
      <c r="G45" s="13" t="n">
        <v>1</v>
      </c>
      <c r="H45" s="8" t="n">
        <v>9.050000000000001</v>
      </c>
      <c r="I45" s="8">
        <f>G45*H45</f>
        <v/>
      </c>
      <c r="J45" s="8">
        <f>H45/E45</f>
        <v/>
      </c>
      <c r="K45" s="8" t="n">
        <v>2.3475</v>
      </c>
      <c r="L45" s="8" t="n">
        <v>2.2875</v>
      </c>
      <c r="M45" s="8" t="n">
        <v>2.3275</v>
      </c>
      <c r="N45" s="14">
        <f>J45/M45-1</f>
        <v/>
      </c>
      <c r="O45" s="14">
        <f>J45/K45-1</f>
        <v/>
      </c>
      <c r="P45" s="7" t="inlineStr">
        <is>
          <t>ACIMA +285.5%</t>
        </is>
      </c>
      <c r="Q45" s="7" t="inlineStr">
        <is>
          <t>conferir emb.</t>
        </is>
      </c>
    </row>
    <row r="46">
      <c r="A46" s="7" t="n">
        <v>597601</v>
      </c>
      <c r="B46" s="7" t="inlineStr">
        <is>
          <t>3418</t>
        </is>
      </c>
      <c r="C46" s="12" t="inlineStr">
        <is>
          <t>7899941201958</t>
        </is>
      </c>
      <c r="D46" s="7" t="inlineStr">
        <is>
          <t>HORUS MAX TITANIUM BLUE ICE POTE 150G</t>
        </is>
      </c>
      <c r="E46" s="13" t="n">
        <v>1</v>
      </c>
      <c r="F46" s="13" t="n">
        <v>1</v>
      </c>
      <c r="G46" s="13" t="n">
        <v>1</v>
      </c>
      <c r="H46" s="8" t="n">
        <v>41.64</v>
      </c>
      <c r="I46" s="8">
        <f>G46*H46</f>
        <v/>
      </c>
      <c r="J46" s="8">
        <f>H46/E46</f>
        <v/>
      </c>
      <c r="K46" s="8" t="n">
        <v>63.43</v>
      </c>
      <c r="L46" s="8" t="n">
        <v>63.43</v>
      </c>
      <c r="M46" s="8" t="n">
        <v>63.43</v>
      </c>
      <c r="N46" s="14">
        <f>J46/M46-1</f>
        <v/>
      </c>
      <c r="O46" s="14">
        <f>J46/K46-1</f>
        <v/>
      </c>
      <c r="P46" s="7" t="inlineStr">
        <is>
          <t>OK (≤ menor hist.)</t>
        </is>
      </c>
      <c r="Q46" s="7" t="inlineStr"/>
    </row>
    <row r="47">
      <c r="A47" s="7" t="n">
        <v>597591</v>
      </c>
      <c r="B47" s="7" t="inlineStr">
        <is>
          <t>3420</t>
        </is>
      </c>
      <c r="C47" s="12" t="inlineStr">
        <is>
          <t>7899941202849</t>
        </is>
      </c>
      <c r="D47" s="7" t="inlineStr">
        <is>
          <t>HORUS MAX TITANIUM CITRUS POTE 150G</t>
        </is>
      </c>
      <c r="E47" s="13" t="n">
        <v>1</v>
      </c>
      <c r="F47" s="13" t="n">
        <v>1</v>
      </c>
      <c r="G47" s="13" t="n">
        <v>1</v>
      </c>
      <c r="H47" s="8" t="n">
        <v>41.64</v>
      </c>
      <c r="I47" s="8">
        <f>G47*H47</f>
        <v/>
      </c>
      <c r="J47" s="8">
        <f>H47/E47</f>
        <v/>
      </c>
      <c r="K47" s="8" t="n">
        <v>56.83</v>
      </c>
      <c r="L47" s="8" t="n">
        <v>56.83</v>
      </c>
      <c r="M47" s="8" t="n">
        <v>56.83000000000001</v>
      </c>
      <c r="N47" s="14">
        <f>J47/M47-1</f>
        <v/>
      </c>
      <c r="O47" s="14">
        <f>J47/K47-1</f>
        <v/>
      </c>
      <c r="P47" s="7" t="inlineStr">
        <is>
          <t>OK (≤ menor hist.)</t>
        </is>
      </c>
      <c r="Q47" s="7" t="inlineStr"/>
    </row>
    <row r="48">
      <c r="A48" s="7" t="n">
        <v>518921</v>
      </c>
      <c r="B48" s="7" t="inlineStr">
        <is>
          <t>3465</t>
        </is>
      </c>
      <c r="C48" s="12" t="inlineStr">
        <is>
          <t>7898687730500</t>
        </is>
      </c>
      <c r="D48" s="7" t="inlineStr">
        <is>
          <t>IBUPROFENO 600MG CX 10 CAP GEL</t>
        </is>
      </c>
      <c r="E48" s="13" t="n">
        <v>1</v>
      </c>
      <c r="F48" s="13" t="n">
        <v>1</v>
      </c>
      <c r="G48" s="13" t="n">
        <v>1</v>
      </c>
      <c r="H48" s="8" t="n">
        <v>15.04</v>
      </c>
      <c r="I48" s="8">
        <f>G48*H48</f>
        <v/>
      </c>
      <c r="J48" s="8">
        <f>H48/E48</f>
        <v/>
      </c>
      <c r="K48" s="8" t="n">
        <v>13.06</v>
      </c>
      <c r="L48" s="8" t="n">
        <v>12.73</v>
      </c>
      <c r="M48" s="8" t="n">
        <v>12.73</v>
      </c>
      <c r="N48" s="14">
        <f>J48/M48-1</f>
        <v/>
      </c>
      <c r="O48" s="14">
        <f>J48/K48-1</f>
        <v/>
      </c>
      <c r="P48" s="7" t="inlineStr">
        <is>
          <t>ACIMA +15.2%</t>
        </is>
      </c>
      <c r="Q48" s="7" t="inlineStr"/>
    </row>
    <row r="49">
      <c r="A49" s="7" t="n">
        <v>556441</v>
      </c>
      <c r="B49" s="7" t="inlineStr">
        <is>
          <t>3816</t>
        </is>
      </c>
      <c r="C49" s="12" t="inlineStr">
        <is>
          <t>7897732607323</t>
        </is>
      </c>
      <c r="D49" s="7" t="inlineStr">
        <is>
          <t>LEITE DE MAGNESIA 100ML TRADICIONAL</t>
        </is>
      </c>
      <c r="E49" s="13" t="n">
        <v>1</v>
      </c>
      <c r="F49" s="13" t="n">
        <v>5</v>
      </c>
      <c r="G49" s="13" t="n">
        <v>5</v>
      </c>
      <c r="H49" s="8" t="n">
        <v>4.34</v>
      </c>
      <c r="I49" s="8">
        <f>G49*H49</f>
        <v/>
      </c>
      <c r="J49" s="8">
        <f>H49/E49</f>
        <v/>
      </c>
      <c r="K49" s="8" t="n">
        <v>4.12</v>
      </c>
      <c r="L49" s="8" t="n">
        <v>4.12</v>
      </c>
      <c r="M49" s="8" t="n">
        <v>4.12</v>
      </c>
      <c r="N49" s="14">
        <f>J49/M49-1</f>
        <v/>
      </c>
      <c r="O49" s="14">
        <f>J49/K49-1</f>
        <v/>
      </c>
      <c r="P49" s="7" t="inlineStr">
        <is>
          <t>ACIMA +5.3%</t>
        </is>
      </c>
      <c r="Q49" s="7" t="inlineStr"/>
    </row>
    <row r="50">
      <c r="A50" s="7" t="n">
        <v>492281</v>
      </c>
      <c r="B50" s="7" t="inlineStr">
        <is>
          <t>3855</t>
        </is>
      </c>
      <c r="C50" s="12" t="inlineStr">
        <is>
          <t>7908020500889</t>
        </is>
      </c>
      <c r="D50" s="7" t="inlineStr">
        <is>
          <t>LEVONORGESTREL 0,15+0,03MG CX 21 COMP REV+CALEND</t>
        </is>
      </c>
      <c r="E50" s="13" t="n">
        <v>1</v>
      </c>
      <c r="F50" s="13" t="n">
        <v>1</v>
      </c>
      <c r="G50" s="13" t="n">
        <v>1</v>
      </c>
      <c r="H50" s="8" t="n">
        <v>3.4</v>
      </c>
      <c r="I50" s="8">
        <f>G50*H50</f>
        <v/>
      </c>
      <c r="J50" s="8">
        <f>H50/E50</f>
        <v/>
      </c>
      <c r="K50" s="8" t="n">
        <v>3.23</v>
      </c>
      <c r="L50" s="8" t="n">
        <v>3.23</v>
      </c>
      <c r="M50" s="8" t="n">
        <v>3.23</v>
      </c>
      <c r="N50" s="14">
        <f>J50/M50-1</f>
        <v/>
      </c>
      <c r="O50" s="14">
        <f>J50/K50-1</f>
        <v/>
      </c>
      <c r="P50" s="7" t="inlineStr">
        <is>
          <t>ACIMA +5.3%</t>
        </is>
      </c>
      <c r="Q50" s="7" t="inlineStr"/>
    </row>
    <row r="51">
      <c r="A51" s="7" t="n">
        <v>56761</v>
      </c>
      <c r="B51" s="7" t="inlineStr">
        <is>
          <t>2288</t>
        </is>
      </c>
      <c r="C51" s="12" t="inlineStr">
        <is>
          <t>7898060132075</t>
        </is>
      </c>
      <c r="D51" s="7" t="inlineStr">
        <is>
          <t>MAL DEXCLORFENIRAMINA+BETAMETASONA 0,4+0,05MG XPE FR 120ML+CM</t>
        </is>
      </c>
      <c r="E51" s="13" t="n">
        <v>1</v>
      </c>
      <c r="F51" s="13" t="n">
        <v>20</v>
      </c>
      <c r="G51" s="13" t="n">
        <v>20</v>
      </c>
      <c r="H51" s="8" t="n">
        <v>4.65</v>
      </c>
      <c r="I51" s="8">
        <f>G51*H51</f>
        <v/>
      </c>
      <c r="J51" s="8">
        <f>H51/E51</f>
        <v/>
      </c>
      <c r="K51" s="8" t="n">
        <v>5.1</v>
      </c>
      <c r="L51" s="8" t="n">
        <v>5.1</v>
      </c>
      <c r="M51" s="8" t="n">
        <v>5.1</v>
      </c>
      <c r="N51" s="14">
        <f>J51/M51-1</f>
        <v/>
      </c>
      <c r="O51" s="14">
        <f>J51/K51-1</f>
        <v/>
      </c>
      <c r="P51" s="7" t="inlineStr">
        <is>
          <t>OK (≤ menor hist.)</t>
        </is>
      </c>
      <c r="Q51" s="7" t="inlineStr"/>
    </row>
    <row r="52">
      <c r="A52" s="7" t="n">
        <v>334801</v>
      </c>
      <c r="B52" s="7" t="inlineStr">
        <is>
          <t>2596</t>
        </is>
      </c>
      <c r="C52" s="12" t="inlineStr">
        <is>
          <t>7897917005180</t>
        </is>
      </c>
      <c r="D52" s="7" t="inlineStr">
        <is>
          <t>MALEATO DE ENALAPRIL 5MG CX 30 COMP</t>
        </is>
      </c>
      <c r="E52" s="13" t="n">
        <v>1</v>
      </c>
      <c r="F52" s="13" t="n">
        <v>3</v>
      </c>
      <c r="G52" s="13" t="n">
        <v>3</v>
      </c>
      <c r="H52" s="8" t="n">
        <v>2</v>
      </c>
      <c r="I52" s="8">
        <f>G52*H52</f>
        <v/>
      </c>
      <c r="J52" s="8">
        <f>H52/E52</f>
        <v/>
      </c>
      <c r="K52" s="8" t="n">
        <v>2.18</v>
      </c>
      <c r="L52" s="8" t="n">
        <v>2.18</v>
      </c>
      <c r="M52" s="8" t="n">
        <v>2.18</v>
      </c>
      <c r="N52" s="14">
        <f>J52/M52-1</f>
        <v/>
      </c>
      <c r="O52" s="14">
        <f>J52/K52-1</f>
        <v/>
      </c>
      <c r="P52" s="7" t="inlineStr">
        <is>
          <t>OK (≤ menor hist.)</t>
        </is>
      </c>
      <c r="Q52" s="7" t="inlineStr"/>
    </row>
    <row r="53">
      <c r="A53" s="7" t="n">
        <v>605911</v>
      </c>
      <c r="B53" s="7" t="inlineStr">
        <is>
          <t>7484</t>
        </is>
      </c>
      <c r="C53" s="12" t="inlineStr">
        <is>
          <t>7896004779201</t>
        </is>
      </c>
      <c r="D53" s="7" t="inlineStr">
        <is>
          <t>MARACUJA CONCENTRIX SOL ORAL 100ML (PASS</t>
        </is>
      </c>
      <c r="E53" s="13" t="n">
        <v>1</v>
      </c>
      <c r="F53" s="13" t="n">
        <v>1</v>
      </c>
      <c r="G53" s="13" t="n">
        <v>1</v>
      </c>
      <c r="H53" s="8" t="n">
        <v>12.09</v>
      </c>
      <c r="I53" s="8">
        <f>G53*H53</f>
        <v/>
      </c>
      <c r="J53" s="8">
        <f>H53/E53</f>
        <v/>
      </c>
      <c r="K53" s="8" t="n">
        <v>11.9433</v>
      </c>
      <c r="L53" s="8" t="n">
        <v>10.92</v>
      </c>
      <c r="M53" s="8" t="n">
        <v>11.6022</v>
      </c>
      <c r="N53" s="14">
        <f>J53/M53-1</f>
        <v/>
      </c>
      <c r="O53" s="14">
        <f>J53/K53-1</f>
        <v/>
      </c>
      <c r="P53" s="7" t="inlineStr">
        <is>
          <t>ACIMA +1.2%</t>
        </is>
      </c>
      <c r="Q53" s="7" t="inlineStr"/>
    </row>
    <row r="54">
      <c r="A54" s="7" t="n">
        <v>555821</v>
      </c>
      <c r="B54" s="7" t="inlineStr">
        <is>
          <t>4269</t>
        </is>
      </c>
      <c r="C54" s="12" t="inlineStr">
        <is>
          <t>7898283815182</t>
        </is>
      </c>
      <c r="D54" s="7" t="inlineStr">
        <is>
          <t>MASCARA TRIPLA C/ELASTI BRANCA 50UN CART</t>
        </is>
      </c>
      <c r="E54" s="13" t="n">
        <v>1</v>
      </c>
      <c r="F54" s="13" t="n">
        <v>1</v>
      </c>
      <c r="G54" s="13" t="n">
        <v>1</v>
      </c>
      <c r="H54" s="8" t="n">
        <v>8.109999999999999</v>
      </c>
      <c r="I54" s="8">
        <f>G54*H54</f>
        <v/>
      </c>
      <c r="J54" s="8">
        <f>H54/E54</f>
        <v/>
      </c>
      <c r="K54" s="8" t="n">
        <v>9.83</v>
      </c>
      <c r="L54" s="8" t="n">
        <v>9.83</v>
      </c>
      <c r="M54" s="8" t="n">
        <v>9.83</v>
      </c>
      <c r="N54" s="14">
        <f>J54/M54-1</f>
        <v/>
      </c>
      <c r="O54" s="14">
        <f>J54/K54-1</f>
        <v/>
      </c>
      <c r="P54" s="7" t="inlineStr">
        <is>
          <t>OK (≤ menor hist.)</t>
        </is>
      </c>
      <c r="Q54" s="7" t="inlineStr"/>
    </row>
    <row r="55">
      <c r="A55" s="7" t="n">
        <v>643061</v>
      </c>
      <c r="B55" s="7" t="inlineStr">
        <is>
          <t>4766</t>
        </is>
      </c>
      <c r="C55" s="12" t="inlineStr">
        <is>
          <t>7894913003691</t>
        </is>
      </c>
      <c r="D55" s="7" t="inlineStr">
        <is>
          <t>NINNAR MELATONINA 120CPR MARACUJA</t>
        </is>
      </c>
      <c r="E55" s="13" t="n">
        <v>1</v>
      </c>
      <c r="F55" s="13" t="n">
        <v>3</v>
      </c>
      <c r="G55" s="13" t="n">
        <v>3</v>
      </c>
      <c r="H55" s="8" t="n">
        <v>17.78</v>
      </c>
      <c r="I55" s="8">
        <f>G55*H55</f>
        <v/>
      </c>
      <c r="J55" s="8">
        <f>H55/E55</f>
        <v/>
      </c>
      <c r="K55" s="8" t="n">
        <v>16.84</v>
      </c>
      <c r="L55" s="8" t="n">
        <v>16.84</v>
      </c>
      <c r="M55" s="8" t="n">
        <v>16.84</v>
      </c>
      <c r="N55" s="14">
        <f>J55/M55-1</f>
        <v/>
      </c>
      <c r="O55" s="14">
        <f>J55/K55-1</f>
        <v/>
      </c>
      <c r="P55" s="7" t="inlineStr">
        <is>
          <t>ACIMA +5.6%</t>
        </is>
      </c>
      <c r="Q55" s="7" t="inlineStr"/>
    </row>
    <row r="56">
      <c r="A56" s="7" t="n">
        <v>643071</v>
      </c>
      <c r="B56" s="7" t="inlineStr">
        <is>
          <t>4767</t>
        </is>
      </c>
      <c r="C56" s="12" t="inlineStr">
        <is>
          <t>7894913003189</t>
        </is>
      </c>
      <c r="D56" s="7" t="inlineStr">
        <is>
          <t>NINNAR MELATONINA MARACUJA 30ML</t>
        </is>
      </c>
      <c r="E56" s="13" t="n">
        <v>1</v>
      </c>
      <c r="F56" s="13" t="n">
        <v>1</v>
      </c>
      <c r="G56" s="13" t="n">
        <v>1</v>
      </c>
      <c r="H56" s="8" t="n">
        <v>13.79</v>
      </c>
      <c r="I56" s="8">
        <f>G56*H56</f>
        <v/>
      </c>
      <c r="J56" s="8">
        <f>H56/E56</f>
        <v/>
      </c>
      <c r="K56" s="8" t="n">
        <v>13.1</v>
      </c>
      <c r="L56" s="8" t="n">
        <v>13.1</v>
      </c>
      <c r="M56" s="8" t="n">
        <v>13.1</v>
      </c>
      <c r="N56" s="14">
        <f>J56/M56-1</f>
        <v/>
      </c>
      <c r="O56" s="14">
        <f>J56/K56-1</f>
        <v/>
      </c>
      <c r="P56" s="7" t="inlineStr">
        <is>
          <t>ACIMA +5.3%</t>
        </is>
      </c>
      <c r="Q56" s="7" t="inlineStr"/>
    </row>
    <row r="57">
      <c r="A57" s="7" t="n">
        <v>598371</v>
      </c>
      <c r="B57" s="7" t="inlineStr">
        <is>
          <t>4902</t>
        </is>
      </c>
      <c r="C57" s="12" t="inlineStr">
        <is>
          <t>7896902285422</t>
        </is>
      </c>
      <c r="D57" s="7" t="inlineStr">
        <is>
          <t>OLEO CAP/CORP FARMAX 30ML PURO RICINO</t>
        </is>
      </c>
      <c r="E57" s="13" t="n">
        <v>1</v>
      </c>
      <c r="F57" s="13" t="n">
        <v>2</v>
      </c>
      <c r="G57" s="13" t="n">
        <v>2</v>
      </c>
      <c r="H57" s="8" t="n">
        <v>4.61</v>
      </c>
      <c r="I57" s="8">
        <f>G57*H57</f>
        <v/>
      </c>
      <c r="J57" s="8">
        <f>H57/E57</f>
        <v/>
      </c>
      <c r="K57" s="8" t="n">
        <v>4.69</v>
      </c>
      <c r="L57" s="8" t="n">
        <v>4.69</v>
      </c>
      <c r="M57" s="8" t="n">
        <v>4.69</v>
      </c>
      <c r="N57" s="14">
        <f>J57/M57-1</f>
        <v/>
      </c>
      <c r="O57" s="14">
        <f>J57/K57-1</f>
        <v/>
      </c>
      <c r="P57" s="7" t="inlineStr">
        <is>
          <t>OK (≤ menor hist.)</t>
        </is>
      </c>
      <c r="Q57" s="7" t="inlineStr"/>
    </row>
    <row r="58">
      <c r="A58" s="7" t="n">
        <v>611431</v>
      </c>
      <c r="B58" s="7" t="inlineStr">
        <is>
          <t>4894</t>
        </is>
      </c>
      <c r="C58" s="12" t="inlineStr">
        <is>
          <t>7897732607583</t>
        </is>
      </c>
      <c r="D58" s="7" t="inlineStr">
        <is>
          <t>OLEO DE RICINO 100% 30ML SOBRAL</t>
        </is>
      </c>
      <c r="E58" s="13" t="n">
        <v>1</v>
      </c>
      <c r="F58" s="13" t="n">
        <v>5</v>
      </c>
      <c r="G58" s="13" t="n">
        <v>5</v>
      </c>
      <c r="H58" s="8" t="n">
        <v>4.73</v>
      </c>
      <c r="I58" s="8">
        <f>G58*H58</f>
        <v/>
      </c>
      <c r="J58" s="8">
        <f>H58/E58</f>
        <v/>
      </c>
      <c r="K58" s="8" t="n">
        <v>4.31</v>
      </c>
      <c r="L58" s="8" t="n">
        <v>4.31</v>
      </c>
      <c r="M58" s="8" t="n">
        <v>4.31</v>
      </c>
      <c r="N58" s="14">
        <f>J58/M58-1</f>
        <v/>
      </c>
      <c r="O58" s="14">
        <f>J58/K58-1</f>
        <v/>
      </c>
      <c r="P58" s="7" t="inlineStr">
        <is>
          <t>ACIMA +9.7%</t>
        </is>
      </c>
      <c r="Q58" s="7" t="inlineStr"/>
    </row>
    <row r="59">
      <c r="A59" s="7" t="n">
        <v>376061</v>
      </c>
      <c r="B59" s="7" t="inlineStr">
        <is>
          <t>4944</t>
        </is>
      </c>
      <c r="C59" s="12" t="inlineStr">
        <is>
          <t>7898569763077</t>
        </is>
      </c>
      <c r="D59" s="7" t="inlineStr">
        <is>
          <t>OLMESARTANA MEDOXOMILA 40MG CX 30 COMP REV</t>
        </is>
      </c>
      <c r="E59" s="13" t="n">
        <v>1</v>
      </c>
      <c r="F59" s="13" t="n">
        <v>13</v>
      </c>
      <c r="G59" s="13" t="n">
        <v>13</v>
      </c>
      <c r="H59" s="8" t="n">
        <v>20.42</v>
      </c>
      <c r="I59" s="8">
        <f>G59*H59</f>
        <v/>
      </c>
      <c r="J59" s="8">
        <f>H59/E59</f>
        <v/>
      </c>
      <c r="K59" s="8" t="n">
        <v>17.13</v>
      </c>
      <c r="L59" s="8" t="n">
        <v>14.57</v>
      </c>
      <c r="M59" s="8" t="n">
        <v>14.57</v>
      </c>
      <c r="N59" s="14">
        <f>J59/M59-1</f>
        <v/>
      </c>
      <c r="O59" s="14">
        <f>J59/K59-1</f>
        <v/>
      </c>
      <c r="P59" s="7" t="inlineStr">
        <is>
          <t>ACIMA +19.2%</t>
        </is>
      </c>
      <c r="Q59" s="7" t="inlineStr"/>
    </row>
    <row r="60">
      <c r="A60" s="7" t="n">
        <v>653711</v>
      </c>
      <c r="B60" s="7" t="inlineStr">
        <is>
          <t>4963</t>
        </is>
      </c>
      <c r="C60" s="12" t="inlineStr">
        <is>
          <t>7898675805227</t>
        </is>
      </c>
      <c r="D60" s="7" t="inlineStr">
        <is>
          <t>OMEGA 3 60CAPS EPA+DHA NUTRACEUTICAL</t>
        </is>
      </c>
      <c r="E60" s="13" t="n">
        <v>1</v>
      </c>
      <c r="F60" s="13" t="n">
        <v>3</v>
      </c>
      <c r="G60" s="13" t="n">
        <v>3</v>
      </c>
      <c r="H60" s="8" t="n">
        <v>30.14</v>
      </c>
      <c r="I60" s="8">
        <f>G60*H60</f>
        <v/>
      </c>
      <c r="J60" s="8">
        <f>H60/E60</f>
        <v/>
      </c>
      <c r="K60" s="8" t="n">
        <v>20.09</v>
      </c>
      <c r="L60" s="8" t="n">
        <v>20.09</v>
      </c>
      <c r="M60" s="8" t="n">
        <v>20.09</v>
      </c>
      <c r="N60" s="14">
        <f>J60/M60-1</f>
        <v/>
      </c>
      <c r="O60" s="14">
        <f>J60/K60-1</f>
        <v/>
      </c>
      <c r="P60" s="7" t="inlineStr">
        <is>
          <t>ACIMA +50.0%</t>
        </is>
      </c>
      <c r="Q60" s="7" t="inlineStr"/>
    </row>
    <row r="61">
      <c r="A61" s="7" t="n">
        <v>378201</v>
      </c>
      <c r="B61" s="7" t="inlineStr">
        <is>
          <t>5005</t>
        </is>
      </c>
      <c r="C61" s="12" t="inlineStr">
        <is>
          <t>7897917003285</t>
        </is>
      </c>
      <c r="D61" s="7" t="inlineStr">
        <is>
          <t>OMOPREL 40MG CX 56 CAP</t>
        </is>
      </c>
      <c r="E61" s="13" t="n">
        <v>1</v>
      </c>
      <c r="F61" s="13" t="n">
        <v>8</v>
      </c>
      <c r="G61" s="13" t="n">
        <v>8</v>
      </c>
      <c r="H61" s="8" t="n">
        <v>15.01</v>
      </c>
      <c r="I61" s="8">
        <f>G61*H61</f>
        <v/>
      </c>
      <c r="J61" s="8">
        <f>H61/E61</f>
        <v/>
      </c>
      <c r="K61" s="8" t="n">
        <v>9.09</v>
      </c>
      <c r="L61" s="8" t="n">
        <v>9.09</v>
      </c>
      <c r="M61" s="8" t="n">
        <v>9.09</v>
      </c>
      <c r="N61" s="14">
        <f>J61/M61-1</f>
        <v/>
      </c>
      <c r="O61" s="14">
        <f>J61/K61-1</f>
        <v/>
      </c>
      <c r="P61" s="7" t="inlineStr">
        <is>
          <t>ACIMA +65.1%</t>
        </is>
      </c>
      <c r="Q61" s="7" t="inlineStr"/>
    </row>
    <row r="62">
      <c r="A62" s="7" t="n">
        <v>274781</v>
      </c>
      <c r="B62" s="7" t="inlineStr">
        <is>
          <t>5255</t>
        </is>
      </c>
      <c r="C62" s="12" t="inlineStr">
        <is>
          <t>7898100243112</t>
        </is>
      </c>
      <c r="D62" s="7" t="inlineStr">
        <is>
          <t>PHITOSS 7MG/ML XPE FR 100ML PET</t>
        </is>
      </c>
      <c r="E62" s="13" t="n">
        <v>1</v>
      </c>
      <c r="F62" s="13" t="n">
        <v>22</v>
      </c>
      <c r="G62" s="13" t="n">
        <v>22</v>
      </c>
      <c r="H62" s="8" t="n">
        <v>5.67</v>
      </c>
      <c r="I62" s="8">
        <f>G62*H62</f>
        <v/>
      </c>
      <c r="J62" s="8">
        <f>H62/E62</f>
        <v/>
      </c>
      <c r="K62" s="8" t="n">
        <v>5.49</v>
      </c>
      <c r="L62" s="8" t="n">
        <v>5.49</v>
      </c>
      <c r="M62" s="8" t="n">
        <v>5.489999999999999</v>
      </c>
      <c r="N62" s="14">
        <f>J62/M62-1</f>
        <v/>
      </c>
      <c r="O62" s="14">
        <f>J62/K62-1</f>
        <v/>
      </c>
      <c r="P62" s="7" t="inlineStr">
        <is>
          <t>ACIMA +3.3%</t>
        </is>
      </c>
      <c r="Q62" s="7" t="inlineStr"/>
    </row>
    <row r="63">
      <c r="A63" s="7" t="n">
        <v>485641</v>
      </c>
      <c r="B63" s="7" t="inlineStr">
        <is>
          <t>5333</t>
        </is>
      </c>
      <c r="C63" s="12" t="inlineStr">
        <is>
          <t>7908020503125</t>
        </is>
      </c>
      <c r="D63" s="7" t="inlineStr">
        <is>
          <t>POSLOV 1,5MG CX 1 COMP</t>
        </is>
      </c>
      <c r="E63" s="13" t="n">
        <v>1</v>
      </c>
      <c r="F63" s="13" t="n">
        <v>24</v>
      </c>
      <c r="G63" s="13" t="n">
        <v>24</v>
      </c>
      <c r="H63" s="8" t="n">
        <v>3.03</v>
      </c>
      <c r="I63" s="8">
        <f>G63*H63</f>
        <v/>
      </c>
      <c r="J63" s="8">
        <f>H63/E63</f>
        <v/>
      </c>
      <c r="K63" s="8" t="n">
        <v>1.31</v>
      </c>
      <c r="L63" s="8" t="n">
        <v>1.31</v>
      </c>
      <c r="M63" s="8" t="n">
        <v>1.31</v>
      </c>
      <c r="N63" s="14">
        <f>J63/M63-1</f>
        <v/>
      </c>
      <c r="O63" s="14">
        <f>J63/K63-1</f>
        <v/>
      </c>
      <c r="P63" s="7" t="inlineStr">
        <is>
          <t>ACIMA +131.3%</t>
        </is>
      </c>
      <c r="Q63" s="7" t="inlineStr">
        <is>
          <t>conferir emb.</t>
        </is>
      </c>
    </row>
    <row r="64">
      <c r="A64" s="7" t="n">
        <v>393141</v>
      </c>
      <c r="B64" s="7" t="inlineStr">
        <is>
          <t>7499</t>
        </is>
      </c>
      <c r="C64" s="12" t="inlineStr">
        <is>
          <t>7896004755410</t>
        </is>
      </c>
      <c r="D64" s="7" t="inlineStr">
        <is>
          <t>PRAZY 20MG CX 4BL X 7 COMP REV</t>
        </is>
      </c>
      <c r="E64" s="13" t="n">
        <v>1</v>
      </c>
      <c r="F64" s="13" t="n">
        <v>2</v>
      </c>
      <c r="G64" s="13" t="n">
        <v>2</v>
      </c>
      <c r="H64" s="8" t="n">
        <v>7.16</v>
      </c>
      <c r="I64" s="8">
        <f>G64*H64</f>
        <v/>
      </c>
      <c r="J64" s="8">
        <f>H64/E64</f>
        <v/>
      </c>
      <c r="K64" s="8" t="n">
        <v>6.8</v>
      </c>
      <c r="L64" s="8" t="n">
        <v>6.6</v>
      </c>
      <c r="M64" s="8" t="n">
        <v>6.733333333333333</v>
      </c>
      <c r="N64" s="14">
        <f>J64/M64-1</f>
        <v/>
      </c>
      <c r="O64" s="14">
        <f>J64/K64-1</f>
        <v/>
      </c>
      <c r="P64" s="7" t="inlineStr">
        <is>
          <t>ACIMA +5.3%</t>
        </is>
      </c>
      <c r="Q64" s="7" t="inlineStr"/>
    </row>
    <row r="65">
      <c r="A65" s="7" t="n">
        <v>407941</v>
      </c>
      <c r="B65" s="7" t="inlineStr">
        <is>
          <t>5360</t>
        </is>
      </c>
      <c r="C65" s="12" t="inlineStr">
        <is>
          <t>7898569765439</t>
        </is>
      </c>
      <c r="D65" s="7" t="inlineStr">
        <is>
          <t>PREDNISOLONA 20MG CX 10 COMP</t>
        </is>
      </c>
      <c r="E65" s="13" t="n">
        <v>1</v>
      </c>
      <c r="F65" s="13" t="n">
        <v>1</v>
      </c>
      <c r="G65" s="13" t="n">
        <v>1</v>
      </c>
      <c r="H65" s="8" t="n">
        <v>8.73</v>
      </c>
      <c r="I65" s="8">
        <f>G65*H65</f>
        <v/>
      </c>
      <c r="J65" s="8">
        <f>H65/E65</f>
        <v/>
      </c>
      <c r="K65" s="8" t="n">
        <v>6.82</v>
      </c>
      <c r="L65" s="8" t="n">
        <v>6.82</v>
      </c>
      <c r="M65" s="8" t="n">
        <v>6.82</v>
      </c>
      <c r="N65" s="14">
        <f>J65/M65-1</f>
        <v/>
      </c>
      <c r="O65" s="14">
        <f>J65/K65-1</f>
        <v/>
      </c>
      <c r="P65" s="7" t="inlineStr">
        <is>
          <t>ACIMA +28.0%</t>
        </is>
      </c>
      <c r="Q65" s="7" t="inlineStr"/>
    </row>
    <row r="66">
      <c r="A66" s="7" t="n">
        <v>408041</v>
      </c>
      <c r="B66" s="7" t="inlineStr">
        <is>
          <t>5366</t>
        </is>
      </c>
      <c r="C66" s="12" t="inlineStr">
        <is>
          <t>7898569765514</t>
        </is>
      </c>
      <c r="D66" s="7" t="inlineStr">
        <is>
          <t>PREDNISOLONA 40MG CX 7 COMP</t>
        </is>
      </c>
      <c r="E66" s="13" t="n">
        <v>1</v>
      </c>
      <c r="F66" s="13" t="n">
        <v>6</v>
      </c>
      <c r="G66" s="13" t="n">
        <v>6</v>
      </c>
      <c r="H66" s="8" t="n">
        <v>10.4</v>
      </c>
      <c r="I66" s="8">
        <f>G66*H66</f>
        <v/>
      </c>
      <c r="J66" s="8">
        <f>H66/E66</f>
        <v/>
      </c>
      <c r="K66" s="8" t="n">
        <v>9.75</v>
      </c>
      <c r="L66" s="8" t="n">
        <v>9.75</v>
      </c>
      <c r="M66" s="8" t="n">
        <v>9.75</v>
      </c>
      <c r="N66" s="14">
        <f>J66/M66-1</f>
        <v/>
      </c>
      <c r="O66" s="14">
        <f>J66/K66-1</f>
        <v/>
      </c>
      <c r="P66" s="7" t="inlineStr">
        <is>
          <t>ACIMA +6.7%</t>
        </is>
      </c>
      <c r="Q66" s="7" t="inlineStr"/>
    </row>
    <row r="67">
      <c r="A67" s="7" t="n">
        <v>657401</v>
      </c>
      <c r="B67" s="7" t="inlineStr">
        <is>
          <t>5477</t>
        </is>
      </c>
      <c r="C67" s="12" t="inlineStr">
        <is>
          <t>7898079002864</t>
        </is>
      </c>
      <c r="D67" s="7" t="inlineStr">
        <is>
          <t>PRES. PRUDENCE AROM MORANGAO C/03</t>
        </is>
      </c>
      <c r="E67" s="13" t="n">
        <v>1</v>
      </c>
      <c r="F67" s="13" t="n">
        <v>1</v>
      </c>
      <c r="G67" s="13" t="n">
        <v>1</v>
      </c>
      <c r="H67" s="8" t="n">
        <v>7.45</v>
      </c>
      <c r="I67" s="8">
        <f>G67*H67</f>
        <v/>
      </c>
      <c r="J67" s="8">
        <f>H67/E67</f>
        <v/>
      </c>
      <c r="K67" s="8" t="n">
        <v>6.64</v>
      </c>
      <c r="L67" s="8" t="n">
        <v>6.64</v>
      </c>
      <c r="M67" s="8" t="n">
        <v>6.64</v>
      </c>
      <c r="N67" s="14">
        <f>J67/M67-1</f>
        <v/>
      </c>
      <c r="O67" s="14">
        <f>J67/K67-1</f>
        <v/>
      </c>
      <c r="P67" s="7" t="inlineStr">
        <is>
          <t>ACIMA +12.2%</t>
        </is>
      </c>
      <c r="Q67" s="7" t="inlineStr"/>
    </row>
    <row r="68">
      <c r="A68" s="7" t="n">
        <v>657381</v>
      </c>
      <c r="B68" s="7" t="inlineStr">
        <is>
          <t>5488</t>
        </is>
      </c>
      <c r="C68" s="12" t="inlineStr">
        <is>
          <t>7898079000259</t>
        </is>
      </c>
      <c r="D68" s="7" t="inlineStr">
        <is>
          <t>PRES. PRUDENCE EXT GRANDE ULTR SENS C/03</t>
        </is>
      </c>
      <c r="E68" s="13" t="n">
        <v>1</v>
      </c>
      <c r="F68" s="13" t="n">
        <v>5</v>
      </c>
      <c r="G68" s="13" t="n">
        <v>5</v>
      </c>
      <c r="H68" s="8" t="n">
        <v>7.69</v>
      </c>
      <c r="I68" s="8">
        <f>G68*H68</f>
        <v/>
      </c>
      <c r="J68" s="8">
        <f>H68/E68</f>
        <v/>
      </c>
      <c r="K68" s="8" t="n">
        <v>6.94</v>
      </c>
      <c r="L68" s="8" t="n">
        <v>6.94</v>
      </c>
      <c r="M68" s="8" t="n">
        <v>6.94</v>
      </c>
      <c r="N68" s="14">
        <f>J68/M68-1</f>
        <v/>
      </c>
      <c r="O68" s="14">
        <f>J68/K68-1</f>
        <v/>
      </c>
      <c r="P68" s="7" t="inlineStr">
        <is>
          <t>ACIMA +10.8%</t>
        </is>
      </c>
      <c r="Q68" s="7" t="inlineStr"/>
    </row>
    <row r="69">
      <c r="A69" s="7" t="n">
        <v>657361</v>
      </c>
      <c r="B69" s="7" t="inlineStr">
        <is>
          <t>7646</t>
        </is>
      </c>
      <c r="C69" s="12" t="inlineStr">
        <is>
          <t>7898079003168</t>
        </is>
      </c>
      <c r="D69" s="7" t="inlineStr">
        <is>
          <t>PRES. PRUDENCE LUBRIFICADOS LEVE8 PAGUE6</t>
        </is>
      </c>
      <c r="E69" s="13" t="n">
        <v>1</v>
      </c>
      <c r="F69" s="13" t="n">
        <v>7</v>
      </c>
      <c r="G69" s="13" t="n">
        <v>7</v>
      </c>
      <c r="H69" s="8" t="n">
        <v>6.94</v>
      </c>
      <c r="I69" s="8">
        <f>G69*H69</f>
        <v/>
      </c>
      <c r="J69" s="8">
        <f>H69/E69</f>
        <v/>
      </c>
      <c r="K69" s="8" t="n">
        <v>6.88</v>
      </c>
      <c r="L69" s="8" t="n">
        <v>6.67</v>
      </c>
      <c r="M69" s="8" t="n">
        <v>6.739999999999999</v>
      </c>
      <c r="N69" s="14">
        <f>J69/M69-1</f>
        <v/>
      </c>
      <c r="O69" s="14">
        <f>J69/K69-1</f>
        <v/>
      </c>
      <c r="P69" s="7" t="inlineStr">
        <is>
          <t>ACIMA +0.9%</t>
        </is>
      </c>
      <c r="Q69" s="7" t="inlineStr"/>
    </row>
    <row r="70">
      <c r="A70" s="7" t="n">
        <v>657341</v>
      </c>
      <c r="B70" s="7" t="inlineStr">
        <is>
          <t>5502</t>
        </is>
      </c>
      <c r="C70" s="12" t="inlineStr">
        <is>
          <t>7898079000549</t>
        </is>
      </c>
      <c r="D70" s="7" t="inlineStr">
        <is>
          <t>PRES. PRUDENCE SENSACOES SENS RETAR C/03</t>
        </is>
      </c>
      <c r="E70" s="13" t="n">
        <v>1</v>
      </c>
      <c r="F70" s="13" t="n">
        <v>2</v>
      </c>
      <c r="G70" s="13" t="n">
        <v>2</v>
      </c>
      <c r="H70" s="8" t="n">
        <v>8.859999999999999</v>
      </c>
      <c r="I70" s="8">
        <f>G70*H70</f>
        <v/>
      </c>
      <c r="J70" s="8">
        <f>H70/E70</f>
        <v/>
      </c>
      <c r="K70" s="8" t="n">
        <v>7.89</v>
      </c>
      <c r="L70" s="8" t="n">
        <v>7.89</v>
      </c>
      <c r="M70" s="8" t="n">
        <v>7.89</v>
      </c>
      <c r="N70" s="14">
        <f>J70/M70-1</f>
        <v/>
      </c>
      <c r="O70" s="14">
        <f>J70/K70-1</f>
        <v/>
      </c>
      <c r="P70" s="7" t="inlineStr">
        <is>
          <t>ACIMA +12.3%</t>
        </is>
      </c>
      <c r="Q70" s="7" t="inlineStr"/>
    </row>
    <row r="71">
      <c r="A71" s="7" t="n">
        <v>569121</v>
      </c>
      <c r="B71" s="7" t="inlineStr">
        <is>
          <t>5435</t>
        </is>
      </c>
      <c r="C71" s="12" t="inlineStr">
        <is>
          <t>7896007200504</t>
        </is>
      </c>
      <c r="D71" s="7" t="inlineStr">
        <is>
          <t>PRESERV BLOWTEX ELITE C/3UN (BLO)</t>
        </is>
      </c>
      <c r="E71" s="13" t="n">
        <v>1</v>
      </c>
      <c r="F71" s="13" t="n">
        <v>5</v>
      </c>
      <c r="G71" s="13" t="n">
        <v>5</v>
      </c>
      <c r="H71" s="8" t="n">
        <v>1.37</v>
      </c>
      <c r="I71" s="8">
        <f>G71*H71</f>
        <v/>
      </c>
      <c r="J71" s="8">
        <f>H71/E71</f>
        <v/>
      </c>
      <c r="K71" s="8" t="n">
        <v>1.29</v>
      </c>
      <c r="L71" s="8" t="n">
        <v>1.18</v>
      </c>
      <c r="M71" s="8" t="n">
        <v>1.253333333333333</v>
      </c>
      <c r="N71" s="14">
        <f>J71/M71-1</f>
        <v/>
      </c>
      <c r="O71" s="14">
        <f>J71/K71-1</f>
        <v/>
      </c>
      <c r="P71" s="7" t="inlineStr">
        <is>
          <t>ACIMA +6.2%</t>
        </is>
      </c>
      <c r="Q71" s="7" t="inlineStr"/>
    </row>
    <row r="72">
      <c r="A72" s="7" t="n">
        <v>641761</v>
      </c>
      <c r="B72" s="7" t="inlineStr">
        <is>
          <t>5438</t>
        </is>
      </c>
      <c r="C72" s="12" t="inlineStr">
        <is>
          <t>7896007202003</t>
        </is>
      </c>
      <c r="D72" s="7" t="inlineStr">
        <is>
          <t>PRESERV BLOWTEX LUBRIFICADO L9P6</t>
        </is>
      </c>
      <c r="E72" s="13" t="n">
        <v>1</v>
      </c>
      <c r="F72" s="13" t="n">
        <v>3</v>
      </c>
      <c r="G72" s="13" t="n">
        <v>3</v>
      </c>
      <c r="H72" s="8" t="n">
        <v>8.869999999999999</v>
      </c>
      <c r="I72" s="8">
        <f>G72*H72</f>
        <v/>
      </c>
      <c r="J72" s="8">
        <f>H72/E72</f>
        <v/>
      </c>
      <c r="K72" s="8" t="n">
        <v>8.26</v>
      </c>
      <c r="L72" s="8" t="n">
        <v>7.23</v>
      </c>
      <c r="M72" s="8" t="n">
        <v>7.916666666666667</v>
      </c>
      <c r="N72" s="14">
        <f>J72/M72-1</f>
        <v/>
      </c>
      <c r="O72" s="14">
        <f>J72/K72-1</f>
        <v/>
      </c>
      <c r="P72" s="7" t="inlineStr">
        <is>
          <t>ACIMA +7.4%</t>
        </is>
      </c>
      <c r="Q72" s="7" t="inlineStr"/>
    </row>
    <row r="73">
      <c r="A73" s="7" t="n">
        <v>579341</v>
      </c>
      <c r="B73" s="7" t="inlineStr">
        <is>
          <t>5428</t>
        </is>
      </c>
      <c r="C73" s="12" t="inlineStr">
        <is>
          <t>7896007200344</t>
        </is>
      </c>
      <c r="D73" s="7" t="inlineStr">
        <is>
          <t>PRESERV BLOWTEX MENTA C/3UN (BLO)</t>
        </is>
      </c>
      <c r="E73" s="13" t="n">
        <v>1</v>
      </c>
      <c r="F73" s="13" t="n">
        <v>2</v>
      </c>
      <c r="G73" s="13" t="n">
        <v>2</v>
      </c>
      <c r="H73" s="8" t="n">
        <v>4.73</v>
      </c>
      <c r="I73" s="8">
        <f>G73*H73</f>
        <v/>
      </c>
      <c r="J73" s="8">
        <f>H73/E73</f>
        <v/>
      </c>
      <c r="K73" s="8" t="n">
        <v>4.33</v>
      </c>
      <c r="L73" s="8" t="n">
        <v>4.33</v>
      </c>
      <c r="M73" s="8" t="n">
        <v>4.33</v>
      </c>
      <c r="N73" s="14">
        <f>J73/M73-1</f>
        <v/>
      </c>
      <c r="O73" s="14">
        <f>J73/K73-1</f>
        <v/>
      </c>
      <c r="P73" s="7" t="inlineStr">
        <is>
          <t>ACIMA +9.2%</t>
        </is>
      </c>
      <c r="Q73" s="7" t="inlineStr"/>
    </row>
    <row r="74">
      <c r="A74" s="7" t="n">
        <v>643211</v>
      </c>
      <c r="B74" s="7" t="inlineStr">
        <is>
          <t>5429</t>
        </is>
      </c>
      <c r="C74" s="12" t="inlineStr">
        <is>
          <t>7896007202348</t>
        </is>
      </c>
      <c r="D74" s="7" t="inlineStr">
        <is>
          <t>PRESERV BLOWTEX MENTA L9P6</t>
        </is>
      </c>
      <c r="E74" s="13" t="n">
        <v>1</v>
      </c>
      <c r="F74" s="13" t="n">
        <v>2</v>
      </c>
      <c r="G74" s="13" t="n">
        <v>2</v>
      </c>
      <c r="H74" s="8" t="n">
        <v>9.779999999999999</v>
      </c>
      <c r="I74" s="8">
        <f>G74*H74</f>
        <v/>
      </c>
      <c r="J74" s="8">
        <f>H74/E74</f>
        <v/>
      </c>
      <c r="K74" s="8" t="n">
        <v>7.72</v>
      </c>
      <c r="L74" s="8" t="n">
        <v>7.72</v>
      </c>
      <c r="M74" s="8" t="n">
        <v>7.72</v>
      </c>
      <c r="N74" s="14">
        <f>J74/M74-1</f>
        <v/>
      </c>
      <c r="O74" s="14">
        <f>J74/K74-1</f>
        <v/>
      </c>
      <c r="P74" s="7" t="inlineStr">
        <is>
          <t>ACIMA +26.7%</t>
        </is>
      </c>
      <c r="Q74" s="7" t="inlineStr"/>
    </row>
    <row r="75">
      <c r="A75" s="7" t="n">
        <v>632781</v>
      </c>
      <c r="B75" s="7" t="inlineStr">
        <is>
          <t>5449</t>
        </is>
      </c>
      <c r="C75" s="12" t="inlineStr">
        <is>
          <t>7896007202720</t>
        </is>
      </c>
      <c r="D75" s="7" t="inlineStr">
        <is>
          <t>PRESERV BLOWTEX SENS EXTRA FINO 3UN</t>
        </is>
      </c>
      <c r="E75" s="13" t="n">
        <v>1</v>
      </c>
      <c r="F75" s="13" t="n">
        <v>3</v>
      </c>
      <c r="G75" s="13" t="n">
        <v>3</v>
      </c>
      <c r="H75" s="8" t="n">
        <v>8.1</v>
      </c>
      <c r="I75" s="8">
        <f>G75*H75</f>
        <v/>
      </c>
      <c r="J75" s="8">
        <f>H75/E75</f>
        <v/>
      </c>
      <c r="K75" s="8" t="n">
        <v>7.79</v>
      </c>
      <c r="L75" s="8" t="n">
        <v>7.16</v>
      </c>
      <c r="M75" s="8" t="n">
        <v>7.580000000000001</v>
      </c>
      <c r="N75" s="14">
        <f>J75/M75-1</f>
        <v/>
      </c>
      <c r="O75" s="14">
        <f>J75/K75-1</f>
        <v/>
      </c>
      <c r="P75" s="7" t="inlineStr">
        <is>
          <t>ACIMA +4.0%</t>
        </is>
      </c>
      <c r="Q75" s="7" t="inlineStr"/>
    </row>
    <row r="76">
      <c r="A76" s="7" t="n">
        <v>579381</v>
      </c>
      <c r="B76" s="7" t="inlineStr">
        <is>
          <t>5453</t>
        </is>
      </c>
      <c r="C76" s="12" t="inlineStr">
        <is>
          <t>7896007201358</t>
        </is>
      </c>
      <c r="D76" s="7" t="inlineStr">
        <is>
          <t>PRESERV BLOWTEX SKYN ELITE C/3UN</t>
        </is>
      </c>
      <c r="E76" s="13" t="n">
        <v>1</v>
      </c>
      <c r="F76" s="13" t="n">
        <v>2</v>
      </c>
      <c r="G76" s="13" t="n">
        <v>2</v>
      </c>
      <c r="H76" s="8" t="n">
        <v>11.97</v>
      </c>
      <c r="I76" s="8">
        <f>G76*H76</f>
        <v/>
      </c>
      <c r="J76" s="8">
        <f>H76/E76</f>
        <v/>
      </c>
      <c r="K76" s="8" t="n">
        <v>8.91</v>
      </c>
      <c r="L76" s="8" t="n">
        <v>8.91</v>
      </c>
      <c r="M76" s="8" t="n">
        <v>8.91</v>
      </c>
      <c r="N76" s="14">
        <f>J76/M76-1</f>
        <v/>
      </c>
      <c r="O76" s="14">
        <f>J76/K76-1</f>
        <v/>
      </c>
      <c r="P76" s="7" t="inlineStr">
        <is>
          <t>ACIMA +34.3%</t>
        </is>
      </c>
      <c r="Q76" s="7" t="inlineStr"/>
    </row>
    <row r="77">
      <c r="A77" s="7" t="n">
        <v>641781</v>
      </c>
      <c r="B77" s="7" t="inlineStr">
        <is>
          <t>5465</t>
        </is>
      </c>
      <c r="C77" s="12" t="inlineStr">
        <is>
          <t>7896007201297</t>
        </is>
      </c>
      <c r="D77" s="7" t="inlineStr">
        <is>
          <t>PRESERV BLOWTEX SKYN TEXTURIZADO 3UN</t>
        </is>
      </c>
      <c r="E77" s="13" t="n">
        <v>1</v>
      </c>
      <c r="F77" s="13" t="n">
        <v>4</v>
      </c>
      <c r="G77" s="13" t="n">
        <v>4</v>
      </c>
      <c r="H77" s="8" t="n">
        <v>11.97</v>
      </c>
      <c r="I77" s="8">
        <f>G77*H77</f>
        <v/>
      </c>
      <c r="J77" s="8">
        <f>H77/E77</f>
        <v/>
      </c>
      <c r="K77" s="8" t="n">
        <v>11.39</v>
      </c>
      <c r="L77" s="8" t="n">
        <v>10.69</v>
      </c>
      <c r="M77" s="8" t="n">
        <v>11.15666666666667</v>
      </c>
      <c r="N77" s="14">
        <f>J77/M77-1</f>
        <v/>
      </c>
      <c r="O77" s="14">
        <f>J77/K77-1</f>
        <v/>
      </c>
      <c r="P77" s="7" t="inlineStr">
        <is>
          <t>ACIMA +5.1%</t>
        </is>
      </c>
      <c r="Q77" s="7" t="inlineStr"/>
    </row>
    <row r="78">
      <c r="A78" s="7" t="n">
        <v>579321</v>
      </c>
      <c r="B78" s="7" t="inlineStr">
        <is>
          <t>5427</t>
        </is>
      </c>
      <c r="C78" s="12" t="inlineStr">
        <is>
          <t>7896007200368</t>
        </is>
      </c>
      <c r="D78" s="7" t="inlineStr">
        <is>
          <t>PRESERV BLOWTEX TUTTI-FRUTTI C/3UN (BLO)</t>
        </is>
      </c>
      <c r="E78" s="13" t="n">
        <v>1</v>
      </c>
      <c r="F78" s="13" t="n">
        <v>3</v>
      </c>
      <c r="G78" s="13" t="n">
        <v>3</v>
      </c>
      <c r="H78" s="8" t="n">
        <v>4.98</v>
      </c>
      <c r="I78" s="8">
        <f>G78*H78</f>
        <v/>
      </c>
      <c r="J78" s="8">
        <f>H78/E78</f>
        <v/>
      </c>
      <c r="K78" s="8" t="n">
        <v>4.288</v>
      </c>
      <c r="L78" s="8" t="n">
        <v>4.288</v>
      </c>
      <c r="M78" s="8" t="n">
        <v>4.288</v>
      </c>
      <c r="N78" s="14">
        <f>J78/M78-1</f>
        <v/>
      </c>
      <c r="O78" s="14">
        <f>J78/K78-1</f>
        <v/>
      </c>
      <c r="P78" s="7" t="inlineStr">
        <is>
          <t>ACIMA +16.1%</t>
        </is>
      </c>
      <c r="Q78" s="7" t="inlineStr"/>
    </row>
    <row r="79">
      <c r="A79" s="7" t="n">
        <v>595641</v>
      </c>
      <c r="B79" s="7" t="inlineStr">
        <is>
          <t>5495</t>
        </is>
      </c>
      <c r="C79" s="12" t="inlineStr">
        <is>
          <t>7898079006770</t>
        </is>
      </c>
      <c r="D79" s="7" t="inlineStr">
        <is>
          <t>PRESERV PRUDENCE MIX 6X8 OF</t>
        </is>
      </c>
      <c r="E79" s="13" t="n">
        <v>1</v>
      </c>
      <c r="F79" s="13" t="n">
        <v>2</v>
      </c>
      <c r="G79" s="13" t="n">
        <v>2</v>
      </c>
      <c r="H79" s="8" t="n">
        <v>9.81</v>
      </c>
      <c r="I79" s="8">
        <f>G79*H79</f>
        <v/>
      </c>
      <c r="J79" s="8">
        <f>H79/E79</f>
        <v/>
      </c>
      <c r="K79" s="8" t="n">
        <v>8.539999999999999</v>
      </c>
      <c r="L79" s="8" t="n">
        <v>8.539999999999999</v>
      </c>
      <c r="M79" s="8" t="n">
        <v>8.539999999999999</v>
      </c>
      <c r="N79" s="14">
        <f>J79/M79-1</f>
        <v/>
      </c>
      <c r="O79" s="14">
        <f>J79/K79-1</f>
        <v/>
      </c>
      <c r="P79" s="7" t="inlineStr">
        <is>
          <t>ACIMA +14.9%</t>
        </is>
      </c>
      <c r="Q79" s="7" t="inlineStr"/>
    </row>
    <row r="80">
      <c r="A80" s="7" t="n">
        <v>595621</v>
      </c>
      <c r="B80" s="7" t="inlineStr">
        <is>
          <t>5480</t>
        </is>
      </c>
      <c r="C80" s="12" t="inlineStr">
        <is>
          <t>7898079000358</t>
        </is>
      </c>
      <c r="D80" s="7" t="inlineStr">
        <is>
          <t>PRESERV PRUDENCE T FRUTTI 12UN</t>
        </is>
      </c>
      <c r="E80" s="13" t="n">
        <v>1</v>
      </c>
      <c r="F80" s="13" t="n">
        <v>1</v>
      </c>
      <c r="G80" s="13" t="n">
        <v>1</v>
      </c>
      <c r="H80" s="8" t="n">
        <v>4.18</v>
      </c>
      <c r="I80" s="8">
        <f>G80*H80</f>
        <v/>
      </c>
      <c r="J80" s="8">
        <f>H80/E80</f>
        <v/>
      </c>
      <c r="K80" s="8" t="n">
        <v>5.13</v>
      </c>
      <c r="L80" s="8" t="n">
        <v>4.97</v>
      </c>
      <c r="M80" s="8" t="n">
        <v>4.976666666666667</v>
      </c>
      <c r="N80" s="14">
        <f>J80/M80-1</f>
        <v/>
      </c>
      <c r="O80" s="14">
        <f>J80/K80-1</f>
        <v/>
      </c>
      <c r="P80" s="7" t="inlineStr">
        <is>
          <t>OK (≤ menor hist.)</t>
        </is>
      </c>
      <c r="Q80" s="7" t="inlineStr"/>
    </row>
    <row r="81">
      <c r="A81" s="7" t="n">
        <v>595611</v>
      </c>
      <c r="B81" s="7" t="inlineStr">
        <is>
          <t>5514</t>
        </is>
      </c>
      <c r="C81" s="12" t="inlineStr">
        <is>
          <t>7898079002963</t>
        </is>
      </c>
      <c r="D81" s="7" t="inlineStr">
        <is>
          <t>PRESERV PRUDENCE ULT S 6X8 OF</t>
        </is>
      </c>
      <c r="E81" s="13" t="n">
        <v>1</v>
      </c>
      <c r="F81" s="13" t="n">
        <v>7</v>
      </c>
      <c r="G81" s="13" t="n">
        <v>7</v>
      </c>
      <c r="H81" s="8" t="n">
        <v>10.52</v>
      </c>
      <c r="I81" s="8">
        <f>G81*H81</f>
        <v/>
      </c>
      <c r="J81" s="8">
        <f>H81/E81</f>
        <v/>
      </c>
      <c r="K81" s="8" t="n">
        <v>9.99</v>
      </c>
      <c r="L81" s="8" t="n">
        <v>9.69</v>
      </c>
      <c r="M81" s="8" t="n">
        <v>9.69</v>
      </c>
      <c r="N81" s="14">
        <f>J81/M81-1</f>
        <v/>
      </c>
      <c r="O81" s="14">
        <f>J81/K81-1</f>
        <v/>
      </c>
      <c r="P81" s="7" t="inlineStr">
        <is>
          <t>ACIMA +5.3%</t>
        </is>
      </c>
      <c r="Q81" s="7" t="inlineStr"/>
    </row>
    <row r="82">
      <c r="A82" s="7" t="n">
        <v>595601</v>
      </c>
      <c r="B82" s="7" t="inlineStr">
        <is>
          <t>5515</t>
        </is>
      </c>
      <c r="C82" s="12" t="inlineStr">
        <is>
          <t>7898079000136</t>
        </is>
      </c>
      <c r="D82" s="7" t="inlineStr">
        <is>
          <t>PRESERV PRUDENCE ULTRA S 3UN</t>
        </is>
      </c>
      <c r="E82" s="13" t="n">
        <v>1</v>
      </c>
      <c r="F82" s="13" t="n">
        <v>2</v>
      </c>
      <c r="G82" s="13" t="n">
        <v>2</v>
      </c>
      <c r="H82" s="8" t="n">
        <v>6.6</v>
      </c>
      <c r="I82" s="8">
        <f>G82*H82</f>
        <v/>
      </c>
      <c r="J82" s="8">
        <f>H82/E82</f>
        <v/>
      </c>
      <c r="K82" s="8" t="n">
        <v>5.89</v>
      </c>
      <c r="L82" s="8" t="n">
        <v>5.89</v>
      </c>
      <c r="M82" s="8" t="n">
        <v>5.89</v>
      </c>
      <c r="N82" s="14">
        <f>J82/M82-1</f>
        <v/>
      </c>
      <c r="O82" s="14">
        <f>J82/K82-1</f>
        <v/>
      </c>
      <c r="P82" s="7" t="inlineStr">
        <is>
          <t>ACIMA +12.1%</t>
        </is>
      </c>
      <c r="Q82" s="7" t="inlineStr"/>
    </row>
    <row r="83">
      <c r="A83" s="7" t="n">
        <v>585221</v>
      </c>
      <c r="B83" s="7" t="inlineStr">
        <is>
          <t>5439</t>
        </is>
      </c>
      <c r="C83" s="12" t="inlineStr">
        <is>
          <t>7896007200313</t>
        </is>
      </c>
      <c r="D83" s="7" t="inlineStr">
        <is>
          <t>PRESERV. BLOWTEX LUB.12X3</t>
        </is>
      </c>
      <c r="E83" s="13" t="n">
        <v>1</v>
      </c>
      <c r="F83" s="13" t="n">
        <v>4</v>
      </c>
      <c r="G83" s="13" t="n">
        <v>4</v>
      </c>
      <c r="H83" s="8" t="n">
        <v>4.23</v>
      </c>
      <c r="I83" s="8">
        <f>G83*H83</f>
        <v/>
      </c>
      <c r="J83" s="8">
        <f>H83/E83</f>
        <v/>
      </c>
      <c r="K83" s="8" t="n">
        <v>4.02</v>
      </c>
      <c r="L83" s="8" t="n">
        <v>3.99</v>
      </c>
      <c r="M83" s="8" t="n">
        <v>3.99</v>
      </c>
      <c r="N83" s="14">
        <f>J83/M83-1</f>
        <v/>
      </c>
      <c r="O83" s="14">
        <f>J83/K83-1</f>
        <v/>
      </c>
      <c r="P83" s="7" t="inlineStr">
        <is>
          <t>ACIMA +5.2%</t>
        </is>
      </c>
      <c r="Q83" s="7" t="inlineStr"/>
    </row>
    <row r="84">
      <c r="A84" s="7" t="n">
        <v>585281</v>
      </c>
      <c r="B84" s="7" t="inlineStr">
        <is>
          <t>5498</t>
        </is>
      </c>
      <c r="C84" s="12" t="inlineStr">
        <is>
          <t>7898079000129</t>
        </is>
      </c>
      <c r="D84" s="7" t="inlineStr">
        <is>
          <t>PRESERV. PRUDENCE EF. RETA.12X3</t>
        </is>
      </c>
      <c r="E84" s="13" t="n">
        <v>1</v>
      </c>
      <c r="F84" s="13" t="n">
        <v>1</v>
      </c>
      <c r="G84" s="13" t="n">
        <v>1</v>
      </c>
      <c r="H84" s="8" t="n">
        <v>8.460000000000001</v>
      </c>
      <c r="I84" s="8">
        <f>G84*H84</f>
        <v/>
      </c>
      <c r="J84" s="8">
        <f>H84/E84</f>
        <v/>
      </c>
      <c r="K84" s="8" t="n">
        <v>7.57</v>
      </c>
      <c r="L84" s="8" t="n">
        <v>7.57</v>
      </c>
      <c r="M84" s="8" t="n">
        <v>7.57</v>
      </c>
      <c r="N84" s="14">
        <f>J84/M84-1</f>
        <v/>
      </c>
      <c r="O84" s="14">
        <f>J84/K84-1</f>
        <v/>
      </c>
      <c r="P84" s="7" t="inlineStr">
        <is>
          <t>ACIMA +11.8%</t>
        </is>
      </c>
      <c r="Q84" s="7" t="inlineStr"/>
    </row>
    <row r="85">
      <c r="A85" s="7" t="n">
        <v>585321</v>
      </c>
      <c r="B85" s="7" t="inlineStr">
        <is>
          <t>5484</t>
        </is>
      </c>
      <c r="C85" s="12" t="inlineStr">
        <is>
          <t>7898079003021</t>
        </is>
      </c>
      <c r="D85" s="7" t="inlineStr">
        <is>
          <t>PRESERV. PRUDENCE LUB.12X3</t>
        </is>
      </c>
      <c r="E85" s="13" t="n">
        <v>1</v>
      </c>
      <c r="F85" s="13" t="n">
        <v>3</v>
      </c>
      <c r="G85" s="13" t="n">
        <v>3</v>
      </c>
      <c r="H85" s="8" t="n">
        <v>3.93</v>
      </c>
      <c r="I85" s="8">
        <f>G85*H85</f>
        <v/>
      </c>
      <c r="J85" s="8">
        <f>H85/E85</f>
        <v/>
      </c>
      <c r="K85" s="8" t="n">
        <v>3.91</v>
      </c>
      <c r="L85" s="8" t="n">
        <v>3.91</v>
      </c>
      <c r="M85" s="8" t="n">
        <v>3.91</v>
      </c>
      <c r="N85" s="14">
        <f>J85/M85-1</f>
        <v/>
      </c>
      <c r="O85" s="14">
        <f>J85/K85-1</f>
        <v/>
      </c>
      <c r="P85" s="7" t="inlineStr">
        <is>
          <t>ACIMA +0.5%</t>
        </is>
      </c>
      <c r="Q85" s="7" t="inlineStr"/>
    </row>
    <row r="86">
      <c r="A86" s="7" t="n">
        <v>585341</v>
      </c>
      <c r="B86" s="7" t="inlineStr">
        <is>
          <t>5476</t>
        </is>
      </c>
      <c r="C86" s="12" t="inlineStr">
        <is>
          <t>7898079000495</t>
        </is>
      </c>
      <c r="D86" s="7" t="inlineStr">
        <is>
          <t>PRESERV. PRUDENCE MELANCIA 12X3</t>
        </is>
      </c>
      <c r="E86" s="13" t="n">
        <v>1</v>
      </c>
      <c r="F86" s="13" t="n">
        <v>7</v>
      </c>
      <c r="G86" s="13" t="n">
        <v>7</v>
      </c>
      <c r="H86" s="8" t="n">
        <v>4.76</v>
      </c>
      <c r="I86" s="8">
        <f>G86*H86</f>
        <v/>
      </c>
      <c r="J86" s="8">
        <f>H86/E86</f>
        <v/>
      </c>
      <c r="K86" s="8" t="n">
        <v>5.5</v>
      </c>
      <c r="L86" s="8" t="n">
        <v>5.5</v>
      </c>
      <c r="M86" s="8" t="n">
        <v>5.5</v>
      </c>
      <c r="N86" s="14">
        <f>J86/M86-1</f>
        <v/>
      </c>
      <c r="O86" s="14">
        <f>J86/K86-1</f>
        <v/>
      </c>
      <c r="P86" s="7" t="inlineStr">
        <is>
          <t>OK (≤ menor hist.)</t>
        </is>
      </c>
      <c r="Q86" s="7" t="inlineStr"/>
    </row>
    <row r="87">
      <c r="A87" s="7" t="n">
        <v>585361</v>
      </c>
      <c r="B87" s="7" t="inlineStr">
        <is>
          <t>5478</t>
        </is>
      </c>
      <c r="C87" s="12" t="inlineStr">
        <is>
          <t>7898079000303</t>
        </is>
      </c>
      <c r="D87" s="7" t="inlineStr">
        <is>
          <t>PRESERV. PRUDENCE MORANGO 12X3</t>
        </is>
      </c>
      <c r="E87" s="13" t="n">
        <v>1</v>
      </c>
      <c r="F87" s="13" t="n">
        <v>7</v>
      </c>
      <c r="G87" s="13" t="n">
        <v>7</v>
      </c>
      <c r="H87" s="8" t="n">
        <v>5.18</v>
      </c>
      <c r="I87" s="8">
        <f>G87*H87</f>
        <v/>
      </c>
      <c r="J87" s="8">
        <f>H87/E87</f>
        <v/>
      </c>
      <c r="K87" s="8" t="n">
        <v>4.92</v>
      </c>
      <c r="L87" s="8" t="n">
        <v>4.92</v>
      </c>
      <c r="M87" s="8" t="n">
        <v>4.92</v>
      </c>
      <c r="N87" s="14">
        <f>J87/M87-1</f>
        <v/>
      </c>
      <c r="O87" s="14">
        <f>J87/K87-1</f>
        <v/>
      </c>
      <c r="P87" s="7" t="inlineStr">
        <is>
          <t>ACIMA +5.3%</t>
        </is>
      </c>
      <c r="Q87" s="7" t="inlineStr"/>
    </row>
    <row r="88">
      <c r="A88" s="7" t="n">
        <v>585381</v>
      </c>
      <c r="B88" s="7" t="inlineStr">
        <is>
          <t>5482</t>
        </is>
      </c>
      <c r="C88" s="12" t="inlineStr">
        <is>
          <t>7898079000327</t>
        </is>
      </c>
      <c r="D88" s="7" t="inlineStr">
        <is>
          <t>PRESERV. PRUDENCE UVA 12X3</t>
        </is>
      </c>
      <c r="E88" s="13" t="n">
        <v>1</v>
      </c>
      <c r="F88" s="13" t="n">
        <v>7</v>
      </c>
      <c r="G88" s="13" t="n">
        <v>7</v>
      </c>
      <c r="H88" s="8" t="n">
        <v>3.8</v>
      </c>
      <c r="I88" s="8">
        <f>G88*H88</f>
        <v/>
      </c>
      <c r="J88" s="8">
        <f>H88/E88</f>
        <v/>
      </c>
      <c r="K88" s="8" t="n">
        <v>5.17</v>
      </c>
      <c r="L88" s="8" t="n">
        <v>5.17</v>
      </c>
      <c r="M88" s="8" t="n">
        <v>5.17</v>
      </c>
      <c r="N88" s="14">
        <f>J88/M88-1</f>
        <v/>
      </c>
      <c r="O88" s="14">
        <f>J88/K88-1</f>
        <v/>
      </c>
      <c r="P88" s="7" t="inlineStr">
        <is>
          <t>OK (≤ menor hist.)</t>
        </is>
      </c>
      <c r="Q88" s="7" t="inlineStr"/>
    </row>
    <row r="89">
      <c r="A89" s="7" t="n">
        <v>595631</v>
      </c>
      <c r="B89" s="7" t="inlineStr">
        <is>
          <t>5504</t>
        </is>
      </c>
      <c r="C89" s="12" t="inlineStr">
        <is>
          <t>7898079002499</t>
        </is>
      </c>
      <c r="D89" s="7" t="inlineStr">
        <is>
          <t>PRESERV.PRUDENCE SUPER 03UN</t>
        </is>
      </c>
      <c r="E89" s="13" t="n">
        <v>1</v>
      </c>
      <c r="F89" s="13" t="n">
        <v>4</v>
      </c>
      <c r="G89" s="13" t="n">
        <v>4</v>
      </c>
      <c r="H89" s="8" t="n">
        <v>8.56</v>
      </c>
      <c r="I89" s="8">
        <f>G89*H89</f>
        <v/>
      </c>
      <c r="J89" s="8">
        <f>H89/E89</f>
        <v/>
      </c>
      <c r="K89" s="8" t="n">
        <v>7.63</v>
      </c>
      <c r="L89" s="8" t="n">
        <v>7.63</v>
      </c>
      <c r="M89" s="8" t="n">
        <v>7.63</v>
      </c>
      <c r="N89" s="14">
        <f>J89/M89-1</f>
        <v/>
      </c>
      <c r="O89" s="14">
        <f>J89/K89-1</f>
        <v/>
      </c>
      <c r="P89" s="7" t="inlineStr">
        <is>
          <t>ACIMA +12.2%</t>
        </is>
      </c>
      <c r="Q89" s="7" t="inlineStr"/>
    </row>
    <row r="90">
      <c r="A90" s="7" t="n">
        <v>70701</v>
      </c>
      <c r="B90" s="7" t="inlineStr">
        <is>
          <t>2697</t>
        </is>
      </c>
      <c r="C90" s="12" t="inlineStr">
        <is>
          <t>7897917001380</t>
        </is>
      </c>
      <c r="D90" s="7" t="inlineStr">
        <is>
          <t>PVV - BELSPAN 333,4+6,67MG SOL OR FR GTS 20ML</t>
        </is>
      </c>
      <c r="E90" s="13" t="n">
        <v>1</v>
      </c>
      <c r="F90" s="13" t="n">
        <v>2</v>
      </c>
      <c r="G90" s="13" t="n">
        <v>2</v>
      </c>
      <c r="H90" s="8" t="n">
        <v>8.449999999999999</v>
      </c>
      <c r="I90" s="8">
        <f>G90*H90</f>
        <v/>
      </c>
      <c r="J90" s="8">
        <f>H90/E90</f>
        <v/>
      </c>
      <c r="K90" s="8" t="n">
        <v>6.15</v>
      </c>
      <c r="L90" s="8" t="n">
        <v>6.15</v>
      </c>
      <c r="M90" s="8" t="n">
        <v>6.150000000000001</v>
      </c>
      <c r="N90" s="14">
        <f>J90/M90-1</f>
        <v/>
      </c>
      <c r="O90" s="14">
        <f>J90/K90-1</f>
        <v/>
      </c>
      <c r="P90" s="7" t="inlineStr">
        <is>
          <t>ACIMA +37.4%</t>
        </is>
      </c>
      <c r="Q90" s="7" t="inlineStr"/>
    </row>
    <row r="91">
      <c r="A91" s="7" t="n">
        <v>647251</v>
      </c>
      <c r="B91" s="7" t="inlineStr">
        <is>
          <t>6766</t>
        </is>
      </c>
      <c r="C91" s="12" t="inlineStr">
        <is>
          <t>7896023716430</t>
        </is>
      </c>
      <c r="D91" s="7" t="inlineStr">
        <is>
          <t>PVV - VITAMINA C 1G C/30 CPR</t>
        </is>
      </c>
      <c r="E91" s="13" t="n">
        <v>1</v>
      </c>
      <c r="F91" s="13" t="n">
        <v>1</v>
      </c>
      <c r="G91" s="13" t="n">
        <v>1</v>
      </c>
      <c r="H91" s="8" t="n">
        <v>32.49</v>
      </c>
      <c r="I91" s="8">
        <f>G91*H91</f>
        <v/>
      </c>
      <c r="J91" s="8">
        <f>H91/E91</f>
        <v/>
      </c>
      <c r="K91" s="8" t="n">
        <v>24.6</v>
      </c>
      <c r="L91" s="8" t="n">
        <v>24.6</v>
      </c>
      <c r="M91" s="8" t="n">
        <v>24.6</v>
      </c>
      <c r="N91" s="14">
        <f>J91/M91-1</f>
        <v/>
      </c>
      <c r="O91" s="14">
        <f>J91/K91-1</f>
        <v/>
      </c>
      <c r="P91" s="7" t="inlineStr">
        <is>
          <t>ACIMA +32.1%</t>
        </is>
      </c>
      <c r="Q91" s="7" t="inlineStr"/>
    </row>
    <row r="92">
      <c r="A92" s="7" t="n">
        <v>2193</v>
      </c>
      <c r="B92" s="7" t="inlineStr">
        <is>
          <t>5740</t>
        </is>
      </c>
      <c r="C92" s="12" t="inlineStr">
        <is>
          <t>7896902212497</t>
        </is>
      </c>
      <c r="D92" s="7" t="inlineStr">
        <is>
          <t>REPELENTE BABY FARMAX MOSKITOFF 100ML</t>
        </is>
      </c>
      <c r="E92" s="13" t="n">
        <v>1</v>
      </c>
      <c r="F92" s="13" t="n">
        <v>1</v>
      </c>
      <c r="G92" s="13" t="n">
        <v>1</v>
      </c>
      <c r="H92" s="8" t="n">
        <v>16.83</v>
      </c>
      <c r="I92" s="8">
        <f>G92*H92</f>
        <v/>
      </c>
      <c r="J92" s="8">
        <f>H92/E92</f>
        <v/>
      </c>
      <c r="K92" s="8" t="n">
        <v>20.39</v>
      </c>
      <c r="L92" s="8" t="n">
        <v>20.39</v>
      </c>
      <c r="M92" s="8" t="n">
        <v>20.39</v>
      </c>
      <c r="N92" s="14">
        <f>J92/M92-1</f>
        <v/>
      </c>
      <c r="O92" s="14">
        <f>J92/K92-1</f>
        <v/>
      </c>
      <c r="P92" s="7" t="inlineStr">
        <is>
          <t>OK (≤ menor hist.)</t>
        </is>
      </c>
      <c r="Q92" s="7" t="inlineStr"/>
    </row>
    <row r="93">
      <c r="A93" s="7" t="n">
        <v>315381</v>
      </c>
      <c r="B93" s="7" t="inlineStr">
        <is>
          <t>7505</t>
        </is>
      </c>
      <c r="C93" s="12" t="inlineStr">
        <is>
          <t>7896004715247</t>
        </is>
      </c>
      <c r="D93" s="7" t="inlineStr">
        <is>
          <t>REPOFLOR 100MG FR 12 CAP</t>
        </is>
      </c>
      <c r="E93" s="13" t="n">
        <v>1</v>
      </c>
      <c r="F93" s="13" t="n">
        <v>7</v>
      </c>
      <c r="G93" s="13" t="n">
        <v>7</v>
      </c>
      <c r="H93" s="8" t="n">
        <v>24.67</v>
      </c>
      <c r="I93" s="8">
        <f>G93*H93</f>
        <v/>
      </c>
      <c r="J93" s="8">
        <f>H93/E93</f>
        <v/>
      </c>
      <c r="K93" s="8" t="n">
        <v>22.17</v>
      </c>
      <c r="L93" s="8" t="n">
        <v>14.55</v>
      </c>
      <c r="M93" s="8" t="n">
        <v>19.62906666666667</v>
      </c>
      <c r="N93" s="14">
        <f>J93/M93-1</f>
        <v/>
      </c>
      <c r="O93" s="14">
        <f>J93/K93-1</f>
        <v/>
      </c>
      <c r="P93" s="7" t="inlineStr">
        <is>
          <t>ACIMA +11.3%</t>
        </is>
      </c>
      <c r="Q93" s="7" t="inlineStr"/>
    </row>
    <row r="94">
      <c r="A94" s="7" t="n">
        <v>619021</v>
      </c>
      <c r="B94" s="7" t="inlineStr">
        <is>
          <t>5959</t>
        </is>
      </c>
      <c r="C94" s="12" t="inlineStr">
        <is>
          <t>7898283813454</t>
        </is>
      </c>
      <c r="D94" s="7" t="inlineStr">
        <is>
          <t>SCALP 23G AZUL</t>
        </is>
      </c>
      <c r="E94" s="13" t="n">
        <v>1</v>
      </c>
      <c r="F94" s="13" t="n">
        <v>2</v>
      </c>
      <c r="G94" s="13" t="n">
        <v>2</v>
      </c>
      <c r="H94" s="8" t="n">
        <v>32.02</v>
      </c>
      <c r="I94" s="8">
        <f>G94*H94</f>
        <v/>
      </c>
      <c r="J94" s="8">
        <f>H94/E94</f>
        <v/>
      </c>
      <c r="K94" s="8" t="n">
        <v>0.7662</v>
      </c>
      <c r="L94" s="8" t="n">
        <v>0.7662</v>
      </c>
      <c r="M94" s="8" t="n">
        <v>0.7662</v>
      </c>
      <c r="N94" s="14">
        <f>J94/M94-1</f>
        <v/>
      </c>
      <c r="O94" s="14">
        <f>J94/K94-1</f>
        <v/>
      </c>
      <c r="P94" s="7" t="inlineStr">
        <is>
          <t>ACIMA +4079.1%</t>
        </is>
      </c>
      <c r="Q94" s="7" t="inlineStr">
        <is>
          <t>conferir emb.</t>
        </is>
      </c>
    </row>
    <row r="95">
      <c r="A95" s="7" t="n">
        <v>671161</v>
      </c>
      <c r="B95" s="7" t="inlineStr">
        <is>
          <t>8723</t>
        </is>
      </c>
      <c r="C95" s="12" t="inlineStr">
        <is>
          <t>7898706400155</t>
        </is>
      </c>
      <c r="D95" s="7" t="inlineStr">
        <is>
          <t>SERINGA P/ LAVAGEM NASAL 10ML PATATI PAT</t>
        </is>
      </c>
      <c r="E95" s="13" t="n">
        <v>1</v>
      </c>
      <c r="F95" s="13" t="n">
        <v>2</v>
      </c>
      <c r="G95" s="13" t="n">
        <v>2</v>
      </c>
      <c r="H95" s="8" t="n">
        <v>15.6</v>
      </c>
      <c r="I95" s="8">
        <f>G95*H95</f>
        <v/>
      </c>
      <c r="J95" s="8">
        <f>H95/E95</f>
        <v/>
      </c>
      <c r="K95" s="8" t="n">
        <v>14.82</v>
      </c>
      <c r="L95" s="8" t="n">
        <v>14.69</v>
      </c>
      <c r="M95" s="8" t="n">
        <v>14.77666666666667</v>
      </c>
      <c r="N95" s="14">
        <f>J95/M95-1</f>
        <v/>
      </c>
      <c r="O95" s="14">
        <f>J95/K95-1</f>
        <v/>
      </c>
      <c r="P95" s="7" t="inlineStr">
        <is>
          <t>ACIMA +5.3%</t>
        </is>
      </c>
      <c r="Q95" s="7" t="inlineStr"/>
    </row>
    <row r="96">
      <c r="A96" s="7" t="n">
        <v>671141</v>
      </c>
      <c r="B96" s="7" t="inlineStr">
        <is>
          <t>7601</t>
        </is>
      </c>
      <c r="C96" s="12" t="inlineStr">
        <is>
          <t>7898706401138</t>
        </is>
      </c>
      <c r="D96" s="7" t="inlineStr">
        <is>
          <t>SERINGA P/ LAVAGEM NASAL BABY 5 ML</t>
        </is>
      </c>
      <c r="E96" s="13" t="n">
        <v>1</v>
      </c>
      <c r="F96" s="13" t="n">
        <v>1</v>
      </c>
      <c r="G96" s="13" t="n">
        <v>1</v>
      </c>
      <c r="H96" s="8" t="n">
        <v>18.37</v>
      </c>
      <c r="I96" s="8">
        <f>G96*H96</f>
        <v/>
      </c>
      <c r="J96" s="8">
        <f>H96/E96</f>
        <v/>
      </c>
      <c r="K96" s="8" t="n">
        <v>15.84</v>
      </c>
      <c r="L96" s="8" t="n">
        <v>15.84</v>
      </c>
      <c r="M96" s="8" t="n">
        <v>15.84</v>
      </c>
      <c r="N96" s="14">
        <f>J96/M96-1</f>
        <v/>
      </c>
      <c r="O96" s="14">
        <f>J96/K96-1</f>
        <v/>
      </c>
      <c r="P96" s="7" t="inlineStr">
        <is>
          <t>ACIMA +16.0%</t>
        </is>
      </c>
      <c r="Q96" s="7" t="inlineStr"/>
    </row>
    <row r="97">
      <c r="A97" s="7" t="n">
        <v>685901</v>
      </c>
      <c r="B97" s="7" t="inlineStr">
        <is>
          <t>6009</t>
        </is>
      </c>
      <c r="C97" s="12" t="inlineStr">
        <is>
          <t>7898706401930</t>
        </is>
      </c>
      <c r="D97" s="7" t="inlineStr">
        <is>
          <t>SERINGA P/LAVAGEM NASAL LALA JACARE 10ML</t>
        </is>
      </c>
      <c r="E97" s="13" t="n">
        <v>1</v>
      </c>
      <c r="F97" s="13" t="n">
        <v>14</v>
      </c>
      <c r="G97" s="13" t="n">
        <v>14</v>
      </c>
      <c r="H97" s="8" t="n">
        <v>14.17</v>
      </c>
      <c r="I97" s="8">
        <f>G97*H97</f>
        <v/>
      </c>
      <c r="J97" s="8">
        <f>H97/E97</f>
        <v/>
      </c>
      <c r="K97" s="8" t="n">
        <v>14.69</v>
      </c>
      <c r="L97" s="8" t="n">
        <v>13.46</v>
      </c>
      <c r="M97" s="8" t="n">
        <v>13.46</v>
      </c>
      <c r="N97" s="14">
        <f>J97/M97-1</f>
        <v/>
      </c>
      <c r="O97" s="14">
        <f>J97/K97-1</f>
        <v/>
      </c>
      <c r="P97" s="7" t="inlineStr">
        <is>
          <t>OK (≤ últ. compra)</t>
        </is>
      </c>
      <c r="Q97" s="7" t="inlineStr"/>
    </row>
    <row r="98">
      <c r="A98" s="7" t="n">
        <v>2203</v>
      </c>
      <c r="B98" s="7" t="inlineStr">
        <is>
          <t>8924</t>
        </is>
      </c>
      <c r="C98" s="12" t="inlineStr">
        <is>
          <t>7894164010844</t>
        </is>
      </c>
      <c r="D98" s="7" t="inlineStr">
        <is>
          <t>SIMETICONA 75MG 10ML GTS</t>
        </is>
      </c>
      <c r="E98" s="13" t="n">
        <v>1</v>
      </c>
      <c r="F98" s="13" t="n">
        <v>19</v>
      </c>
      <c r="G98" s="13" t="n">
        <v>19</v>
      </c>
      <c r="H98" s="8" t="n">
        <v>1.57</v>
      </c>
      <c r="I98" s="8">
        <f>G98*H98</f>
        <v/>
      </c>
      <c r="J98" s="8">
        <f>H98/E98</f>
        <v/>
      </c>
      <c r="K98" s="8" t="n">
        <v>1.78</v>
      </c>
      <c r="L98" s="8" t="n">
        <v>1.77</v>
      </c>
      <c r="M98" s="8" t="n">
        <v>1.77</v>
      </c>
      <c r="N98" s="14">
        <f>J98/M98-1</f>
        <v/>
      </c>
      <c r="O98" s="14">
        <f>J98/K98-1</f>
        <v/>
      </c>
      <c r="P98" s="7" t="inlineStr">
        <is>
          <t>OK (≤ menor hist.)</t>
        </is>
      </c>
      <c r="Q98" s="7" t="inlineStr"/>
    </row>
    <row r="99">
      <c r="A99" s="7" t="n">
        <v>4963</v>
      </c>
      <c r="B99" s="7" t="inlineStr">
        <is>
          <t>6131</t>
        </is>
      </c>
      <c r="C99" s="12" t="inlineStr">
        <is>
          <t>7894164010899</t>
        </is>
      </c>
      <c r="D99" s="7" t="inlineStr">
        <is>
          <t>SIMETICONA 75MG 15ML GTS</t>
        </is>
      </c>
      <c r="E99" s="13" t="n">
        <v>1</v>
      </c>
      <c r="F99" s="13" t="n">
        <v>1</v>
      </c>
      <c r="G99" s="13" t="n">
        <v>1</v>
      </c>
      <c r="H99" s="8" t="n">
        <v>2.31</v>
      </c>
      <c r="I99" s="8">
        <f>G99*H99</f>
        <v/>
      </c>
      <c r="J99" s="8">
        <f>H99/E99</f>
        <v/>
      </c>
      <c r="K99" s="8" t="n">
        <v>2.28</v>
      </c>
      <c r="L99" s="8" t="n">
        <v>2.28</v>
      </c>
      <c r="M99" s="8" t="n">
        <v>2.28</v>
      </c>
      <c r="N99" s="14">
        <f>J99/M99-1</f>
        <v/>
      </c>
      <c r="O99" s="14">
        <f>J99/K99-1</f>
        <v/>
      </c>
      <c r="P99" s="7" t="inlineStr">
        <is>
          <t>ACIMA +1.3%</t>
        </is>
      </c>
      <c r="Q99" s="7" t="inlineStr"/>
    </row>
    <row r="100">
      <c r="A100" s="7" t="n">
        <v>438221</v>
      </c>
      <c r="B100" s="7" t="inlineStr">
        <is>
          <t>6147</t>
        </is>
      </c>
      <c r="C100" s="12" t="inlineStr">
        <is>
          <t>7898060138091</t>
        </is>
      </c>
      <c r="D100" s="7" t="inlineStr">
        <is>
          <t>SINVASMAX 40MG CX 30 COMP REV</t>
        </is>
      </c>
      <c r="E100" s="13" t="n">
        <v>1</v>
      </c>
      <c r="F100" s="13" t="n">
        <v>3</v>
      </c>
      <c r="G100" s="13" t="n">
        <v>3</v>
      </c>
      <c r="H100" s="8" t="n">
        <v>5.46</v>
      </c>
      <c r="I100" s="8">
        <f>G100*H100</f>
        <v/>
      </c>
      <c r="J100" s="8">
        <f>H100/E100</f>
        <v/>
      </c>
      <c r="K100" s="8" t="n">
        <v>5.09</v>
      </c>
      <c r="L100" s="8" t="n">
        <v>5.09</v>
      </c>
      <c r="M100" s="8" t="n">
        <v>5.09</v>
      </c>
      <c r="N100" s="14">
        <f>J100/M100-1</f>
        <v/>
      </c>
      <c r="O100" s="14">
        <f>J100/K100-1</f>
        <v/>
      </c>
      <c r="P100" s="7" t="inlineStr">
        <is>
          <t>ACIMA +7.3%</t>
        </is>
      </c>
      <c r="Q100" s="7" t="inlineStr"/>
    </row>
    <row r="101">
      <c r="A101" s="7" t="n">
        <v>651041</v>
      </c>
      <c r="B101" s="7" t="inlineStr">
        <is>
          <t>6471</t>
        </is>
      </c>
      <c r="C101" s="12" t="inlineStr">
        <is>
          <t>7898639694324</t>
        </is>
      </c>
      <c r="D101" s="7" t="inlineStr">
        <is>
          <t>TERMOMETRO DIGITAL CORES SORTIDAS M24</t>
        </is>
      </c>
      <c r="E101" s="13" t="n">
        <v>1</v>
      </c>
      <c r="F101" s="13" t="n">
        <v>5</v>
      </c>
      <c r="G101" s="13" t="n">
        <v>5</v>
      </c>
      <c r="H101" s="8" t="n">
        <v>10.86</v>
      </c>
      <c r="I101" s="8">
        <f>G101*H101</f>
        <v/>
      </c>
      <c r="J101" s="8">
        <f>H101/E101</f>
        <v/>
      </c>
      <c r="K101" s="8" t="n">
        <v>10.32</v>
      </c>
      <c r="L101" s="8" t="n">
        <v>7.9875</v>
      </c>
      <c r="M101" s="8" t="n">
        <v>9.5425</v>
      </c>
      <c r="N101" s="14">
        <f>J101/M101-1</f>
        <v/>
      </c>
      <c r="O101" s="14">
        <f>J101/K101-1</f>
        <v/>
      </c>
      <c r="P101" s="7" t="inlineStr">
        <is>
          <t>ACIMA +5.2%</t>
        </is>
      </c>
      <c r="Q101" s="7" t="inlineStr"/>
    </row>
    <row r="102">
      <c r="A102" s="7" t="n">
        <v>591661</v>
      </c>
      <c r="B102" s="7" t="inlineStr">
        <is>
          <t>6485</t>
        </is>
      </c>
      <c r="C102" s="12" t="inlineStr">
        <is>
          <t>7898108640609</t>
        </is>
      </c>
      <c r="D102" s="7" t="inlineStr">
        <is>
          <t>TESTE DE GRAVIDEZ CONFIRA</t>
        </is>
      </c>
      <c r="E102" s="13" t="n">
        <v>1</v>
      </c>
      <c r="F102" s="13" t="n">
        <v>22</v>
      </c>
      <c r="G102" s="13" t="n">
        <v>22</v>
      </c>
      <c r="H102" s="8" t="n">
        <v>1.21</v>
      </c>
      <c r="I102" s="8">
        <f>G102*H102</f>
        <v/>
      </c>
      <c r="J102" s="8">
        <f>H102/E102</f>
        <v/>
      </c>
      <c r="K102" s="8" t="n">
        <v>1.15</v>
      </c>
      <c r="L102" s="8" t="n">
        <v>1.15</v>
      </c>
      <c r="M102" s="8" t="n">
        <v>1.15</v>
      </c>
      <c r="N102" s="14">
        <f>J102/M102-1</f>
        <v/>
      </c>
      <c r="O102" s="14">
        <f>J102/K102-1</f>
        <v/>
      </c>
      <c r="P102" s="7" t="inlineStr">
        <is>
          <t>ACIMA +5.2%</t>
        </is>
      </c>
      <c r="Q102" s="7" t="inlineStr"/>
    </row>
    <row r="103">
      <c r="A103" s="7" t="n">
        <v>619311</v>
      </c>
      <c r="B103" s="7" t="inlineStr">
        <is>
          <t>6540</t>
        </is>
      </c>
      <c r="C103" s="12" t="inlineStr">
        <is>
          <t>7898601062984</t>
        </is>
      </c>
      <c r="D103" s="7" t="inlineStr">
        <is>
          <t>TIPOIA ORTOPEDICA INF MASC AZUL M KSN058</t>
        </is>
      </c>
      <c r="E103" s="13" t="n">
        <v>1</v>
      </c>
      <c r="F103" s="13" t="n">
        <v>1</v>
      </c>
      <c r="G103" s="13" t="n">
        <v>1</v>
      </c>
      <c r="H103" s="8" t="n">
        <v>52.58</v>
      </c>
      <c r="I103" s="8">
        <f>G103*H103</f>
        <v/>
      </c>
      <c r="J103" s="8">
        <f>H103/E103</f>
        <v/>
      </c>
      <c r="K103" s="8" t="n">
        <v>49.55</v>
      </c>
      <c r="L103" s="8" t="n">
        <v>49.55</v>
      </c>
      <c r="M103" s="8" t="n">
        <v>49.54999999999999</v>
      </c>
      <c r="N103" s="14">
        <f>J103/M103-1</f>
        <v/>
      </c>
      <c r="O103" s="14">
        <f>J103/K103-1</f>
        <v/>
      </c>
      <c r="P103" s="7" t="inlineStr">
        <is>
          <t>ACIMA +6.1%</t>
        </is>
      </c>
      <c r="Q103" s="7" t="inlineStr"/>
    </row>
    <row r="104">
      <c r="A104" s="7" t="n">
        <v>630641</v>
      </c>
      <c r="B104" s="7" t="inlineStr">
        <is>
          <t>6656</t>
        </is>
      </c>
      <c r="C104" s="12" t="inlineStr">
        <is>
          <t>7894913003738</t>
        </is>
      </c>
      <c r="D104" s="7" t="inlineStr">
        <is>
          <t>UNIQ B12 BAUNILHA C/60 CPR MASTIGAVEL</t>
        </is>
      </c>
      <c r="E104" s="13" t="n">
        <v>1</v>
      </c>
      <c r="F104" s="13" t="n">
        <v>3</v>
      </c>
      <c r="G104" s="13" t="n">
        <v>3</v>
      </c>
      <c r="H104" s="8" t="n">
        <v>19.97</v>
      </c>
      <c r="I104" s="8">
        <f>G104*H104</f>
        <v/>
      </c>
      <c r="J104" s="8">
        <f>H104/E104</f>
        <v/>
      </c>
      <c r="K104" s="8" t="n">
        <v>19.97</v>
      </c>
      <c r="L104" s="8" t="n">
        <v>18.97</v>
      </c>
      <c r="M104" s="8" t="n">
        <v>18.97</v>
      </c>
      <c r="N104" s="14">
        <f>J104/M104-1</f>
        <v/>
      </c>
      <c r="O104" s="14">
        <f>J104/K104-1</f>
        <v/>
      </c>
      <c r="P104" s="7" t="inlineStr">
        <is>
          <t>OK (≤ últ. compra)</t>
        </is>
      </c>
      <c r="Q104" s="7" t="inlineStr"/>
    </row>
    <row r="105">
      <c r="A105" s="7" t="n">
        <v>55781</v>
      </c>
      <c r="B105" s="7" t="inlineStr">
        <is>
          <t>2310</t>
        </is>
      </c>
      <c r="C105" s="12" t="inlineStr">
        <is>
          <t>7898495603218</t>
        </is>
      </c>
      <c r="D105" s="7" t="inlineStr">
        <is>
          <t>VENCIDO - DEXTAMINE 2MG+025MG CX 20 COMP</t>
        </is>
      </c>
      <c r="E105" s="13" t="n">
        <v>1</v>
      </c>
      <c r="F105" s="13" t="n">
        <v>1</v>
      </c>
      <c r="G105" s="13" t="n">
        <v>1</v>
      </c>
      <c r="H105" s="8" t="n">
        <v>5.72</v>
      </c>
      <c r="I105" s="8">
        <f>G105*H105</f>
        <v/>
      </c>
      <c r="J105" s="8">
        <f>H105/E105</f>
        <v/>
      </c>
      <c r="K105" s="8" t="n">
        <v>5.43</v>
      </c>
      <c r="L105" s="8" t="n">
        <v>5.43</v>
      </c>
      <c r="M105" s="8" t="n">
        <v>5.43</v>
      </c>
      <c r="N105" s="14">
        <f>J105/M105-1</f>
        <v/>
      </c>
      <c r="O105" s="14">
        <f>J105/K105-1</f>
        <v/>
      </c>
      <c r="P105" s="7" t="inlineStr">
        <is>
          <t>ACIMA +5.3%</t>
        </is>
      </c>
      <c r="Q105" s="7" t="inlineStr"/>
    </row>
    <row r="106">
      <c r="A106" s="7" t="n">
        <v>3063</v>
      </c>
      <c r="B106" s="7" t="inlineStr">
        <is>
          <t>6811</t>
        </is>
      </c>
      <c r="C106" s="12" t="inlineStr">
        <is>
          <t>7898687734089</t>
        </is>
      </c>
      <c r="D106" s="7" t="inlineStr">
        <is>
          <t>VITAMINA D3 15000UI CX 4 CAP</t>
        </is>
      </c>
      <c r="E106" s="13" t="n">
        <v>1</v>
      </c>
      <c r="F106" s="13" t="n">
        <v>4</v>
      </c>
      <c r="G106" s="13" t="n">
        <v>4</v>
      </c>
      <c r="H106" s="8" t="n">
        <v>13.35</v>
      </c>
      <c r="I106" s="8">
        <f>G106*H106</f>
        <v/>
      </c>
      <c r="J106" s="8">
        <f>H106/E106</f>
        <v/>
      </c>
      <c r="K106" s="8" t="n">
        <v>14.54</v>
      </c>
      <c r="L106" s="8" t="n">
        <v>10.73</v>
      </c>
      <c r="M106" s="8" t="n">
        <v>13.27</v>
      </c>
      <c r="N106" s="14">
        <f>J106/M106-1</f>
        <v/>
      </c>
      <c r="O106" s="14">
        <f>J106/K106-1</f>
        <v/>
      </c>
      <c r="P106" s="7" t="inlineStr">
        <is>
          <t>OK (≤ últ. compra)</t>
        </is>
      </c>
      <c r="Q106" s="7" t="inlineStr"/>
    </row>
    <row r="107">
      <c r="A107" s="7" t="n">
        <v>193261</v>
      </c>
      <c r="B107" s="7" t="inlineStr">
        <is>
          <t>6831</t>
        </is>
      </c>
      <c r="C107" s="12" t="inlineStr">
        <is>
          <t>7898569765194</t>
        </is>
      </c>
      <c r="D107" s="7" t="inlineStr">
        <is>
          <t>VITAMINA D3 50000UI BL 8 CAP</t>
        </is>
      </c>
      <c r="E107" s="13" t="n">
        <v>1</v>
      </c>
      <c r="F107" s="13" t="n">
        <v>1</v>
      </c>
      <c r="G107" s="13" t="n">
        <v>1</v>
      </c>
      <c r="H107" s="8" t="n">
        <v>25.02</v>
      </c>
      <c r="I107" s="8">
        <f>G107*H107</f>
        <v/>
      </c>
      <c r="J107" s="8">
        <f>H107/E107</f>
        <v/>
      </c>
      <c r="K107" s="8" t="n">
        <v>23.77</v>
      </c>
      <c r="L107" s="8" t="n">
        <v>23.77</v>
      </c>
      <c r="M107" s="8" t="n">
        <v>23.77</v>
      </c>
      <c r="N107" s="14">
        <f>J107/M107-1</f>
        <v/>
      </c>
      <c r="O107" s="14">
        <f>J107/K107-1</f>
        <v/>
      </c>
      <c r="P107" s="7" t="inlineStr">
        <is>
          <t>ACIMA +5.3%</t>
        </is>
      </c>
      <c r="Q107" s="7" t="inlineStr"/>
    </row>
    <row r="108">
      <c r="A108" s="7" t="n">
        <v>193001</v>
      </c>
      <c r="B108" s="7" t="inlineStr">
        <is>
          <t>6824</t>
        </is>
      </c>
      <c r="C108" s="12" t="inlineStr">
        <is>
          <t>7898569765019</t>
        </is>
      </c>
      <c r="D108" s="7" t="inlineStr">
        <is>
          <t>VITAMINA D3 5000UI CX 30 CAP</t>
        </is>
      </c>
      <c r="E108" s="13" t="n">
        <v>1</v>
      </c>
      <c r="F108" s="13" t="n">
        <v>1</v>
      </c>
      <c r="G108" s="13" t="n">
        <v>1</v>
      </c>
      <c r="H108" s="8" t="n">
        <v>14.04</v>
      </c>
      <c r="I108" s="8">
        <f>G108*H108</f>
        <v/>
      </c>
      <c r="J108" s="8">
        <f>H108/E108</f>
        <v/>
      </c>
      <c r="K108" s="8" t="n">
        <v>13.68</v>
      </c>
      <c r="L108" s="8" t="n">
        <v>13.68</v>
      </c>
      <c r="M108" s="8" t="n">
        <v>13.68</v>
      </c>
      <c r="N108" s="14">
        <f>J108/M108-1</f>
        <v/>
      </c>
      <c r="O108" s="14">
        <f>J108/K108-1</f>
        <v/>
      </c>
      <c r="P108" s="7" t="inlineStr">
        <is>
          <t>ACIMA +2.6%</t>
        </is>
      </c>
      <c r="Q108" s="7" t="inlineStr"/>
    </row>
    <row r="109">
      <c r="D109" s="5" t="inlineStr">
        <is>
          <t>TOTAL</t>
        </is>
      </c>
      <c r="I109" s="18">
        <f>SUM(I2:I108)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7" customWidth="1" min="16" max="16"/>
    <col width="26" customWidth="1" min="17" max="17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Média hist.</t>
        </is>
      </c>
      <c r="N1" s="11" t="inlineStr">
        <is>
          <t>% vs média hist.</t>
        </is>
      </c>
      <c r="O1" s="11" t="inlineStr">
        <is>
          <t>% vs últ. compra</t>
        </is>
      </c>
      <c r="P1" s="11" t="inlineStr">
        <is>
          <t>Status</t>
        </is>
      </c>
      <c r="Q1" s="11" t="inlineStr">
        <is>
          <t>OBS</t>
        </is>
      </c>
    </row>
    <row r="2">
      <c r="A2" s="7" t="n">
        <v>674181</v>
      </c>
      <c r="B2" s="7" t="inlineStr"/>
      <c r="C2" s="12" t="inlineStr">
        <is>
          <t>7891317049225</t>
        </is>
      </c>
      <c r="D2" s="7" t="inlineStr">
        <is>
          <t>10BI IMUNE C/30CP-DEMAIS PROD</t>
        </is>
      </c>
      <c r="E2" s="13" t="n">
        <v>1</v>
      </c>
      <c r="F2" s="13" t="n">
        <v>1</v>
      </c>
      <c r="G2" s="13" t="n">
        <v>1</v>
      </c>
      <c r="H2" s="8" t="n">
        <v>119.3</v>
      </c>
      <c r="I2" s="8">
        <f>G2*H2</f>
        <v/>
      </c>
      <c r="J2" s="8">
        <f>H2/E2</f>
        <v/>
      </c>
      <c r="K2" s="8" t="n">
        <v>125.7</v>
      </c>
      <c r="L2" s="8" t="n">
        <v>118.3</v>
      </c>
      <c r="M2" s="8" t="n">
        <v>123.2333333333333</v>
      </c>
      <c r="N2" s="14">
        <f>J2/M2-1</f>
        <v/>
      </c>
      <c r="O2" s="14">
        <f>J2/K2-1</f>
        <v/>
      </c>
      <c r="P2" s="7" t="inlineStr">
        <is>
          <t>OK (≤ últ. compra)</t>
        </is>
      </c>
      <c r="Q2" s="7" t="inlineStr"/>
    </row>
    <row r="3">
      <c r="A3" s="7" t="n">
        <v>584341</v>
      </c>
      <c r="B3" s="7" t="inlineStr"/>
      <c r="C3" s="12" t="inlineStr">
        <is>
          <t>7897732606234</t>
        </is>
      </c>
      <c r="D3" s="7" t="inlineStr">
        <is>
          <t>AGUA INGLESA SOBRAL COMPOSTA 430ML (SBR)</t>
        </is>
      </c>
      <c r="E3" s="13" t="n">
        <v>1</v>
      </c>
      <c r="F3" s="13" t="n">
        <v>22</v>
      </c>
      <c r="G3" s="13" t="n">
        <v>22</v>
      </c>
      <c r="H3" s="8" t="n">
        <v>11.36</v>
      </c>
      <c r="I3" s="8">
        <f>G3*H3</f>
        <v/>
      </c>
      <c r="J3" s="8">
        <f>H3/E3</f>
        <v/>
      </c>
      <c r="K3" s="8" t="n">
        <v>11.36</v>
      </c>
      <c r="L3" s="8" t="n">
        <v>11.36</v>
      </c>
      <c r="M3" s="8" t="n">
        <v>11.36</v>
      </c>
      <c r="N3" s="14">
        <f>J3/M3-1</f>
        <v/>
      </c>
      <c r="O3" s="14">
        <f>J3/K3-1</f>
        <v/>
      </c>
      <c r="P3" s="7" t="inlineStr">
        <is>
          <t>OK (≤ menor hist.)</t>
        </is>
      </c>
      <c r="Q3" s="7" t="inlineStr"/>
    </row>
    <row r="4">
      <c r="A4" s="7" t="n">
        <v>566661</v>
      </c>
      <c r="B4" s="7" t="inlineStr"/>
      <c r="C4" s="12" t="inlineStr">
        <is>
          <t>7891317144166</t>
        </is>
      </c>
      <c r="D4" s="7" t="inlineStr">
        <is>
          <t>AIDE 3 200UI SOL OR FR 10ML</t>
        </is>
      </c>
      <c r="E4" s="13" t="n">
        <v>1</v>
      </c>
      <c r="F4" s="13" t="n">
        <v>3</v>
      </c>
      <c r="G4" s="13" t="n">
        <v>3</v>
      </c>
      <c r="H4" s="8" t="n">
        <v>44.56</v>
      </c>
      <c r="I4" s="8">
        <f>G4*H4</f>
        <v/>
      </c>
      <c r="J4" s="8">
        <f>H4/E4</f>
        <v/>
      </c>
      <c r="K4" s="8" t="n">
        <v>44.56</v>
      </c>
      <c r="L4" s="8" t="n">
        <v>44.56</v>
      </c>
      <c r="M4" s="8" t="n">
        <v>44.56</v>
      </c>
      <c r="N4" s="14">
        <f>J4/M4-1</f>
        <v/>
      </c>
      <c r="O4" s="14">
        <f>J4/K4-1</f>
        <v/>
      </c>
      <c r="P4" s="7" t="inlineStr">
        <is>
          <t>OK (≤ menor hist.)</t>
        </is>
      </c>
      <c r="Q4" s="7" t="inlineStr"/>
    </row>
    <row r="5">
      <c r="A5" s="7" t="n">
        <v>469661</v>
      </c>
      <c r="B5" s="7" t="inlineStr"/>
      <c r="C5" s="12" t="inlineStr">
        <is>
          <t>7891317013967</t>
        </is>
      </c>
      <c r="D5" s="7" t="inlineStr">
        <is>
          <t>ANDOLBA 4,5%+0,5%+0,5% AER TOP TB 43G</t>
        </is>
      </c>
      <c r="E5" s="13" t="n">
        <v>1</v>
      </c>
      <c r="F5" s="13" t="n">
        <v>2</v>
      </c>
      <c r="G5" s="13" t="n">
        <v>2</v>
      </c>
      <c r="H5" s="8" t="n">
        <v>30.01</v>
      </c>
      <c r="I5" s="8">
        <f>G5*H5</f>
        <v/>
      </c>
      <c r="J5" s="8">
        <f>H5/E5</f>
        <v/>
      </c>
      <c r="K5" s="8" t="n">
        <v>28.045</v>
      </c>
      <c r="L5" s="8" t="n">
        <v>28.04</v>
      </c>
      <c r="M5" s="8" t="n">
        <v>28.04</v>
      </c>
      <c r="N5" s="14">
        <f>J5/M5-1</f>
        <v/>
      </c>
      <c r="O5" s="14">
        <f>J5/K5-1</f>
        <v/>
      </c>
      <c r="P5" s="7" t="inlineStr">
        <is>
          <t>ACIMA +7.0%</t>
        </is>
      </c>
      <c r="Q5" s="7" t="inlineStr"/>
    </row>
    <row r="6">
      <c r="A6" s="7" t="n">
        <v>149921</v>
      </c>
      <c r="B6" s="7" t="inlineStr"/>
      <c r="C6" s="12" t="inlineStr">
        <is>
          <t>7896261018181</t>
        </is>
      </c>
      <c r="D6" s="7" t="inlineStr">
        <is>
          <t>APRESOLINA 25MG CX 20 DRG</t>
        </is>
      </c>
      <c r="E6" s="13" t="n">
        <v>1</v>
      </c>
      <c r="F6" s="13" t="n">
        <v>5</v>
      </c>
      <c r="G6" s="13" t="n">
        <v>5</v>
      </c>
      <c r="H6" s="8" t="n">
        <v>7.43</v>
      </c>
      <c r="I6" s="8">
        <f>G6*H6</f>
        <v/>
      </c>
      <c r="J6" s="8">
        <f>H6/E6</f>
        <v/>
      </c>
      <c r="K6" s="8" t="n">
        <v>7.9631</v>
      </c>
      <c r="L6" s="8" t="n">
        <v>6.64</v>
      </c>
      <c r="M6" s="8" t="n">
        <v>7.3638</v>
      </c>
      <c r="N6" s="14">
        <f>J6/M6-1</f>
        <v/>
      </c>
      <c r="O6" s="14">
        <f>J6/K6-1</f>
        <v/>
      </c>
      <c r="P6" s="7" t="inlineStr">
        <is>
          <t>OK (≤ últ. compra)</t>
        </is>
      </c>
      <c r="Q6" s="7" t="inlineStr"/>
    </row>
    <row r="7">
      <c r="A7" s="7" t="n">
        <v>47361</v>
      </c>
      <c r="B7" s="7" t="inlineStr"/>
      <c r="C7" s="12" t="inlineStr">
        <is>
          <t>7891317451752</t>
        </is>
      </c>
      <c r="D7" s="7" t="inlineStr">
        <is>
          <t>ASTRO 1500MG PO SUS OR+DIL X 22ML+SER DOS</t>
        </is>
      </c>
      <c r="E7" s="13" t="n">
        <v>1</v>
      </c>
      <c r="F7" s="13" t="n">
        <v>1</v>
      </c>
      <c r="G7" s="13" t="n">
        <v>1</v>
      </c>
      <c r="H7" s="8" t="n">
        <v>59.78</v>
      </c>
      <c r="I7" s="8">
        <f>G7*H7</f>
        <v/>
      </c>
      <c r="J7" s="8">
        <f>H7/E7</f>
        <v/>
      </c>
      <c r="K7" s="8" t="n">
        <v>77.98999999999999</v>
      </c>
      <c r="L7" s="8" t="n">
        <v>54.48</v>
      </c>
      <c r="M7" s="8" t="n">
        <v>65.08666666666666</v>
      </c>
      <c r="N7" s="14">
        <f>J7/M7-1</f>
        <v/>
      </c>
      <c r="O7" s="14">
        <f>J7/K7-1</f>
        <v/>
      </c>
      <c r="P7" s="7" t="inlineStr">
        <is>
          <t>OK (≤ últ. compra)</t>
        </is>
      </c>
      <c r="Q7" s="7" t="inlineStr"/>
    </row>
    <row r="8">
      <c r="A8" s="7" t="n">
        <v>47301</v>
      </c>
      <c r="B8" s="7" t="inlineStr"/>
      <c r="C8" s="12" t="inlineStr">
        <is>
          <t>7891317420840</t>
        </is>
      </c>
      <c r="D8" s="7" t="inlineStr">
        <is>
          <t>ASTRO 500MG CX 5 COMP REV</t>
        </is>
      </c>
      <c r="E8" s="13" t="n">
        <v>1</v>
      </c>
      <c r="F8" s="13" t="n">
        <v>1</v>
      </c>
      <c r="G8" s="13" t="n">
        <v>1</v>
      </c>
      <c r="H8" s="8" t="n">
        <v>31.4</v>
      </c>
      <c r="I8" s="8">
        <f>G8*H8</f>
        <v/>
      </c>
      <c r="J8" s="8">
        <f>H8/E8</f>
        <v/>
      </c>
      <c r="K8" s="8" t="n">
        <v>32.28</v>
      </c>
      <c r="L8" s="8" t="n">
        <v>28.61</v>
      </c>
      <c r="M8" s="8" t="n">
        <v>30.65</v>
      </c>
      <c r="N8" s="14">
        <f>J8/M8-1</f>
        <v/>
      </c>
      <c r="O8" s="14">
        <f>J8/K8-1</f>
        <v/>
      </c>
      <c r="P8" s="7" t="inlineStr">
        <is>
          <t>OK (≤ últ. compra)</t>
        </is>
      </c>
      <c r="Q8" s="7" t="inlineStr"/>
    </row>
    <row r="9">
      <c r="A9" s="7" t="n">
        <v>47321</v>
      </c>
      <c r="B9" s="7" t="inlineStr"/>
      <c r="C9" s="12" t="inlineStr">
        <is>
          <t>7891317412692</t>
        </is>
      </c>
      <c r="D9" s="7" t="inlineStr">
        <is>
          <t>ASTRO 600MG CX 1FA+DIL</t>
        </is>
      </c>
      <c r="E9" s="13" t="n">
        <v>1</v>
      </c>
      <c r="F9" s="13" t="n">
        <v>3</v>
      </c>
      <c r="G9" s="13" t="n">
        <v>3</v>
      </c>
      <c r="H9" s="8" t="n">
        <v>41.97</v>
      </c>
      <c r="I9" s="8">
        <f>G9*H9</f>
        <v/>
      </c>
      <c r="J9" s="8">
        <f>H9/E9</f>
        <v/>
      </c>
      <c r="K9" s="8" t="n">
        <v>38.26</v>
      </c>
      <c r="L9" s="8" t="n">
        <v>38.26</v>
      </c>
      <c r="M9" s="8" t="n">
        <v>38.26</v>
      </c>
      <c r="N9" s="14">
        <f>J9/M9-1</f>
        <v/>
      </c>
      <c r="O9" s="14">
        <f>J9/K9-1</f>
        <v/>
      </c>
      <c r="P9" s="7" t="inlineStr">
        <is>
          <t>ACIMA +9.7%</t>
        </is>
      </c>
      <c r="Q9" s="7" t="inlineStr"/>
    </row>
    <row r="10">
      <c r="A10" s="7" t="n">
        <v>3143</v>
      </c>
      <c r="B10" s="7" t="inlineStr"/>
      <c r="C10" s="12" t="inlineStr">
        <is>
          <t>7898031310259</t>
        </is>
      </c>
      <c r="D10" s="7" t="inlineStr">
        <is>
          <t>AZEITE DOCE 30ML</t>
        </is>
      </c>
      <c r="E10" s="13" t="n">
        <v>1</v>
      </c>
      <c r="F10" s="13" t="n">
        <v>1</v>
      </c>
      <c r="G10" s="13" t="n">
        <v>1</v>
      </c>
      <c r="H10" s="8" t="n">
        <v>3.54</v>
      </c>
      <c r="I10" s="8">
        <f>G10*H10</f>
        <v/>
      </c>
      <c r="J10" s="8">
        <f>H10/E10</f>
        <v/>
      </c>
      <c r="K10" s="8" t="n">
        <v>3.54</v>
      </c>
      <c r="L10" s="8" t="n">
        <v>3.54</v>
      </c>
      <c r="M10" s="8" t="n">
        <v>3.54</v>
      </c>
      <c r="N10" s="14">
        <f>J10/M10-1</f>
        <v/>
      </c>
      <c r="O10" s="14">
        <f>J10/K10-1</f>
        <v/>
      </c>
      <c r="P10" s="7" t="inlineStr">
        <is>
          <t>OK (≤ menor hist.)</t>
        </is>
      </c>
      <c r="Q10" s="7" t="inlineStr"/>
    </row>
    <row r="11">
      <c r="A11" s="7" t="n">
        <v>364041</v>
      </c>
      <c r="B11" s="7" t="inlineStr"/>
      <c r="C11" s="12" t="inlineStr">
        <is>
          <t>7891317172749</t>
        </is>
      </c>
      <c r="D11" s="7" t="inlineStr">
        <is>
          <t>AZOX 20MG/ML PO SUS OR FR 100ML+SER DOS</t>
        </is>
      </c>
      <c r="E11" s="13" t="n">
        <v>1</v>
      </c>
      <c r="F11" s="13" t="n">
        <v>1</v>
      </c>
      <c r="G11" s="13" t="n">
        <v>1</v>
      </c>
      <c r="H11" s="8" t="n">
        <v>46.74</v>
      </c>
      <c r="I11" s="8">
        <f>G11*H11</f>
        <v/>
      </c>
      <c r="J11" s="8">
        <f>H11/E11</f>
        <v/>
      </c>
      <c r="K11" s="8" t="n">
        <v>46.74</v>
      </c>
      <c r="L11" s="8" t="n">
        <v>42.955</v>
      </c>
      <c r="M11" s="8" t="n">
        <v>45.30166666666667</v>
      </c>
      <c r="N11" s="14">
        <f>J11/M11-1</f>
        <v/>
      </c>
      <c r="O11" s="14">
        <f>J11/K11-1</f>
        <v/>
      </c>
      <c r="P11" s="7" t="inlineStr">
        <is>
          <t>OK (≤ últ. compra)</t>
        </is>
      </c>
      <c r="Q11" s="7" t="inlineStr"/>
    </row>
    <row r="12">
      <c r="A12" s="7" t="n">
        <v>645591</v>
      </c>
      <c r="B12" s="7" t="inlineStr"/>
      <c r="C12" s="12" t="inlineStr">
        <is>
          <t>7898040328603</t>
        </is>
      </c>
      <c r="D12" s="7" t="inlineStr">
        <is>
          <t>BACTRIM F CX 10 COMP</t>
        </is>
      </c>
      <c r="E12" s="13" t="n">
        <v>1</v>
      </c>
      <c r="F12" s="13" t="n">
        <v>6</v>
      </c>
      <c r="G12" s="13" t="n">
        <v>6</v>
      </c>
      <c r="H12" s="8" t="n">
        <v>27.55</v>
      </c>
      <c r="I12" s="8">
        <f>G12*H12</f>
        <v/>
      </c>
      <c r="J12" s="8">
        <f>H12/E12</f>
        <v/>
      </c>
      <c r="K12" s="8" t="n">
        <v>27.55</v>
      </c>
      <c r="L12" s="8" t="n">
        <v>24.63</v>
      </c>
      <c r="M12" s="8" t="n">
        <v>26.13</v>
      </c>
      <c r="N12" s="14">
        <f>J12/M12-1</f>
        <v/>
      </c>
      <c r="O12" s="14">
        <f>J12/K12-1</f>
        <v/>
      </c>
      <c r="P12" s="7" t="inlineStr">
        <is>
          <t>OK (≤ últ. compra)</t>
        </is>
      </c>
      <c r="Q12" s="7" t="inlineStr"/>
    </row>
    <row r="13">
      <c r="A13" s="7" t="n">
        <v>606841</v>
      </c>
      <c r="B13" s="7" t="inlineStr"/>
      <c r="C13" s="12" t="inlineStr">
        <is>
          <t>7896148500259</t>
        </is>
      </c>
      <c r="D13" s="7" t="inlineStr">
        <is>
          <t>BALAS DE FITOMELITO 37G (FIT)</t>
        </is>
      </c>
      <c r="E13" s="13" t="n">
        <v>1</v>
      </c>
      <c r="F13" s="13" t="n">
        <v>11</v>
      </c>
      <c r="G13" s="13" t="n">
        <v>11</v>
      </c>
      <c r="H13" s="8" t="n">
        <v>3.68</v>
      </c>
      <c r="I13" s="8">
        <f>G13*H13</f>
        <v/>
      </c>
      <c r="J13" s="8">
        <f>H13/E13</f>
        <v/>
      </c>
      <c r="K13" s="8" t="n">
        <v>3.68</v>
      </c>
      <c r="L13" s="8" t="n">
        <v>3.68</v>
      </c>
      <c r="M13" s="8" t="n">
        <v>3.68</v>
      </c>
      <c r="N13" s="14">
        <f>J13/M13-1</f>
        <v/>
      </c>
      <c r="O13" s="14">
        <f>J13/K13-1</f>
        <v/>
      </c>
      <c r="P13" s="7" t="inlineStr">
        <is>
          <t>OK (≤ menor hist.)</t>
        </is>
      </c>
      <c r="Q13" s="7" t="inlineStr"/>
    </row>
    <row r="14">
      <c r="A14" s="7" t="n">
        <v>596541</v>
      </c>
      <c r="B14" s="7" t="inlineStr"/>
      <c r="C14" s="12" t="inlineStr">
        <is>
          <t>7891317026554</t>
        </is>
      </c>
      <c r="D14" s="7" t="inlineStr">
        <is>
          <t>BEDOZE 5MG/ML SOL INJ 2 AMP X 1ML</t>
        </is>
      </c>
      <c r="E14" s="13" t="n">
        <v>1</v>
      </c>
      <c r="F14" s="13" t="n">
        <v>1</v>
      </c>
      <c r="G14" s="13" t="n">
        <v>1</v>
      </c>
      <c r="H14" s="8" t="n">
        <v>31.9</v>
      </c>
      <c r="I14" s="8">
        <f>G14*H14</f>
        <v/>
      </c>
      <c r="J14" s="8">
        <f>H14/E14</f>
        <v/>
      </c>
      <c r="K14" s="8" t="n">
        <v>32.8</v>
      </c>
      <c r="L14" s="8" t="n">
        <v>30.2</v>
      </c>
      <c r="M14" s="8" t="n">
        <v>31.56</v>
      </c>
      <c r="N14" s="14">
        <f>J14/M14-1</f>
        <v/>
      </c>
      <c r="O14" s="14">
        <f>J14/K14-1</f>
        <v/>
      </c>
      <c r="P14" s="7" t="inlineStr">
        <is>
          <t>OK (≤ últ. compra)</t>
        </is>
      </c>
      <c r="Q14" s="7" t="inlineStr"/>
    </row>
    <row r="15">
      <c r="A15" s="7" t="n">
        <v>588821</v>
      </c>
      <c r="B15" s="7" t="inlineStr"/>
      <c r="C15" s="12" t="inlineStr">
        <is>
          <t>7891106912167</t>
        </is>
      </c>
      <c r="D15" s="7" t="inlineStr">
        <is>
          <t>BEPANTOL BABY 30+15G</t>
        </is>
      </c>
      <c r="E15" s="13" t="n">
        <v>1</v>
      </c>
      <c r="F15" s="13" t="n">
        <v>13</v>
      </c>
      <c r="G15" s="13" t="n">
        <v>13</v>
      </c>
      <c r="H15" s="8" t="n">
        <v>14.83</v>
      </c>
      <c r="I15" s="8">
        <f>G15*H15</f>
        <v/>
      </c>
      <c r="J15" s="8">
        <f>H15/E15</f>
        <v/>
      </c>
      <c r="K15" s="8" t="n">
        <v>14.36</v>
      </c>
      <c r="L15" s="8" t="n">
        <v>12.9012</v>
      </c>
      <c r="M15" s="8" t="n">
        <v>13.7404</v>
      </c>
      <c r="N15" s="14">
        <f>J15/M15-1</f>
        <v/>
      </c>
      <c r="O15" s="14">
        <f>J15/K15-1</f>
        <v/>
      </c>
      <c r="P15" s="7" t="inlineStr">
        <is>
          <t>ACIMA +3.3%</t>
        </is>
      </c>
      <c r="Q15" s="7" t="inlineStr"/>
    </row>
    <row r="16">
      <c r="A16" s="7" t="n">
        <v>666671</v>
      </c>
      <c r="B16" s="7" t="inlineStr"/>
      <c r="C16" s="12" t="inlineStr">
        <is>
          <t>7891106914628</t>
        </is>
      </c>
      <c r="D16" s="7" t="inlineStr">
        <is>
          <t>BEPANTOL DERMA REGENERADOR 200ML-DEMAIS PROD</t>
        </is>
      </c>
      <c r="E16" s="13" t="n">
        <v>1</v>
      </c>
      <c r="F16" s="13" t="n">
        <v>1</v>
      </c>
      <c r="G16" s="13" t="n">
        <v>1</v>
      </c>
      <c r="H16" s="8" t="n">
        <v>46.5</v>
      </c>
      <c r="I16" s="8">
        <f>G16*H16</f>
        <v/>
      </c>
      <c r="J16" s="8">
        <f>H16/E16</f>
        <v/>
      </c>
      <c r="K16" s="8" t="n">
        <v>59.3</v>
      </c>
      <c r="L16" s="8" t="n">
        <v>59.3</v>
      </c>
      <c r="M16" s="8" t="n">
        <v>59.29999999999999</v>
      </c>
      <c r="N16" s="14">
        <f>J16/M16-1</f>
        <v/>
      </c>
      <c r="O16" s="14">
        <f>J16/K16-1</f>
        <v/>
      </c>
      <c r="P16" s="7" t="inlineStr">
        <is>
          <t>OK (≤ menor hist.)</t>
        </is>
      </c>
      <c r="Q16" s="7" t="inlineStr"/>
    </row>
    <row r="17">
      <c r="A17" s="7" t="n">
        <v>666691</v>
      </c>
      <c r="B17" s="7" t="inlineStr"/>
      <c r="C17" s="12" t="inlineStr">
        <is>
          <t>7891106916516</t>
        </is>
      </c>
      <c r="D17" s="7" t="inlineStr">
        <is>
          <t>BEPANTOL TATTOO CR RESTAURA 30G-DEMAIS PROD</t>
        </is>
      </c>
      <c r="E17" s="13" t="n">
        <v>1</v>
      </c>
      <c r="F17" s="13" t="n">
        <v>2</v>
      </c>
      <c r="G17" s="13" t="n">
        <v>2</v>
      </c>
      <c r="H17" s="8" t="n">
        <v>28.44</v>
      </c>
      <c r="I17" s="8">
        <f>G17*H17</f>
        <v/>
      </c>
      <c r="J17" s="8">
        <f>H17/E17</f>
        <v/>
      </c>
      <c r="K17" s="8" t="n">
        <v>26.77</v>
      </c>
      <c r="L17" s="8" t="n">
        <v>22.445</v>
      </c>
      <c r="M17" s="8" t="n">
        <v>22.445</v>
      </c>
      <c r="N17" s="14">
        <f>J17/M17-1</f>
        <v/>
      </c>
      <c r="O17" s="14">
        <f>J17/K17-1</f>
        <v/>
      </c>
      <c r="P17" s="7" t="inlineStr">
        <is>
          <t>ACIMA +6.2%</t>
        </is>
      </c>
      <c r="Q17" s="7" t="inlineStr"/>
    </row>
    <row r="18">
      <c r="A18" s="7" t="n">
        <v>31103</v>
      </c>
      <c r="B18" s="7" t="inlineStr"/>
      <c r="C18" s="12" t="inlineStr">
        <is>
          <t>7896714296418</t>
        </is>
      </c>
      <c r="D18" s="7" t="inlineStr">
        <is>
          <t>BETAM+DIPR FOS 5MG/ML C/1APX1ML (NQG)</t>
        </is>
      </c>
      <c r="E18" s="13" t="n">
        <v>1</v>
      </c>
      <c r="F18" s="13" t="n">
        <v>9</v>
      </c>
      <c r="G18" s="13" t="n">
        <v>9</v>
      </c>
      <c r="H18" s="8" t="n">
        <v>5.76</v>
      </c>
      <c r="I18" s="8">
        <f>G18*H18</f>
        <v/>
      </c>
      <c r="J18" s="8">
        <f>H18/E18</f>
        <v/>
      </c>
      <c r="K18" s="8" t="n">
        <v>6.37</v>
      </c>
      <c r="L18" s="8" t="n">
        <v>5.76</v>
      </c>
      <c r="M18" s="8" t="n">
        <v>5.760000000000001</v>
      </c>
      <c r="N18" s="14">
        <f>J18/M18-1</f>
        <v/>
      </c>
      <c r="O18" s="14">
        <f>J18/K18-1</f>
        <v/>
      </c>
      <c r="P18" s="7" t="inlineStr">
        <is>
          <t>OK (≤ menor hist.)</t>
        </is>
      </c>
      <c r="Q18" s="7" t="inlineStr"/>
    </row>
    <row r="19">
      <c r="A19" s="7" t="n">
        <v>254101</v>
      </c>
      <c r="B19" s="7" t="inlineStr"/>
      <c r="C19" s="12" t="inlineStr">
        <is>
          <t>7891317103323</t>
        </is>
      </c>
      <c r="D19" s="7" t="inlineStr">
        <is>
          <t>BETATRINTA 5+2MG/ML SUS INJ AMP X 1ML+SER SIST</t>
        </is>
      </c>
      <c r="E19" s="13" t="n">
        <v>1</v>
      </c>
      <c r="F19" s="13" t="n">
        <v>70</v>
      </c>
      <c r="G19" s="13" t="n">
        <v>70</v>
      </c>
      <c r="H19" s="8" t="n">
        <v>22.91</v>
      </c>
      <c r="I19" s="8">
        <f>G19*H19</f>
        <v/>
      </c>
      <c r="J19" s="8">
        <f>H19/E19</f>
        <v/>
      </c>
      <c r="K19" s="8" t="n">
        <v>22.91</v>
      </c>
      <c r="L19" s="8" t="n">
        <v>20.871</v>
      </c>
      <c r="M19" s="8" t="n">
        <v>22.147</v>
      </c>
      <c r="N19" s="14">
        <f>J19/M19-1</f>
        <v/>
      </c>
      <c r="O19" s="14">
        <f>J19/K19-1</f>
        <v/>
      </c>
      <c r="P19" s="7" t="inlineStr">
        <is>
          <t>OK (≤ últ. compra)</t>
        </is>
      </c>
      <c r="Q19" s="7" t="inlineStr"/>
    </row>
    <row r="20">
      <c r="A20" s="7" t="n">
        <v>128081</v>
      </c>
      <c r="B20" s="7" t="inlineStr"/>
      <c r="C20" s="12" t="inlineStr">
        <is>
          <t>7891317478964</t>
        </is>
      </c>
      <c r="D20" s="7" t="inlineStr">
        <is>
          <t>BETINA 24MG CX 30 COMP</t>
        </is>
      </c>
      <c r="E20" s="13" t="n">
        <v>1</v>
      </c>
      <c r="F20" s="13" t="n">
        <v>3</v>
      </c>
      <c r="G20" s="13" t="n">
        <v>3</v>
      </c>
      <c r="H20" s="8" t="n">
        <v>28.76</v>
      </c>
      <c r="I20" s="8">
        <f>G20*H20</f>
        <v/>
      </c>
      <c r="J20" s="8">
        <f>H20/E20</f>
        <v/>
      </c>
      <c r="K20" s="8" t="n">
        <v>29.58</v>
      </c>
      <c r="L20" s="8" t="n">
        <v>26.87</v>
      </c>
      <c r="M20" s="8" t="n">
        <v>28.17333333333333</v>
      </c>
      <c r="N20" s="14">
        <f>J20/M20-1</f>
        <v/>
      </c>
      <c r="O20" s="14">
        <f>J20/K20-1</f>
        <v/>
      </c>
      <c r="P20" s="7" t="inlineStr">
        <is>
          <t>OK (≤ últ. compra)</t>
        </is>
      </c>
      <c r="Q20" s="7" t="inlineStr"/>
    </row>
    <row r="21">
      <c r="A21" s="7" t="n">
        <v>550721</v>
      </c>
      <c r="B21" s="7" t="inlineStr"/>
      <c r="C21" s="12" t="inlineStr">
        <is>
          <t>7891317001964</t>
        </is>
      </c>
      <c r="D21" s="7" t="inlineStr">
        <is>
          <t>BICERTO 150MG CX 10 COMP LIB PROL</t>
        </is>
      </c>
      <c r="E21" s="13" t="n">
        <v>1</v>
      </c>
      <c r="F21" s="13" t="n">
        <v>3</v>
      </c>
      <c r="G21" s="13" t="n">
        <v>3</v>
      </c>
      <c r="H21" s="8" t="n">
        <v>40.07</v>
      </c>
      <c r="I21" s="8">
        <f>G21*H21</f>
        <v/>
      </c>
      <c r="J21" s="8">
        <f>H21/E21</f>
        <v/>
      </c>
      <c r="K21" s="8" t="n">
        <v>41.2</v>
      </c>
      <c r="L21" s="8" t="n">
        <v>36.52</v>
      </c>
      <c r="M21" s="8" t="n">
        <v>38.74666666666667</v>
      </c>
      <c r="N21" s="14">
        <f>J21/M21-1</f>
        <v/>
      </c>
      <c r="O21" s="14">
        <f>J21/K21-1</f>
        <v/>
      </c>
      <c r="P21" s="7" t="inlineStr">
        <is>
          <t>OK (≤ últ. compra)</t>
        </is>
      </c>
      <c r="Q21" s="7" t="inlineStr"/>
    </row>
    <row r="22">
      <c r="A22" s="7" t="n">
        <v>114841</v>
      </c>
      <c r="B22" s="7" t="inlineStr"/>
      <c r="C22" s="12" t="inlineStr">
        <is>
          <t>7892953003527</t>
        </is>
      </c>
      <c r="D22" s="7" t="inlineStr">
        <is>
          <t>BIO-VAGIN 62,5+1,25MG+25.000UI/G CREM VAG BG 40G+10APL</t>
        </is>
      </c>
      <c r="E22" s="13" t="n">
        <v>1</v>
      </c>
      <c r="F22" s="13" t="n">
        <v>1</v>
      </c>
      <c r="G22" s="13" t="n">
        <v>1</v>
      </c>
      <c r="H22" s="8" t="n">
        <v>58.74</v>
      </c>
      <c r="I22" s="8">
        <f>G22*H22</f>
        <v/>
      </c>
      <c r="J22" s="8">
        <f>H22/E22</f>
        <v/>
      </c>
      <c r="K22" s="8" t="n">
        <v>61.69</v>
      </c>
      <c r="L22" s="8" t="n">
        <v>54.79</v>
      </c>
      <c r="M22" s="8" t="n">
        <v>58.31</v>
      </c>
      <c r="N22" s="14">
        <f>J22/M22-1</f>
        <v/>
      </c>
      <c r="O22" s="14">
        <f>J22/K22-1</f>
        <v/>
      </c>
      <c r="P22" s="7" t="inlineStr">
        <is>
          <t>OK (≤ últ. compra)</t>
        </is>
      </c>
      <c r="Q22" s="7" t="inlineStr"/>
    </row>
    <row r="23">
      <c r="A23" s="7" t="n">
        <v>210861</v>
      </c>
      <c r="B23" s="7" t="inlineStr"/>
      <c r="C23" s="12" t="inlineStr">
        <is>
          <t>7896658014321</t>
        </is>
      </c>
      <c r="D23" s="7" t="inlineStr">
        <is>
          <t>BIOFENAC 11,6MG/G SOL SER TB 60G</t>
        </is>
      </c>
      <c r="E23" s="13" t="n">
        <v>1</v>
      </c>
      <c r="F23" s="13" t="n">
        <v>6</v>
      </c>
      <c r="G23" s="13" t="n">
        <v>6</v>
      </c>
      <c r="H23" s="8" t="n">
        <v>29.9</v>
      </c>
      <c r="I23" s="8">
        <f>G23*H23</f>
        <v/>
      </c>
      <c r="J23" s="8">
        <f>H23/E23</f>
        <v/>
      </c>
      <c r="K23" s="8" t="n">
        <v>25.4536</v>
      </c>
      <c r="L23" s="8" t="n">
        <v>24.008</v>
      </c>
      <c r="M23" s="8" t="n">
        <v>24.652</v>
      </c>
      <c r="N23" s="14">
        <f>J23/M23-1</f>
        <v/>
      </c>
      <c r="O23" s="14">
        <f>J23/K23-1</f>
        <v/>
      </c>
      <c r="P23" s="7" t="inlineStr">
        <is>
          <t>ACIMA +17.5%</t>
        </is>
      </c>
      <c r="Q23" s="7" t="inlineStr"/>
    </row>
    <row r="24">
      <c r="A24" s="7" t="n">
        <v>567441</v>
      </c>
      <c r="B24" s="7" t="inlineStr"/>
      <c r="C24" s="12" t="inlineStr">
        <is>
          <t>7896004774237</t>
        </is>
      </c>
      <c r="D24" s="7" t="inlineStr">
        <is>
          <t>CENEVIT ZINCO 10CP EFERV LARANJA (ACIDO</t>
        </is>
      </c>
      <c r="E24" s="13" t="n">
        <v>1</v>
      </c>
      <c r="F24" s="13" t="n">
        <v>9</v>
      </c>
      <c r="G24" s="13" t="n">
        <v>9</v>
      </c>
      <c r="H24" s="8" t="n">
        <v>5.12</v>
      </c>
      <c r="I24" s="8">
        <f>G24*H24</f>
        <v/>
      </c>
      <c r="J24" s="8">
        <f>H24/E24</f>
        <v/>
      </c>
      <c r="K24" s="8" t="n">
        <v>2.002</v>
      </c>
      <c r="L24" s="8" t="n">
        <v>2.002</v>
      </c>
      <c r="M24" s="8" t="n">
        <v>2.002</v>
      </c>
      <c r="N24" s="14">
        <f>J24/M24-1</f>
        <v/>
      </c>
      <c r="O24" s="14">
        <f>J24/K24-1</f>
        <v/>
      </c>
      <c r="P24" s="7" t="inlineStr">
        <is>
          <t>ACIMA +155.7%</t>
        </is>
      </c>
      <c r="Q24" s="7" t="inlineStr">
        <is>
          <t>conferir emb.</t>
        </is>
      </c>
    </row>
    <row r="25">
      <c r="A25" s="7" t="n">
        <v>293601</v>
      </c>
      <c r="B25" s="7" t="inlineStr"/>
      <c r="C25" s="12" t="inlineStr">
        <is>
          <t>7896548140284</t>
        </is>
      </c>
      <c r="D25" s="7" t="inlineStr">
        <is>
          <t>CERUMIN 0,4+140MG SOL OTO FR GTS 8ML</t>
        </is>
      </c>
      <c r="E25" s="13" t="n">
        <v>1</v>
      </c>
      <c r="F25" s="13" t="n">
        <v>19</v>
      </c>
      <c r="G25" s="13" t="n">
        <v>19</v>
      </c>
      <c r="H25" s="8" t="n">
        <v>21.23</v>
      </c>
      <c r="I25" s="8">
        <f>G25*H25</f>
        <v/>
      </c>
      <c r="J25" s="8">
        <f>H25/E25</f>
        <v/>
      </c>
      <c r="K25" s="8" t="n">
        <v>21.23</v>
      </c>
      <c r="L25" s="8" t="n">
        <v>13.7043</v>
      </c>
      <c r="M25" s="8" t="n">
        <v>17.67023333333333</v>
      </c>
      <c r="N25" s="14">
        <f>J25/M25-1</f>
        <v/>
      </c>
      <c r="O25" s="14">
        <f>J25/K25-1</f>
        <v/>
      </c>
      <c r="P25" s="7" t="inlineStr">
        <is>
          <t>OK (≤ últ. compra)</t>
        </is>
      </c>
      <c r="Q25" s="7" t="inlineStr"/>
    </row>
    <row r="26">
      <c r="A26" s="7" t="n">
        <v>135661</v>
      </c>
      <c r="B26" s="7" t="inlineStr"/>
      <c r="C26" s="12" t="inlineStr">
        <is>
          <t>7891158106965</t>
        </is>
      </c>
      <c r="D26" s="7" t="inlineStr">
        <is>
          <t>COBAVITAL 1+4MG 16 COMP</t>
        </is>
      </c>
      <c r="E26" s="13" t="n">
        <v>1</v>
      </c>
      <c r="F26" s="13" t="n">
        <v>8</v>
      </c>
      <c r="G26" s="13" t="n">
        <v>8</v>
      </c>
      <c r="H26" s="8" t="n">
        <v>21.67</v>
      </c>
      <c r="I26" s="8">
        <f>G26*H26</f>
        <v/>
      </c>
      <c r="J26" s="8">
        <f>H26/E26</f>
        <v/>
      </c>
      <c r="K26" s="8" t="n">
        <v>21.67</v>
      </c>
      <c r="L26" s="8" t="n">
        <v>18.21</v>
      </c>
      <c r="M26" s="8" t="n">
        <v>20.20833333333334</v>
      </c>
      <c r="N26" s="14">
        <f>J26/M26-1</f>
        <v/>
      </c>
      <c r="O26" s="14">
        <f>J26/K26-1</f>
        <v/>
      </c>
      <c r="P26" s="7" t="inlineStr">
        <is>
          <t>OK (≤ últ. compra)</t>
        </is>
      </c>
      <c r="Q26" s="7" t="inlineStr"/>
    </row>
    <row r="27">
      <c r="A27" s="7" t="n">
        <v>6561</v>
      </c>
      <c r="B27" s="7" t="inlineStr"/>
      <c r="C27" s="12" t="inlineStr">
        <is>
          <t>7894916502900</t>
        </is>
      </c>
      <c r="D27" s="7" t="inlineStr">
        <is>
          <t>CONTRACEP SUS INJ 1 FA X 1ML</t>
        </is>
      </c>
      <c r="E27" s="13" t="n">
        <v>1</v>
      </c>
      <c r="F27" s="13" t="n">
        <v>21</v>
      </c>
      <c r="G27" s="13" t="n">
        <v>21</v>
      </c>
      <c r="H27" s="8" t="n">
        <v>23.94</v>
      </c>
      <c r="I27" s="8">
        <f>G27*H27</f>
        <v/>
      </c>
      <c r="J27" s="8">
        <f>H27/E27</f>
        <v/>
      </c>
      <c r="K27" s="8" t="n">
        <v>23.69</v>
      </c>
      <c r="L27" s="8" t="n">
        <v>22.9</v>
      </c>
      <c r="M27" s="8" t="n">
        <v>23.16333333333334</v>
      </c>
      <c r="N27" s="14">
        <f>J27/M27-1</f>
        <v/>
      </c>
      <c r="O27" s="14">
        <f>J27/K27-1</f>
        <v/>
      </c>
      <c r="P27" s="7" t="inlineStr">
        <is>
          <t>ACIMA +1.1%</t>
        </is>
      </c>
      <c r="Q27" s="7" t="inlineStr"/>
    </row>
    <row r="28">
      <c r="A28" s="7" t="n">
        <v>90721</v>
      </c>
      <c r="B28" s="7" t="inlineStr"/>
      <c r="C28" s="12" t="inlineStr">
        <is>
          <t>7891317137557</t>
        </is>
      </c>
      <c r="D28" s="7" t="inlineStr">
        <is>
          <t>COQUES 200MG CX 10 CAP</t>
        </is>
      </c>
      <c r="E28" s="13" t="n">
        <v>1</v>
      </c>
      <c r="F28" s="13" t="n">
        <v>1</v>
      </c>
      <c r="G28" s="13" t="n">
        <v>1</v>
      </c>
      <c r="H28" s="8" t="n">
        <v>33.84</v>
      </c>
      <c r="I28" s="8">
        <f>G28*H28</f>
        <v/>
      </c>
      <c r="J28" s="8">
        <f>H28/E28</f>
        <v/>
      </c>
      <c r="K28" s="8" t="n">
        <v>34.79</v>
      </c>
      <c r="L28" s="8" t="n">
        <v>30.618</v>
      </c>
      <c r="M28" s="8" t="n">
        <v>32.46266666666666</v>
      </c>
      <c r="N28" s="14">
        <f>J28/M28-1</f>
        <v/>
      </c>
      <c r="O28" s="14">
        <f>J28/K28-1</f>
        <v/>
      </c>
      <c r="P28" s="7" t="inlineStr">
        <is>
          <t>OK (≤ últ. compra)</t>
        </is>
      </c>
      <c r="Q28" s="7" t="inlineStr"/>
    </row>
    <row r="29">
      <c r="A29" s="7" t="n">
        <v>463461</v>
      </c>
      <c r="B29" s="7" t="inlineStr"/>
      <c r="C29" s="12" t="inlineStr">
        <is>
          <t>7891317136468</t>
        </is>
      </c>
      <c r="D29" s="7" t="inlineStr">
        <is>
          <t>CREVAGIN 30+20MG CREM VAG BG X 40G +7APLIC</t>
        </is>
      </c>
      <c r="E29" s="13" t="n">
        <v>1</v>
      </c>
      <c r="F29" s="13" t="n">
        <v>6</v>
      </c>
      <c r="G29" s="13" t="n">
        <v>6</v>
      </c>
      <c r="H29" s="8" t="n">
        <v>38.8</v>
      </c>
      <c r="I29" s="8">
        <f>G29*H29</f>
        <v/>
      </c>
      <c r="J29" s="8">
        <f>H29/E29</f>
        <v/>
      </c>
      <c r="K29" s="8" t="n">
        <v>38.8</v>
      </c>
      <c r="L29" s="8" t="n">
        <v>35.79</v>
      </c>
      <c r="M29" s="8" t="n">
        <v>37.32443333333333</v>
      </c>
      <c r="N29" s="14">
        <f>J29/M29-1</f>
        <v/>
      </c>
      <c r="O29" s="14">
        <f>J29/K29-1</f>
        <v/>
      </c>
      <c r="P29" s="7" t="inlineStr">
        <is>
          <t>OK (≤ últ. compra)</t>
        </is>
      </c>
      <c r="Q29" s="7" t="inlineStr"/>
    </row>
    <row r="30">
      <c r="A30" s="7" t="n">
        <v>198541</v>
      </c>
      <c r="B30" s="7" t="inlineStr"/>
      <c r="C30" s="12" t="inlineStr">
        <is>
          <t>7897316801390</t>
        </is>
      </c>
      <c r="D30" s="7" t="inlineStr">
        <is>
          <t>CROMOLERG 2% SOL OCUL FR 5ML</t>
        </is>
      </c>
      <c r="E30" s="13" t="n">
        <v>1</v>
      </c>
      <c r="F30" s="13" t="n">
        <v>1</v>
      </c>
      <c r="G30" s="13" t="n">
        <v>1</v>
      </c>
      <c r="H30" s="8" t="n">
        <v>12.15</v>
      </c>
      <c r="I30" s="8">
        <f>G30*H30</f>
        <v/>
      </c>
      <c r="J30" s="8">
        <f>H30/E30</f>
        <v/>
      </c>
      <c r="K30" s="8" t="n">
        <v>11.5633</v>
      </c>
      <c r="L30" s="8" t="n">
        <v>11.5633</v>
      </c>
      <c r="M30" s="8" t="n">
        <v>11.5633</v>
      </c>
      <c r="N30" s="14">
        <f>J30/M30-1</f>
        <v/>
      </c>
      <c r="O30" s="14">
        <f>J30/K30-1</f>
        <v/>
      </c>
      <c r="P30" s="7" t="inlineStr">
        <is>
          <t>ACIMA +5.1%</t>
        </is>
      </c>
      <c r="Q30" s="7" t="inlineStr"/>
    </row>
    <row r="31">
      <c r="A31" s="7" t="n">
        <v>821</v>
      </c>
      <c r="B31" s="7" t="inlineStr"/>
      <c r="C31" s="12" t="inlineStr">
        <is>
          <t>7893454100661</t>
        </is>
      </c>
      <c r="D31" s="7" t="inlineStr">
        <is>
          <t>DERMOSALIC 30G POM BG</t>
        </is>
      </c>
      <c r="E31" s="13" t="n">
        <v>1</v>
      </c>
      <c r="F31" s="13" t="n">
        <v>14</v>
      </c>
      <c r="G31" s="13" t="n">
        <v>14</v>
      </c>
      <c r="H31" s="8" t="n">
        <v>10.46</v>
      </c>
      <c r="I31" s="8">
        <f>G31*H31</f>
        <v/>
      </c>
      <c r="J31" s="8">
        <f>H31/E31</f>
        <v/>
      </c>
      <c r="K31" s="8" t="n">
        <v>10.36</v>
      </c>
      <c r="L31" s="8" t="n">
        <v>10.36</v>
      </c>
      <c r="M31" s="8" t="n">
        <v>10.36</v>
      </c>
      <c r="N31" s="14">
        <f>J31/M31-1</f>
        <v/>
      </c>
      <c r="O31" s="14">
        <f>J31/K31-1</f>
        <v/>
      </c>
      <c r="P31" s="7" t="inlineStr">
        <is>
          <t>ACIMA +1.0%</t>
        </is>
      </c>
      <c r="Q31" s="7" t="inlineStr"/>
    </row>
    <row r="32">
      <c r="A32" s="7" t="n">
        <v>341641</v>
      </c>
      <c r="B32" s="7" t="inlineStr"/>
      <c r="C32" s="12" t="inlineStr">
        <is>
          <t>7891317455569</t>
        </is>
      </c>
      <c r="D32" s="7" t="inlineStr">
        <is>
          <t>DUOMO 2MG CX 30 COMP</t>
        </is>
      </c>
      <c r="E32" s="13" t="n">
        <v>1</v>
      </c>
      <c r="F32" s="13" t="n">
        <v>4</v>
      </c>
      <c r="G32" s="13" t="n">
        <v>4</v>
      </c>
      <c r="H32" s="8" t="n">
        <v>30.95</v>
      </c>
      <c r="I32" s="8">
        <f>G32*H32</f>
        <v/>
      </c>
      <c r="J32" s="8">
        <f>H32/E32</f>
        <v/>
      </c>
      <c r="K32" s="8" t="n">
        <v>30.62</v>
      </c>
      <c r="L32" s="8" t="n">
        <v>28.95</v>
      </c>
      <c r="M32" s="8" t="n">
        <v>30.06333333333333</v>
      </c>
      <c r="N32" s="14">
        <f>J32/M32-1</f>
        <v/>
      </c>
      <c r="O32" s="14">
        <f>J32/K32-1</f>
        <v/>
      </c>
      <c r="P32" s="7" t="inlineStr">
        <is>
          <t>ACIMA +1.1%</t>
        </is>
      </c>
      <c r="Q32" s="7" t="inlineStr"/>
    </row>
    <row r="33">
      <c r="A33" s="7" t="n">
        <v>15</v>
      </c>
      <c r="B33" s="7" t="inlineStr"/>
      <c r="C33" s="12" t="inlineStr">
        <is>
          <t>7896094903272</t>
        </is>
      </c>
      <c r="D33" s="7" t="inlineStr">
        <is>
          <t>EPOCLER SOL ORAL FLACONETE CAIXA C/ 12</t>
        </is>
      </c>
      <c r="E33" s="13" t="n">
        <v>1</v>
      </c>
      <c r="F33" s="13" t="n">
        <v>100</v>
      </c>
      <c r="G33" s="13" t="n">
        <v>100</v>
      </c>
      <c r="H33" s="8" t="n">
        <v>35.68</v>
      </c>
      <c r="I33" s="8">
        <f>G33*H33</f>
        <v/>
      </c>
      <c r="J33" s="8">
        <f>H33/E33</f>
        <v/>
      </c>
      <c r="K33" s="8" t="n"/>
      <c r="L33" s="8" t="n"/>
      <c r="M33" s="8" t="n"/>
      <c r="N33" s="14" t="n"/>
      <c r="O33" s="14" t="n"/>
      <c r="P33" s="7" t="inlineStr">
        <is>
          <t>SEM HISTÓRICO</t>
        </is>
      </c>
      <c r="Q33" s="7" t="inlineStr"/>
    </row>
    <row r="34">
      <c r="A34" s="7" t="n">
        <v>623691</v>
      </c>
      <c r="B34" s="7" t="inlineStr"/>
      <c r="C34" s="12" t="inlineStr">
        <is>
          <t>7896714274423</t>
        </is>
      </c>
      <c r="D34" s="7" t="inlineStr">
        <is>
          <t>EQUILIBRISSE 420MG CX 10 COMP REV</t>
        </is>
      </c>
      <c r="E34" s="13" t="n">
        <v>1</v>
      </c>
      <c r="F34" s="13" t="n">
        <v>4</v>
      </c>
      <c r="G34" s="13" t="n">
        <v>4</v>
      </c>
      <c r="H34" s="8" t="n">
        <v>9.81</v>
      </c>
      <c r="I34" s="8">
        <f>G34*H34</f>
        <v/>
      </c>
      <c r="J34" s="8">
        <f>H34/E34</f>
        <v/>
      </c>
      <c r="K34" s="8" t="n">
        <v>9.81</v>
      </c>
      <c r="L34" s="8" t="n">
        <v>9.56</v>
      </c>
      <c r="M34" s="8" t="n">
        <v>9.726666666666667</v>
      </c>
      <c r="N34" s="14">
        <f>J34/M34-1</f>
        <v/>
      </c>
      <c r="O34" s="14">
        <f>J34/K34-1</f>
        <v/>
      </c>
      <c r="P34" s="7" t="inlineStr">
        <is>
          <t>OK (≤ últ. compra)</t>
        </is>
      </c>
      <c r="Q34" s="7" t="inlineStr"/>
    </row>
    <row r="35">
      <c r="A35" s="7" t="n">
        <v>355201</v>
      </c>
      <c r="B35" s="7" t="inlineStr"/>
      <c r="C35" s="12" t="inlineStr">
        <is>
          <t>7891106908313</t>
        </is>
      </c>
      <c r="D35" s="7" t="inlineStr">
        <is>
          <t>FLANAX 550 MG COM 2CP(CARTELA)</t>
        </is>
      </c>
      <c r="E35" s="13" t="n">
        <v>1</v>
      </c>
      <c r="F35" s="13" t="n">
        <v>15</v>
      </c>
      <c r="G35" s="13" t="n">
        <v>15</v>
      </c>
      <c r="H35" s="8" t="n">
        <v>56.02</v>
      </c>
      <c r="I35" s="8">
        <f>G35*H35</f>
        <v/>
      </c>
      <c r="J35" s="8">
        <f>H35/E35</f>
        <v/>
      </c>
      <c r="K35" s="8" t="n">
        <v>4.42</v>
      </c>
      <c r="L35" s="8" t="n">
        <v>4.42</v>
      </c>
      <c r="M35" s="8" t="n">
        <v>4.42</v>
      </c>
      <c r="N35" s="14">
        <f>J35/M35-1</f>
        <v/>
      </c>
      <c r="O35" s="14">
        <f>J35/K35-1</f>
        <v/>
      </c>
      <c r="P35" s="7" t="inlineStr">
        <is>
          <t>ACIMA +1167.4%</t>
        </is>
      </c>
      <c r="Q35" s="7" t="inlineStr">
        <is>
          <t>conferir emb.</t>
        </is>
      </c>
    </row>
    <row r="36">
      <c r="A36" s="7" t="n">
        <v>582241</v>
      </c>
      <c r="B36" s="7" t="inlineStr"/>
      <c r="C36" s="12" t="inlineStr">
        <is>
          <t>7896637031943</t>
        </is>
      </c>
      <c r="D36" s="7" t="inlineStr">
        <is>
          <t>FLANCOX 600MG CX 14 REV OR</t>
        </is>
      </c>
      <c r="E36" s="13" t="n">
        <v>1</v>
      </c>
      <c r="F36" s="13" t="n">
        <v>21</v>
      </c>
      <c r="G36" s="13" t="n">
        <v>21</v>
      </c>
      <c r="H36" s="8" t="n">
        <v>46.73999999999999</v>
      </c>
      <c r="I36" s="8">
        <f>G36*H36</f>
        <v/>
      </c>
      <c r="J36" s="8">
        <f>H36/E36</f>
        <v/>
      </c>
      <c r="K36" s="8" t="n">
        <v>47.24</v>
      </c>
      <c r="L36" s="8" t="n">
        <v>43.5075</v>
      </c>
      <c r="M36" s="8" t="n">
        <v>45.21806666666667</v>
      </c>
      <c r="N36" s="14">
        <f>J36/M36-1</f>
        <v/>
      </c>
      <c r="O36" s="14">
        <f>J36/K36-1</f>
        <v/>
      </c>
      <c r="P36" s="7" t="inlineStr">
        <is>
          <t>OK (≤ últ. compra)</t>
        </is>
      </c>
      <c r="Q36" s="7" t="inlineStr"/>
    </row>
    <row r="37">
      <c r="A37" s="7" t="n">
        <v>589581</v>
      </c>
      <c r="B37" s="7" t="inlineStr"/>
      <c r="C37" s="12" t="inlineStr">
        <is>
          <t>7898040329655</t>
        </is>
      </c>
      <c r="D37" s="7" t="inlineStr">
        <is>
          <t>FLORATIL 200MG CX 6 CAP</t>
        </is>
      </c>
      <c r="E37" s="13" t="n">
        <v>1</v>
      </c>
      <c r="F37" s="13" t="n">
        <v>6</v>
      </c>
      <c r="G37" s="13" t="n">
        <v>6</v>
      </c>
      <c r="H37" s="8" t="n">
        <v>36.79</v>
      </c>
      <c r="I37" s="8">
        <f>G37*H37</f>
        <v/>
      </c>
      <c r="J37" s="8">
        <f>H37/E37</f>
        <v/>
      </c>
      <c r="K37" s="8" t="n">
        <v>37.185</v>
      </c>
      <c r="L37" s="8" t="n">
        <v>27.3967</v>
      </c>
      <c r="M37" s="8" t="n">
        <v>33.92056666666667</v>
      </c>
      <c r="N37" s="14">
        <f>J37/M37-1</f>
        <v/>
      </c>
      <c r="O37" s="14">
        <f>J37/K37-1</f>
        <v/>
      </c>
      <c r="P37" s="7" t="inlineStr">
        <is>
          <t>OK (≤ últ. compra)</t>
        </is>
      </c>
      <c r="Q37" s="7" t="inlineStr"/>
    </row>
    <row r="38">
      <c r="A38" s="7" t="n">
        <v>671851</v>
      </c>
      <c r="B38" s="7" t="inlineStr"/>
      <c r="C38" s="12" t="inlineStr">
        <is>
          <t>7898040329600</t>
        </is>
      </c>
      <c r="D38" s="7" t="inlineStr">
        <is>
          <t>FLORATIL 250MG BL 6 SACHE</t>
        </is>
      </c>
      <c r="E38" s="13" t="n">
        <v>1</v>
      </c>
      <c r="F38" s="13" t="n">
        <v>3</v>
      </c>
      <c r="G38" s="13" t="n">
        <v>3</v>
      </c>
      <c r="H38" s="8" t="n">
        <v>36.79</v>
      </c>
      <c r="I38" s="8">
        <f>G38*H38</f>
        <v/>
      </c>
      <c r="J38" s="8">
        <f>H38/E38</f>
        <v/>
      </c>
      <c r="K38" s="8" t="n">
        <v>36.79</v>
      </c>
      <c r="L38" s="8" t="n">
        <v>30.505</v>
      </c>
      <c r="M38" s="8" t="n">
        <v>34.695</v>
      </c>
      <c r="N38" s="14">
        <f>J38/M38-1</f>
        <v/>
      </c>
      <c r="O38" s="14">
        <f>J38/K38-1</f>
        <v/>
      </c>
      <c r="P38" s="7" t="inlineStr">
        <is>
          <t>OK (≤ últ. compra)</t>
        </is>
      </c>
      <c r="Q38" s="7" t="inlineStr"/>
    </row>
    <row r="39">
      <c r="A39" s="7" t="n">
        <v>636341</v>
      </c>
      <c r="B39" s="7" t="inlineStr"/>
      <c r="C39" s="12" t="inlineStr">
        <is>
          <t>7891317023331</t>
        </is>
      </c>
      <c r="D39" s="7" t="inlineStr">
        <is>
          <t>FORFIG 200MG CX 20 CAP</t>
        </is>
      </c>
      <c r="E39" s="13" t="n">
        <v>1</v>
      </c>
      <c r="F39" s="13" t="n">
        <v>1</v>
      </c>
      <c r="G39" s="13" t="n">
        <v>1</v>
      </c>
      <c r="H39" s="8" t="n">
        <v>112.26</v>
      </c>
      <c r="I39" s="8">
        <f>G39*H39</f>
        <v/>
      </c>
      <c r="J39" s="8">
        <f>H39/E39</f>
        <v/>
      </c>
      <c r="K39" s="8" t="n">
        <v>115.42</v>
      </c>
      <c r="L39" s="8" t="n">
        <v>102.85</v>
      </c>
      <c r="M39" s="8" t="n">
        <v>111.23</v>
      </c>
      <c r="N39" s="14">
        <f>J39/M39-1</f>
        <v/>
      </c>
      <c r="O39" s="14">
        <f>J39/K39-1</f>
        <v/>
      </c>
      <c r="P39" s="7" t="inlineStr">
        <is>
          <t>OK (≤ últ. compra)</t>
        </is>
      </c>
      <c r="Q39" s="7" t="inlineStr"/>
    </row>
    <row r="40">
      <c r="A40" s="7" t="n">
        <v>36003</v>
      </c>
      <c r="B40" s="7" t="inlineStr"/>
      <c r="C40" s="12" t="inlineStr">
        <is>
          <t>7896714296500</t>
        </is>
      </c>
      <c r="D40" s="7" t="inlineStr">
        <is>
          <t>FUROATO DE MOMETASONA 0,5MG/G SPRAY NAS 120 DOSES</t>
        </is>
      </c>
      <c r="E40" s="13" t="n">
        <v>1</v>
      </c>
      <c r="F40" s="13" t="n">
        <v>4</v>
      </c>
      <c r="G40" s="13" t="n">
        <v>4</v>
      </c>
      <c r="H40" s="8" t="n">
        <v>25.01</v>
      </c>
      <c r="I40" s="8">
        <f>G40*H40</f>
        <v/>
      </c>
      <c r="J40" s="8">
        <f>H40/E40</f>
        <v/>
      </c>
      <c r="K40" s="8" t="n">
        <v>25.88</v>
      </c>
      <c r="L40" s="8" t="n">
        <v>25.88</v>
      </c>
      <c r="M40" s="8" t="n">
        <v>25.88</v>
      </c>
      <c r="N40" s="14">
        <f>J40/M40-1</f>
        <v/>
      </c>
      <c r="O40" s="14">
        <f>J40/K40-1</f>
        <v/>
      </c>
      <c r="P40" s="7" t="inlineStr">
        <is>
          <t>OK (≤ menor hist.)</t>
        </is>
      </c>
      <c r="Q40" s="7" t="inlineStr"/>
    </row>
    <row r="41">
      <c r="A41" s="7" t="n">
        <v>36103</v>
      </c>
      <c r="B41" s="7" t="inlineStr"/>
      <c r="C41" s="12" t="inlineStr">
        <is>
          <t>7896714296494</t>
        </is>
      </c>
      <c r="D41" s="7" t="inlineStr">
        <is>
          <t>FUROATO DE MOMETASONA 0,5MG/G SPRAY NAS 60 DOSES</t>
        </is>
      </c>
      <c r="E41" s="13" t="n">
        <v>1</v>
      </c>
      <c r="F41" s="13" t="n">
        <v>1</v>
      </c>
      <c r="G41" s="13" t="n">
        <v>1</v>
      </c>
      <c r="H41" s="8" t="n">
        <v>17.95</v>
      </c>
      <c r="I41" s="8">
        <f>G41*H41</f>
        <v/>
      </c>
      <c r="J41" s="8">
        <f>H41/E41</f>
        <v/>
      </c>
      <c r="K41" s="8" t="n">
        <v>19.83</v>
      </c>
      <c r="L41" s="8" t="n">
        <v>19.83</v>
      </c>
      <c r="M41" s="8" t="n">
        <v>19.83</v>
      </c>
      <c r="N41" s="14">
        <f>J41/M41-1</f>
        <v/>
      </c>
      <c r="O41" s="14">
        <f>J41/K41-1</f>
        <v/>
      </c>
      <c r="P41" s="7" t="inlineStr">
        <is>
          <t>OK (≤ menor hist.)</t>
        </is>
      </c>
      <c r="Q41" s="7" t="inlineStr"/>
    </row>
    <row r="42">
      <c r="A42" s="7" t="n">
        <v>660241</v>
      </c>
      <c r="B42" s="7" t="inlineStr"/>
      <c r="C42" s="12" t="inlineStr">
        <is>
          <t>7896862993665</t>
        </is>
      </c>
      <c r="D42" s="7" t="inlineStr">
        <is>
          <t>GASTROGEL TABS MENTA (CARTELA)</t>
        </is>
      </c>
      <c r="E42" s="13" t="n">
        <v>1</v>
      </c>
      <c r="F42" s="13" t="n">
        <v>4</v>
      </c>
      <c r="G42" s="13" t="n">
        <v>4</v>
      </c>
      <c r="H42" s="8" t="n">
        <v>8.460000000000001</v>
      </c>
      <c r="I42" s="8">
        <f>G42*H42</f>
        <v/>
      </c>
      <c r="J42" s="8">
        <f>H42/E42</f>
        <v/>
      </c>
      <c r="K42" s="8" t="n">
        <v>7.99</v>
      </c>
      <c r="L42" s="8" t="n">
        <v>7.99</v>
      </c>
      <c r="M42" s="8" t="n">
        <v>7.989999999999999</v>
      </c>
      <c r="N42" s="14">
        <f>J42/M42-1</f>
        <v/>
      </c>
      <c r="O42" s="14">
        <f>J42/K42-1</f>
        <v/>
      </c>
      <c r="P42" s="7" t="inlineStr">
        <is>
          <t>ACIMA +5.9%</t>
        </is>
      </c>
      <c r="Q42" s="7" t="inlineStr"/>
    </row>
    <row r="43">
      <c r="A43" s="7" t="n">
        <v>36203</v>
      </c>
      <c r="B43" s="7" t="inlineStr"/>
      <c r="C43" s="12" t="inlineStr">
        <is>
          <t>7896714294520</t>
        </is>
      </c>
      <c r="D43" s="7" t="inlineStr">
        <is>
          <t>GLICLAZIDA 30MG 30 CPR LIB PROL</t>
        </is>
      </c>
      <c r="E43" s="13" t="n">
        <v>1</v>
      </c>
      <c r="F43" s="13" t="n">
        <v>5</v>
      </c>
      <c r="G43" s="13" t="n">
        <v>5</v>
      </c>
      <c r="H43" s="8" t="n">
        <v>7.56</v>
      </c>
      <c r="I43" s="8">
        <f>G43*H43</f>
        <v/>
      </c>
      <c r="J43" s="8">
        <f>H43/E43</f>
        <v/>
      </c>
      <c r="K43" s="8" t="n">
        <v>7.15</v>
      </c>
      <c r="L43" s="8" t="n">
        <v>7.15</v>
      </c>
      <c r="M43" s="8" t="n">
        <v>7.150000000000001</v>
      </c>
      <c r="N43" s="14">
        <f>J43/M43-1</f>
        <v/>
      </c>
      <c r="O43" s="14">
        <f>J43/K43-1</f>
        <v/>
      </c>
      <c r="P43" s="7" t="inlineStr">
        <is>
          <t>ACIMA +5.7%</t>
        </is>
      </c>
      <c r="Q43" s="7" t="inlineStr"/>
    </row>
    <row r="44">
      <c r="A44" s="7" t="n">
        <v>264141</v>
      </c>
      <c r="B44" s="7" t="inlineStr"/>
      <c r="C44" s="12" t="inlineStr">
        <is>
          <t>7891721026621</t>
        </is>
      </c>
      <c r="D44" s="7" t="inlineStr">
        <is>
          <t>GLUCOVANCE 500+5MG CX 30 COMP REV</t>
        </is>
      </c>
      <c r="E44" s="13" t="n">
        <v>1</v>
      </c>
      <c r="F44" s="13" t="n">
        <v>4</v>
      </c>
      <c r="G44" s="13" t="n">
        <v>4</v>
      </c>
      <c r="H44" s="8" t="n">
        <v>40.76</v>
      </c>
      <c r="I44" s="8">
        <f>G44*H44</f>
        <v/>
      </c>
      <c r="J44" s="8">
        <f>H44/E44</f>
        <v/>
      </c>
      <c r="K44" s="8" t="n">
        <v>42.8067</v>
      </c>
      <c r="L44" s="8" t="n">
        <v>40.76</v>
      </c>
      <c r="M44" s="8" t="n">
        <v>40.76</v>
      </c>
      <c r="N44" s="14">
        <f>J44/M44-1</f>
        <v/>
      </c>
      <c r="O44" s="14">
        <f>J44/K44-1</f>
        <v/>
      </c>
      <c r="P44" s="7" t="inlineStr">
        <is>
          <t>OK (≤ menor hist.)</t>
        </is>
      </c>
      <c r="Q44" s="7" t="inlineStr"/>
    </row>
    <row r="45">
      <c r="A45" s="7" t="n">
        <v>213481</v>
      </c>
      <c r="B45" s="7" t="inlineStr"/>
      <c r="C45" s="12" t="inlineStr">
        <is>
          <t>7897129301506</t>
        </is>
      </c>
      <c r="D45" s="7" t="inlineStr">
        <is>
          <t>HIXIZINE 2MG/ML SOL OR FR 120ML</t>
        </is>
      </c>
      <c r="E45" s="13" t="n">
        <v>1</v>
      </c>
      <c r="F45" s="13" t="n">
        <v>1</v>
      </c>
      <c r="G45" s="13" t="n">
        <v>1</v>
      </c>
      <c r="H45" s="8" t="n">
        <v>47.38</v>
      </c>
      <c r="I45" s="8">
        <f>G45*H45</f>
        <v/>
      </c>
      <c r="J45" s="8">
        <f>H45/E45</f>
        <v/>
      </c>
      <c r="K45" s="8" t="n">
        <v>47.88</v>
      </c>
      <c r="L45" s="8" t="n">
        <v>43.2</v>
      </c>
      <c r="M45" s="8" t="n">
        <v>45.56890000000001</v>
      </c>
      <c r="N45" s="14">
        <f>J45/M45-1</f>
        <v/>
      </c>
      <c r="O45" s="14">
        <f>J45/K45-1</f>
        <v/>
      </c>
      <c r="P45" s="7" t="inlineStr">
        <is>
          <t>OK (≤ últ. compra)</t>
        </is>
      </c>
      <c r="Q45" s="7" t="inlineStr"/>
    </row>
    <row r="46">
      <c r="A46" s="7" t="n">
        <v>297621</v>
      </c>
      <c r="B46" s="7" t="inlineStr"/>
      <c r="C46" s="12" t="inlineStr">
        <is>
          <t>7896862960087</t>
        </is>
      </c>
      <c r="D46" s="7" t="inlineStr">
        <is>
          <t>IBUPROFENO 100MG/ML SUS OR FR GTS 20ML</t>
        </is>
      </c>
      <c r="E46" s="13" t="n">
        <v>1</v>
      </c>
      <c r="F46" s="13" t="n">
        <v>9</v>
      </c>
      <c r="G46" s="13" t="n">
        <v>9</v>
      </c>
      <c r="H46" s="8" t="n">
        <v>3.11</v>
      </c>
      <c r="I46" s="8">
        <f>G46*H46</f>
        <v/>
      </c>
      <c r="J46" s="8">
        <f>H46/E46</f>
        <v/>
      </c>
      <c r="K46" s="8" t="n">
        <v>2.64</v>
      </c>
      <c r="L46" s="8" t="n">
        <v>2.64</v>
      </c>
      <c r="M46" s="8" t="n">
        <v>2.64</v>
      </c>
      <c r="N46" s="14">
        <f>J46/M46-1</f>
        <v/>
      </c>
      <c r="O46" s="14">
        <f>J46/K46-1</f>
        <v/>
      </c>
      <c r="P46" s="7" t="inlineStr">
        <is>
          <t>ACIMA +17.8%</t>
        </is>
      </c>
      <c r="Q46" s="7" t="inlineStr"/>
    </row>
    <row r="47">
      <c r="A47" s="7" t="n">
        <v>14103</v>
      </c>
      <c r="B47" s="7" t="inlineStr"/>
      <c r="C47" s="12" t="inlineStr">
        <is>
          <t>7899620913202</t>
        </is>
      </c>
      <c r="D47" s="7" t="inlineStr">
        <is>
          <t>KALOSTOP (N.S.) 0,20+0,15ML/ML SOL FR 10ML</t>
        </is>
      </c>
      <c r="E47" s="13" t="n">
        <v>1</v>
      </c>
      <c r="F47" s="13" t="n">
        <v>1</v>
      </c>
      <c r="G47" s="13" t="n">
        <v>1</v>
      </c>
      <c r="H47" s="8" t="n">
        <v>8.640000000000001</v>
      </c>
      <c r="I47" s="8">
        <f>G47*H47</f>
        <v/>
      </c>
      <c r="J47" s="8">
        <f>H47/E47</f>
        <v/>
      </c>
      <c r="K47" s="8" t="n">
        <v>8.41</v>
      </c>
      <c r="L47" s="8" t="n">
        <v>8.359999999999999</v>
      </c>
      <c r="M47" s="8" t="n">
        <v>8.376666666666667</v>
      </c>
      <c r="N47" s="14">
        <f>J47/M47-1</f>
        <v/>
      </c>
      <c r="O47" s="14">
        <f>J47/K47-1</f>
        <v/>
      </c>
      <c r="P47" s="7" t="inlineStr">
        <is>
          <t>ACIMA +2.7%</t>
        </is>
      </c>
      <c r="Q47" s="7" t="inlineStr"/>
    </row>
    <row r="48">
      <c r="A48" s="7" t="n">
        <v>190241</v>
      </c>
      <c r="B48" s="7" t="inlineStr"/>
      <c r="C48" s="12" t="inlineStr">
        <is>
          <t>7896676427745</t>
        </is>
      </c>
      <c r="D48" s="7" t="inlineStr">
        <is>
          <t>KOLLAGENASE 0,6U/G POM DERM BG 30G+ESP</t>
        </is>
      </c>
      <c r="E48" s="13" t="n">
        <v>1</v>
      </c>
      <c r="F48" s="13" t="n">
        <v>3</v>
      </c>
      <c r="G48" s="13" t="n">
        <v>3</v>
      </c>
      <c r="H48" s="8" t="n">
        <v>54.36</v>
      </c>
      <c r="I48" s="8">
        <f>G48*H48</f>
        <v/>
      </c>
      <c r="J48" s="8">
        <f>H48/E48</f>
        <v/>
      </c>
      <c r="K48" s="8" t="n">
        <v>54.35</v>
      </c>
      <c r="L48" s="8" t="n">
        <v>49.1033</v>
      </c>
      <c r="M48" s="8" t="n">
        <v>51.83276666666666</v>
      </c>
      <c r="N48" s="14">
        <f>J48/M48-1</f>
        <v/>
      </c>
      <c r="O48" s="14">
        <f>J48/K48-1</f>
        <v/>
      </c>
      <c r="P48" s="7" t="inlineStr">
        <is>
          <t>ACIMA +0.0%</t>
        </is>
      </c>
      <c r="Q48" s="7" t="inlineStr"/>
    </row>
    <row r="49">
      <c r="A49" s="7" t="n">
        <v>114101</v>
      </c>
      <c r="B49" s="7" t="inlineStr"/>
      <c r="C49" s="12" t="inlineStr">
        <is>
          <t>7896676427844</t>
        </is>
      </c>
      <c r="D49" s="7" t="inlineStr">
        <is>
          <t>KOLLAGENASE+CLORANFENICOL 0,6U/G+0,01G/G POM DERM BG 15G+ESP</t>
        </is>
      </c>
      <c r="E49" s="13" t="n">
        <v>1</v>
      </c>
      <c r="F49" s="13" t="n">
        <v>7</v>
      </c>
      <c r="G49" s="13" t="n">
        <v>7</v>
      </c>
      <c r="H49" s="8" t="n">
        <v>27.55</v>
      </c>
      <c r="I49" s="8">
        <f>G49*H49</f>
        <v/>
      </c>
      <c r="J49" s="8">
        <f>H49/E49</f>
        <v/>
      </c>
      <c r="K49" s="8" t="n">
        <v>29.24</v>
      </c>
      <c r="L49" s="8" t="n">
        <v>25.52</v>
      </c>
      <c r="M49" s="8" t="n">
        <v>26.78333333333333</v>
      </c>
      <c r="N49" s="14">
        <f>J49/M49-1</f>
        <v/>
      </c>
      <c r="O49" s="14">
        <f>J49/K49-1</f>
        <v/>
      </c>
      <c r="P49" s="7" t="inlineStr">
        <is>
          <t>OK (≤ últ. compra)</t>
        </is>
      </c>
      <c r="Q49" s="7" t="inlineStr"/>
    </row>
    <row r="50">
      <c r="A50" s="7" t="n">
        <v>208201</v>
      </c>
      <c r="B50" s="7" t="inlineStr"/>
      <c r="C50" s="12" t="inlineStr">
        <is>
          <t>7896676432855</t>
        </is>
      </c>
      <c r="D50" s="7" t="inlineStr">
        <is>
          <t>LACRIBELL 1+3MG SOL OFT FR 15ML</t>
        </is>
      </c>
      <c r="E50" s="13" t="n">
        <v>1</v>
      </c>
      <c r="F50" s="13" t="n">
        <v>3</v>
      </c>
      <c r="G50" s="13" t="n">
        <v>3</v>
      </c>
      <c r="H50" s="8" t="n">
        <v>18.59</v>
      </c>
      <c r="I50" s="8">
        <f>G50*H50</f>
        <v/>
      </c>
      <c r="J50" s="8">
        <f>H50/E50</f>
        <v/>
      </c>
      <c r="K50" s="8" t="n">
        <v>19.53</v>
      </c>
      <c r="L50" s="8" t="n">
        <v>17.415</v>
      </c>
      <c r="M50" s="8" t="n">
        <v>18.48</v>
      </c>
      <c r="N50" s="14">
        <f>J50/M50-1</f>
        <v/>
      </c>
      <c r="O50" s="14">
        <f>J50/K50-1</f>
        <v/>
      </c>
      <c r="P50" s="7" t="inlineStr">
        <is>
          <t>OK (≤ últ. compra)</t>
        </is>
      </c>
      <c r="Q50" s="7" t="inlineStr"/>
    </row>
    <row r="51">
      <c r="A51" s="7" t="n">
        <v>549281</v>
      </c>
      <c r="B51" s="7" t="inlineStr"/>
      <c r="C51" s="12" t="inlineStr">
        <is>
          <t>7896004768465</t>
        </is>
      </c>
      <c r="D51" s="7" t="inlineStr">
        <is>
          <t>LACTULIV 667MG/ML 120ML AMEIXA (LACTULOS</t>
        </is>
      </c>
      <c r="E51" s="13" t="n">
        <v>1</v>
      </c>
      <c r="F51" s="13" t="n">
        <v>7</v>
      </c>
      <c r="G51" s="13" t="n">
        <v>7</v>
      </c>
      <c r="H51" s="8" t="n">
        <v>11.33</v>
      </c>
      <c r="I51" s="8">
        <f>G51*H51</f>
        <v/>
      </c>
      <c r="J51" s="8">
        <f>H51/E51</f>
        <v/>
      </c>
      <c r="K51" s="8" t="n">
        <v>13.43</v>
      </c>
      <c r="L51" s="8" t="n">
        <v>12.89</v>
      </c>
      <c r="M51" s="8" t="n">
        <v>13.07</v>
      </c>
      <c r="N51" s="14">
        <f>J51/M51-1</f>
        <v/>
      </c>
      <c r="O51" s="14">
        <f>J51/K51-1</f>
        <v/>
      </c>
      <c r="P51" s="7" t="inlineStr">
        <is>
          <t>OK (≤ menor hist.)</t>
        </is>
      </c>
      <c r="Q51" s="7" t="inlineStr"/>
    </row>
    <row r="52">
      <c r="A52" s="7" t="n">
        <v>645491</v>
      </c>
      <c r="B52" s="7" t="inlineStr"/>
      <c r="C52" s="12" t="inlineStr">
        <is>
          <t>7896004768472</t>
        </is>
      </c>
      <c r="D52" s="7" t="inlineStr">
        <is>
          <t>LACTULIV 667MG/ML 120ML SAL.FRUTAS (LACT</t>
        </is>
      </c>
      <c r="E52" s="13" t="n">
        <v>1</v>
      </c>
      <c r="F52" s="13" t="n">
        <v>3</v>
      </c>
      <c r="G52" s="13" t="n">
        <v>3</v>
      </c>
      <c r="H52" s="8" t="n">
        <v>11.16</v>
      </c>
      <c r="I52" s="8">
        <f>G52*H52</f>
        <v/>
      </c>
      <c r="J52" s="8">
        <f>H52/E52</f>
        <v/>
      </c>
      <c r="K52" s="8" t="n">
        <v>4.17</v>
      </c>
      <c r="L52" s="8" t="n">
        <v>4.17</v>
      </c>
      <c r="M52" s="8" t="n">
        <v>4.17</v>
      </c>
      <c r="N52" s="14">
        <f>J52/M52-1</f>
        <v/>
      </c>
      <c r="O52" s="14">
        <f>J52/K52-1</f>
        <v/>
      </c>
      <c r="P52" s="7" t="inlineStr">
        <is>
          <t>ACIMA +167.6%</t>
        </is>
      </c>
      <c r="Q52" s="7" t="inlineStr">
        <is>
          <t>conferir emb.</t>
        </is>
      </c>
    </row>
    <row r="53">
      <c r="A53" s="7" t="n">
        <v>560241</v>
      </c>
      <c r="B53" s="7" t="inlineStr"/>
      <c r="C53" s="12" t="inlineStr">
        <is>
          <t>7894164008209</t>
        </is>
      </c>
      <c r="D53" s="7" t="inlineStr">
        <is>
          <t>LEFLORA 6 CAP</t>
        </is>
      </c>
      <c r="E53" s="13" t="n">
        <v>1</v>
      </c>
      <c r="F53" s="13" t="n">
        <v>1</v>
      </c>
      <c r="G53" s="13" t="n">
        <v>1</v>
      </c>
      <c r="H53" s="8" t="n">
        <v>8.94</v>
      </c>
      <c r="I53" s="8">
        <f>G53*H53</f>
        <v/>
      </c>
      <c r="J53" s="8">
        <f>H53/E53</f>
        <v/>
      </c>
      <c r="K53" s="8" t="n">
        <v>10.42</v>
      </c>
      <c r="L53" s="8" t="n">
        <v>10.03</v>
      </c>
      <c r="M53" s="8" t="n">
        <v>10.29</v>
      </c>
      <c r="N53" s="14">
        <f>J53/M53-1</f>
        <v/>
      </c>
      <c r="O53" s="14">
        <f>J53/K53-1</f>
        <v/>
      </c>
      <c r="P53" s="7" t="inlineStr">
        <is>
          <t>OK (≤ menor hist.)</t>
        </is>
      </c>
      <c r="Q53" s="7" t="inlineStr"/>
    </row>
    <row r="54">
      <c r="A54" s="7" t="n">
        <v>320361</v>
      </c>
      <c r="B54" s="7" t="inlineStr"/>
      <c r="C54" s="12" t="inlineStr">
        <is>
          <t>7896658008849</t>
        </is>
      </c>
      <c r="D54" s="7" t="inlineStr">
        <is>
          <t>LEVOID 112MCG CX 30 COMP</t>
        </is>
      </c>
      <c r="E54" s="13" t="n">
        <v>1</v>
      </c>
      <c r="F54" s="13" t="n">
        <v>1</v>
      </c>
      <c r="G54" s="13" t="n">
        <v>1</v>
      </c>
      <c r="H54" s="8" t="n">
        <v>24.24</v>
      </c>
      <c r="I54" s="8">
        <f>G54*H54</f>
        <v/>
      </c>
      <c r="J54" s="8">
        <f>H54/E54</f>
        <v/>
      </c>
      <c r="K54" s="8" t="n">
        <v>23.94</v>
      </c>
      <c r="L54" s="8" t="n">
        <v>23.94</v>
      </c>
      <c r="M54" s="8" t="n">
        <v>23.94</v>
      </c>
      <c r="N54" s="14">
        <f>J54/M54-1</f>
        <v/>
      </c>
      <c r="O54" s="14">
        <f>J54/K54-1</f>
        <v/>
      </c>
      <c r="P54" s="7" t="inlineStr">
        <is>
          <t>ACIMA +1.3%</t>
        </is>
      </c>
      <c r="Q54" s="7" t="inlineStr"/>
    </row>
    <row r="55">
      <c r="A55" s="7" t="n">
        <v>284241</v>
      </c>
      <c r="B55" s="7" t="inlineStr"/>
      <c r="C55" s="12" t="inlineStr">
        <is>
          <t>7896676435658</t>
        </is>
      </c>
      <c r="D55" s="7" t="inlineStr">
        <is>
          <t>LUNAH 1MG /ML SOL OFT FR GOT 10ML</t>
        </is>
      </c>
      <c r="E55" s="13" t="n">
        <v>1</v>
      </c>
      <c r="F55" s="13" t="n">
        <v>4</v>
      </c>
      <c r="G55" s="13" t="n">
        <v>4</v>
      </c>
      <c r="H55" s="8" t="n">
        <v>40.67</v>
      </c>
      <c r="I55" s="8">
        <f>G55*H55</f>
        <v/>
      </c>
      <c r="J55" s="8">
        <f>H55/E55</f>
        <v/>
      </c>
      <c r="K55" s="8" t="n">
        <v>42.72</v>
      </c>
      <c r="L55" s="8" t="n">
        <v>38.0767</v>
      </c>
      <c r="M55" s="8" t="n">
        <v>39.66223333333333</v>
      </c>
      <c r="N55" s="14">
        <f>J55/M55-1</f>
        <v/>
      </c>
      <c r="O55" s="14">
        <f>J55/K55-1</f>
        <v/>
      </c>
      <c r="P55" s="7" t="inlineStr">
        <is>
          <t>OK (≤ últ. compra)</t>
        </is>
      </c>
      <c r="Q55" s="7" t="inlineStr"/>
    </row>
    <row r="56">
      <c r="A56" s="7" t="n">
        <v>337721</v>
      </c>
      <c r="B56" s="7" t="inlineStr"/>
      <c r="C56" s="12" t="inlineStr">
        <is>
          <t>7896637023115</t>
        </is>
      </c>
      <c r="D56" s="7" t="inlineStr">
        <is>
          <t>MECLIN 25MG CX 15 COMP</t>
        </is>
      </c>
      <c r="E56" s="13" t="n">
        <v>1</v>
      </c>
      <c r="F56" s="13" t="n">
        <v>11</v>
      </c>
      <c r="G56" s="13" t="n">
        <v>11</v>
      </c>
      <c r="H56" s="8" t="n">
        <v>21.27</v>
      </c>
      <c r="I56" s="8">
        <f>G56*H56</f>
        <v/>
      </c>
      <c r="J56" s="8">
        <f>H56/E56</f>
        <v/>
      </c>
      <c r="K56" s="8" t="n">
        <v>21.26</v>
      </c>
      <c r="L56" s="8" t="n">
        <v>21.037</v>
      </c>
      <c r="M56" s="8" t="n">
        <v>21.11133333333333</v>
      </c>
      <c r="N56" s="14">
        <f>J56/M56-1</f>
        <v/>
      </c>
      <c r="O56" s="14">
        <f>J56/K56-1</f>
        <v/>
      </c>
      <c r="P56" s="7" t="inlineStr">
        <is>
          <t>ACIMA +0.0%</t>
        </is>
      </c>
      <c r="Q56" s="7" t="inlineStr"/>
    </row>
    <row r="57">
      <c r="A57" s="7" t="n">
        <v>602931</v>
      </c>
      <c r="B57" s="7" t="inlineStr"/>
      <c r="C57" s="12" t="inlineStr">
        <is>
          <t>7896148500136</t>
        </is>
      </c>
      <c r="D57" s="7" t="inlineStr">
        <is>
          <t>MEL CP EXTRATO PROPOLIS 35ML (FIT)</t>
        </is>
      </c>
      <c r="E57" s="13" t="n">
        <v>1</v>
      </c>
      <c r="F57" s="13" t="n">
        <v>3</v>
      </c>
      <c r="G57" s="13" t="n">
        <v>3</v>
      </c>
      <c r="H57" s="8" t="n">
        <v>11.48</v>
      </c>
      <c r="I57" s="8">
        <f>G57*H57</f>
        <v/>
      </c>
      <c r="J57" s="8">
        <f>H57/E57</f>
        <v/>
      </c>
      <c r="K57" s="8" t="n">
        <v>11.47</v>
      </c>
      <c r="L57" s="8" t="n">
        <v>11.47</v>
      </c>
      <c r="M57" s="8" t="n">
        <v>11.47</v>
      </c>
      <c r="N57" s="14">
        <f>J57/M57-1</f>
        <v/>
      </c>
      <c r="O57" s="14">
        <f>J57/K57-1</f>
        <v/>
      </c>
      <c r="P57" s="7" t="inlineStr">
        <is>
          <t>ACIMA +0.1%</t>
        </is>
      </c>
      <c r="Q57" s="7" t="inlineStr"/>
    </row>
    <row r="58">
      <c r="A58" s="7" t="n">
        <v>569961</v>
      </c>
      <c r="B58" s="7" t="inlineStr"/>
      <c r="C58" s="12" t="inlineStr">
        <is>
          <t>7896148500709</t>
        </is>
      </c>
      <c r="D58" s="7" t="inlineStr">
        <is>
          <t>MEL DE ABELHA 70G</t>
        </is>
      </c>
      <c r="E58" s="13" t="n">
        <v>1</v>
      </c>
      <c r="F58" s="13" t="n">
        <v>1</v>
      </c>
      <c r="G58" s="13" t="n">
        <v>1</v>
      </c>
      <c r="H58" s="8" t="n">
        <v>6.76</v>
      </c>
      <c r="I58" s="8">
        <f>G58*H58</f>
        <v/>
      </c>
      <c r="J58" s="8">
        <f>H58/E58</f>
        <v/>
      </c>
      <c r="K58" s="8" t="n">
        <v>6.75</v>
      </c>
      <c r="L58" s="8" t="n">
        <v>6.75</v>
      </c>
      <c r="M58" s="8" t="n">
        <v>6.75</v>
      </c>
      <c r="N58" s="14">
        <f>J58/M58-1</f>
        <v/>
      </c>
      <c r="O58" s="14">
        <f>J58/K58-1</f>
        <v/>
      </c>
      <c r="P58" s="7" t="inlineStr">
        <is>
          <t>ACIMA +0.1%</t>
        </is>
      </c>
      <c r="Q58" s="7" t="inlineStr"/>
    </row>
    <row r="59">
      <c r="A59" s="7" t="n">
        <v>665551</v>
      </c>
      <c r="B59" s="7" t="inlineStr"/>
      <c r="C59" s="12" t="inlineStr">
        <is>
          <t>00020800750158</t>
        </is>
      </c>
      <c r="D59" s="7" t="inlineStr">
        <is>
          <t>METAMUCIL SOLUVEL LARANJA 174G-OUTROS</t>
        </is>
      </c>
      <c r="E59" s="13" t="n">
        <v>1</v>
      </c>
      <c r="F59" s="13" t="n">
        <v>1</v>
      </c>
      <c r="G59" s="13" t="n">
        <v>1</v>
      </c>
      <c r="H59" s="8" t="n">
        <v>102</v>
      </c>
      <c r="I59" s="8">
        <f>G59*H59</f>
        <v/>
      </c>
      <c r="J59" s="8">
        <f>H59/E59</f>
        <v/>
      </c>
      <c r="K59" s="8" t="n">
        <v>101.27</v>
      </c>
      <c r="L59" s="8" t="n">
        <v>82.09</v>
      </c>
      <c r="M59" s="8" t="n">
        <v>82.09</v>
      </c>
      <c r="N59" s="14">
        <f>J59/M59-1</f>
        <v/>
      </c>
      <c r="O59" s="14">
        <f>J59/K59-1</f>
        <v/>
      </c>
      <c r="P59" s="7" t="inlineStr">
        <is>
          <t>ACIMA +0.7%</t>
        </is>
      </c>
      <c r="Q59" s="7" t="inlineStr"/>
    </row>
    <row r="60">
      <c r="A60" s="7" t="n">
        <v>582261</v>
      </c>
      <c r="B60" s="7" t="inlineStr"/>
      <c r="C60" s="12" t="inlineStr">
        <is>
          <t>7891317015176</t>
        </is>
      </c>
      <c r="D60" s="7" t="inlineStr">
        <is>
          <t>MINILAX 714,0+7,70MG/G SOL RET CAIXA C/ 7</t>
        </is>
      </c>
      <c r="E60" s="13" t="n">
        <v>1</v>
      </c>
      <c r="F60" s="13" t="n">
        <v>6</v>
      </c>
      <c r="G60" s="13" t="n">
        <v>6</v>
      </c>
      <c r="H60" s="8" t="n">
        <v>43.28</v>
      </c>
      <c r="I60" s="8">
        <f>G60*H60</f>
        <v/>
      </c>
      <c r="J60" s="8">
        <f>H60/E60</f>
        <v/>
      </c>
      <c r="K60" s="8" t="n">
        <v>6.3571</v>
      </c>
      <c r="L60" s="8" t="n">
        <v>5.5567</v>
      </c>
      <c r="M60" s="8" t="n">
        <v>6.053999999999999</v>
      </c>
      <c r="N60" s="14">
        <f>J60/M60-1</f>
        <v/>
      </c>
      <c r="O60" s="14">
        <f>J60/K60-1</f>
        <v/>
      </c>
      <c r="P60" s="7" t="inlineStr">
        <is>
          <t>ACIMA +580.8%</t>
        </is>
      </c>
      <c r="Q60" s="7" t="inlineStr">
        <is>
          <t>conferir emb.</t>
        </is>
      </c>
    </row>
    <row r="61">
      <c r="A61" s="7" t="n">
        <v>134701</v>
      </c>
      <c r="B61" s="7" t="inlineStr"/>
      <c r="C61" s="12" t="inlineStr">
        <is>
          <t>7896637025096</t>
        </is>
      </c>
      <c r="D61" s="7" t="inlineStr">
        <is>
          <t>MIOSAN CAF 5+30MG CX 15 COMP REV</t>
        </is>
      </c>
      <c r="E61" s="13" t="n">
        <v>1</v>
      </c>
      <c r="F61" s="13" t="n">
        <v>4</v>
      </c>
      <c r="G61" s="13" t="n">
        <v>4</v>
      </c>
      <c r="H61" s="8" t="n">
        <v>22.47</v>
      </c>
      <c r="I61" s="8">
        <f>G61*H61</f>
        <v/>
      </c>
      <c r="J61" s="8">
        <f>H61/E61</f>
        <v/>
      </c>
      <c r="K61" s="8" t="n">
        <v>22.71</v>
      </c>
      <c r="L61" s="8" t="n">
        <v>19.3267</v>
      </c>
      <c r="M61" s="8" t="n">
        <v>20.45446666666667</v>
      </c>
      <c r="N61" s="14">
        <f>J61/M61-1</f>
        <v/>
      </c>
      <c r="O61" s="14">
        <f>J61/K61-1</f>
        <v/>
      </c>
      <c r="P61" s="7" t="inlineStr">
        <is>
          <t>OK (≤ últ. compra)</t>
        </is>
      </c>
      <c r="Q61" s="7" t="inlineStr"/>
    </row>
    <row r="62">
      <c r="A62" s="7" t="n">
        <v>293561</v>
      </c>
      <c r="B62" s="7" t="inlineStr"/>
      <c r="C62" s="12" t="inlineStr">
        <is>
          <t>7896676435214</t>
        </is>
      </c>
      <c r="D62" s="7" t="inlineStr">
        <is>
          <t>MIRUGELL 0,4+0,3+0,1% SOL OFT FR 5ML</t>
        </is>
      </c>
      <c r="E62" s="13" t="n">
        <v>1</v>
      </c>
      <c r="F62" s="13" t="n">
        <v>1</v>
      </c>
      <c r="G62" s="13" t="n">
        <v>1</v>
      </c>
      <c r="H62" s="8" t="n">
        <v>19.8</v>
      </c>
      <c r="I62" s="8">
        <f>G62*H62</f>
        <v/>
      </c>
      <c r="J62" s="8">
        <f>H62/E62</f>
        <v/>
      </c>
      <c r="K62" s="8" t="n">
        <v>19.8</v>
      </c>
      <c r="L62" s="8" t="n">
        <v>18.33</v>
      </c>
      <c r="M62" s="8" t="n">
        <v>18.95833333333333</v>
      </c>
      <c r="N62" s="14">
        <f>J62/M62-1</f>
        <v/>
      </c>
      <c r="O62" s="14">
        <f>J62/K62-1</f>
        <v/>
      </c>
      <c r="P62" s="7" t="inlineStr">
        <is>
          <t>OK (≤ últ. compra)</t>
        </is>
      </c>
      <c r="Q62" s="7" t="inlineStr"/>
    </row>
    <row r="63">
      <c r="A63" s="7" t="n">
        <v>358341</v>
      </c>
      <c r="B63" s="7" t="inlineStr"/>
      <c r="C63" s="12" t="inlineStr">
        <is>
          <t>7894916500296</t>
        </is>
      </c>
      <c r="D63" s="7" t="inlineStr">
        <is>
          <t>NEUTROFER 250MG SOL FR GTS 30ML</t>
        </is>
      </c>
      <c r="E63" s="13" t="n">
        <v>1</v>
      </c>
      <c r="F63" s="13" t="n">
        <v>2</v>
      </c>
      <c r="G63" s="13" t="n">
        <v>2</v>
      </c>
      <c r="H63" s="8" t="n">
        <v>47.46</v>
      </c>
      <c r="I63" s="8">
        <f>G63*H63</f>
        <v/>
      </c>
      <c r="J63" s="8">
        <f>H63/E63</f>
        <v/>
      </c>
      <c r="K63" s="8" t="n">
        <v>46.96</v>
      </c>
      <c r="L63" s="8" t="n">
        <v>44.3433</v>
      </c>
      <c r="M63" s="8" t="n">
        <v>45.21553333333333</v>
      </c>
      <c r="N63" s="14">
        <f>J63/M63-1</f>
        <v/>
      </c>
      <c r="O63" s="14">
        <f>J63/K63-1</f>
        <v/>
      </c>
      <c r="P63" s="7" t="inlineStr">
        <is>
          <t>ACIMA +1.1%</t>
        </is>
      </c>
      <c r="Q63" s="7" t="inlineStr"/>
    </row>
    <row r="64">
      <c r="A64" s="7" t="n">
        <v>247481</v>
      </c>
      <c r="B64" s="7" t="inlineStr"/>
      <c r="C64" s="12" t="inlineStr">
        <is>
          <t>7896641805479</t>
        </is>
      </c>
      <c r="D64" s="7" t="inlineStr">
        <is>
          <t>NORIPURUM 50MG/ML SOL OR FR GOT 30ML</t>
        </is>
      </c>
      <c r="E64" s="13" t="n">
        <v>1</v>
      </c>
      <c r="F64" s="13" t="n">
        <v>1</v>
      </c>
      <c r="G64" s="13" t="n">
        <v>1</v>
      </c>
      <c r="H64" s="8" t="n">
        <v>34.56</v>
      </c>
      <c r="I64" s="8">
        <f>G64*H64</f>
        <v/>
      </c>
      <c r="J64" s="8">
        <f>H64/E64</f>
        <v/>
      </c>
      <c r="K64" s="8" t="n">
        <v>38.21</v>
      </c>
      <c r="L64" s="8" t="n">
        <v>34.56</v>
      </c>
      <c r="M64" s="8" t="n">
        <v>34.56</v>
      </c>
      <c r="N64" s="14">
        <f>J64/M64-1</f>
        <v/>
      </c>
      <c r="O64" s="14">
        <f>J64/K64-1</f>
        <v/>
      </c>
      <c r="P64" s="7" t="inlineStr">
        <is>
          <t>OK (≤ menor hist.)</t>
        </is>
      </c>
      <c r="Q64" s="7" t="inlineStr"/>
    </row>
    <row r="65">
      <c r="A65" s="7" t="n">
        <v>179961</v>
      </c>
      <c r="B65" s="7" t="inlineStr"/>
      <c r="C65" s="12" t="inlineStr">
        <is>
          <t>7898040321390</t>
        </is>
      </c>
      <c r="D65" s="7" t="inlineStr">
        <is>
          <t>OTO BETNOVATE 1+10+5MG/ML SOL OTO FR GTS 10ML</t>
        </is>
      </c>
      <c r="E65" s="13" t="n">
        <v>1</v>
      </c>
      <c r="F65" s="13" t="n">
        <v>1</v>
      </c>
      <c r="G65" s="13" t="n">
        <v>1</v>
      </c>
      <c r="H65" s="8" t="n">
        <v>27</v>
      </c>
      <c r="I65" s="8">
        <f>G65*H65</f>
        <v/>
      </c>
      <c r="J65" s="8">
        <f>H65/E65</f>
        <v/>
      </c>
      <c r="K65" s="8" t="n">
        <v>27</v>
      </c>
      <c r="L65" s="8" t="n">
        <v>24.82</v>
      </c>
      <c r="M65" s="8" t="n">
        <v>25.91556666666667</v>
      </c>
      <c r="N65" s="14">
        <f>J65/M65-1</f>
        <v/>
      </c>
      <c r="O65" s="14">
        <f>J65/K65-1</f>
        <v/>
      </c>
      <c r="P65" s="7" t="inlineStr">
        <is>
          <t>OK (≤ últ. compra)</t>
        </is>
      </c>
      <c r="Q65" s="7" t="inlineStr"/>
    </row>
    <row r="66">
      <c r="A66" s="7" t="n">
        <v>452561</v>
      </c>
      <c r="B66" s="7" t="inlineStr"/>
      <c r="C66" s="12" t="inlineStr">
        <is>
          <t>7898040320942</t>
        </is>
      </c>
      <c r="D66" s="7" t="inlineStr">
        <is>
          <t>OTOSPORIN SOL OTO FR GTS 10ML</t>
        </is>
      </c>
      <c r="E66" s="13" t="n">
        <v>1</v>
      </c>
      <c r="F66" s="13" t="n">
        <v>4</v>
      </c>
      <c r="G66" s="13" t="n">
        <v>4</v>
      </c>
      <c r="H66" s="8" t="n">
        <v>13.04</v>
      </c>
      <c r="I66" s="8">
        <f>G66*H66</f>
        <v/>
      </c>
      <c r="J66" s="8">
        <f>H66/E66</f>
        <v/>
      </c>
      <c r="K66" s="8" t="n">
        <v>11.99</v>
      </c>
      <c r="L66" s="8" t="n">
        <v>11.9875</v>
      </c>
      <c r="M66" s="8" t="n">
        <v>11.9875</v>
      </c>
      <c r="N66" s="14">
        <f>J66/M66-1</f>
        <v/>
      </c>
      <c r="O66" s="14">
        <f>J66/K66-1</f>
        <v/>
      </c>
      <c r="P66" s="7" t="inlineStr">
        <is>
          <t>ACIMA +8.8%</t>
        </is>
      </c>
      <c r="Q66" s="7" t="inlineStr"/>
    </row>
    <row r="67">
      <c r="A67" s="7" t="n">
        <v>398941</v>
      </c>
      <c r="B67" s="7" t="inlineStr"/>
      <c r="C67" s="12" t="inlineStr">
        <is>
          <t>7891317000035</t>
        </is>
      </c>
      <c r="D67" s="7" t="inlineStr">
        <is>
          <t>PACO 500MG+30MG CX 12 COMP</t>
        </is>
      </c>
      <c r="E67" s="13" t="n">
        <v>1</v>
      </c>
      <c r="F67" s="13" t="n">
        <v>9</v>
      </c>
      <c r="G67" s="13" t="n">
        <v>9</v>
      </c>
      <c r="H67" s="8" t="n">
        <v>24.95</v>
      </c>
      <c r="I67" s="8">
        <f>G67*H67</f>
        <v/>
      </c>
      <c r="J67" s="8">
        <f>H67/E67</f>
        <v/>
      </c>
      <c r="K67" s="8" t="n">
        <v>31.99</v>
      </c>
      <c r="L67" s="8" t="n">
        <v>23.0125</v>
      </c>
      <c r="M67" s="8" t="n">
        <v>23.99936666666666</v>
      </c>
      <c r="N67" s="14">
        <f>J67/M67-1</f>
        <v/>
      </c>
      <c r="O67" s="14">
        <f>J67/K67-1</f>
        <v/>
      </c>
      <c r="P67" s="7" t="inlineStr">
        <is>
          <t>OK (≤ últ. compra)</t>
        </is>
      </c>
      <c r="Q67" s="7" t="inlineStr"/>
    </row>
    <row r="68">
      <c r="A68" s="7" t="n">
        <v>398921</v>
      </c>
      <c r="B68" s="7" t="inlineStr"/>
      <c r="C68" s="12" t="inlineStr">
        <is>
          <t>7891317000042</t>
        </is>
      </c>
      <c r="D68" s="7" t="inlineStr">
        <is>
          <t>PACO 500MG+30MG CX 24 COMP</t>
        </is>
      </c>
      <c r="E68" s="13" t="n">
        <v>1</v>
      </c>
      <c r="F68" s="13" t="n">
        <v>1</v>
      </c>
      <c r="G68" s="13" t="n">
        <v>1</v>
      </c>
      <c r="H68" s="8" t="n">
        <v>45.32</v>
      </c>
      <c r="I68" s="8">
        <f>G68*H68</f>
        <v/>
      </c>
      <c r="J68" s="8">
        <f>H68/E68</f>
        <v/>
      </c>
      <c r="K68" s="8" t="n">
        <v>46.6</v>
      </c>
      <c r="L68" s="8" t="n">
        <v>41.795</v>
      </c>
      <c r="M68" s="8" t="n">
        <v>44.73</v>
      </c>
      <c r="N68" s="14">
        <f>J68/M68-1</f>
        <v/>
      </c>
      <c r="O68" s="14">
        <f>J68/K68-1</f>
        <v/>
      </c>
      <c r="P68" s="7" t="inlineStr">
        <is>
          <t>OK (≤ últ. compra)</t>
        </is>
      </c>
      <c r="Q68" s="7" t="inlineStr"/>
    </row>
    <row r="69">
      <c r="A69" s="7" t="n">
        <v>644681</v>
      </c>
      <c r="B69" s="7" t="inlineStr"/>
      <c r="C69" s="12" t="inlineStr">
        <is>
          <t>7898031310891</t>
        </is>
      </c>
      <c r="D69" s="7" t="inlineStr">
        <is>
          <t>PEDRA HUME SOLUCAO SPRAY 30ML</t>
        </is>
      </c>
      <c r="E69" s="13" t="n">
        <v>1</v>
      </c>
      <c r="F69" s="13" t="n">
        <v>4</v>
      </c>
      <c r="G69" s="13" t="n">
        <v>4</v>
      </c>
      <c r="H69" s="8" t="n">
        <v>3.91</v>
      </c>
      <c r="I69" s="8">
        <f>G69*H69</f>
        <v/>
      </c>
      <c r="J69" s="8">
        <f>H69/E69</f>
        <v/>
      </c>
      <c r="K69" s="8" t="n">
        <v>5.45</v>
      </c>
      <c r="L69" s="8" t="n">
        <v>5.45</v>
      </c>
      <c r="M69" s="8" t="n">
        <v>5.45</v>
      </c>
      <c r="N69" s="14">
        <f>J69/M69-1</f>
        <v/>
      </c>
      <c r="O69" s="14">
        <f>J69/K69-1</f>
        <v/>
      </c>
      <c r="P69" s="7" t="inlineStr">
        <is>
          <t>OK (≤ menor hist.)</t>
        </is>
      </c>
      <c r="Q69" s="7" t="inlineStr"/>
    </row>
    <row r="70">
      <c r="A70" s="7" t="n">
        <v>284281</v>
      </c>
      <c r="B70" s="7" t="inlineStr"/>
      <c r="C70" s="12" t="inlineStr">
        <is>
          <t>7896637025362</t>
        </is>
      </c>
      <c r="D70" s="7" t="inlineStr">
        <is>
          <t>POSTEC 2,5MG+150UTR POM DERM BG 20G</t>
        </is>
      </c>
      <c r="E70" s="13" t="n">
        <v>1</v>
      </c>
      <c r="F70" s="13" t="n">
        <v>5</v>
      </c>
      <c r="G70" s="13" t="n">
        <v>5</v>
      </c>
      <c r="H70" s="8" t="n">
        <v>108.14</v>
      </c>
      <c r="I70" s="8">
        <f>G70*H70</f>
        <v/>
      </c>
      <c r="J70" s="8">
        <f>H70/E70</f>
        <v/>
      </c>
      <c r="K70" s="8" t="n">
        <v>108.14</v>
      </c>
      <c r="L70" s="8" t="n">
        <v>101.2367</v>
      </c>
      <c r="M70" s="8" t="n">
        <v>103.5378</v>
      </c>
      <c r="N70" s="14">
        <f>J70/M70-1</f>
        <v/>
      </c>
      <c r="O70" s="14">
        <f>J70/K70-1</f>
        <v/>
      </c>
      <c r="P70" s="7" t="inlineStr">
        <is>
          <t>OK (≤ últ. compra)</t>
        </is>
      </c>
      <c r="Q70" s="7" t="inlineStr"/>
    </row>
    <row r="71">
      <c r="A71" s="7" t="n">
        <v>500201</v>
      </c>
      <c r="B71" s="7" t="inlineStr"/>
      <c r="C71" s="12" t="inlineStr">
        <is>
          <t>7897595901309</t>
        </is>
      </c>
      <c r="D71" s="7" t="inlineStr">
        <is>
          <t>PURAN T4 25MCG CX 30 COMP</t>
        </is>
      </c>
      <c r="E71" s="13" t="n">
        <v>1</v>
      </c>
      <c r="F71" s="13" t="n">
        <v>14</v>
      </c>
      <c r="G71" s="13" t="n">
        <v>14</v>
      </c>
      <c r="H71" s="8" t="n">
        <v>13.36</v>
      </c>
      <c r="I71" s="8">
        <f>G71*H71</f>
        <v/>
      </c>
      <c r="J71" s="8">
        <f>H71/E71</f>
        <v/>
      </c>
      <c r="K71" s="8" t="n">
        <v>13.3467</v>
      </c>
      <c r="L71" s="8" t="n">
        <v>11.0783</v>
      </c>
      <c r="M71" s="8" t="n">
        <v>12.42</v>
      </c>
      <c r="N71" s="14">
        <f>J71/M71-1</f>
        <v/>
      </c>
      <c r="O71" s="14">
        <f>J71/K71-1</f>
        <v/>
      </c>
      <c r="P71" s="7" t="inlineStr">
        <is>
          <t>ACIMA +0.1%</t>
        </is>
      </c>
      <c r="Q71" s="7" t="inlineStr"/>
    </row>
    <row r="72">
      <c r="A72" s="7" t="n">
        <v>146061</v>
      </c>
      <c r="B72" s="7" t="inlineStr"/>
      <c r="C72" s="12" t="inlineStr">
        <is>
          <t>7892953001387</t>
        </is>
      </c>
      <c r="D72" s="7" t="inlineStr">
        <is>
          <t>PYRIDIUM 200MG CX 18 COMP REV</t>
        </is>
      </c>
      <c r="E72" s="13" t="n">
        <v>1</v>
      </c>
      <c r="F72" s="13" t="n">
        <v>11</v>
      </c>
      <c r="G72" s="13" t="n">
        <v>11</v>
      </c>
      <c r="H72" s="8" t="n">
        <v>25.46</v>
      </c>
      <c r="I72" s="8">
        <f>G72*H72</f>
        <v/>
      </c>
      <c r="J72" s="8">
        <f>H72/E72</f>
        <v/>
      </c>
      <c r="K72" s="8" t="n">
        <v>24.21</v>
      </c>
      <c r="L72" s="8" t="n">
        <v>19.4555</v>
      </c>
      <c r="M72" s="8" t="n">
        <v>21.7796</v>
      </c>
      <c r="N72" s="14">
        <f>J72/M72-1</f>
        <v/>
      </c>
      <c r="O72" s="14">
        <f>J72/K72-1</f>
        <v/>
      </c>
      <c r="P72" s="7" t="inlineStr">
        <is>
          <t>ACIMA +5.2%</t>
        </is>
      </c>
      <c r="Q72" s="7" t="inlineStr"/>
    </row>
    <row r="73">
      <c r="A73" s="7" t="n">
        <v>14581</v>
      </c>
      <c r="B73" s="7" t="inlineStr"/>
      <c r="C73" s="12" t="inlineStr">
        <is>
          <t>7891106006279</t>
        </is>
      </c>
      <c r="D73" s="7" t="inlineStr">
        <is>
          <t>REDOXON 1G TB 10 COMP EFEV SB LARANJA</t>
        </is>
      </c>
      <c r="E73" s="13" t="n">
        <v>1</v>
      </c>
      <c r="F73" s="13" t="n">
        <v>4</v>
      </c>
      <c r="G73" s="13" t="n">
        <v>4</v>
      </c>
      <c r="H73" s="8" t="n">
        <v>13.47</v>
      </c>
      <c r="I73" s="8">
        <f>G73*H73</f>
        <v/>
      </c>
      <c r="J73" s="8">
        <f>H73/E73</f>
        <v/>
      </c>
      <c r="K73" s="8" t="n">
        <v>13.47</v>
      </c>
      <c r="L73" s="8" t="n">
        <v>13.47</v>
      </c>
      <c r="M73" s="8" t="n">
        <v>13.47</v>
      </c>
      <c r="N73" s="14">
        <f>J73/M73-1</f>
        <v/>
      </c>
      <c r="O73" s="14">
        <f>J73/K73-1</f>
        <v/>
      </c>
      <c r="P73" s="7" t="inlineStr">
        <is>
          <t>OK (≤ menor hist.)</t>
        </is>
      </c>
      <c r="Q73" s="7" t="inlineStr"/>
    </row>
    <row r="74">
      <c r="A74" s="7" t="n">
        <v>114041</v>
      </c>
      <c r="B74" s="7" t="inlineStr"/>
      <c r="C74" s="12" t="inlineStr">
        <is>
          <t>7896676432886</t>
        </is>
      </c>
      <c r="D74" s="7" t="inlineStr">
        <is>
          <t>REGENCEL 10000UI+25/5/5MG POM OFT 3,5G</t>
        </is>
      </c>
      <c r="E74" s="13" t="n">
        <v>1</v>
      </c>
      <c r="F74" s="13" t="n">
        <v>2</v>
      </c>
      <c r="G74" s="13" t="n">
        <v>2</v>
      </c>
      <c r="H74" s="8" t="n">
        <v>12.9</v>
      </c>
      <c r="I74" s="8">
        <f>G74*H74</f>
        <v/>
      </c>
      <c r="J74" s="8">
        <f>H74/E74</f>
        <v/>
      </c>
      <c r="K74" s="8" t="n">
        <v>13.54</v>
      </c>
      <c r="L74" s="8" t="n">
        <v>11.94</v>
      </c>
      <c r="M74" s="8" t="n">
        <v>12.56333333333333</v>
      </c>
      <c r="N74" s="14">
        <f>J74/M74-1</f>
        <v/>
      </c>
      <c r="O74" s="14">
        <f>J74/K74-1</f>
        <v/>
      </c>
      <c r="P74" s="7" t="inlineStr">
        <is>
          <t>OK (≤ últ. compra)</t>
        </is>
      </c>
      <c r="Q74" s="7" t="inlineStr"/>
    </row>
    <row r="75">
      <c r="A75" s="7" t="n">
        <v>431301</v>
      </c>
      <c r="B75" s="7" t="inlineStr"/>
      <c r="C75" s="12" t="inlineStr">
        <is>
          <t>7896227800089</t>
        </is>
      </c>
      <c r="D75" s="7" t="inlineStr">
        <is>
          <t>SALONPAS 0,15+0,07G/G GEL BG 20G</t>
        </is>
      </c>
      <c r="E75" s="13" t="n">
        <v>1</v>
      </c>
      <c r="F75" s="13" t="n">
        <v>2</v>
      </c>
      <c r="G75" s="13" t="n">
        <v>2</v>
      </c>
      <c r="H75" s="8" t="n">
        <v>16.2</v>
      </c>
      <c r="I75" s="8">
        <f>G75*H75</f>
        <v/>
      </c>
      <c r="J75" s="8">
        <f>H75/E75</f>
        <v/>
      </c>
      <c r="K75" s="8" t="n">
        <v>14.86</v>
      </c>
      <c r="L75" s="8" t="n">
        <v>14.325</v>
      </c>
      <c r="M75" s="8" t="n">
        <v>14.325</v>
      </c>
      <c r="N75" s="14">
        <f>J75/M75-1</f>
        <v/>
      </c>
      <c r="O75" s="14">
        <f>J75/K75-1</f>
        <v/>
      </c>
      <c r="P75" s="7" t="inlineStr">
        <is>
          <t>ACIMA +9.0%</t>
        </is>
      </c>
      <c r="Q75" s="7" t="inlineStr"/>
    </row>
    <row r="76">
      <c r="A76" s="7" t="n">
        <v>623011</v>
      </c>
      <c r="B76" s="7" t="inlineStr"/>
      <c r="C76" s="12" t="inlineStr">
        <is>
          <t>4987188501115</t>
        </is>
      </c>
      <c r="D76" s="7" t="inlineStr">
        <is>
          <t>SALONPAS GEL-PATCH 12,5MG/G+10MG/G+3MG/G+10MG/G 3 ADES</t>
        </is>
      </c>
      <c r="E76" s="13" t="n">
        <v>1</v>
      </c>
      <c r="F76" s="13" t="n">
        <v>2</v>
      </c>
      <c r="G76" s="13" t="n">
        <v>2</v>
      </c>
      <c r="H76" s="8" t="n">
        <v>15.07</v>
      </c>
      <c r="I76" s="8">
        <f>G76*H76</f>
        <v/>
      </c>
      <c r="J76" s="8">
        <f>H76/E76</f>
        <v/>
      </c>
      <c r="K76" s="8" t="n">
        <v>15.66</v>
      </c>
      <c r="L76" s="8" t="n">
        <v>11.075</v>
      </c>
      <c r="M76" s="8" t="n">
        <v>12.55833333333333</v>
      </c>
      <c r="N76" s="14">
        <f>J76/M76-1</f>
        <v/>
      </c>
      <c r="O76" s="14">
        <f>J76/K76-1</f>
        <v/>
      </c>
      <c r="P76" s="7" t="inlineStr">
        <is>
          <t>OK (≤ últ. compra)</t>
        </is>
      </c>
      <c r="Q76" s="7" t="inlineStr"/>
    </row>
    <row r="77">
      <c r="A77" s="7" t="n">
        <v>4601</v>
      </c>
      <c r="B77" s="7" t="inlineStr"/>
      <c r="C77" s="12" t="inlineStr">
        <is>
          <t>7891317465667</t>
        </is>
      </c>
      <c r="D77" s="7" t="inlineStr">
        <is>
          <t>SELENE 0,035+2MG CX 21 COMP REV</t>
        </is>
      </c>
      <c r="E77" s="13" t="n">
        <v>1</v>
      </c>
      <c r="F77" s="13" t="n">
        <v>26</v>
      </c>
      <c r="G77" s="13" t="n">
        <v>26</v>
      </c>
      <c r="H77" s="8" t="n">
        <v>26.38</v>
      </c>
      <c r="I77" s="8">
        <f>G77*H77</f>
        <v/>
      </c>
      <c r="J77" s="8">
        <f>H77/E77</f>
        <v/>
      </c>
      <c r="K77" s="8" t="n">
        <v>26.38</v>
      </c>
      <c r="L77" s="8" t="n">
        <v>24.35</v>
      </c>
      <c r="M77" s="8" t="n">
        <v>25.70333333333333</v>
      </c>
      <c r="N77" s="14">
        <f>J77/M77-1</f>
        <v/>
      </c>
      <c r="O77" s="14">
        <f>J77/K77-1</f>
        <v/>
      </c>
      <c r="P77" s="7" t="inlineStr">
        <is>
          <t>OK (≤ últ. compra)</t>
        </is>
      </c>
      <c r="Q77" s="7" t="inlineStr"/>
    </row>
    <row r="78">
      <c r="A78" s="7" t="n">
        <v>110341</v>
      </c>
      <c r="B78" s="7" t="inlineStr"/>
      <c r="C78" s="12" t="inlineStr">
        <is>
          <t>7891317421748</t>
        </is>
      </c>
      <c r="D78" s="7" t="inlineStr">
        <is>
          <t>SINOT CLAV 875+125MG FR 14 COMP</t>
        </is>
      </c>
      <c r="E78" s="13" t="n">
        <v>1</v>
      </c>
      <c r="F78" s="13" t="n">
        <v>2</v>
      </c>
      <c r="G78" s="13" t="n">
        <v>2</v>
      </c>
      <c r="H78" s="8" t="n">
        <v>59.77</v>
      </c>
      <c r="I78" s="8">
        <f>G78*H78</f>
        <v/>
      </c>
      <c r="J78" s="8">
        <f>H78/E78</f>
        <v/>
      </c>
      <c r="K78" s="8" t="n">
        <v>61.45</v>
      </c>
      <c r="L78" s="8" t="n">
        <v>59.13</v>
      </c>
      <c r="M78" s="8" t="n">
        <v>59.90333333333334</v>
      </c>
      <c r="N78" s="14">
        <f>J78/M78-1</f>
        <v/>
      </c>
      <c r="O78" s="14">
        <f>J78/K78-1</f>
        <v/>
      </c>
      <c r="P78" s="7" t="inlineStr">
        <is>
          <t>OK (≤ últ. compra)</t>
        </is>
      </c>
      <c r="Q78" s="7" t="inlineStr"/>
    </row>
    <row r="79">
      <c r="A79" s="7" t="n">
        <v>658381</v>
      </c>
      <c r="B79" s="7" t="inlineStr"/>
      <c r="C79" s="12" t="inlineStr">
        <is>
          <t>7896658020315</t>
        </is>
      </c>
      <c r="D79" s="7" t="inlineStr">
        <is>
          <t>SORINE SSC SOL NAS SPRAY 50ML-OUTROS</t>
        </is>
      </c>
      <c r="E79" s="13" t="n">
        <v>1</v>
      </c>
      <c r="F79" s="13" t="n">
        <v>1</v>
      </c>
      <c r="G79" s="13" t="n">
        <v>1</v>
      </c>
      <c r="H79" s="8" t="n">
        <v>23.57</v>
      </c>
      <c r="I79" s="8">
        <f>G79*H79</f>
        <v/>
      </c>
      <c r="J79" s="8">
        <f>H79/E79</f>
        <v/>
      </c>
      <c r="K79" s="8" t="n">
        <v>24.75</v>
      </c>
      <c r="L79" s="8" t="n">
        <v>23.82</v>
      </c>
      <c r="M79" s="8" t="n">
        <v>24.13</v>
      </c>
      <c r="N79" s="14">
        <f>J79/M79-1</f>
        <v/>
      </c>
      <c r="O79" s="14">
        <f>J79/K79-1</f>
        <v/>
      </c>
      <c r="P79" s="7" t="inlineStr">
        <is>
          <t>OK (≤ menor hist.)</t>
        </is>
      </c>
      <c r="Q79" s="7" t="inlineStr"/>
    </row>
    <row r="80">
      <c r="A80" s="7" t="n">
        <v>645201</v>
      </c>
      <c r="B80" s="7" t="inlineStr"/>
      <c r="C80" s="12" t="inlineStr">
        <is>
          <t>7891317009717</t>
        </is>
      </c>
      <c r="D80" s="7" t="inlineStr">
        <is>
          <t>TAMISA NF 0,075+0,030MG CX 21 COMP REV</t>
        </is>
      </c>
      <c r="E80" s="13" t="n">
        <v>1</v>
      </c>
      <c r="F80" s="13" t="n">
        <v>4</v>
      </c>
      <c r="G80" s="13" t="n">
        <v>4</v>
      </c>
      <c r="H80" s="8" t="n">
        <v>28.4</v>
      </c>
      <c r="I80" s="8">
        <f>G80*H80</f>
        <v/>
      </c>
      <c r="J80" s="8">
        <f>H80/E80</f>
        <v/>
      </c>
      <c r="K80" s="8" t="n">
        <v>29.1975</v>
      </c>
      <c r="L80" s="8" t="n">
        <v>26.225</v>
      </c>
      <c r="M80" s="8" t="n">
        <v>27.875</v>
      </c>
      <c r="N80" s="14">
        <f>J80/M80-1</f>
        <v/>
      </c>
      <c r="O80" s="14">
        <f>J80/K80-1</f>
        <v/>
      </c>
      <c r="P80" s="7" t="inlineStr">
        <is>
          <t>OK (≤ últ. compra)</t>
        </is>
      </c>
      <c r="Q80" s="7" t="inlineStr"/>
    </row>
    <row r="81">
      <c r="A81" s="7" t="n">
        <v>572301</v>
      </c>
      <c r="B81" s="7" t="inlineStr"/>
      <c r="C81" s="12" t="inlineStr">
        <is>
          <t>7891317009755</t>
        </is>
      </c>
      <c r="D81" s="7" t="inlineStr">
        <is>
          <t>TAMISA NF 0,075+0,030MG SEM PARAR (CAIXA C/ 3 CARTELAS)</t>
        </is>
      </c>
      <c r="E81" s="13" t="n">
        <v>1</v>
      </c>
      <c r="F81" s="13" t="n">
        <v>4</v>
      </c>
      <c r="G81" s="13" t="n">
        <v>4</v>
      </c>
      <c r="H81" s="8" t="n">
        <v>36.9</v>
      </c>
      <c r="I81" s="8">
        <f>G81*H81</f>
        <v/>
      </c>
      <c r="J81" s="8">
        <f>H81/E81</f>
        <v/>
      </c>
      <c r="K81" s="8" t="n">
        <v>30.3333</v>
      </c>
      <c r="L81" s="8" t="n">
        <v>11.3522</v>
      </c>
      <c r="M81" s="8" t="n">
        <v>12.07073333333333</v>
      </c>
      <c r="N81" s="14">
        <f>J81/M81-1</f>
        <v/>
      </c>
      <c r="O81" s="14">
        <f>J81/K81-1</f>
        <v/>
      </c>
      <c r="P81" s="7" t="inlineStr">
        <is>
          <t>ACIMA +21.6%</t>
        </is>
      </c>
      <c r="Q81" s="7" t="inlineStr"/>
    </row>
    <row r="82">
      <c r="A82" s="7" t="n">
        <v>572341</v>
      </c>
      <c r="B82" s="7" t="inlineStr"/>
      <c r="C82" s="12" t="inlineStr">
        <is>
          <t>7500435171090</t>
        </is>
      </c>
      <c r="D82" s="7" t="inlineStr">
        <is>
          <t>TESTE DE GRAVIDEZ CLEARBLUE DIGIT 1UN</t>
        </is>
      </c>
      <c r="E82" s="13" t="n">
        <v>1</v>
      </c>
      <c r="F82" s="13" t="n">
        <v>1</v>
      </c>
      <c r="G82" s="13" t="n">
        <v>1</v>
      </c>
      <c r="H82" s="8" t="n">
        <v>38.39</v>
      </c>
      <c r="I82" s="8">
        <f>G82*H82</f>
        <v/>
      </c>
      <c r="J82" s="8">
        <f>H82/E82</f>
        <v/>
      </c>
      <c r="K82" s="8" t="n">
        <v>38.38</v>
      </c>
      <c r="L82" s="8" t="n">
        <v>37.55</v>
      </c>
      <c r="M82" s="8" t="n">
        <v>37.55</v>
      </c>
      <c r="N82" s="14">
        <f>J82/M82-1</f>
        <v/>
      </c>
      <c r="O82" s="14">
        <f>J82/K82-1</f>
        <v/>
      </c>
      <c r="P82" s="7" t="inlineStr">
        <is>
          <t>ACIMA +0.0%</t>
        </is>
      </c>
      <c r="Q82" s="7" t="inlineStr"/>
    </row>
    <row r="83">
      <c r="A83" s="7" t="n">
        <v>464521</v>
      </c>
      <c r="B83" s="7" t="inlineStr"/>
      <c r="C83" s="12" t="inlineStr">
        <is>
          <t>7896548112717</t>
        </is>
      </c>
      <c r="D83" s="7" t="inlineStr">
        <is>
          <t>TOBREX 3MG SOL OFT FR GTS 5ML</t>
        </is>
      </c>
      <c r="E83" s="13" t="n">
        <v>1</v>
      </c>
      <c r="F83" s="13" t="n">
        <v>1</v>
      </c>
      <c r="G83" s="13" t="n">
        <v>1</v>
      </c>
      <c r="H83" s="8" t="n">
        <v>28.22</v>
      </c>
      <c r="I83" s="8">
        <f>G83*H83</f>
        <v/>
      </c>
      <c r="J83" s="8">
        <f>H83/E83</f>
        <v/>
      </c>
      <c r="K83" s="8" t="n">
        <v>28.09</v>
      </c>
      <c r="L83" s="8" t="n">
        <v>26.69</v>
      </c>
      <c r="M83" s="8" t="n">
        <v>27.62333333333333</v>
      </c>
      <c r="N83" s="14">
        <f>J83/M83-1</f>
        <v/>
      </c>
      <c r="O83" s="14">
        <f>J83/K83-1</f>
        <v/>
      </c>
      <c r="P83" s="7" t="inlineStr">
        <is>
          <t>ACIMA +0.5%</t>
        </is>
      </c>
      <c r="Q83" s="7" t="inlineStr"/>
    </row>
    <row r="84">
      <c r="A84" s="7" t="n">
        <v>210541</v>
      </c>
      <c r="B84" s="7" t="inlineStr"/>
      <c r="C84" s="12" t="inlineStr">
        <is>
          <t>7891317005931</t>
        </is>
      </c>
      <c r="D84" s="7" t="inlineStr">
        <is>
          <t>TRIMUSK 125+50+300+30MG CX 15 COMP</t>
        </is>
      </c>
      <c r="E84" s="13" t="n">
        <v>1</v>
      </c>
      <c r="F84" s="13" t="n">
        <v>21</v>
      </c>
      <c r="G84" s="13" t="n">
        <v>21</v>
      </c>
      <c r="H84" s="8" t="n">
        <v>17.91</v>
      </c>
      <c r="I84" s="8">
        <f>G84*H84</f>
        <v/>
      </c>
      <c r="J84" s="8">
        <f>H84/E84</f>
        <v/>
      </c>
      <c r="K84" s="8" t="n">
        <v>17.91</v>
      </c>
      <c r="L84" s="8" t="n">
        <v>16.955</v>
      </c>
      <c r="M84" s="8" t="n">
        <v>17.52833333333333</v>
      </c>
      <c r="N84" s="14">
        <f>J84/M84-1</f>
        <v/>
      </c>
      <c r="O84" s="14">
        <f>J84/K84-1</f>
        <v/>
      </c>
      <c r="P84" s="7" t="inlineStr">
        <is>
          <t>OK (≤ últ. compra)</t>
        </is>
      </c>
      <c r="Q84" s="7" t="inlineStr"/>
    </row>
    <row r="85">
      <c r="A85" s="7" t="n">
        <v>207441</v>
      </c>
      <c r="B85" s="7" t="inlineStr"/>
      <c r="C85" s="12" t="inlineStr">
        <is>
          <t>7896226102504</t>
        </is>
      </c>
      <c r="D85" s="7" t="inlineStr">
        <is>
          <t>TRIVAGEL-N CREME VAG BG 60G+10APLIC</t>
        </is>
      </c>
      <c r="E85" s="13" t="n">
        <v>1</v>
      </c>
      <c r="F85" s="13" t="n">
        <v>2</v>
      </c>
      <c r="G85" s="13" t="n">
        <v>2</v>
      </c>
      <c r="H85" s="8" t="n">
        <v>72.44</v>
      </c>
      <c r="I85" s="8">
        <f>G85*H85</f>
        <v/>
      </c>
      <c r="J85" s="8">
        <f>H85/E85</f>
        <v/>
      </c>
      <c r="K85" s="8" t="n">
        <v>73.675</v>
      </c>
      <c r="L85" s="8" t="n">
        <v>63.0967</v>
      </c>
      <c r="M85" s="8" t="n">
        <v>69.32556666666666</v>
      </c>
      <c r="N85" s="14">
        <f>J85/M85-1</f>
        <v/>
      </c>
      <c r="O85" s="14">
        <f>J85/K85-1</f>
        <v/>
      </c>
      <c r="P85" s="7" t="inlineStr">
        <is>
          <t>OK (≤ últ. compra)</t>
        </is>
      </c>
      <c r="Q85" s="7" t="inlineStr"/>
    </row>
    <row r="86">
      <c r="A86" s="7" t="n">
        <v>609051</v>
      </c>
      <c r="B86" s="7" t="inlineStr"/>
      <c r="C86" s="12" t="inlineStr">
        <is>
          <t>7891317025564</t>
        </is>
      </c>
      <c r="D86" s="7" t="inlineStr">
        <is>
          <t>TROK 20+0,5MG/G CREM DERM BG 10G</t>
        </is>
      </c>
      <c r="E86" s="13" t="n">
        <v>1</v>
      </c>
      <c r="F86" s="13" t="n">
        <v>1</v>
      </c>
      <c r="G86" s="13" t="n">
        <v>1</v>
      </c>
      <c r="H86" s="8" t="n">
        <v>15</v>
      </c>
      <c r="I86" s="8">
        <f>G86*H86</f>
        <v/>
      </c>
      <c r="J86" s="8">
        <f>H86/E86</f>
        <v/>
      </c>
      <c r="K86" s="8" t="n">
        <v>15.42</v>
      </c>
      <c r="L86" s="8" t="n">
        <v>14.02</v>
      </c>
      <c r="M86" s="8" t="n">
        <v>14.69666666666667</v>
      </c>
      <c r="N86" s="14">
        <f>J86/M86-1</f>
        <v/>
      </c>
      <c r="O86" s="14">
        <f>J86/K86-1</f>
        <v/>
      </c>
      <c r="P86" s="7" t="inlineStr">
        <is>
          <t>OK (≤ últ. compra)</t>
        </is>
      </c>
      <c r="Q86" s="7" t="inlineStr"/>
    </row>
    <row r="87">
      <c r="A87" s="7" t="n">
        <v>451941</v>
      </c>
      <c r="B87" s="7" t="inlineStr"/>
      <c r="C87" s="12" t="inlineStr">
        <is>
          <t>7891317445737</t>
        </is>
      </c>
      <c r="D87" s="7" t="inlineStr">
        <is>
          <t>TROK-N 20+0,5+2,5MG/G CREM DERM BG 30G</t>
        </is>
      </c>
      <c r="E87" s="13" t="n">
        <v>1</v>
      </c>
      <c r="F87" s="13" t="n">
        <v>2</v>
      </c>
      <c r="G87" s="13" t="n">
        <v>2</v>
      </c>
      <c r="H87" s="8" t="n">
        <v>30.98</v>
      </c>
      <c r="I87" s="8">
        <f>G87*H87</f>
        <v/>
      </c>
      <c r="J87" s="8">
        <f>H87/E87</f>
        <v/>
      </c>
      <c r="K87" s="8" t="n">
        <v>31.855</v>
      </c>
      <c r="L87" s="8" t="n">
        <v>28.9525</v>
      </c>
      <c r="M87" s="8" t="n">
        <v>30.34916666666667</v>
      </c>
      <c r="N87" s="14">
        <f>J87/M87-1</f>
        <v/>
      </c>
      <c r="O87" s="14">
        <f>J87/K87-1</f>
        <v/>
      </c>
      <c r="P87" s="7" t="inlineStr">
        <is>
          <t>OK (≤ últ. compra)</t>
        </is>
      </c>
      <c r="Q87" s="7" t="inlineStr"/>
    </row>
    <row r="88">
      <c r="A88" s="7" t="n">
        <v>596721</v>
      </c>
      <c r="B88" s="7" t="inlineStr"/>
      <c r="C88" s="12" t="inlineStr">
        <is>
          <t>7898040329112</t>
        </is>
      </c>
      <c r="D88" s="7" t="inlineStr">
        <is>
          <t>VARICELL CREME BG 150G</t>
        </is>
      </c>
      <c r="E88" s="13" t="n">
        <v>1</v>
      </c>
      <c r="F88" s="13" t="n">
        <v>3</v>
      </c>
      <c r="G88" s="13" t="n">
        <v>3</v>
      </c>
      <c r="H88" s="8" t="n">
        <v>29.62</v>
      </c>
      <c r="I88" s="8">
        <f>G88*H88</f>
        <v/>
      </c>
      <c r="J88" s="8">
        <f>H88/E88</f>
        <v/>
      </c>
      <c r="K88" s="8" t="n">
        <v>28.28</v>
      </c>
      <c r="L88" s="8" t="n">
        <v>18.49</v>
      </c>
      <c r="M88" s="8" t="n">
        <v>24.35666666666667</v>
      </c>
      <c r="N88" s="14">
        <f>J88/M88-1</f>
        <v/>
      </c>
      <c r="O88" s="14">
        <f>J88/K88-1</f>
        <v/>
      </c>
      <c r="P88" s="7" t="inlineStr">
        <is>
          <t>ACIMA +4.7%</t>
        </is>
      </c>
      <c r="Q88" s="7" t="inlineStr"/>
    </row>
    <row r="89">
      <c r="A89" s="7" t="n">
        <v>675881</v>
      </c>
      <c r="B89" s="7" t="inlineStr"/>
      <c r="C89" s="12" t="inlineStr">
        <is>
          <t>7898031310990</t>
        </is>
      </c>
      <c r="D89" s="7" t="inlineStr">
        <is>
          <t>VASELINA LIQUIDA 100ML</t>
        </is>
      </c>
      <c r="E89" s="13" t="n">
        <v>1</v>
      </c>
      <c r="F89" s="13" t="n">
        <v>5</v>
      </c>
      <c r="G89" s="13" t="n">
        <v>5</v>
      </c>
      <c r="H89" s="8" t="n">
        <v>3.9</v>
      </c>
      <c r="I89" s="8">
        <f>G89*H89</f>
        <v/>
      </c>
      <c r="J89" s="8">
        <f>H89/E89</f>
        <v/>
      </c>
      <c r="K89" s="8" t="n">
        <v>5.29</v>
      </c>
      <c r="L89" s="8" t="n">
        <v>5.29</v>
      </c>
      <c r="M89" s="8" t="n">
        <v>5.29</v>
      </c>
      <c r="N89" s="14">
        <f>J89/M89-1</f>
        <v/>
      </c>
      <c r="O89" s="14">
        <f>J89/K89-1</f>
        <v/>
      </c>
      <c r="P89" s="7" t="inlineStr">
        <is>
          <t>OK (≤ menor hist.)</t>
        </is>
      </c>
      <c r="Q89" s="7" t="inlineStr"/>
    </row>
    <row r="90">
      <c r="A90" s="7" t="n">
        <v>219241</v>
      </c>
      <c r="B90" s="7" t="inlineStr"/>
      <c r="C90" s="12" t="inlineStr">
        <is>
          <t>7896641813146</t>
        </is>
      </c>
      <c r="D90" s="7" t="inlineStr">
        <is>
          <t>VENCIDO - DRAMIN 50 MG CARTELA 10 CP</t>
        </is>
      </c>
      <c r="E90" s="13" t="n">
        <v>1</v>
      </c>
      <c r="F90" s="13" t="n">
        <v>1</v>
      </c>
      <c r="G90" s="13" t="n">
        <v>1</v>
      </c>
      <c r="H90" s="8" t="n">
        <v>17.55</v>
      </c>
      <c r="I90" s="8">
        <f>G90*H90</f>
        <v/>
      </c>
      <c r="J90" s="8">
        <f>H90/E90</f>
        <v/>
      </c>
      <c r="K90" s="8" t="n"/>
      <c r="L90" s="8" t="n"/>
      <c r="M90" s="8" t="n"/>
      <c r="N90" s="14" t="n"/>
      <c r="O90" s="14" t="n"/>
      <c r="P90" s="7" t="inlineStr">
        <is>
          <t>SEM HISTÓRICO</t>
        </is>
      </c>
      <c r="Q90" s="7" t="inlineStr"/>
    </row>
    <row r="91">
      <c r="A91" s="7" t="n">
        <v>461961</v>
      </c>
      <c r="B91" s="7" t="inlineStr"/>
      <c r="C91" s="12" t="inlineStr">
        <is>
          <t>7893454100708</t>
        </is>
      </c>
      <c r="D91" s="7" t="inlineStr">
        <is>
          <t>VENCIDO - TIADOL 50MG/G SAB SACO 65G</t>
        </is>
      </c>
      <c r="E91" s="13" t="n">
        <v>1</v>
      </c>
      <c r="F91" s="13" t="n">
        <v>1</v>
      </c>
      <c r="G91" s="13" t="n">
        <v>1</v>
      </c>
      <c r="H91" s="8" t="n">
        <v>18.4</v>
      </c>
      <c r="I91" s="8">
        <f>G91*H91</f>
        <v/>
      </c>
      <c r="J91" s="8">
        <f>H91/E91</f>
        <v/>
      </c>
      <c r="K91" s="8" t="n">
        <v>19.23</v>
      </c>
      <c r="L91" s="8" t="n">
        <v>19.23</v>
      </c>
      <c r="M91" s="8" t="n">
        <v>19.23</v>
      </c>
      <c r="N91" s="14">
        <f>J91/M91-1</f>
        <v/>
      </c>
      <c r="O91" s="14">
        <f>J91/K91-1</f>
        <v/>
      </c>
      <c r="P91" s="7" t="inlineStr">
        <is>
          <t>OK (≤ menor hist.)</t>
        </is>
      </c>
      <c r="Q91" s="7" t="inlineStr"/>
    </row>
    <row r="92">
      <c r="A92" s="7" t="n">
        <v>16681</v>
      </c>
      <c r="B92" s="7" t="inlineStr"/>
      <c r="C92" s="12" t="inlineStr">
        <is>
          <t>7898109241485</t>
        </is>
      </c>
      <c r="D92" s="7" t="inlineStr">
        <is>
          <t>VI-FERRIN 150+0,25+7,5MCG SOL OR FR X 20ML</t>
        </is>
      </c>
      <c r="E92" s="13" t="n">
        <v>1</v>
      </c>
      <c r="F92" s="13" t="n">
        <v>4</v>
      </c>
      <c r="G92" s="13" t="n">
        <v>4</v>
      </c>
      <c r="H92" s="8" t="n">
        <v>29.05</v>
      </c>
      <c r="I92" s="8">
        <f>G92*H92</f>
        <v/>
      </c>
      <c r="J92" s="8">
        <f>H92/E92</f>
        <v/>
      </c>
      <c r="K92" s="8" t="n">
        <v>29.05</v>
      </c>
      <c r="L92" s="8" t="n">
        <v>29.05</v>
      </c>
      <c r="M92" s="8" t="n">
        <v>29.05</v>
      </c>
      <c r="N92" s="14">
        <f>J92/M92-1</f>
        <v/>
      </c>
      <c r="O92" s="14">
        <f>J92/K92-1</f>
        <v/>
      </c>
      <c r="P92" s="7" t="inlineStr">
        <is>
          <t>OK (≤ menor hist.)</t>
        </is>
      </c>
      <c r="Q92" s="7" t="inlineStr"/>
    </row>
    <row r="93">
      <c r="A93" s="7" t="n">
        <v>993</v>
      </c>
      <c r="B93" s="7" t="inlineStr"/>
      <c r="C93" s="12" t="inlineStr">
        <is>
          <t>75075644</t>
        </is>
      </c>
      <c r="D93" s="7" t="inlineStr">
        <is>
          <t>VICK BABY RUB 12G LATA</t>
        </is>
      </c>
      <c r="E93" s="13" t="n">
        <v>6</v>
      </c>
      <c r="F93" s="13" t="n">
        <v>9</v>
      </c>
      <c r="G93" s="13" t="n">
        <v>2</v>
      </c>
      <c r="H93" s="8" t="n">
        <v>92.44000000000001</v>
      </c>
      <c r="I93" s="8">
        <f>G93*H93</f>
        <v/>
      </c>
      <c r="J93" s="8">
        <f>H93/E93</f>
        <v/>
      </c>
      <c r="K93" s="8" t="n">
        <v>15.8375</v>
      </c>
      <c r="L93" s="8" t="n">
        <v>13.1538</v>
      </c>
      <c r="M93" s="8" t="n">
        <v>14.94293333333333</v>
      </c>
      <c r="N93" s="14">
        <f>J93/M93-1</f>
        <v/>
      </c>
      <c r="O93" s="14">
        <f>J93/K93-1</f>
        <v/>
      </c>
      <c r="P93" s="7" t="inlineStr">
        <is>
          <t>OK (≤ últ. compra)</t>
        </is>
      </c>
      <c r="Q93" s="7" t="inlineStr">
        <is>
          <t>1 emb = 6 un</t>
        </is>
      </c>
    </row>
    <row r="94">
      <c r="A94" s="7" t="n">
        <v>600581</v>
      </c>
      <c r="B94" s="7" t="inlineStr"/>
      <c r="C94" s="12" t="inlineStr">
        <is>
          <t>7501001246730</t>
        </is>
      </c>
      <c r="D94" s="7" t="inlineStr">
        <is>
          <t>VICK LATINHA 12G</t>
        </is>
      </c>
      <c r="E94" s="13" t="n">
        <v>24</v>
      </c>
      <c r="F94" s="13" t="n">
        <v>11</v>
      </c>
      <c r="G94" s="13" t="n">
        <v>1</v>
      </c>
      <c r="H94" s="8" t="n">
        <v>92.44000000000001</v>
      </c>
      <c r="I94" s="8">
        <f>G94*H94</f>
        <v/>
      </c>
      <c r="J94" s="8">
        <f>H94/E94</f>
        <v/>
      </c>
      <c r="K94" s="8" t="n">
        <v>17.0408</v>
      </c>
      <c r="L94" s="8" t="n">
        <v>11.9136</v>
      </c>
      <c r="M94" s="8" t="n">
        <v>14.19566666666667</v>
      </c>
      <c r="N94" s="14">
        <f>J94/M94-1</f>
        <v/>
      </c>
      <c r="O94" s="14">
        <f>J94/K94-1</f>
        <v/>
      </c>
      <c r="P94" s="7" t="inlineStr">
        <is>
          <t>OK (≤ menor hist.)</t>
        </is>
      </c>
      <c r="Q94" s="7" t="inlineStr">
        <is>
          <t>preços divergentes entre EANs (usado menor); 1 emb = 24 un; conferir emb.</t>
        </is>
      </c>
    </row>
    <row r="95">
      <c r="A95" s="7" t="n">
        <v>542821</v>
      </c>
      <c r="B95" s="7" t="inlineStr"/>
      <c r="C95" s="12" t="inlineStr">
        <is>
          <t>789112444</t>
        </is>
      </c>
      <c r="D95" s="7" t="inlineStr">
        <is>
          <t>VICK VAPORUB 30G POTE</t>
        </is>
      </c>
      <c r="E95" s="13" t="n">
        <v>1</v>
      </c>
      <c r="F95" s="13" t="n">
        <v>9</v>
      </c>
      <c r="G95" s="13" t="n">
        <v>9</v>
      </c>
      <c r="H95" s="8" t="n">
        <v>36.32</v>
      </c>
      <c r="I95" s="8">
        <f>G95*H95</f>
        <v/>
      </c>
      <c r="J95" s="8">
        <f>H95/E95</f>
        <v/>
      </c>
      <c r="K95" s="8" t="n">
        <v>38.6</v>
      </c>
      <c r="L95" s="8" t="n">
        <v>28.35</v>
      </c>
      <c r="M95" s="8" t="n">
        <v>32.6096</v>
      </c>
      <c r="N95" s="14">
        <f>J95/M95-1</f>
        <v/>
      </c>
      <c r="O95" s="14">
        <f>J95/K95-1</f>
        <v/>
      </c>
      <c r="P95" s="7" t="inlineStr">
        <is>
          <t>OK (≤ últ. compra)</t>
        </is>
      </c>
      <c r="Q95" s="7" t="inlineStr"/>
    </row>
    <row r="96">
      <c r="A96" s="7" t="n">
        <v>610801</v>
      </c>
      <c r="B96" s="7" t="inlineStr"/>
      <c r="C96" s="12" t="inlineStr">
        <is>
          <t>7500435209786</t>
        </is>
      </c>
      <c r="D96" s="7" t="inlineStr">
        <is>
          <t>VICK XAROPE XAROPE MIEL 100ML</t>
        </is>
      </c>
      <c r="E96" s="13" t="n">
        <v>1</v>
      </c>
      <c r="F96" s="13" t="n">
        <v>4</v>
      </c>
      <c r="G96" s="13" t="n">
        <v>4</v>
      </c>
      <c r="H96" s="8" t="n">
        <v>30.05</v>
      </c>
      <c r="I96" s="8">
        <f>G96*H96</f>
        <v/>
      </c>
      <c r="J96" s="8">
        <f>H96/E96</f>
        <v/>
      </c>
      <c r="K96" s="8" t="n">
        <v>28.7367</v>
      </c>
      <c r="L96" s="8" t="n">
        <v>24.38</v>
      </c>
      <c r="M96" s="8" t="n">
        <v>27.28446666666666</v>
      </c>
      <c r="N96" s="14">
        <f>J96/M96-1</f>
        <v/>
      </c>
      <c r="O96" s="14">
        <f>J96/K96-1</f>
        <v/>
      </c>
      <c r="P96" s="7" t="inlineStr">
        <is>
          <t>ACIMA +4.6%</t>
        </is>
      </c>
      <c r="Q96" s="7" t="inlineStr"/>
    </row>
    <row r="97">
      <c r="A97" s="7" t="n">
        <v>532061</v>
      </c>
      <c r="B97" s="7" t="inlineStr"/>
      <c r="C97" s="12" t="inlineStr">
        <is>
          <t>7894164006014</t>
        </is>
      </c>
      <c r="D97" s="7" t="inlineStr">
        <is>
          <t>VITAXON C TRIPLA ACAO EFERVECE CX C/ 10 CP</t>
        </is>
      </c>
      <c r="E97" s="13" t="n">
        <v>1</v>
      </c>
      <c r="F97" s="13" t="n">
        <v>62</v>
      </c>
      <c r="G97" s="13" t="n">
        <v>62</v>
      </c>
      <c r="H97" s="8" t="n">
        <v>4.58</v>
      </c>
      <c r="I97" s="8">
        <f>G97*H97</f>
        <v/>
      </c>
      <c r="J97" s="8">
        <f>H97/E97</f>
        <v/>
      </c>
      <c r="K97" s="8" t="n">
        <v>4.58</v>
      </c>
      <c r="L97" s="8" t="n">
        <v>4.58</v>
      </c>
      <c r="M97" s="8" t="n">
        <v>4.58</v>
      </c>
      <c r="N97" s="14">
        <f>J97/M97-1</f>
        <v/>
      </c>
      <c r="O97" s="14">
        <f>J97/K97-1</f>
        <v/>
      </c>
      <c r="P97" s="7" t="inlineStr">
        <is>
          <t>OK (≤ menor hist.)</t>
        </is>
      </c>
      <c r="Q97" s="7" t="inlineStr"/>
    </row>
    <row r="98">
      <c r="A98" s="7" t="n">
        <v>622781</v>
      </c>
      <c r="B98" s="7" t="inlineStr"/>
      <c r="C98" s="12" t="inlineStr">
        <is>
          <t>7896226100067</t>
        </is>
      </c>
      <c r="D98" s="7" t="inlineStr">
        <is>
          <t>VITERGAN MASTER-N CX 30 COMP REV</t>
        </is>
      </c>
      <c r="E98" s="13" t="n">
        <v>1</v>
      </c>
      <c r="F98" s="13" t="n">
        <v>1</v>
      </c>
      <c r="G98" s="13" t="n">
        <v>1</v>
      </c>
      <c r="H98" s="8" t="n">
        <v>85.7</v>
      </c>
      <c r="I98" s="8">
        <f>G98*H98</f>
        <v/>
      </c>
      <c r="J98" s="8">
        <f>H98/E98</f>
        <v/>
      </c>
      <c r="K98" s="8" t="n">
        <v>103.42</v>
      </c>
      <c r="L98" s="8" t="n">
        <v>97.12</v>
      </c>
      <c r="M98" s="8" t="n">
        <v>101.32</v>
      </c>
      <c r="N98" s="14">
        <f>J98/M98-1</f>
        <v/>
      </c>
      <c r="O98" s="14">
        <f>J98/K98-1</f>
        <v/>
      </c>
      <c r="P98" s="7" t="inlineStr">
        <is>
          <t>OK (≤ menor hist.)</t>
        </is>
      </c>
      <c r="Q98" s="7" t="inlineStr"/>
    </row>
    <row r="99">
      <c r="A99" s="7" t="n">
        <v>386261</v>
      </c>
      <c r="B99" s="7" t="inlineStr"/>
      <c r="C99" s="12" t="inlineStr">
        <is>
          <t>7896226102603</t>
        </is>
      </c>
      <c r="D99" s="7" t="inlineStr">
        <is>
          <t>VITERGAN ZINCO 15MG CX 30 COMP</t>
        </is>
      </c>
      <c r="E99" s="13" t="n">
        <v>1</v>
      </c>
      <c r="F99" s="13" t="n">
        <v>1</v>
      </c>
      <c r="G99" s="13" t="n">
        <v>1</v>
      </c>
      <c r="H99" s="8" t="n">
        <v>81.81999999999999</v>
      </c>
      <c r="I99" s="8">
        <f>G99*H99</f>
        <v/>
      </c>
      <c r="J99" s="8">
        <f>H99/E99</f>
        <v/>
      </c>
      <c r="K99" s="8" t="n">
        <v>81.81999999999999</v>
      </c>
      <c r="L99" s="8" t="n">
        <v>69.45999999999999</v>
      </c>
      <c r="M99" s="8" t="n">
        <v>77.69999999999999</v>
      </c>
      <c r="N99" s="14">
        <f>J99/M99-1</f>
        <v/>
      </c>
      <c r="O99" s="14">
        <f>J99/K99-1</f>
        <v/>
      </c>
      <c r="P99" s="7" t="inlineStr">
        <is>
          <t>OK (≤ últ. compra)</t>
        </is>
      </c>
      <c r="Q99" s="7" t="inlineStr"/>
    </row>
    <row r="100">
      <c r="A100" s="7" t="n">
        <v>65081</v>
      </c>
      <c r="B100" s="7" t="inlineStr"/>
      <c r="C100" s="12" t="inlineStr">
        <is>
          <t>7500435144384</t>
        </is>
      </c>
      <c r="D100" s="7" t="inlineStr">
        <is>
          <t>XAROPE 44 E 1,30+13,30MG/ML XPE FR 240ML</t>
        </is>
      </c>
      <c r="E100" s="13" t="n">
        <v>1</v>
      </c>
      <c r="F100" s="13" t="n">
        <v>1</v>
      </c>
      <c r="G100" s="13" t="n">
        <v>1</v>
      </c>
      <c r="H100" s="8" t="n">
        <v>54</v>
      </c>
      <c r="I100" s="8">
        <f>G100*H100</f>
        <v/>
      </c>
      <c r="J100" s="8">
        <f>H100/E100</f>
        <v/>
      </c>
      <c r="K100" s="8" t="n">
        <v>51.6533</v>
      </c>
      <c r="L100" s="8" t="n">
        <v>45.41</v>
      </c>
      <c r="M100" s="8" t="n">
        <v>49.5722</v>
      </c>
      <c r="N100" s="14">
        <f>J100/M100-1</f>
        <v/>
      </c>
      <c r="O100" s="14">
        <f>J100/K100-1</f>
        <v/>
      </c>
      <c r="P100" s="7" t="inlineStr">
        <is>
          <t>ACIMA +4.5%</t>
        </is>
      </c>
      <c r="Q100" s="7" t="inlineStr"/>
    </row>
    <row r="101">
      <c r="A101" s="7" t="n">
        <v>261481</v>
      </c>
      <c r="B101" s="7" t="inlineStr"/>
      <c r="C101" s="12" t="inlineStr">
        <is>
          <t>7897316805442</t>
        </is>
      </c>
      <c r="D101" s="7" t="inlineStr">
        <is>
          <t>ZYPRED 3+10MG/ML SUS OFT FR GOT 6ML</t>
        </is>
      </c>
      <c r="E101" s="13" t="n">
        <v>1</v>
      </c>
      <c r="F101" s="13" t="n">
        <v>4</v>
      </c>
      <c r="G101" s="13" t="n">
        <v>4</v>
      </c>
      <c r="H101" s="8" t="n">
        <v>68.62</v>
      </c>
      <c r="I101" s="8">
        <f>G101*H101</f>
        <v/>
      </c>
      <c r="J101" s="8">
        <f>H101/E101</f>
        <v/>
      </c>
      <c r="K101" s="8" t="n">
        <v>67.565</v>
      </c>
      <c r="L101" s="8" t="n">
        <v>61.93</v>
      </c>
      <c r="M101" s="8" t="n">
        <v>65.68666666666667</v>
      </c>
      <c r="N101" s="14">
        <f>J101/M101-1</f>
        <v/>
      </c>
      <c r="O101" s="14">
        <f>J101/K101-1</f>
        <v/>
      </c>
      <c r="P101" s="7" t="inlineStr">
        <is>
          <t>ACIMA +1.6%</t>
        </is>
      </c>
      <c r="Q101" s="7" t="inlineStr"/>
    </row>
    <row r="102">
      <c r="D102" s="5" t="inlineStr">
        <is>
          <t>TOTAL</t>
        </is>
      </c>
      <c r="I102" s="18">
        <f>SUM(I2:I101)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7" customWidth="1" min="16" max="16"/>
    <col width="26" customWidth="1" min="17" max="17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Média hist.</t>
        </is>
      </c>
      <c r="N1" s="11" t="inlineStr">
        <is>
          <t>% vs média hist.</t>
        </is>
      </c>
      <c r="O1" s="11" t="inlineStr">
        <is>
          <t>% vs últ. compra</t>
        </is>
      </c>
      <c r="P1" s="11" t="inlineStr">
        <is>
          <t>Status</t>
        </is>
      </c>
      <c r="Q1" s="11" t="inlineStr">
        <is>
          <t>OBS</t>
        </is>
      </c>
    </row>
    <row r="2">
      <c r="A2" s="7" t="n">
        <v>669881</v>
      </c>
      <c r="B2" s="7" t="inlineStr"/>
      <c r="C2" s="12" t="inlineStr">
        <is>
          <t>7891150102552</t>
        </is>
      </c>
      <c r="D2" s="7" t="inlineStr">
        <is>
          <t>- COND DOVE HIDRAT HIALU VIT 190ML   UNIL %DN:15.00</t>
        </is>
      </c>
      <c r="E2" s="13" t="n">
        <v>1</v>
      </c>
      <c r="F2" s="13" t="n">
        <v>1</v>
      </c>
      <c r="G2" s="13" t="n">
        <v>1</v>
      </c>
      <c r="H2" s="8" t="n">
        <v>16.3</v>
      </c>
      <c r="I2" s="8">
        <f>G2*H2</f>
        <v/>
      </c>
      <c r="J2" s="8">
        <f>H2/E2</f>
        <v/>
      </c>
      <c r="K2" s="8" t="n">
        <v>13.9</v>
      </c>
      <c r="L2" s="8" t="n">
        <v>13.9</v>
      </c>
      <c r="M2" s="8" t="n">
        <v>13.9</v>
      </c>
      <c r="N2" s="14">
        <f>J2/M2-1</f>
        <v/>
      </c>
      <c r="O2" s="14">
        <f>J2/K2-1</f>
        <v/>
      </c>
      <c r="P2" s="7" t="inlineStr">
        <is>
          <t>ACIMA +17.3%</t>
        </is>
      </c>
      <c r="Q2" s="7" t="inlineStr"/>
    </row>
    <row r="3">
      <c r="A3" s="7" t="n">
        <v>662971</v>
      </c>
      <c r="B3" s="7" t="inlineStr"/>
      <c r="C3" s="12" t="inlineStr">
        <is>
          <t>7891150080119</t>
        </is>
      </c>
      <c r="D3" s="7" t="inlineStr">
        <is>
          <t>- CR TRAT SEDA COLAGVITAM C 300G   UNIL %DN:13.00</t>
        </is>
      </c>
      <c r="E3" s="13" t="n">
        <v>1</v>
      </c>
      <c r="F3" s="13" t="n">
        <v>2</v>
      </c>
      <c r="G3" s="13" t="n">
        <v>2</v>
      </c>
      <c r="H3" s="8" t="n">
        <v>14.31</v>
      </c>
      <c r="I3" s="8">
        <f>G3*H3</f>
        <v/>
      </c>
      <c r="J3" s="8">
        <f>H3/E3</f>
        <v/>
      </c>
      <c r="K3" s="8" t="n">
        <v>10.5867</v>
      </c>
      <c r="L3" s="8" t="n">
        <v>10.5867</v>
      </c>
      <c r="M3" s="8" t="n">
        <v>10.5867</v>
      </c>
      <c r="N3" s="14">
        <f>J3/M3-1</f>
        <v/>
      </c>
      <c r="O3" s="14">
        <f>J3/K3-1</f>
        <v/>
      </c>
      <c r="P3" s="7" t="inlineStr">
        <is>
          <t>ACIMA +35.2%</t>
        </is>
      </c>
      <c r="Q3" s="7" t="inlineStr"/>
    </row>
    <row r="4">
      <c r="A4" s="7" t="n">
        <v>663021</v>
      </c>
      <c r="B4" s="7" t="inlineStr"/>
      <c r="C4" s="12" t="inlineStr">
        <is>
          <t>7891150087385</t>
        </is>
      </c>
      <c r="D4" s="7" t="inlineStr">
        <is>
          <t>- DEO SUAVE AER AP FRUT VER 200ML   UNIL %DN:5.00</t>
        </is>
      </c>
      <c r="E4" s="13" t="n">
        <v>1</v>
      </c>
      <c r="F4" s="13" t="n">
        <v>1</v>
      </c>
      <c r="G4" s="13" t="n">
        <v>1</v>
      </c>
      <c r="H4" s="8" t="n">
        <v>8.76</v>
      </c>
      <c r="I4" s="8">
        <f>G4*H4</f>
        <v/>
      </c>
      <c r="J4" s="8">
        <f>H4/E4</f>
        <v/>
      </c>
      <c r="K4" s="8" t="n">
        <v>8.039999999999999</v>
      </c>
      <c r="L4" s="8" t="n">
        <v>8.039999999999999</v>
      </c>
      <c r="M4" s="8" t="n">
        <v>8.039999999999999</v>
      </c>
      <c r="N4" s="14">
        <f>J4/M4-1</f>
        <v/>
      </c>
      <c r="O4" s="14">
        <f>J4/K4-1</f>
        <v/>
      </c>
      <c r="P4" s="7" t="inlineStr">
        <is>
          <t>ACIMA +9.0%</t>
        </is>
      </c>
      <c r="Q4" s="7" t="inlineStr"/>
    </row>
    <row r="5">
      <c r="A5" s="7" t="n">
        <v>663121</v>
      </c>
      <c r="B5" s="7" t="inlineStr"/>
      <c r="C5" s="12" t="inlineStr">
        <is>
          <t>7891150097377</t>
        </is>
      </c>
      <c r="D5" s="7" t="inlineStr">
        <is>
          <t>- KIT SHP+COND SEDA CERAMIDAS 300ML+190ML   UNIL %DN:10.00</t>
        </is>
      </c>
      <c r="E5" s="13" t="n">
        <v>1</v>
      </c>
      <c r="F5" s="13" t="n">
        <v>1</v>
      </c>
      <c r="G5" s="13" t="n">
        <v>1</v>
      </c>
      <c r="H5" s="8" t="n">
        <v>14.8</v>
      </c>
      <c r="I5" s="8">
        <f>G5*H5</f>
        <v/>
      </c>
      <c r="J5" s="8">
        <f>H5/E5</f>
        <v/>
      </c>
      <c r="K5" s="8" t="n">
        <v>13.22</v>
      </c>
      <c r="L5" s="8" t="n">
        <v>13.22</v>
      </c>
      <c r="M5" s="8" t="n">
        <v>13.22</v>
      </c>
      <c r="N5" s="14">
        <f>J5/M5-1</f>
        <v/>
      </c>
      <c r="O5" s="14">
        <f>J5/K5-1</f>
        <v/>
      </c>
      <c r="P5" s="7" t="inlineStr">
        <is>
          <t>ACIMA +12.0%</t>
        </is>
      </c>
      <c r="Q5" s="7" t="inlineStr"/>
    </row>
    <row r="6">
      <c r="A6" s="7" t="n">
        <v>653421</v>
      </c>
      <c r="B6" s="7" t="inlineStr"/>
      <c r="C6" s="12" t="inlineStr">
        <is>
          <t>7896512927590</t>
        </is>
      </c>
      <c r="D6" s="7" t="inlineStr">
        <is>
          <t>- LENCO UMED BEBE ERVA DOCE 50UN   CASA %DN:10.00</t>
        </is>
      </c>
      <c r="E6" s="13" t="n">
        <v>1</v>
      </c>
      <c r="F6" s="13" t="n">
        <v>1</v>
      </c>
      <c r="G6" s="13" t="n">
        <v>1</v>
      </c>
      <c r="H6" s="8" t="n">
        <v>12.87</v>
      </c>
      <c r="I6" s="8">
        <f>G6*H6</f>
        <v/>
      </c>
      <c r="J6" s="8">
        <f>H6/E6</f>
        <v/>
      </c>
      <c r="K6" s="8" t="n">
        <v>11.1867</v>
      </c>
      <c r="L6" s="8" t="n">
        <v>11.1867</v>
      </c>
      <c r="M6" s="8" t="n">
        <v>11.1867</v>
      </c>
      <c r="N6" s="14">
        <f>J6/M6-1</f>
        <v/>
      </c>
      <c r="O6" s="14">
        <f>J6/K6-1</f>
        <v/>
      </c>
      <c r="P6" s="7" t="inlineStr">
        <is>
          <t>ACIMA +15.0%</t>
        </is>
      </c>
      <c r="Q6" s="7" t="inlineStr"/>
    </row>
    <row r="7">
      <c r="A7" s="7" t="n">
        <v>653401</v>
      </c>
      <c r="B7" s="7" t="inlineStr"/>
      <c r="C7" s="12" t="inlineStr">
        <is>
          <t>7896512935540</t>
        </is>
      </c>
      <c r="D7" s="7" t="inlineStr">
        <is>
          <t>- LENCO UMED BEBE PELE SENSIVEL 50UN   CASA %DN:10.00</t>
        </is>
      </c>
      <c r="E7" s="13" t="n">
        <v>1</v>
      </c>
      <c r="F7" s="13" t="n">
        <v>1</v>
      </c>
      <c r="G7" s="13" t="n">
        <v>1</v>
      </c>
      <c r="H7" s="8" t="n">
        <v>12.87</v>
      </c>
      <c r="I7" s="8">
        <f>G7*H7</f>
        <v/>
      </c>
      <c r="J7" s="8">
        <f>H7/E7</f>
        <v/>
      </c>
      <c r="K7" s="8" t="n">
        <v>11.1867</v>
      </c>
      <c r="L7" s="8" t="n">
        <v>11.1867</v>
      </c>
      <c r="M7" s="8" t="n">
        <v>11.1867</v>
      </c>
      <c r="N7" s="14">
        <f>J7/M7-1</f>
        <v/>
      </c>
      <c r="O7" s="14">
        <f>J7/K7-1</f>
        <v/>
      </c>
      <c r="P7" s="7" t="inlineStr">
        <is>
          <t>ACIMA +15.0%</t>
        </is>
      </c>
      <c r="Q7" s="7" t="inlineStr"/>
    </row>
    <row r="8">
      <c r="A8" s="7" t="n">
        <v>274461</v>
      </c>
      <c r="B8" s="7" t="inlineStr"/>
      <c r="C8" s="12" t="inlineStr">
        <is>
          <t>7898040320973</t>
        </is>
      </c>
      <c r="D8" s="7" t="inlineStr">
        <is>
          <t>ABRILAR 7MG XPE FR 100ML+CM</t>
        </is>
      </c>
      <c r="E8" s="13" t="n">
        <v>1</v>
      </c>
      <c r="F8" s="13" t="n">
        <v>5</v>
      </c>
      <c r="G8" s="13" t="n">
        <v>5</v>
      </c>
      <c r="H8" s="8" t="n">
        <v>41.8943</v>
      </c>
      <c r="I8" s="8">
        <f>G8*H8</f>
        <v/>
      </c>
      <c r="J8" s="8">
        <f>H8/E8</f>
        <v/>
      </c>
      <c r="K8" s="8" t="n">
        <v>42.64</v>
      </c>
      <c r="L8" s="8" t="n">
        <v>33.1775</v>
      </c>
      <c r="M8" s="8" t="n">
        <v>36.61166666666667</v>
      </c>
      <c r="N8" s="14">
        <f>J8/M8-1</f>
        <v/>
      </c>
      <c r="O8" s="14">
        <f>J8/K8-1</f>
        <v/>
      </c>
      <c r="P8" s="7" t="inlineStr">
        <is>
          <t>OK (≤ últ. compra)</t>
        </is>
      </c>
      <c r="Q8" s="7" t="inlineStr"/>
    </row>
    <row r="9">
      <c r="A9" s="7" t="n">
        <v>630901</v>
      </c>
      <c r="B9" s="7" t="inlineStr"/>
      <c r="C9" s="12" t="inlineStr">
        <is>
          <t>7896064487016</t>
        </is>
      </c>
      <c r="D9" s="7" t="inlineStr">
        <is>
          <t>ABS GERIAMAX POS PARTO C/20UN</t>
        </is>
      </c>
      <c r="E9" s="13" t="n">
        <v>1</v>
      </c>
      <c r="F9" s="13" t="n">
        <v>3</v>
      </c>
      <c r="G9" s="13" t="n">
        <v>3</v>
      </c>
      <c r="H9" s="8" t="n">
        <v>20.88</v>
      </c>
      <c r="I9" s="8">
        <f>G9*H9</f>
        <v/>
      </c>
      <c r="J9" s="8">
        <f>H9/E9</f>
        <v/>
      </c>
      <c r="K9" s="8" t="n">
        <v>20.02</v>
      </c>
      <c r="L9" s="8" t="n">
        <v>17.35</v>
      </c>
      <c r="M9" s="8" t="n">
        <v>19.13</v>
      </c>
      <c r="N9" s="14">
        <f>J9/M9-1</f>
        <v/>
      </c>
      <c r="O9" s="14">
        <f>J9/K9-1</f>
        <v/>
      </c>
      <c r="P9" s="7" t="inlineStr">
        <is>
          <t>ACIMA +4.3%</t>
        </is>
      </c>
      <c r="Q9" s="7" t="inlineStr"/>
    </row>
    <row r="10">
      <c r="A10" s="7" t="n">
        <v>595471</v>
      </c>
      <c r="B10" s="7" t="inlineStr"/>
      <c r="C10" s="12" t="inlineStr">
        <is>
          <t>7896007542482</t>
        </is>
      </c>
      <c r="D10" s="7" t="inlineStr">
        <is>
          <t>ABS INT DAYS S/AB 40UN</t>
        </is>
      </c>
      <c r="E10" s="13" t="n">
        <v>1</v>
      </c>
      <c r="F10" s="13" t="n">
        <v>2</v>
      </c>
      <c r="G10" s="13" t="n">
        <v>2</v>
      </c>
      <c r="H10" s="8" t="n">
        <v>12.28</v>
      </c>
      <c r="I10" s="8">
        <f>G10*H10</f>
        <v/>
      </c>
      <c r="J10" s="8">
        <f>H10/E10</f>
        <v/>
      </c>
      <c r="K10" s="8" t="n">
        <v>11.3917</v>
      </c>
      <c r="L10" s="8" t="n">
        <v>11.3917</v>
      </c>
      <c r="M10" s="8" t="n">
        <v>11.3917</v>
      </c>
      <c r="N10" s="14">
        <f>J10/M10-1</f>
        <v/>
      </c>
      <c r="O10" s="14">
        <f>J10/K10-1</f>
        <v/>
      </c>
      <c r="P10" s="7" t="inlineStr">
        <is>
          <t>ACIMA +7.8%</t>
        </is>
      </c>
      <c r="Q10" s="7" t="inlineStr"/>
    </row>
    <row r="11">
      <c r="A11" s="7" t="n">
        <v>659431</v>
      </c>
      <c r="B11" s="7" t="inlineStr"/>
      <c r="C11" s="12" t="inlineStr">
        <is>
          <t>7891010245603</t>
        </is>
      </c>
      <c r="D11" s="7" t="inlineStr">
        <is>
          <t>ABS INTERNO OB PROCOMFORT MED C/8</t>
        </is>
      </c>
      <c r="E11" s="13" t="n">
        <v>1</v>
      </c>
      <c r="F11" s="13" t="n">
        <v>6</v>
      </c>
      <c r="G11" s="13" t="n">
        <v>6</v>
      </c>
      <c r="H11" s="8" t="n">
        <v>10.44</v>
      </c>
      <c r="I11" s="8">
        <f>G11*H11</f>
        <v/>
      </c>
      <c r="J11" s="8">
        <f>H11/E11</f>
        <v/>
      </c>
      <c r="K11" s="8" t="n">
        <v>8.8025</v>
      </c>
      <c r="L11" s="8" t="n">
        <v>8.8025</v>
      </c>
      <c r="M11" s="8" t="n">
        <v>8.8025</v>
      </c>
      <c r="N11" s="14">
        <f>J11/M11-1</f>
        <v/>
      </c>
      <c r="O11" s="14">
        <f>J11/K11-1</f>
        <v/>
      </c>
      <c r="P11" s="7" t="inlineStr">
        <is>
          <t>ACIMA +18.6%</t>
        </is>
      </c>
      <c r="Q11" s="7" t="inlineStr"/>
    </row>
    <row r="12">
      <c r="A12" s="7" t="n">
        <v>587021</v>
      </c>
      <c r="B12" s="7" t="inlineStr"/>
      <c r="C12" s="12" t="inlineStr">
        <is>
          <t>7896007544059</t>
        </is>
      </c>
      <c r="D12" s="7" t="inlineStr">
        <is>
          <t>ABS INTIM GEL NORM SECA C/ABAS C/32</t>
        </is>
      </c>
      <c r="E12" s="13" t="n">
        <v>1</v>
      </c>
      <c r="F12" s="13" t="n">
        <v>1</v>
      </c>
      <c r="G12" s="13" t="n">
        <v>1</v>
      </c>
      <c r="H12" s="8" t="n">
        <v>15.31</v>
      </c>
      <c r="I12" s="8">
        <f>G12*H12</f>
        <v/>
      </c>
      <c r="J12" s="8">
        <f>H12/E12</f>
        <v/>
      </c>
      <c r="K12" s="8" t="n">
        <v>12.85</v>
      </c>
      <c r="L12" s="8" t="n">
        <v>12.85</v>
      </c>
      <c r="M12" s="8" t="n">
        <v>12.85</v>
      </c>
      <c r="N12" s="14">
        <f>J12/M12-1</f>
        <v/>
      </c>
      <c r="O12" s="14">
        <f>J12/K12-1</f>
        <v/>
      </c>
      <c r="P12" s="7" t="inlineStr">
        <is>
          <t>ACIMA +19.1%</t>
        </is>
      </c>
      <c r="Q12" s="7" t="inlineStr"/>
    </row>
    <row r="13">
      <c r="A13" s="7" t="n">
        <v>628601</v>
      </c>
      <c r="B13" s="7" t="inlineStr"/>
      <c r="C13" s="12" t="inlineStr">
        <is>
          <t>7896007550890</t>
        </is>
      </c>
      <c r="D13" s="7" t="inlineStr">
        <is>
          <t>ABS INTIM GEL NOTUR C/ABAS SUAVE C/30</t>
        </is>
      </c>
      <c r="E13" s="13" t="n">
        <v>1</v>
      </c>
      <c r="F13" s="13" t="n">
        <v>3</v>
      </c>
      <c r="G13" s="13" t="n">
        <v>3</v>
      </c>
      <c r="H13" s="8" t="n">
        <v>27.24</v>
      </c>
      <c r="I13" s="8">
        <f>G13*H13</f>
        <v/>
      </c>
      <c r="J13" s="8">
        <f>H13/E13</f>
        <v/>
      </c>
      <c r="K13" s="8" t="n">
        <v>26.1</v>
      </c>
      <c r="L13" s="8" t="n">
        <v>17.6317</v>
      </c>
      <c r="M13" s="8" t="n">
        <v>19.25056666666667</v>
      </c>
      <c r="N13" s="14">
        <f>J13/M13-1</f>
        <v/>
      </c>
      <c r="O13" s="14">
        <f>J13/K13-1</f>
        <v/>
      </c>
      <c r="P13" s="7" t="inlineStr">
        <is>
          <t>ACIMA +4.4%</t>
        </is>
      </c>
      <c r="Q13" s="7" t="inlineStr"/>
    </row>
    <row r="14">
      <c r="A14" s="7" t="n">
        <v>540121</v>
      </c>
      <c r="B14" s="7" t="inlineStr"/>
      <c r="C14" s="12" t="inlineStr">
        <is>
          <t>7896007550883</t>
        </is>
      </c>
      <c r="D14" s="7" t="inlineStr">
        <is>
          <t>ABS INTIMUS NOTURNO 16 UN</t>
        </is>
      </c>
      <c r="E14" s="13" t="n">
        <v>1</v>
      </c>
      <c r="F14" s="13" t="n">
        <v>3</v>
      </c>
      <c r="G14" s="13" t="n">
        <v>3</v>
      </c>
      <c r="H14" s="8" t="n">
        <v>15.98</v>
      </c>
      <c r="I14" s="8">
        <f>G14*H14</f>
        <v/>
      </c>
      <c r="J14" s="8">
        <f>H14/E14</f>
        <v/>
      </c>
      <c r="K14" s="8" t="n">
        <v>10.5033</v>
      </c>
      <c r="L14" s="8" t="n">
        <v>10.5033</v>
      </c>
      <c r="M14" s="8" t="n">
        <v>10.5033</v>
      </c>
      <c r="N14" s="14">
        <f>J14/M14-1</f>
        <v/>
      </c>
      <c r="O14" s="14">
        <f>J14/K14-1</f>
        <v/>
      </c>
      <c r="P14" s="7" t="inlineStr">
        <is>
          <t>ACIMA +52.1%</t>
        </is>
      </c>
      <c r="Q14" s="7" t="inlineStr"/>
    </row>
    <row r="15">
      <c r="A15" s="7" t="n">
        <v>556621</v>
      </c>
      <c r="B15" s="7" t="inlineStr"/>
      <c r="C15" s="12" t="inlineStr">
        <is>
          <t>7891010010577</t>
        </is>
      </c>
      <c r="D15" s="7" t="inlineStr">
        <is>
          <t>ABS OB INTERNO SUPER 10UN</t>
        </is>
      </c>
      <c r="E15" s="13" t="n">
        <v>1</v>
      </c>
      <c r="F15" s="13" t="n">
        <v>16</v>
      </c>
      <c r="G15" s="13" t="n">
        <v>16</v>
      </c>
      <c r="H15" s="8" t="n">
        <v>10.44</v>
      </c>
      <c r="I15" s="8">
        <f>G15*H15</f>
        <v/>
      </c>
      <c r="J15" s="8">
        <f>H15/E15</f>
        <v/>
      </c>
      <c r="K15" s="8" t="n">
        <v>9.199999999999999</v>
      </c>
      <c r="L15" s="8" t="n">
        <v>7.78</v>
      </c>
      <c r="M15" s="8" t="n">
        <v>8.726666666666667</v>
      </c>
      <c r="N15" s="14">
        <f>J15/M15-1</f>
        <v/>
      </c>
      <c r="O15" s="14">
        <f>J15/K15-1</f>
        <v/>
      </c>
      <c r="P15" s="7" t="inlineStr">
        <is>
          <t>ACIMA +13.5%</t>
        </is>
      </c>
      <c r="Q15" s="7" t="inlineStr"/>
    </row>
    <row r="16">
      <c r="A16" s="7" t="n">
        <v>598971</v>
      </c>
      <c r="B16" s="7" t="inlineStr"/>
      <c r="C16" s="12" t="inlineStr">
        <is>
          <t>7891010697518</t>
        </is>
      </c>
      <c r="D16" s="7" t="inlineStr">
        <is>
          <t>ABS S LIVRE AD SE C/AB 32UN</t>
        </is>
      </c>
      <c r="E16" s="13" t="n">
        <v>1</v>
      </c>
      <c r="F16" s="13" t="n">
        <v>4</v>
      </c>
      <c r="G16" s="13" t="n">
        <v>4</v>
      </c>
      <c r="H16" s="8" t="n">
        <v>28.09</v>
      </c>
      <c r="I16" s="8">
        <f>G16*H16</f>
        <v/>
      </c>
      <c r="J16" s="8">
        <f>H16/E16</f>
        <v/>
      </c>
      <c r="K16" s="8" t="n">
        <v>26.05</v>
      </c>
      <c r="L16" s="8" t="n">
        <v>26.05</v>
      </c>
      <c r="M16" s="8" t="n">
        <v>26.05</v>
      </c>
      <c r="N16" s="14">
        <f>J16/M16-1</f>
        <v/>
      </c>
      <c r="O16" s="14">
        <f>J16/K16-1</f>
        <v/>
      </c>
      <c r="P16" s="7" t="inlineStr">
        <is>
          <t>ACIMA +7.8%</t>
        </is>
      </c>
      <c r="Q16" s="7" t="inlineStr"/>
    </row>
    <row r="17">
      <c r="A17" s="7" t="n">
        <v>595251</v>
      </c>
      <c r="B17" s="7" t="inlineStr"/>
      <c r="C17" s="12" t="inlineStr">
        <is>
          <t>7891010518844</t>
        </is>
      </c>
      <c r="D17" s="7" t="inlineStr">
        <is>
          <t>ABS S LIVRE AD SU C/AB 32UN</t>
        </is>
      </c>
      <c r="E17" s="13" t="n">
        <v>1</v>
      </c>
      <c r="F17" s="13" t="n">
        <v>4</v>
      </c>
      <c r="G17" s="13" t="n">
        <v>4</v>
      </c>
      <c r="H17" s="8" t="n">
        <v>28.09</v>
      </c>
      <c r="I17" s="8">
        <f>G17*H17</f>
        <v/>
      </c>
      <c r="J17" s="8">
        <f>H17/E17</f>
        <v/>
      </c>
      <c r="K17" s="8" t="n">
        <v>26.05</v>
      </c>
      <c r="L17" s="8" t="n">
        <v>22.8483</v>
      </c>
      <c r="M17" s="8" t="n">
        <v>24.98276666666667</v>
      </c>
      <c r="N17" s="14">
        <f>J17/M17-1</f>
        <v/>
      </c>
      <c r="O17" s="14">
        <f>J17/K17-1</f>
        <v/>
      </c>
      <c r="P17" s="7" t="inlineStr">
        <is>
          <t>ACIMA +7.8%</t>
        </is>
      </c>
      <c r="Q17" s="7" t="inlineStr"/>
    </row>
    <row r="18">
      <c r="A18" s="7" t="n">
        <v>634121</v>
      </c>
      <c r="B18" s="7" t="inlineStr"/>
      <c r="C18" s="12" t="inlineStr">
        <is>
          <t>7891010254155</t>
        </is>
      </c>
      <c r="D18" s="7" t="inlineStr">
        <is>
          <t>ABS S LIVRE ESP ADPT C/ABA 32UN</t>
        </is>
      </c>
      <c r="E18" s="13" t="n">
        <v>1</v>
      </c>
      <c r="F18" s="13" t="n">
        <v>7</v>
      </c>
      <c r="G18" s="13" t="n">
        <v>7</v>
      </c>
      <c r="H18" s="8" t="n">
        <v>15.34</v>
      </c>
      <c r="I18" s="8">
        <f>G18*H18</f>
        <v/>
      </c>
      <c r="J18" s="8">
        <f>H18/E18</f>
        <v/>
      </c>
      <c r="K18" s="8" t="n">
        <v>13.745</v>
      </c>
      <c r="L18" s="8" t="n">
        <v>12.0283</v>
      </c>
      <c r="M18" s="8" t="n">
        <v>13.17163333333333</v>
      </c>
      <c r="N18" s="14">
        <f>J18/M18-1</f>
        <v/>
      </c>
      <c r="O18" s="14">
        <f>J18/K18-1</f>
        <v/>
      </c>
      <c r="P18" s="7" t="inlineStr">
        <is>
          <t>ACIMA +11.6%</t>
        </is>
      </c>
      <c r="Q18" s="7" t="inlineStr"/>
    </row>
    <row r="19">
      <c r="A19" s="7" t="n">
        <v>540161</v>
      </c>
      <c r="B19" s="7" t="inlineStr"/>
      <c r="C19" s="12" t="inlineStr">
        <is>
          <t>7891010694593</t>
        </is>
      </c>
      <c r="D19" s="7" t="inlineStr">
        <is>
          <t>ABS SEMPRE LIVRE ADAPT PLUS NOITE E DIA 8 UN</t>
        </is>
      </c>
      <c r="E19" s="13" t="n">
        <v>1</v>
      </c>
      <c r="F19" s="13" t="n">
        <v>4</v>
      </c>
      <c r="G19" s="13" t="n">
        <v>4</v>
      </c>
      <c r="H19" s="8" t="n">
        <v>8.98</v>
      </c>
      <c r="I19" s="8">
        <f>G19*H19</f>
        <v/>
      </c>
      <c r="J19" s="8">
        <f>H19/E19</f>
        <v/>
      </c>
      <c r="K19" s="8" t="n">
        <v>8.294600000000001</v>
      </c>
      <c r="L19" s="8" t="n">
        <v>7.3521</v>
      </c>
      <c r="M19" s="8" t="n">
        <v>7.980433333333334</v>
      </c>
      <c r="N19" s="14">
        <f>J19/M19-1</f>
        <v/>
      </c>
      <c r="O19" s="14">
        <f>J19/K19-1</f>
        <v/>
      </c>
      <c r="P19" s="7" t="inlineStr">
        <is>
          <t>ACIMA +8.3%</t>
        </is>
      </c>
      <c r="Q19" s="7" t="inlineStr"/>
    </row>
    <row r="20">
      <c r="A20" s="7" t="n">
        <v>598071</v>
      </c>
      <c r="B20" s="7" t="inlineStr"/>
      <c r="C20" s="12" t="inlineStr">
        <is>
          <t>7891010704780</t>
        </is>
      </c>
      <c r="D20" s="7" t="inlineStr">
        <is>
          <t>ABS SL ADAPT PLUS SUAVE ABAS C/32UN</t>
        </is>
      </c>
      <c r="E20" s="13" t="n">
        <v>1</v>
      </c>
      <c r="F20" s="13" t="n">
        <v>1</v>
      </c>
      <c r="G20" s="13" t="n">
        <v>1</v>
      </c>
      <c r="H20" s="8" t="n">
        <v>18.57</v>
      </c>
      <c r="I20" s="8">
        <f>G20*H20</f>
        <v/>
      </c>
      <c r="J20" s="8">
        <f>H20/E20</f>
        <v/>
      </c>
      <c r="K20" s="8" t="n">
        <v>17.5267</v>
      </c>
      <c r="L20" s="8" t="n">
        <v>17.5267</v>
      </c>
      <c r="M20" s="8" t="n">
        <v>17.5267</v>
      </c>
      <c r="N20" s="14">
        <f>J20/M20-1</f>
        <v/>
      </c>
      <c r="O20" s="14">
        <f>J20/K20-1</f>
        <v/>
      </c>
      <c r="P20" s="7" t="inlineStr">
        <is>
          <t>ACIMA +6.0%</t>
        </is>
      </c>
      <c r="Q20" s="7" t="inlineStr"/>
    </row>
    <row r="21">
      <c r="A21" s="7" t="n">
        <v>628331</v>
      </c>
      <c r="B21" s="7" t="inlineStr"/>
      <c r="C21" s="12" t="inlineStr">
        <is>
          <t>7891010031633</t>
        </is>
      </c>
      <c r="D21" s="7" t="inlineStr">
        <is>
          <t>ABS SL ADAPT PLUS SUAVE ABAS C/8</t>
        </is>
      </c>
      <c r="E21" s="13" t="n">
        <v>1</v>
      </c>
      <c r="F21" s="13" t="n">
        <v>10</v>
      </c>
      <c r="G21" s="13" t="n">
        <v>10</v>
      </c>
      <c r="H21" s="8" t="n">
        <v>5.71</v>
      </c>
      <c r="I21" s="8">
        <f>G21*H21</f>
        <v/>
      </c>
      <c r="J21" s="8">
        <f>H21/E21</f>
        <v/>
      </c>
      <c r="K21" s="8" t="n">
        <v>5.2817</v>
      </c>
      <c r="L21" s="8" t="n">
        <v>4.6689</v>
      </c>
      <c r="M21" s="8" t="n">
        <v>5.077433333333333</v>
      </c>
      <c r="N21" s="14">
        <f>J21/M21-1</f>
        <v/>
      </c>
      <c r="O21" s="14">
        <f>J21/K21-1</f>
        <v/>
      </c>
      <c r="P21" s="7" t="inlineStr">
        <is>
          <t>ACIMA +8.1%</t>
        </is>
      </c>
      <c r="Q21" s="7" t="inlineStr"/>
    </row>
    <row r="22">
      <c r="A22" s="7" t="n">
        <v>652271</v>
      </c>
      <c r="B22" s="7" t="inlineStr"/>
      <c r="C22" s="12" t="inlineStr">
        <is>
          <t>7501019056888</t>
        </is>
      </c>
      <c r="D22" s="7" t="inlineStr">
        <is>
          <t>ABS TENA LADY DISCREET NORMAL C/8</t>
        </is>
      </c>
      <c r="E22" s="13" t="n">
        <v>1</v>
      </c>
      <c r="F22" s="13" t="n">
        <v>1</v>
      </c>
      <c r="G22" s="13" t="n">
        <v>1</v>
      </c>
      <c r="H22" s="8" t="n">
        <v>13.9001</v>
      </c>
      <c r="I22" s="8">
        <f>G22*H22</f>
        <v/>
      </c>
      <c r="J22" s="8">
        <f>H22/E22</f>
        <v/>
      </c>
      <c r="K22" s="8" t="n">
        <v>10.75</v>
      </c>
      <c r="L22" s="8" t="n">
        <v>10.75</v>
      </c>
      <c r="M22" s="8" t="n">
        <v>10.75</v>
      </c>
      <c r="N22" s="14">
        <f>J22/M22-1</f>
        <v/>
      </c>
      <c r="O22" s="14">
        <f>J22/K22-1</f>
        <v/>
      </c>
      <c r="P22" s="7" t="inlineStr">
        <is>
          <t>ACIMA +29.3%</t>
        </is>
      </c>
      <c r="Q22" s="7" t="inlineStr"/>
    </row>
    <row r="23">
      <c r="A23" s="7" t="n">
        <v>577761</v>
      </c>
      <c r="B23" s="7" t="inlineStr"/>
      <c r="C23" s="12" t="inlineStr">
        <is>
          <t>7896007544042</t>
        </is>
      </c>
      <c r="D23" s="7" t="inlineStr">
        <is>
          <t>ABS. INT. TRIP. PR. SU.C/AB. 32UN</t>
        </is>
      </c>
      <c r="E23" s="13" t="n">
        <v>1</v>
      </c>
      <c r="F23" s="13" t="n">
        <v>5</v>
      </c>
      <c r="G23" s="13" t="n">
        <v>5</v>
      </c>
      <c r="H23" s="8" t="n">
        <v>15.31</v>
      </c>
      <c r="I23" s="8">
        <f>G23*H23</f>
        <v/>
      </c>
      <c r="J23" s="8">
        <f>H23/E23</f>
        <v/>
      </c>
      <c r="K23" s="8" t="n">
        <v>14.53</v>
      </c>
      <c r="L23" s="8" t="n">
        <v>9.779999999999999</v>
      </c>
      <c r="M23" s="8" t="n">
        <v>12.94666666666667</v>
      </c>
      <c r="N23" s="14">
        <f>J23/M23-1</f>
        <v/>
      </c>
      <c r="O23" s="14">
        <f>J23/K23-1</f>
        <v/>
      </c>
      <c r="P23" s="7" t="inlineStr">
        <is>
          <t>ACIMA +5.4%</t>
        </is>
      </c>
      <c r="Q23" s="7" t="inlineStr"/>
    </row>
    <row r="24">
      <c r="A24" s="7" t="n">
        <v>579801</v>
      </c>
      <c r="B24" s="7" t="inlineStr"/>
      <c r="C24" s="12" t="inlineStr">
        <is>
          <t>7896007550548</t>
        </is>
      </c>
      <c r="D24" s="7" t="inlineStr">
        <is>
          <t>ABS. INTIMUS DAYS S/AB.40X1 ANT.PE</t>
        </is>
      </c>
      <c r="E24" s="13" t="n">
        <v>1</v>
      </c>
      <c r="F24" s="13" t="n">
        <v>3</v>
      </c>
      <c r="G24" s="13" t="n">
        <v>3</v>
      </c>
      <c r="H24" s="8" t="n">
        <v>12.28</v>
      </c>
      <c r="I24" s="8">
        <f>G24*H24</f>
        <v/>
      </c>
      <c r="J24" s="8">
        <f>H24/E24</f>
        <v/>
      </c>
      <c r="K24" s="8" t="n">
        <v>10.14</v>
      </c>
      <c r="L24" s="8" t="n">
        <v>8.859999999999999</v>
      </c>
      <c r="M24" s="8" t="n">
        <v>9.713333333333333</v>
      </c>
      <c r="N24" s="14">
        <f>J24/M24-1</f>
        <v/>
      </c>
      <c r="O24" s="14">
        <f>J24/K24-1</f>
        <v/>
      </c>
      <c r="P24" s="7" t="inlineStr">
        <is>
          <t>ACIMA +21.1%</t>
        </is>
      </c>
      <c r="Q24" s="7" t="inlineStr"/>
    </row>
    <row r="25">
      <c r="A25" s="7" t="n">
        <v>589771</v>
      </c>
      <c r="B25" s="7" t="inlineStr"/>
      <c r="C25" s="12" t="inlineStr">
        <is>
          <t>7896007545094</t>
        </is>
      </c>
      <c r="D25" s="7" t="inlineStr">
        <is>
          <t>ABS. INTIMUS TRIP.PR.SU.C/A.16UN</t>
        </is>
      </c>
      <c r="E25" s="13" t="n">
        <v>1</v>
      </c>
      <c r="F25" s="13" t="n">
        <v>3</v>
      </c>
      <c r="G25" s="13" t="n">
        <v>3</v>
      </c>
      <c r="H25" s="8" t="n">
        <v>8.42</v>
      </c>
      <c r="I25" s="8">
        <f>G25*H25</f>
        <v/>
      </c>
      <c r="J25" s="8">
        <f>H25/E25</f>
        <v/>
      </c>
      <c r="K25" s="8" t="n">
        <v>5.8133</v>
      </c>
      <c r="L25" s="8" t="n">
        <v>5.8133</v>
      </c>
      <c r="M25" s="8" t="n">
        <v>5.813300000000001</v>
      </c>
      <c r="N25" s="14">
        <f>J25/M25-1</f>
        <v/>
      </c>
      <c r="O25" s="14">
        <f>J25/K25-1</f>
        <v/>
      </c>
      <c r="P25" s="7" t="inlineStr">
        <is>
          <t>ACIMA +44.8%</t>
        </is>
      </c>
      <c r="Q25" s="7" t="inlineStr"/>
    </row>
    <row r="26">
      <c r="A26" s="7" t="n">
        <v>577741</v>
      </c>
      <c r="B26" s="7" t="inlineStr"/>
      <c r="C26" s="12" t="inlineStr">
        <is>
          <t>7891010579616</t>
        </is>
      </c>
      <c r="D26" s="7" t="inlineStr">
        <is>
          <t>ABS. S. LIVRE AD.SU.C/AB.16UN</t>
        </is>
      </c>
      <c r="E26" s="13" t="n">
        <v>1</v>
      </c>
      <c r="F26" s="13" t="n">
        <v>4</v>
      </c>
      <c r="G26" s="13" t="n">
        <v>4</v>
      </c>
      <c r="H26" s="8" t="n">
        <v>10.67</v>
      </c>
      <c r="I26" s="8">
        <f>G26*H26</f>
        <v/>
      </c>
      <c r="J26" s="8">
        <f>H26/E26</f>
        <v/>
      </c>
      <c r="K26" s="8" t="n">
        <v>9.8767</v>
      </c>
      <c r="L26" s="8" t="n">
        <v>8.7217</v>
      </c>
      <c r="M26" s="8" t="n">
        <v>9.4917</v>
      </c>
      <c r="N26" s="14">
        <f>J26/M26-1</f>
        <v/>
      </c>
      <c r="O26" s="14">
        <f>J26/K26-1</f>
        <v/>
      </c>
      <c r="P26" s="7" t="inlineStr">
        <is>
          <t>ACIMA +8.0%</t>
        </is>
      </c>
      <c r="Q26" s="7" t="inlineStr"/>
    </row>
    <row r="27">
      <c r="A27" s="7" t="n">
        <v>548701</v>
      </c>
      <c r="B27" s="7" t="inlineStr"/>
      <c r="C27" s="12" t="inlineStr">
        <is>
          <t>7891010793463</t>
        </is>
      </c>
      <c r="D27" s="7" t="inlineStr">
        <is>
          <t>ABSORVENTE C/ ABAS SUAVE SEMPRE LIVRE ADAPT  16 UNID</t>
        </is>
      </c>
      <c r="E27" s="13" t="n">
        <v>1</v>
      </c>
      <c r="F27" s="13" t="n">
        <v>13</v>
      </c>
      <c r="G27" s="13" t="n">
        <v>13</v>
      </c>
      <c r="H27" s="8" t="n">
        <v>8.85</v>
      </c>
      <c r="I27" s="8">
        <f>G27*H27</f>
        <v/>
      </c>
      <c r="J27" s="8">
        <f>H27/E27</f>
        <v/>
      </c>
      <c r="K27" s="8" t="n">
        <v>7.16</v>
      </c>
      <c r="L27" s="8" t="n">
        <v>7.16</v>
      </c>
      <c r="M27" s="8" t="n">
        <v>7.16</v>
      </c>
      <c r="N27" s="14">
        <f>J27/M27-1</f>
        <v/>
      </c>
      <c r="O27" s="14">
        <f>J27/K27-1</f>
        <v/>
      </c>
      <c r="P27" s="7" t="inlineStr">
        <is>
          <t>ACIMA +23.6%</t>
        </is>
      </c>
      <c r="Q27" s="7" t="inlineStr"/>
    </row>
    <row r="28">
      <c r="A28" s="7" t="n">
        <v>537661</v>
      </c>
      <c r="B28" s="7" t="inlineStr"/>
      <c r="C28" s="12" t="inlineStr">
        <is>
          <t>7896007541867</t>
        </is>
      </c>
      <c r="D28" s="7" t="inlineStr">
        <is>
          <t>ABSORVENTE INTERNO INTIMUS MEDIO CAIXA 8 UNIDADES</t>
        </is>
      </c>
      <c r="E28" s="13" t="n">
        <v>1</v>
      </c>
      <c r="F28" s="13" t="n">
        <v>8</v>
      </c>
      <c r="G28" s="13" t="n">
        <v>8</v>
      </c>
      <c r="H28" s="8" t="n">
        <v>11.55</v>
      </c>
      <c r="I28" s="8">
        <f>G28*H28</f>
        <v/>
      </c>
      <c r="J28" s="8">
        <f>H28/E28</f>
        <v/>
      </c>
      <c r="K28" s="8" t="n">
        <v>7.87</v>
      </c>
      <c r="L28" s="8" t="n">
        <v>7.5008</v>
      </c>
      <c r="M28" s="8" t="n">
        <v>7.746933333333334</v>
      </c>
      <c r="N28" s="14">
        <f>J28/M28-1</f>
        <v/>
      </c>
      <c r="O28" s="14">
        <f>J28/K28-1</f>
        <v/>
      </c>
      <c r="P28" s="7" t="inlineStr">
        <is>
          <t>ACIMA +46.8%</t>
        </is>
      </c>
      <c r="Q28" s="7" t="inlineStr"/>
    </row>
    <row r="29">
      <c r="A29" s="7" t="n">
        <v>537181</v>
      </c>
      <c r="B29" s="7" t="inlineStr"/>
      <c r="C29" s="12" t="inlineStr">
        <is>
          <t>7896007541874</t>
        </is>
      </c>
      <c r="D29" s="7" t="inlineStr">
        <is>
          <t>ABSORVENTE INTERNO INTIMUS SUPER CAIXA 8 UNIDADES</t>
        </is>
      </c>
      <c r="E29" s="13" t="n">
        <v>1</v>
      </c>
      <c r="F29" s="13" t="n">
        <v>5</v>
      </c>
      <c r="G29" s="13" t="n">
        <v>5</v>
      </c>
      <c r="H29" s="8" t="n">
        <v>11.55</v>
      </c>
      <c r="I29" s="8">
        <f>G29*H29</f>
        <v/>
      </c>
      <c r="J29" s="8">
        <f>H29/E29</f>
        <v/>
      </c>
      <c r="K29" s="8" t="n">
        <v>7.87</v>
      </c>
      <c r="L29" s="8" t="n">
        <v>6.8758</v>
      </c>
      <c r="M29" s="8" t="n">
        <v>7.5386</v>
      </c>
      <c r="N29" s="14">
        <f>J29/M29-1</f>
        <v/>
      </c>
      <c r="O29" s="14">
        <f>J29/K29-1</f>
        <v/>
      </c>
      <c r="P29" s="7" t="inlineStr">
        <is>
          <t>ACIMA +46.8%</t>
        </is>
      </c>
      <c r="Q29" s="7" t="inlineStr"/>
    </row>
    <row r="30">
      <c r="A30" s="7" t="n">
        <v>641531</v>
      </c>
      <c r="B30" s="7" t="inlineStr"/>
      <c r="C30" s="12" t="inlineStr">
        <is>
          <t>7896007550814</t>
        </is>
      </c>
      <c r="D30" s="7" t="inlineStr">
        <is>
          <t>ABSORVENTE INTIMUS NOTURNO DISCRETO COM ABAS 1X28</t>
        </is>
      </c>
      <c r="E30" s="13" t="n">
        <v>1</v>
      </c>
      <c r="F30" s="13" t="n">
        <v>5</v>
      </c>
      <c r="G30" s="13" t="n">
        <v>5</v>
      </c>
      <c r="H30" s="8" t="n">
        <v>27.24</v>
      </c>
      <c r="I30" s="8">
        <f>G30*H30</f>
        <v/>
      </c>
      <c r="J30" s="8">
        <f>H30/E30</f>
        <v/>
      </c>
      <c r="K30" s="8" t="n">
        <v>21.1</v>
      </c>
      <c r="L30" s="8" t="n">
        <v>21.1</v>
      </c>
      <c r="M30" s="8" t="n">
        <v>21.1</v>
      </c>
      <c r="N30" s="14">
        <f>J30/M30-1</f>
        <v/>
      </c>
      <c r="O30" s="14">
        <f>J30/K30-1</f>
        <v/>
      </c>
      <c r="P30" s="7" t="inlineStr">
        <is>
          <t>ACIMA +29.1%</t>
        </is>
      </c>
      <c r="Q30" s="7" t="inlineStr"/>
    </row>
    <row r="31">
      <c r="A31" s="7" t="n">
        <v>554821</v>
      </c>
      <c r="B31" s="7" t="inlineStr"/>
      <c r="C31" s="12" t="inlineStr">
        <is>
          <t>7891010503031</t>
        </is>
      </c>
      <c r="D31" s="7" t="inlineStr">
        <is>
          <t>ABSORVENTE SEM ABAS SUAVE SEMPRE LIVRE ADAPT PACOTE 8 UNIDADES</t>
        </is>
      </c>
      <c r="E31" s="13" t="n">
        <v>1</v>
      </c>
      <c r="F31" s="13" t="n">
        <v>18</v>
      </c>
      <c r="G31" s="13" t="n">
        <v>18</v>
      </c>
      <c r="H31" s="8" t="n">
        <v>4.69</v>
      </c>
      <c r="I31" s="8">
        <f>G31*H31</f>
        <v/>
      </c>
      <c r="J31" s="8">
        <f>H31/E31</f>
        <v/>
      </c>
      <c r="K31" s="8" t="n">
        <v>3.08</v>
      </c>
      <c r="L31" s="8" t="n">
        <v>3.08</v>
      </c>
      <c r="M31" s="8" t="n">
        <v>3.08</v>
      </c>
      <c r="N31" s="14">
        <f>J31/M31-1</f>
        <v/>
      </c>
      <c r="O31" s="14">
        <f>J31/K31-1</f>
        <v/>
      </c>
      <c r="P31" s="7" t="inlineStr">
        <is>
          <t>ACIMA +52.3%</t>
        </is>
      </c>
      <c r="Q31" s="7" t="inlineStr"/>
    </row>
    <row r="32">
      <c r="A32" s="7" t="n">
        <v>548801</v>
      </c>
      <c r="B32" s="7" t="inlineStr"/>
      <c r="C32" s="12" t="inlineStr">
        <is>
          <t>7891010035631</t>
        </is>
      </c>
      <c r="D32" s="7" t="inlineStr">
        <is>
          <t>ABSORVENTE SEMPRE LIVRE ADAPT PLUS NOITE E DIA SUAVE COM ABAS COM 8 UNIDADES</t>
        </is>
      </c>
      <c r="E32" s="13" t="n">
        <v>1</v>
      </c>
      <c r="F32" s="13" t="n">
        <v>20</v>
      </c>
      <c r="G32" s="13" t="n">
        <v>20</v>
      </c>
      <c r="H32" s="8" t="n">
        <v>8.98</v>
      </c>
      <c r="I32" s="8">
        <f>G32*H32</f>
        <v/>
      </c>
      <c r="J32" s="8">
        <f>H32/E32</f>
        <v/>
      </c>
      <c r="K32" s="8" t="n">
        <v>6.62</v>
      </c>
      <c r="L32" s="8" t="n">
        <v>6.62</v>
      </c>
      <c r="M32" s="8" t="n">
        <v>6.62</v>
      </c>
      <c r="N32" s="14">
        <f>J32/M32-1</f>
        <v/>
      </c>
      <c r="O32" s="14">
        <f>J32/K32-1</f>
        <v/>
      </c>
      <c r="P32" s="7" t="inlineStr">
        <is>
          <t>ACIMA +35.6%</t>
        </is>
      </c>
      <c r="Q32" s="7" t="inlineStr"/>
    </row>
    <row r="33">
      <c r="A33" s="7" t="n">
        <v>564381</v>
      </c>
      <c r="B33" s="7" t="inlineStr"/>
      <c r="C33" s="12" t="inlineStr">
        <is>
          <t>7891010607135</t>
        </is>
      </c>
      <c r="D33" s="7" t="inlineStr">
        <is>
          <t>ABSORVENTE SEMPRE LIVRE NOT.SU.C/A.16X1 UN</t>
        </is>
      </c>
      <c r="E33" s="13" t="n">
        <v>1</v>
      </c>
      <c r="F33" s="13" t="n">
        <v>13</v>
      </c>
      <c r="G33" s="13" t="n">
        <v>13</v>
      </c>
      <c r="H33" s="8" t="n">
        <v>16.97</v>
      </c>
      <c r="I33" s="8">
        <f>G33*H33</f>
        <v/>
      </c>
      <c r="J33" s="8">
        <f>H33/E33</f>
        <v/>
      </c>
      <c r="K33" s="8" t="n">
        <v>12.99</v>
      </c>
      <c r="L33" s="8" t="n">
        <v>12.34</v>
      </c>
      <c r="M33" s="8" t="n">
        <v>12.77333333333333</v>
      </c>
      <c r="N33" s="14">
        <f>J33/M33-1</f>
        <v/>
      </c>
      <c r="O33" s="14">
        <f>J33/K33-1</f>
        <v/>
      </c>
      <c r="P33" s="7" t="inlineStr">
        <is>
          <t>ACIMA +30.6%</t>
        </is>
      </c>
      <c r="Q33" s="7" t="inlineStr"/>
    </row>
    <row r="34">
      <c r="A34" s="7" t="n">
        <v>543481</v>
      </c>
      <c r="B34" s="7" t="inlineStr"/>
      <c r="C34" s="12" t="inlineStr">
        <is>
          <t>7896523208282</t>
        </is>
      </c>
      <c r="D34" s="7" t="inlineStr">
        <is>
          <t>ACNEZIL 50MG 20G GEL</t>
        </is>
      </c>
      <c r="E34" s="13" t="n">
        <v>1</v>
      </c>
      <c r="F34" s="13" t="n">
        <v>4</v>
      </c>
      <c r="G34" s="13" t="n">
        <v>4</v>
      </c>
      <c r="H34" s="8" t="n">
        <v>11.47</v>
      </c>
      <c r="I34" s="8">
        <f>G34*H34</f>
        <v/>
      </c>
      <c r="J34" s="8">
        <f>H34/E34</f>
        <v/>
      </c>
      <c r="K34" s="8" t="n">
        <v>11.96</v>
      </c>
      <c r="L34" s="8" t="n">
        <v>10.09</v>
      </c>
      <c r="M34" s="8" t="n">
        <v>10.98333333333333</v>
      </c>
      <c r="N34" s="14">
        <f>J34/M34-1</f>
        <v/>
      </c>
      <c r="O34" s="14">
        <f>J34/K34-1</f>
        <v/>
      </c>
      <c r="P34" s="7" t="inlineStr">
        <is>
          <t>OK (≤ últ. compra)</t>
        </is>
      </c>
      <c r="Q34" s="7" t="inlineStr"/>
    </row>
    <row r="35">
      <c r="A35" s="7" t="n">
        <v>546761</v>
      </c>
      <c r="B35" s="7" t="inlineStr"/>
      <c r="C35" s="12" t="inlineStr">
        <is>
          <t>7897947607392</t>
        </is>
      </c>
      <c r="D35" s="7" t="inlineStr">
        <is>
          <t>ACNEZIL GEL SECATIVO BG 10 G</t>
        </is>
      </c>
      <c r="E35" s="13" t="n">
        <v>1</v>
      </c>
      <c r="F35" s="13" t="n">
        <v>2</v>
      </c>
      <c r="G35" s="13" t="n">
        <v>2</v>
      </c>
      <c r="H35" s="8" t="n">
        <v>8.67</v>
      </c>
      <c r="I35" s="8">
        <f>G35*H35</f>
        <v/>
      </c>
      <c r="J35" s="8">
        <f>H35/E35</f>
        <v/>
      </c>
      <c r="K35" s="8" t="n">
        <v>9.710000000000001</v>
      </c>
      <c r="L35" s="8" t="n">
        <v>8.99</v>
      </c>
      <c r="M35" s="8" t="n">
        <v>8.99</v>
      </c>
      <c r="N35" s="14">
        <f>J35/M35-1</f>
        <v/>
      </c>
      <c r="O35" s="14">
        <f>J35/K35-1</f>
        <v/>
      </c>
      <c r="P35" s="7" t="inlineStr">
        <is>
          <t>OK (≤ menor hist.)</t>
        </is>
      </c>
      <c r="Q35" s="7" t="inlineStr"/>
    </row>
    <row r="36">
      <c r="A36" s="7" t="n">
        <v>587601</v>
      </c>
      <c r="B36" s="7" t="inlineStr"/>
      <c r="C36" s="12" t="inlineStr">
        <is>
          <t>7897947601185</t>
        </is>
      </c>
      <c r="D36" s="7" t="inlineStr">
        <is>
          <t>ACNEZIL PROT FPS30 OIL CONTROL BG 60G</t>
        </is>
      </c>
      <c r="E36" s="13" t="n">
        <v>1</v>
      </c>
      <c r="F36" s="13" t="n">
        <v>2</v>
      </c>
      <c r="G36" s="13" t="n">
        <v>2</v>
      </c>
      <c r="H36" s="8" t="n">
        <v>21.7</v>
      </c>
      <c r="I36" s="8">
        <f>G36*H36</f>
        <v/>
      </c>
      <c r="J36" s="8">
        <f>H36/E36</f>
        <v/>
      </c>
      <c r="K36" s="8" t="n"/>
      <c r="L36" s="8" t="n"/>
      <c r="M36" s="8" t="n"/>
      <c r="N36" s="14" t="n"/>
      <c r="O36" s="14" t="n"/>
      <c r="P36" s="7" t="inlineStr">
        <is>
          <t>SEM HISTÓRICO</t>
        </is>
      </c>
      <c r="Q36" s="7" t="inlineStr"/>
    </row>
    <row r="37">
      <c r="A37" s="7" t="n">
        <v>637451</v>
      </c>
      <c r="B37" s="7" t="inlineStr"/>
      <c r="C37" s="12" t="inlineStr">
        <is>
          <t>7897947617025</t>
        </is>
      </c>
      <c r="D37" s="7" t="inlineStr">
        <is>
          <t>ACNEZIL SABONETE BARRA PELE ACNEICA 70G</t>
        </is>
      </c>
      <c r="E37" s="13" t="n">
        <v>1</v>
      </c>
      <c r="F37" s="13" t="n">
        <v>2</v>
      </c>
      <c r="G37" s="13" t="n">
        <v>2</v>
      </c>
      <c r="H37" s="8" t="n">
        <v>8.44</v>
      </c>
      <c r="I37" s="8">
        <f>G37*H37</f>
        <v/>
      </c>
      <c r="J37" s="8">
        <f>H37/E37</f>
        <v/>
      </c>
      <c r="K37" s="8" t="n">
        <v>5.89</v>
      </c>
      <c r="L37" s="8" t="n">
        <v>5.89</v>
      </c>
      <c r="M37" s="8" t="n">
        <v>5.89</v>
      </c>
      <c r="N37" s="14">
        <f>J37/M37-1</f>
        <v/>
      </c>
      <c r="O37" s="14">
        <f>J37/K37-1</f>
        <v/>
      </c>
      <c r="P37" s="7" t="inlineStr">
        <is>
          <t>ACIMA +43.3%</t>
        </is>
      </c>
      <c r="Q37" s="7" t="inlineStr"/>
    </row>
    <row r="38">
      <c r="A38" s="7" t="n">
        <v>637461</v>
      </c>
      <c r="B38" s="7" t="inlineStr"/>
      <c r="C38" s="12" t="inlineStr">
        <is>
          <t>7897947617032</t>
        </is>
      </c>
      <c r="D38" s="7" t="inlineStr">
        <is>
          <t>ACNEZIL SABONETE BARRA PELE OLEOSA 70G</t>
        </is>
      </c>
      <c r="E38" s="13" t="n">
        <v>1</v>
      </c>
      <c r="F38" s="13" t="n">
        <v>3</v>
      </c>
      <c r="G38" s="13" t="n">
        <v>3</v>
      </c>
      <c r="H38" s="8" t="n">
        <v>8.44</v>
      </c>
      <c r="I38" s="8">
        <f>G38*H38</f>
        <v/>
      </c>
      <c r="J38" s="8">
        <f>H38/E38</f>
        <v/>
      </c>
      <c r="K38" s="8" t="n">
        <v>4.79</v>
      </c>
      <c r="L38" s="8" t="n">
        <v>4.79</v>
      </c>
      <c r="M38" s="8" t="n">
        <v>4.79</v>
      </c>
      <c r="N38" s="14">
        <f>J38/M38-1</f>
        <v/>
      </c>
      <c r="O38" s="14">
        <f>J38/K38-1</f>
        <v/>
      </c>
      <c r="P38" s="7" t="inlineStr">
        <is>
          <t>ACIMA +76.2%</t>
        </is>
      </c>
      <c r="Q38" s="7" t="inlineStr"/>
    </row>
    <row r="39">
      <c r="A39" s="7" t="n">
        <v>884</v>
      </c>
      <c r="B39" s="7" t="inlineStr"/>
      <c r="C39" s="12" t="inlineStr">
        <is>
          <t>7892828002303</t>
        </is>
      </c>
      <c r="D39" s="7" t="inlineStr">
        <is>
          <t>ADEFORTE TURBO USO ORAL 2AMP 3ML</t>
        </is>
      </c>
      <c r="E39" s="13" t="n">
        <v>1</v>
      </c>
      <c r="F39" s="13" t="n">
        <v>17</v>
      </c>
      <c r="G39" s="13" t="n">
        <v>17</v>
      </c>
      <c r="H39" s="8" t="n">
        <v>42.5505</v>
      </c>
      <c r="I39" s="8">
        <f>G39*H39</f>
        <v/>
      </c>
      <c r="J39" s="8">
        <f>H39/E39</f>
        <v/>
      </c>
      <c r="K39" s="8" t="n">
        <v>44.79</v>
      </c>
      <c r="L39" s="8" t="n">
        <v>30.3708</v>
      </c>
      <c r="M39" s="8" t="n">
        <v>37.76866666666667</v>
      </c>
      <c r="N39" s="14">
        <f>J39/M39-1</f>
        <v/>
      </c>
      <c r="O39" s="14">
        <f>J39/K39-1</f>
        <v/>
      </c>
      <c r="P39" s="7" t="inlineStr">
        <is>
          <t>OK (≤ últ. compra)</t>
        </is>
      </c>
      <c r="Q39" s="7" t="inlineStr"/>
    </row>
    <row r="40">
      <c r="A40" s="7" t="n">
        <v>1153</v>
      </c>
      <c r="B40" s="7" t="inlineStr"/>
      <c r="C40" s="12" t="inlineStr">
        <is>
          <t>7898994541738</t>
        </is>
      </c>
      <c r="D40" s="7" t="inlineStr">
        <is>
          <t>AGUA MINERAL FLORATTA 500ML</t>
        </is>
      </c>
      <c r="E40" s="13" t="n">
        <v>1</v>
      </c>
      <c r="F40" s="13" t="n">
        <v>61</v>
      </c>
      <c r="G40" s="13" t="n">
        <v>61</v>
      </c>
      <c r="H40" s="8" t="n">
        <v>1.28</v>
      </c>
      <c r="I40" s="8">
        <f>G40*H40</f>
        <v/>
      </c>
      <c r="J40" s="8">
        <f>H40/E40</f>
        <v/>
      </c>
      <c r="K40" s="8" t="n">
        <v>11.88</v>
      </c>
      <c r="L40" s="8" t="n">
        <v>11.88</v>
      </c>
      <c r="M40" s="8" t="n">
        <v>11.88</v>
      </c>
      <c r="N40" s="14">
        <f>J40/M40-1</f>
        <v/>
      </c>
      <c r="O40" s="14">
        <f>J40/K40-1</f>
        <v/>
      </c>
      <c r="P40" s="7" t="inlineStr">
        <is>
          <t>OK (≤ menor hist.)</t>
        </is>
      </c>
      <c r="Q40" s="7" t="inlineStr">
        <is>
          <t>conferir emb.</t>
        </is>
      </c>
    </row>
    <row r="41">
      <c r="A41" s="7" t="n">
        <v>657951</v>
      </c>
      <c r="B41" s="7" t="inlineStr"/>
      <c r="C41" s="12" t="inlineStr">
        <is>
          <t>07896902210561</t>
        </is>
      </c>
      <c r="D41" s="7" t="inlineStr">
        <is>
          <t>AGUA OXIG FARMAX 90ML 20V</t>
        </is>
      </c>
      <c r="E41" s="13" t="n">
        <v>1</v>
      </c>
      <c r="F41" s="13" t="n">
        <v>1</v>
      </c>
      <c r="G41" s="13" t="n">
        <v>1</v>
      </c>
      <c r="H41" s="8" t="n">
        <v>2.06</v>
      </c>
      <c r="I41" s="8">
        <f>G41*H41</f>
        <v/>
      </c>
      <c r="J41" s="8">
        <f>H41/E41</f>
        <v/>
      </c>
      <c r="K41" s="8" t="n">
        <v>2.22</v>
      </c>
      <c r="L41" s="8" t="n">
        <v>2.22</v>
      </c>
      <c r="M41" s="8" t="n">
        <v>2.22</v>
      </c>
      <c r="N41" s="14">
        <f>J41/M41-1</f>
        <v/>
      </c>
      <c r="O41" s="14">
        <f>J41/K41-1</f>
        <v/>
      </c>
      <c r="P41" s="7" t="inlineStr">
        <is>
          <t>OK (≤ menor hist.)</t>
        </is>
      </c>
      <c r="Q41" s="7" t="inlineStr"/>
    </row>
    <row r="42">
      <c r="A42" s="7" t="n">
        <v>532161</v>
      </c>
      <c r="B42" s="7" t="inlineStr"/>
      <c r="C42" s="12" t="inlineStr">
        <is>
          <t>7898031310587</t>
        </is>
      </c>
      <c r="D42" s="7" t="inlineStr">
        <is>
          <t>AGUA OXIGENADA ALMOT. 10 VOL. 100ML</t>
        </is>
      </c>
      <c r="E42" s="13" t="n">
        <v>1</v>
      </c>
      <c r="F42" s="13" t="n">
        <v>45</v>
      </c>
      <c r="G42" s="13" t="n">
        <v>45</v>
      </c>
      <c r="H42" s="8" t="n">
        <v>2.65</v>
      </c>
      <c r="I42" s="8">
        <f>G42*H42</f>
        <v/>
      </c>
      <c r="J42" s="8">
        <f>H42/E42</f>
        <v/>
      </c>
      <c r="K42" s="8" t="n">
        <v>2.35</v>
      </c>
      <c r="L42" s="8" t="n">
        <v>2.18</v>
      </c>
      <c r="M42" s="8" t="n">
        <v>2.293333333333333</v>
      </c>
      <c r="N42" s="14">
        <f>J42/M42-1</f>
        <v/>
      </c>
      <c r="O42" s="14">
        <f>J42/K42-1</f>
        <v/>
      </c>
      <c r="P42" s="7" t="inlineStr">
        <is>
          <t>ACIMA +12.8%</t>
        </is>
      </c>
      <c r="Q42" s="7" t="inlineStr"/>
    </row>
    <row r="43">
      <c r="A43" s="7" t="n">
        <v>674721</v>
      </c>
      <c r="B43" s="7" t="inlineStr"/>
      <c r="C43" s="12" t="inlineStr">
        <is>
          <t>7896902210530</t>
        </is>
      </c>
      <c r="D43" s="7" t="inlineStr">
        <is>
          <t>AGUA OXIGENADA CR 10VOL DESCOLOR 90ML</t>
        </is>
      </c>
      <c r="E43" s="13" t="n">
        <v>1</v>
      </c>
      <c r="F43" s="13" t="n">
        <v>5</v>
      </c>
      <c r="G43" s="13" t="n">
        <v>5</v>
      </c>
      <c r="H43" s="8" t="n">
        <v>2.06</v>
      </c>
      <c r="I43" s="8">
        <f>G43*H43</f>
        <v/>
      </c>
      <c r="J43" s="8">
        <f>H43/E43</f>
        <v/>
      </c>
      <c r="K43" s="8" t="n">
        <v>1.97</v>
      </c>
      <c r="L43" s="8" t="n">
        <v>1.97</v>
      </c>
      <c r="M43" s="8" t="n">
        <v>1.97</v>
      </c>
      <c r="N43" s="14">
        <f>J43/M43-1</f>
        <v/>
      </c>
      <c r="O43" s="14">
        <f>J43/K43-1</f>
        <v/>
      </c>
      <c r="P43" s="7" t="inlineStr">
        <is>
          <t>ACIMA +4.6%</t>
        </is>
      </c>
      <c r="Q43" s="7" t="inlineStr"/>
    </row>
    <row r="44">
      <c r="A44" s="7" t="n">
        <v>534741</v>
      </c>
      <c r="B44" s="7" t="inlineStr"/>
      <c r="C44" s="12" t="inlineStr">
        <is>
          <t>7896902210608</t>
        </is>
      </c>
      <c r="D44" s="7" t="inlineStr">
        <is>
          <t>AGUA OXIGENADA CREMOSA - 30 VOL 90ML</t>
        </is>
      </c>
      <c r="E44" s="13" t="n">
        <v>1</v>
      </c>
      <c r="F44" s="13" t="n">
        <v>16</v>
      </c>
      <c r="G44" s="13" t="n">
        <v>16</v>
      </c>
      <c r="H44" s="8" t="n">
        <v>2.06</v>
      </c>
      <c r="I44" s="8">
        <f>G44*H44</f>
        <v/>
      </c>
      <c r="J44" s="8">
        <f>H44/E44</f>
        <v/>
      </c>
      <c r="K44" s="8" t="n">
        <v>1.84</v>
      </c>
      <c r="L44" s="8" t="n">
        <v>1.5367</v>
      </c>
      <c r="M44" s="8" t="n">
        <v>1.7389</v>
      </c>
      <c r="N44" s="14">
        <f>J44/M44-1</f>
        <v/>
      </c>
      <c r="O44" s="14">
        <f>J44/K44-1</f>
        <v/>
      </c>
      <c r="P44" s="7" t="inlineStr">
        <is>
          <t>ACIMA +12.0%</t>
        </is>
      </c>
      <c r="Q44" s="7" t="inlineStr"/>
    </row>
    <row r="45">
      <c r="A45" s="7" t="n">
        <v>534761</v>
      </c>
      <c r="B45" s="7" t="inlineStr"/>
      <c r="C45" s="12" t="inlineStr">
        <is>
          <t>7896902210905</t>
        </is>
      </c>
      <c r="D45" s="7" t="inlineStr">
        <is>
          <t>AGUA OXIGENADA CREMOSA - AMONIA 100ML</t>
        </is>
      </c>
      <c r="E45" s="13" t="n">
        <v>1</v>
      </c>
      <c r="F45" s="13" t="n">
        <v>2</v>
      </c>
      <c r="G45" s="13" t="n">
        <v>2</v>
      </c>
      <c r="H45" s="8" t="n">
        <v>2.02</v>
      </c>
      <c r="I45" s="8">
        <f>G45*H45</f>
        <v/>
      </c>
      <c r="J45" s="8">
        <f>H45/E45</f>
        <v/>
      </c>
      <c r="K45" s="8" t="n">
        <v>1.95</v>
      </c>
      <c r="L45" s="8" t="n">
        <v>1.95</v>
      </c>
      <c r="M45" s="8" t="n">
        <v>1.95</v>
      </c>
      <c r="N45" s="14">
        <f>J45/M45-1</f>
        <v/>
      </c>
      <c r="O45" s="14">
        <f>J45/K45-1</f>
        <v/>
      </c>
      <c r="P45" s="7" t="inlineStr">
        <is>
          <t>ACIMA +3.6%</t>
        </is>
      </c>
      <c r="Q45" s="7" t="inlineStr"/>
    </row>
    <row r="46">
      <c r="A46" s="7" t="n">
        <v>547721</v>
      </c>
      <c r="B46" s="7" t="inlineStr"/>
      <c r="C46" s="12" t="inlineStr">
        <is>
          <t>7896902211544</t>
        </is>
      </c>
      <c r="D46" s="7" t="inlineStr">
        <is>
          <t>AGUA OXIGENADA VOL10</t>
        </is>
      </c>
      <c r="E46" s="13" t="n">
        <v>1</v>
      </c>
      <c r="F46" s="13" t="n">
        <v>39</v>
      </c>
      <c r="G46" s="13" t="n">
        <v>39</v>
      </c>
      <c r="H46" s="8" t="n">
        <v>2.12</v>
      </c>
      <c r="I46" s="8">
        <f>G46*H46</f>
        <v/>
      </c>
      <c r="J46" s="8">
        <f>H46/E46</f>
        <v/>
      </c>
      <c r="K46" s="8" t="n">
        <v>2.37</v>
      </c>
      <c r="L46" s="8" t="n">
        <v>1.9</v>
      </c>
      <c r="M46" s="8" t="n">
        <v>2.056666666666667</v>
      </c>
      <c r="N46" s="14">
        <f>J46/M46-1</f>
        <v/>
      </c>
      <c r="O46" s="14">
        <f>J46/K46-1</f>
        <v/>
      </c>
      <c r="P46" s="7" t="inlineStr">
        <is>
          <t>OK (≤ últ. compra)</t>
        </is>
      </c>
      <c r="Q46" s="7" t="inlineStr"/>
    </row>
    <row r="47">
      <c r="A47" s="7" t="n">
        <v>295401</v>
      </c>
      <c r="B47" s="7" t="inlineStr"/>
      <c r="C47" s="12" t="inlineStr">
        <is>
          <t>7891142982407</t>
        </is>
      </c>
      <c r="D47" s="7" t="inlineStr">
        <is>
          <t>ALIVIUM 400MG CX 10 CAP</t>
        </is>
      </c>
      <c r="E47" s="13" t="n">
        <v>1</v>
      </c>
      <c r="F47" s="13" t="n">
        <v>1</v>
      </c>
      <c r="G47" s="13" t="n">
        <v>1</v>
      </c>
      <c r="H47" s="8" t="n">
        <v>24.89095</v>
      </c>
      <c r="I47" s="8">
        <f>G47*H47</f>
        <v/>
      </c>
      <c r="J47" s="8">
        <f>H47/E47</f>
        <v/>
      </c>
      <c r="K47" s="8" t="n">
        <v>20.215</v>
      </c>
      <c r="L47" s="8" t="n">
        <v>20.215</v>
      </c>
      <c r="M47" s="8" t="n">
        <v>20.215</v>
      </c>
      <c r="N47" s="14">
        <f>J47/M47-1</f>
        <v/>
      </c>
      <c r="O47" s="14">
        <f>J47/K47-1</f>
        <v/>
      </c>
      <c r="P47" s="7" t="inlineStr">
        <is>
          <t>ACIMA +23.1%</t>
        </is>
      </c>
      <c r="Q47" s="7" t="inlineStr"/>
    </row>
    <row r="48">
      <c r="A48" s="7" t="n">
        <v>646251</v>
      </c>
      <c r="B48" s="7" t="inlineStr"/>
      <c r="C48" s="12" t="inlineStr">
        <is>
          <t>7898505096375</t>
        </is>
      </c>
      <c r="D48" s="7" t="inlineStr">
        <is>
          <t>ALPHALIV 900MG 20CPR REV</t>
        </is>
      </c>
      <c r="E48" s="13" t="n">
        <v>1</v>
      </c>
      <c r="F48" s="13" t="n">
        <v>1</v>
      </c>
      <c r="G48" s="13" t="n">
        <v>1</v>
      </c>
      <c r="H48" s="8" t="n">
        <v>82.0523</v>
      </c>
      <c r="I48" s="8">
        <f>G48*H48</f>
        <v/>
      </c>
      <c r="J48" s="8">
        <f>H48/E48</f>
        <v/>
      </c>
      <c r="K48" s="8" t="n">
        <v>47.2</v>
      </c>
      <c r="L48" s="8" t="n">
        <v>47.2</v>
      </c>
      <c r="M48" s="8" t="n">
        <v>47.20000000000001</v>
      </c>
      <c r="N48" s="14">
        <f>J48/M48-1</f>
        <v/>
      </c>
      <c r="O48" s="14">
        <f>J48/K48-1</f>
        <v/>
      </c>
      <c r="P48" s="7" t="inlineStr">
        <is>
          <t>ACIMA +73.8%</t>
        </is>
      </c>
      <c r="Q48" s="7" t="inlineStr"/>
    </row>
    <row r="49">
      <c r="A49" s="7" t="n">
        <v>33361</v>
      </c>
      <c r="B49" s="7" t="inlineStr"/>
      <c r="C49" s="12" t="inlineStr">
        <is>
          <t>7896523208107</t>
        </is>
      </c>
      <c r="D49" s="7" t="inlineStr">
        <is>
          <t>AMOXICILINA 500MG CX 21 CAP</t>
        </is>
      </c>
      <c r="E49" s="13" t="n">
        <v>1</v>
      </c>
      <c r="F49" s="13" t="n">
        <v>15</v>
      </c>
      <c r="G49" s="13" t="n">
        <v>15</v>
      </c>
      <c r="H49" s="8" t="n">
        <v>23.02</v>
      </c>
      <c r="I49" s="8">
        <f>G49*H49</f>
        <v/>
      </c>
      <c r="J49" s="8">
        <f>H49/E49</f>
        <v/>
      </c>
      <c r="K49" s="8" t="n">
        <v>8.49</v>
      </c>
      <c r="L49" s="8" t="n">
        <v>8.49</v>
      </c>
      <c r="M49" s="8" t="n">
        <v>8.49</v>
      </c>
      <c r="N49" s="14">
        <f>J49/M49-1</f>
        <v/>
      </c>
      <c r="O49" s="14">
        <f>J49/K49-1</f>
        <v/>
      </c>
      <c r="P49" s="7" t="inlineStr">
        <is>
          <t>ACIMA +171.1%</t>
        </is>
      </c>
      <c r="Q49" s="7" t="inlineStr">
        <is>
          <t>conferir emb.</t>
        </is>
      </c>
    </row>
    <row r="50">
      <c r="A50" s="7" t="n">
        <v>124481</v>
      </c>
      <c r="B50" s="7" t="inlineStr"/>
      <c r="C50" s="12" t="inlineStr">
        <is>
          <t>7896094207851</t>
        </is>
      </c>
      <c r="D50" s="7" t="inlineStr">
        <is>
          <t>ANCORON 200MG CX 30 COMP REV</t>
        </is>
      </c>
      <c r="E50" s="13" t="n">
        <v>1</v>
      </c>
      <c r="F50" s="13" t="n">
        <v>1</v>
      </c>
      <c r="G50" s="13" t="n">
        <v>1</v>
      </c>
      <c r="H50" s="8" t="n">
        <v>49.2723</v>
      </c>
      <c r="I50" s="8">
        <f>G50*H50</f>
        <v/>
      </c>
      <c r="J50" s="8">
        <f>H50/E50</f>
        <v/>
      </c>
      <c r="K50" s="8" t="n">
        <v>50.26</v>
      </c>
      <c r="L50" s="8" t="n">
        <v>42.28</v>
      </c>
      <c r="M50" s="8" t="n">
        <v>46.33333333333334</v>
      </c>
      <c r="N50" s="14">
        <f>J50/M50-1</f>
        <v/>
      </c>
      <c r="O50" s="14">
        <f>J50/K50-1</f>
        <v/>
      </c>
      <c r="P50" s="7" t="inlineStr">
        <is>
          <t>OK (≤ últ. compra)</t>
        </is>
      </c>
      <c r="Q50" s="7" t="inlineStr"/>
    </row>
    <row r="51">
      <c r="A51" s="7" t="n">
        <v>570521</v>
      </c>
      <c r="B51" s="7" t="inlineStr"/>
      <c r="C51" s="12" t="inlineStr">
        <is>
          <t>7891025107910</t>
        </is>
      </c>
      <c r="D51" s="7" t="inlineStr">
        <is>
          <t>APTANUTRI 3 800G</t>
        </is>
      </c>
      <c r="E51" s="13" t="n">
        <v>1</v>
      </c>
      <c r="F51" s="13" t="n">
        <v>1</v>
      </c>
      <c r="G51" s="13" t="n">
        <v>1</v>
      </c>
      <c r="H51" s="8" t="n">
        <v>67.38</v>
      </c>
      <c r="I51" s="8">
        <f>G51*H51</f>
        <v/>
      </c>
      <c r="J51" s="8">
        <f>H51/E51</f>
        <v/>
      </c>
      <c r="K51" s="8" t="n">
        <v>50.39</v>
      </c>
      <c r="L51" s="8" t="n">
        <v>50.39</v>
      </c>
      <c r="M51" s="8" t="n">
        <v>50.39000000000001</v>
      </c>
      <c r="N51" s="14">
        <f>J51/M51-1</f>
        <v/>
      </c>
      <c r="O51" s="14">
        <f>J51/K51-1</f>
        <v/>
      </c>
      <c r="P51" s="7" t="inlineStr">
        <is>
          <t>ACIMA +33.7%</t>
        </is>
      </c>
      <c r="Q51" s="7" t="inlineStr"/>
    </row>
    <row r="52">
      <c r="A52" s="7" t="n">
        <v>241121</v>
      </c>
      <c r="B52" s="7" t="inlineStr"/>
      <c r="C52" s="12" t="inlineStr">
        <is>
          <t>7897337704984</t>
        </is>
      </c>
      <c r="D52" s="7" t="inlineStr">
        <is>
          <t>ARCOXIA 90MG CX 7 COMP</t>
        </is>
      </c>
      <c r="E52" s="13" t="n">
        <v>1</v>
      </c>
      <c r="F52" s="13" t="n">
        <v>1</v>
      </c>
      <c r="G52" s="13" t="n">
        <v>1</v>
      </c>
      <c r="H52" s="8" t="n">
        <v>63.1567</v>
      </c>
      <c r="I52" s="8">
        <f>G52*H52</f>
        <v/>
      </c>
      <c r="J52" s="8">
        <f>H52/E52</f>
        <v/>
      </c>
      <c r="K52" s="8" t="n">
        <v>62.92</v>
      </c>
      <c r="L52" s="8" t="n">
        <v>56.51</v>
      </c>
      <c r="M52" s="8" t="n">
        <v>60.21</v>
      </c>
      <c r="N52" s="14">
        <f>J52/M52-1</f>
        <v/>
      </c>
      <c r="O52" s="14">
        <f>J52/K52-1</f>
        <v/>
      </c>
      <c r="P52" s="7" t="inlineStr">
        <is>
          <t>ACIMA +0.4%</t>
        </is>
      </c>
      <c r="Q52" s="7" t="inlineStr"/>
    </row>
    <row r="53">
      <c r="A53" s="7" t="n">
        <v>14001</v>
      </c>
      <c r="B53" s="7" t="inlineStr"/>
      <c r="C53" s="12" t="inlineStr">
        <is>
          <t>7891106915151</t>
        </is>
      </c>
      <c r="D53" s="7" t="inlineStr">
        <is>
          <t>ASPIRINA C EFERVESC 400+240MG LIMÃO CARTELA</t>
        </is>
      </c>
      <c r="E53" s="13" t="n">
        <v>1</v>
      </c>
      <c r="F53" s="13" t="n">
        <v>1</v>
      </c>
      <c r="G53" s="13" t="n">
        <v>1</v>
      </c>
      <c r="H53" s="8" t="n">
        <v>371.1317</v>
      </c>
      <c r="I53" s="8">
        <f>G53*H53</f>
        <v/>
      </c>
      <c r="J53" s="8">
        <f>H53/E53</f>
        <v/>
      </c>
      <c r="K53" s="8" t="n">
        <v>7.4224</v>
      </c>
      <c r="L53" s="8" t="n">
        <v>5.736</v>
      </c>
      <c r="M53" s="8" t="n">
        <v>6.298133333333333</v>
      </c>
      <c r="N53" s="14">
        <f>J53/M53-1</f>
        <v/>
      </c>
      <c r="O53" s="14">
        <f>J53/K53-1</f>
        <v/>
      </c>
      <c r="P53" s="7" t="inlineStr">
        <is>
          <t>ACIMA +4900.2%</t>
        </is>
      </c>
      <c r="Q53" s="7" t="inlineStr">
        <is>
          <t>conferir emb.</t>
        </is>
      </c>
    </row>
    <row r="54">
      <c r="A54" s="7" t="n">
        <v>637931</v>
      </c>
      <c r="B54" s="7" t="inlineStr"/>
      <c r="C54" s="12" t="inlineStr">
        <is>
          <t>7898968453098</t>
        </is>
      </c>
      <c r="D54" s="7" t="inlineStr">
        <is>
          <t>ATENSINA 0,100MG CX 30 COMP</t>
        </is>
      </c>
      <c r="E54" s="13" t="n">
        <v>1</v>
      </c>
      <c r="F54" s="13" t="n">
        <v>1</v>
      </c>
      <c r="G54" s="13" t="n">
        <v>1</v>
      </c>
      <c r="H54" s="8" t="n">
        <v>8.01</v>
      </c>
      <c r="I54" s="8">
        <f>G54*H54</f>
        <v/>
      </c>
      <c r="J54" s="8">
        <f>H54/E54</f>
        <v/>
      </c>
      <c r="K54" s="8" t="n">
        <v>7.045</v>
      </c>
      <c r="L54" s="8" t="n">
        <v>7.045</v>
      </c>
      <c r="M54" s="8" t="n">
        <v>7.044999999999999</v>
      </c>
      <c r="N54" s="14">
        <f>J54/M54-1</f>
        <v/>
      </c>
      <c r="O54" s="14">
        <f>J54/K54-1</f>
        <v/>
      </c>
      <c r="P54" s="7" t="inlineStr">
        <is>
          <t>ACIMA +13.7%</t>
        </is>
      </c>
      <c r="Q54" s="7" t="inlineStr"/>
    </row>
    <row r="55">
      <c r="A55" s="7" t="n">
        <v>529981</v>
      </c>
      <c r="B55" s="7" t="inlineStr"/>
      <c r="C55" s="12" t="inlineStr">
        <is>
          <t>7896523201092</t>
        </is>
      </c>
      <c r="D55" s="7" t="inlineStr">
        <is>
          <t>ATORVASTATINA CALC 10MG CX 30 COMP REV</t>
        </is>
      </c>
      <c r="E55" s="13" t="n">
        <v>1</v>
      </c>
      <c r="F55" s="13" t="n">
        <v>3</v>
      </c>
      <c r="G55" s="13" t="n">
        <v>3</v>
      </c>
      <c r="H55" s="8" t="n">
        <v>56.12</v>
      </c>
      <c r="I55" s="8">
        <f>G55*H55</f>
        <v/>
      </c>
      <c r="J55" s="8">
        <f>H55/E55</f>
        <v/>
      </c>
      <c r="K55" s="8" t="n">
        <v>5.19</v>
      </c>
      <c r="L55" s="8" t="n">
        <v>4.99</v>
      </c>
      <c r="M55" s="8" t="n">
        <v>4.99</v>
      </c>
      <c r="N55" s="14">
        <f>J55/M55-1</f>
        <v/>
      </c>
      <c r="O55" s="14">
        <f>J55/K55-1</f>
        <v/>
      </c>
      <c r="P55" s="7" t="inlineStr">
        <is>
          <t>ACIMA +981.3%</t>
        </is>
      </c>
      <c r="Q55" s="7" t="inlineStr">
        <is>
          <t>conferir emb.</t>
        </is>
      </c>
    </row>
    <row r="56">
      <c r="A56" s="7" t="n">
        <v>530021</v>
      </c>
      <c r="B56" s="7" t="inlineStr"/>
      <c r="C56" s="12" t="inlineStr">
        <is>
          <t>7896523201078</t>
        </is>
      </c>
      <c r="D56" s="7" t="inlineStr">
        <is>
          <t>ATORVASTATINA CALC 40MG CX 30 COMP REV</t>
        </is>
      </c>
      <c r="E56" s="13" t="n">
        <v>1</v>
      </c>
      <c r="F56" s="13" t="n">
        <v>12</v>
      </c>
      <c r="G56" s="13" t="n">
        <v>12</v>
      </c>
      <c r="H56" s="8" t="n">
        <v>42.59</v>
      </c>
      <c r="I56" s="8">
        <f>G56*H56</f>
        <v/>
      </c>
      <c r="J56" s="8">
        <f>H56/E56</f>
        <v/>
      </c>
      <c r="K56" s="8" t="n">
        <v>10.59</v>
      </c>
      <c r="L56" s="8" t="n">
        <v>10.15</v>
      </c>
      <c r="M56" s="8" t="n">
        <v>10.42333333333333</v>
      </c>
      <c r="N56" s="14">
        <f>J56/M56-1</f>
        <v/>
      </c>
      <c r="O56" s="14">
        <f>J56/K56-1</f>
        <v/>
      </c>
      <c r="P56" s="7" t="inlineStr">
        <is>
          <t>ACIMA +302.2%</t>
        </is>
      </c>
      <c r="Q56" s="7" t="inlineStr">
        <is>
          <t>conferir emb.</t>
        </is>
      </c>
    </row>
    <row r="57">
      <c r="A57" s="7" t="n">
        <v>530001</v>
      </c>
      <c r="B57" s="7" t="inlineStr"/>
      <c r="C57" s="12" t="inlineStr">
        <is>
          <t>7896523201085</t>
        </is>
      </c>
      <c r="D57" s="7" t="inlineStr">
        <is>
          <t>ATORVASTATINA CALCICA 20MG CX 30 COMP REV</t>
        </is>
      </c>
      <c r="E57" s="13" t="n">
        <v>1</v>
      </c>
      <c r="F57" s="13" t="n">
        <v>2</v>
      </c>
      <c r="G57" s="13" t="n">
        <v>2</v>
      </c>
      <c r="H57" s="8" t="n">
        <v>28.34</v>
      </c>
      <c r="I57" s="8">
        <f>G57*H57</f>
        <v/>
      </c>
      <c r="J57" s="8">
        <f>H57/E57</f>
        <v/>
      </c>
      <c r="K57" s="8" t="n">
        <v>4.84</v>
      </c>
      <c r="L57" s="8" t="n">
        <v>4.84</v>
      </c>
      <c r="M57" s="8" t="n">
        <v>4.84</v>
      </c>
      <c r="N57" s="14">
        <f>J57/M57-1</f>
        <v/>
      </c>
      <c r="O57" s="14">
        <f>J57/K57-1</f>
        <v/>
      </c>
      <c r="P57" s="7" t="inlineStr">
        <is>
          <t>ACIMA +485.5%</t>
        </is>
      </c>
      <c r="Q57" s="7" t="inlineStr">
        <is>
          <t>conferir emb.</t>
        </is>
      </c>
    </row>
    <row r="58">
      <c r="A58" s="7" t="n">
        <v>114701</v>
      </c>
      <c r="B58" s="7" t="inlineStr"/>
      <c r="C58" s="12" t="inlineStr">
        <is>
          <t>7891010974923</t>
        </is>
      </c>
      <c r="D58" s="7" t="inlineStr">
        <is>
          <t>BENALET 5+50+10MG PASTILHA CARTELA MEL/LIMAO C/ 4UN</t>
        </is>
      </c>
      <c r="E58" s="13" t="n">
        <v>13</v>
      </c>
      <c r="F58" s="13" t="n">
        <v>1</v>
      </c>
      <c r="G58" s="13" t="n">
        <v>1</v>
      </c>
      <c r="H58" s="8" t="n">
        <v>162.44</v>
      </c>
      <c r="I58" s="8">
        <f>G58*H58</f>
        <v/>
      </c>
      <c r="J58" s="8">
        <f>H58/E58</f>
        <v/>
      </c>
      <c r="K58" s="8" t="n">
        <v>10.6191</v>
      </c>
      <c r="L58" s="8" t="n">
        <v>10.1792</v>
      </c>
      <c r="M58" s="8" t="n">
        <v>10.47246666666667</v>
      </c>
      <c r="N58" s="14">
        <f>J58/M58-1</f>
        <v/>
      </c>
      <c r="O58" s="14">
        <f>J58/K58-1</f>
        <v/>
      </c>
      <c r="P58" s="7" t="inlineStr">
        <is>
          <t>ACIMA +17.7%</t>
        </is>
      </c>
      <c r="Q58" s="7" t="inlineStr">
        <is>
          <t>1 emb = 13 un</t>
        </is>
      </c>
    </row>
    <row r="59">
      <c r="A59" s="7" t="n">
        <v>180661</v>
      </c>
      <c r="B59" s="7" t="inlineStr"/>
      <c r="C59" s="12" t="inlineStr">
        <is>
          <t>7893454714325</t>
        </is>
      </c>
      <c r="D59" s="7" t="inlineStr">
        <is>
          <t>BENERVA 300MG CX 30 COMP REV</t>
        </is>
      </c>
      <c r="E59" s="13" t="n">
        <v>1</v>
      </c>
      <c r="F59" s="13" t="n">
        <v>2</v>
      </c>
      <c r="G59" s="13" t="n">
        <v>2</v>
      </c>
      <c r="H59" s="8" t="n">
        <v>25.5265</v>
      </c>
      <c r="I59" s="8">
        <f>G59*H59</f>
        <v/>
      </c>
      <c r="J59" s="8">
        <f>H59/E59</f>
        <v/>
      </c>
      <c r="K59" s="8" t="n">
        <v>25.98</v>
      </c>
      <c r="L59" s="8" t="n">
        <v>24.1833</v>
      </c>
      <c r="M59" s="8" t="n">
        <v>24.7822</v>
      </c>
      <c r="N59" s="14">
        <f>J59/M59-1</f>
        <v/>
      </c>
      <c r="O59" s="14">
        <f>J59/K59-1</f>
        <v/>
      </c>
      <c r="P59" s="7" t="inlineStr">
        <is>
          <t>OK (≤ últ. compra)</t>
        </is>
      </c>
      <c r="Q59" s="7" t="inlineStr"/>
    </row>
    <row r="60">
      <c r="A60" s="7" t="n">
        <v>54421</v>
      </c>
      <c r="B60" s="7" t="inlineStr"/>
      <c r="C60" s="12" t="inlineStr">
        <is>
          <t>7897411611023</t>
        </is>
      </c>
      <c r="D60" s="7" t="inlineStr">
        <is>
          <t>BENICAR ANLO 40+5MG CX 30 COMP REV</t>
        </is>
      </c>
      <c r="E60" s="13" t="n">
        <v>1</v>
      </c>
      <c r="F60" s="13" t="n">
        <v>4</v>
      </c>
      <c r="G60" s="13" t="n">
        <v>4</v>
      </c>
      <c r="H60" s="8" t="n">
        <v>74.7552</v>
      </c>
      <c r="I60" s="8">
        <f>G60*H60</f>
        <v/>
      </c>
      <c r="J60" s="8">
        <f>H60/E60</f>
        <v/>
      </c>
      <c r="K60" s="8" t="n">
        <v>76.89</v>
      </c>
      <c r="L60" s="8" t="n">
        <v>68.45999999999999</v>
      </c>
      <c r="M60" s="8" t="n">
        <v>72.54000000000001</v>
      </c>
      <c r="N60" s="14">
        <f>J60/M60-1</f>
        <v/>
      </c>
      <c r="O60" s="14">
        <f>J60/K60-1</f>
        <v/>
      </c>
      <c r="P60" s="7" t="inlineStr">
        <is>
          <t>OK (≤ últ. compra)</t>
        </is>
      </c>
      <c r="Q60" s="7" t="inlineStr"/>
    </row>
    <row r="61">
      <c r="A61" s="7" t="n">
        <v>49061</v>
      </c>
      <c r="B61" s="7" t="inlineStr"/>
      <c r="C61" s="12" t="inlineStr">
        <is>
          <t>7891317496241</t>
        </is>
      </c>
      <c r="D61" s="7" t="inlineStr">
        <is>
          <t>BENZETACIL 300.000U/ML SUS INJ 1FA X 4ML</t>
        </is>
      </c>
      <c r="E61" s="13" t="n">
        <v>1</v>
      </c>
      <c r="F61" s="13" t="n">
        <v>3</v>
      </c>
      <c r="G61" s="13" t="n">
        <v>3</v>
      </c>
      <c r="H61" s="8" t="n">
        <v>15.582</v>
      </c>
      <c r="I61" s="8">
        <f>G61*H61</f>
        <v/>
      </c>
      <c r="J61" s="8">
        <f>H61/E61</f>
        <v/>
      </c>
      <c r="K61" s="8" t="n">
        <v>15.69</v>
      </c>
      <c r="L61" s="8" t="n">
        <v>14.3625</v>
      </c>
      <c r="M61" s="8" t="n">
        <v>15.08466666666667</v>
      </c>
      <c r="N61" s="14">
        <f>J61/M61-1</f>
        <v/>
      </c>
      <c r="O61" s="14">
        <f>J61/K61-1</f>
        <v/>
      </c>
      <c r="P61" s="7" t="inlineStr">
        <is>
          <t>OK (≤ últ. compra)</t>
        </is>
      </c>
      <c r="Q61" s="7" t="inlineStr"/>
    </row>
    <row r="62">
      <c r="A62" s="7" t="n">
        <v>605681</v>
      </c>
      <c r="B62" s="7" t="inlineStr"/>
      <c r="C62" s="12" t="inlineStr">
        <is>
          <t>7897947612365</t>
        </is>
      </c>
      <c r="D62" s="7" t="inlineStr">
        <is>
          <t>BEPANTRIZ DERMA CREM LAB BG 7,5 ML</t>
        </is>
      </c>
      <c r="E62" s="13" t="n">
        <v>1</v>
      </c>
      <c r="F62" s="13" t="n">
        <v>2</v>
      </c>
      <c r="G62" s="13" t="n">
        <v>2</v>
      </c>
      <c r="H62" s="8" t="n">
        <v>12.48</v>
      </c>
      <c r="I62" s="8">
        <f>G62*H62</f>
        <v/>
      </c>
      <c r="J62" s="8">
        <f>H62/E62</f>
        <v/>
      </c>
      <c r="K62" s="8" t="n">
        <v>10.64</v>
      </c>
      <c r="L62" s="8" t="n">
        <v>10.64</v>
      </c>
      <c r="M62" s="8" t="n">
        <v>10.64</v>
      </c>
      <c r="N62" s="14">
        <f>J62/M62-1</f>
        <v/>
      </c>
      <c r="O62" s="14">
        <f>J62/K62-1</f>
        <v/>
      </c>
      <c r="P62" s="7" t="inlineStr">
        <is>
          <t>ACIMA +17.3%</t>
        </is>
      </c>
      <c r="Q62" s="7" t="inlineStr"/>
    </row>
    <row r="63">
      <c r="A63" s="7" t="n">
        <v>538081</v>
      </c>
      <c r="B63" s="7" t="inlineStr"/>
      <c r="C63" s="12" t="inlineStr">
        <is>
          <t>7898031311232</t>
        </is>
      </c>
      <c r="D63" s="7" t="inlineStr">
        <is>
          <t>BICARBONATO DE SODIO 50G</t>
        </is>
      </c>
      <c r="E63" s="13" t="n">
        <v>1</v>
      </c>
      <c r="F63" s="13" t="n">
        <v>13</v>
      </c>
      <c r="G63" s="13" t="n">
        <v>13</v>
      </c>
      <c r="H63" s="8" t="n">
        <v>2.55</v>
      </c>
      <c r="I63" s="8">
        <f>G63*H63</f>
        <v/>
      </c>
      <c r="J63" s="8">
        <f>H63/E63</f>
        <v/>
      </c>
      <c r="K63" s="8" t="n">
        <v>2.29</v>
      </c>
      <c r="L63" s="8" t="n">
        <v>2.0758</v>
      </c>
      <c r="M63" s="8" t="n">
        <v>2.2186</v>
      </c>
      <c r="N63" s="14">
        <f>J63/M63-1</f>
        <v/>
      </c>
      <c r="O63" s="14">
        <f>J63/K63-1</f>
        <v/>
      </c>
      <c r="P63" s="7" t="inlineStr">
        <is>
          <t>ACIMA +11.4%</t>
        </is>
      </c>
      <c r="Q63" s="7" t="inlineStr"/>
    </row>
    <row r="64">
      <c r="A64" s="7" t="n">
        <v>477961</v>
      </c>
      <c r="B64" s="7" t="inlineStr"/>
      <c r="C64" s="12" t="inlineStr">
        <is>
          <t>7894916508377</t>
        </is>
      </c>
      <c r="D64" s="7" t="inlineStr">
        <is>
          <t>BRASART HCT 320+25MG CX 30 COMP REV</t>
        </is>
      </c>
      <c r="E64" s="13" t="n">
        <v>1</v>
      </c>
      <c r="F64" s="13" t="n">
        <v>1</v>
      </c>
      <c r="G64" s="13" t="n">
        <v>1</v>
      </c>
      <c r="H64" s="8" t="n">
        <v>88.33499999999999</v>
      </c>
      <c r="I64" s="8">
        <f>G64*H64</f>
        <v/>
      </c>
      <c r="J64" s="8">
        <f>H64/E64</f>
        <v/>
      </c>
      <c r="K64" s="8" t="n">
        <v>89.44</v>
      </c>
      <c r="L64" s="8" t="n">
        <v>79.81999999999999</v>
      </c>
      <c r="M64" s="8" t="n">
        <v>84.42666666666666</v>
      </c>
      <c r="N64" s="14">
        <f>J64/M64-1</f>
        <v/>
      </c>
      <c r="O64" s="14">
        <f>J64/K64-1</f>
        <v/>
      </c>
      <c r="P64" s="7" t="inlineStr">
        <is>
          <t>OK (≤ últ. compra)</t>
        </is>
      </c>
      <c r="Q64" s="7" t="inlineStr"/>
    </row>
    <row r="65">
      <c r="A65" s="7" t="n">
        <v>477941</v>
      </c>
      <c r="B65" s="7" t="inlineStr"/>
      <c r="C65" s="12" t="inlineStr">
        <is>
          <t>7894916508346</t>
        </is>
      </c>
      <c r="D65" s="7" t="inlineStr">
        <is>
          <t>BRASART HCT 80+12,5MG CX 30 COMP REV</t>
        </is>
      </c>
      <c r="E65" s="13" t="n">
        <v>1</v>
      </c>
      <c r="F65" s="13" t="n">
        <v>1</v>
      </c>
      <c r="G65" s="13" t="n">
        <v>1</v>
      </c>
      <c r="H65" s="8" t="n">
        <v>75.50399999999999</v>
      </c>
      <c r="I65" s="8">
        <f>G65*H65</f>
        <v/>
      </c>
      <c r="J65" s="8">
        <f>H65/E65</f>
        <v/>
      </c>
      <c r="K65" s="8" t="n">
        <v>76.45</v>
      </c>
      <c r="L65" s="8" t="n">
        <v>70.33</v>
      </c>
      <c r="M65" s="8" t="n">
        <v>74.14333333333333</v>
      </c>
      <c r="N65" s="14">
        <f>J65/M65-1</f>
        <v/>
      </c>
      <c r="O65" s="14">
        <f>J65/K65-1</f>
        <v/>
      </c>
      <c r="P65" s="7" t="inlineStr">
        <is>
          <t>OK (≤ últ. compra)</t>
        </is>
      </c>
      <c r="Q65" s="7" t="inlineStr"/>
    </row>
    <row r="66">
      <c r="A66" s="7" t="n">
        <v>76701</v>
      </c>
      <c r="B66" s="7" t="inlineStr"/>
      <c r="C66" s="12" t="inlineStr">
        <is>
          <t>7896523209845</t>
        </is>
      </c>
      <c r="D66" s="7" t="inlineStr">
        <is>
          <t>CAPTOPRIL 25MG CX 30 COMP</t>
        </is>
      </c>
      <c r="E66" s="13" t="n">
        <v>1</v>
      </c>
      <c r="F66" s="13" t="n">
        <v>6</v>
      </c>
      <c r="G66" s="13" t="n">
        <v>6</v>
      </c>
      <c r="H66" s="8" t="n">
        <v>12.06</v>
      </c>
      <c r="I66" s="8">
        <f>G66*H66</f>
        <v/>
      </c>
      <c r="J66" s="8">
        <f>H66/E66</f>
        <v/>
      </c>
      <c r="K66" s="8" t="n">
        <v>1.45</v>
      </c>
      <c r="L66" s="8" t="n">
        <v>1.34</v>
      </c>
      <c r="M66" s="8" t="n">
        <v>1.34</v>
      </c>
      <c r="N66" s="14">
        <f>J66/M66-1</f>
        <v/>
      </c>
      <c r="O66" s="14">
        <f>J66/K66-1</f>
        <v/>
      </c>
      <c r="P66" s="7" t="inlineStr">
        <is>
          <t>ACIMA +731.7%</t>
        </is>
      </c>
      <c r="Q66" s="7" t="inlineStr">
        <is>
          <t>conferir emb.</t>
        </is>
      </c>
    </row>
    <row r="67">
      <c r="A67" s="7" t="n">
        <v>76421</v>
      </c>
      <c r="B67" s="7" t="inlineStr"/>
      <c r="C67" s="12" t="inlineStr">
        <is>
          <t>7896422503709</t>
        </is>
      </c>
      <c r="D67" s="7" t="inlineStr">
        <is>
          <t>CAPTOPRIL 25MG CX 30 COMP</t>
        </is>
      </c>
      <c r="E67" s="13" t="n">
        <v>1</v>
      </c>
      <c r="F67" s="13" t="n">
        <v>1</v>
      </c>
      <c r="G67" s="13" t="n">
        <v>1</v>
      </c>
      <c r="H67" s="8" t="n">
        <v>5.9313</v>
      </c>
      <c r="I67" s="8">
        <f>G67*H67</f>
        <v/>
      </c>
      <c r="J67" s="8">
        <f>H67/E67</f>
        <v/>
      </c>
      <c r="K67" s="8" t="n">
        <v>2.69</v>
      </c>
      <c r="L67" s="8" t="n">
        <v>2.47</v>
      </c>
      <c r="M67" s="8" t="n">
        <v>2.616666666666667</v>
      </c>
      <c r="N67" s="14">
        <f>J67/M67-1</f>
        <v/>
      </c>
      <c r="O67" s="14">
        <f>J67/K67-1</f>
        <v/>
      </c>
      <c r="P67" s="7" t="inlineStr">
        <is>
          <t>ACIMA +120.5%</t>
        </is>
      </c>
      <c r="Q67" s="7" t="inlineStr">
        <is>
          <t>conferir emb.</t>
        </is>
      </c>
    </row>
    <row r="68">
      <c r="A68" s="7" t="n">
        <v>653061</v>
      </c>
      <c r="B68" s="7" t="inlineStr"/>
      <c r="C68" s="12" t="inlineStr">
        <is>
          <t>7897947620520</t>
        </is>
      </c>
      <c r="D68" s="7" t="inlineStr">
        <is>
          <t>CARMED ENXAG BUC FR 250ML SBR BEIJOS</t>
        </is>
      </c>
      <c r="E68" s="13" t="n">
        <v>1</v>
      </c>
      <c r="F68" s="13" t="n">
        <v>2</v>
      </c>
      <c r="G68" s="13" t="n">
        <v>2</v>
      </c>
      <c r="H68" s="8" t="n">
        <v>19.56</v>
      </c>
      <c r="I68" s="8">
        <f>G68*H68</f>
        <v/>
      </c>
      <c r="J68" s="8">
        <f>H68/E68</f>
        <v/>
      </c>
      <c r="K68" s="8" t="n"/>
      <c r="L68" s="8" t="n"/>
      <c r="M68" s="8" t="n"/>
      <c r="N68" s="14" t="n"/>
      <c r="O68" s="14" t="n"/>
      <c r="P68" s="7" t="inlineStr">
        <is>
          <t>SEM HISTÓRICO</t>
        </is>
      </c>
      <c r="Q68" s="7" t="inlineStr"/>
    </row>
    <row r="69">
      <c r="A69" s="7" t="n">
        <v>662881</v>
      </c>
      <c r="B69" s="7" t="inlineStr"/>
      <c r="C69" s="12" t="inlineStr">
        <is>
          <t>7897947620605</t>
        </is>
      </c>
      <c r="D69" s="7" t="inlineStr">
        <is>
          <t>CARMED GLITTER BG 10G 3 EM 1</t>
        </is>
      </c>
      <c r="E69" s="13" t="n">
        <v>1</v>
      </c>
      <c r="F69" s="13" t="n">
        <v>1</v>
      </c>
      <c r="G69" s="13" t="n">
        <v>1</v>
      </c>
      <c r="H69" s="8" t="n">
        <v>27.24</v>
      </c>
      <c r="I69" s="8">
        <f>G69*H69</f>
        <v/>
      </c>
      <c r="J69" s="8">
        <f>H69/E69</f>
        <v/>
      </c>
      <c r="K69" s="8" t="n"/>
      <c r="L69" s="8" t="n"/>
      <c r="M69" s="8" t="n"/>
      <c r="N69" s="14" t="n"/>
      <c r="O69" s="14" t="n"/>
      <c r="P69" s="7" t="inlineStr">
        <is>
          <t>SEM HISTÓRICO</t>
        </is>
      </c>
      <c r="Q69" s="7" t="inlineStr"/>
    </row>
    <row r="70">
      <c r="A70" s="7" t="n">
        <v>658111</v>
      </c>
      <c r="B70" s="7" t="inlineStr"/>
      <c r="C70" s="12" t="inlineStr">
        <is>
          <t>7897947619579</t>
        </is>
      </c>
      <c r="D70" s="7" t="inlineStr">
        <is>
          <t>CARMED HID LAB BG 10G AMORA CLARO</t>
        </is>
      </c>
      <c r="E70" s="13" t="n">
        <v>1</v>
      </c>
      <c r="F70" s="13" t="n">
        <v>1</v>
      </c>
      <c r="G70" s="13" t="n">
        <v>1</v>
      </c>
      <c r="H70" s="8" t="n">
        <v>22.39</v>
      </c>
      <c r="I70" s="8">
        <f>G70*H70</f>
        <v/>
      </c>
      <c r="J70" s="8">
        <f>H70/E70</f>
        <v/>
      </c>
      <c r="K70" s="8" t="n">
        <v>14.99</v>
      </c>
      <c r="L70" s="8" t="n">
        <v>14.99</v>
      </c>
      <c r="M70" s="8" t="n">
        <v>14.99</v>
      </c>
      <c r="N70" s="14">
        <f>J70/M70-1</f>
        <v/>
      </c>
      <c r="O70" s="14">
        <f>J70/K70-1</f>
        <v/>
      </c>
      <c r="P70" s="7" t="inlineStr">
        <is>
          <t>ACIMA +49.4%</t>
        </is>
      </c>
      <c r="Q70" s="7" t="inlineStr"/>
    </row>
    <row r="71">
      <c r="A71" s="7" t="n">
        <v>85541</v>
      </c>
      <c r="B71" s="7" t="inlineStr"/>
      <c r="C71" s="12" t="inlineStr">
        <is>
          <t>7896422519373</t>
        </is>
      </c>
      <c r="D71" s="7" t="inlineStr">
        <is>
          <t>CARVEDILOL 12,5MG CX 30 COMP</t>
        </is>
      </c>
      <c r="E71" s="13" t="n">
        <v>1</v>
      </c>
      <c r="F71" s="13" t="n">
        <v>1</v>
      </c>
      <c r="G71" s="13" t="n">
        <v>1</v>
      </c>
      <c r="H71" s="8" t="n">
        <v>19.469983</v>
      </c>
      <c r="I71" s="8">
        <f>G71*H71</f>
        <v/>
      </c>
      <c r="J71" s="8">
        <f>H71/E71</f>
        <v/>
      </c>
      <c r="K71" s="8" t="n">
        <v>6.29</v>
      </c>
      <c r="L71" s="8" t="n">
        <v>6.29</v>
      </c>
      <c r="M71" s="8" t="n">
        <v>6.29</v>
      </c>
      <c r="N71" s="14">
        <f>J71/M71-1</f>
        <v/>
      </c>
      <c r="O71" s="14">
        <f>J71/K71-1</f>
        <v/>
      </c>
      <c r="P71" s="7" t="inlineStr">
        <is>
          <t>ACIMA +209.5%</t>
        </is>
      </c>
      <c r="Q71" s="7" t="inlineStr">
        <is>
          <t>conferir emb.</t>
        </is>
      </c>
    </row>
    <row r="72">
      <c r="A72" s="7" t="n">
        <v>83341</v>
      </c>
      <c r="B72" s="7" t="inlineStr"/>
      <c r="C72" s="12" t="inlineStr">
        <is>
          <t>8902220108141</t>
        </is>
      </c>
      <c r="D72" s="7" t="inlineStr">
        <is>
          <t>CARVEDILOL 6,25MG CX 30 COMP</t>
        </is>
      </c>
      <c r="E72" s="13" t="n">
        <v>1</v>
      </c>
      <c r="F72" s="13" t="n">
        <v>1</v>
      </c>
      <c r="G72" s="13" t="n">
        <v>1</v>
      </c>
      <c r="H72" s="8" t="n">
        <v>36.46</v>
      </c>
      <c r="I72" s="8">
        <f>G72*H72</f>
        <v/>
      </c>
      <c r="J72" s="8">
        <f>H72/E72</f>
        <v/>
      </c>
      <c r="K72" s="8" t="n">
        <v>7.2967</v>
      </c>
      <c r="L72" s="8" t="n">
        <v>7.2967</v>
      </c>
      <c r="M72" s="8" t="n">
        <v>7.2967</v>
      </c>
      <c r="N72" s="14">
        <f>J72/M72-1</f>
        <v/>
      </c>
      <c r="O72" s="14">
        <f>J72/K72-1</f>
        <v/>
      </c>
      <c r="P72" s="7" t="inlineStr">
        <is>
          <t>ACIMA +399.7%</t>
        </is>
      </c>
      <c r="Q72" s="7" t="inlineStr">
        <is>
          <t>conferir emb.</t>
        </is>
      </c>
    </row>
    <row r="73">
      <c r="A73" s="7" t="n">
        <v>574941</v>
      </c>
      <c r="B73" s="7" t="inlineStr"/>
      <c r="C73" s="12" t="inlineStr">
        <is>
          <t>7891037744509</t>
        </is>
      </c>
      <c r="D73" s="7" t="inlineStr">
        <is>
          <t>CD CLOSEUP LIQ 100G FRESH</t>
        </is>
      </c>
      <c r="E73" s="13" t="n">
        <v>1</v>
      </c>
      <c r="F73" s="13" t="n">
        <v>9</v>
      </c>
      <c r="G73" s="13" t="n">
        <v>9</v>
      </c>
      <c r="H73" s="8" t="n">
        <v>4.92</v>
      </c>
      <c r="I73" s="8">
        <f>G73*H73</f>
        <v/>
      </c>
      <c r="J73" s="8">
        <f>H73/E73</f>
        <v/>
      </c>
      <c r="K73" s="8" t="n">
        <v>4.7917</v>
      </c>
      <c r="L73" s="8" t="n">
        <v>3.9492</v>
      </c>
      <c r="M73" s="8" t="n">
        <v>4.510866666666666</v>
      </c>
      <c r="N73" s="14">
        <f>J73/M73-1</f>
        <v/>
      </c>
      <c r="O73" s="14">
        <f>J73/K73-1</f>
        <v/>
      </c>
      <c r="P73" s="7" t="inlineStr">
        <is>
          <t>ACIMA +2.7%</t>
        </is>
      </c>
      <c r="Q73" s="7" t="inlineStr"/>
    </row>
    <row r="74">
      <c r="A74" s="7" t="n">
        <v>575241</v>
      </c>
      <c r="B74" s="7" t="inlineStr"/>
      <c r="C74" s="12" t="inlineStr">
        <is>
          <t>7891150063075</t>
        </is>
      </c>
      <c r="D74" s="7" t="inlineStr">
        <is>
          <t>CD CLOSEUP LIQ 100G FRESH RED HOT</t>
        </is>
      </c>
      <c r="E74" s="13" t="n">
        <v>1</v>
      </c>
      <c r="F74" s="13" t="n">
        <v>5</v>
      </c>
      <c r="G74" s="13" t="n">
        <v>5</v>
      </c>
      <c r="H74" s="8" t="n">
        <v>4.92</v>
      </c>
      <c r="I74" s="8">
        <f>G74*H74</f>
        <v/>
      </c>
      <c r="J74" s="8">
        <f>H74/E74</f>
        <v/>
      </c>
      <c r="K74" s="8" t="n">
        <v>4.8717</v>
      </c>
      <c r="L74" s="8" t="n">
        <v>4.8717</v>
      </c>
      <c r="M74" s="8" t="n">
        <v>4.8717</v>
      </c>
      <c r="N74" s="14">
        <f>J74/M74-1</f>
        <v/>
      </c>
      <c r="O74" s="14">
        <f>J74/K74-1</f>
        <v/>
      </c>
      <c r="P74" s="7" t="inlineStr">
        <is>
          <t>ACIMA +1.0%</t>
        </is>
      </c>
      <c r="Q74" s="7" t="inlineStr"/>
    </row>
    <row r="75">
      <c r="A75" s="7" t="n">
        <v>625091</v>
      </c>
      <c r="B75" s="7" t="inlineStr"/>
      <c r="C75" s="12" t="inlineStr">
        <is>
          <t>7891037744356</t>
        </is>
      </c>
      <c r="D75" s="7" t="inlineStr">
        <is>
          <t>CD CLOSEUP RED HOT 90G</t>
        </is>
      </c>
      <c r="E75" s="13" t="n">
        <v>1</v>
      </c>
      <c r="F75" s="13" t="n">
        <v>2</v>
      </c>
      <c r="G75" s="13" t="n">
        <v>2</v>
      </c>
      <c r="H75" s="8" t="n">
        <v>4.27</v>
      </c>
      <c r="I75" s="8">
        <f>G75*H75</f>
        <v/>
      </c>
      <c r="J75" s="8">
        <f>H75/E75</f>
        <v/>
      </c>
      <c r="K75" s="8" t="n">
        <v>4.03</v>
      </c>
      <c r="L75" s="8" t="n">
        <v>4</v>
      </c>
      <c r="M75" s="8" t="n">
        <v>4.02</v>
      </c>
      <c r="N75" s="14">
        <f>J75/M75-1</f>
        <v/>
      </c>
      <c r="O75" s="14">
        <f>J75/K75-1</f>
        <v/>
      </c>
      <c r="P75" s="7" t="inlineStr">
        <is>
          <t>ACIMA +6.0%</t>
        </is>
      </c>
      <c r="Q75" s="7" t="inlineStr"/>
    </row>
    <row r="76">
      <c r="A76" s="7" t="n">
        <v>625111</v>
      </c>
      <c r="B76" s="7" t="inlineStr"/>
      <c r="C76" s="12" t="inlineStr">
        <is>
          <t>7891150049871</t>
        </is>
      </c>
      <c r="D76" s="7" t="inlineStr">
        <is>
          <t>CD CLOSEUP TRIPLE 70G</t>
        </is>
      </c>
      <c r="E76" s="13" t="n">
        <v>1</v>
      </c>
      <c r="F76" s="13" t="n">
        <v>4</v>
      </c>
      <c r="G76" s="13" t="n">
        <v>4</v>
      </c>
      <c r="H76" s="8" t="n">
        <v>2.57</v>
      </c>
      <c r="I76" s="8">
        <f>G76*H76</f>
        <v/>
      </c>
      <c r="J76" s="8">
        <f>H76/E76</f>
        <v/>
      </c>
      <c r="K76" s="8" t="n">
        <v>2.53</v>
      </c>
      <c r="L76" s="8" t="n">
        <v>2.5033</v>
      </c>
      <c r="M76" s="8" t="n">
        <v>2.5211</v>
      </c>
      <c r="N76" s="14">
        <f>J76/M76-1</f>
        <v/>
      </c>
      <c r="O76" s="14">
        <f>J76/K76-1</f>
        <v/>
      </c>
      <c r="P76" s="7" t="inlineStr">
        <is>
          <t>ACIMA +1.6%</t>
        </is>
      </c>
      <c r="Q76" s="7" t="inlineStr"/>
    </row>
    <row r="77">
      <c r="A77" s="7" t="n">
        <v>638861</v>
      </c>
      <c r="B77" s="7" t="inlineStr"/>
      <c r="C77" s="12" t="inlineStr">
        <is>
          <t>7908615055169</t>
        </is>
      </c>
      <c r="D77" s="7" t="inlineStr">
        <is>
          <t>CD ELSEVE 400ML GLYCOLIC GLOSS</t>
        </is>
      </c>
      <c r="E77" s="13" t="n">
        <v>1</v>
      </c>
      <c r="F77" s="13" t="n">
        <v>1</v>
      </c>
      <c r="G77" s="13" t="n">
        <v>1</v>
      </c>
      <c r="H77" s="8" t="n">
        <v>27.95</v>
      </c>
      <c r="I77" s="8">
        <f>G77*H77</f>
        <v/>
      </c>
      <c r="J77" s="8">
        <f>H77/E77</f>
        <v/>
      </c>
      <c r="K77" s="8" t="n">
        <v>21.8583</v>
      </c>
      <c r="L77" s="8" t="n">
        <v>21.8583</v>
      </c>
      <c r="M77" s="8" t="n">
        <v>21.8583</v>
      </c>
      <c r="N77" s="14">
        <f>J77/M77-1</f>
        <v/>
      </c>
      <c r="O77" s="14">
        <f>J77/K77-1</f>
        <v/>
      </c>
      <c r="P77" s="7" t="inlineStr">
        <is>
          <t>ACIMA +27.9%</t>
        </is>
      </c>
      <c r="Q77" s="7" t="inlineStr"/>
    </row>
    <row r="78">
      <c r="A78" s="7" t="n">
        <v>633311</v>
      </c>
      <c r="B78" s="7" t="inlineStr"/>
      <c r="C78" s="12" t="inlineStr">
        <is>
          <t>7896018750814</t>
        </is>
      </c>
      <c r="D78" s="7" t="inlineStr">
        <is>
          <t>CD INF HUGGIES KIDS 360ML CACHINHO PODER</t>
        </is>
      </c>
      <c r="E78" s="13" t="n">
        <v>1</v>
      </c>
      <c r="F78" s="13" t="n">
        <v>2</v>
      </c>
      <c r="G78" s="13" t="n">
        <v>2</v>
      </c>
      <c r="H78" s="8" t="n">
        <v>25.18</v>
      </c>
      <c r="I78" s="8">
        <f>G78*H78</f>
        <v/>
      </c>
      <c r="J78" s="8">
        <f>H78/E78</f>
        <v/>
      </c>
      <c r="K78" s="8" t="n">
        <v>12.2375</v>
      </c>
      <c r="L78" s="8" t="n">
        <v>12.2375</v>
      </c>
      <c r="M78" s="8" t="n">
        <v>12.2375</v>
      </c>
      <c r="N78" s="14">
        <f>J78/M78-1</f>
        <v/>
      </c>
      <c r="O78" s="14">
        <f>J78/K78-1</f>
        <v/>
      </c>
      <c r="P78" s="7" t="inlineStr">
        <is>
          <t>ACIMA +105.8%</t>
        </is>
      </c>
      <c r="Q78" s="7" t="inlineStr">
        <is>
          <t>conferir emb.</t>
        </is>
      </c>
    </row>
    <row r="79">
      <c r="A79" s="7" t="n">
        <v>617281</v>
      </c>
      <c r="B79" s="7" t="inlineStr"/>
      <c r="C79" s="12" t="inlineStr">
        <is>
          <t>7896512914231</t>
        </is>
      </c>
      <c r="D79" s="7" t="inlineStr">
        <is>
          <t>CERA NUTRITIVA PINK 7GR</t>
        </is>
      </c>
      <c r="E79" s="13" t="n">
        <v>1</v>
      </c>
      <c r="F79" s="13" t="n">
        <v>2</v>
      </c>
      <c r="G79" s="13" t="n">
        <v>2</v>
      </c>
      <c r="H79" s="8" t="n">
        <v>24.14</v>
      </c>
      <c r="I79" s="8">
        <f>G79*H79</f>
        <v/>
      </c>
      <c r="J79" s="8">
        <f>H79/E79</f>
        <v/>
      </c>
      <c r="K79" s="8" t="n">
        <v>18.88</v>
      </c>
      <c r="L79" s="8" t="n">
        <v>18.88</v>
      </c>
      <c r="M79" s="8" t="n">
        <v>18.88</v>
      </c>
      <c r="N79" s="14">
        <f>J79/M79-1</f>
        <v/>
      </c>
      <c r="O79" s="14">
        <f>J79/K79-1</f>
        <v/>
      </c>
      <c r="P79" s="7" t="inlineStr">
        <is>
          <t>ACIMA +27.9%</t>
        </is>
      </c>
      <c r="Q79" s="7" t="inlineStr"/>
    </row>
    <row r="80">
      <c r="A80" s="7" t="n">
        <v>636021</v>
      </c>
      <c r="B80" s="7" t="inlineStr"/>
      <c r="C80" s="12" t="inlineStr">
        <is>
          <t>7899706192057</t>
        </is>
      </c>
      <c r="D80" s="7" t="inlineStr">
        <is>
          <t>CERAVE CR OLHOS 15G</t>
        </is>
      </c>
      <c r="E80" s="13" t="n">
        <v>1</v>
      </c>
      <c r="F80" s="13" t="n">
        <v>1</v>
      </c>
      <c r="G80" s="13" t="n">
        <v>1</v>
      </c>
      <c r="H80" s="8" t="n">
        <v>114.54</v>
      </c>
      <c r="I80" s="8">
        <f>G80*H80</f>
        <v/>
      </c>
      <c r="J80" s="8">
        <f>H80/E80</f>
        <v/>
      </c>
      <c r="K80" s="8" t="n">
        <v>87.33</v>
      </c>
      <c r="L80" s="8" t="n">
        <v>87.33</v>
      </c>
      <c r="M80" s="8" t="n">
        <v>87.33</v>
      </c>
      <c r="N80" s="14">
        <f>J80/M80-1</f>
        <v/>
      </c>
      <c r="O80" s="14">
        <f>J80/K80-1</f>
        <v/>
      </c>
      <c r="P80" s="7" t="inlineStr">
        <is>
          <t>ACIMA +31.2%</t>
        </is>
      </c>
      <c r="Q80" s="7" t="inlineStr"/>
    </row>
    <row r="81">
      <c r="A81" s="7" t="n">
        <v>669751</v>
      </c>
      <c r="B81" s="7" t="inlineStr"/>
      <c r="C81" s="12" t="inlineStr">
        <is>
          <t>7899706159197</t>
        </is>
      </c>
      <c r="D81" s="7" t="inlineStr">
        <is>
          <t>CERAVE CREME HIDRATANTE 454G-DEMAIS PROD</t>
        </is>
      </c>
      <c r="E81" s="13" t="n">
        <v>1</v>
      </c>
      <c r="F81" s="13" t="n">
        <v>2</v>
      </c>
      <c r="G81" s="13" t="n">
        <v>2</v>
      </c>
      <c r="H81" s="8" t="n">
        <v>113.43</v>
      </c>
      <c r="I81" s="8">
        <f>G81*H81</f>
        <v/>
      </c>
      <c r="J81" s="8">
        <f>H81/E81</f>
        <v/>
      </c>
      <c r="K81" s="8" t="n">
        <v>93.34</v>
      </c>
      <c r="L81" s="8" t="n">
        <v>88.84999999999999</v>
      </c>
      <c r="M81" s="8" t="n">
        <v>91.84333333333332</v>
      </c>
      <c r="N81" s="14">
        <f>J81/M81-1</f>
        <v/>
      </c>
      <c r="O81" s="14">
        <f>J81/K81-1</f>
        <v/>
      </c>
      <c r="P81" s="7" t="inlineStr">
        <is>
          <t>ACIMA +21.5%</t>
        </is>
      </c>
      <c r="Q81" s="7" t="inlineStr"/>
    </row>
    <row r="82">
      <c r="A82" s="7" t="n">
        <v>653331</v>
      </c>
      <c r="B82" s="7" t="inlineStr"/>
      <c r="C82" s="12" t="inlineStr">
        <is>
          <t>7908615086309</t>
        </is>
      </c>
      <c r="D82" s="7" t="inlineStr">
        <is>
          <t>CERAVE LOCAO HIDRATANTE 340ML-DEMAIS PROD</t>
        </is>
      </c>
      <c r="E82" s="13" t="n">
        <v>1</v>
      </c>
      <c r="F82" s="13" t="n">
        <v>7</v>
      </c>
      <c r="G82" s="13" t="n">
        <v>7</v>
      </c>
      <c r="H82" s="8" t="n">
        <v>87.98</v>
      </c>
      <c r="I82" s="8">
        <f>G82*H82</f>
        <v/>
      </c>
      <c r="J82" s="8">
        <f>H82/E82</f>
        <v/>
      </c>
      <c r="K82" s="8" t="n">
        <v>78.95999999999999</v>
      </c>
      <c r="L82" s="8" t="n">
        <v>66.325</v>
      </c>
      <c r="M82" s="8" t="n">
        <v>70.53666666666668</v>
      </c>
      <c r="N82" s="14">
        <f>J82/M82-1</f>
        <v/>
      </c>
      <c r="O82" s="14">
        <f>J82/K82-1</f>
        <v/>
      </c>
      <c r="P82" s="7" t="inlineStr">
        <is>
          <t>ACIMA +11.4%</t>
        </is>
      </c>
      <c r="Q82" s="7" t="inlineStr"/>
    </row>
    <row r="83">
      <c r="A83" s="7" t="n">
        <v>637261</v>
      </c>
      <c r="B83" s="7" t="inlineStr"/>
      <c r="C83" s="12" t="inlineStr">
        <is>
          <t>7899706159272</t>
        </is>
      </c>
      <c r="D83" s="7" t="inlineStr">
        <is>
          <t>CERAVE LOCAO HIDRATANTE 473ML-DEMAIS PROD</t>
        </is>
      </c>
      <c r="E83" s="13" t="n">
        <v>1</v>
      </c>
      <c r="F83" s="13" t="n">
        <v>2</v>
      </c>
      <c r="G83" s="13" t="n">
        <v>2</v>
      </c>
      <c r="H83" s="8" t="n">
        <v>113.43</v>
      </c>
      <c r="I83" s="8">
        <f>G83*H83</f>
        <v/>
      </c>
      <c r="J83" s="8">
        <f>H83/E83</f>
        <v/>
      </c>
      <c r="K83" s="8" t="n">
        <v>103.71</v>
      </c>
      <c r="L83" s="8" t="n">
        <v>89.84</v>
      </c>
      <c r="M83" s="8" t="n">
        <v>99.08666666666666</v>
      </c>
      <c r="N83" s="14">
        <f>J83/M83-1</f>
        <v/>
      </c>
      <c r="O83" s="14">
        <f>J83/K83-1</f>
        <v/>
      </c>
      <c r="P83" s="7" t="inlineStr">
        <is>
          <t>ACIMA +9.4%</t>
        </is>
      </c>
      <c r="Q83" s="7" t="inlineStr"/>
    </row>
    <row r="84">
      <c r="A84" s="7" t="n">
        <v>451561</v>
      </c>
      <c r="B84" s="7" t="inlineStr"/>
      <c r="C84" s="12" t="inlineStr">
        <is>
          <t>7896523208855</t>
        </is>
      </c>
      <c r="D84" s="7" t="inlineStr">
        <is>
          <t>CETOCONAZOL+BETAMETASONA+SULFATO DE NEOMICINA 20MG/G CREM DERM BG 30G</t>
        </is>
      </c>
      <c r="E84" s="13" t="n">
        <v>1</v>
      </c>
      <c r="F84" s="13" t="n">
        <v>89</v>
      </c>
      <c r="G84" s="13" t="n">
        <v>89</v>
      </c>
      <c r="H84" s="8" t="n">
        <v>22.49</v>
      </c>
      <c r="I84" s="8">
        <f>G84*H84</f>
        <v/>
      </c>
      <c r="J84" s="8">
        <f>H84/E84</f>
        <v/>
      </c>
      <c r="K84" s="8" t="n">
        <v>4.59</v>
      </c>
      <c r="L84" s="8" t="n">
        <v>4.4</v>
      </c>
      <c r="M84" s="8" t="n">
        <v>4.52</v>
      </c>
      <c r="N84" s="14">
        <f>J84/M84-1</f>
        <v/>
      </c>
      <c r="O84" s="14">
        <f>J84/K84-1</f>
        <v/>
      </c>
      <c r="P84" s="7" t="inlineStr">
        <is>
          <t>ACIMA +390.0%</t>
        </is>
      </c>
      <c r="Q84" s="7" t="inlineStr">
        <is>
          <t>conferir emb.</t>
        </is>
      </c>
    </row>
    <row r="85">
      <c r="A85" s="7" t="n">
        <v>98221</v>
      </c>
      <c r="B85" s="7" t="inlineStr"/>
      <c r="C85" s="12" t="inlineStr">
        <is>
          <t>7896422512145</t>
        </is>
      </c>
      <c r="D85" s="7" t="inlineStr">
        <is>
          <t>CICLOPIROX OLAMINA 10MG SOL TOP FR GTS 15ML</t>
        </is>
      </c>
      <c r="E85" s="13" t="n">
        <v>1</v>
      </c>
      <c r="F85" s="13" t="n">
        <v>5</v>
      </c>
      <c r="G85" s="13" t="n">
        <v>5</v>
      </c>
      <c r="H85" s="8" t="n">
        <v>13.043869</v>
      </c>
      <c r="I85" s="8">
        <f>G85*H85</f>
        <v/>
      </c>
      <c r="J85" s="8">
        <f>H85/E85</f>
        <v/>
      </c>
      <c r="K85" s="8" t="n">
        <v>7.1221</v>
      </c>
      <c r="L85" s="8" t="n">
        <v>7.1221</v>
      </c>
      <c r="M85" s="8" t="n">
        <v>7.1221</v>
      </c>
      <c r="N85" s="14">
        <f>J85/M85-1</f>
        <v/>
      </c>
      <c r="O85" s="14">
        <f>J85/K85-1</f>
        <v/>
      </c>
      <c r="P85" s="7" t="inlineStr">
        <is>
          <t>ACIMA +83.1%</t>
        </is>
      </c>
      <c r="Q85" s="7" t="inlineStr"/>
    </row>
    <row r="86">
      <c r="A86" s="7" t="n">
        <v>507241</v>
      </c>
      <c r="B86" s="7" t="inlineStr"/>
      <c r="C86" s="12" t="inlineStr">
        <is>
          <t>7896523200576</t>
        </is>
      </c>
      <c r="D86" s="7" t="inlineStr">
        <is>
          <t>CIMEGRIPE 400+4+4MG CX 20 CAP</t>
        </is>
      </c>
      <c r="E86" s="13" t="n">
        <v>1</v>
      </c>
      <c r="F86" s="13" t="n">
        <v>21</v>
      </c>
      <c r="G86" s="13" t="n">
        <v>21</v>
      </c>
      <c r="H86" s="8" t="n">
        <v>18.88</v>
      </c>
      <c r="I86" s="8">
        <f>G86*H86</f>
        <v/>
      </c>
      <c r="J86" s="8">
        <f>H86/E86</f>
        <v/>
      </c>
      <c r="K86" s="8" t="n">
        <v>6.99</v>
      </c>
      <c r="L86" s="8" t="n">
        <v>6.99</v>
      </c>
      <c r="M86" s="8" t="n">
        <v>6.989999999999999</v>
      </c>
      <c r="N86" s="14">
        <f>J86/M86-1</f>
        <v/>
      </c>
      <c r="O86" s="14">
        <f>J86/K86-1</f>
        <v/>
      </c>
      <c r="P86" s="7" t="inlineStr">
        <is>
          <t>ACIMA +170.1%</t>
        </is>
      </c>
      <c r="Q86" s="7" t="inlineStr">
        <is>
          <t>conferir emb.</t>
        </is>
      </c>
    </row>
    <row r="87">
      <c r="A87" s="7" t="n">
        <v>565441</v>
      </c>
      <c r="B87" s="7" t="inlineStr"/>
      <c r="C87" s="12" t="inlineStr">
        <is>
          <t>7897947600393</t>
        </is>
      </c>
      <c r="D87" s="7" t="inlineStr">
        <is>
          <t>CIMEGRIPE C+ZINCO LARANJA CX 10 COMP EFER</t>
        </is>
      </c>
      <c r="E87" s="13" t="n">
        <v>1</v>
      </c>
      <c r="F87" s="13" t="n">
        <v>20</v>
      </c>
      <c r="G87" s="13" t="n">
        <v>20</v>
      </c>
      <c r="H87" s="8" t="n">
        <v>8.51</v>
      </c>
      <c r="I87" s="8">
        <f>G87*H87</f>
        <v/>
      </c>
      <c r="J87" s="8">
        <f>H87/E87</f>
        <v/>
      </c>
      <c r="K87" s="8" t="n">
        <v>4.99</v>
      </c>
      <c r="L87" s="8" t="n">
        <v>4.99</v>
      </c>
      <c r="M87" s="8" t="n">
        <v>4.99</v>
      </c>
      <c r="N87" s="14">
        <f>J87/M87-1</f>
        <v/>
      </c>
      <c r="O87" s="14">
        <f>J87/K87-1</f>
        <v/>
      </c>
      <c r="P87" s="7" t="inlineStr">
        <is>
          <t>ACIMA +70.5%</t>
        </is>
      </c>
      <c r="Q87" s="7" t="inlineStr"/>
    </row>
    <row r="88">
      <c r="A88" s="7" t="n">
        <v>554881</v>
      </c>
      <c r="B88" s="7" t="inlineStr"/>
      <c r="C88" s="12" t="inlineStr">
        <is>
          <t>7897947600157</t>
        </is>
      </c>
      <c r="D88" s="7" t="inlineStr">
        <is>
          <t>CIMEGRIPE RUB LATINHA C/12G</t>
        </is>
      </c>
      <c r="E88" s="13" t="n">
        <v>1</v>
      </c>
      <c r="F88" s="13" t="n">
        <v>2</v>
      </c>
      <c r="G88" s="13" t="n">
        <v>2</v>
      </c>
      <c r="H88" s="8" t="n">
        <v>84.66</v>
      </c>
      <c r="I88" s="8">
        <f>G88*H88</f>
        <v/>
      </c>
      <c r="J88" s="8">
        <f>H88/E88</f>
        <v/>
      </c>
      <c r="K88" s="8" t="n">
        <v>3.4358</v>
      </c>
      <c r="L88" s="8" t="n">
        <v>3.4358</v>
      </c>
      <c r="M88" s="8" t="n">
        <v>3.4358</v>
      </c>
      <c r="N88" s="14">
        <f>J88/M88-1</f>
        <v/>
      </c>
      <c r="O88" s="14">
        <f>J88/K88-1</f>
        <v/>
      </c>
      <c r="P88" s="7" t="inlineStr">
        <is>
          <t>ACIMA +2364.1%</t>
        </is>
      </c>
      <c r="Q88" s="7" t="inlineStr">
        <is>
          <t>estoque parcial (6 un); conferir emb.</t>
        </is>
      </c>
    </row>
    <row r="89">
      <c r="A89" s="7" t="n">
        <v>497001</v>
      </c>
      <c r="B89" s="7" t="inlineStr"/>
      <c r="C89" s="12" t="inlineStr">
        <is>
          <t>7891058001612</t>
        </is>
      </c>
      <c r="D89" s="7" t="inlineStr">
        <is>
          <t>CIPROFIBRATO 100 MG COMP X 30</t>
        </is>
      </c>
      <c r="E89" s="13" t="n">
        <v>1</v>
      </c>
      <c r="F89" s="13" t="n">
        <v>6</v>
      </c>
      <c r="G89" s="13" t="n">
        <v>6</v>
      </c>
      <c r="H89" s="8" t="n">
        <v>33.628284</v>
      </c>
      <c r="I89" s="8">
        <f>G89*H89</f>
        <v/>
      </c>
      <c r="J89" s="8">
        <f>H89/E89</f>
        <v/>
      </c>
      <c r="K89" s="8" t="n">
        <v>11.1433</v>
      </c>
      <c r="L89" s="8" t="n">
        <v>10.5133</v>
      </c>
      <c r="M89" s="8" t="n">
        <v>10.9333</v>
      </c>
      <c r="N89" s="14">
        <f>J89/M89-1</f>
        <v/>
      </c>
      <c r="O89" s="14">
        <f>J89/K89-1</f>
        <v/>
      </c>
      <c r="P89" s="7" t="inlineStr">
        <is>
          <t>ACIMA +201.8%</t>
        </is>
      </c>
      <c r="Q89" s="7" t="inlineStr">
        <is>
          <t>conferir emb.</t>
        </is>
      </c>
    </row>
    <row r="90">
      <c r="A90" s="7" t="n">
        <v>106721</v>
      </c>
      <c r="B90" s="7" t="inlineStr"/>
      <c r="C90" s="12" t="inlineStr">
        <is>
          <t>7896422525237</t>
        </is>
      </c>
      <c r="D90" s="7" t="inlineStr">
        <is>
          <t>CITRATO DE SILDENAFILA 100MG CX 4 COMP REV</t>
        </is>
      </c>
      <c r="E90" s="13" t="n">
        <v>1</v>
      </c>
      <c r="F90" s="13" t="n">
        <v>1</v>
      </c>
      <c r="G90" s="13" t="n">
        <v>1</v>
      </c>
      <c r="H90" s="8" t="n">
        <v>50.975001</v>
      </c>
      <c r="I90" s="8">
        <f>G90*H90</f>
        <v/>
      </c>
      <c r="J90" s="8">
        <f>H90/E90</f>
        <v/>
      </c>
      <c r="K90" s="8" t="n">
        <v>29.9</v>
      </c>
      <c r="L90" s="8" t="n">
        <v>29.9</v>
      </c>
      <c r="M90" s="8" t="n">
        <v>29.9</v>
      </c>
      <c r="N90" s="14">
        <f>J90/M90-1</f>
        <v/>
      </c>
      <c r="O90" s="14">
        <f>J90/K90-1</f>
        <v/>
      </c>
      <c r="P90" s="7" t="inlineStr">
        <is>
          <t>ACIMA +70.5%</t>
        </is>
      </c>
      <c r="Q90" s="7" t="inlineStr"/>
    </row>
    <row r="91">
      <c r="A91" s="7" t="n">
        <v>292821</v>
      </c>
      <c r="B91" s="7" t="inlineStr"/>
      <c r="C91" s="12" t="inlineStr">
        <is>
          <t>7896004725987</t>
        </is>
      </c>
      <c r="D91" s="7" t="inlineStr">
        <is>
          <t>CLEANKINOL 40MG GEL DERM BG 30G</t>
        </is>
      </c>
      <c r="E91" s="13" t="n">
        <v>1</v>
      </c>
      <c r="F91" s="13" t="n">
        <v>1</v>
      </c>
      <c r="G91" s="13" t="n">
        <v>1</v>
      </c>
      <c r="H91" s="8" t="n">
        <v>44.71</v>
      </c>
      <c r="I91" s="8">
        <f>G91*H91</f>
        <v/>
      </c>
      <c r="J91" s="8">
        <f>H91/E91</f>
        <v/>
      </c>
      <c r="K91" s="8" t="n">
        <v>35.89</v>
      </c>
      <c r="L91" s="8" t="n">
        <v>35.89</v>
      </c>
      <c r="M91" s="8" t="n">
        <v>35.89</v>
      </c>
      <c r="N91" s="14">
        <f>J91/M91-1</f>
        <v/>
      </c>
      <c r="O91" s="14">
        <f>J91/K91-1</f>
        <v/>
      </c>
      <c r="P91" s="7" t="inlineStr">
        <is>
          <t>ACIMA +24.6%</t>
        </is>
      </c>
      <c r="Q91" s="7" t="inlineStr"/>
    </row>
    <row r="92">
      <c r="A92" s="7" t="n">
        <v>614911</v>
      </c>
      <c r="B92" s="7" t="inlineStr"/>
      <c r="C92" s="12" t="inlineStr">
        <is>
          <t>7891150014107</t>
        </is>
      </c>
      <c r="D92" s="7" t="inlineStr">
        <is>
          <t>CLEAR AT-C SH 200ML MEN CONTROLE COCE M3</t>
        </is>
      </c>
      <c r="E92" s="13" t="n">
        <v>1</v>
      </c>
      <c r="F92" s="13" t="n">
        <v>6</v>
      </c>
      <c r="G92" s="13" t="n">
        <v>6</v>
      </c>
      <c r="H92" s="8" t="n">
        <v>15.7</v>
      </c>
      <c r="I92" s="8">
        <f>G92*H92</f>
        <v/>
      </c>
      <c r="J92" s="8">
        <f>H92/E92</f>
        <v/>
      </c>
      <c r="K92" s="8" t="n">
        <v>14.107</v>
      </c>
      <c r="L92" s="8" t="n">
        <v>14.0517</v>
      </c>
      <c r="M92" s="8" t="n">
        <v>14.08856666666667</v>
      </c>
      <c r="N92" s="14">
        <f>J92/M92-1</f>
        <v/>
      </c>
      <c r="O92" s="14">
        <f>J92/K92-1</f>
        <v/>
      </c>
      <c r="P92" s="7" t="inlineStr">
        <is>
          <t>ACIMA +11.3%</t>
        </is>
      </c>
      <c r="Q92" s="7" t="inlineStr"/>
    </row>
    <row r="93">
      <c r="A93" s="7" t="n">
        <v>614901</v>
      </c>
      <c r="B93" s="7" t="inlineStr"/>
      <c r="C93" s="12" t="inlineStr">
        <is>
          <t>7891150001077</t>
        </is>
      </c>
      <c r="D93" s="7" t="inlineStr">
        <is>
          <t>CLEAR AT-C SH 200ML MEN QUEDA CONTROL M3</t>
        </is>
      </c>
      <c r="E93" s="13" t="n">
        <v>1</v>
      </c>
      <c r="F93" s="13" t="n">
        <v>9</v>
      </c>
      <c r="G93" s="13" t="n">
        <v>9</v>
      </c>
      <c r="H93" s="8" t="n">
        <v>15.7</v>
      </c>
      <c r="I93" s="8">
        <f>G93*H93</f>
        <v/>
      </c>
      <c r="J93" s="8">
        <f>H93/E93</f>
        <v/>
      </c>
      <c r="K93" s="8" t="n">
        <v>14.9942</v>
      </c>
      <c r="L93" s="8" t="n">
        <v>14.0525</v>
      </c>
      <c r="M93" s="8" t="n">
        <v>14.67223333333333</v>
      </c>
      <c r="N93" s="14">
        <f>J93/M93-1</f>
        <v/>
      </c>
      <c r="O93" s="14">
        <f>J93/K93-1</f>
        <v/>
      </c>
      <c r="P93" s="7" t="inlineStr">
        <is>
          <t>ACIMA +4.7%</t>
        </is>
      </c>
      <c r="Q93" s="7" t="inlineStr"/>
    </row>
    <row r="94">
      <c r="A94" s="7" t="n">
        <v>112001</v>
      </c>
      <c r="B94" s="7" t="inlineStr"/>
      <c r="C94" s="12" t="inlineStr">
        <is>
          <t>7896422514644</t>
        </is>
      </c>
      <c r="D94" s="7" t="inlineStr">
        <is>
          <t>CLONAZEPAM 0,5MG CX 30 COMP</t>
        </is>
      </c>
      <c r="E94" s="13" t="n">
        <v>1</v>
      </c>
      <c r="F94" s="13" t="n">
        <v>1</v>
      </c>
      <c r="G94" s="13" t="n">
        <v>1</v>
      </c>
      <c r="H94" s="8" t="n">
        <v>3.916638</v>
      </c>
      <c r="I94" s="8">
        <f>G94*H94</f>
        <v/>
      </c>
      <c r="J94" s="8">
        <f>H94/E94</f>
        <v/>
      </c>
      <c r="K94" s="8" t="n">
        <v>2.12</v>
      </c>
      <c r="L94" s="8" t="n">
        <v>2.12</v>
      </c>
      <c r="M94" s="8" t="n">
        <v>2.12</v>
      </c>
      <c r="N94" s="14">
        <f>J94/M94-1</f>
        <v/>
      </c>
      <c r="O94" s="14">
        <f>J94/K94-1</f>
        <v/>
      </c>
      <c r="P94" s="7" t="inlineStr">
        <is>
          <t>ACIMA +84.7%</t>
        </is>
      </c>
      <c r="Q94" s="7" t="inlineStr"/>
    </row>
    <row r="95">
      <c r="A95" s="7" t="n">
        <v>123581</v>
      </c>
      <c r="B95" s="7" t="inlineStr"/>
      <c r="C95" s="12" t="inlineStr">
        <is>
          <t>7896523207636</t>
        </is>
      </c>
      <c r="D95" s="7" t="inlineStr">
        <is>
          <t>CLORIDRATO DE AMBROXOL 6MG/ML XPE FR 120ML+CM</t>
        </is>
      </c>
      <c r="E95" s="13" t="n">
        <v>1</v>
      </c>
      <c r="F95" s="13" t="n">
        <v>7</v>
      </c>
      <c r="G95" s="13" t="n">
        <v>7</v>
      </c>
      <c r="H95" s="8" t="n">
        <v>26.38</v>
      </c>
      <c r="I95" s="8">
        <f>G95*H95</f>
        <v/>
      </c>
      <c r="J95" s="8">
        <f>H95/E95</f>
        <v/>
      </c>
      <c r="K95" s="8" t="n">
        <v>4.99</v>
      </c>
      <c r="L95" s="8" t="n">
        <v>4.05</v>
      </c>
      <c r="M95" s="8" t="n">
        <v>4.37</v>
      </c>
      <c r="N95" s="14">
        <f>J95/M95-1</f>
        <v/>
      </c>
      <c r="O95" s="14">
        <f>J95/K95-1</f>
        <v/>
      </c>
      <c r="P95" s="7" t="inlineStr">
        <is>
          <t>ACIMA +428.7%</t>
        </is>
      </c>
      <c r="Q95" s="7" t="inlineStr">
        <is>
          <t>conferir emb.</t>
        </is>
      </c>
    </row>
    <row r="96">
      <c r="A96" s="7" t="n">
        <v>136341</v>
      </c>
      <c r="B96" s="7" t="inlineStr"/>
      <c r="C96" s="12" t="inlineStr">
        <is>
          <t>7896523209647</t>
        </is>
      </c>
      <c r="D96" s="7" t="inlineStr">
        <is>
          <t>CLORIDRATO DE CIPROFLOXACINO 500MG CX 14 COMP REV</t>
        </is>
      </c>
      <c r="E96" s="13" t="n">
        <v>1</v>
      </c>
      <c r="F96" s="13" t="n">
        <v>2</v>
      </c>
      <c r="G96" s="13" t="n">
        <v>2</v>
      </c>
      <c r="H96" s="8" t="n">
        <v>37.57</v>
      </c>
      <c r="I96" s="8">
        <f>G96*H96</f>
        <v/>
      </c>
      <c r="J96" s="8">
        <f>H96/E96</f>
        <v/>
      </c>
      <c r="K96" s="8" t="n">
        <v>5.29</v>
      </c>
      <c r="L96" s="8" t="n">
        <v>5.29</v>
      </c>
      <c r="M96" s="8" t="n">
        <v>5.29</v>
      </c>
      <c r="N96" s="14">
        <f>J96/M96-1</f>
        <v/>
      </c>
      <c r="O96" s="14">
        <f>J96/K96-1</f>
        <v/>
      </c>
      <c r="P96" s="7" t="inlineStr">
        <is>
          <t>ACIMA +610.2%</t>
        </is>
      </c>
      <c r="Q96" s="7" t="inlineStr">
        <is>
          <t>conferir emb.</t>
        </is>
      </c>
    </row>
    <row r="97">
      <c r="A97" s="7" t="n">
        <v>147241</v>
      </c>
      <c r="B97" s="7" t="inlineStr"/>
      <c r="C97" s="12" t="inlineStr">
        <is>
          <t>7896523220352</t>
        </is>
      </c>
      <c r="D97" s="7" t="inlineStr">
        <is>
          <t>CLORIDRATO DE FEXOFENADINA 180MG CX 10 COMP</t>
        </is>
      </c>
      <c r="E97" s="13" t="n">
        <v>1</v>
      </c>
      <c r="F97" s="13" t="n">
        <v>47</v>
      </c>
      <c r="G97" s="13" t="n">
        <v>47</v>
      </c>
      <c r="H97" s="8" t="n">
        <v>42.28</v>
      </c>
      <c r="I97" s="8">
        <f>G97*H97</f>
        <v/>
      </c>
      <c r="J97" s="8">
        <f>H97/E97</f>
        <v/>
      </c>
      <c r="K97" s="8" t="n">
        <v>6.09</v>
      </c>
      <c r="L97" s="8" t="n">
        <v>5.58</v>
      </c>
      <c r="M97" s="8" t="n">
        <v>5.75</v>
      </c>
      <c r="N97" s="14">
        <f>J97/M97-1</f>
        <v/>
      </c>
      <c r="O97" s="14">
        <f>J97/K97-1</f>
        <v/>
      </c>
      <c r="P97" s="7" t="inlineStr">
        <is>
          <t>ACIMA +594.3%</t>
        </is>
      </c>
      <c r="Q97" s="7" t="inlineStr">
        <is>
          <t>conferir emb.</t>
        </is>
      </c>
    </row>
    <row r="98">
      <c r="A98" s="7" t="n">
        <v>666791</v>
      </c>
      <c r="B98" s="7" t="inlineStr"/>
      <c r="C98" s="12" t="inlineStr">
        <is>
          <t>7891058001971</t>
        </is>
      </c>
      <c r="D98" s="7" t="inlineStr">
        <is>
          <t>CLORIDRATO DE ONDANSETRONA 8MG CX 10 COMP</t>
        </is>
      </c>
      <c r="E98" s="13" t="n">
        <v>1</v>
      </c>
      <c r="F98" s="13" t="n">
        <v>8</v>
      </c>
      <c r="G98" s="13" t="n">
        <v>8</v>
      </c>
      <c r="H98" s="8" t="n">
        <v>30.0588</v>
      </c>
      <c r="I98" s="8">
        <f>G98*H98</f>
        <v/>
      </c>
      <c r="J98" s="8">
        <f>H98/E98</f>
        <v/>
      </c>
      <c r="K98" s="8" t="n">
        <v>18.565</v>
      </c>
      <c r="L98" s="8" t="n">
        <v>6.9973</v>
      </c>
      <c r="M98" s="8" t="n">
        <v>14.7091</v>
      </c>
      <c r="N98" s="14">
        <f>J98/M98-1</f>
        <v/>
      </c>
      <c r="O98" s="14">
        <f>J98/K98-1</f>
        <v/>
      </c>
      <c r="P98" s="7" t="inlineStr">
        <is>
          <t>ACIMA +61.9%</t>
        </is>
      </c>
      <c r="Q98" s="7" t="inlineStr"/>
    </row>
    <row r="99">
      <c r="A99" s="7" t="n">
        <v>171341</v>
      </c>
      <c r="B99" s="7" t="inlineStr"/>
      <c r="C99" s="12" t="inlineStr">
        <is>
          <t>7896422515535</t>
        </is>
      </c>
      <c r="D99" s="7" t="inlineStr">
        <is>
          <t>CLORIDRATO DE PROPRANOLOL 40MG CX 30 COMP</t>
        </is>
      </c>
      <c r="E99" s="13" t="n">
        <v>1</v>
      </c>
      <c r="F99" s="13" t="n">
        <v>1</v>
      </c>
      <c r="G99" s="13" t="n">
        <v>1</v>
      </c>
      <c r="H99" s="8" t="n">
        <v>7.1214</v>
      </c>
      <c r="I99" s="8">
        <f>G99*H99</f>
        <v/>
      </c>
      <c r="J99" s="8">
        <f>H99/E99</f>
        <v/>
      </c>
      <c r="K99" s="8" t="n">
        <v>4.18</v>
      </c>
      <c r="L99" s="8" t="n">
        <v>3.83</v>
      </c>
      <c r="M99" s="8" t="n">
        <v>4.063333333333333</v>
      </c>
      <c r="N99" s="14">
        <f>J99/M99-1</f>
        <v/>
      </c>
      <c r="O99" s="14">
        <f>J99/K99-1</f>
        <v/>
      </c>
      <c r="P99" s="7" t="inlineStr">
        <is>
          <t>ACIMA +70.4%</t>
        </is>
      </c>
      <c r="Q99" s="7" t="inlineStr"/>
    </row>
    <row r="100">
      <c r="A100" s="7" t="n">
        <v>176641</v>
      </c>
      <c r="B100" s="7" t="inlineStr"/>
      <c r="C100" s="12" t="inlineStr">
        <is>
          <t>7896422506304</t>
        </is>
      </c>
      <c r="D100" s="7" t="inlineStr">
        <is>
          <t>CLORIDRATO DE SERTRALINA 50MG CX 30 COMP</t>
        </is>
      </c>
      <c r="E100" s="13" t="n">
        <v>1</v>
      </c>
      <c r="F100" s="13" t="n">
        <v>1</v>
      </c>
      <c r="G100" s="13" t="n">
        <v>1</v>
      </c>
      <c r="H100" s="8" t="n">
        <v>26.3076</v>
      </c>
      <c r="I100" s="8">
        <f>G100*H100</f>
        <v/>
      </c>
      <c r="J100" s="8">
        <f>H100/E100</f>
        <v/>
      </c>
      <c r="K100" s="8" t="n">
        <v>7.02</v>
      </c>
      <c r="L100" s="8" t="n">
        <v>7.02</v>
      </c>
      <c r="M100" s="8" t="n">
        <v>7.02</v>
      </c>
      <c r="N100" s="14">
        <f>J100/M100-1</f>
        <v/>
      </c>
      <c r="O100" s="14">
        <f>J100/K100-1</f>
        <v/>
      </c>
      <c r="P100" s="7" t="inlineStr">
        <is>
          <t>ACIMA +274.8%</t>
        </is>
      </c>
      <c r="Q100" s="7" t="inlineStr">
        <is>
          <t>conferir emb.</t>
        </is>
      </c>
    </row>
    <row r="101">
      <c r="A101" s="7" t="n">
        <v>399321</v>
      </c>
      <c r="B101" s="7" t="inlineStr"/>
      <c r="C101" s="12" t="inlineStr">
        <is>
          <t>7899420506918</t>
        </is>
      </c>
      <c r="D101" s="7" t="inlineStr">
        <is>
          <t>COD PAR 500+30MG CX 12 COMP</t>
        </is>
      </c>
      <c r="E101" s="13" t="n">
        <v>1</v>
      </c>
      <c r="F101" s="13" t="n">
        <v>1</v>
      </c>
      <c r="G101" s="13" t="n">
        <v>1</v>
      </c>
      <c r="H101" s="8" t="n">
        <v>26.0092</v>
      </c>
      <c r="I101" s="8">
        <f>G101*H101</f>
        <v/>
      </c>
      <c r="J101" s="8">
        <f>H101/E101</f>
        <v/>
      </c>
      <c r="K101" s="8" t="n">
        <v>23.005</v>
      </c>
      <c r="L101" s="8" t="n">
        <v>23.005</v>
      </c>
      <c r="M101" s="8" t="n">
        <v>23.005</v>
      </c>
      <c r="N101" s="14">
        <f>J101/M101-1</f>
        <v/>
      </c>
      <c r="O101" s="14">
        <f>J101/K101-1</f>
        <v/>
      </c>
      <c r="P101" s="7" t="inlineStr">
        <is>
          <t>ACIMA +13.1%</t>
        </is>
      </c>
      <c r="Q101" s="7" t="inlineStr"/>
    </row>
    <row r="102">
      <c r="A102" s="7" t="n">
        <v>674281</v>
      </c>
      <c r="B102" s="7" t="inlineStr"/>
      <c r="C102" s="12" t="inlineStr">
        <is>
          <t>7896676442670</t>
        </is>
      </c>
      <c r="D102" s="7" t="inlineStr">
        <is>
          <t>CODEIN 30MG C/12 CP (A2) CRI-REFERENCIA</t>
        </is>
      </c>
      <c r="E102" s="13" t="n">
        <v>1</v>
      </c>
      <c r="F102" s="13" t="n">
        <v>1</v>
      </c>
      <c r="G102" s="13" t="n">
        <v>1</v>
      </c>
      <c r="H102" s="8" t="n">
        <v>19.6</v>
      </c>
      <c r="I102" s="8">
        <f>G102*H102</f>
        <v/>
      </c>
      <c r="J102" s="8">
        <f>H102/E102</f>
        <v/>
      </c>
      <c r="K102" s="8" t="n">
        <v>16.785</v>
      </c>
      <c r="L102" s="8" t="n">
        <v>16.785</v>
      </c>
      <c r="M102" s="8" t="n">
        <v>16.785</v>
      </c>
      <c r="N102" s="14">
        <f>J102/M102-1</f>
        <v/>
      </c>
      <c r="O102" s="14">
        <f>J102/K102-1</f>
        <v/>
      </c>
      <c r="P102" s="7" t="inlineStr">
        <is>
          <t>ACIMA +16.8%</t>
        </is>
      </c>
      <c r="Q102" s="7" t="inlineStr"/>
    </row>
    <row r="103">
      <c r="A103" s="7" t="n">
        <v>616601</v>
      </c>
      <c r="B103" s="7" t="inlineStr"/>
      <c r="C103" s="12" t="inlineStr">
        <is>
          <t>7896000724748</t>
        </is>
      </c>
      <c r="D103" s="7" t="inlineStr">
        <is>
          <t>COL P COR&amp;TON MEGA COLORS 12111 L S PLA</t>
        </is>
      </c>
      <c r="E103" s="13" t="n">
        <v>1</v>
      </c>
      <c r="F103" s="13" t="n">
        <v>4</v>
      </c>
      <c r="G103" s="13" t="n">
        <v>4</v>
      </c>
      <c r="H103" s="8" t="n">
        <v>12.87</v>
      </c>
      <c r="I103" s="8">
        <f>G103*H103</f>
        <v/>
      </c>
      <c r="J103" s="8">
        <f>H103/E103</f>
        <v/>
      </c>
      <c r="K103" s="8" t="n">
        <v>12.09</v>
      </c>
      <c r="L103" s="8" t="n">
        <v>10.5</v>
      </c>
      <c r="M103" s="8" t="n">
        <v>11.56</v>
      </c>
      <c r="N103" s="14">
        <f>J103/M103-1</f>
        <v/>
      </c>
      <c r="O103" s="14">
        <f>J103/K103-1</f>
        <v/>
      </c>
      <c r="P103" s="7" t="inlineStr">
        <is>
          <t>ACIMA +6.5%</t>
        </is>
      </c>
      <c r="Q103" s="7" t="inlineStr"/>
    </row>
    <row r="104">
      <c r="A104" s="7" t="n">
        <v>4233</v>
      </c>
      <c r="B104" s="7" t="inlineStr"/>
      <c r="C104" s="12" t="inlineStr">
        <is>
          <t>7908531900352</t>
        </is>
      </c>
      <c r="D104" s="7" t="inlineStr">
        <is>
          <t>COLAGENO TIPO II CXT 30 HEALTHY ARTRODEX</t>
        </is>
      </c>
      <c r="E104" s="13" t="n">
        <v>1</v>
      </c>
      <c r="F104" s="13" t="n">
        <v>2</v>
      </c>
      <c r="G104" s="13" t="n">
        <v>2</v>
      </c>
      <c r="H104" s="8" t="n">
        <v>47.25</v>
      </c>
      <c r="I104" s="8">
        <f>G104*H104</f>
        <v/>
      </c>
      <c r="J104" s="8">
        <f>H104/E104</f>
        <v/>
      </c>
      <c r="K104" s="8" t="n">
        <v>23.14</v>
      </c>
      <c r="L104" s="8" t="n">
        <v>23.14</v>
      </c>
      <c r="M104" s="8" t="n">
        <v>23.14</v>
      </c>
      <c r="N104" s="14">
        <f>J104/M104-1</f>
        <v/>
      </c>
      <c r="O104" s="14">
        <f>J104/K104-1</f>
        <v/>
      </c>
      <c r="P104" s="7" t="inlineStr">
        <is>
          <t>ACIMA +104.2%</t>
        </is>
      </c>
      <c r="Q104" s="7" t="inlineStr">
        <is>
          <t>conferir emb.</t>
        </is>
      </c>
    </row>
    <row r="105">
      <c r="A105" s="7" t="n">
        <v>643191</v>
      </c>
      <c r="B105" s="7" t="inlineStr"/>
      <c r="C105" s="12" t="inlineStr">
        <is>
          <t>7898108649800</t>
        </is>
      </c>
      <c r="D105" s="7" t="inlineStr">
        <is>
          <t>COLETOR UNIVERSAL SANFARMA 70ML</t>
        </is>
      </c>
      <c r="E105" s="13" t="n">
        <v>1</v>
      </c>
      <c r="F105" s="13" t="n">
        <v>1</v>
      </c>
      <c r="G105" s="13" t="n">
        <v>1</v>
      </c>
      <c r="H105" s="8" t="n">
        <v>2.128</v>
      </c>
      <c r="I105" s="8">
        <f>G105*H105</f>
        <v/>
      </c>
      <c r="J105" s="8">
        <f>H105/E105</f>
        <v/>
      </c>
      <c r="K105" s="8" t="n">
        <v>1.34</v>
      </c>
      <c r="L105" s="8" t="n">
        <v>1.34</v>
      </c>
      <c r="M105" s="8" t="n">
        <v>1.34</v>
      </c>
      <c r="N105" s="14">
        <f>J105/M105-1</f>
        <v/>
      </c>
      <c r="O105" s="14">
        <f>J105/K105-1</f>
        <v/>
      </c>
      <c r="P105" s="7" t="inlineStr">
        <is>
          <t>ACIMA +58.8%</t>
        </is>
      </c>
      <c r="Q105" s="7" t="inlineStr"/>
    </row>
    <row r="106">
      <c r="A106" s="7" t="n">
        <v>562081</v>
      </c>
      <c r="B106" s="7" t="inlineStr"/>
      <c r="C106" s="12" t="inlineStr">
        <is>
          <t>7896018700383</t>
        </is>
      </c>
      <c r="D106" s="7" t="inlineStr">
        <is>
          <t>COLONIA HUGGIES EXTRA SUAVE 100ML</t>
        </is>
      </c>
      <c r="E106" s="13" t="n">
        <v>1</v>
      </c>
      <c r="F106" s="13" t="n">
        <v>6</v>
      </c>
      <c r="G106" s="13" t="n">
        <v>6</v>
      </c>
      <c r="H106" s="8" t="n">
        <v>18.7</v>
      </c>
      <c r="I106" s="8">
        <f>G106*H106</f>
        <v/>
      </c>
      <c r="J106" s="8">
        <f>H106/E106</f>
        <v/>
      </c>
      <c r="K106" s="8" t="n">
        <v>10.72</v>
      </c>
      <c r="L106" s="8" t="n">
        <v>10.38</v>
      </c>
      <c r="M106" s="8" t="n">
        <v>10.38</v>
      </c>
      <c r="N106" s="14">
        <f>J106/M106-1</f>
        <v/>
      </c>
      <c r="O106" s="14">
        <f>J106/K106-1</f>
        <v/>
      </c>
      <c r="P106" s="7" t="inlineStr">
        <is>
          <t>ACIMA +74.4%</t>
        </is>
      </c>
      <c r="Q106" s="7" t="inlineStr"/>
    </row>
    <row r="107">
      <c r="A107" s="7" t="n">
        <v>672021</v>
      </c>
      <c r="B107" s="7" t="inlineStr"/>
      <c r="C107" s="12" t="inlineStr">
        <is>
          <t>7908966527117</t>
        </is>
      </c>
      <c r="D107" s="7" t="inlineStr">
        <is>
          <t>COND ELSEVE COLAGENO 200ML-DEMAIS PROD</t>
        </is>
      </c>
      <c r="E107" s="13" t="n">
        <v>1</v>
      </c>
      <c r="F107" s="13" t="n">
        <v>3</v>
      </c>
      <c r="G107" s="13" t="n">
        <v>3</v>
      </c>
      <c r="H107" s="8" t="n">
        <v>15.42</v>
      </c>
      <c r="I107" s="8">
        <f>G107*H107</f>
        <v/>
      </c>
      <c r="J107" s="8">
        <f>H107/E107</f>
        <v/>
      </c>
      <c r="K107" s="8" t="n">
        <v>14.63</v>
      </c>
      <c r="L107" s="8" t="n">
        <v>14.05</v>
      </c>
      <c r="M107" s="8" t="n">
        <v>14.43666666666667</v>
      </c>
      <c r="N107" s="14">
        <f>J107/M107-1</f>
        <v/>
      </c>
      <c r="O107" s="14">
        <f>J107/K107-1</f>
        <v/>
      </c>
      <c r="P107" s="7" t="inlineStr">
        <is>
          <t>ACIMA +5.4%</t>
        </is>
      </c>
      <c r="Q107" s="7" t="inlineStr"/>
    </row>
    <row r="108">
      <c r="A108" s="7" t="n">
        <v>672031</v>
      </c>
      <c r="B108" s="7" t="inlineStr"/>
      <c r="C108" s="12" t="inlineStr">
        <is>
          <t>7908966527193</t>
        </is>
      </c>
      <c r="D108" s="7" t="inlineStr">
        <is>
          <t>COND ELSEVE COLAGENO 400ML-DEMAIS PROD</t>
        </is>
      </c>
      <c r="E108" s="13" t="n">
        <v>1</v>
      </c>
      <c r="F108" s="13" t="n">
        <v>2</v>
      </c>
      <c r="G108" s="13" t="n">
        <v>2</v>
      </c>
      <c r="H108" s="8" t="n">
        <v>27.95</v>
      </c>
      <c r="I108" s="8">
        <f>G108*H108</f>
        <v/>
      </c>
      <c r="J108" s="8">
        <f>H108/E108</f>
        <v/>
      </c>
      <c r="K108" s="8" t="n">
        <v>25.04</v>
      </c>
      <c r="L108" s="8" t="n">
        <v>25.04</v>
      </c>
      <c r="M108" s="8" t="n">
        <v>25.04</v>
      </c>
      <c r="N108" s="14">
        <f>J108/M108-1</f>
        <v/>
      </c>
      <c r="O108" s="14">
        <f>J108/K108-1</f>
        <v/>
      </c>
      <c r="P108" s="7" t="inlineStr">
        <is>
          <t>ACIMA +11.6%</t>
        </is>
      </c>
      <c r="Q108" s="7" t="inlineStr"/>
    </row>
    <row r="109">
      <c r="A109" s="7" t="n">
        <v>656991</v>
      </c>
      <c r="B109" s="7" t="inlineStr"/>
      <c r="C109" s="12" t="inlineStr">
        <is>
          <t>7908785461654</t>
        </is>
      </c>
      <c r="D109" s="7" t="inlineStr">
        <is>
          <t>COND ELSEVE LI SONHOS 2025 200ML-DEMAIS PROD</t>
        </is>
      </c>
      <c r="E109" s="13" t="n">
        <v>1</v>
      </c>
      <c r="F109" s="13" t="n">
        <v>5</v>
      </c>
      <c r="G109" s="13" t="n">
        <v>5</v>
      </c>
      <c r="H109" s="8" t="n">
        <v>15.42</v>
      </c>
      <c r="I109" s="8">
        <f>G109*H109</f>
        <v/>
      </c>
      <c r="J109" s="8">
        <f>H109/E109</f>
        <v/>
      </c>
      <c r="K109" s="8" t="n">
        <v>14.63</v>
      </c>
      <c r="L109" s="8" t="n">
        <v>11.67</v>
      </c>
      <c r="M109" s="8" t="n">
        <v>13.64333333333333</v>
      </c>
      <c r="N109" s="14">
        <f>J109/M109-1</f>
        <v/>
      </c>
      <c r="O109" s="14">
        <f>J109/K109-1</f>
        <v/>
      </c>
      <c r="P109" s="7" t="inlineStr">
        <is>
          <t>ACIMA +5.4%</t>
        </is>
      </c>
      <c r="Q109" s="7" t="inlineStr"/>
    </row>
    <row r="110">
      <c r="A110" s="7" t="n">
        <v>660531</v>
      </c>
      <c r="B110" s="7" t="inlineStr"/>
      <c r="C110" s="12" t="inlineStr">
        <is>
          <t>7891150101586</t>
        </is>
      </c>
      <c r="D110" s="7" t="inlineStr">
        <is>
          <t>COND SEDA TOQUE DE SEDA 250ML</t>
        </is>
      </c>
      <c r="E110" s="13" t="n">
        <v>1</v>
      </c>
      <c r="F110" s="13" t="n">
        <v>1</v>
      </c>
      <c r="G110" s="13" t="n">
        <v>1</v>
      </c>
      <c r="H110" s="8" t="n">
        <v>12.56</v>
      </c>
      <c r="I110" s="8">
        <f>G110*H110</f>
        <v/>
      </c>
      <c r="J110" s="8">
        <f>H110/E110</f>
        <v/>
      </c>
      <c r="K110" s="8" t="n">
        <v>9.44</v>
      </c>
      <c r="L110" s="8" t="n">
        <v>9.44</v>
      </c>
      <c r="M110" s="8" t="n">
        <v>9.44</v>
      </c>
      <c r="N110" s="14">
        <f>J110/M110-1</f>
        <v/>
      </c>
      <c r="O110" s="14">
        <f>J110/K110-1</f>
        <v/>
      </c>
      <c r="P110" s="7" t="inlineStr">
        <is>
          <t>ACIMA +33.1%</t>
        </is>
      </c>
      <c r="Q110" s="7" t="inlineStr"/>
    </row>
    <row r="111">
      <c r="A111" s="7" t="n">
        <v>585021</v>
      </c>
      <c r="B111" s="7" t="inlineStr"/>
      <c r="C111" s="12" t="inlineStr">
        <is>
          <t>7891150036390</t>
        </is>
      </c>
      <c r="D111" s="7" t="inlineStr">
        <is>
          <t>CONDIC DOVE BABY HID. ENR. 200ML</t>
        </is>
      </c>
      <c r="E111" s="13" t="n">
        <v>1</v>
      </c>
      <c r="F111" s="13" t="n">
        <v>2</v>
      </c>
      <c r="G111" s="13" t="n">
        <v>2</v>
      </c>
      <c r="H111" s="8" t="n">
        <v>14.9</v>
      </c>
      <c r="I111" s="8">
        <f>G111*H111</f>
        <v/>
      </c>
      <c r="J111" s="8">
        <f>H111/E111</f>
        <v/>
      </c>
      <c r="K111" s="8" t="n">
        <v>11.1958</v>
      </c>
      <c r="L111" s="8" t="n">
        <v>11.1958</v>
      </c>
      <c r="M111" s="8" t="n">
        <v>11.1958</v>
      </c>
      <c r="N111" s="14">
        <f>J111/M111-1</f>
        <v/>
      </c>
      <c r="O111" s="14">
        <f>J111/K111-1</f>
        <v/>
      </c>
      <c r="P111" s="7" t="inlineStr">
        <is>
          <t>ACIMA +33.1%</t>
        </is>
      </c>
      <c r="Q111" s="7" t="inlineStr">
        <is>
          <t>estoque parcial (1 un)</t>
        </is>
      </c>
    </row>
    <row r="112">
      <c r="A112" s="7" t="n">
        <v>568961</v>
      </c>
      <c r="B112" s="7" t="inlineStr"/>
      <c r="C112" s="12" t="inlineStr">
        <is>
          <t>7891150037465</t>
        </is>
      </c>
      <c r="D112" s="7" t="inlineStr">
        <is>
          <t>CONDIC SEDA CACH DEFIN 325ML</t>
        </is>
      </c>
      <c r="E112" s="13" t="n">
        <v>1</v>
      </c>
      <c r="F112" s="13" t="n">
        <v>1</v>
      </c>
      <c r="G112" s="13" t="n">
        <v>1</v>
      </c>
      <c r="H112" s="8" t="n">
        <v>12.56</v>
      </c>
      <c r="I112" s="8">
        <f>G112*H112</f>
        <v/>
      </c>
      <c r="J112" s="8">
        <f>H112/E112</f>
        <v/>
      </c>
      <c r="K112" s="8" t="n">
        <v>7.45</v>
      </c>
      <c r="L112" s="8" t="n">
        <v>7.45</v>
      </c>
      <c r="M112" s="8" t="n">
        <v>7.45</v>
      </c>
      <c r="N112" s="14">
        <f>J112/M112-1</f>
        <v/>
      </c>
      <c r="O112" s="14">
        <f>J112/K112-1</f>
        <v/>
      </c>
      <c r="P112" s="7" t="inlineStr">
        <is>
          <t>ACIMA +68.6%</t>
        </is>
      </c>
      <c r="Q112" s="7" t="inlineStr"/>
    </row>
    <row r="113">
      <c r="A113" s="7" t="n">
        <v>568981</v>
      </c>
      <c r="B113" s="7" t="inlineStr"/>
      <c r="C113" s="12" t="inlineStr">
        <is>
          <t>7891150037328</t>
        </is>
      </c>
      <c r="D113" s="7" t="inlineStr">
        <is>
          <t>CONDIC SEDA LISO PERFEI 325ML</t>
        </is>
      </c>
      <c r="E113" s="13" t="n">
        <v>1</v>
      </c>
      <c r="F113" s="13" t="n">
        <v>4</v>
      </c>
      <c r="G113" s="13" t="n">
        <v>4</v>
      </c>
      <c r="H113" s="8" t="n">
        <v>12.56</v>
      </c>
      <c r="I113" s="8">
        <f>G113*H113</f>
        <v/>
      </c>
      <c r="J113" s="8">
        <f>H113/E113</f>
        <v/>
      </c>
      <c r="K113" s="8" t="n">
        <v>11.5</v>
      </c>
      <c r="L113" s="8" t="n">
        <v>11.0678</v>
      </c>
      <c r="M113" s="8" t="n">
        <v>11.35593333333333</v>
      </c>
      <c r="N113" s="14">
        <f>J113/M113-1</f>
        <v/>
      </c>
      <c r="O113" s="14">
        <f>J113/K113-1</f>
        <v/>
      </c>
      <c r="P113" s="7" t="inlineStr">
        <is>
          <t>ACIMA +9.2%</t>
        </is>
      </c>
      <c r="Q113" s="7" t="inlineStr"/>
    </row>
    <row r="114">
      <c r="A114" s="7" t="n">
        <v>576441</v>
      </c>
      <c r="B114" s="7" t="inlineStr"/>
      <c r="C114" s="12" t="inlineStr">
        <is>
          <t>7891150045347</t>
        </is>
      </c>
      <c r="D114" s="7" t="inlineStr">
        <is>
          <t>CONDIC.DOVE BABY CAB.CLA.200M</t>
        </is>
      </c>
      <c r="E114" s="13" t="n">
        <v>1</v>
      </c>
      <c r="F114" s="13" t="n">
        <v>3</v>
      </c>
      <c r="G114" s="13" t="n">
        <v>3</v>
      </c>
      <c r="H114" s="8" t="n">
        <v>14.9</v>
      </c>
      <c r="I114" s="8">
        <f>G114*H114</f>
        <v/>
      </c>
      <c r="J114" s="8">
        <f>H114/E114</f>
        <v/>
      </c>
      <c r="K114" s="8" t="n">
        <v>14.97</v>
      </c>
      <c r="L114" s="8" t="n">
        <v>14.97</v>
      </c>
      <c r="M114" s="8" t="n">
        <v>14.97</v>
      </c>
      <c r="N114" s="14">
        <f>J114/M114-1</f>
        <v/>
      </c>
      <c r="O114" s="14">
        <f>J114/K114-1</f>
        <v/>
      </c>
      <c r="P114" s="7" t="inlineStr">
        <is>
          <t>OK (≤ menor hist.)</t>
        </is>
      </c>
      <c r="Q114" s="7" t="inlineStr"/>
    </row>
    <row r="115">
      <c r="A115" s="7" t="n">
        <v>651831</v>
      </c>
      <c r="B115" s="7" t="inlineStr"/>
      <c r="C115" s="12" t="inlineStr">
        <is>
          <t>7908615086194</t>
        </is>
      </c>
      <c r="D115" s="7" t="inlineStr">
        <is>
          <t>COR&amp;TON MARSALA ACAI 8.26-DEMAIS PROD</t>
        </is>
      </c>
      <c r="E115" s="13" t="n">
        <v>1</v>
      </c>
      <c r="F115" s="13" t="n">
        <v>2</v>
      </c>
      <c r="G115" s="13" t="n">
        <v>2</v>
      </c>
      <c r="H115" s="8" t="n">
        <v>12.87</v>
      </c>
      <c r="I115" s="8">
        <f>G115*H115</f>
        <v/>
      </c>
      <c r="J115" s="8">
        <f>H115/E115</f>
        <v/>
      </c>
      <c r="K115" s="8" t="n">
        <v>12.58</v>
      </c>
      <c r="L115" s="8" t="n">
        <v>10.5</v>
      </c>
      <c r="M115" s="8" t="n">
        <v>11.88666666666666</v>
      </c>
      <c r="N115" s="14">
        <f>J115/M115-1</f>
        <v/>
      </c>
      <c r="O115" s="14">
        <f>J115/K115-1</f>
        <v/>
      </c>
      <c r="P115" s="7" t="inlineStr">
        <is>
          <t>ACIMA +2.3%</t>
        </is>
      </c>
      <c r="Q115" s="7" t="inlineStr"/>
    </row>
    <row r="116">
      <c r="A116" s="7" t="n">
        <v>567161</v>
      </c>
      <c r="B116" s="7" t="inlineStr"/>
      <c r="C116" s="12" t="inlineStr">
        <is>
          <t>7891010560737</t>
        </is>
      </c>
      <c r="D116" s="7" t="inlineStr">
        <is>
          <t>COTONETES J J HASTES FLEX 75UN</t>
        </is>
      </c>
      <c r="E116" s="13" t="n">
        <v>1</v>
      </c>
      <c r="F116" s="13" t="n">
        <v>14</v>
      </c>
      <c r="G116" s="13" t="n">
        <v>14</v>
      </c>
      <c r="H116" s="8" t="n">
        <v>6.4</v>
      </c>
      <c r="I116" s="8">
        <f>G116*H116</f>
        <v/>
      </c>
      <c r="J116" s="8">
        <f>H116/E116</f>
        <v/>
      </c>
      <c r="K116" s="8" t="n">
        <v>6.1767</v>
      </c>
      <c r="L116" s="8" t="n">
        <v>5.7197</v>
      </c>
      <c r="M116" s="8" t="n">
        <v>5.8717</v>
      </c>
      <c r="N116" s="14">
        <f>J116/M116-1</f>
        <v/>
      </c>
      <c r="O116" s="14">
        <f>J116/K116-1</f>
        <v/>
      </c>
      <c r="P116" s="7" t="inlineStr">
        <is>
          <t>ACIMA +3.6%</t>
        </is>
      </c>
      <c r="Q116" s="7" t="inlineStr"/>
    </row>
    <row r="117">
      <c r="A117" s="7" t="n">
        <v>655361</v>
      </c>
      <c r="B117" s="7" t="inlineStr"/>
      <c r="C117" s="12" t="inlineStr">
        <is>
          <t>7896004822013</t>
        </is>
      </c>
      <c r="D117" s="7" t="inlineStr">
        <is>
          <t>COXETO 90MG 7 COM REV-B</t>
        </is>
      </c>
      <c r="E117" s="13" t="n">
        <v>1</v>
      </c>
      <c r="F117" s="13" t="n">
        <v>1</v>
      </c>
      <c r="G117" s="13" t="n">
        <v>1</v>
      </c>
      <c r="H117" s="8" t="n">
        <v>42.68</v>
      </c>
      <c r="I117" s="8">
        <f>G117*H117</f>
        <v/>
      </c>
      <c r="J117" s="8">
        <f>H117/E117</f>
        <v/>
      </c>
      <c r="K117" s="8" t="n">
        <v>44.35</v>
      </c>
      <c r="L117" s="8" t="n">
        <v>34.225</v>
      </c>
      <c r="M117" s="8" t="n">
        <v>37.6</v>
      </c>
      <c r="N117" s="14">
        <f>J117/M117-1</f>
        <v/>
      </c>
      <c r="O117" s="14">
        <f>J117/K117-1</f>
        <v/>
      </c>
      <c r="P117" s="7" t="inlineStr">
        <is>
          <t>OK (≤ últ. compra)</t>
        </is>
      </c>
      <c r="Q117" s="7" t="inlineStr"/>
    </row>
    <row r="118">
      <c r="A118" s="7" t="n">
        <v>603081</v>
      </c>
      <c r="B118" s="7" t="inlineStr"/>
      <c r="C118" s="12" t="inlineStr">
        <is>
          <t>7896512939555</t>
        </is>
      </c>
      <c r="D118" s="7" t="inlineStr">
        <is>
          <t>CR ASSADURA BEBE DERMOCALM 50G</t>
        </is>
      </c>
      <c r="E118" s="13" t="n">
        <v>1</v>
      </c>
      <c r="F118" s="13" t="n">
        <v>1</v>
      </c>
      <c r="G118" s="13" t="n">
        <v>1</v>
      </c>
      <c r="H118" s="8" t="n">
        <v>28.82</v>
      </c>
      <c r="I118" s="8">
        <f>G118*H118</f>
        <v/>
      </c>
      <c r="J118" s="8">
        <f>H118/E118</f>
        <v/>
      </c>
      <c r="K118" s="8" t="n">
        <v>25.2542</v>
      </c>
      <c r="L118" s="8" t="n">
        <v>25.2542</v>
      </c>
      <c r="M118" s="8" t="n">
        <v>25.2542</v>
      </c>
      <c r="N118" s="14">
        <f>J118/M118-1</f>
        <v/>
      </c>
      <c r="O118" s="14">
        <f>J118/K118-1</f>
        <v/>
      </c>
      <c r="P118" s="7" t="inlineStr">
        <is>
          <t>ACIMA +14.1%</t>
        </is>
      </c>
      <c r="Q118" s="7" t="inlineStr"/>
    </row>
    <row r="119">
      <c r="A119" s="7" t="n">
        <v>616901</v>
      </c>
      <c r="B119" s="7" t="inlineStr"/>
      <c r="C119" s="12" t="inlineStr">
        <is>
          <t>7908615000190</t>
        </is>
      </c>
      <c r="D119" s="7" t="inlineStr">
        <is>
          <t>CR ATIV N GOLD CACH DF PR 250ML</t>
        </is>
      </c>
      <c r="E119" s="13" t="n">
        <v>1</v>
      </c>
      <c r="F119" s="13" t="n">
        <v>1</v>
      </c>
      <c r="G119" s="13" t="n">
        <v>1</v>
      </c>
      <c r="H119" s="8" t="n">
        <v>9.75</v>
      </c>
      <c r="I119" s="8">
        <f>G119*H119</f>
        <v/>
      </c>
      <c r="J119" s="8">
        <f>H119/E119</f>
        <v/>
      </c>
      <c r="K119" s="8" t="n">
        <v>8.48</v>
      </c>
      <c r="L119" s="8" t="n">
        <v>8.48</v>
      </c>
      <c r="M119" s="8" t="n">
        <v>8.48</v>
      </c>
      <c r="N119" s="14">
        <f>J119/M119-1</f>
        <v/>
      </c>
      <c r="O119" s="14">
        <f>J119/K119-1</f>
        <v/>
      </c>
      <c r="P119" s="7" t="inlineStr">
        <is>
          <t>ACIMA +15.0%</t>
        </is>
      </c>
      <c r="Q119" s="7" t="inlineStr"/>
    </row>
    <row r="120">
      <c r="A120" s="7" t="n">
        <v>615271</v>
      </c>
      <c r="B120" s="7" t="inlineStr"/>
      <c r="C120" s="12" t="inlineStr">
        <is>
          <t>4005900328472</t>
        </is>
      </c>
      <c r="D120" s="7" t="inlineStr">
        <is>
          <t>CR BARBEAR NIVEA SENSITIVE 65G</t>
        </is>
      </c>
      <c r="E120" s="13" t="n">
        <v>1</v>
      </c>
      <c r="F120" s="13" t="n">
        <v>1</v>
      </c>
      <c r="G120" s="13" t="n">
        <v>1</v>
      </c>
      <c r="H120" s="8" t="n">
        <v>14.76</v>
      </c>
      <c r="I120" s="8">
        <f>G120*H120</f>
        <v/>
      </c>
      <c r="J120" s="8">
        <f>H120/E120</f>
        <v/>
      </c>
      <c r="K120" s="8" t="n">
        <v>8.4533</v>
      </c>
      <c r="L120" s="8" t="n">
        <v>8.4533</v>
      </c>
      <c r="M120" s="8" t="n">
        <v>8.4533</v>
      </c>
      <c r="N120" s="14">
        <f>J120/M120-1</f>
        <v/>
      </c>
      <c r="O120" s="14">
        <f>J120/K120-1</f>
        <v/>
      </c>
      <c r="P120" s="7" t="inlineStr">
        <is>
          <t>ACIMA +74.6%</t>
        </is>
      </c>
      <c r="Q120" s="7" t="inlineStr"/>
    </row>
    <row r="121">
      <c r="A121" s="7" t="n">
        <v>617241</v>
      </c>
      <c r="B121" s="7" t="inlineStr"/>
      <c r="C121" s="12" t="inlineStr">
        <is>
          <t>7896512919878</t>
        </is>
      </c>
      <c r="D121" s="7" t="inlineStr">
        <is>
          <t>CR CUTICULAS GRANADO PINK 100GR</t>
        </is>
      </c>
      <c r="E121" s="13" t="n">
        <v>1</v>
      </c>
      <c r="F121" s="13" t="n">
        <v>1</v>
      </c>
      <c r="G121" s="13" t="n">
        <v>1</v>
      </c>
      <c r="H121" s="8" t="n">
        <v>16.54</v>
      </c>
      <c r="I121" s="8">
        <f>G121*H121</f>
        <v/>
      </c>
      <c r="J121" s="8">
        <f>H121/E121</f>
        <v/>
      </c>
      <c r="K121" s="8" t="n">
        <v>10.875</v>
      </c>
      <c r="L121" s="8" t="n">
        <v>10.875</v>
      </c>
      <c r="M121" s="8" t="n">
        <v>10.875</v>
      </c>
      <c r="N121" s="14">
        <f>J121/M121-1</f>
        <v/>
      </c>
      <c r="O121" s="14">
        <f>J121/K121-1</f>
        <v/>
      </c>
      <c r="P121" s="7" t="inlineStr">
        <is>
          <t>ACIMA +52.1%</t>
        </is>
      </c>
      <c r="Q121" s="7" t="inlineStr"/>
    </row>
    <row r="122">
      <c r="A122" s="7" t="n">
        <v>1943</v>
      </c>
      <c r="B122" s="7" t="inlineStr"/>
      <c r="C122" s="12" t="inlineStr">
        <is>
          <t>7891150086210</t>
        </is>
      </c>
      <c r="D122" s="7" t="inlineStr">
        <is>
          <t>CR D CLOSE UP GEL MENTA 130G</t>
        </is>
      </c>
      <c r="E122" s="13" t="n">
        <v>1</v>
      </c>
      <c r="F122" s="13" t="n">
        <v>1</v>
      </c>
      <c r="G122" s="13" t="n">
        <v>1</v>
      </c>
      <c r="H122" s="8" t="n">
        <v>3.87</v>
      </c>
      <c r="I122" s="8">
        <f>G122*H122</f>
        <v/>
      </c>
      <c r="J122" s="8">
        <f>H122/E122</f>
        <v/>
      </c>
      <c r="K122" s="8" t="n">
        <v>3.86</v>
      </c>
      <c r="L122" s="8" t="n">
        <v>3.86</v>
      </c>
      <c r="M122" s="8" t="n">
        <v>3.86</v>
      </c>
      <c r="N122" s="14">
        <f>J122/M122-1</f>
        <v/>
      </c>
      <c r="O122" s="14">
        <f>J122/K122-1</f>
        <v/>
      </c>
      <c r="P122" s="7" t="inlineStr">
        <is>
          <t>ACIMA +0.3%</t>
        </is>
      </c>
      <c r="Q122" s="7" t="inlineStr"/>
    </row>
    <row r="123">
      <c r="A123" s="7" t="n">
        <v>568501</v>
      </c>
      <c r="B123" s="7" t="inlineStr"/>
      <c r="C123" s="12" t="inlineStr">
        <is>
          <t>7891528038827</t>
        </is>
      </c>
      <c r="D123" s="7" t="inlineStr">
        <is>
          <t>CR D COLGATE KIDS TANDY T FRUTI 50G</t>
        </is>
      </c>
      <c r="E123" s="13" t="n">
        <v>1</v>
      </c>
      <c r="F123" s="13" t="n">
        <v>5</v>
      </c>
      <c r="G123" s="13" t="n">
        <v>5</v>
      </c>
      <c r="H123" s="8" t="n">
        <v>8.859999999999999</v>
      </c>
      <c r="I123" s="8">
        <f>G123*H123</f>
        <v/>
      </c>
      <c r="J123" s="8">
        <f>H123/E123</f>
        <v/>
      </c>
      <c r="K123" s="8" t="n">
        <v>7.3229</v>
      </c>
      <c r="L123" s="8" t="n">
        <v>7.04</v>
      </c>
      <c r="M123" s="8" t="n">
        <v>7.2286</v>
      </c>
      <c r="N123" s="14">
        <f>J123/M123-1</f>
        <v/>
      </c>
      <c r="O123" s="14">
        <f>J123/K123-1</f>
        <v/>
      </c>
      <c r="P123" s="7" t="inlineStr">
        <is>
          <t>ACIMA +21.0%</t>
        </is>
      </c>
      <c r="Q123" s="7" t="inlineStr"/>
    </row>
    <row r="124">
      <c r="A124" s="7" t="n">
        <v>14403</v>
      </c>
      <c r="B124" s="7" t="inlineStr"/>
      <c r="C124" s="12" t="inlineStr">
        <is>
          <t>7509546700434</t>
        </is>
      </c>
      <c r="D124" s="7" t="inlineStr">
        <is>
          <t>CR DEN COLGATE LUMINOUS WHITE CC 70G</t>
        </is>
      </c>
      <c r="E124" s="13" t="n">
        <v>1</v>
      </c>
      <c r="F124" s="13" t="n">
        <v>2</v>
      </c>
      <c r="G124" s="13" t="n">
        <v>2</v>
      </c>
      <c r="H124" s="8" t="n">
        <v>9.43</v>
      </c>
      <c r="I124" s="8">
        <f>G124*H124</f>
        <v/>
      </c>
      <c r="J124" s="8">
        <f>H124/E124</f>
        <v/>
      </c>
      <c r="K124" s="8" t="n">
        <v>6.1854</v>
      </c>
      <c r="L124" s="8" t="n">
        <v>6.1854</v>
      </c>
      <c r="M124" s="8" t="n">
        <v>6.185399999999999</v>
      </c>
      <c r="N124" s="14">
        <f>J124/M124-1</f>
        <v/>
      </c>
      <c r="O124" s="14">
        <f>J124/K124-1</f>
        <v/>
      </c>
      <c r="P124" s="7" t="inlineStr">
        <is>
          <t>ACIMA +52.5%</t>
        </is>
      </c>
      <c r="Q124" s="7" t="inlineStr"/>
    </row>
    <row r="125">
      <c r="A125" s="7" t="n">
        <v>623881</v>
      </c>
      <c r="B125" s="7" t="inlineStr"/>
      <c r="C125" s="12" t="inlineStr">
        <is>
          <t>7891024134610</t>
        </is>
      </c>
      <c r="D125" s="7" t="inlineStr">
        <is>
          <t>CR DEN COLGATE MAX PROTECAO 180G   COLG %DN:2.00</t>
        </is>
      </c>
      <c r="E125" s="13" t="n">
        <v>1</v>
      </c>
      <c r="F125" s="13" t="n">
        <v>6</v>
      </c>
      <c r="G125" s="13" t="n">
        <v>6</v>
      </c>
      <c r="H125" s="8" t="n">
        <v>10.05</v>
      </c>
      <c r="I125" s="8">
        <f>G125*H125</f>
        <v/>
      </c>
      <c r="J125" s="8">
        <f>H125/E125</f>
        <v/>
      </c>
      <c r="K125" s="8" t="n">
        <v>6.13</v>
      </c>
      <c r="L125" s="8" t="n">
        <v>6.13</v>
      </c>
      <c r="M125" s="8" t="n">
        <v>6.13</v>
      </c>
      <c r="N125" s="14">
        <f>J125/M125-1</f>
        <v/>
      </c>
      <c r="O125" s="14">
        <f>J125/K125-1</f>
        <v/>
      </c>
      <c r="P125" s="7" t="inlineStr">
        <is>
          <t>ACIMA +63.9%</t>
        </is>
      </c>
      <c r="Q125" s="7" t="inlineStr"/>
    </row>
    <row r="126">
      <c r="A126" s="7" t="n">
        <v>610121</v>
      </c>
      <c r="B126" s="7" t="inlineStr"/>
      <c r="C126" s="12" t="inlineStr">
        <is>
          <t>7509546675862</t>
        </is>
      </c>
      <c r="D126" s="7" t="inlineStr">
        <is>
          <t>CR DEN COLGATE PERIOGARD 60G</t>
        </is>
      </c>
      <c r="E126" s="13" t="n">
        <v>1</v>
      </c>
      <c r="F126" s="13" t="n">
        <v>6</v>
      </c>
      <c r="G126" s="13" t="n">
        <v>6</v>
      </c>
      <c r="H126" s="8" t="n">
        <v>17.79</v>
      </c>
      <c r="I126" s="8">
        <f>G126*H126</f>
        <v/>
      </c>
      <c r="J126" s="8">
        <f>H126/E126</f>
        <v/>
      </c>
      <c r="K126" s="8" t="n">
        <v>12.0075</v>
      </c>
      <c r="L126" s="8" t="n">
        <v>10.1467</v>
      </c>
      <c r="M126" s="8" t="n">
        <v>11.38696666666667</v>
      </c>
      <c r="N126" s="14">
        <f>J126/M126-1</f>
        <v/>
      </c>
      <c r="O126" s="14">
        <f>J126/K126-1</f>
        <v/>
      </c>
      <c r="P126" s="7" t="inlineStr">
        <is>
          <t>ACIMA +48.2%</t>
        </is>
      </c>
      <c r="Q126" s="7" t="inlineStr"/>
    </row>
    <row r="127">
      <c r="A127" s="7" t="n">
        <v>662211</v>
      </c>
      <c r="B127" s="7" t="inlineStr"/>
      <c r="C127" s="12" t="inlineStr">
        <is>
          <t>8718951539129</t>
        </is>
      </c>
      <c r="D127" s="7" t="inlineStr">
        <is>
          <t>CR DEN ELMEX SENSITIVE PROFES 75G</t>
        </is>
      </c>
      <c r="E127" s="13" t="n">
        <v>1</v>
      </c>
      <c r="F127" s="13" t="n">
        <v>1</v>
      </c>
      <c r="G127" s="13" t="n">
        <v>1</v>
      </c>
      <c r="H127" s="8" t="n">
        <v>18.55</v>
      </c>
      <c r="I127" s="8">
        <f>G127*H127</f>
        <v/>
      </c>
      <c r="J127" s="8">
        <f>H127/E127</f>
        <v/>
      </c>
      <c r="K127" s="8" t="n">
        <v>10.925</v>
      </c>
      <c r="L127" s="8" t="n">
        <v>10.925</v>
      </c>
      <c r="M127" s="8" t="n">
        <v>10.925</v>
      </c>
      <c r="N127" s="14">
        <f>J127/M127-1</f>
        <v/>
      </c>
      <c r="O127" s="14">
        <f>J127/K127-1</f>
        <v/>
      </c>
      <c r="P127" s="7" t="inlineStr">
        <is>
          <t>ACIMA +69.8%</t>
        </is>
      </c>
      <c r="Q127" s="7" t="inlineStr"/>
    </row>
    <row r="128">
      <c r="A128" s="7" t="n">
        <v>616961</v>
      </c>
      <c r="B128" s="7" t="inlineStr"/>
      <c r="C128" s="12" t="inlineStr">
        <is>
          <t>7896000712981</t>
        </is>
      </c>
      <c r="D128" s="7" t="inlineStr">
        <is>
          <t>CR PEN N GOLD LISO PLENO 250G</t>
        </is>
      </c>
      <c r="E128" s="13" t="n">
        <v>1</v>
      </c>
      <c r="F128" s="13" t="n">
        <v>1</v>
      </c>
      <c r="G128" s="13" t="n">
        <v>1</v>
      </c>
      <c r="H128" s="8" t="n">
        <v>8.08</v>
      </c>
      <c r="I128" s="8">
        <f>G128*H128</f>
        <v/>
      </c>
      <c r="J128" s="8">
        <f>H128/E128</f>
        <v/>
      </c>
      <c r="K128" s="8" t="n">
        <v>4.57</v>
      </c>
      <c r="L128" s="8" t="n">
        <v>4.57</v>
      </c>
      <c r="M128" s="8" t="n">
        <v>4.57</v>
      </c>
      <c r="N128" s="14">
        <f>J128/M128-1</f>
        <v/>
      </c>
      <c r="O128" s="14">
        <f>J128/K128-1</f>
        <v/>
      </c>
      <c r="P128" s="7" t="inlineStr">
        <is>
          <t>ACIMA +76.8%</t>
        </is>
      </c>
      <c r="Q128" s="7" t="inlineStr"/>
    </row>
    <row r="129">
      <c r="A129" s="7" t="n">
        <v>672041</v>
      </c>
      <c r="B129" s="7" t="inlineStr"/>
      <c r="C129" s="12" t="inlineStr">
        <is>
          <t>7908966528534</t>
        </is>
      </c>
      <c r="D129" s="7" t="inlineStr">
        <is>
          <t>CR PENT ELSEVE COLAGENO 250ML-DEMAIS PROD</t>
        </is>
      </c>
      <c r="E129" s="13" t="n">
        <v>1</v>
      </c>
      <c r="F129" s="13" t="n">
        <v>3</v>
      </c>
      <c r="G129" s="13" t="n">
        <v>3</v>
      </c>
      <c r="H129" s="8" t="n">
        <v>15.92</v>
      </c>
      <c r="I129" s="8">
        <f>G129*H129</f>
        <v/>
      </c>
      <c r="J129" s="8">
        <f>H129/E129</f>
        <v/>
      </c>
      <c r="K129" s="8" t="n">
        <v>14.75</v>
      </c>
      <c r="L129" s="8" t="n">
        <v>14.14</v>
      </c>
      <c r="M129" s="8" t="n">
        <v>14.14</v>
      </c>
      <c r="N129" s="14">
        <f>J129/M129-1</f>
        <v/>
      </c>
      <c r="O129" s="14">
        <f>J129/K129-1</f>
        <v/>
      </c>
      <c r="P129" s="7" t="inlineStr">
        <is>
          <t>ACIMA +7.9%</t>
        </is>
      </c>
      <c r="Q129" s="7" t="inlineStr"/>
    </row>
    <row r="130">
      <c r="A130" s="7" t="n">
        <v>637691</v>
      </c>
      <c r="B130" s="7" t="inlineStr"/>
      <c r="C130" s="12" t="inlineStr">
        <is>
          <t>7891150094949</t>
        </is>
      </c>
      <c r="D130" s="7" t="inlineStr">
        <is>
          <t>CR TRAT DOVE HIDRATACAO 270G</t>
        </is>
      </c>
      <c r="E130" s="13" t="n">
        <v>1</v>
      </c>
      <c r="F130" s="13" t="n">
        <v>1</v>
      </c>
      <c r="G130" s="13" t="n">
        <v>1</v>
      </c>
      <c r="H130" s="8" t="n">
        <v>34.7</v>
      </c>
      <c r="I130" s="8">
        <f>G130*H130</f>
        <v/>
      </c>
      <c r="J130" s="8">
        <f>H130/E130</f>
        <v/>
      </c>
      <c r="K130" s="8" t="n">
        <v>40.79</v>
      </c>
      <c r="L130" s="8" t="n">
        <v>40.79</v>
      </c>
      <c r="M130" s="8" t="n">
        <v>40.79</v>
      </c>
      <c r="N130" s="14">
        <f>J130/M130-1</f>
        <v/>
      </c>
      <c r="O130" s="14">
        <f>J130/K130-1</f>
        <v/>
      </c>
      <c r="P130" s="7" t="inlineStr">
        <is>
          <t>OK (≤ menor hist.)</t>
        </is>
      </c>
      <c r="Q130" s="7" t="inlineStr"/>
    </row>
    <row r="131">
      <c r="A131" s="7" t="n">
        <v>666951</v>
      </c>
      <c r="B131" s="7" t="inlineStr"/>
      <c r="C131" s="12" t="inlineStr">
        <is>
          <t>7908785461456</t>
        </is>
      </c>
      <c r="D131" s="7" t="inlineStr">
        <is>
          <t>CR TRAT ELSEVE 300G LISO SONHOS (N)</t>
        </is>
      </c>
      <c r="E131" s="13" t="n">
        <v>1</v>
      </c>
      <c r="F131" s="13" t="n">
        <v>1</v>
      </c>
      <c r="G131" s="13" t="n">
        <v>1</v>
      </c>
      <c r="H131" s="8" t="n">
        <v>23.72</v>
      </c>
      <c r="I131" s="8">
        <f>G131*H131</f>
        <v/>
      </c>
      <c r="J131" s="8">
        <f>H131/E131</f>
        <v/>
      </c>
      <c r="K131" s="8" t="n">
        <v>20.46</v>
      </c>
      <c r="L131" s="8" t="n">
        <v>20.46</v>
      </c>
      <c r="M131" s="8" t="n">
        <v>20.46</v>
      </c>
      <c r="N131" s="14">
        <f>J131/M131-1</f>
        <v/>
      </c>
      <c r="O131" s="14">
        <f>J131/K131-1</f>
        <v/>
      </c>
      <c r="P131" s="7" t="inlineStr">
        <is>
          <t>ACIMA +15.9%</t>
        </is>
      </c>
      <c r="Q131" s="7" t="inlineStr"/>
    </row>
    <row r="132">
      <c r="A132" s="7" t="n">
        <v>614431</v>
      </c>
      <c r="B132" s="7" t="inlineStr"/>
      <c r="C132" s="12" t="inlineStr">
        <is>
          <t>7898587774475</t>
        </is>
      </c>
      <c r="D132" s="7" t="inlineStr">
        <is>
          <t>CR TRAT ELSEVE 300G OLEO EXTRAORD NUTRIC</t>
        </is>
      </c>
      <c r="E132" s="13" t="n">
        <v>1</v>
      </c>
      <c r="F132" s="13" t="n">
        <v>3</v>
      </c>
      <c r="G132" s="13" t="n">
        <v>3</v>
      </c>
      <c r="H132" s="8" t="n">
        <v>23.72</v>
      </c>
      <c r="I132" s="8">
        <f>G132*H132</f>
        <v/>
      </c>
      <c r="J132" s="8">
        <f>H132/E132</f>
        <v/>
      </c>
      <c r="K132" s="8" t="n">
        <v>22.36</v>
      </c>
      <c r="L132" s="8" t="n">
        <v>20.46</v>
      </c>
      <c r="M132" s="8" t="n">
        <v>21.72666666666667</v>
      </c>
      <c r="N132" s="14">
        <f>J132/M132-1</f>
        <v/>
      </c>
      <c r="O132" s="14">
        <f>J132/K132-1</f>
        <v/>
      </c>
      <c r="P132" s="7" t="inlineStr">
        <is>
          <t>ACIMA +6.1%</t>
        </is>
      </c>
      <c r="Q132" s="7" t="inlineStr"/>
    </row>
    <row r="133">
      <c r="A133" s="7" t="n">
        <v>672051</v>
      </c>
      <c r="B133" s="7" t="inlineStr"/>
      <c r="C133" s="12" t="inlineStr">
        <is>
          <t>7908966528367</t>
        </is>
      </c>
      <c r="D133" s="7" t="inlineStr">
        <is>
          <t>CR TRAT ELSEVE COLAGENO 300G-DEMAIS PROD</t>
        </is>
      </c>
      <c r="E133" s="13" t="n">
        <v>1</v>
      </c>
      <c r="F133" s="13" t="n">
        <v>2</v>
      </c>
      <c r="G133" s="13" t="n">
        <v>2</v>
      </c>
      <c r="H133" s="8" t="n">
        <v>27.25</v>
      </c>
      <c r="I133" s="8">
        <f>G133*H133</f>
        <v/>
      </c>
      <c r="J133" s="8">
        <f>H133/E133</f>
        <v/>
      </c>
      <c r="K133" s="8" t="n">
        <v>25.12</v>
      </c>
      <c r="L133" s="8" t="n">
        <v>25.12</v>
      </c>
      <c r="M133" s="8" t="n">
        <v>25.12</v>
      </c>
      <c r="N133" s="14">
        <f>J133/M133-1</f>
        <v/>
      </c>
      <c r="O133" s="14">
        <f>J133/K133-1</f>
        <v/>
      </c>
      <c r="P133" s="7" t="inlineStr">
        <is>
          <t>ACIMA +8.5%</t>
        </is>
      </c>
      <c r="Q133" s="7" t="inlineStr"/>
    </row>
    <row r="134">
      <c r="A134" s="7" t="n">
        <v>653591</v>
      </c>
      <c r="B134" s="7" t="inlineStr"/>
      <c r="C134" s="12" t="inlineStr">
        <is>
          <t>7896438200906</t>
        </is>
      </c>
      <c r="D134" s="7" t="inlineStr">
        <is>
          <t>CREATINA PROBIOTICA 300G</t>
        </is>
      </c>
      <c r="E134" s="13" t="n">
        <v>1</v>
      </c>
      <c r="F134" s="13" t="n">
        <v>4</v>
      </c>
      <c r="G134" s="13" t="n">
        <v>4</v>
      </c>
      <c r="H134" s="8" t="n">
        <v>40.37</v>
      </c>
      <c r="I134" s="8">
        <f>G134*H134</f>
        <v/>
      </c>
      <c r="J134" s="8">
        <f>H134/E134</f>
        <v/>
      </c>
      <c r="K134" s="8" t="n">
        <v>40.37</v>
      </c>
      <c r="L134" s="8" t="n">
        <v>40.37</v>
      </c>
      <c r="M134" s="8" t="n">
        <v>40.37</v>
      </c>
      <c r="N134" s="14">
        <f>J134/M134-1</f>
        <v/>
      </c>
      <c r="O134" s="14">
        <f>J134/K134-1</f>
        <v/>
      </c>
      <c r="P134" s="7" t="inlineStr">
        <is>
          <t>OK (≤ menor hist.)</t>
        </is>
      </c>
      <c r="Q134" s="7" t="inlineStr"/>
    </row>
    <row r="135">
      <c r="A135" s="7" t="n">
        <v>552281</v>
      </c>
      <c r="B135" s="7" t="inlineStr"/>
      <c r="C135" s="12" t="inlineStr">
        <is>
          <t>7896000716866</t>
        </is>
      </c>
      <c r="D135" s="7" t="inlineStr">
        <is>
          <t>CREME DE PENTEAR NIELY OLEO DE ARGAN 250G</t>
        </is>
      </c>
      <c r="E135" s="13" t="n">
        <v>1</v>
      </c>
      <c r="F135" s="13" t="n">
        <v>1</v>
      </c>
      <c r="G135" s="13" t="n">
        <v>1</v>
      </c>
      <c r="H135" s="8" t="n">
        <v>8.08</v>
      </c>
      <c r="I135" s="8">
        <f>G135*H135</f>
        <v/>
      </c>
      <c r="J135" s="8">
        <f>H135/E135</f>
        <v/>
      </c>
      <c r="K135" s="8" t="n">
        <v>6.82</v>
      </c>
      <c r="L135" s="8" t="n">
        <v>6.82</v>
      </c>
      <c r="M135" s="8" t="n">
        <v>6.82</v>
      </c>
      <c r="N135" s="14">
        <f>J135/M135-1</f>
        <v/>
      </c>
      <c r="O135" s="14">
        <f>J135/K135-1</f>
        <v/>
      </c>
      <c r="P135" s="7" t="inlineStr">
        <is>
          <t>ACIMA +18.5%</t>
        </is>
      </c>
      <c r="Q135" s="7" t="inlineStr"/>
    </row>
    <row r="136">
      <c r="A136" s="7" t="n">
        <v>563481</v>
      </c>
      <c r="B136" s="7" t="inlineStr"/>
      <c r="C136" s="12" t="inlineStr">
        <is>
          <t>7891024030820</t>
        </is>
      </c>
      <c r="D136" s="7" t="inlineStr">
        <is>
          <t>CREME DENTAL COLGATE LUMINOUS WHITE - BRILLIANT 90G</t>
        </is>
      </c>
      <c r="E136" s="13" t="n">
        <v>1</v>
      </c>
      <c r="F136" s="13" t="n">
        <v>7</v>
      </c>
      <c r="G136" s="13" t="n">
        <v>7</v>
      </c>
      <c r="H136" s="8" t="n">
        <v>9.43</v>
      </c>
      <c r="I136" s="8">
        <f>G136*H136</f>
        <v/>
      </c>
      <c r="J136" s="8">
        <f>H136/E136</f>
        <v/>
      </c>
      <c r="K136" s="8" t="n">
        <v>6.7421</v>
      </c>
      <c r="L136" s="8" t="n">
        <v>5.5138</v>
      </c>
      <c r="M136" s="8" t="n">
        <v>6.332666666666666</v>
      </c>
      <c r="N136" s="14">
        <f>J136/M136-1</f>
        <v/>
      </c>
      <c r="O136" s="14">
        <f>J136/K136-1</f>
        <v/>
      </c>
      <c r="P136" s="7" t="inlineStr">
        <is>
          <t>ACIMA +39.9%</t>
        </is>
      </c>
      <c r="Q136" s="7" t="inlineStr"/>
    </row>
    <row r="137">
      <c r="A137" s="7" t="n">
        <v>536961</v>
      </c>
      <c r="B137" s="7" t="inlineStr"/>
      <c r="C137" s="12" t="inlineStr">
        <is>
          <t>7891150049895</t>
        </is>
      </c>
      <c r="D137" s="7" t="inlineStr">
        <is>
          <t>CREME DENTAL MENTA CLOSEUP TRIPLE CAIXA 70G</t>
        </is>
      </c>
      <c r="E137" s="13" t="n">
        <v>1</v>
      </c>
      <c r="F137" s="13" t="n">
        <v>7</v>
      </c>
      <c r="G137" s="13" t="n">
        <v>7</v>
      </c>
      <c r="H137" s="8" t="n">
        <v>2.57</v>
      </c>
      <c r="I137" s="8">
        <f>G137*H137</f>
        <v/>
      </c>
      <c r="J137" s="8">
        <f>H137/E137</f>
        <v/>
      </c>
      <c r="K137" s="8" t="n">
        <v>2.43</v>
      </c>
      <c r="L137" s="8" t="n">
        <v>2.43</v>
      </c>
      <c r="M137" s="8" t="n">
        <v>2.43</v>
      </c>
      <c r="N137" s="14">
        <f>J137/M137-1</f>
        <v/>
      </c>
      <c r="O137" s="14">
        <f>J137/K137-1</f>
        <v/>
      </c>
      <c r="P137" s="7" t="inlineStr">
        <is>
          <t>ACIMA +5.8%</t>
        </is>
      </c>
      <c r="Q137" s="7" t="inlineStr"/>
    </row>
    <row r="138">
      <c r="A138" s="7" t="n">
        <v>666311</v>
      </c>
      <c r="B138" s="7" t="inlineStr"/>
      <c r="C138" s="12" t="inlineStr">
        <is>
          <t>070341368732</t>
        </is>
      </c>
      <c r="D138" s="7" t="inlineStr">
        <is>
          <t>CREME HIDRATANTE 5% MANTEIGA DE KARITE + 5% GLICERINA + 2% NIACINAMIDA PRINCIPIA SKINCARE CH-01 COM</t>
        </is>
      </c>
      <c r="E138" s="13" t="n">
        <v>1</v>
      </c>
      <c r="F138" s="13" t="n">
        <v>1</v>
      </c>
      <c r="G138" s="13" t="n">
        <v>1</v>
      </c>
      <c r="H138" s="8" t="n">
        <v>32.51</v>
      </c>
      <c r="I138" s="8">
        <f>G138*H138</f>
        <v/>
      </c>
      <c r="J138" s="8">
        <f>H138/E138</f>
        <v/>
      </c>
      <c r="K138" s="8" t="n">
        <v>27.3</v>
      </c>
      <c r="L138" s="8" t="n">
        <v>27.3</v>
      </c>
      <c r="M138" s="8" t="n">
        <v>27.3</v>
      </c>
      <c r="N138" s="14">
        <f>J138/M138-1</f>
        <v/>
      </c>
      <c r="O138" s="14">
        <f>J138/K138-1</f>
        <v/>
      </c>
      <c r="P138" s="7" t="inlineStr">
        <is>
          <t>ACIMA +19.1%</t>
        </is>
      </c>
      <c r="Q138" s="7" t="inlineStr"/>
    </row>
    <row r="139">
      <c r="A139" s="7" t="n">
        <v>545601</v>
      </c>
      <c r="B139" s="7" t="inlineStr"/>
      <c r="C139" s="12" t="inlineStr">
        <is>
          <t>7896000722522</t>
        </is>
      </c>
      <c r="D139" s="7" t="inlineStr">
        <is>
          <t>CREME PARA PENTEAR OLEO DE COCO 280G</t>
        </is>
      </c>
      <c r="E139" s="13" t="n">
        <v>1</v>
      </c>
      <c r="F139" s="13" t="n">
        <v>1</v>
      </c>
      <c r="G139" s="13" t="n">
        <v>1</v>
      </c>
      <c r="H139" s="8" t="n">
        <v>8.08</v>
      </c>
      <c r="I139" s="8">
        <f>G139*H139</f>
        <v/>
      </c>
      <c r="J139" s="8">
        <f>H139/E139</f>
        <v/>
      </c>
      <c r="K139" s="8" t="n">
        <v>6.86</v>
      </c>
      <c r="L139" s="8" t="n">
        <v>6.86</v>
      </c>
      <c r="M139" s="8" t="n">
        <v>6.86</v>
      </c>
      <c r="N139" s="14">
        <f>J139/M139-1</f>
        <v/>
      </c>
      <c r="O139" s="14">
        <f>J139/K139-1</f>
        <v/>
      </c>
      <c r="P139" s="7" t="inlineStr">
        <is>
          <t>ACIMA +17.8%</t>
        </is>
      </c>
      <c r="Q139" s="7" t="inlineStr"/>
    </row>
    <row r="140">
      <c r="A140" s="7" t="n">
        <v>576541</v>
      </c>
      <c r="B140" s="7" t="inlineStr"/>
      <c r="C140" s="12" t="inlineStr">
        <is>
          <t>7891037144705</t>
        </is>
      </c>
      <c r="D140" s="7" t="inlineStr">
        <is>
          <t>CREME PARA PENTEAR SEDA CERAMIDAS 300ML</t>
        </is>
      </c>
      <c r="E140" s="13" t="n">
        <v>1</v>
      </c>
      <c r="F140" s="13" t="n">
        <v>4</v>
      </c>
      <c r="G140" s="13" t="n">
        <v>4</v>
      </c>
      <c r="H140" s="8" t="n">
        <v>9.65</v>
      </c>
      <c r="I140" s="8">
        <f>G140*H140</f>
        <v/>
      </c>
      <c r="J140" s="8">
        <f>H140/E140</f>
        <v/>
      </c>
      <c r="K140" s="8" t="n">
        <v>9.0733</v>
      </c>
      <c r="L140" s="8" t="n">
        <v>7.1017</v>
      </c>
      <c r="M140" s="8" t="n">
        <v>8.4161</v>
      </c>
      <c r="N140" s="14">
        <f>J140/M140-1</f>
        <v/>
      </c>
      <c r="O140" s="14">
        <f>J140/K140-1</f>
        <v/>
      </c>
      <c r="P140" s="7" t="inlineStr">
        <is>
          <t>ACIMA +6.4%</t>
        </is>
      </c>
      <c r="Q140" s="7" t="inlineStr"/>
    </row>
    <row r="141">
      <c r="A141" s="7" t="n">
        <v>630671</v>
      </c>
      <c r="B141" s="7" t="inlineStr"/>
      <c r="C141" s="12" t="inlineStr">
        <is>
          <t>7898108640746</t>
        </is>
      </c>
      <c r="D141" s="7" t="inlineStr">
        <is>
          <t>CURATIVO CICATRISAN KURA DODOI CX 20 UND</t>
        </is>
      </c>
      <c r="E141" s="13" t="n">
        <v>1</v>
      </c>
      <c r="F141" s="13" t="n">
        <v>4</v>
      </c>
      <c r="G141" s="13" t="n">
        <v>4</v>
      </c>
      <c r="H141" s="8" t="n">
        <v>5.016</v>
      </c>
      <c r="I141" s="8">
        <f>G141*H141</f>
        <v/>
      </c>
      <c r="J141" s="8">
        <f>H141/E141</f>
        <v/>
      </c>
      <c r="K141" s="8" t="n">
        <v>5.42</v>
      </c>
      <c r="L141" s="8" t="n">
        <v>5.42</v>
      </c>
      <c r="M141" s="8" t="n">
        <v>5.419999999999999</v>
      </c>
      <c r="N141" s="14">
        <f>J141/M141-1</f>
        <v/>
      </c>
      <c r="O141" s="14">
        <f>J141/K141-1</f>
        <v/>
      </c>
      <c r="P141" s="7" t="inlineStr">
        <is>
          <t>OK (≤ menor hist.)</t>
        </is>
      </c>
      <c r="Q141" s="7" t="inlineStr"/>
    </row>
    <row r="142">
      <c r="A142" s="7" t="n">
        <v>651551</v>
      </c>
      <c r="B142" s="7" t="inlineStr"/>
      <c r="C142" s="12" t="inlineStr">
        <is>
          <t>7891800644470</t>
        </is>
      </c>
      <c r="D142" s="7" t="inlineStr">
        <is>
          <t>CURATIVO CREMER EXTRA GRANDE 8UN   CREM %DN:9.00</t>
        </is>
      </c>
      <c r="E142" s="13" t="n">
        <v>1</v>
      </c>
      <c r="F142" s="13" t="n">
        <v>1</v>
      </c>
      <c r="G142" s="13" t="n">
        <v>1</v>
      </c>
      <c r="H142" s="8" t="n">
        <v>10.5536</v>
      </c>
      <c r="I142" s="8">
        <f>G142*H142</f>
        <v/>
      </c>
      <c r="J142" s="8">
        <f>H142/E142</f>
        <v/>
      </c>
      <c r="K142" s="8" t="n">
        <v>7.8306</v>
      </c>
      <c r="L142" s="8" t="n">
        <v>7.8306</v>
      </c>
      <c r="M142" s="8" t="n">
        <v>7.8306</v>
      </c>
      <c r="N142" s="14">
        <f>J142/M142-1</f>
        <v/>
      </c>
      <c r="O142" s="14">
        <f>J142/K142-1</f>
        <v/>
      </c>
      <c r="P142" s="7" t="inlineStr">
        <is>
          <t>ACIMA +34.8%</t>
        </is>
      </c>
      <c r="Q142" s="7" t="inlineStr"/>
    </row>
    <row r="143">
      <c r="A143" s="7" t="n">
        <v>833</v>
      </c>
      <c r="B143" s="7" t="inlineStr"/>
      <c r="C143" s="12" t="inlineStr">
        <is>
          <t>7891800540406</t>
        </is>
      </c>
      <c r="D143" s="7" t="inlineStr">
        <is>
          <t>CURATIVO CREMER MINIONS 10UN</t>
        </is>
      </c>
      <c r="E143" s="13" t="n">
        <v>1</v>
      </c>
      <c r="F143" s="13" t="n">
        <v>1</v>
      </c>
      <c r="G143" s="13" t="n">
        <v>1</v>
      </c>
      <c r="H143" s="8" t="n">
        <v>4.462</v>
      </c>
      <c r="I143" s="8">
        <f>G143*H143</f>
        <v/>
      </c>
      <c r="J143" s="8">
        <f>H143/E143</f>
        <v/>
      </c>
      <c r="K143" s="8" t="n">
        <v>4.59</v>
      </c>
      <c r="L143" s="8" t="n">
        <v>4.59</v>
      </c>
      <c r="M143" s="8" t="n">
        <v>4.59</v>
      </c>
      <c r="N143" s="14">
        <f>J143/M143-1</f>
        <v/>
      </c>
      <c r="O143" s="14">
        <f>J143/K143-1</f>
        <v/>
      </c>
      <c r="P143" s="7" t="inlineStr">
        <is>
          <t>OK (≤ menor hist.)</t>
        </is>
      </c>
      <c r="Q143" s="7" t="inlineStr"/>
    </row>
    <row r="144">
      <c r="A144" s="7" t="n">
        <v>631611</v>
      </c>
      <c r="B144" s="7" t="inlineStr"/>
      <c r="C144" s="12" t="inlineStr">
        <is>
          <t>7896544925496</t>
        </is>
      </c>
      <c r="D144" s="7" t="inlineStr">
        <is>
          <t>CURATIVO FLEXIVEL SHOW DA LUNA  C/10UN.</t>
        </is>
      </c>
      <c r="E144" s="13" t="n">
        <v>1</v>
      </c>
      <c r="F144" s="13" t="n">
        <v>7</v>
      </c>
      <c r="G144" s="13" t="n">
        <v>7</v>
      </c>
      <c r="H144" s="8" t="n">
        <v>3.06</v>
      </c>
      <c r="I144" s="8">
        <f>G144*H144</f>
        <v/>
      </c>
      <c r="J144" s="8">
        <f>H144/E144</f>
        <v/>
      </c>
      <c r="K144" s="8" t="n">
        <v>3.06</v>
      </c>
      <c r="L144" s="8" t="n">
        <v>3.06</v>
      </c>
      <c r="M144" s="8" t="n">
        <v>3.06</v>
      </c>
      <c r="N144" s="14">
        <f>J144/M144-1</f>
        <v/>
      </c>
      <c r="O144" s="14">
        <f>J144/K144-1</f>
        <v/>
      </c>
      <c r="P144" s="7" t="inlineStr">
        <is>
          <t>OK (≤ menor hist.)</t>
        </is>
      </c>
      <c r="Q144" s="7" t="inlineStr">
        <is>
          <t>estoque parcial (2 un)</t>
        </is>
      </c>
    </row>
    <row r="145">
      <c r="A145" s="7" t="n">
        <v>605211</v>
      </c>
      <c r="B145" s="7" t="inlineStr"/>
      <c r="C145" s="12" t="inlineStr">
        <is>
          <t>7896316101424</t>
        </is>
      </c>
      <c r="D145" s="7" t="inlineStr">
        <is>
          <t>CYCLOFEMINA 25MG+5MG/0,5ML SUS INJ 1 AMP X 0,5ML</t>
        </is>
      </c>
      <c r="E145" s="13" t="n">
        <v>1</v>
      </c>
      <c r="F145" s="13" t="n">
        <v>7</v>
      </c>
      <c r="G145" s="13" t="n">
        <v>7</v>
      </c>
      <c r="H145" s="8" t="n">
        <v>34.07</v>
      </c>
      <c r="I145" s="8">
        <f>G145*H145</f>
        <v/>
      </c>
      <c r="J145" s="8">
        <f>H145/E145</f>
        <v/>
      </c>
      <c r="K145" s="8" t="n">
        <v>27.9721</v>
      </c>
      <c r="L145" s="8" t="n">
        <v>27.9721</v>
      </c>
      <c r="M145" s="8" t="n">
        <v>27.9721</v>
      </c>
      <c r="N145" s="14">
        <f>J145/M145-1</f>
        <v/>
      </c>
      <c r="O145" s="14">
        <f>J145/K145-1</f>
        <v/>
      </c>
      <c r="P145" s="7" t="inlineStr">
        <is>
          <t>ACIMA +21.8%</t>
        </is>
      </c>
      <c r="Q145" s="7" t="inlineStr"/>
    </row>
    <row r="146">
      <c r="A146" s="7" t="n">
        <v>238741</v>
      </c>
      <c r="B146" s="7" t="inlineStr"/>
      <c r="C146" s="12" t="inlineStr">
        <is>
          <t>7894916509831</t>
        </is>
      </c>
      <c r="D146" s="7" t="inlineStr">
        <is>
          <t>DALYNE 3+0,03MG CAIXA C/ 3 CARTELAS</t>
        </is>
      </c>
      <c r="E146" s="13" t="n">
        <v>1</v>
      </c>
      <c r="F146" s="13" t="n">
        <v>1</v>
      </c>
      <c r="G146" s="13" t="n">
        <v>1</v>
      </c>
      <c r="H146" s="8" t="n">
        <v>93.25875000000001</v>
      </c>
      <c r="I146" s="8">
        <f>G146*H146</f>
        <v/>
      </c>
      <c r="J146" s="8">
        <f>H146/E146</f>
        <v/>
      </c>
      <c r="K146" s="8" t="n">
        <v>31.4767</v>
      </c>
      <c r="L146" s="8" t="n">
        <v>31.4767</v>
      </c>
      <c r="M146" s="8" t="n">
        <v>31.4767</v>
      </c>
      <c r="N146" s="14">
        <f>J146/M146-1</f>
        <v/>
      </c>
      <c r="O146" s="14">
        <f>J146/K146-1</f>
        <v/>
      </c>
      <c r="P146" s="7" t="inlineStr">
        <is>
          <t>ACIMA +196.3%</t>
        </is>
      </c>
      <c r="Q146" s="7" t="inlineStr">
        <is>
          <t>conferir emb.</t>
        </is>
      </c>
    </row>
    <row r="147">
      <c r="A147" s="7" t="n">
        <v>671261</v>
      </c>
      <c r="B147" s="7" t="inlineStr"/>
      <c r="C147" s="12" t="inlineStr">
        <is>
          <t>5000456096652</t>
        </is>
      </c>
      <c r="D147" s="7" t="inlineStr">
        <is>
          <t>DAPAGLIFLOZINA 10MG C/30 CPR MED-GENERICO</t>
        </is>
      </c>
      <c r="E147" s="13" t="n">
        <v>1</v>
      </c>
      <c r="F147" s="13" t="n">
        <v>1</v>
      </c>
      <c r="G147" s="13" t="n">
        <v>1</v>
      </c>
      <c r="H147" s="8" t="n">
        <v>114.2658</v>
      </c>
      <c r="I147" s="8">
        <f>G147*H147</f>
        <v/>
      </c>
      <c r="J147" s="8">
        <f>H147/E147</f>
        <v/>
      </c>
      <c r="K147" s="8" t="n">
        <v>59.9729</v>
      </c>
      <c r="L147" s="8" t="n">
        <v>57.5128</v>
      </c>
      <c r="M147" s="8" t="n">
        <v>59.15286666666666</v>
      </c>
      <c r="N147" s="14">
        <f>J147/M147-1</f>
        <v/>
      </c>
      <c r="O147" s="14">
        <f>J147/K147-1</f>
        <v/>
      </c>
      <c r="P147" s="7" t="inlineStr">
        <is>
          <t>ACIMA +90.5%</t>
        </is>
      </c>
      <c r="Q147" s="7" t="inlineStr"/>
    </row>
    <row r="148">
      <c r="A148" s="7" t="n">
        <v>534281</v>
      </c>
      <c r="B148" s="7" t="inlineStr"/>
      <c r="C148" s="12" t="inlineStr">
        <is>
          <t>7891024182475</t>
        </is>
      </c>
      <c r="D148" s="7" t="inlineStr">
        <is>
          <t>DARLING SHAMPOO 2 EM 1 350ML</t>
        </is>
      </c>
      <c r="E148" s="13" t="n">
        <v>1</v>
      </c>
      <c r="F148" s="13" t="n">
        <v>5</v>
      </c>
      <c r="G148" s="13" t="n">
        <v>5</v>
      </c>
      <c r="H148" s="8" t="n">
        <v>8.449999999999999</v>
      </c>
      <c r="I148" s="8">
        <f>G148*H148</f>
        <v/>
      </c>
      <c r="J148" s="8">
        <f>H148/E148</f>
        <v/>
      </c>
      <c r="K148" s="8" t="n">
        <v>6.46</v>
      </c>
      <c r="L148" s="8" t="n">
        <v>6.46</v>
      </c>
      <c r="M148" s="8" t="n">
        <v>6.46</v>
      </c>
      <c r="N148" s="14">
        <f>J148/M148-1</f>
        <v/>
      </c>
      <c r="O148" s="14">
        <f>J148/K148-1</f>
        <v/>
      </c>
      <c r="P148" s="7" t="inlineStr">
        <is>
          <t>ACIMA +30.8%</t>
        </is>
      </c>
      <c r="Q148" s="7" t="inlineStr"/>
    </row>
    <row r="149">
      <c r="A149" s="7" t="n">
        <v>646131</v>
      </c>
      <c r="B149" s="7" t="inlineStr"/>
      <c r="C149" s="12" t="inlineStr">
        <is>
          <t>7891150096790</t>
        </is>
      </c>
      <c r="D149" s="7" t="inlineStr">
        <is>
          <t>DC DOVE 50G DESODORANTE  SERUM PREVINE IRRITACAO M3</t>
        </is>
      </c>
      <c r="E149" s="13" t="n">
        <v>1</v>
      </c>
      <c r="F149" s="13" t="n">
        <v>2</v>
      </c>
      <c r="G149" s="13" t="n">
        <v>2</v>
      </c>
      <c r="H149" s="8" t="n">
        <v>13.81</v>
      </c>
      <c r="I149" s="8">
        <f>G149*H149</f>
        <v/>
      </c>
      <c r="J149" s="8">
        <f>H149/E149</f>
        <v/>
      </c>
      <c r="K149" s="8" t="n">
        <v>10.6217</v>
      </c>
      <c r="L149" s="8" t="n">
        <v>10.6217</v>
      </c>
      <c r="M149" s="8" t="n">
        <v>10.6217</v>
      </c>
      <c r="N149" s="14">
        <f>J149/M149-1</f>
        <v/>
      </c>
      <c r="O149" s="14">
        <f>J149/K149-1</f>
        <v/>
      </c>
      <c r="P149" s="7" t="inlineStr">
        <is>
          <t>ACIMA +30.0%</t>
        </is>
      </c>
      <c r="Q149" s="7" t="inlineStr"/>
    </row>
    <row r="150">
      <c r="A150" s="7" t="n">
        <v>18903</v>
      </c>
      <c r="B150" s="7" t="inlineStr"/>
      <c r="C150" s="12" t="inlineStr">
        <is>
          <t>7896658049620</t>
        </is>
      </c>
      <c r="D150" s="7" t="inlineStr">
        <is>
          <t>DECONTOSSE 40MG/ML XPE 100ML+CP</t>
        </is>
      </c>
      <c r="E150" s="13" t="n">
        <v>1</v>
      </c>
      <c r="F150" s="13" t="n">
        <v>4</v>
      </c>
      <c r="G150" s="13" t="n">
        <v>4</v>
      </c>
      <c r="H150" s="8" t="n">
        <v>23.128</v>
      </c>
      <c r="I150" s="8">
        <f>G150*H150</f>
        <v/>
      </c>
      <c r="J150" s="8">
        <f>H150/E150</f>
        <v/>
      </c>
      <c r="K150" s="8" t="n">
        <v>23.3</v>
      </c>
      <c r="L150" s="8" t="n">
        <v>17.7</v>
      </c>
      <c r="M150" s="8" t="n">
        <v>19.56666666666667</v>
      </c>
      <c r="N150" s="14">
        <f>J150/M150-1</f>
        <v/>
      </c>
      <c r="O150" s="14">
        <f>J150/K150-1</f>
        <v/>
      </c>
      <c r="P150" s="7" t="inlineStr">
        <is>
          <t>OK (≤ últ. compra)</t>
        </is>
      </c>
      <c r="Q150" s="7" t="inlineStr"/>
    </row>
    <row r="151">
      <c r="A151" s="7" t="n">
        <v>637701</v>
      </c>
      <c r="B151" s="7" t="inlineStr"/>
      <c r="C151" s="12" t="inlineStr">
        <is>
          <t>7891150081215</t>
        </is>
      </c>
      <c r="D151" s="7" t="inlineStr">
        <is>
          <t>DEO DOVE AER AP MEN CUID TTAL 250ML</t>
        </is>
      </c>
      <c r="E151" s="13" t="n">
        <v>1</v>
      </c>
      <c r="F151" s="13" t="n">
        <v>5</v>
      </c>
      <c r="G151" s="13" t="n">
        <v>5</v>
      </c>
      <c r="H151" s="8" t="n">
        <v>20.92</v>
      </c>
      <c r="I151" s="8">
        <f>G151*H151</f>
        <v/>
      </c>
      <c r="J151" s="8">
        <f>H151/E151</f>
        <v/>
      </c>
      <c r="K151" s="8" t="n">
        <v>19.35</v>
      </c>
      <c r="L151" s="8" t="n">
        <v>16.3642</v>
      </c>
      <c r="M151" s="8" t="n">
        <v>18.35473333333333</v>
      </c>
      <c r="N151" s="14">
        <f>J151/M151-1</f>
        <v/>
      </c>
      <c r="O151" s="14">
        <f>J151/K151-1</f>
        <v/>
      </c>
      <c r="P151" s="7" t="inlineStr">
        <is>
          <t>ACIMA +8.1%</t>
        </is>
      </c>
      <c r="Q151" s="7" t="inlineStr"/>
    </row>
    <row r="152">
      <c r="A152" s="7" t="n">
        <v>657911</v>
      </c>
      <c r="B152" s="7" t="inlineStr"/>
      <c r="C152" s="12" t="inlineStr">
        <is>
          <t>7891150094741</t>
        </is>
      </c>
      <c r="D152" s="7" t="inlineStr">
        <is>
          <t>DEO DOVE CR SER REPARACAO DIARIA 50G</t>
        </is>
      </c>
      <c r="E152" s="13" t="n">
        <v>1</v>
      </c>
      <c r="F152" s="13" t="n">
        <v>14</v>
      </c>
      <c r="G152" s="13" t="n">
        <v>14</v>
      </c>
      <c r="H152" s="8" t="n">
        <v>13.18</v>
      </c>
      <c r="I152" s="8">
        <f>G152*H152</f>
        <v/>
      </c>
      <c r="J152" s="8">
        <f>H152/E152</f>
        <v/>
      </c>
      <c r="K152" s="8" t="n">
        <v>13.7</v>
      </c>
      <c r="L152" s="8" t="n">
        <v>11.82</v>
      </c>
      <c r="M152" s="8" t="n">
        <v>13.07333333333333</v>
      </c>
      <c r="N152" s="14">
        <f>J152/M152-1</f>
        <v/>
      </c>
      <c r="O152" s="14">
        <f>J152/K152-1</f>
        <v/>
      </c>
      <c r="P152" s="7" t="inlineStr">
        <is>
          <t>OK (≤ últ. compra)</t>
        </is>
      </c>
      <c r="Q152" s="7" t="inlineStr"/>
    </row>
    <row r="153">
      <c r="A153" s="7" t="n">
        <v>685201</v>
      </c>
      <c r="B153" s="7" t="inlineStr"/>
      <c r="C153" s="12" t="inlineStr">
        <is>
          <t>4006000045498</t>
        </is>
      </c>
      <c r="D153" s="7" t="inlineStr">
        <is>
          <t>DEO NIVEA BARRA CLIN PROT FM 54G-DEMAIS PROD</t>
        </is>
      </c>
      <c r="E153" s="13" t="n">
        <v>1</v>
      </c>
      <c r="F153" s="13" t="n">
        <v>5</v>
      </c>
      <c r="G153" s="13" t="n">
        <v>5</v>
      </c>
      <c r="H153" s="8" t="n">
        <v>23.4</v>
      </c>
      <c r="I153" s="8">
        <f>G153*H153</f>
        <v/>
      </c>
      <c r="J153" s="8">
        <f>H153/E153</f>
        <v/>
      </c>
      <c r="K153" s="8" t="n">
        <v>19.41</v>
      </c>
      <c r="L153" s="8" t="n">
        <v>19.41</v>
      </c>
      <c r="M153" s="8" t="n">
        <v>19.41</v>
      </c>
      <c r="N153" s="14">
        <f>J153/M153-1</f>
        <v/>
      </c>
      <c r="O153" s="14">
        <f>J153/K153-1</f>
        <v/>
      </c>
      <c r="P153" s="7" t="inlineStr">
        <is>
          <t>ACIMA +20.6%</t>
        </is>
      </c>
      <c r="Q153" s="7" t="inlineStr"/>
    </row>
    <row r="154">
      <c r="A154" s="7" t="n">
        <v>645711</v>
      </c>
      <c r="B154" s="7" t="inlineStr"/>
      <c r="C154" s="12" t="inlineStr">
        <is>
          <t>75076818</t>
        </is>
      </c>
      <c r="D154" s="7" t="inlineStr">
        <is>
          <t>DEO REX WOMEN CLINIC CLASSIC CR 96H 58G</t>
        </is>
      </c>
      <c r="E154" s="13" t="n">
        <v>1</v>
      </c>
      <c r="F154" s="13" t="n">
        <v>1</v>
      </c>
      <c r="G154" s="13" t="n">
        <v>1</v>
      </c>
      <c r="H154" s="8" t="n">
        <v>21.67</v>
      </c>
      <c r="I154" s="8">
        <f>G154*H154</f>
        <v/>
      </c>
      <c r="J154" s="8">
        <f>H154/E154</f>
        <v/>
      </c>
      <c r="K154" s="8" t="n">
        <v>17.2642</v>
      </c>
      <c r="L154" s="8" t="n">
        <v>17.2642</v>
      </c>
      <c r="M154" s="8" t="n">
        <v>17.2642</v>
      </c>
      <c r="N154" s="14">
        <f>J154/M154-1</f>
        <v/>
      </c>
      <c r="O154" s="14">
        <f>J154/K154-1</f>
        <v/>
      </c>
      <c r="P154" s="7" t="inlineStr">
        <is>
          <t>ACIMA +25.5%</t>
        </is>
      </c>
      <c r="Q154" s="7" t="inlineStr"/>
    </row>
    <row r="155">
      <c r="A155" s="7" t="n">
        <v>645721</v>
      </c>
      <c r="B155" s="7" t="inlineStr"/>
      <c r="C155" s="12" t="inlineStr">
        <is>
          <t>75076825</t>
        </is>
      </c>
      <c r="D155" s="7" t="inlineStr">
        <is>
          <t>DEO REXONA MEN CLINIC CLEAN CR 96H 58G</t>
        </is>
      </c>
      <c r="E155" s="13" t="n">
        <v>1</v>
      </c>
      <c r="F155" s="13" t="n">
        <v>1</v>
      </c>
      <c r="G155" s="13" t="n">
        <v>1</v>
      </c>
      <c r="H155" s="8" t="n">
        <v>21.67</v>
      </c>
      <c r="I155" s="8">
        <f>G155*H155</f>
        <v/>
      </c>
      <c r="J155" s="8">
        <f>H155/E155</f>
        <v/>
      </c>
      <c r="K155" s="8" t="n">
        <v>16.6892</v>
      </c>
      <c r="L155" s="8" t="n">
        <v>16.6892</v>
      </c>
      <c r="M155" s="8" t="n">
        <v>16.6892</v>
      </c>
      <c r="N155" s="14">
        <f>J155/M155-1</f>
        <v/>
      </c>
      <c r="O155" s="14">
        <f>J155/K155-1</f>
        <v/>
      </c>
      <c r="P155" s="7" t="inlineStr">
        <is>
          <t>ACIMA +29.8%</t>
        </is>
      </c>
      <c r="Q155" s="7" t="inlineStr"/>
    </row>
    <row r="156">
      <c r="A156" s="7" t="n">
        <v>663011</v>
      </c>
      <c r="B156" s="7" t="inlineStr"/>
      <c r="C156" s="12" t="inlineStr">
        <is>
          <t>78926523</t>
        </is>
      </c>
      <c r="D156" s="7" t="inlineStr">
        <is>
          <t>DEO REXONA ROLLON ACTIVE EMOTION 50ML   UNIL %DN:17.00</t>
        </is>
      </c>
      <c r="E156" s="13" t="n">
        <v>1</v>
      </c>
      <c r="F156" s="13" t="n">
        <v>1</v>
      </c>
      <c r="G156" s="13" t="n">
        <v>1</v>
      </c>
      <c r="H156" s="8" t="n">
        <v>8.27</v>
      </c>
      <c r="I156" s="8">
        <f>G156*H156</f>
        <v/>
      </c>
      <c r="J156" s="8">
        <f>H156/E156</f>
        <v/>
      </c>
      <c r="K156" s="8" t="n">
        <v>6.3825</v>
      </c>
      <c r="L156" s="8" t="n">
        <v>6.3825</v>
      </c>
      <c r="M156" s="8" t="n">
        <v>6.3825</v>
      </c>
      <c r="N156" s="14">
        <f>J156/M156-1</f>
        <v/>
      </c>
      <c r="O156" s="14">
        <f>J156/K156-1</f>
        <v/>
      </c>
      <c r="P156" s="7" t="inlineStr">
        <is>
          <t>ACIMA +29.6%</t>
        </is>
      </c>
      <c r="Q156" s="7" t="inlineStr"/>
    </row>
    <row r="157">
      <c r="A157" s="7" t="n">
        <v>649391</v>
      </c>
      <c r="B157" s="7" t="inlineStr"/>
      <c r="C157" s="12" t="inlineStr">
        <is>
          <t>78924338</t>
        </is>
      </c>
      <c r="D157" s="7" t="inlineStr">
        <is>
          <t>DEO REXONA ROLLON POWDER 50ML   UNIL %DN:2.00</t>
        </is>
      </c>
      <c r="E157" s="13" t="n">
        <v>1</v>
      </c>
      <c r="F157" s="13" t="n">
        <v>4</v>
      </c>
      <c r="G157" s="13" t="n">
        <v>4</v>
      </c>
      <c r="H157" s="8" t="n">
        <v>8.27</v>
      </c>
      <c r="I157" s="8">
        <f>G157*H157</f>
        <v/>
      </c>
      <c r="J157" s="8">
        <f>H157/E157</f>
        <v/>
      </c>
      <c r="K157" s="8" t="n">
        <v>6.3825</v>
      </c>
      <c r="L157" s="8" t="n">
        <v>6.3825</v>
      </c>
      <c r="M157" s="8" t="n">
        <v>6.3825</v>
      </c>
      <c r="N157" s="14">
        <f>J157/M157-1</f>
        <v/>
      </c>
      <c r="O157" s="14">
        <f>J157/K157-1</f>
        <v/>
      </c>
      <c r="P157" s="7" t="inlineStr">
        <is>
          <t>ACIMA +29.6%</t>
        </is>
      </c>
      <c r="Q157" s="7" t="inlineStr"/>
    </row>
    <row r="158">
      <c r="A158" s="7" t="n">
        <v>669911</v>
      </c>
      <c r="B158" s="7" t="inlineStr"/>
      <c r="C158" s="12" t="inlineStr">
        <is>
          <t>7891150100503</t>
        </is>
      </c>
      <c r="D158" s="7" t="inlineStr">
        <is>
          <t>DEO REXONA WOMEN AER INV 150ML   UNIL %DN:12.00</t>
        </is>
      </c>
      <c r="E158" s="13" t="n">
        <v>1</v>
      </c>
      <c r="F158" s="13" t="n">
        <v>2</v>
      </c>
      <c r="G158" s="13" t="n">
        <v>2</v>
      </c>
      <c r="H158" s="8" t="n">
        <v>15.18</v>
      </c>
      <c r="I158" s="8">
        <f>G158*H158</f>
        <v/>
      </c>
      <c r="J158" s="8">
        <f>H158/E158</f>
        <v/>
      </c>
      <c r="K158" s="8" t="n">
        <v>16.62</v>
      </c>
      <c r="L158" s="8" t="n">
        <v>13.53</v>
      </c>
      <c r="M158" s="8" t="n">
        <v>15.59</v>
      </c>
      <c r="N158" s="14">
        <f>J158/M158-1</f>
        <v/>
      </c>
      <c r="O158" s="14">
        <f>J158/K158-1</f>
        <v/>
      </c>
      <c r="P158" s="7" t="inlineStr">
        <is>
          <t>OK (≤ últ. compra)</t>
        </is>
      </c>
      <c r="Q158" s="7" t="inlineStr"/>
    </row>
    <row r="159">
      <c r="A159" s="7" t="n">
        <v>6581</v>
      </c>
      <c r="B159" s="7" t="inlineStr"/>
      <c r="C159" s="12" t="inlineStr">
        <is>
          <t>7891268101799</t>
        </is>
      </c>
      <c r="D159" s="7" t="inlineStr">
        <is>
          <t>DEPO PROVERA 150MG SUS INJ 1FA X 1ML</t>
        </is>
      </c>
      <c r="E159" s="13" t="n">
        <v>1</v>
      </c>
      <c r="F159" s="13" t="n">
        <v>4</v>
      </c>
      <c r="G159" s="13" t="n">
        <v>4</v>
      </c>
      <c r="H159" s="8" t="n">
        <v>35.4825</v>
      </c>
      <c r="I159" s="8">
        <f>G159*H159</f>
        <v/>
      </c>
      <c r="J159" s="8">
        <f>H159/E159</f>
        <v/>
      </c>
      <c r="K159" s="8" t="n">
        <v>36.87</v>
      </c>
      <c r="L159" s="8" t="n">
        <v>33.56</v>
      </c>
      <c r="M159" s="8" t="n">
        <v>34.68</v>
      </c>
      <c r="N159" s="14">
        <f>J159/M159-1</f>
        <v/>
      </c>
      <c r="O159" s="14">
        <f>J159/K159-1</f>
        <v/>
      </c>
      <c r="P159" s="7" t="inlineStr">
        <is>
          <t>OK (≤ últ. compra)</t>
        </is>
      </c>
      <c r="Q159" s="7" t="inlineStr"/>
    </row>
    <row r="160">
      <c r="A160" s="7" t="n">
        <v>6601</v>
      </c>
      <c r="B160" s="7" t="inlineStr"/>
      <c r="C160" s="12" t="inlineStr">
        <is>
          <t>7891268101782</t>
        </is>
      </c>
      <c r="D160" s="7" t="inlineStr">
        <is>
          <t>DEPO PROVERA 150MG SUS INJ 1FA X 1ML+1SER PREENCH</t>
        </is>
      </c>
      <c r="E160" s="13" t="n">
        <v>1</v>
      </c>
      <c r="F160" s="13" t="n">
        <v>1</v>
      </c>
      <c r="G160" s="13" t="n">
        <v>1</v>
      </c>
      <c r="H160" s="8" t="n">
        <v>45.98</v>
      </c>
      <c r="I160" s="8">
        <f>G160*H160</f>
        <v/>
      </c>
      <c r="J160" s="8">
        <f>H160/E160</f>
        <v/>
      </c>
      <c r="K160" s="8" t="n">
        <v>46.77</v>
      </c>
      <c r="L160" s="8" t="n">
        <v>41.6</v>
      </c>
      <c r="M160" s="8" t="n">
        <v>43.87333333333333</v>
      </c>
      <c r="N160" s="14">
        <f>J160/M160-1</f>
        <v/>
      </c>
      <c r="O160" s="14">
        <f>J160/K160-1</f>
        <v/>
      </c>
      <c r="P160" s="7" t="inlineStr">
        <is>
          <t>OK (≤ últ. compra)</t>
        </is>
      </c>
      <c r="Q160" s="7" t="inlineStr"/>
    </row>
    <row r="161">
      <c r="A161" s="7" t="n">
        <v>671891</v>
      </c>
      <c r="B161" s="7" t="inlineStr"/>
      <c r="C161" s="12" t="inlineStr">
        <is>
          <t>7896004790619</t>
        </is>
      </c>
      <c r="D161" s="7" t="inlineStr">
        <is>
          <t>DERMACYD DELICATA SAB LIQ 200ML-DEMAIS PROD</t>
        </is>
      </c>
      <c r="E161" s="13" t="n">
        <v>1</v>
      </c>
      <c r="F161" s="13" t="n">
        <v>2</v>
      </c>
      <c r="G161" s="13" t="n">
        <v>2</v>
      </c>
      <c r="H161" s="8" t="n">
        <v>20.02</v>
      </c>
      <c r="I161" s="8">
        <f>G161*H161</f>
        <v/>
      </c>
      <c r="J161" s="8">
        <f>H161/E161</f>
        <v/>
      </c>
      <c r="K161" s="8" t="n">
        <v>18.02</v>
      </c>
      <c r="L161" s="8" t="n">
        <v>18.02</v>
      </c>
      <c r="M161" s="8" t="n">
        <v>18.02</v>
      </c>
      <c r="N161" s="14">
        <f>J161/M161-1</f>
        <v/>
      </c>
      <c r="O161" s="14">
        <f>J161/K161-1</f>
        <v/>
      </c>
      <c r="P161" s="7" t="inlineStr">
        <is>
          <t>ACIMA +11.1%</t>
        </is>
      </c>
      <c r="Q161" s="7" t="inlineStr"/>
    </row>
    <row r="162">
      <c r="A162" s="7" t="n">
        <v>645431</v>
      </c>
      <c r="B162" s="7" t="inlineStr"/>
      <c r="C162" s="12" t="inlineStr">
        <is>
          <t>7891058018238</t>
        </is>
      </c>
      <c r="D162" s="7" t="inlineStr">
        <is>
          <t>DERMACYD FEM 200+100ML</t>
        </is>
      </c>
      <c r="E162" s="13" t="n">
        <v>1</v>
      </c>
      <c r="F162" s="13" t="n">
        <v>2</v>
      </c>
      <c r="G162" s="13" t="n">
        <v>2</v>
      </c>
      <c r="H162" s="8" t="n">
        <v>25.11</v>
      </c>
      <c r="I162" s="8">
        <f>G162*H162</f>
        <v/>
      </c>
      <c r="J162" s="8">
        <f>H162/E162</f>
        <v/>
      </c>
      <c r="K162" s="8" t="n">
        <v>25.16</v>
      </c>
      <c r="L162" s="8" t="n">
        <v>25.06</v>
      </c>
      <c r="M162" s="8" t="n">
        <v>25.12666666666667</v>
      </c>
      <c r="N162" s="14">
        <f>J162/M162-1</f>
        <v/>
      </c>
      <c r="O162" s="14">
        <f>J162/K162-1</f>
        <v/>
      </c>
      <c r="P162" s="7" t="inlineStr">
        <is>
          <t>OK (≤ últ. compra)</t>
        </is>
      </c>
      <c r="Q162" s="7" t="inlineStr">
        <is>
          <t>estoque parcial (1 un)</t>
        </is>
      </c>
    </row>
    <row r="163">
      <c r="A163" s="7" t="n">
        <v>663831</v>
      </c>
      <c r="B163" s="7" t="inlineStr"/>
      <c r="C163" s="12" t="inlineStr">
        <is>
          <t>7896004790596</t>
        </is>
      </c>
      <c r="D163" s="7" t="inlineStr">
        <is>
          <t>DERMACYD SAB INF 200ML-DEMAIS PROD</t>
        </is>
      </c>
      <c r="E163" s="13" t="n">
        <v>1</v>
      </c>
      <c r="F163" s="13" t="n">
        <v>3</v>
      </c>
      <c r="G163" s="13" t="n">
        <v>3</v>
      </c>
      <c r="H163" s="8" t="n">
        <v>20.02</v>
      </c>
      <c r="I163" s="8">
        <f>G163*H163</f>
        <v/>
      </c>
      <c r="J163" s="8">
        <f>H163/E163</f>
        <v/>
      </c>
      <c r="K163" s="8" t="n">
        <v>17.14</v>
      </c>
      <c r="L163" s="8" t="n">
        <v>17.14</v>
      </c>
      <c r="M163" s="8" t="n">
        <v>17.14</v>
      </c>
      <c r="N163" s="14">
        <f>J163/M163-1</f>
        <v/>
      </c>
      <c r="O163" s="14">
        <f>J163/K163-1</f>
        <v/>
      </c>
      <c r="P163" s="7" t="inlineStr">
        <is>
          <t>ACIMA +16.8%</t>
        </is>
      </c>
      <c r="Q163" s="7" t="inlineStr"/>
    </row>
    <row r="164">
      <c r="A164" s="7" t="n">
        <v>603851</v>
      </c>
      <c r="B164" s="7" t="inlineStr"/>
      <c r="C164" s="12" t="inlineStr">
        <is>
          <t>7891058003661</t>
        </is>
      </c>
      <c r="D164" s="7" t="inlineStr">
        <is>
          <t>DERMACYD SAB LIQ BREE 200ML</t>
        </is>
      </c>
      <c r="E164" s="13" t="n">
        <v>1</v>
      </c>
      <c r="F164" s="13" t="n">
        <v>4</v>
      </c>
      <c r="G164" s="13" t="n">
        <v>4</v>
      </c>
      <c r="H164" s="8" t="n">
        <v>20.02</v>
      </c>
      <c r="I164" s="8">
        <f>G164*H164</f>
        <v/>
      </c>
      <c r="J164" s="8">
        <f>H164/E164</f>
        <v/>
      </c>
      <c r="K164" s="8" t="n">
        <v>18.92</v>
      </c>
      <c r="L164" s="8" t="n">
        <v>17.14</v>
      </c>
      <c r="M164" s="8" t="n">
        <v>18.32666666666667</v>
      </c>
      <c r="N164" s="14">
        <f>J164/M164-1</f>
        <v/>
      </c>
      <c r="O164" s="14">
        <f>J164/K164-1</f>
        <v/>
      </c>
      <c r="P164" s="7" t="inlineStr">
        <is>
          <t>ACIMA +5.8%</t>
        </is>
      </c>
      <c r="Q164" s="7" t="inlineStr"/>
    </row>
    <row r="165">
      <c r="A165" s="7" t="n">
        <v>601601</v>
      </c>
      <c r="B165" s="7" t="inlineStr"/>
      <c r="C165" s="12" t="inlineStr">
        <is>
          <t>7897947601437</t>
        </is>
      </c>
      <c r="D165" s="7" t="inlineStr">
        <is>
          <t>DERMAFEME CALM SAB FR 100ML</t>
        </is>
      </c>
      <c r="E165" s="13" t="n">
        <v>1</v>
      </c>
      <c r="F165" s="13" t="n">
        <v>1</v>
      </c>
      <c r="G165" s="13" t="n">
        <v>1</v>
      </c>
      <c r="H165" s="8" t="n">
        <v>26.67</v>
      </c>
      <c r="I165" s="8">
        <f>G165*H165</f>
        <v/>
      </c>
      <c r="J165" s="8">
        <f>H165/E165</f>
        <v/>
      </c>
      <c r="K165" s="8" t="n">
        <v>8.220000000000001</v>
      </c>
      <c r="L165" s="8" t="n">
        <v>8.220000000000001</v>
      </c>
      <c r="M165" s="8" t="n">
        <v>8.220000000000001</v>
      </c>
      <c r="N165" s="14">
        <f>J165/M165-1</f>
        <v/>
      </c>
      <c r="O165" s="14">
        <f>J165/K165-1</f>
        <v/>
      </c>
      <c r="P165" s="7" t="inlineStr">
        <is>
          <t>ACIMA +224.5%</t>
        </is>
      </c>
      <c r="Q165" s="7" t="inlineStr">
        <is>
          <t>conferir emb.</t>
        </is>
      </c>
    </row>
    <row r="166">
      <c r="A166" s="7" t="n">
        <v>640171</v>
      </c>
      <c r="B166" s="7" t="inlineStr"/>
      <c r="C166" s="12" t="inlineStr">
        <is>
          <t>7897947617568</t>
        </is>
      </c>
      <c r="D166" s="7" t="inlineStr">
        <is>
          <t>DERMAFEME PREBIOTICO SAB INT FR 100 ML</t>
        </is>
      </c>
      <c r="E166" s="13" t="n">
        <v>1</v>
      </c>
      <c r="F166" s="13" t="n">
        <v>1</v>
      </c>
      <c r="G166" s="13" t="n">
        <v>1</v>
      </c>
      <c r="H166" s="8" t="n">
        <v>25.63</v>
      </c>
      <c r="I166" s="8">
        <f>G166*H166</f>
        <v/>
      </c>
      <c r="J166" s="8">
        <f>H166/E166</f>
        <v/>
      </c>
      <c r="K166" s="8" t="n">
        <v>8.215</v>
      </c>
      <c r="L166" s="8" t="n">
        <v>8.215</v>
      </c>
      <c r="M166" s="8" t="n">
        <v>8.215</v>
      </c>
      <c r="N166" s="14">
        <f>J166/M166-1</f>
        <v/>
      </c>
      <c r="O166" s="14">
        <f>J166/K166-1</f>
        <v/>
      </c>
      <c r="P166" s="7" t="inlineStr">
        <is>
          <t>ACIMA +212.0%</t>
        </is>
      </c>
      <c r="Q166" s="7" t="inlineStr">
        <is>
          <t>conferir emb.</t>
        </is>
      </c>
    </row>
    <row r="167">
      <c r="A167" s="7" t="n">
        <v>543861</v>
      </c>
      <c r="B167" s="7" t="inlineStr"/>
      <c r="C167" s="12" t="inlineStr">
        <is>
          <t>7506306244177</t>
        </is>
      </c>
      <c r="D167" s="7" t="inlineStr">
        <is>
          <t>DES AER ANT INVIS REXONA 150ML</t>
        </is>
      </c>
      <c r="E167" s="13" t="n">
        <v>1</v>
      </c>
      <c r="F167" s="13" t="n">
        <v>6</v>
      </c>
      <c r="G167" s="13" t="n">
        <v>6</v>
      </c>
      <c r="H167" s="8" t="n">
        <v>13.16</v>
      </c>
      <c r="I167" s="8">
        <f>G167*H167</f>
        <v/>
      </c>
      <c r="J167" s="8">
        <f>H167/E167</f>
        <v/>
      </c>
      <c r="K167" s="8" t="n">
        <v>12.72</v>
      </c>
      <c r="L167" s="8" t="n">
        <v>11.19</v>
      </c>
      <c r="M167" s="8" t="n">
        <v>12.21</v>
      </c>
      <c r="N167" s="14">
        <f>J167/M167-1</f>
        <v/>
      </c>
      <c r="O167" s="14">
        <f>J167/K167-1</f>
        <v/>
      </c>
      <c r="P167" s="7" t="inlineStr">
        <is>
          <t>ACIMA +3.5%</t>
        </is>
      </c>
      <c r="Q167" s="7" t="inlineStr"/>
    </row>
    <row r="168">
      <c r="A168" s="7" t="n">
        <v>633961</v>
      </c>
      <c r="B168" s="7" t="inlineStr"/>
      <c r="C168" s="12" t="inlineStr">
        <is>
          <t>7891150063747</t>
        </is>
      </c>
      <c r="D168" s="7" t="inlineStr">
        <is>
          <t>DES AER DOVE FEM AMORA 150ML</t>
        </is>
      </c>
      <c r="E168" s="13" t="n">
        <v>1</v>
      </c>
      <c r="F168" s="13" t="n">
        <v>7</v>
      </c>
      <c r="G168" s="13" t="n">
        <v>7</v>
      </c>
      <c r="H168" s="8" t="n">
        <v>14.58</v>
      </c>
      <c r="I168" s="8">
        <f>G168*H168</f>
        <v/>
      </c>
      <c r="J168" s="8">
        <f>H168/E168</f>
        <v/>
      </c>
      <c r="K168" s="8" t="n">
        <v>14.2592</v>
      </c>
      <c r="L168" s="8" t="n">
        <v>13.395</v>
      </c>
      <c r="M168" s="8" t="n">
        <v>13.97113333333333</v>
      </c>
      <c r="N168" s="14">
        <f>J168/M168-1</f>
        <v/>
      </c>
      <c r="O168" s="14">
        <f>J168/K168-1</f>
        <v/>
      </c>
      <c r="P168" s="7" t="inlineStr">
        <is>
          <t>ACIMA +2.2%</t>
        </is>
      </c>
      <c r="Q168" s="7" t="inlineStr"/>
    </row>
    <row r="169">
      <c r="A169" s="7" t="n">
        <v>545421</v>
      </c>
      <c r="B169" s="7" t="inlineStr"/>
      <c r="C169" s="12" t="inlineStr">
        <is>
          <t>7791293032498</t>
        </is>
      </c>
      <c r="D169" s="7" t="inlineStr">
        <is>
          <t>DES AER REXONA 72H BAMBOO 150ML/89G</t>
        </is>
      </c>
      <c r="E169" s="13" t="n">
        <v>1</v>
      </c>
      <c r="F169" s="13" t="n">
        <v>3</v>
      </c>
      <c r="G169" s="13" t="n">
        <v>3</v>
      </c>
      <c r="H169" s="8" t="n">
        <v>13.16</v>
      </c>
      <c r="I169" s="8">
        <f>G169*H169</f>
        <v/>
      </c>
      <c r="J169" s="8">
        <f>H169/E169</f>
        <v/>
      </c>
      <c r="K169" s="8" t="n">
        <v>12.8967</v>
      </c>
      <c r="L169" s="8" t="n">
        <v>9.5083</v>
      </c>
      <c r="M169" s="8" t="n">
        <v>11.76723333333333</v>
      </c>
      <c r="N169" s="14">
        <f>J169/M169-1</f>
        <v/>
      </c>
      <c r="O169" s="14">
        <f>J169/K169-1</f>
        <v/>
      </c>
      <c r="P169" s="7" t="inlineStr">
        <is>
          <t>ACIMA +2.0%</t>
        </is>
      </c>
      <c r="Q169" s="7" t="inlineStr"/>
    </row>
    <row r="170">
      <c r="A170" s="7" t="n">
        <v>545541</v>
      </c>
      <c r="B170" s="7" t="inlineStr"/>
      <c r="C170" s="12" t="inlineStr">
        <is>
          <t>7791293032436</t>
        </is>
      </c>
      <c r="D170" s="7" t="inlineStr">
        <is>
          <t>DES AER REXONA 72H POWDER DRY 150ML/89G</t>
        </is>
      </c>
      <c r="E170" s="13" t="n">
        <v>1</v>
      </c>
      <c r="F170" s="13" t="n">
        <v>16</v>
      </c>
      <c r="G170" s="13" t="n">
        <v>16</v>
      </c>
      <c r="H170" s="8" t="n">
        <v>13.16</v>
      </c>
      <c r="I170" s="8">
        <f>G170*H170</f>
        <v/>
      </c>
      <c r="J170" s="8">
        <f>H170/E170</f>
        <v/>
      </c>
      <c r="K170" s="8" t="n">
        <v>12.72</v>
      </c>
      <c r="L170" s="8" t="n">
        <v>9.5083</v>
      </c>
      <c r="M170" s="8" t="n">
        <v>11.64943333333333</v>
      </c>
      <c r="N170" s="14">
        <f>J170/M170-1</f>
        <v/>
      </c>
      <c r="O170" s="14">
        <f>J170/K170-1</f>
        <v/>
      </c>
      <c r="P170" s="7" t="inlineStr">
        <is>
          <t>ACIMA +3.5%</t>
        </is>
      </c>
      <c r="Q170" s="7" t="inlineStr"/>
    </row>
    <row r="171">
      <c r="A171" s="7" t="n">
        <v>548581</v>
      </c>
      <c r="B171" s="7" t="inlineStr"/>
      <c r="C171" s="12" t="inlineStr">
        <is>
          <t>7791293032443</t>
        </is>
      </c>
      <c r="D171" s="7" t="inlineStr">
        <is>
          <t>DES AER REXONA ACTIVE EMOTION REXONA 150ML</t>
        </is>
      </c>
      <c r="E171" s="13" t="n">
        <v>1</v>
      </c>
      <c r="F171" s="13" t="n">
        <v>12</v>
      </c>
      <c r="G171" s="13" t="n">
        <v>12</v>
      </c>
      <c r="H171" s="8" t="n">
        <v>13.16</v>
      </c>
      <c r="I171" s="8">
        <f>G171*H171</f>
        <v/>
      </c>
      <c r="J171" s="8">
        <f>H171/E171</f>
        <v/>
      </c>
      <c r="K171" s="8" t="n">
        <v>12.72</v>
      </c>
      <c r="L171" s="8" t="n">
        <v>11.19</v>
      </c>
      <c r="M171" s="8" t="n">
        <v>12.21</v>
      </c>
      <c r="N171" s="14">
        <f>J171/M171-1</f>
        <v/>
      </c>
      <c r="O171" s="14">
        <f>J171/K171-1</f>
        <v/>
      </c>
      <c r="P171" s="7" t="inlineStr">
        <is>
          <t>ACIMA +3.5%</t>
        </is>
      </c>
      <c r="Q171" s="7" t="inlineStr"/>
    </row>
    <row r="172">
      <c r="A172" s="7" t="n">
        <v>549121</v>
      </c>
      <c r="B172" s="7" t="inlineStr"/>
      <c r="C172" s="12" t="inlineStr">
        <is>
          <t>7791293032467</t>
        </is>
      </c>
      <c r="D172" s="7" t="inlineStr">
        <is>
          <t>DES AER REXONA COTTON 150ML</t>
        </is>
      </c>
      <c r="E172" s="13" t="n">
        <v>1</v>
      </c>
      <c r="F172" s="13" t="n">
        <v>8</v>
      </c>
      <c r="G172" s="13" t="n">
        <v>8</v>
      </c>
      <c r="H172" s="8" t="n">
        <v>13.31</v>
      </c>
      <c r="I172" s="8">
        <f>G172*H172</f>
        <v/>
      </c>
      <c r="J172" s="8">
        <f>H172/E172</f>
        <v/>
      </c>
      <c r="K172" s="8" t="n">
        <v>12.72</v>
      </c>
      <c r="L172" s="8" t="n">
        <v>11.7367</v>
      </c>
      <c r="M172" s="8" t="n">
        <v>12.39223333333334</v>
      </c>
      <c r="N172" s="14">
        <f>J172/M172-1</f>
        <v/>
      </c>
      <c r="O172" s="14">
        <f>J172/K172-1</f>
        <v/>
      </c>
      <c r="P172" s="7" t="inlineStr">
        <is>
          <t>ACIMA +4.6%</t>
        </is>
      </c>
      <c r="Q172" s="7" t="inlineStr"/>
    </row>
    <row r="173">
      <c r="A173" s="7" t="n">
        <v>570321</v>
      </c>
      <c r="B173" s="7" t="inlineStr"/>
      <c r="C173" s="12" t="inlineStr">
        <is>
          <t>7506306214972</t>
        </is>
      </c>
      <c r="D173" s="7" t="inlineStr">
        <is>
          <t>DES AER REXONA MEN CL CL 150M</t>
        </is>
      </c>
      <c r="E173" s="13" t="n">
        <v>1</v>
      </c>
      <c r="F173" s="13" t="n">
        <v>6</v>
      </c>
      <c r="G173" s="13" t="n">
        <v>6</v>
      </c>
      <c r="H173" s="8" t="n">
        <v>15.18</v>
      </c>
      <c r="I173" s="8">
        <f>G173*H173</f>
        <v/>
      </c>
      <c r="J173" s="8">
        <f>H173/E173</f>
        <v/>
      </c>
      <c r="K173" s="8" t="n">
        <v>14.5725</v>
      </c>
      <c r="L173" s="8" t="n">
        <v>14.2567</v>
      </c>
      <c r="M173" s="8" t="n">
        <v>14.46723333333333</v>
      </c>
      <c r="N173" s="14">
        <f>J173/M173-1</f>
        <v/>
      </c>
      <c r="O173" s="14">
        <f>J173/K173-1</f>
        <v/>
      </c>
      <c r="P173" s="7" t="inlineStr">
        <is>
          <t>ACIMA +4.2%</t>
        </is>
      </c>
      <c r="Q173" s="7" t="inlineStr"/>
    </row>
    <row r="174">
      <c r="A174" s="7" t="n">
        <v>549081</v>
      </c>
      <c r="B174" s="7" t="inlineStr"/>
      <c r="C174" s="12" t="inlineStr">
        <is>
          <t>7791293022567</t>
        </is>
      </c>
      <c r="D174" s="7" t="inlineStr">
        <is>
          <t>DES AER REXONA MEN.V8 12X150ML</t>
        </is>
      </c>
      <c r="E174" s="13" t="n">
        <v>1</v>
      </c>
      <c r="F174" s="13" t="n">
        <v>5</v>
      </c>
      <c r="G174" s="13" t="n">
        <v>5</v>
      </c>
      <c r="H174" s="8" t="n">
        <v>13.79</v>
      </c>
      <c r="I174" s="8">
        <f>G174*H174</f>
        <v/>
      </c>
      <c r="J174" s="8">
        <f>H174/E174</f>
        <v/>
      </c>
      <c r="K174" s="8" t="n">
        <v>12.69</v>
      </c>
      <c r="L174" s="8" t="n">
        <v>11.9133</v>
      </c>
      <c r="M174" s="8" t="n">
        <v>12.4311</v>
      </c>
      <c r="N174" s="14">
        <f>J174/M174-1</f>
        <v/>
      </c>
      <c r="O174" s="14">
        <f>J174/K174-1</f>
        <v/>
      </c>
      <c r="P174" s="7" t="inlineStr">
        <is>
          <t>ACIMA +8.7%</t>
        </is>
      </c>
      <c r="Q174" s="7" t="inlineStr"/>
    </row>
    <row r="175">
      <c r="A175" s="7" t="n">
        <v>570361</v>
      </c>
      <c r="B175" s="7" t="inlineStr"/>
      <c r="C175" s="12" t="inlineStr">
        <is>
          <t>7506306214989</t>
        </is>
      </c>
      <c r="D175" s="7" t="inlineStr">
        <is>
          <t>DES AER REXONA W CL.CLAS.150ML</t>
        </is>
      </c>
      <c r="E175" s="13" t="n">
        <v>1</v>
      </c>
      <c r="F175" s="13" t="n">
        <v>4</v>
      </c>
      <c r="G175" s="13" t="n">
        <v>4</v>
      </c>
      <c r="H175" s="8" t="n">
        <v>14.97</v>
      </c>
      <c r="I175" s="8">
        <f>G175*H175</f>
        <v/>
      </c>
      <c r="J175" s="8">
        <f>H175/E175</f>
        <v/>
      </c>
      <c r="K175" s="8" t="n">
        <v>12.64</v>
      </c>
      <c r="L175" s="8" t="n">
        <v>12.64</v>
      </c>
      <c r="M175" s="8" t="n">
        <v>12.64</v>
      </c>
      <c r="N175" s="14">
        <f>J175/M175-1</f>
        <v/>
      </c>
      <c r="O175" s="14">
        <f>J175/K175-1</f>
        <v/>
      </c>
      <c r="P175" s="7" t="inlineStr">
        <is>
          <t>ACIMA +18.4%</t>
        </is>
      </c>
      <c r="Q175" s="7" t="inlineStr"/>
    </row>
    <row r="176">
      <c r="A176" s="7" t="n">
        <v>595411</v>
      </c>
      <c r="B176" s="7" t="inlineStr"/>
      <c r="C176" s="12" t="inlineStr">
        <is>
          <t>7791293033235</t>
        </is>
      </c>
      <c r="D176" s="7" t="inlineStr">
        <is>
          <t>DES DOVE AER W BEAUT FIN 150ML</t>
        </is>
      </c>
      <c r="E176" s="13" t="n">
        <v>1</v>
      </c>
      <c r="F176" s="13" t="n">
        <v>11</v>
      </c>
      <c r="G176" s="13" t="n">
        <v>11</v>
      </c>
      <c r="H176" s="8" t="n">
        <v>14.58</v>
      </c>
      <c r="I176" s="8">
        <f>G176*H176</f>
        <v/>
      </c>
      <c r="J176" s="8">
        <f>H176/E176</f>
        <v/>
      </c>
      <c r="K176" s="8" t="n">
        <v>14.2592</v>
      </c>
      <c r="L176" s="8" t="n">
        <v>12.9183</v>
      </c>
      <c r="M176" s="8" t="n">
        <v>13.81223333333333</v>
      </c>
      <c r="N176" s="14">
        <f>J176/M176-1</f>
        <v/>
      </c>
      <c r="O176" s="14">
        <f>J176/K176-1</f>
        <v/>
      </c>
      <c r="P176" s="7" t="inlineStr">
        <is>
          <t>ACIMA +2.2%</t>
        </is>
      </c>
      <c r="Q176" s="7" t="inlineStr"/>
    </row>
    <row r="177">
      <c r="A177" s="7" t="n">
        <v>595421</v>
      </c>
      <c r="B177" s="7" t="inlineStr"/>
      <c r="C177" s="12" t="inlineStr">
        <is>
          <t>7506306241169</t>
        </is>
      </c>
      <c r="D177" s="7" t="inlineStr">
        <is>
          <t>DES DOVE AER W GO FRESH 150ML</t>
        </is>
      </c>
      <c r="E177" s="13" t="n">
        <v>1</v>
      </c>
      <c r="F177" s="13" t="n">
        <v>1</v>
      </c>
      <c r="G177" s="13" t="n">
        <v>1</v>
      </c>
      <c r="H177" s="8" t="n">
        <v>14.58</v>
      </c>
      <c r="I177" s="8">
        <f>G177*H177</f>
        <v/>
      </c>
      <c r="J177" s="8">
        <f>H177/E177</f>
        <v/>
      </c>
      <c r="K177" s="8" t="n">
        <v>14.19</v>
      </c>
      <c r="L177" s="8" t="n">
        <v>13.395</v>
      </c>
      <c r="M177" s="8" t="n">
        <v>13.925</v>
      </c>
      <c r="N177" s="14">
        <f>J177/M177-1</f>
        <v/>
      </c>
      <c r="O177" s="14">
        <f>J177/K177-1</f>
        <v/>
      </c>
      <c r="P177" s="7" t="inlineStr">
        <is>
          <t>ACIMA +2.7%</t>
        </is>
      </c>
      <c r="Q177" s="7" t="inlineStr"/>
    </row>
    <row r="178">
      <c r="A178" s="7" t="n">
        <v>609971</v>
      </c>
      <c r="B178" s="7" t="inlineStr"/>
      <c r="C178" s="12" t="inlineStr">
        <is>
          <t>7891150081239</t>
        </is>
      </c>
      <c r="D178" s="7" t="inlineStr">
        <is>
          <t>DES DOVE LEV MAIS POR MEN 250ML UN</t>
        </is>
      </c>
      <c r="E178" s="13" t="n">
        <v>1</v>
      </c>
      <c r="F178" s="13" t="n">
        <v>6</v>
      </c>
      <c r="G178" s="13" t="n">
        <v>6</v>
      </c>
      <c r="H178" s="8" t="n">
        <v>20.92</v>
      </c>
      <c r="I178" s="8">
        <f>G178*H178</f>
        <v/>
      </c>
      <c r="J178" s="8">
        <f>H178/E178</f>
        <v/>
      </c>
      <c r="K178" s="8" t="n">
        <v>19.3533</v>
      </c>
      <c r="L178" s="8" t="n">
        <v>19.3533</v>
      </c>
      <c r="M178" s="8" t="n">
        <v>19.3533</v>
      </c>
      <c r="N178" s="14">
        <f>J178/M178-1</f>
        <v/>
      </c>
      <c r="O178" s="14">
        <f>J178/K178-1</f>
        <v/>
      </c>
      <c r="P178" s="7" t="inlineStr">
        <is>
          <t>ACIMA +8.1%</t>
        </is>
      </c>
      <c r="Q178" s="7" t="inlineStr"/>
    </row>
    <row r="179">
      <c r="A179" s="7" t="n">
        <v>628121</v>
      </c>
      <c r="B179" s="7" t="inlineStr"/>
      <c r="C179" s="12" t="inlineStr">
        <is>
          <t>78930780</t>
        </is>
      </c>
      <c r="D179" s="7" t="inlineStr">
        <is>
          <t>DES DOVE R-ON MEN S/PERF.50ML</t>
        </is>
      </c>
      <c r="E179" s="13" t="n">
        <v>1</v>
      </c>
      <c r="F179" s="13" t="n">
        <v>1</v>
      </c>
      <c r="G179" s="13" t="n">
        <v>1</v>
      </c>
      <c r="H179" s="8" t="n">
        <v>9.289999999999999</v>
      </c>
      <c r="I179" s="8">
        <f>G179*H179</f>
        <v/>
      </c>
      <c r="J179" s="8">
        <f>H179/E179</f>
        <v/>
      </c>
      <c r="K179" s="8" t="n">
        <v>8.111700000000001</v>
      </c>
      <c r="L179" s="8" t="n">
        <v>8.111700000000001</v>
      </c>
      <c r="M179" s="8" t="n">
        <v>8.111700000000001</v>
      </c>
      <c r="N179" s="14">
        <f>J179/M179-1</f>
        <v/>
      </c>
      <c r="O179" s="14">
        <f>J179/K179-1</f>
        <v/>
      </c>
      <c r="P179" s="7" t="inlineStr">
        <is>
          <t>ACIMA +14.5%</t>
        </is>
      </c>
      <c r="Q179" s="7" t="inlineStr"/>
    </row>
    <row r="180">
      <c r="A180" s="7" t="n">
        <v>591801</v>
      </c>
      <c r="B180" s="7" t="inlineStr"/>
      <c r="C180" s="12" t="inlineStr">
        <is>
          <t>78923409</t>
        </is>
      </c>
      <c r="D180" s="7" t="inlineStr">
        <is>
          <t>DES R-ON REXONA MEN ACT 50ML</t>
        </is>
      </c>
      <c r="E180" s="13" t="n">
        <v>1</v>
      </c>
      <c r="F180" s="13" t="n">
        <v>1</v>
      </c>
      <c r="G180" s="13" t="n">
        <v>1</v>
      </c>
      <c r="H180" s="8" t="n">
        <v>8.27</v>
      </c>
      <c r="I180" s="8">
        <f>G180*H180</f>
        <v/>
      </c>
      <c r="J180" s="8">
        <f>H180/E180</f>
        <v/>
      </c>
      <c r="K180" s="8" t="n">
        <v>7.65</v>
      </c>
      <c r="L180" s="8" t="n">
        <v>7.5</v>
      </c>
      <c r="M180" s="8" t="n">
        <v>7.55</v>
      </c>
      <c r="N180" s="14">
        <f>J180/M180-1</f>
        <v/>
      </c>
      <c r="O180" s="14">
        <f>J180/K180-1</f>
        <v/>
      </c>
      <c r="P180" s="7" t="inlineStr">
        <is>
          <t>ACIMA +8.1%</t>
        </is>
      </c>
      <c r="Q180" s="7" t="inlineStr"/>
    </row>
    <row r="181">
      <c r="A181" s="7" t="n">
        <v>566481</v>
      </c>
      <c r="B181" s="7" t="inlineStr"/>
      <c r="C181" s="12" t="inlineStr">
        <is>
          <t>78924345</t>
        </is>
      </c>
      <c r="D181" s="7" t="inlineStr">
        <is>
          <t>DES R-ON REXONA W.BAMBOO 50ML</t>
        </is>
      </c>
      <c r="E181" s="13" t="n">
        <v>1</v>
      </c>
      <c r="F181" s="13" t="n">
        <v>11</v>
      </c>
      <c r="G181" s="13" t="n">
        <v>11</v>
      </c>
      <c r="H181" s="8" t="n">
        <v>8.27</v>
      </c>
      <c r="I181" s="8">
        <f>G181*H181</f>
        <v/>
      </c>
      <c r="J181" s="8">
        <f>H181/E181</f>
        <v/>
      </c>
      <c r="K181" s="8" t="n">
        <v>7.78</v>
      </c>
      <c r="L181" s="8" t="n">
        <v>7.78</v>
      </c>
      <c r="M181" s="8" t="n">
        <v>7.78</v>
      </c>
      <c r="N181" s="14">
        <f>J181/M181-1</f>
        <v/>
      </c>
      <c r="O181" s="14">
        <f>J181/K181-1</f>
        <v/>
      </c>
      <c r="P181" s="7" t="inlineStr">
        <is>
          <t>ACIMA +6.3%</t>
        </is>
      </c>
      <c r="Q181" s="7" t="inlineStr"/>
    </row>
    <row r="182">
      <c r="A182" s="7" t="n">
        <v>591811</v>
      </c>
      <c r="B182" s="7" t="inlineStr"/>
      <c r="C182" s="12" t="inlineStr">
        <is>
          <t>78924352</t>
        </is>
      </c>
      <c r="D182" s="7" t="inlineStr">
        <is>
          <t>DES R-ON REXONA W.COTTON 50ML</t>
        </is>
      </c>
      <c r="E182" s="13" t="n">
        <v>1</v>
      </c>
      <c r="F182" s="13" t="n">
        <v>1</v>
      </c>
      <c r="G182" s="13" t="n">
        <v>1</v>
      </c>
      <c r="H182" s="8" t="n">
        <v>8.27</v>
      </c>
      <c r="I182" s="8">
        <f>G182*H182</f>
        <v/>
      </c>
      <c r="J182" s="8">
        <f>H182/E182</f>
        <v/>
      </c>
      <c r="K182" s="8" t="n">
        <v>7.9967</v>
      </c>
      <c r="L182" s="8" t="n">
        <v>7.9967</v>
      </c>
      <c r="M182" s="8" t="n">
        <v>7.9967</v>
      </c>
      <c r="N182" s="14">
        <f>J182/M182-1</f>
        <v/>
      </c>
      <c r="O182" s="14">
        <f>J182/K182-1</f>
        <v/>
      </c>
      <c r="P182" s="7" t="inlineStr">
        <is>
          <t>ACIMA +3.4%</t>
        </is>
      </c>
      <c r="Q182" s="7" t="inlineStr"/>
    </row>
    <row r="183">
      <c r="A183" s="7" t="n">
        <v>570341</v>
      </c>
      <c r="B183" s="7" t="inlineStr"/>
      <c r="C183" s="12" t="inlineStr">
        <is>
          <t>7891150068735</t>
        </is>
      </c>
      <c r="D183" s="7" t="inlineStr">
        <is>
          <t>DES REXONA AER MEN CL SP 150ML</t>
        </is>
      </c>
      <c r="E183" s="13" t="n">
        <v>1</v>
      </c>
      <c r="F183" s="13" t="n">
        <v>1</v>
      </c>
      <c r="G183" s="13" t="n">
        <v>1</v>
      </c>
      <c r="H183" s="8" t="n">
        <v>15.18</v>
      </c>
      <c r="I183" s="8">
        <f>G183*H183</f>
        <v/>
      </c>
      <c r="J183" s="8">
        <f>H183/E183</f>
        <v/>
      </c>
      <c r="K183" s="8" t="n">
        <v>12.64</v>
      </c>
      <c r="L183" s="8" t="n">
        <v>12.64</v>
      </c>
      <c r="M183" s="8" t="n">
        <v>12.64</v>
      </c>
      <c r="N183" s="14">
        <f>J183/M183-1</f>
        <v/>
      </c>
      <c r="O183" s="14">
        <f>J183/K183-1</f>
        <v/>
      </c>
      <c r="P183" s="7" t="inlineStr">
        <is>
          <t>ACIMA +20.1%</t>
        </is>
      </c>
      <c r="Q183" s="7" t="inlineStr"/>
    </row>
    <row r="184">
      <c r="A184" s="7" t="n">
        <v>570381</v>
      </c>
      <c r="B184" s="7" t="inlineStr"/>
      <c r="C184" s="12" t="inlineStr">
        <is>
          <t>7891150064300</t>
        </is>
      </c>
      <c r="D184" s="7" t="inlineStr">
        <is>
          <t>DES REXONA AER W CL.EXT.D.150</t>
        </is>
      </c>
      <c r="E184" s="13" t="n">
        <v>1</v>
      </c>
      <c r="F184" s="13" t="n">
        <v>1</v>
      </c>
      <c r="G184" s="13" t="n">
        <v>1</v>
      </c>
      <c r="H184" s="8" t="n">
        <v>15.18</v>
      </c>
      <c r="I184" s="8">
        <f>G184*H184</f>
        <v/>
      </c>
      <c r="J184" s="8">
        <f>H184/E184</f>
        <v/>
      </c>
      <c r="K184" s="8" t="n">
        <v>14.73</v>
      </c>
      <c r="L184" s="8" t="n">
        <v>14.73</v>
      </c>
      <c r="M184" s="8" t="n">
        <v>14.73</v>
      </c>
      <c r="N184" s="14">
        <f>J184/M184-1</f>
        <v/>
      </c>
      <c r="O184" s="14">
        <f>J184/K184-1</f>
        <v/>
      </c>
      <c r="P184" s="7" t="inlineStr">
        <is>
          <t>ACIMA +3.1%</t>
        </is>
      </c>
      <c r="Q184" s="7" t="inlineStr"/>
    </row>
    <row r="185">
      <c r="A185" s="7" t="n">
        <v>628161</v>
      </c>
      <c r="B185" s="7" t="inlineStr"/>
      <c r="C185" s="12" t="inlineStr">
        <is>
          <t>78938625</t>
        </is>
      </c>
      <c r="D185" s="7" t="inlineStr">
        <is>
          <t>DES REXONA R-ON MEN S/PE 50ML</t>
        </is>
      </c>
      <c r="E185" s="13" t="n">
        <v>1</v>
      </c>
      <c r="F185" s="13" t="n">
        <v>2</v>
      </c>
      <c r="G185" s="13" t="n">
        <v>2</v>
      </c>
      <c r="H185" s="8" t="n">
        <v>8.27</v>
      </c>
      <c r="I185" s="8">
        <f>G185*H185</f>
        <v/>
      </c>
      <c r="J185" s="8">
        <f>H185/E185</f>
        <v/>
      </c>
      <c r="K185" s="8" t="n">
        <v>7.84</v>
      </c>
      <c r="L185" s="8" t="n">
        <v>7.84</v>
      </c>
      <c r="M185" s="8" t="n">
        <v>7.84</v>
      </c>
      <c r="N185" s="14">
        <f>J185/M185-1</f>
        <v/>
      </c>
      <c r="O185" s="14">
        <f>J185/K185-1</f>
        <v/>
      </c>
      <c r="P185" s="7" t="inlineStr">
        <is>
          <t>ACIMA +5.5%</t>
        </is>
      </c>
      <c r="Q185" s="7" t="inlineStr"/>
    </row>
    <row r="186">
      <c r="A186" s="7" t="n">
        <v>615851</v>
      </c>
      <c r="B186" s="7" t="inlineStr"/>
      <c r="C186" s="12" t="inlineStr">
        <is>
          <t>75058845</t>
        </is>
      </c>
      <c r="D186" s="7" t="inlineStr">
        <is>
          <t>DES REXONA R-ON W ANT INV 50ML</t>
        </is>
      </c>
      <c r="E186" s="13" t="n">
        <v>1</v>
      </c>
      <c r="F186" s="13" t="n">
        <v>2</v>
      </c>
      <c r="G186" s="13" t="n">
        <v>2</v>
      </c>
      <c r="H186" s="8" t="n">
        <v>8.27</v>
      </c>
      <c r="I186" s="8">
        <f>G186*H186</f>
        <v/>
      </c>
      <c r="J186" s="8">
        <f>H186/E186</f>
        <v/>
      </c>
      <c r="K186" s="8" t="n">
        <v>5.48</v>
      </c>
      <c r="L186" s="8" t="n">
        <v>5.48</v>
      </c>
      <c r="M186" s="8" t="n">
        <v>5.48</v>
      </c>
      <c r="N186" s="14">
        <f>J186/M186-1</f>
        <v/>
      </c>
      <c r="O186" s="14">
        <f>J186/K186-1</f>
        <v/>
      </c>
      <c r="P186" s="7" t="inlineStr">
        <is>
          <t>ACIMA +50.9%</t>
        </is>
      </c>
      <c r="Q186" s="7" t="inlineStr"/>
    </row>
    <row r="187">
      <c r="A187" s="7" t="n">
        <v>576661</v>
      </c>
      <c r="B187" s="7" t="inlineStr"/>
      <c r="C187" s="12" t="inlineStr">
        <is>
          <t>7891150073098</t>
        </is>
      </c>
      <c r="D187" s="7" t="inlineStr">
        <is>
          <t>DES. DOVE AER.W.CL.OR.150ML</t>
        </is>
      </c>
      <c r="E187" s="13" t="n">
        <v>1</v>
      </c>
      <c r="F187" s="13" t="n">
        <v>2</v>
      </c>
      <c r="G187" s="13" t="n">
        <v>2</v>
      </c>
      <c r="H187" s="8" t="n">
        <v>15.78</v>
      </c>
      <c r="I187" s="8">
        <f>G187*H187</f>
        <v/>
      </c>
      <c r="J187" s="8">
        <f>H187/E187</f>
        <v/>
      </c>
      <c r="K187" s="8" t="n">
        <v>14.26</v>
      </c>
      <c r="L187" s="8" t="n">
        <v>14.26</v>
      </c>
      <c r="M187" s="8" t="n">
        <v>14.26</v>
      </c>
      <c r="N187" s="14">
        <f>J187/M187-1</f>
        <v/>
      </c>
      <c r="O187" s="14">
        <f>J187/K187-1</f>
        <v/>
      </c>
      <c r="P187" s="7" t="inlineStr">
        <is>
          <t>ACIMA +10.7%</t>
        </is>
      </c>
      <c r="Q187" s="7" t="inlineStr"/>
    </row>
    <row r="188">
      <c r="A188" s="7" t="n">
        <v>604301</v>
      </c>
      <c r="B188" s="7" t="inlineStr"/>
      <c r="C188" s="12" t="inlineStr">
        <is>
          <t>7891150080966</t>
        </is>
      </c>
      <c r="D188" s="7" t="inlineStr">
        <is>
          <t>DES.AXE AER.MARINE 152ML</t>
        </is>
      </c>
      <c r="E188" s="13" t="n">
        <v>1</v>
      </c>
      <c r="F188" s="13" t="n">
        <v>3</v>
      </c>
      <c r="G188" s="13" t="n">
        <v>3</v>
      </c>
      <c r="H188" s="8" t="n">
        <v>10.89</v>
      </c>
      <c r="I188" s="8">
        <f>G188*H188</f>
        <v/>
      </c>
      <c r="J188" s="8">
        <f>H188/E188</f>
        <v/>
      </c>
      <c r="K188" s="8" t="n">
        <v>10.545</v>
      </c>
      <c r="L188" s="8" t="n">
        <v>9.896000000000001</v>
      </c>
      <c r="M188" s="8" t="n">
        <v>10.32866666666667</v>
      </c>
      <c r="N188" s="14">
        <f>J188/M188-1</f>
        <v/>
      </c>
      <c r="O188" s="14">
        <f>J188/K188-1</f>
        <v/>
      </c>
      <c r="P188" s="7" t="inlineStr">
        <is>
          <t>ACIMA +3.3%</t>
        </is>
      </c>
      <c r="Q188" s="7" t="inlineStr"/>
    </row>
    <row r="189">
      <c r="A189" s="7" t="n">
        <v>604321</v>
      </c>
      <c r="B189" s="7" t="inlineStr"/>
      <c r="C189" s="12" t="inlineStr">
        <is>
          <t>7506306233362</t>
        </is>
      </c>
      <c r="D189" s="7" t="inlineStr">
        <is>
          <t>DES.AXE AER.URBAN 152ML</t>
        </is>
      </c>
      <c r="E189" s="13" t="n">
        <v>1</v>
      </c>
      <c r="F189" s="13" t="n">
        <v>2</v>
      </c>
      <c r="G189" s="13" t="n">
        <v>2</v>
      </c>
      <c r="H189" s="8" t="n">
        <v>10.89</v>
      </c>
      <c r="I189" s="8">
        <f>G189*H189</f>
        <v/>
      </c>
      <c r="J189" s="8">
        <f>H189/E189</f>
        <v/>
      </c>
      <c r="K189" s="8" t="n">
        <v>10.0017</v>
      </c>
      <c r="L189" s="8" t="n">
        <v>10.0017</v>
      </c>
      <c r="M189" s="8" t="n">
        <v>10.0017</v>
      </c>
      <c r="N189" s="14">
        <f>J189/M189-1</f>
        <v/>
      </c>
      <c r="O189" s="14">
        <f>J189/K189-1</f>
        <v/>
      </c>
      <c r="P189" s="7" t="inlineStr">
        <is>
          <t>ACIMA +8.9%</t>
        </is>
      </c>
      <c r="Q189" s="7" t="inlineStr"/>
    </row>
    <row r="190">
      <c r="A190" s="7" t="n">
        <v>617991</v>
      </c>
      <c r="B190" s="7" t="inlineStr"/>
      <c r="C190" s="12" t="inlineStr">
        <is>
          <t>7791293028781</t>
        </is>
      </c>
      <c r="D190" s="7" t="inlineStr">
        <is>
          <t>DESO AXE AER BS BLACK 150ML</t>
        </is>
      </c>
      <c r="E190" s="13" t="n">
        <v>1</v>
      </c>
      <c r="F190" s="13" t="n">
        <v>1</v>
      </c>
      <c r="G190" s="13" t="n">
        <v>1</v>
      </c>
      <c r="H190" s="8" t="n">
        <v>10.4</v>
      </c>
      <c r="I190" s="8">
        <f>G190*H190</f>
        <v/>
      </c>
      <c r="J190" s="8">
        <f>H190/E190</f>
        <v/>
      </c>
      <c r="K190" s="8" t="n">
        <v>9.449999999999999</v>
      </c>
      <c r="L190" s="8" t="n">
        <v>9.449999999999999</v>
      </c>
      <c r="M190" s="8" t="n">
        <v>9.449999999999999</v>
      </c>
      <c r="N190" s="14">
        <f>J190/M190-1</f>
        <v/>
      </c>
      <c r="O190" s="14">
        <f>J190/K190-1</f>
        <v/>
      </c>
      <c r="P190" s="7" t="inlineStr">
        <is>
          <t>ACIMA +10.1%</t>
        </is>
      </c>
      <c r="Q190" s="7" t="inlineStr"/>
    </row>
    <row r="191">
      <c r="A191" s="7" t="n">
        <v>618001</v>
      </c>
      <c r="B191" s="7" t="inlineStr"/>
      <c r="C191" s="12" t="inlineStr">
        <is>
          <t>7791293025797</t>
        </is>
      </c>
      <c r="D191" s="7" t="inlineStr">
        <is>
          <t>DESO AXE AER BS DARK TEMPT 89G</t>
        </is>
      </c>
      <c r="E191" s="13" t="n">
        <v>1</v>
      </c>
      <c r="F191" s="13" t="n">
        <v>2</v>
      </c>
      <c r="G191" s="13" t="n">
        <v>2</v>
      </c>
      <c r="H191" s="8" t="n">
        <v>10.89</v>
      </c>
      <c r="I191" s="8">
        <f>G191*H191</f>
        <v/>
      </c>
      <c r="J191" s="8">
        <f>H191/E191</f>
        <v/>
      </c>
      <c r="K191" s="8" t="n">
        <v>9.531700000000001</v>
      </c>
      <c r="L191" s="8" t="n">
        <v>9.531700000000001</v>
      </c>
      <c r="M191" s="8" t="n">
        <v>9.531700000000001</v>
      </c>
      <c r="N191" s="14">
        <f>J191/M191-1</f>
        <v/>
      </c>
      <c r="O191" s="14">
        <f>J191/K191-1</f>
        <v/>
      </c>
      <c r="P191" s="7" t="inlineStr">
        <is>
          <t>ACIMA +14.3%</t>
        </is>
      </c>
      <c r="Q191" s="7" t="inlineStr"/>
    </row>
    <row r="192">
      <c r="A192" s="7" t="n">
        <v>589241</v>
      </c>
      <c r="B192" s="7" t="inlineStr"/>
      <c r="C192" s="12" t="inlineStr">
        <is>
          <t>78935068</t>
        </is>
      </c>
      <c r="D192" s="7" t="inlineStr">
        <is>
          <t>DESOD DOVE 50ML GOFRESH ROMA E VERBENA M3</t>
        </is>
      </c>
      <c r="E192" s="13" t="n">
        <v>1</v>
      </c>
      <c r="F192" s="13" t="n">
        <v>7</v>
      </c>
      <c r="G192" s="13" t="n">
        <v>7</v>
      </c>
      <c r="H192" s="8" t="n">
        <v>9.289999999999999</v>
      </c>
      <c r="I192" s="8">
        <f>G192*H192</f>
        <v/>
      </c>
      <c r="J192" s="8">
        <f>H192/E192</f>
        <v/>
      </c>
      <c r="K192" s="8" t="n">
        <v>6.79</v>
      </c>
      <c r="L192" s="8" t="n">
        <v>6.79</v>
      </c>
      <c r="M192" s="8" t="n">
        <v>6.79</v>
      </c>
      <c r="N192" s="14">
        <f>J192/M192-1</f>
        <v/>
      </c>
      <c r="O192" s="14">
        <f>J192/K192-1</f>
        <v/>
      </c>
      <c r="P192" s="7" t="inlineStr">
        <is>
          <t>ACIMA +36.8%</t>
        </is>
      </c>
      <c r="Q192" s="7" t="inlineStr"/>
    </row>
    <row r="193">
      <c r="A193" s="7" t="n">
        <v>207901</v>
      </c>
      <c r="B193" s="7" t="inlineStr"/>
      <c r="C193" s="12" t="inlineStr">
        <is>
          <t>7896641808982</t>
        </is>
      </c>
      <c r="D193" s="7" t="inlineStr">
        <is>
          <t>DEXILANT 30MG CX 30 CAP LIB RETARD</t>
        </is>
      </c>
      <c r="E193" s="13" t="n">
        <v>1</v>
      </c>
      <c r="F193" s="13" t="n">
        <v>1</v>
      </c>
      <c r="G193" s="13" t="n">
        <v>1</v>
      </c>
      <c r="H193" s="8" t="n">
        <v>101.65</v>
      </c>
      <c r="I193" s="8">
        <f>G193*H193</f>
        <v/>
      </c>
      <c r="J193" s="8">
        <f>H193/E193</f>
        <v/>
      </c>
      <c r="K193" s="8" t="n">
        <v>102.465</v>
      </c>
      <c r="L193" s="8" t="n">
        <v>89.11499999999999</v>
      </c>
      <c r="M193" s="8" t="n">
        <v>95.43833333333333</v>
      </c>
      <c r="N193" s="14">
        <f>J193/M193-1</f>
        <v/>
      </c>
      <c r="O193" s="14">
        <f>J193/K193-1</f>
        <v/>
      </c>
      <c r="P193" s="7" t="inlineStr">
        <is>
          <t>OK (≤ últ. compra)</t>
        </is>
      </c>
      <c r="Q193" s="7" t="inlineStr"/>
    </row>
    <row r="194">
      <c r="A194" s="7" t="n">
        <v>207821</v>
      </c>
      <c r="B194" s="7" t="inlineStr"/>
      <c r="C194" s="12" t="inlineStr">
        <is>
          <t>7896641809026</t>
        </is>
      </c>
      <c r="D194" s="7" t="inlineStr">
        <is>
          <t>DEXILANT 60MG CX 30 CAP LIB RETARD</t>
        </is>
      </c>
      <c r="E194" s="13" t="n">
        <v>1</v>
      </c>
      <c r="F194" s="13" t="n">
        <v>9</v>
      </c>
      <c r="G194" s="13" t="n">
        <v>9</v>
      </c>
      <c r="H194" s="8" t="n">
        <v>101.65</v>
      </c>
      <c r="I194" s="8">
        <f>G194*H194</f>
        <v/>
      </c>
      <c r="J194" s="8">
        <f>H194/E194</f>
        <v/>
      </c>
      <c r="K194" s="8" t="n">
        <v>89.116</v>
      </c>
      <c r="L194" s="8" t="n">
        <v>89.116</v>
      </c>
      <c r="M194" s="8" t="n">
        <v>89.116</v>
      </c>
      <c r="N194" s="14">
        <f>J194/M194-1</f>
        <v/>
      </c>
      <c r="O194" s="14">
        <f>J194/K194-1</f>
        <v/>
      </c>
      <c r="P194" s="7" t="inlineStr">
        <is>
          <t>ACIMA +14.1%</t>
        </is>
      </c>
      <c r="Q194" s="7" t="inlineStr"/>
    </row>
    <row r="195">
      <c r="A195" s="7" t="n">
        <v>539561</v>
      </c>
      <c r="B195" s="7" t="inlineStr"/>
      <c r="C195" s="12" t="inlineStr">
        <is>
          <t>7891106913966</t>
        </is>
      </c>
      <c r="D195" s="7" t="inlineStr">
        <is>
          <t>DIANE 35 2+0,035MG CX 21 DRG</t>
        </is>
      </c>
      <c r="E195" s="13" t="n">
        <v>1</v>
      </c>
      <c r="F195" s="13" t="n">
        <v>5</v>
      </c>
      <c r="G195" s="13" t="n">
        <v>5</v>
      </c>
      <c r="H195" s="8" t="n">
        <v>31.1904</v>
      </c>
      <c r="I195" s="8">
        <f>G195*H195</f>
        <v/>
      </c>
      <c r="J195" s="8">
        <f>H195/E195</f>
        <v/>
      </c>
      <c r="K195" s="8" t="n">
        <v>32.08</v>
      </c>
      <c r="L195" s="8" t="n">
        <v>27.875</v>
      </c>
      <c r="M195" s="8" t="n">
        <v>30.225</v>
      </c>
      <c r="N195" s="14">
        <f>J195/M195-1</f>
        <v/>
      </c>
      <c r="O195" s="14">
        <f>J195/K195-1</f>
        <v/>
      </c>
      <c r="P195" s="7" t="inlineStr">
        <is>
          <t>OK (≤ últ. compra)</t>
        </is>
      </c>
      <c r="Q195" s="7" t="inlineStr"/>
    </row>
    <row r="196">
      <c r="A196" s="7" t="n">
        <v>662011</v>
      </c>
      <c r="B196" s="7" t="inlineStr"/>
      <c r="C196" s="12" t="inlineStr">
        <is>
          <t>7891058002688</t>
        </is>
      </c>
      <c r="D196" s="7" t="inlineStr">
        <is>
          <t>DICLORIDRATO DE TRIMETAZIDINA 35MG 30CPR MED-GENERICO</t>
        </is>
      </c>
      <c r="E196" s="13" t="n">
        <v>1</v>
      </c>
      <c r="F196" s="13" t="n">
        <v>2</v>
      </c>
      <c r="G196" s="13" t="n">
        <v>2</v>
      </c>
      <c r="H196" s="8" t="n">
        <v>37.81044</v>
      </c>
      <c r="I196" s="8">
        <f>G196*H196</f>
        <v/>
      </c>
      <c r="J196" s="8">
        <f>H196/E196</f>
        <v/>
      </c>
      <c r="K196" s="8" t="n">
        <v>27.95</v>
      </c>
      <c r="L196" s="8" t="n">
        <v>25.3067</v>
      </c>
      <c r="M196" s="8" t="n">
        <v>27.0689</v>
      </c>
      <c r="N196" s="14">
        <f>J196/M196-1</f>
        <v/>
      </c>
      <c r="O196" s="14">
        <f>J196/K196-1</f>
        <v/>
      </c>
      <c r="P196" s="7" t="inlineStr">
        <is>
          <t>ACIMA +35.3%</t>
        </is>
      </c>
      <c r="Q196" s="7" t="inlineStr"/>
    </row>
    <row r="197">
      <c r="A197" s="7" t="n">
        <v>664761</v>
      </c>
      <c r="B197" s="7" t="inlineStr"/>
      <c r="C197" s="12" t="inlineStr">
        <is>
          <t>7896523201887</t>
        </is>
      </c>
      <c r="D197" s="7" t="inlineStr">
        <is>
          <t>DIPIRONA 1G CX 10 COMP</t>
        </is>
      </c>
      <c r="E197" s="13" t="n">
        <v>1</v>
      </c>
      <c r="F197" s="13" t="n">
        <v>119</v>
      </c>
      <c r="G197" s="13" t="n">
        <v>119</v>
      </c>
      <c r="H197" s="8" t="n">
        <v>11.56</v>
      </c>
      <c r="I197" s="8">
        <f>G197*H197</f>
        <v/>
      </c>
      <c r="J197" s="8">
        <f>H197/E197</f>
        <v/>
      </c>
      <c r="K197" s="8" t="n">
        <v>3.99</v>
      </c>
      <c r="L197" s="8" t="n">
        <v>3.99</v>
      </c>
      <c r="M197" s="8" t="n">
        <v>3.99</v>
      </c>
      <c r="N197" s="14">
        <f>J197/M197-1</f>
        <v/>
      </c>
      <c r="O197" s="14">
        <f>J197/K197-1</f>
        <v/>
      </c>
      <c r="P197" s="7" t="inlineStr">
        <is>
          <t>ACIMA +189.7%</t>
        </is>
      </c>
      <c r="Q197" s="7" t="inlineStr">
        <is>
          <t>conferir emb.</t>
        </is>
      </c>
    </row>
    <row r="198">
      <c r="A198" s="7" t="n">
        <v>625321</v>
      </c>
      <c r="B198" s="7" t="inlineStr"/>
      <c r="C198" s="12" t="inlineStr">
        <is>
          <t>7891058002602</t>
        </is>
      </c>
      <c r="D198" s="7" t="inlineStr">
        <is>
          <t>DIPIRONA MONOIDRATADA 1G CX 10 COMP</t>
        </is>
      </c>
      <c r="E198" s="13" t="n">
        <v>1</v>
      </c>
      <c r="F198" s="13" t="n">
        <v>74</v>
      </c>
      <c r="G198" s="13" t="n">
        <v>74</v>
      </c>
      <c r="H198" s="8" t="n">
        <v>10.88472</v>
      </c>
      <c r="I198" s="8">
        <f>G198*H198</f>
        <v/>
      </c>
      <c r="J198" s="8">
        <f>H198/E198</f>
        <v/>
      </c>
      <c r="K198" s="8" t="n">
        <v>6.9818</v>
      </c>
      <c r="L198" s="8" t="n">
        <v>3.9342</v>
      </c>
      <c r="M198" s="8" t="n">
        <v>5.965933333333333</v>
      </c>
      <c r="N198" s="14">
        <f>J198/M198-1</f>
        <v/>
      </c>
      <c r="O198" s="14">
        <f>J198/K198-1</f>
        <v/>
      </c>
      <c r="P198" s="7" t="inlineStr">
        <is>
          <t>ACIMA +55.9%</t>
        </is>
      </c>
      <c r="Q198" s="7" t="inlineStr"/>
    </row>
    <row r="199">
      <c r="A199" s="7" t="n">
        <v>222681</v>
      </c>
      <c r="B199" s="7" t="inlineStr"/>
      <c r="C199" s="12" t="inlineStr">
        <is>
          <t>7896422507059</t>
        </is>
      </c>
      <c r="D199" s="7" t="inlineStr">
        <is>
          <t>DIPIRONA MONOIDRATADA 500MG CX 30 COMP</t>
        </is>
      </c>
      <c r="E199" s="13" t="n">
        <v>1</v>
      </c>
      <c r="F199" s="13" t="n">
        <v>1</v>
      </c>
      <c r="G199" s="13" t="n">
        <v>1</v>
      </c>
      <c r="H199" s="8" t="n">
        <v>15.631</v>
      </c>
      <c r="I199" s="8">
        <f>G199*H199</f>
        <v/>
      </c>
      <c r="J199" s="8">
        <f>H199/E199</f>
        <v/>
      </c>
      <c r="K199" s="8" t="n">
        <v>5.535</v>
      </c>
      <c r="L199" s="8" t="n">
        <v>4.76</v>
      </c>
      <c r="M199" s="8" t="n">
        <v>5.273333333333333</v>
      </c>
      <c r="N199" s="14">
        <f>J199/M199-1</f>
        <v/>
      </c>
      <c r="O199" s="14">
        <f>J199/K199-1</f>
        <v/>
      </c>
      <c r="P199" s="7" t="inlineStr">
        <is>
          <t>ACIMA +182.4%</t>
        </is>
      </c>
      <c r="Q199" s="7" t="inlineStr">
        <is>
          <t>conferir emb.</t>
        </is>
      </c>
    </row>
    <row r="200">
      <c r="A200" s="7" t="n">
        <v>221081</v>
      </c>
      <c r="B200" s="7" t="inlineStr"/>
      <c r="C200" s="12" t="inlineStr">
        <is>
          <t>7896422506229</t>
        </is>
      </c>
      <c r="D200" s="7" t="inlineStr">
        <is>
          <t>DIPIRONA MONOIDRATADA 500MG/ML SOL ORAL FR GTS 10ML</t>
        </is>
      </c>
      <c r="E200" s="13" t="n">
        <v>1</v>
      </c>
      <c r="F200" s="13" t="n">
        <v>50</v>
      </c>
      <c r="G200" s="13" t="n">
        <v>50</v>
      </c>
      <c r="H200" s="8" t="n">
        <v>5.4288</v>
      </c>
      <c r="I200" s="8">
        <f>G200*H200</f>
        <v/>
      </c>
      <c r="J200" s="8">
        <f>H200/E200</f>
        <v/>
      </c>
      <c r="K200" s="8" t="n">
        <v>2.9836</v>
      </c>
      <c r="L200" s="8" t="n">
        <v>1.2221</v>
      </c>
      <c r="M200" s="8" t="n">
        <v>2.396433333333333</v>
      </c>
      <c r="N200" s="14">
        <f>J200/M200-1</f>
        <v/>
      </c>
      <c r="O200" s="14">
        <f>J200/K200-1</f>
        <v/>
      </c>
      <c r="P200" s="7" t="inlineStr">
        <is>
          <t>ACIMA +82.0%</t>
        </is>
      </c>
      <c r="Q200" s="7" t="inlineStr"/>
    </row>
    <row r="201">
      <c r="A201" s="7" t="n">
        <v>222661</v>
      </c>
      <c r="B201" s="7" t="inlineStr"/>
      <c r="C201" s="12" t="inlineStr">
        <is>
          <t>7896422506243</t>
        </is>
      </c>
      <c r="D201" s="7" t="inlineStr">
        <is>
          <t>DIPIRONA MONOIDRATADA 50MG/ML SOL ORAL X 100ML+COP MED</t>
        </is>
      </c>
      <c r="E201" s="13" t="n">
        <v>1</v>
      </c>
      <c r="F201" s="13" t="n">
        <v>26</v>
      </c>
      <c r="G201" s="13" t="n">
        <v>26</v>
      </c>
      <c r="H201" s="8" t="n">
        <v>10.9604</v>
      </c>
      <c r="I201" s="8">
        <f>G201*H201</f>
        <v/>
      </c>
      <c r="J201" s="8">
        <f>H201/E201</f>
        <v/>
      </c>
      <c r="K201" s="8" t="n">
        <v>6.7696</v>
      </c>
      <c r="L201" s="8" t="n">
        <v>5.805</v>
      </c>
      <c r="M201" s="8" t="n">
        <v>6.447866666666667</v>
      </c>
      <c r="N201" s="14">
        <f>J201/M201-1</f>
        <v/>
      </c>
      <c r="O201" s="14">
        <f>J201/K201-1</f>
        <v/>
      </c>
      <c r="P201" s="7" t="inlineStr">
        <is>
          <t>ACIMA +61.9%</t>
        </is>
      </c>
      <c r="Q201" s="7" t="inlineStr"/>
    </row>
    <row r="202">
      <c r="A202" s="7" t="n">
        <v>124261</v>
      </c>
      <c r="B202" s="7" t="inlineStr"/>
      <c r="C202" s="12" t="inlineStr">
        <is>
          <t>7891317010065</t>
        </is>
      </c>
      <c r="D202" s="7" t="inlineStr">
        <is>
          <t>DIUPRESS 25+5MG CX 30 COMP</t>
        </is>
      </c>
      <c r="E202" s="13" t="n">
        <v>1</v>
      </c>
      <c r="F202" s="13" t="n">
        <v>1</v>
      </c>
      <c r="G202" s="13" t="n">
        <v>1</v>
      </c>
      <c r="H202" s="8" t="n">
        <v>33.99619999999999</v>
      </c>
      <c r="I202" s="8">
        <f>G202*H202</f>
        <v/>
      </c>
      <c r="J202" s="8">
        <f>H202/E202</f>
        <v/>
      </c>
      <c r="K202" s="8" t="n">
        <v>32.61</v>
      </c>
      <c r="L202" s="8" t="n">
        <v>31.18</v>
      </c>
      <c r="M202" s="8" t="n">
        <v>32.13333333333333</v>
      </c>
      <c r="N202" s="14">
        <f>J202/M202-1</f>
        <v/>
      </c>
      <c r="O202" s="14">
        <f>J202/K202-1</f>
        <v/>
      </c>
      <c r="P202" s="7" t="inlineStr">
        <is>
          <t>ACIMA +4.3%</t>
        </is>
      </c>
      <c r="Q202" s="7" t="inlineStr"/>
    </row>
    <row r="203">
      <c r="A203" s="7" t="n">
        <v>648681</v>
      </c>
      <c r="B203" s="7" t="inlineStr"/>
      <c r="C203" s="12" t="inlineStr">
        <is>
          <t>7891150074484</t>
        </is>
      </c>
      <c r="D203" s="7" t="inlineStr">
        <is>
          <t>DOVE BABY LOCAO 200ML HID HORA DORMIR M3</t>
        </is>
      </c>
      <c r="E203" s="13" t="n">
        <v>1</v>
      </c>
      <c r="F203" s="13" t="n">
        <v>2</v>
      </c>
      <c r="G203" s="13" t="n">
        <v>2</v>
      </c>
      <c r="H203" s="8" t="n">
        <v>21.32</v>
      </c>
      <c r="I203" s="8">
        <f>G203*H203</f>
        <v/>
      </c>
      <c r="J203" s="8">
        <f>H203/E203</f>
        <v/>
      </c>
      <c r="K203" s="8" t="n">
        <v>15.7867</v>
      </c>
      <c r="L203" s="8" t="n">
        <v>15.7867</v>
      </c>
      <c r="M203" s="8" t="n">
        <v>15.7867</v>
      </c>
      <c r="N203" s="14">
        <f>J203/M203-1</f>
        <v/>
      </c>
      <c r="O203" s="14">
        <f>J203/K203-1</f>
        <v/>
      </c>
      <c r="P203" s="7" t="inlineStr">
        <is>
          <t>ACIMA +35.1%</t>
        </is>
      </c>
      <c r="Q203" s="7" t="inlineStr"/>
    </row>
    <row r="204">
      <c r="A204" s="7" t="n">
        <v>621661</v>
      </c>
      <c r="B204" s="7" t="inlineStr"/>
      <c r="C204" s="12" t="inlineStr">
        <is>
          <t>7891150025981</t>
        </is>
      </c>
      <c r="D204" s="7" t="inlineStr">
        <is>
          <t>DOVE BABY SB LIQ 200ML HID ENRIQUECID M3</t>
        </is>
      </c>
      <c r="E204" s="13" t="n">
        <v>1</v>
      </c>
      <c r="F204" s="13" t="n">
        <v>5</v>
      </c>
      <c r="G204" s="13" t="n">
        <v>5</v>
      </c>
      <c r="H204" s="8" t="n">
        <v>14.98</v>
      </c>
      <c r="I204" s="8">
        <f>G204*H204</f>
        <v/>
      </c>
      <c r="J204" s="8">
        <f>H204/E204</f>
        <v/>
      </c>
      <c r="K204" s="8" t="n">
        <v>14.6467</v>
      </c>
      <c r="L204" s="8" t="n">
        <v>13.7525</v>
      </c>
      <c r="M204" s="8" t="n">
        <v>14.34863333333333</v>
      </c>
      <c r="N204" s="14">
        <f>J204/M204-1</f>
        <v/>
      </c>
      <c r="O204" s="14">
        <f>J204/K204-1</f>
        <v/>
      </c>
      <c r="P204" s="7" t="inlineStr">
        <is>
          <t>ACIMA +2.3%</t>
        </is>
      </c>
      <c r="Q204" s="7" t="inlineStr"/>
    </row>
    <row r="205">
      <c r="A205" s="7" t="n">
        <v>656231</v>
      </c>
      <c r="B205" s="7" t="inlineStr"/>
      <c r="C205" s="12" t="inlineStr">
        <is>
          <t>7891150095816</t>
        </is>
      </c>
      <c r="D205" s="7" t="inlineStr">
        <is>
          <t>DOVE HIDRAT CORP NIACINAMIDA 180ML</t>
        </is>
      </c>
      <c r="E205" s="13" t="n">
        <v>1</v>
      </c>
      <c r="F205" s="13" t="n">
        <v>3</v>
      </c>
      <c r="G205" s="13" t="n">
        <v>3</v>
      </c>
      <c r="H205" s="8" t="n">
        <v>22.79</v>
      </c>
      <c r="I205" s="8">
        <f>G205*H205</f>
        <v/>
      </c>
      <c r="J205" s="8">
        <f>H205/E205</f>
        <v/>
      </c>
      <c r="K205" s="8" t="n">
        <v>20.3392</v>
      </c>
      <c r="L205" s="8" t="n">
        <v>17.4958</v>
      </c>
      <c r="M205" s="8" t="n">
        <v>17.4958</v>
      </c>
      <c r="N205" s="14">
        <f>J205/M205-1</f>
        <v/>
      </c>
      <c r="O205" s="14">
        <f>J205/K205-1</f>
        <v/>
      </c>
      <c r="P205" s="7" t="inlineStr">
        <is>
          <t>ACIMA +12.0%</t>
        </is>
      </c>
      <c r="Q205" s="7" t="inlineStr"/>
    </row>
    <row r="206">
      <c r="A206" s="7" t="n">
        <v>648781</v>
      </c>
      <c r="B206" s="7" t="inlineStr"/>
      <c r="C206" s="12" t="inlineStr">
        <is>
          <t>7891150021662</t>
        </is>
      </c>
      <c r="D206" s="7" t="inlineStr">
        <is>
          <t>DOVE SH 200ML MEN 2EM1 FORCA RESISTEN M3</t>
        </is>
      </c>
      <c r="E206" s="13" t="n">
        <v>1</v>
      </c>
      <c r="F206" s="13" t="n">
        <v>1</v>
      </c>
      <c r="G206" s="13" t="n">
        <v>1</v>
      </c>
      <c r="H206" s="8" t="n">
        <v>15.97</v>
      </c>
      <c r="I206" s="8">
        <f>G206*H206</f>
        <v/>
      </c>
      <c r="J206" s="8">
        <f>H206/E206</f>
        <v/>
      </c>
      <c r="K206" s="8" t="n">
        <v>15.4</v>
      </c>
      <c r="L206" s="8" t="n">
        <v>15.4</v>
      </c>
      <c r="M206" s="8" t="n">
        <v>15.4</v>
      </c>
      <c r="N206" s="14">
        <f>J206/M206-1</f>
        <v/>
      </c>
      <c r="O206" s="14">
        <f>J206/K206-1</f>
        <v/>
      </c>
      <c r="P206" s="7" t="inlineStr">
        <is>
          <t>ACIMA +3.7%</t>
        </is>
      </c>
      <c r="Q206" s="7" t="inlineStr"/>
    </row>
    <row r="207">
      <c r="A207" s="7" t="n">
        <v>648591</v>
      </c>
      <c r="B207" s="7" t="inlineStr"/>
      <c r="C207" s="12" t="inlineStr">
        <is>
          <t>7891150021709</t>
        </is>
      </c>
      <c r="D207" s="7" t="inlineStr">
        <is>
          <t>DOVE SH 200ML MEN PROTECAO ANTICASPA M3</t>
        </is>
      </c>
      <c r="E207" s="13" t="n">
        <v>1</v>
      </c>
      <c r="F207" s="13" t="n">
        <v>1</v>
      </c>
      <c r="G207" s="13" t="n">
        <v>1</v>
      </c>
      <c r="H207" s="8" t="n">
        <v>15.97</v>
      </c>
      <c r="I207" s="8">
        <f>G207*H207</f>
        <v/>
      </c>
      <c r="J207" s="8">
        <f>H207/E207</f>
        <v/>
      </c>
      <c r="K207" s="8" t="n">
        <v>15.4</v>
      </c>
      <c r="L207" s="8" t="n">
        <v>15.4</v>
      </c>
      <c r="M207" s="8" t="n">
        <v>15.4</v>
      </c>
      <c r="N207" s="14">
        <f>J207/M207-1</f>
        <v/>
      </c>
      <c r="O207" s="14">
        <f>J207/K207-1</f>
        <v/>
      </c>
      <c r="P207" s="7" t="inlineStr">
        <is>
          <t>ACIMA +3.7%</t>
        </is>
      </c>
      <c r="Q207" s="7" t="inlineStr"/>
    </row>
    <row r="208">
      <c r="A208" s="7" t="n">
        <v>337761</v>
      </c>
      <c r="B208" s="7" t="inlineStr"/>
      <c r="C208" s="12" t="inlineStr">
        <is>
          <t>7896226108919</t>
        </is>
      </c>
      <c r="D208" s="7" t="inlineStr">
        <is>
          <t>DOZEMAST 1000 MCG COM SUBL CT BL AL AL X 20</t>
        </is>
      </c>
      <c r="E208" s="13" t="n">
        <v>1</v>
      </c>
      <c r="F208" s="13" t="n">
        <v>1</v>
      </c>
      <c r="G208" s="13" t="n">
        <v>1</v>
      </c>
      <c r="H208" s="8" t="n">
        <v>48.4903</v>
      </c>
      <c r="I208" s="8">
        <f>G208*H208</f>
        <v/>
      </c>
      <c r="J208" s="8">
        <f>H208/E208</f>
        <v/>
      </c>
      <c r="K208" s="8" t="n">
        <v>45.4767</v>
      </c>
      <c r="L208" s="8" t="n">
        <v>45.4767</v>
      </c>
      <c r="M208" s="8" t="n">
        <v>45.4767</v>
      </c>
      <c r="N208" s="14">
        <f>J208/M208-1</f>
        <v/>
      </c>
      <c r="O208" s="14">
        <f>J208/K208-1</f>
        <v/>
      </c>
      <c r="P208" s="7" t="inlineStr">
        <is>
          <t>ACIMA +6.6%</t>
        </is>
      </c>
      <c r="Q208" s="7" t="inlineStr"/>
    </row>
    <row r="209">
      <c r="A209" s="7" t="n">
        <v>648551</v>
      </c>
      <c r="B209" s="7" t="inlineStr"/>
      <c r="C209" s="12" t="inlineStr">
        <is>
          <t>0000075076719</t>
        </is>
      </c>
      <c r="D209" s="7" t="inlineStr">
        <is>
          <t>DSD DOVE MEN STICK 45G CARE INVISI DRY M3</t>
        </is>
      </c>
      <c r="E209" s="13" t="n">
        <v>1</v>
      </c>
      <c r="F209" s="13" t="n">
        <v>2</v>
      </c>
      <c r="G209" s="13" t="n">
        <v>2</v>
      </c>
      <c r="H209" s="8" t="n">
        <v>21.36</v>
      </c>
      <c r="I209" s="8">
        <f>G209*H209</f>
        <v/>
      </c>
      <c r="J209" s="8">
        <f>H209/E209</f>
        <v/>
      </c>
      <c r="K209" s="8" t="n">
        <v>18.7033</v>
      </c>
      <c r="L209" s="8" t="n">
        <v>18.7033</v>
      </c>
      <c r="M209" s="8" t="n">
        <v>18.7033</v>
      </c>
      <c r="N209" s="14">
        <f>J209/M209-1</f>
        <v/>
      </c>
      <c r="O209" s="14">
        <f>J209/K209-1</f>
        <v/>
      </c>
      <c r="P209" s="7" t="inlineStr">
        <is>
          <t>ACIMA +14.2%</t>
        </is>
      </c>
      <c r="Q209" s="7" t="inlineStr"/>
    </row>
    <row r="210">
      <c r="A210" s="7" t="n">
        <v>648561</v>
      </c>
      <c r="B210" s="7" t="inlineStr"/>
      <c r="C210" s="12" t="inlineStr">
        <is>
          <t>0000075076702</t>
        </is>
      </c>
      <c r="D210" s="7" t="inlineStr">
        <is>
          <t>DSD DOVE MEN STICK 45G CARE SPORT FRES M3</t>
        </is>
      </c>
      <c r="E210" s="13" t="n">
        <v>1</v>
      </c>
      <c r="F210" s="13" t="n">
        <v>1</v>
      </c>
      <c r="G210" s="13" t="n">
        <v>1</v>
      </c>
      <c r="H210" s="8" t="n">
        <v>21.36</v>
      </c>
      <c r="I210" s="8">
        <f>G210*H210</f>
        <v/>
      </c>
      <c r="J210" s="8">
        <f>H210/E210</f>
        <v/>
      </c>
      <c r="K210" s="8" t="n">
        <v>18.15</v>
      </c>
      <c r="L210" s="8" t="n">
        <v>18.15</v>
      </c>
      <c r="M210" s="8" t="n">
        <v>18.15</v>
      </c>
      <c r="N210" s="14">
        <f>J210/M210-1</f>
        <v/>
      </c>
      <c r="O210" s="14">
        <f>J210/K210-1</f>
        <v/>
      </c>
      <c r="P210" s="7" t="inlineStr">
        <is>
          <t>ACIMA +17.7%</t>
        </is>
      </c>
      <c r="Q210" s="7" t="inlineStr"/>
    </row>
    <row r="211">
      <c r="A211" s="7" t="n">
        <v>230701</v>
      </c>
      <c r="B211" s="7" t="inlineStr"/>
      <c r="C211" s="12" t="inlineStr">
        <is>
          <t>7892953003558</t>
        </is>
      </c>
      <c r="D211" s="7" t="inlineStr">
        <is>
          <t>DUTAM 0,5+0,4MG CX 30 CAP LIB PROL</t>
        </is>
      </c>
      <c r="E211" s="13" t="n">
        <v>1</v>
      </c>
      <c r="F211" s="13" t="n">
        <v>18</v>
      </c>
      <c r="G211" s="13" t="n">
        <v>18</v>
      </c>
      <c r="H211" s="8" t="n">
        <v>93.9918</v>
      </c>
      <c r="I211" s="8">
        <f>G211*H211</f>
        <v/>
      </c>
      <c r="J211" s="8">
        <f>H211/E211</f>
        <v/>
      </c>
      <c r="K211" s="8" t="n">
        <v>80.73</v>
      </c>
      <c r="L211" s="8" t="n">
        <v>76.9175</v>
      </c>
      <c r="M211" s="8" t="n">
        <v>79.45916666666666</v>
      </c>
      <c r="N211" s="14">
        <f>J211/M211-1</f>
        <v/>
      </c>
      <c r="O211" s="14">
        <f>J211/K211-1</f>
        <v/>
      </c>
      <c r="P211" s="7" t="inlineStr">
        <is>
          <t>ACIMA +16.4%</t>
        </is>
      </c>
      <c r="Q211" s="7" t="inlineStr"/>
    </row>
    <row r="212">
      <c r="A212" s="7" t="n">
        <v>452521</v>
      </c>
      <c r="B212" s="7" t="inlineStr"/>
      <c r="C212" s="12" t="inlineStr">
        <is>
          <t>7898109240136</t>
        </is>
      </c>
      <c r="D212" s="7" t="inlineStr">
        <is>
          <t>ELOTIN SOL OTO FR GTS 5ML</t>
        </is>
      </c>
      <c r="E212" s="13" t="n">
        <v>1</v>
      </c>
      <c r="F212" s="13" t="n">
        <v>1</v>
      </c>
      <c r="G212" s="13" t="n">
        <v>1</v>
      </c>
      <c r="H212" s="8" t="n">
        <v>9.490500000000001</v>
      </c>
      <c r="I212" s="8">
        <f>G212*H212</f>
        <v/>
      </c>
      <c r="J212" s="8">
        <f>H212/E212</f>
        <v/>
      </c>
      <c r="K212" s="8" t="n">
        <v>8.99</v>
      </c>
      <c r="L212" s="8" t="n">
        <v>8.99</v>
      </c>
      <c r="M212" s="8" t="n">
        <v>8.99</v>
      </c>
      <c r="N212" s="14">
        <f>J212/M212-1</f>
        <v/>
      </c>
      <c r="O212" s="14">
        <f>J212/K212-1</f>
        <v/>
      </c>
      <c r="P212" s="7" t="inlineStr">
        <is>
          <t>ACIMA +5.6%</t>
        </is>
      </c>
      <c r="Q212" s="7" t="inlineStr"/>
    </row>
    <row r="213">
      <c r="A213" s="7" t="n">
        <v>662701</v>
      </c>
      <c r="B213" s="7" t="inlineStr"/>
      <c r="C213" s="12" t="inlineStr">
        <is>
          <t>7908615060347</t>
        </is>
      </c>
      <c r="D213" s="7" t="inlineStr">
        <is>
          <t>ELS GLYCOLIC GLOSS ACIDIF 200ML-DEMAIS PROD</t>
        </is>
      </c>
      <c r="E213" s="13" t="n">
        <v>1</v>
      </c>
      <c r="F213" s="13" t="n">
        <v>1</v>
      </c>
      <c r="G213" s="13" t="n">
        <v>1</v>
      </c>
      <c r="H213" s="8" t="n">
        <v>42.19</v>
      </c>
      <c r="I213" s="8">
        <f>G213*H213</f>
        <v/>
      </c>
      <c r="J213" s="8">
        <f>H213/E213</f>
        <v/>
      </c>
      <c r="K213" s="8" t="n">
        <v>26.4033</v>
      </c>
      <c r="L213" s="8" t="n">
        <v>26.4033</v>
      </c>
      <c r="M213" s="8" t="n">
        <v>26.4033</v>
      </c>
      <c r="N213" s="14">
        <f>J213/M213-1</f>
        <v/>
      </c>
      <c r="O213" s="14">
        <f>J213/K213-1</f>
        <v/>
      </c>
      <c r="P213" s="7" t="inlineStr">
        <is>
          <t>ACIMA +59.8%</t>
        </is>
      </c>
      <c r="Q213" s="7" t="inlineStr"/>
    </row>
    <row r="214">
      <c r="A214" s="7" t="n">
        <v>600341</v>
      </c>
      <c r="B214" s="7" t="inlineStr"/>
      <c r="C214" s="12" t="inlineStr">
        <is>
          <t>7891024033425</t>
        </is>
      </c>
      <c r="D214" s="7" t="inlineStr">
        <is>
          <t>ENX BUC COLGATE PERIOG EXTRA MINT 250ML</t>
        </is>
      </c>
      <c r="E214" s="13" t="n">
        <v>1</v>
      </c>
      <c r="F214" s="13" t="n">
        <v>1</v>
      </c>
      <c r="G214" s="13" t="n">
        <v>1</v>
      </c>
      <c r="H214" s="8" t="n">
        <v>26.4</v>
      </c>
      <c r="I214" s="8">
        <f>G214*H214</f>
        <v/>
      </c>
      <c r="J214" s="8">
        <f>H214/E214</f>
        <v/>
      </c>
      <c r="K214" s="8" t="n">
        <v>23.76</v>
      </c>
      <c r="L214" s="8" t="n">
        <v>22.47</v>
      </c>
      <c r="M214" s="8" t="n">
        <v>22.9</v>
      </c>
      <c r="N214" s="14">
        <f>J214/M214-1</f>
        <v/>
      </c>
      <c r="O214" s="14">
        <f>J214/K214-1</f>
        <v/>
      </c>
      <c r="P214" s="7" t="inlineStr">
        <is>
          <t>ACIMA +11.1%</t>
        </is>
      </c>
      <c r="Q214" s="7" t="inlineStr"/>
    </row>
    <row r="215">
      <c r="A215" s="7" t="n">
        <v>556781</v>
      </c>
      <c r="B215" s="7" t="inlineStr"/>
      <c r="C215" s="12" t="inlineStr">
        <is>
          <t>7891010973902</t>
        </is>
      </c>
      <c r="D215" s="7" t="inlineStr">
        <is>
          <t>ENXAGUANTE BUCAL ANTISSÉPTICO ZERO ÁLCOOL MENTA SUAVE LISTERINE COOL MINT 250ML</t>
        </is>
      </c>
      <c r="E215" s="13" t="n">
        <v>1</v>
      </c>
      <c r="F215" s="13" t="n">
        <v>5</v>
      </c>
      <c r="G215" s="13" t="n">
        <v>5</v>
      </c>
      <c r="H215" s="8" t="n">
        <v>15.08</v>
      </c>
      <c r="I215" s="8">
        <f>G215*H215</f>
        <v/>
      </c>
      <c r="J215" s="8">
        <f>H215/E215</f>
        <v/>
      </c>
      <c r="K215" s="8" t="n">
        <v>13.43</v>
      </c>
      <c r="L215" s="8" t="n">
        <v>13.43</v>
      </c>
      <c r="M215" s="8" t="n">
        <v>13.43</v>
      </c>
      <c r="N215" s="14">
        <f>J215/M215-1</f>
        <v/>
      </c>
      <c r="O215" s="14">
        <f>J215/K215-1</f>
        <v/>
      </c>
      <c r="P215" s="7" t="inlineStr">
        <is>
          <t>ACIMA +12.3%</t>
        </is>
      </c>
      <c r="Q215" s="7" t="inlineStr"/>
    </row>
    <row r="216">
      <c r="A216" s="7" t="n">
        <v>1194</v>
      </c>
      <c r="B216" s="7" t="inlineStr"/>
      <c r="C216" s="12" t="inlineStr">
        <is>
          <t>7901062405105</t>
        </is>
      </c>
      <c r="D216" s="7" t="inlineStr">
        <is>
          <t>EQUALIV OMEGA 3 KIDS X30 CAP</t>
        </is>
      </c>
      <c r="E216" s="13" t="n">
        <v>1</v>
      </c>
      <c r="F216" s="13" t="n">
        <v>1</v>
      </c>
      <c r="G216" s="13" t="n">
        <v>1</v>
      </c>
      <c r="H216" s="8" t="n">
        <v>68.25</v>
      </c>
      <c r="I216" s="8">
        <f>G216*H216</f>
        <v/>
      </c>
      <c r="J216" s="8">
        <f>H216/E216</f>
        <v/>
      </c>
      <c r="K216" s="8" t="n">
        <v>47.8733</v>
      </c>
      <c r="L216" s="8" t="n">
        <v>47.8733</v>
      </c>
      <c r="M216" s="8" t="n">
        <v>47.8733</v>
      </c>
      <c r="N216" s="14">
        <f>J216/M216-1</f>
        <v/>
      </c>
      <c r="O216" s="14">
        <f>J216/K216-1</f>
        <v/>
      </c>
      <c r="P216" s="7" t="inlineStr">
        <is>
          <t>ACIMA +42.6%</t>
        </is>
      </c>
      <c r="Q216" s="7" t="inlineStr"/>
    </row>
    <row r="217">
      <c r="A217" s="7" t="n">
        <v>631191</v>
      </c>
      <c r="B217" s="7" t="inlineStr"/>
      <c r="C217" s="12" t="inlineStr">
        <is>
          <t>7898687733693</t>
        </is>
      </c>
      <c r="D217" s="7" t="inlineStr">
        <is>
          <t>EQUALIV OMEGA 3 ULTRA CAPS X120 CAP</t>
        </is>
      </c>
      <c r="E217" s="13" t="n">
        <v>1</v>
      </c>
      <c r="F217" s="13" t="n">
        <v>1</v>
      </c>
      <c r="G217" s="13" t="n">
        <v>1</v>
      </c>
      <c r="H217" s="8" t="n">
        <v>167.75</v>
      </c>
      <c r="I217" s="8">
        <f>G217*H217</f>
        <v/>
      </c>
      <c r="J217" s="8">
        <f>H217/E217</f>
        <v/>
      </c>
      <c r="K217" s="8" t="n">
        <v>77.16</v>
      </c>
      <c r="L217" s="8" t="n">
        <v>77.16</v>
      </c>
      <c r="M217" s="8" t="n">
        <v>77.16</v>
      </c>
      <c r="N217" s="14">
        <f>J217/M217-1</f>
        <v/>
      </c>
      <c r="O217" s="14">
        <f>J217/K217-1</f>
        <v/>
      </c>
      <c r="P217" s="7" t="inlineStr">
        <is>
          <t>ACIMA +117.4%</t>
        </is>
      </c>
      <c r="Q217" s="7" t="inlineStr">
        <is>
          <t>conferir emb.</t>
        </is>
      </c>
    </row>
    <row r="218">
      <c r="A218" s="7" t="n">
        <v>645261</v>
      </c>
      <c r="B218" s="7" t="inlineStr"/>
      <c r="C218" s="12" t="inlineStr">
        <is>
          <t>7891024021590</t>
        </is>
      </c>
      <c r="D218" s="7" t="inlineStr">
        <is>
          <t>ESC DEN COLGATE ULTRA SOFT</t>
        </is>
      </c>
      <c r="E218" s="13" t="n">
        <v>1</v>
      </c>
      <c r="F218" s="13" t="n">
        <v>5</v>
      </c>
      <c r="G218" s="13" t="n">
        <v>5</v>
      </c>
      <c r="H218" s="8" t="n">
        <v>20.71</v>
      </c>
      <c r="I218" s="8">
        <f>G218*H218</f>
        <v/>
      </c>
      <c r="J218" s="8">
        <f>H218/E218</f>
        <v/>
      </c>
      <c r="K218" s="8" t="n">
        <v>20.07</v>
      </c>
      <c r="L218" s="8" t="n">
        <v>20.07</v>
      </c>
      <c r="M218" s="8" t="n">
        <v>20.07</v>
      </c>
      <c r="N218" s="14">
        <f>J218/M218-1</f>
        <v/>
      </c>
      <c r="O218" s="14">
        <f>J218/K218-1</f>
        <v/>
      </c>
      <c r="P218" s="7" t="inlineStr">
        <is>
          <t>ACIMA +3.2%</t>
        </is>
      </c>
      <c r="Q218" s="7" t="inlineStr"/>
    </row>
    <row r="219">
      <c r="A219" s="7" t="n">
        <v>594331</v>
      </c>
      <c r="B219" s="7" t="inlineStr"/>
      <c r="C219" s="12" t="inlineStr">
        <is>
          <t>070942005111</t>
        </is>
      </c>
      <c r="D219" s="7" t="inlineStr">
        <is>
          <t>ESC INTERDENTAL GUMSOFT PICK</t>
        </is>
      </c>
      <c r="E219" s="13" t="n">
        <v>1</v>
      </c>
      <c r="F219" s="13" t="n">
        <v>1</v>
      </c>
      <c r="G219" s="13" t="n">
        <v>1</v>
      </c>
      <c r="H219" s="8" t="n">
        <v>21.5616</v>
      </c>
      <c r="I219" s="8">
        <f>G219*H219</f>
        <v/>
      </c>
      <c r="J219" s="8">
        <f>H219/E219</f>
        <v/>
      </c>
      <c r="K219" s="8" t="n">
        <v>21.99</v>
      </c>
      <c r="L219" s="8" t="n">
        <v>21.99</v>
      </c>
      <c r="M219" s="8" t="n">
        <v>21.99</v>
      </c>
      <c r="N219" s="14">
        <f>J219/M219-1</f>
        <v/>
      </c>
      <c r="O219" s="14">
        <f>J219/K219-1</f>
        <v/>
      </c>
      <c r="P219" s="7" t="inlineStr">
        <is>
          <t>OK (≤ menor hist.)</t>
        </is>
      </c>
      <c r="Q219" s="7" t="inlineStr">
        <is>
          <t>preços divergentes entre EANs (usado menor)</t>
        </is>
      </c>
    </row>
    <row r="220">
      <c r="A220" s="7" t="n">
        <v>617221</v>
      </c>
      <c r="B220" s="7" t="inlineStr"/>
      <c r="C220" s="12" t="inlineStr">
        <is>
          <t>7896512914859</t>
        </is>
      </c>
      <c r="D220" s="7" t="inlineStr">
        <is>
          <t>ESCALDA PES PINK 5SACH 15GR</t>
        </is>
      </c>
      <c r="E220" s="13" t="n">
        <v>1</v>
      </c>
      <c r="F220" s="13" t="n">
        <v>2</v>
      </c>
      <c r="G220" s="13" t="n">
        <v>2</v>
      </c>
      <c r="H220" s="8" t="n">
        <v>19.16</v>
      </c>
      <c r="I220" s="8">
        <f>G220*H220</f>
        <v/>
      </c>
      <c r="J220" s="8">
        <f>H220/E220</f>
        <v/>
      </c>
      <c r="K220" s="8" t="n">
        <v>12.6067</v>
      </c>
      <c r="L220" s="8" t="n">
        <v>12.6067</v>
      </c>
      <c r="M220" s="8" t="n">
        <v>12.6067</v>
      </c>
      <c r="N220" s="14">
        <f>J220/M220-1</f>
        <v/>
      </c>
      <c r="O220" s="14">
        <f>J220/K220-1</f>
        <v/>
      </c>
      <c r="P220" s="7" t="inlineStr">
        <is>
          <t>ACIMA +52.0%</t>
        </is>
      </c>
      <c r="Q220" s="7" t="inlineStr"/>
    </row>
    <row r="221">
      <c r="A221" s="7" t="n">
        <v>617211</v>
      </c>
      <c r="B221" s="7" t="inlineStr"/>
      <c r="C221" s="12" t="inlineStr">
        <is>
          <t>7896512914248</t>
        </is>
      </c>
      <c r="D221" s="7" t="inlineStr">
        <is>
          <t>ESFOLIANTE P POMES PINK 80GR</t>
        </is>
      </c>
      <c r="E221" s="13" t="n">
        <v>1</v>
      </c>
      <c r="F221" s="13" t="n">
        <v>1</v>
      </c>
      <c r="G221" s="13" t="n">
        <v>1</v>
      </c>
      <c r="H221" s="8" t="n">
        <v>18.95</v>
      </c>
      <c r="I221" s="8">
        <f>G221*H221</f>
        <v/>
      </c>
      <c r="J221" s="8">
        <f>H221/E221</f>
        <v/>
      </c>
      <c r="K221" s="8" t="n">
        <v>14.82</v>
      </c>
      <c r="L221" s="8" t="n">
        <v>14.82</v>
      </c>
      <c r="M221" s="8" t="n">
        <v>14.82</v>
      </c>
      <c r="N221" s="14">
        <f>J221/M221-1</f>
        <v/>
      </c>
      <c r="O221" s="14">
        <f>J221/K221-1</f>
        <v/>
      </c>
      <c r="P221" s="7" t="inlineStr">
        <is>
          <t>ACIMA +27.9%</t>
        </is>
      </c>
      <c r="Q221" s="7" t="inlineStr"/>
    </row>
    <row r="222">
      <c r="A222" s="7" t="n">
        <v>672131</v>
      </c>
      <c r="B222" s="7" t="inlineStr"/>
      <c r="C222" s="12" t="inlineStr">
        <is>
          <t>17899026422312</t>
        </is>
      </c>
      <c r="D222" s="7" t="inlineStr">
        <is>
          <t>ESM COLORAMA INT COR</t>
        </is>
      </c>
      <c r="E222" s="13" t="n">
        <v>1</v>
      </c>
      <c r="F222" s="13" t="n">
        <v>1</v>
      </c>
      <c r="G222" s="13" t="n">
        <v>1</v>
      </c>
      <c r="H222" s="8" t="n">
        <v>6.87</v>
      </c>
      <c r="I222" s="8">
        <f>G222*H222</f>
        <v/>
      </c>
      <c r="J222" s="8">
        <f>H222/E222</f>
        <v/>
      </c>
      <c r="K222" s="8" t="n">
        <v>5.8467</v>
      </c>
      <c r="L222" s="8" t="n">
        <v>5.8467</v>
      </c>
      <c r="M222" s="8" t="n">
        <v>5.846700000000001</v>
      </c>
      <c r="N222" s="14">
        <f>J222/M222-1</f>
        <v/>
      </c>
      <c r="O222" s="14">
        <f>J222/K222-1</f>
        <v/>
      </c>
      <c r="P222" s="7" t="inlineStr">
        <is>
          <t>ACIMA +17.5%</t>
        </is>
      </c>
      <c r="Q222" s="7" t="inlineStr"/>
    </row>
    <row r="223">
      <c r="A223" s="7" t="n">
        <v>702501</v>
      </c>
      <c r="B223" s="7" t="inlineStr"/>
      <c r="C223" s="12" t="inlineStr">
        <is>
          <t>7899026415478</t>
        </is>
      </c>
      <c r="D223" s="7" t="inlineStr">
        <is>
          <t>ESM COL_CREM JABUTICABA</t>
        </is>
      </c>
      <c r="E223" s="13" t="n">
        <v>1</v>
      </c>
      <c r="F223" s="13" t="n">
        <v>1</v>
      </c>
      <c r="G223" s="13" t="n">
        <v>1</v>
      </c>
      <c r="H223" s="8" t="n">
        <v>5.35</v>
      </c>
      <c r="I223" s="8">
        <f>G223*H223</f>
        <v/>
      </c>
      <c r="J223" s="8">
        <f>H223/E223</f>
        <v/>
      </c>
      <c r="K223" s="8" t="n">
        <v>5.93</v>
      </c>
      <c r="L223" s="8" t="n">
        <v>5.93</v>
      </c>
      <c r="M223" s="8" t="n">
        <v>5.93</v>
      </c>
      <c r="N223" s="14">
        <f>J223/M223-1</f>
        <v/>
      </c>
      <c r="O223" s="14">
        <f>J223/K223-1</f>
        <v/>
      </c>
      <c r="P223" s="7" t="inlineStr">
        <is>
          <t>OK (≤ menor hist.)</t>
        </is>
      </c>
      <c r="Q223" s="7" t="inlineStr"/>
    </row>
    <row r="224">
      <c r="A224" s="7" t="n">
        <v>235621</v>
      </c>
      <c r="B224" s="7" t="inlineStr"/>
      <c r="C224" s="12" t="inlineStr">
        <is>
          <t>7894916510202</t>
        </is>
      </c>
      <c r="D224" s="7" t="inlineStr">
        <is>
          <t>ESOGASTRO IBP KIT 14ESO 14CLA 28AMOX+28ESO-S</t>
        </is>
      </c>
      <c r="E224" s="13" t="n">
        <v>1</v>
      </c>
      <c r="F224" s="13" t="n">
        <v>2</v>
      </c>
      <c r="G224" s="13" t="n">
        <v>2</v>
      </c>
      <c r="H224" s="8" t="n">
        <v>272.07375</v>
      </c>
      <c r="I224" s="8">
        <f>G224*H224</f>
        <v/>
      </c>
      <c r="J224" s="8">
        <f>H224/E224</f>
        <v/>
      </c>
      <c r="K224" s="8" t="n">
        <v>272.59</v>
      </c>
      <c r="L224" s="8" t="n">
        <v>242.54</v>
      </c>
      <c r="M224" s="8" t="n">
        <v>261.6066666666666</v>
      </c>
      <c r="N224" s="14">
        <f>J224/M224-1</f>
        <v/>
      </c>
      <c r="O224" s="14">
        <f>J224/K224-1</f>
        <v/>
      </c>
      <c r="P224" s="7" t="inlineStr">
        <is>
          <t>OK (≤ últ. compra)</t>
        </is>
      </c>
      <c r="Q224" s="7" t="inlineStr"/>
    </row>
    <row r="225">
      <c r="A225" s="7" t="n">
        <v>234561</v>
      </c>
      <c r="B225" s="7" t="inlineStr"/>
      <c r="C225" s="12" t="inlineStr">
        <is>
          <t>7896206425869</t>
        </is>
      </c>
      <c r="D225" s="7" t="inlineStr">
        <is>
          <t>ESOMEPRAZOL MAGNESIO TRIIDRATADO 20MG CX 28 COMP REV</t>
        </is>
      </c>
      <c r="E225" s="13" t="n">
        <v>1</v>
      </c>
      <c r="F225" s="13" t="n">
        <v>4</v>
      </c>
      <c r="G225" s="13" t="n">
        <v>4</v>
      </c>
      <c r="H225" s="8" t="n">
        <v>54.008</v>
      </c>
      <c r="I225" s="8">
        <f>G225*H225</f>
        <v/>
      </c>
      <c r="J225" s="8">
        <f>H225/E225</f>
        <v/>
      </c>
      <c r="K225" s="8" t="n">
        <v>27.154</v>
      </c>
      <c r="L225" s="8" t="n">
        <v>24.8683</v>
      </c>
      <c r="M225" s="8" t="n">
        <v>26.3921</v>
      </c>
      <c r="N225" s="14">
        <f>J225/M225-1</f>
        <v/>
      </c>
      <c r="O225" s="14">
        <f>J225/K225-1</f>
        <v/>
      </c>
      <c r="P225" s="7" t="inlineStr">
        <is>
          <t>ACIMA +98.9%</t>
        </is>
      </c>
      <c r="Q225" s="7" t="inlineStr"/>
    </row>
    <row r="226">
      <c r="A226" s="7" t="n">
        <v>601481</v>
      </c>
      <c r="B226" s="7" t="inlineStr"/>
      <c r="C226" s="12" t="inlineStr">
        <is>
          <t>7899828213180</t>
        </is>
      </c>
      <c r="D226" s="7" t="inlineStr">
        <is>
          <t>ESPACADOR INCOTERM E100 ADUL INF</t>
        </is>
      </c>
      <c r="E226" s="13" t="n">
        <v>1</v>
      </c>
      <c r="F226" s="13" t="n">
        <v>1</v>
      </c>
      <c r="G226" s="13" t="n">
        <v>1</v>
      </c>
      <c r="H226" s="8" t="n">
        <v>49.31</v>
      </c>
      <c r="I226" s="8">
        <f>G226*H226</f>
        <v/>
      </c>
      <c r="J226" s="8">
        <f>H226/E226</f>
        <v/>
      </c>
      <c r="K226" s="8" t="n">
        <v>33.415</v>
      </c>
      <c r="L226" s="8" t="n">
        <v>33.415</v>
      </c>
      <c r="M226" s="8" t="n">
        <v>33.415</v>
      </c>
      <c r="N226" s="14">
        <f>J226/M226-1</f>
        <v/>
      </c>
      <c r="O226" s="14">
        <f>J226/K226-1</f>
        <v/>
      </c>
      <c r="P226" s="7" t="inlineStr">
        <is>
          <t>ACIMA +47.6%</t>
        </is>
      </c>
      <c r="Q226" s="7" t="inlineStr"/>
    </row>
    <row r="227">
      <c r="A227" s="7" t="n">
        <v>651561</v>
      </c>
      <c r="B227" s="7" t="inlineStr"/>
      <c r="C227" s="12" t="inlineStr">
        <is>
          <t>7891800669299</t>
        </is>
      </c>
      <c r="D227" s="7" t="inlineStr">
        <is>
          <t>ESPARADRAPO CREMER BEGE 1,2CMX3M   CREM %DN:11.00</t>
        </is>
      </c>
      <c r="E227" s="13" t="n">
        <v>1</v>
      </c>
      <c r="F227" s="13" t="n">
        <v>6</v>
      </c>
      <c r="G227" s="13" t="n">
        <v>6</v>
      </c>
      <c r="H227" s="8" t="n">
        <v>3.492</v>
      </c>
      <c r="I227" s="8">
        <f>G227*H227</f>
        <v/>
      </c>
      <c r="J227" s="8">
        <f>H227/E227</f>
        <v/>
      </c>
      <c r="K227" s="8" t="n">
        <v>3.59</v>
      </c>
      <c r="L227" s="8" t="n">
        <v>3.59</v>
      </c>
      <c r="M227" s="8" t="n">
        <v>3.59</v>
      </c>
      <c r="N227" s="14">
        <f>J227/M227-1</f>
        <v/>
      </c>
      <c r="O227" s="14">
        <f>J227/K227-1</f>
        <v/>
      </c>
      <c r="P227" s="7" t="inlineStr">
        <is>
          <t>OK (≤ menor hist.)</t>
        </is>
      </c>
      <c r="Q227" s="7" t="inlineStr"/>
    </row>
    <row r="228">
      <c r="A228" s="7" t="n">
        <v>552861</v>
      </c>
      <c r="B228" s="7" t="inlineStr"/>
      <c r="C228" s="12" t="inlineStr">
        <is>
          <t>7891800628425</t>
        </is>
      </c>
      <c r="D228" s="7" t="inlineStr">
        <is>
          <t>ESPARADRAPO SALVELOX 1,2CMX4,5M</t>
        </is>
      </c>
      <c r="E228" s="13" t="n">
        <v>1</v>
      </c>
      <c r="F228" s="13" t="n">
        <v>1</v>
      </c>
      <c r="G228" s="13" t="n">
        <v>1</v>
      </c>
      <c r="H228" s="8" t="n">
        <v>2.8712</v>
      </c>
      <c r="I228" s="8">
        <f>G228*H228</f>
        <v/>
      </c>
      <c r="J228" s="8">
        <f>H228/E228</f>
        <v/>
      </c>
      <c r="K228" s="8" t="n">
        <v>2.59</v>
      </c>
      <c r="L228" s="8" t="n">
        <v>2.59</v>
      </c>
      <c r="M228" s="8" t="n">
        <v>2.59</v>
      </c>
      <c r="N228" s="14">
        <f>J228/M228-1</f>
        <v/>
      </c>
      <c r="O228" s="14">
        <f>J228/K228-1</f>
        <v/>
      </c>
      <c r="P228" s="7" t="inlineStr">
        <is>
          <t>ACIMA +10.9%</t>
        </is>
      </c>
      <c r="Q228" s="7" t="inlineStr"/>
    </row>
    <row r="229">
      <c r="A229" s="7" t="n">
        <v>552901</v>
      </c>
      <c r="B229" s="7" t="inlineStr"/>
      <c r="C229" s="12" t="inlineStr">
        <is>
          <t>7891800628418</t>
        </is>
      </c>
      <c r="D229" s="7" t="inlineStr">
        <is>
          <t>ESPARADRAPO SALVELOX 2,5CMX90CM</t>
        </is>
      </c>
      <c r="E229" s="13" t="n">
        <v>1</v>
      </c>
      <c r="F229" s="13" t="n">
        <v>1</v>
      </c>
      <c r="G229" s="13" t="n">
        <v>1</v>
      </c>
      <c r="H229" s="8" t="n">
        <v>1.843</v>
      </c>
      <c r="I229" s="8">
        <f>G229*H229</f>
        <v/>
      </c>
      <c r="J229" s="8">
        <f>H229/E229</f>
        <v/>
      </c>
      <c r="K229" s="8" t="n">
        <v>1.5425</v>
      </c>
      <c r="L229" s="8" t="n">
        <v>1.5425</v>
      </c>
      <c r="M229" s="8" t="n">
        <v>1.5425</v>
      </c>
      <c r="N229" s="14">
        <f>J229/M229-1</f>
        <v/>
      </c>
      <c r="O229" s="14">
        <f>J229/K229-1</f>
        <v/>
      </c>
      <c r="P229" s="7" t="inlineStr">
        <is>
          <t>ACIMA +19.5%</t>
        </is>
      </c>
      <c r="Q229" s="7" t="inlineStr"/>
    </row>
    <row r="230">
      <c r="A230" s="7" t="n">
        <v>578121</v>
      </c>
      <c r="B230" s="7" t="inlineStr"/>
      <c r="C230" s="12" t="inlineStr">
        <is>
          <t>7891800628432</t>
        </is>
      </c>
      <c r="D230" s="7" t="inlineStr">
        <is>
          <t>ESPARADRAPO SALVELOX 5CMX4,5M</t>
        </is>
      </c>
      <c r="E230" s="13" t="n">
        <v>1</v>
      </c>
      <c r="F230" s="13" t="n">
        <v>9</v>
      </c>
      <c r="G230" s="13" t="n">
        <v>9</v>
      </c>
      <c r="H230" s="8" t="n">
        <v>6.6542</v>
      </c>
      <c r="I230" s="8">
        <f>G230*H230</f>
        <v/>
      </c>
      <c r="J230" s="8">
        <f>H230/E230</f>
        <v/>
      </c>
      <c r="K230" s="8" t="n">
        <v>6.844</v>
      </c>
      <c r="L230" s="8" t="n">
        <v>6.48</v>
      </c>
      <c r="M230" s="8" t="n">
        <v>6.722666666666666</v>
      </c>
      <c r="N230" s="14">
        <f>J230/M230-1</f>
        <v/>
      </c>
      <c r="O230" s="14">
        <f>J230/K230-1</f>
        <v/>
      </c>
      <c r="P230" s="7" t="inlineStr">
        <is>
          <t>OK (≤ últ. compra)</t>
        </is>
      </c>
      <c r="Q230" s="7" t="inlineStr"/>
    </row>
    <row r="231">
      <c r="A231" s="7" t="n">
        <v>582421</v>
      </c>
      <c r="B231" s="7" t="inlineStr"/>
      <c r="C231" s="12" t="inlineStr">
        <is>
          <t>4005900648327</t>
        </is>
      </c>
      <c r="D231" s="7" t="inlineStr">
        <is>
          <t>ESPUMA DE BARB NIVEA DEEP BLACK 200ML</t>
        </is>
      </c>
      <c r="E231" s="13" t="n">
        <v>1</v>
      </c>
      <c r="F231" s="13" t="n">
        <v>1</v>
      </c>
      <c r="G231" s="13" t="n">
        <v>1</v>
      </c>
      <c r="H231" s="8" t="n">
        <v>32.58</v>
      </c>
      <c r="I231" s="8">
        <f>G231*H231</f>
        <v/>
      </c>
      <c r="J231" s="8">
        <f>H231/E231</f>
        <v/>
      </c>
      <c r="K231" s="8" t="n">
        <v>28.74</v>
      </c>
      <c r="L231" s="8" t="n">
        <v>28.74</v>
      </c>
      <c r="M231" s="8" t="n">
        <v>28.74</v>
      </c>
      <c r="N231" s="14">
        <f>J231/M231-1</f>
        <v/>
      </c>
      <c r="O231" s="14">
        <f>J231/K231-1</f>
        <v/>
      </c>
      <c r="P231" s="7" t="inlineStr">
        <is>
          <t>ACIMA +13.4%</t>
        </is>
      </c>
      <c r="Q231" s="7" t="inlineStr"/>
    </row>
    <row r="232">
      <c r="A232" s="7" t="n">
        <v>582441</v>
      </c>
      <c r="B232" s="7" t="inlineStr"/>
      <c r="C232" s="12" t="inlineStr">
        <is>
          <t>4005808817009</t>
        </is>
      </c>
      <c r="D232" s="7" t="inlineStr">
        <is>
          <t>ESPUMA DE BARB NIVEA ORIG PROT 200ML</t>
        </is>
      </c>
      <c r="E232" s="13" t="n">
        <v>1</v>
      </c>
      <c r="F232" s="13" t="n">
        <v>1</v>
      </c>
      <c r="G232" s="13" t="n">
        <v>1</v>
      </c>
      <c r="H232" s="8" t="n">
        <v>32.58</v>
      </c>
      <c r="I232" s="8">
        <f>G232*H232</f>
        <v/>
      </c>
      <c r="J232" s="8">
        <f>H232/E232</f>
        <v/>
      </c>
      <c r="K232" s="8" t="n">
        <v>26.67</v>
      </c>
      <c r="L232" s="8" t="n">
        <v>26.67</v>
      </c>
      <c r="M232" s="8" t="n">
        <v>26.67</v>
      </c>
      <c r="N232" s="14">
        <f>J232/M232-1</f>
        <v/>
      </c>
      <c r="O232" s="14">
        <f>J232/K232-1</f>
        <v/>
      </c>
      <c r="P232" s="7" t="inlineStr">
        <is>
          <t>ACIMA +22.2%</t>
        </is>
      </c>
      <c r="Q232" s="7" t="inlineStr"/>
    </row>
    <row r="233">
      <c r="A233" s="7" t="n">
        <v>490681</v>
      </c>
      <c r="B233" s="7" t="inlineStr"/>
      <c r="C233" s="12" t="inlineStr">
        <is>
          <t>7896004777221</t>
        </is>
      </c>
      <c r="D233" s="7" t="inlineStr">
        <is>
          <t>FACOBA 5+1MG/ML SOL OFT FR 5ML-L</t>
        </is>
      </c>
      <c r="E233" s="13" t="n">
        <v>1</v>
      </c>
      <c r="F233" s="13" t="n">
        <v>1</v>
      </c>
      <c r="G233" s="13" t="n">
        <v>1</v>
      </c>
      <c r="H233" s="8" t="n">
        <v>35.78</v>
      </c>
      <c r="I233" s="8">
        <f>G233*H233</f>
        <v/>
      </c>
      <c r="J233" s="8">
        <f>H233/E233</f>
        <v/>
      </c>
      <c r="K233" s="8" t="n">
        <v>43.99</v>
      </c>
      <c r="L233" s="8" t="n">
        <v>32.78</v>
      </c>
      <c r="M233" s="8" t="n">
        <v>34.20333333333333</v>
      </c>
      <c r="N233" s="14">
        <f>J233/M233-1</f>
        <v/>
      </c>
      <c r="O233" s="14">
        <f>J233/K233-1</f>
        <v/>
      </c>
      <c r="P233" s="7" t="inlineStr">
        <is>
          <t>OK (≤ últ. compra)</t>
        </is>
      </c>
      <c r="Q233" s="7" t="inlineStr"/>
    </row>
    <row r="234">
      <c r="A234" s="7" t="n">
        <v>613831</v>
      </c>
      <c r="B234" s="7" t="inlineStr"/>
      <c r="C234" s="12" t="inlineStr">
        <is>
          <t>7896902234093</t>
        </is>
      </c>
      <c r="D234" s="7" t="inlineStr">
        <is>
          <t>FARMAIODINE PVPI 10% 100ML</t>
        </is>
      </c>
      <c r="E234" s="13" t="n">
        <v>1</v>
      </c>
      <c r="F234" s="13" t="n">
        <v>2</v>
      </c>
      <c r="G234" s="13" t="n">
        <v>2</v>
      </c>
      <c r="H234" s="8" t="n">
        <v>6.27</v>
      </c>
      <c r="I234" s="8">
        <f>G234*H234</f>
        <v/>
      </c>
      <c r="J234" s="8">
        <f>H234/E234</f>
        <v/>
      </c>
      <c r="K234" s="8" t="n">
        <v>7.09</v>
      </c>
      <c r="L234" s="8" t="n">
        <v>7.09</v>
      </c>
      <c r="M234" s="8" t="n">
        <v>7.09</v>
      </c>
      <c r="N234" s="14">
        <f>J234/M234-1</f>
        <v/>
      </c>
      <c r="O234" s="14">
        <f>J234/K234-1</f>
        <v/>
      </c>
      <c r="P234" s="7" t="inlineStr">
        <is>
          <t>OK (≤ menor hist.)</t>
        </is>
      </c>
      <c r="Q234" s="7" t="inlineStr"/>
    </row>
    <row r="235">
      <c r="A235" s="7" t="n">
        <v>646991</v>
      </c>
      <c r="B235" s="7" t="inlineStr"/>
      <c r="C235" s="12" t="inlineStr">
        <is>
          <t>7500435185011</t>
        </is>
      </c>
      <c r="D235" s="7" t="inlineStr">
        <is>
          <t>FEMIBION 1 C/28 COMP-DEMAIS PROD</t>
        </is>
      </c>
      <c r="E235" s="13" t="n">
        <v>1</v>
      </c>
      <c r="F235" s="13" t="n">
        <v>1</v>
      </c>
      <c r="G235" s="13" t="n">
        <v>1</v>
      </c>
      <c r="H235" s="8" t="n">
        <v>102.5525</v>
      </c>
      <c r="I235" s="8">
        <f>G235*H235</f>
        <v/>
      </c>
      <c r="J235" s="8">
        <f>H235/E235</f>
        <v/>
      </c>
      <c r="K235" s="8" t="n">
        <v>69.4517</v>
      </c>
      <c r="L235" s="8" t="n">
        <v>69.4517</v>
      </c>
      <c r="M235" s="8" t="n">
        <v>69.4517</v>
      </c>
      <c r="N235" s="14">
        <f>J235/M235-1</f>
        <v/>
      </c>
      <c r="O235" s="14">
        <f>J235/K235-1</f>
        <v/>
      </c>
      <c r="P235" s="7" t="inlineStr">
        <is>
          <t>ACIMA +47.7%</t>
        </is>
      </c>
      <c r="Q235" s="7" t="inlineStr"/>
    </row>
    <row r="236">
      <c r="A236" s="7" t="n">
        <v>641971</v>
      </c>
      <c r="B236" s="7" t="inlineStr"/>
      <c r="C236" s="12" t="inlineStr">
        <is>
          <t>7500435185035</t>
        </is>
      </c>
      <c r="D236" s="7" t="inlineStr">
        <is>
          <t>FEMIBION 3 C/28 COMP-DEMAIS PROD</t>
        </is>
      </c>
      <c r="E236" s="13" t="n">
        <v>1</v>
      </c>
      <c r="F236" s="13" t="n">
        <v>5</v>
      </c>
      <c r="G236" s="13" t="n">
        <v>5</v>
      </c>
      <c r="H236" s="8" t="n">
        <v>136.8665</v>
      </c>
      <c r="I236" s="8">
        <f>G236*H236</f>
        <v/>
      </c>
      <c r="J236" s="8">
        <f>H236/E236</f>
        <v/>
      </c>
      <c r="K236" s="8" t="n">
        <v>127.5667</v>
      </c>
      <c r="L236" s="8" t="n">
        <v>101.32</v>
      </c>
      <c r="M236" s="8" t="n">
        <v>118.8178</v>
      </c>
      <c r="N236" s="14">
        <f>J236/M236-1</f>
        <v/>
      </c>
      <c r="O236" s="14">
        <f>J236/K236-1</f>
        <v/>
      </c>
      <c r="P236" s="7" t="inlineStr">
        <is>
          <t>ACIMA +7.3%</t>
        </is>
      </c>
      <c r="Q236" s="7" t="inlineStr"/>
    </row>
    <row r="237">
      <c r="A237" s="7" t="n">
        <v>430141</v>
      </c>
      <c r="B237" s="7" t="inlineStr"/>
      <c r="C237" s="12" t="inlineStr">
        <is>
          <t>7896014673124</t>
        </is>
      </c>
      <c r="D237" s="7" t="inlineStr">
        <is>
          <t>FERROPURUM 20 MG/ML SOL INJ 5 AMP 5ML</t>
        </is>
      </c>
      <c r="E237" s="13" t="n">
        <v>1</v>
      </c>
      <c r="F237" s="13" t="n">
        <v>9</v>
      </c>
      <c r="G237" s="13" t="n">
        <v>9</v>
      </c>
      <c r="H237" s="8" t="n">
        <v>67.81409699999999</v>
      </c>
      <c r="I237" s="8">
        <f>G237*H237</f>
        <v/>
      </c>
      <c r="J237" s="8">
        <f>H237/E237</f>
        <v/>
      </c>
      <c r="K237" s="8" t="n">
        <v>69.76000000000001</v>
      </c>
      <c r="L237" s="8" t="n">
        <v>51.6738</v>
      </c>
      <c r="M237" s="8" t="n">
        <v>57.70143333333333</v>
      </c>
      <c r="N237" s="14">
        <f>J237/M237-1</f>
        <v/>
      </c>
      <c r="O237" s="14">
        <f>J237/K237-1</f>
        <v/>
      </c>
      <c r="P237" s="7" t="inlineStr">
        <is>
          <t>OK (≤ últ. compra)</t>
        </is>
      </c>
      <c r="Q237" s="7" t="inlineStr"/>
    </row>
    <row r="238">
      <c r="A238" s="7" t="n">
        <v>616361</v>
      </c>
      <c r="B238" s="7" t="inlineStr"/>
      <c r="C238" s="12" t="inlineStr">
        <is>
          <t>7896523201504</t>
        </is>
      </c>
      <c r="D238" s="7" t="inlineStr">
        <is>
          <t>FIGMED 200MG CAPS C/30</t>
        </is>
      </c>
      <c r="E238" s="13" t="n">
        <v>1</v>
      </c>
      <c r="F238" s="13" t="n">
        <v>13</v>
      </c>
      <c r="G238" s="13" t="n">
        <v>13</v>
      </c>
      <c r="H238" s="8" t="n">
        <v>30.53</v>
      </c>
      <c r="I238" s="8">
        <f>G238*H238</f>
        <v/>
      </c>
      <c r="J238" s="8">
        <f>H238/E238</f>
        <v/>
      </c>
      <c r="K238" s="8" t="n">
        <v>35.69</v>
      </c>
      <c r="L238" s="8" t="n">
        <v>31.99</v>
      </c>
      <c r="M238" s="8" t="n">
        <v>33.83333333333333</v>
      </c>
      <c r="N238" s="14">
        <f>J238/M238-1</f>
        <v/>
      </c>
      <c r="O238" s="14">
        <f>J238/K238-1</f>
        <v/>
      </c>
      <c r="P238" s="7" t="inlineStr">
        <is>
          <t>OK (≤ menor hist.)</t>
        </is>
      </c>
      <c r="Q238" s="7" t="inlineStr"/>
    </row>
    <row r="239">
      <c r="A239" s="7" t="n">
        <v>249121</v>
      </c>
      <c r="B239" s="7" t="inlineStr"/>
      <c r="C239" s="12" t="inlineStr">
        <is>
          <t>7896523227542</t>
        </is>
      </c>
      <c r="D239" s="7" t="inlineStr">
        <is>
          <t>FINASTERIDA 1MG CX 30 COMP REV</t>
        </is>
      </c>
      <c r="E239" s="13" t="n">
        <v>1</v>
      </c>
      <c r="F239" s="13" t="n">
        <v>2</v>
      </c>
      <c r="G239" s="13" t="n">
        <v>2</v>
      </c>
      <c r="H239" s="8" t="n">
        <v>62.28</v>
      </c>
      <c r="I239" s="8">
        <f>G239*H239</f>
        <v/>
      </c>
      <c r="J239" s="8">
        <f>H239/E239</f>
        <v/>
      </c>
      <c r="K239" s="8" t="n"/>
      <c r="L239" s="8" t="n"/>
      <c r="M239" s="8" t="n"/>
      <c r="N239" s="14" t="n"/>
      <c r="O239" s="14" t="n"/>
      <c r="P239" s="7" t="inlineStr">
        <is>
          <t>SEM HISTÓRICO</t>
        </is>
      </c>
      <c r="Q239" s="7" t="inlineStr"/>
    </row>
    <row r="240">
      <c r="A240" s="7" t="n">
        <v>248621</v>
      </c>
      <c r="B240" s="7" t="inlineStr"/>
      <c r="C240" s="12" t="inlineStr">
        <is>
          <t>7896523227559</t>
        </is>
      </c>
      <c r="D240" s="7" t="inlineStr">
        <is>
          <t>FINASTERIDA 5MG CX 30 COMP REV</t>
        </is>
      </c>
      <c r="E240" s="13" t="n">
        <v>1</v>
      </c>
      <c r="F240" s="13" t="n">
        <v>2</v>
      </c>
      <c r="G240" s="13" t="n">
        <v>2</v>
      </c>
      <c r="H240" s="8" t="n">
        <v>95.7</v>
      </c>
      <c r="I240" s="8">
        <f>G240*H240</f>
        <v/>
      </c>
      <c r="J240" s="8">
        <f>H240/E240</f>
        <v/>
      </c>
      <c r="K240" s="8" t="n">
        <v>10.99</v>
      </c>
      <c r="L240" s="8" t="n">
        <v>10.99</v>
      </c>
      <c r="M240" s="8" t="n">
        <v>10.99</v>
      </c>
      <c r="N240" s="14">
        <f>J240/M240-1</f>
        <v/>
      </c>
      <c r="O240" s="14">
        <f>J240/K240-1</f>
        <v/>
      </c>
      <c r="P240" s="7" t="inlineStr">
        <is>
          <t>ACIMA +770.8%</t>
        </is>
      </c>
      <c r="Q240" s="7" t="inlineStr">
        <is>
          <t>conferir emb.</t>
        </is>
      </c>
    </row>
    <row r="241">
      <c r="A241" s="7" t="n">
        <v>567201</v>
      </c>
      <c r="B241" s="7" t="inlineStr"/>
      <c r="C241" s="12" t="inlineStr">
        <is>
          <t>7891010501105</t>
        </is>
      </c>
      <c r="D241" s="7" t="inlineStr">
        <is>
          <t>FIO DEN REACH J J ESSENC MENTA 100M</t>
        </is>
      </c>
      <c r="E241" s="13" t="n">
        <v>1</v>
      </c>
      <c r="F241" s="13" t="n">
        <v>3</v>
      </c>
      <c r="G241" s="13" t="n">
        <v>3</v>
      </c>
      <c r="H241" s="8" t="n">
        <v>15.07</v>
      </c>
      <c r="I241" s="8">
        <f>G241*H241</f>
        <v/>
      </c>
      <c r="J241" s="8">
        <f>H241/E241</f>
        <v/>
      </c>
      <c r="K241" s="8" t="n">
        <v>14.415</v>
      </c>
      <c r="L241" s="8" t="n">
        <v>13.635</v>
      </c>
      <c r="M241" s="8" t="n">
        <v>13.895</v>
      </c>
      <c r="N241" s="14">
        <f>J241/M241-1</f>
        <v/>
      </c>
      <c r="O241" s="14">
        <f>J241/K241-1</f>
        <v/>
      </c>
      <c r="P241" s="7" t="inlineStr">
        <is>
          <t>ACIMA +4.5%</t>
        </is>
      </c>
      <c r="Q241" s="7" t="inlineStr"/>
    </row>
    <row r="242">
      <c r="A242" s="7" t="n">
        <v>577401</v>
      </c>
      <c r="B242" s="7" t="inlineStr"/>
      <c r="C242" s="12" t="inlineStr">
        <is>
          <t>7891024183007</t>
        </is>
      </c>
      <c r="D242" s="7" t="inlineStr">
        <is>
          <t>FIO DENT. COLGATE NYLON 50M</t>
        </is>
      </c>
      <c r="E242" s="13" t="n">
        <v>1</v>
      </c>
      <c r="F242" s="13" t="n">
        <v>1</v>
      </c>
      <c r="G242" s="13" t="n">
        <v>1</v>
      </c>
      <c r="H242" s="8" t="n">
        <v>11.99</v>
      </c>
      <c r="I242" s="8">
        <f>G242*H242</f>
        <v/>
      </c>
      <c r="J242" s="8">
        <f>H242/E242</f>
        <v/>
      </c>
      <c r="K242" s="8" t="n">
        <v>11.65</v>
      </c>
      <c r="L242" s="8" t="n">
        <v>9.529999999999999</v>
      </c>
      <c r="M242" s="8" t="n">
        <v>10.8511</v>
      </c>
      <c r="N242" s="14">
        <f>J242/M242-1</f>
        <v/>
      </c>
      <c r="O242" s="14">
        <f>J242/K242-1</f>
        <v/>
      </c>
      <c r="P242" s="7" t="inlineStr">
        <is>
          <t>ACIMA +2.9%</t>
        </is>
      </c>
      <c r="Q242" s="7" t="inlineStr"/>
    </row>
    <row r="243">
      <c r="A243" s="7" t="n">
        <v>614721</v>
      </c>
      <c r="B243" s="7" t="inlineStr"/>
      <c r="C243" s="12" t="inlineStr">
        <is>
          <t>7891010038908</t>
        </is>
      </c>
      <c r="D243" s="7" t="inlineStr">
        <is>
          <t>FIO DT JOHNSON REACH 50M MENTA</t>
        </is>
      </c>
      <c r="E243" s="13" t="n">
        <v>1</v>
      </c>
      <c r="F243" s="13" t="n">
        <v>4</v>
      </c>
      <c r="G243" s="13" t="n">
        <v>4</v>
      </c>
      <c r="H243" s="8" t="n">
        <v>13.91</v>
      </c>
      <c r="I243" s="8">
        <f>G243*H243</f>
        <v/>
      </c>
      <c r="J243" s="8">
        <f>H243/E243</f>
        <v/>
      </c>
      <c r="K243" s="8" t="n">
        <v>13.5833</v>
      </c>
      <c r="L243" s="8" t="n">
        <v>13.1458</v>
      </c>
      <c r="M243" s="8" t="n">
        <v>13.29163333333333</v>
      </c>
      <c r="N243" s="14">
        <f>J243/M243-1</f>
        <v/>
      </c>
      <c r="O243" s="14">
        <f>J243/K243-1</f>
        <v/>
      </c>
      <c r="P243" s="7" t="inlineStr">
        <is>
          <t>ACIMA +2.4%</t>
        </is>
      </c>
      <c r="Q243" s="7" t="inlineStr"/>
    </row>
    <row r="244">
      <c r="A244" s="7" t="n">
        <v>671121</v>
      </c>
      <c r="B244" s="7" t="inlineStr"/>
      <c r="C244" s="12" t="inlineStr">
        <is>
          <t>7899828214019</t>
        </is>
      </c>
      <c r="D244" s="7" t="inlineStr">
        <is>
          <t>FITA KINES 5MX5CM BEGE</t>
        </is>
      </c>
      <c r="E244" s="13" t="n">
        <v>1</v>
      </c>
      <c r="F244" s="13" t="n">
        <v>2</v>
      </c>
      <c r="G244" s="13" t="n">
        <v>2</v>
      </c>
      <c r="H244" s="8" t="n">
        <v>24.46</v>
      </c>
      <c r="I244" s="8">
        <f>G244*H244</f>
        <v/>
      </c>
      <c r="J244" s="8">
        <f>H244/E244</f>
        <v/>
      </c>
      <c r="K244" s="8" t="n">
        <v>21.99</v>
      </c>
      <c r="L244" s="8" t="n">
        <v>21.99</v>
      </c>
      <c r="M244" s="8" t="n">
        <v>21.99</v>
      </c>
      <c r="N244" s="14">
        <f>J244/M244-1</f>
        <v/>
      </c>
      <c r="O244" s="14">
        <f>J244/K244-1</f>
        <v/>
      </c>
      <c r="P244" s="7" t="inlineStr">
        <is>
          <t>ACIMA +11.2%</t>
        </is>
      </c>
      <c r="Q244" s="7" t="inlineStr">
        <is>
          <t>estoque parcial (1 un)</t>
        </is>
      </c>
    </row>
    <row r="245">
      <c r="A245" s="7" t="n">
        <v>596631</v>
      </c>
      <c r="B245" s="7" t="inlineStr"/>
      <c r="C245" s="12" t="inlineStr">
        <is>
          <t>7891800665529</t>
        </is>
      </c>
      <c r="D245" s="7" t="inlineStr">
        <is>
          <t>FITA MICROPOROSA SALVELOX 1,2CMX4,5M</t>
        </is>
      </c>
      <c r="E245" s="13" t="n">
        <v>1</v>
      </c>
      <c r="F245" s="13" t="n">
        <v>7</v>
      </c>
      <c r="G245" s="13" t="n">
        <v>7</v>
      </c>
      <c r="H245" s="8" t="n">
        <v>2.7257</v>
      </c>
      <c r="I245" s="8">
        <f>G245*H245</f>
        <v/>
      </c>
      <c r="J245" s="8">
        <f>H245/E245</f>
        <v/>
      </c>
      <c r="K245" s="8" t="n">
        <v>2.8038</v>
      </c>
      <c r="L245" s="8" t="n">
        <v>2.65</v>
      </c>
      <c r="M245" s="8" t="n">
        <v>2.752533333333333</v>
      </c>
      <c r="N245" s="14">
        <f>J245/M245-1</f>
        <v/>
      </c>
      <c r="O245" s="14">
        <f>J245/K245-1</f>
        <v/>
      </c>
      <c r="P245" s="7" t="inlineStr">
        <is>
          <t>OK (≤ últ. compra)</t>
        </is>
      </c>
      <c r="Q245" s="7" t="inlineStr"/>
    </row>
    <row r="246">
      <c r="A246" s="7" t="n">
        <v>596641</v>
      </c>
      <c r="B246" s="7" t="inlineStr"/>
      <c r="C246" s="12" t="inlineStr">
        <is>
          <t>7891800665512</t>
        </is>
      </c>
      <c r="D246" s="7" t="inlineStr">
        <is>
          <t>FITA MICROPOROSA SALVELOX 2,5CMX4,5M</t>
        </is>
      </c>
      <c r="E246" s="13" t="n">
        <v>1</v>
      </c>
      <c r="F246" s="13" t="n">
        <v>1</v>
      </c>
      <c r="G246" s="13" t="n">
        <v>1</v>
      </c>
      <c r="H246" s="8" t="n">
        <v>3.8606</v>
      </c>
      <c r="I246" s="8">
        <f>G246*H246</f>
        <v/>
      </c>
      <c r="J246" s="8">
        <f>H246/E246</f>
        <v/>
      </c>
      <c r="K246" s="8" t="n">
        <v>3.2244</v>
      </c>
      <c r="L246" s="8" t="n">
        <v>3.2244</v>
      </c>
      <c r="M246" s="8" t="n">
        <v>3.224400000000001</v>
      </c>
      <c r="N246" s="14">
        <f>J246/M246-1</f>
        <v/>
      </c>
      <c r="O246" s="14">
        <f>J246/K246-1</f>
        <v/>
      </c>
      <c r="P246" s="7" t="inlineStr">
        <is>
          <t>ACIMA +19.7%</t>
        </is>
      </c>
      <c r="Q246" s="7" t="inlineStr"/>
    </row>
    <row r="247">
      <c r="A247" s="7" t="n">
        <v>602961</v>
      </c>
      <c r="B247" s="7" t="inlineStr"/>
      <c r="C247" s="12" t="inlineStr">
        <is>
          <t>7891800665536</t>
        </is>
      </c>
      <c r="D247" s="7" t="inlineStr">
        <is>
          <t>FITA MICROPOROSA SALVELOX 5CMX4,5M</t>
        </is>
      </c>
      <c r="E247" s="13" t="n">
        <v>1</v>
      </c>
      <c r="F247" s="13" t="n">
        <v>2</v>
      </c>
      <c r="G247" s="13" t="n">
        <v>2</v>
      </c>
      <c r="H247" s="8" t="n">
        <v>6.2662</v>
      </c>
      <c r="I247" s="8">
        <f>G247*H247</f>
        <v/>
      </c>
      <c r="J247" s="8">
        <f>H247/E247</f>
        <v/>
      </c>
      <c r="K247" s="8" t="n">
        <v>5.2318</v>
      </c>
      <c r="L247" s="8" t="n">
        <v>5.2318</v>
      </c>
      <c r="M247" s="8" t="n">
        <v>5.2318</v>
      </c>
      <c r="N247" s="14">
        <f>J247/M247-1</f>
        <v/>
      </c>
      <c r="O247" s="14">
        <f>J247/K247-1</f>
        <v/>
      </c>
      <c r="P247" s="7" t="inlineStr">
        <is>
          <t>ACIMA +19.8%</t>
        </is>
      </c>
      <c r="Q247" s="7" t="inlineStr"/>
    </row>
    <row r="248">
      <c r="A248" s="7" t="n">
        <v>653681</v>
      </c>
      <c r="B248" s="7" t="inlineStr"/>
      <c r="C248" s="12" t="inlineStr">
        <is>
          <t>7908020507246</t>
        </is>
      </c>
      <c r="D248" s="7" t="inlineStr">
        <is>
          <t>FLORENT 100MG C/12 CPS DURA</t>
        </is>
      </c>
      <c r="E248" s="13" t="n">
        <v>1</v>
      </c>
      <c r="F248" s="13" t="n">
        <v>3</v>
      </c>
      <c r="G248" s="13" t="n">
        <v>3</v>
      </c>
      <c r="H248" s="8" t="n">
        <v>39.6</v>
      </c>
      <c r="I248" s="8">
        <f>G248*H248</f>
        <v/>
      </c>
      <c r="J248" s="8">
        <f>H248/E248</f>
        <v/>
      </c>
      <c r="K248" s="8" t="n">
        <v>9.74</v>
      </c>
      <c r="L248" s="8" t="n">
        <v>9.74</v>
      </c>
      <c r="M248" s="8" t="n">
        <v>9.74</v>
      </c>
      <c r="N248" s="14">
        <f>J248/M248-1</f>
        <v/>
      </c>
      <c r="O248" s="14">
        <f>J248/K248-1</f>
        <v/>
      </c>
      <c r="P248" s="7" t="inlineStr">
        <is>
          <t>ACIMA +306.6%</t>
        </is>
      </c>
      <c r="Q248" s="7" t="inlineStr">
        <is>
          <t>conferir emb.</t>
        </is>
      </c>
    </row>
    <row r="249">
      <c r="A249" s="7" t="n">
        <v>653691</v>
      </c>
      <c r="B249" s="7" t="inlineStr"/>
      <c r="C249" s="12" t="inlineStr">
        <is>
          <t>7908020507260</t>
        </is>
      </c>
      <c r="D249" s="7" t="inlineStr">
        <is>
          <t>FLORENT 200MG C/06 CPS DURA</t>
        </is>
      </c>
      <c r="E249" s="13" t="n">
        <v>1</v>
      </c>
      <c r="F249" s="13" t="n">
        <v>2</v>
      </c>
      <c r="G249" s="13" t="n">
        <v>2</v>
      </c>
      <c r="H249" s="8" t="n">
        <v>39.6</v>
      </c>
      <c r="I249" s="8">
        <f>G249*H249</f>
        <v/>
      </c>
      <c r="J249" s="8">
        <f>H249/E249</f>
        <v/>
      </c>
      <c r="K249" s="8" t="n">
        <v>9.550000000000001</v>
      </c>
      <c r="L249" s="8" t="n">
        <v>9.550000000000001</v>
      </c>
      <c r="M249" s="8" t="n">
        <v>9.550000000000001</v>
      </c>
      <c r="N249" s="14">
        <f>J249/M249-1</f>
        <v/>
      </c>
      <c r="O249" s="14">
        <f>J249/K249-1</f>
        <v/>
      </c>
      <c r="P249" s="7" t="inlineStr">
        <is>
          <t>ACIMA +314.7%</t>
        </is>
      </c>
      <c r="Q249" s="7" t="inlineStr">
        <is>
          <t>conferir emb.</t>
        </is>
      </c>
    </row>
    <row r="250">
      <c r="A250" s="7" t="n">
        <v>315441</v>
      </c>
      <c r="B250" s="7" t="inlineStr"/>
      <c r="C250" s="12" t="inlineStr">
        <is>
          <t>7898158692238</t>
        </is>
      </c>
      <c r="D250" s="7" t="inlineStr">
        <is>
          <t>FLORENT 200MG PO 4 SACHES X 1G</t>
        </is>
      </c>
      <c r="E250" s="13" t="n">
        <v>1</v>
      </c>
      <c r="F250" s="13" t="n">
        <v>12</v>
      </c>
      <c r="G250" s="13" t="n">
        <v>12</v>
      </c>
      <c r="H250" s="8" t="n">
        <v>26.86</v>
      </c>
      <c r="I250" s="8">
        <f>G250*H250</f>
        <v/>
      </c>
      <c r="J250" s="8">
        <f>H250/E250</f>
        <v/>
      </c>
      <c r="K250" s="8" t="n">
        <v>7.02</v>
      </c>
      <c r="L250" s="8" t="n">
        <v>7.02</v>
      </c>
      <c r="M250" s="8" t="n">
        <v>7.02</v>
      </c>
      <c r="N250" s="14">
        <f>J250/M250-1</f>
        <v/>
      </c>
      <c r="O250" s="14">
        <f>J250/K250-1</f>
        <v/>
      </c>
      <c r="P250" s="7" t="inlineStr">
        <is>
          <t>ACIMA +282.6%</t>
        </is>
      </c>
      <c r="Q250" s="7" t="inlineStr">
        <is>
          <t>conferir emb.</t>
        </is>
      </c>
    </row>
    <row r="251">
      <c r="A251" s="7" t="n">
        <v>250801</v>
      </c>
      <c r="B251" s="7" t="inlineStr"/>
      <c r="C251" s="12" t="inlineStr">
        <is>
          <t>7896422505079</t>
        </is>
      </c>
      <c r="D251" s="7" t="inlineStr">
        <is>
          <t>FLUCONAZOL 150MG CX 2 CAP</t>
        </is>
      </c>
      <c r="E251" s="13" t="n">
        <v>1</v>
      </c>
      <c r="F251" s="13" t="n">
        <v>3</v>
      </c>
      <c r="G251" s="13" t="n">
        <v>3</v>
      </c>
      <c r="H251" s="8" t="n">
        <v>32.41</v>
      </c>
      <c r="I251" s="8">
        <f>G251*H251</f>
        <v/>
      </c>
      <c r="J251" s="8">
        <f>H251/E251</f>
        <v/>
      </c>
      <c r="K251" s="8" t="n">
        <v>4.6964</v>
      </c>
      <c r="L251" s="8" t="n">
        <v>4.6964</v>
      </c>
      <c r="M251" s="8" t="n">
        <v>4.6964</v>
      </c>
      <c r="N251" s="14">
        <f>J251/M251-1</f>
        <v/>
      </c>
      <c r="O251" s="14">
        <f>J251/K251-1</f>
        <v/>
      </c>
      <c r="P251" s="7" t="inlineStr">
        <is>
          <t>ACIMA +590.1%</t>
        </is>
      </c>
      <c r="Q251" s="7" t="inlineStr">
        <is>
          <t>conferir emb.</t>
        </is>
      </c>
    </row>
    <row r="252">
      <c r="A252" s="7" t="n">
        <v>539681</v>
      </c>
      <c r="B252" s="7" t="inlineStr"/>
      <c r="C252" s="12" t="inlineStr">
        <is>
          <t>7896677700281</t>
        </is>
      </c>
      <c r="D252" s="7" t="inlineStr">
        <is>
          <t>FORTEVIRON CX 60 COMP</t>
        </is>
      </c>
      <c r="E252" s="13" t="n">
        <v>1</v>
      </c>
      <c r="F252" s="13" t="n">
        <v>4</v>
      </c>
      <c r="G252" s="13" t="n">
        <v>4</v>
      </c>
      <c r="H252" s="8" t="n">
        <v>68.25</v>
      </c>
      <c r="I252" s="8">
        <f>G252*H252</f>
        <v/>
      </c>
      <c r="J252" s="8">
        <f>H252/E252</f>
        <v/>
      </c>
      <c r="K252" s="8" t="n">
        <v>51.0667</v>
      </c>
      <c r="L252" s="8" t="n">
        <v>51.0667</v>
      </c>
      <c r="M252" s="8" t="n">
        <v>51.0667</v>
      </c>
      <c r="N252" s="14">
        <f>J252/M252-1</f>
        <v/>
      </c>
      <c r="O252" s="14">
        <f>J252/K252-1</f>
        <v/>
      </c>
      <c r="P252" s="7" t="inlineStr">
        <is>
          <t>ACIMA +33.6%</t>
        </is>
      </c>
      <c r="Q252" s="7" t="inlineStr"/>
    </row>
    <row r="253">
      <c r="A253" s="7" t="n">
        <v>614481</v>
      </c>
      <c r="B253" s="7" t="inlineStr"/>
      <c r="C253" s="12" t="inlineStr">
        <is>
          <t>7896007551279</t>
        </is>
      </c>
      <c r="D253" s="7" t="inlineStr">
        <is>
          <t>FRA HUGGIES CARE ROUP HIPER XXG C/48</t>
        </is>
      </c>
      <c r="E253" s="13" t="n">
        <v>1</v>
      </c>
      <c r="F253" s="13" t="n">
        <v>2</v>
      </c>
      <c r="G253" s="13" t="n">
        <v>2</v>
      </c>
      <c r="H253" s="8" t="n">
        <v>89.83</v>
      </c>
      <c r="I253" s="8">
        <f>G253*H253</f>
        <v/>
      </c>
      <c r="J253" s="8">
        <f>H253/E253</f>
        <v/>
      </c>
      <c r="K253" s="8" t="n">
        <v>87.53619999999999</v>
      </c>
      <c r="L253" s="8" t="n">
        <v>87.53619999999999</v>
      </c>
      <c r="M253" s="8" t="n">
        <v>87.53619999999999</v>
      </c>
      <c r="N253" s="14">
        <f>J253/M253-1</f>
        <v/>
      </c>
      <c r="O253" s="14">
        <f>J253/K253-1</f>
        <v/>
      </c>
      <c r="P253" s="7" t="inlineStr">
        <is>
          <t>ACIMA +2.6%</t>
        </is>
      </c>
      <c r="Q253" s="7" t="inlineStr"/>
    </row>
    <row r="254">
      <c r="A254" s="7" t="n">
        <v>651681</v>
      </c>
      <c r="B254" s="7" t="inlineStr"/>
      <c r="C254" s="12" t="inlineStr">
        <is>
          <t>7896007552016</t>
        </is>
      </c>
      <c r="D254" s="7" t="inlineStr">
        <is>
          <t>FRA HUGGIES NATURAL CARE_RN MEGA C/34 N</t>
        </is>
      </c>
      <c r="E254" s="13" t="n">
        <v>1</v>
      </c>
      <c r="F254" s="13" t="n">
        <v>1</v>
      </c>
      <c r="G254" s="13" t="n">
        <v>1</v>
      </c>
      <c r="H254" s="8" t="n">
        <v>45.57</v>
      </c>
      <c r="I254" s="8">
        <f>G254*H254</f>
        <v/>
      </c>
      <c r="J254" s="8">
        <f>H254/E254</f>
        <v/>
      </c>
      <c r="K254" s="8" t="n">
        <v>36.6483</v>
      </c>
      <c r="L254" s="8" t="n">
        <v>36.6483</v>
      </c>
      <c r="M254" s="8" t="n">
        <v>36.6483</v>
      </c>
      <c r="N254" s="14">
        <f>J254/M254-1</f>
        <v/>
      </c>
      <c r="O254" s="14">
        <f>J254/K254-1</f>
        <v/>
      </c>
      <c r="P254" s="7" t="inlineStr">
        <is>
          <t>ACIMA +24.3%</t>
        </is>
      </c>
      <c r="Q254" s="7" t="inlineStr"/>
    </row>
    <row r="255">
      <c r="A255" s="7" t="n">
        <v>614451</v>
      </c>
      <c r="B255" s="7" t="inlineStr"/>
      <c r="C255" s="12" t="inlineStr">
        <is>
          <t>7896007549719</t>
        </is>
      </c>
      <c r="D255" s="7" t="inlineStr">
        <is>
          <t>FRA HUGGIES SP CARE ROUP HIPER GDE C/60</t>
        </is>
      </c>
      <c r="E255" s="13" t="n">
        <v>1</v>
      </c>
      <c r="F255" s="13" t="n">
        <v>1</v>
      </c>
      <c r="G255" s="13" t="n">
        <v>1</v>
      </c>
      <c r="H255" s="8" t="n">
        <v>89.83</v>
      </c>
      <c r="I255" s="8">
        <f>G255*H255</f>
        <v/>
      </c>
      <c r="J255" s="8">
        <f>H255/E255</f>
        <v/>
      </c>
      <c r="K255" s="8" t="n">
        <v>87.53619999999999</v>
      </c>
      <c r="L255" s="8" t="n">
        <v>87.53619999999999</v>
      </c>
      <c r="M255" s="8" t="n">
        <v>87.53619999999999</v>
      </c>
      <c r="N255" s="14">
        <f>J255/M255-1</f>
        <v/>
      </c>
      <c r="O255" s="14">
        <f>J255/K255-1</f>
        <v/>
      </c>
      <c r="P255" s="7" t="inlineStr">
        <is>
          <t>ACIMA +2.6%</t>
        </is>
      </c>
      <c r="Q255" s="7" t="inlineStr"/>
    </row>
    <row r="256">
      <c r="A256" s="7" t="n">
        <v>614461</v>
      </c>
      <c r="B256" s="7" t="inlineStr"/>
      <c r="C256" s="12" t="inlineStr">
        <is>
          <t>7896007551262</t>
        </is>
      </c>
      <c r="D256" s="7" t="inlineStr">
        <is>
          <t>FRA HUGGIES SP CARE ROUP HIPER MED C/72</t>
        </is>
      </c>
      <c r="E256" s="13" t="n">
        <v>1</v>
      </c>
      <c r="F256" s="13" t="n">
        <v>2</v>
      </c>
      <c r="G256" s="13" t="n">
        <v>2</v>
      </c>
      <c r="H256" s="8" t="n">
        <v>89.83</v>
      </c>
      <c r="I256" s="8">
        <f>G256*H256</f>
        <v/>
      </c>
      <c r="J256" s="8">
        <f>H256/E256</f>
        <v/>
      </c>
      <c r="K256" s="8" t="n">
        <v>87.53619999999999</v>
      </c>
      <c r="L256" s="8" t="n">
        <v>87.53619999999999</v>
      </c>
      <c r="M256" s="8" t="n">
        <v>87.53619999999999</v>
      </c>
      <c r="N256" s="14">
        <f>J256/M256-1</f>
        <v/>
      </c>
      <c r="O256" s="14">
        <f>J256/K256-1</f>
        <v/>
      </c>
      <c r="P256" s="7" t="inlineStr">
        <is>
          <t>ACIMA +2.6%</t>
        </is>
      </c>
      <c r="Q256" s="7" t="inlineStr"/>
    </row>
    <row r="257">
      <c r="A257" s="7" t="n">
        <v>617081</v>
      </c>
      <c r="B257" s="7" t="inlineStr"/>
      <c r="C257" s="12" t="inlineStr">
        <is>
          <t>7896007553051</t>
        </is>
      </c>
      <c r="D257" s="7" t="inlineStr">
        <is>
          <t>FRA HUGGIES TRIPLA ROUP MEGA - GDE C/28</t>
        </is>
      </c>
      <c r="E257" s="13" t="n">
        <v>1</v>
      </c>
      <c r="F257" s="13" t="n">
        <v>7</v>
      </c>
      <c r="G257" s="13" t="n">
        <v>7</v>
      </c>
      <c r="H257" s="8" t="n">
        <v>37.88</v>
      </c>
      <c r="I257" s="8">
        <f>G257*H257</f>
        <v/>
      </c>
      <c r="J257" s="8">
        <f>H257/E257</f>
        <v/>
      </c>
      <c r="K257" s="8" t="n">
        <v>36.98</v>
      </c>
      <c r="L257" s="8" t="n">
        <v>36.98</v>
      </c>
      <c r="M257" s="8" t="n">
        <v>36.98</v>
      </c>
      <c r="N257" s="14">
        <f>J257/M257-1</f>
        <v/>
      </c>
      <c r="O257" s="14">
        <f>J257/K257-1</f>
        <v/>
      </c>
      <c r="P257" s="7" t="inlineStr">
        <is>
          <t>ACIMA +2.4%</t>
        </is>
      </c>
      <c r="Q257" s="7" t="inlineStr"/>
    </row>
    <row r="258">
      <c r="A258" s="7" t="n">
        <v>616531</v>
      </c>
      <c r="B258" s="7" t="inlineStr"/>
      <c r="C258" s="12" t="inlineStr">
        <is>
          <t>7896007553068</t>
        </is>
      </c>
      <c r="D258" s="7" t="inlineStr">
        <is>
          <t>FRA HUGGIES TRIPLA ROUP MEGA - XG C/24</t>
        </is>
      </c>
      <c r="E258" s="13" t="n">
        <v>1</v>
      </c>
      <c r="F258" s="13" t="n">
        <v>2</v>
      </c>
      <c r="G258" s="13" t="n">
        <v>2</v>
      </c>
      <c r="H258" s="8" t="n">
        <v>37.88</v>
      </c>
      <c r="I258" s="8">
        <f>G258*H258</f>
        <v/>
      </c>
      <c r="J258" s="8">
        <f>H258/E258</f>
        <v/>
      </c>
      <c r="K258" s="8" t="n">
        <v>36.98</v>
      </c>
      <c r="L258" s="8" t="n">
        <v>36.98</v>
      </c>
      <c r="M258" s="8" t="n">
        <v>36.98</v>
      </c>
      <c r="N258" s="14">
        <f>J258/M258-1</f>
        <v/>
      </c>
      <c r="O258" s="14">
        <f>J258/K258-1</f>
        <v/>
      </c>
      <c r="P258" s="7" t="inlineStr">
        <is>
          <t>ACIMA +2.4%</t>
        </is>
      </c>
      <c r="Q258" s="7" t="inlineStr"/>
    </row>
    <row r="259">
      <c r="A259" s="7" t="n">
        <v>572481</v>
      </c>
      <c r="B259" s="7" t="inlineStr"/>
      <c r="C259" s="12" t="inlineStr">
        <is>
          <t>7896064486170</t>
        </is>
      </c>
      <c r="D259" s="7" t="inlineStr">
        <is>
          <t>FRALDA GERIAMAX G 7 UN</t>
        </is>
      </c>
      <c r="E259" s="13" t="n">
        <v>1</v>
      </c>
      <c r="F259" s="13" t="n">
        <v>3</v>
      </c>
      <c r="G259" s="13" t="n">
        <v>3</v>
      </c>
      <c r="H259" s="8" t="n">
        <v>16.36</v>
      </c>
      <c r="I259" s="8">
        <f>G259*H259</f>
        <v/>
      </c>
      <c r="J259" s="8">
        <f>H259/E259</f>
        <v/>
      </c>
      <c r="K259" s="8" t="n">
        <v>18.17</v>
      </c>
      <c r="L259" s="8" t="n">
        <v>18.17</v>
      </c>
      <c r="M259" s="8" t="n">
        <v>18.17</v>
      </c>
      <c r="N259" s="14">
        <f>J259/M259-1</f>
        <v/>
      </c>
      <c r="O259" s="14">
        <f>J259/K259-1</f>
        <v/>
      </c>
      <c r="P259" s="7" t="inlineStr">
        <is>
          <t>OK (≤ menor hist.)</t>
        </is>
      </c>
      <c r="Q259" s="7" t="inlineStr"/>
    </row>
    <row r="260">
      <c r="A260" s="7" t="n">
        <v>572501</v>
      </c>
      <c r="B260" s="7" t="inlineStr"/>
      <c r="C260" s="12" t="inlineStr">
        <is>
          <t>7896064486163</t>
        </is>
      </c>
      <c r="D260" s="7" t="inlineStr">
        <is>
          <t>FRALDA GERIAMAX M 8 UN</t>
        </is>
      </c>
      <c r="E260" s="13" t="n">
        <v>1</v>
      </c>
      <c r="F260" s="13" t="n">
        <v>3</v>
      </c>
      <c r="G260" s="13" t="n">
        <v>3</v>
      </c>
      <c r="H260" s="8" t="n">
        <v>16.36</v>
      </c>
      <c r="I260" s="8">
        <f>G260*H260</f>
        <v/>
      </c>
      <c r="J260" s="8">
        <f>H260/E260</f>
        <v/>
      </c>
      <c r="K260" s="8" t="n">
        <v>18.26</v>
      </c>
      <c r="L260" s="8" t="n">
        <v>18.17</v>
      </c>
      <c r="M260" s="8" t="n">
        <v>18.17</v>
      </c>
      <c r="N260" s="14">
        <f>J260/M260-1</f>
        <v/>
      </c>
      <c r="O260" s="14">
        <f>J260/K260-1</f>
        <v/>
      </c>
      <c r="P260" s="7" t="inlineStr">
        <is>
          <t>OK (≤ menor hist.)</t>
        </is>
      </c>
      <c r="Q260" s="7" t="inlineStr"/>
    </row>
    <row r="261">
      <c r="A261" s="7" t="n">
        <v>537821</v>
      </c>
      <c r="B261" s="7" t="inlineStr"/>
      <c r="C261" s="12" t="inlineStr">
        <is>
          <t>7896007549689</t>
        </is>
      </c>
      <c r="D261" s="7" t="inlineStr">
        <is>
          <t>FRALDA HUGGIES ROUPINHA SUPREME CARE - G - 30</t>
        </is>
      </c>
      <c r="E261" s="13" t="n">
        <v>1</v>
      </c>
      <c r="F261" s="13" t="n">
        <v>5</v>
      </c>
      <c r="G261" s="13" t="n">
        <v>5</v>
      </c>
      <c r="H261" s="8" t="n">
        <v>51.34</v>
      </c>
      <c r="I261" s="8">
        <f>G261*H261</f>
        <v/>
      </c>
      <c r="J261" s="8">
        <f>H261/E261</f>
        <v/>
      </c>
      <c r="K261" s="8" t="n">
        <v>47.7</v>
      </c>
      <c r="L261" s="8" t="n">
        <v>44.7033</v>
      </c>
      <c r="M261" s="8" t="n">
        <v>46.7011</v>
      </c>
      <c r="N261" s="14">
        <f>J261/M261-1</f>
        <v/>
      </c>
      <c r="O261" s="14">
        <f>J261/K261-1</f>
        <v/>
      </c>
      <c r="P261" s="7" t="inlineStr">
        <is>
          <t>ACIMA +7.6%</t>
        </is>
      </c>
      <c r="Q261" s="7" t="inlineStr"/>
    </row>
    <row r="262">
      <c r="A262" s="7" t="n">
        <v>544421</v>
      </c>
      <c r="B262" s="7" t="inlineStr"/>
      <c r="C262" s="12" t="inlineStr">
        <is>
          <t>7896007548415</t>
        </is>
      </c>
      <c r="D262" s="7" t="inlineStr">
        <is>
          <t>FRALDA HUGGIES SUPREME CARE G 32UN</t>
        </is>
      </c>
      <c r="E262" s="13" t="n">
        <v>1</v>
      </c>
      <c r="F262" s="13" t="n">
        <v>1</v>
      </c>
      <c r="G262" s="13" t="n">
        <v>1</v>
      </c>
      <c r="H262" s="8" t="n">
        <v>56.4</v>
      </c>
      <c r="I262" s="8">
        <f>G262*H262</f>
        <v/>
      </c>
      <c r="J262" s="8">
        <f>H262/E262</f>
        <v/>
      </c>
      <c r="K262" s="8" t="n">
        <v>35.0217</v>
      </c>
      <c r="L262" s="8" t="n">
        <v>35.0217</v>
      </c>
      <c r="M262" s="8" t="n">
        <v>35.0217</v>
      </c>
      <c r="N262" s="14">
        <f>J262/M262-1</f>
        <v/>
      </c>
      <c r="O262" s="14">
        <f>J262/K262-1</f>
        <v/>
      </c>
      <c r="P262" s="7" t="inlineStr">
        <is>
          <t>ACIMA +61.0%</t>
        </is>
      </c>
      <c r="Q262" s="7" t="inlineStr"/>
    </row>
    <row r="263">
      <c r="A263" s="7" t="n">
        <v>631061</v>
      </c>
      <c r="B263" s="7" t="inlineStr"/>
      <c r="C263" s="12" t="inlineStr">
        <is>
          <t>7896007549269</t>
        </is>
      </c>
      <c r="D263" s="7" t="inlineStr">
        <is>
          <t>FRALDA HUGGIES TRIPLA HIPER G 78UN</t>
        </is>
      </c>
      <c r="E263" s="13" t="n">
        <v>1</v>
      </c>
      <c r="F263" s="13" t="n">
        <v>2</v>
      </c>
      <c r="G263" s="13" t="n">
        <v>2</v>
      </c>
      <c r="H263" s="8" t="n">
        <v>86.56999999999999</v>
      </c>
      <c r="I263" s="8">
        <f>G263*H263</f>
        <v/>
      </c>
      <c r="J263" s="8">
        <f>H263/E263</f>
        <v/>
      </c>
      <c r="K263" s="8" t="n">
        <v>88.23</v>
      </c>
      <c r="L263" s="8" t="n">
        <v>88.23</v>
      </c>
      <c r="M263" s="8" t="n">
        <v>88.23</v>
      </c>
      <c r="N263" s="14">
        <f>J263/M263-1</f>
        <v/>
      </c>
      <c r="O263" s="14">
        <f>J263/K263-1</f>
        <v/>
      </c>
      <c r="P263" s="7" t="inlineStr">
        <is>
          <t>OK (≤ menor hist.)</t>
        </is>
      </c>
      <c r="Q263" s="7" t="inlineStr"/>
    </row>
    <row r="264">
      <c r="A264" s="7" t="n">
        <v>631071</v>
      </c>
      <c r="B264" s="7" t="inlineStr"/>
      <c r="C264" s="12" t="inlineStr">
        <is>
          <t>7896007549252</t>
        </is>
      </c>
      <c r="D264" s="7" t="inlineStr">
        <is>
          <t>FRALDA HUGGIES TRIPLA HIPER M 92UN</t>
        </is>
      </c>
      <c r="E264" s="13" t="n">
        <v>1</v>
      </c>
      <c r="F264" s="13" t="n">
        <v>1</v>
      </c>
      <c r="G264" s="13" t="n">
        <v>1</v>
      </c>
      <c r="H264" s="8" t="n">
        <v>86.56999999999999</v>
      </c>
      <c r="I264" s="8">
        <f>G264*H264</f>
        <v/>
      </c>
      <c r="J264" s="8">
        <f>H264/E264</f>
        <v/>
      </c>
      <c r="K264" s="8" t="n">
        <v>80.73</v>
      </c>
      <c r="L264" s="8" t="n">
        <v>80.73</v>
      </c>
      <c r="M264" s="8" t="n">
        <v>80.73</v>
      </c>
      <c r="N264" s="14">
        <f>J264/M264-1</f>
        <v/>
      </c>
      <c r="O264" s="14">
        <f>J264/K264-1</f>
        <v/>
      </c>
      <c r="P264" s="7" t="inlineStr">
        <is>
          <t>ACIMA +7.2%</t>
        </is>
      </c>
      <c r="Q264" s="7" t="inlineStr"/>
    </row>
    <row r="265">
      <c r="A265" s="7" t="n">
        <v>631091</v>
      </c>
      <c r="B265" s="7" t="inlineStr"/>
      <c r="C265" s="12" t="inlineStr">
        <is>
          <t>7896007551293</t>
        </is>
      </c>
      <c r="D265" s="7" t="inlineStr">
        <is>
          <t>FRALDA HUGGIES TRIPLA HIPER XXG 66</t>
        </is>
      </c>
      <c r="E265" s="13" t="n">
        <v>1</v>
      </c>
      <c r="F265" s="13" t="n">
        <v>2</v>
      </c>
      <c r="G265" s="13" t="n">
        <v>2</v>
      </c>
      <c r="H265" s="8" t="n">
        <v>86.56999999999999</v>
      </c>
      <c r="I265" s="8">
        <f>G265*H265</f>
        <v/>
      </c>
      <c r="J265" s="8">
        <f>H265/E265</f>
        <v/>
      </c>
      <c r="K265" s="8" t="n">
        <v>80.73</v>
      </c>
      <c r="L265" s="8" t="n">
        <v>80.73</v>
      </c>
      <c r="M265" s="8" t="n">
        <v>80.73</v>
      </c>
      <c r="N265" s="14">
        <f>J265/M265-1</f>
        <v/>
      </c>
      <c r="O265" s="14">
        <f>J265/K265-1</f>
        <v/>
      </c>
      <c r="P265" s="7" t="inlineStr">
        <is>
          <t>ACIMA +7.2%</t>
        </is>
      </c>
      <c r="Q265" s="7" t="inlineStr"/>
    </row>
    <row r="266">
      <c r="A266" s="7" t="n">
        <v>556001</v>
      </c>
      <c r="B266" s="7" t="inlineStr"/>
      <c r="C266" s="12" t="inlineStr">
        <is>
          <t>7896007549696</t>
        </is>
      </c>
      <c r="D266" s="7" t="inlineStr">
        <is>
          <t>FRALDA SHORTINHO HUGGIES SUPREME CARE XG 24UN</t>
        </is>
      </c>
      <c r="E266" s="13" t="n">
        <v>1</v>
      </c>
      <c r="F266" s="13" t="n">
        <v>7</v>
      </c>
      <c r="G266" s="13" t="n">
        <v>7</v>
      </c>
      <c r="H266" s="8" t="n">
        <v>51.34</v>
      </c>
      <c r="I266" s="8">
        <f>G266*H266</f>
        <v/>
      </c>
      <c r="J266" s="8">
        <f>H266/E266</f>
        <v/>
      </c>
      <c r="K266" s="8" t="n">
        <v>47.7</v>
      </c>
      <c r="L266" s="8" t="n">
        <v>44.7033</v>
      </c>
      <c r="M266" s="8" t="n">
        <v>46.7011</v>
      </c>
      <c r="N266" s="14">
        <f>J266/M266-1</f>
        <v/>
      </c>
      <c r="O266" s="14">
        <f>J266/K266-1</f>
        <v/>
      </c>
      <c r="P266" s="7" t="inlineStr">
        <is>
          <t>ACIMA +7.6%</t>
        </is>
      </c>
      <c r="Q266" s="7" t="inlineStr">
        <is>
          <t>estoque parcial (6 un)</t>
        </is>
      </c>
    </row>
    <row r="267">
      <c r="A267" s="7" t="n">
        <v>556021</v>
      </c>
      <c r="B267" s="7" t="inlineStr"/>
      <c r="C267" s="12" t="inlineStr">
        <is>
          <t>7896007549702</t>
        </is>
      </c>
      <c r="D267" s="7" t="inlineStr">
        <is>
          <t>FRALDA SHORTINHO HUGGIES SUPREME CARE XXG 24UN</t>
        </is>
      </c>
      <c r="E267" s="13" t="n">
        <v>1</v>
      </c>
      <c r="F267" s="13" t="n">
        <v>3</v>
      </c>
      <c r="G267" s="13" t="n">
        <v>3</v>
      </c>
      <c r="H267" s="8" t="n">
        <v>51.34</v>
      </c>
      <c r="I267" s="8">
        <f>G267*H267</f>
        <v/>
      </c>
      <c r="J267" s="8">
        <f>H267/E267</f>
        <v/>
      </c>
      <c r="K267" s="8" t="n">
        <v>50.0233</v>
      </c>
      <c r="L267" s="8" t="n">
        <v>50.0233</v>
      </c>
      <c r="M267" s="8" t="n">
        <v>50.0233</v>
      </c>
      <c r="N267" s="14">
        <f>J267/M267-1</f>
        <v/>
      </c>
      <c r="O267" s="14">
        <f>J267/K267-1</f>
        <v/>
      </c>
      <c r="P267" s="7" t="inlineStr">
        <is>
          <t>ACIMA +2.6%</t>
        </is>
      </c>
      <c r="Q267" s="7" t="inlineStr"/>
    </row>
    <row r="268">
      <c r="A268" s="7" t="n">
        <v>613481</v>
      </c>
      <c r="B268" s="7" t="inlineStr"/>
      <c r="C268" s="12" t="inlineStr">
        <is>
          <t>7896770900267</t>
        </is>
      </c>
      <c r="D268" s="7" t="inlineStr">
        <is>
          <t>FRD AD TENA CONF MEGA M 26UN</t>
        </is>
      </c>
      <c r="E268" s="13" t="n">
        <v>1</v>
      </c>
      <c r="F268" s="13" t="n">
        <v>2</v>
      </c>
      <c r="G268" s="13" t="n">
        <v>2</v>
      </c>
      <c r="H268" s="8" t="n">
        <v>61.09059999999999</v>
      </c>
      <c r="I268" s="8">
        <f>G268*H268</f>
        <v/>
      </c>
      <c r="J268" s="8">
        <f>H268/E268</f>
        <v/>
      </c>
      <c r="K268" s="8" t="n">
        <v>46.98</v>
      </c>
      <c r="L268" s="8" t="n">
        <v>46.98</v>
      </c>
      <c r="M268" s="8" t="n">
        <v>46.98</v>
      </c>
      <c r="N268" s="14">
        <f>J268/M268-1</f>
        <v/>
      </c>
      <c r="O268" s="14">
        <f>J268/K268-1</f>
        <v/>
      </c>
      <c r="P268" s="7" t="inlineStr">
        <is>
          <t>ACIMA +30.0%</t>
        </is>
      </c>
      <c r="Q268" s="7" t="inlineStr"/>
    </row>
    <row r="269">
      <c r="A269" s="7" t="n">
        <v>628181</v>
      </c>
      <c r="B269" s="7" t="inlineStr"/>
      <c r="C269" s="12" t="inlineStr">
        <is>
          <t>7896770902612</t>
        </is>
      </c>
      <c r="D269" s="7" t="inlineStr">
        <is>
          <t>FRD AD TENA CONF. MEGA EG 18</t>
        </is>
      </c>
      <c r="E269" s="13" t="n">
        <v>1</v>
      </c>
      <c r="F269" s="13" t="n">
        <v>1</v>
      </c>
      <c r="G269" s="13" t="n">
        <v>1</v>
      </c>
      <c r="H269" s="8" t="n">
        <v>61.09059999999999</v>
      </c>
      <c r="I269" s="8">
        <f>G269*H269</f>
        <v/>
      </c>
      <c r="J269" s="8">
        <f>H269/E269</f>
        <v/>
      </c>
      <c r="K269" s="8" t="n">
        <v>44.42</v>
      </c>
      <c r="L269" s="8" t="n">
        <v>44.42</v>
      </c>
      <c r="M269" s="8" t="n">
        <v>44.41999999999999</v>
      </c>
      <c r="N269" s="14">
        <f>J269/M269-1</f>
        <v/>
      </c>
      <c r="O269" s="14">
        <f>J269/K269-1</f>
        <v/>
      </c>
      <c r="P269" s="7" t="inlineStr">
        <is>
          <t>ACIMA +37.5%</t>
        </is>
      </c>
      <c r="Q269" s="7" t="inlineStr"/>
    </row>
    <row r="270">
      <c r="A270" s="7" t="n">
        <v>628221</v>
      </c>
      <c r="B270" s="7" t="inlineStr"/>
      <c r="C270" s="12" t="inlineStr">
        <is>
          <t>7896770979348</t>
        </is>
      </c>
      <c r="D270" s="7" t="inlineStr">
        <is>
          <t>FRD AD TENA PANT CONF G/EG C/16</t>
        </is>
      </c>
      <c r="E270" s="13" t="n">
        <v>1</v>
      </c>
      <c r="F270" s="13" t="n">
        <v>1</v>
      </c>
      <c r="G270" s="13" t="n">
        <v>1</v>
      </c>
      <c r="H270" s="8" t="n">
        <v>61.28</v>
      </c>
      <c r="I270" s="8">
        <f>G270*H270</f>
        <v/>
      </c>
      <c r="J270" s="8">
        <f>H270/E270</f>
        <v/>
      </c>
      <c r="K270" s="8" t="n">
        <v>45.72</v>
      </c>
      <c r="L270" s="8" t="n">
        <v>45.72</v>
      </c>
      <c r="M270" s="8" t="n">
        <v>45.72</v>
      </c>
      <c r="N270" s="14">
        <f>J270/M270-1</f>
        <v/>
      </c>
      <c r="O270" s="14">
        <f>J270/K270-1</f>
        <v/>
      </c>
      <c r="P270" s="7" t="inlineStr">
        <is>
          <t>ACIMA +34.0%</t>
        </is>
      </c>
      <c r="Q270" s="7" t="inlineStr"/>
    </row>
    <row r="271">
      <c r="A271" s="7" t="n">
        <v>628211</v>
      </c>
      <c r="B271" s="7" t="inlineStr"/>
      <c r="C271" s="12" t="inlineStr">
        <is>
          <t>7896770982140</t>
        </is>
      </c>
      <c r="D271" s="7" t="inlineStr">
        <is>
          <t>FRD AD TENA PANTS CONF G/EG C/32</t>
        </is>
      </c>
      <c r="E271" s="13" t="n">
        <v>1</v>
      </c>
      <c r="F271" s="13" t="n">
        <v>1</v>
      </c>
      <c r="G271" s="13" t="n">
        <v>1</v>
      </c>
      <c r="H271" s="8" t="n">
        <v>105.245</v>
      </c>
      <c r="I271" s="8">
        <f>G271*H271</f>
        <v/>
      </c>
      <c r="J271" s="8">
        <f>H271/E271</f>
        <v/>
      </c>
      <c r="K271" s="8" t="n">
        <v>64.91330000000001</v>
      </c>
      <c r="L271" s="8" t="n">
        <v>64.91330000000001</v>
      </c>
      <c r="M271" s="8" t="n">
        <v>64.91330000000001</v>
      </c>
      <c r="N271" s="14">
        <f>J271/M271-1</f>
        <v/>
      </c>
      <c r="O271" s="14">
        <f>J271/K271-1</f>
        <v/>
      </c>
      <c r="P271" s="7" t="inlineStr">
        <is>
          <t>ACIMA +62.1%</t>
        </is>
      </c>
      <c r="Q271" s="7" t="inlineStr"/>
    </row>
    <row r="272">
      <c r="A272" s="7" t="n">
        <v>628241</v>
      </c>
      <c r="B272" s="7" t="inlineStr"/>
      <c r="C272" s="12" t="inlineStr">
        <is>
          <t>7896770980160</t>
        </is>
      </c>
      <c r="D272" s="7" t="inlineStr">
        <is>
          <t>FRD AD TENA PANTS CONF P/M C/24</t>
        </is>
      </c>
      <c r="E272" s="13" t="n">
        <v>1</v>
      </c>
      <c r="F272" s="13" t="n">
        <v>1</v>
      </c>
      <c r="G272" s="13" t="n">
        <v>1</v>
      </c>
      <c r="H272" s="8" t="n">
        <v>86.47550000000001</v>
      </c>
      <c r="I272" s="8">
        <f>G272*H272</f>
        <v/>
      </c>
      <c r="J272" s="8">
        <f>H272/E272</f>
        <v/>
      </c>
      <c r="K272" s="8" t="n">
        <v>66.51000000000001</v>
      </c>
      <c r="L272" s="8" t="n">
        <v>66.51000000000001</v>
      </c>
      <c r="M272" s="8" t="n">
        <v>66.51000000000001</v>
      </c>
      <c r="N272" s="14">
        <f>J272/M272-1</f>
        <v/>
      </c>
      <c r="O272" s="14">
        <f>J272/K272-1</f>
        <v/>
      </c>
      <c r="P272" s="7" t="inlineStr">
        <is>
          <t>ACIMA +30.0%</t>
        </is>
      </c>
      <c r="Q272" s="7" t="inlineStr"/>
    </row>
    <row r="273">
      <c r="A273" s="7" t="n">
        <v>628261</v>
      </c>
      <c r="B273" s="7" t="inlineStr"/>
      <c r="C273" s="12" t="inlineStr">
        <is>
          <t>7896770980146</t>
        </is>
      </c>
      <c r="D273" s="7" t="inlineStr">
        <is>
          <t>FRD AD TENA SLIP NOT M C/7</t>
        </is>
      </c>
      <c r="E273" s="13" t="n">
        <v>1</v>
      </c>
      <c r="F273" s="13" t="n">
        <v>1</v>
      </c>
      <c r="G273" s="13" t="n">
        <v>1</v>
      </c>
      <c r="H273" s="8" t="n">
        <v>33.95</v>
      </c>
      <c r="I273" s="8">
        <f>G273*H273</f>
        <v/>
      </c>
      <c r="J273" s="8">
        <f>H273/E273</f>
        <v/>
      </c>
      <c r="K273" s="8" t="n">
        <v>29.6</v>
      </c>
      <c r="L273" s="8" t="n">
        <v>29.6</v>
      </c>
      <c r="M273" s="8" t="n">
        <v>29.6</v>
      </c>
      <c r="N273" s="14">
        <f>J273/M273-1</f>
        <v/>
      </c>
      <c r="O273" s="14">
        <f>J273/K273-1</f>
        <v/>
      </c>
      <c r="P273" s="7" t="inlineStr">
        <is>
          <t>ACIMA +14.7%</t>
        </is>
      </c>
      <c r="Q273" s="7" t="inlineStr"/>
    </row>
    <row r="274">
      <c r="A274" s="7" t="n">
        <v>644911</v>
      </c>
      <c r="B274" s="7" t="inlineStr"/>
      <c r="C274" s="12" t="inlineStr">
        <is>
          <t>7896770979850</t>
        </is>
      </c>
      <c r="D274" s="7" t="inlineStr">
        <is>
          <t>FRD BIOFRAL CLASSIC GENERIC XG C/24</t>
        </is>
      </c>
      <c r="E274" s="13" t="n">
        <v>1</v>
      </c>
      <c r="F274" s="13" t="n">
        <v>1</v>
      </c>
      <c r="G274" s="13" t="n">
        <v>1</v>
      </c>
      <c r="H274" s="8" t="n">
        <v>65.22279999999999</v>
      </c>
      <c r="I274" s="8">
        <f>G274*H274</f>
        <v/>
      </c>
      <c r="J274" s="8">
        <f>H274/E274</f>
        <v/>
      </c>
      <c r="K274" s="8" t="n">
        <v>49.06</v>
      </c>
      <c r="L274" s="8" t="n">
        <v>49.06</v>
      </c>
      <c r="M274" s="8" t="n">
        <v>49.06</v>
      </c>
      <c r="N274" s="14">
        <f>J274/M274-1</f>
        <v/>
      </c>
      <c r="O274" s="14">
        <f>J274/K274-1</f>
        <v/>
      </c>
      <c r="P274" s="7" t="inlineStr">
        <is>
          <t>ACIMA +32.9%</t>
        </is>
      </c>
      <c r="Q274" s="7" t="inlineStr"/>
    </row>
    <row r="275">
      <c r="A275" s="7" t="n">
        <v>652231</v>
      </c>
      <c r="B275" s="7" t="inlineStr"/>
      <c r="C275" s="12" t="inlineStr">
        <is>
          <t>7896770980054</t>
        </is>
      </c>
      <c r="D275" s="7" t="inlineStr">
        <is>
          <t>FRD GER TENA PANTS NOTURNA REG P/M C/7</t>
        </is>
      </c>
      <c r="E275" s="13" t="n">
        <v>1</v>
      </c>
      <c r="F275" s="13" t="n">
        <v>2</v>
      </c>
      <c r="G275" s="13" t="n">
        <v>2</v>
      </c>
      <c r="H275" s="8" t="n">
        <v>35.9967</v>
      </c>
      <c r="I275" s="8">
        <f>G275*H275</f>
        <v/>
      </c>
      <c r="J275" s="8">
        <f>H275/E275</f>
        <v/>
      </c>
      <c r="K275" s="8" t="n">
        <v>27.9</v>
      </c>
      <c r="L275" s="8" t="n">
        <v>27.9</v>
      </c>
      <c r="M275" s="8" t="n">
        <v>27.9</v>
      </c>
      <c r="N275" s="14">
        <f>J275/M275-1</f>
        <v/>
      </c>
      <c r="O275" s="14">
        <f>J275/K275-1</f>
        <v/>
      </c>
      <c r="P275" s="7" t="inlineStr">
        <is>
          <t>ACIMA +29.0%</t>
        </is>
      </c>
      <c r="Q275" s="7" t="inlineStr"/>
    </row>
    <row r="276">
      <c r="A276" s="7" t="n">
        <v>594871</v>
      </c>
      <c r="B276" s="7" t="inlineStr"/>
      <c r="C276" s="12" t="inlineStr">
        <is>
          <t>7896007548408</t>
        </is>
      </c>
      <c r="D276" s="7" t="inlineStr">
        <is>
          <t>FRD HUG SUPR CARE MEG M 40UN</t>
        </is>
      </c>
      <c r="E276" s="13" t="n">
        <v>1</v>
      </c>
      <c r="F276" s="13" t="n">
        <v>1</v>
      </c>
      <c r="G276" s="13" t="n">
        <v>1</v>
      </c>
      <c r="H276" s="8" t="n">
        <v>56.4</v>
      </c>
      <c r="I276" s="8">
        <f>G276*H276</f>
        <v/>
      </c>
      <c r="J276" s="8">
        <f>H276/E276</f>
        <v/>
      </c>
      <c r="K276" s="8" t="n">
        <v>51.9075</v>
      </c>
      <c r="L276" s="8" t="n">
        <v>51.9075</v>
      </c>
      <c r="M276" s="8" t="n">
        <v>51.9075</v>
      </c>
      <c r="N276" s="14">
        <f>J276/M276-1</f>
        <v/>
      </c>
      <c r="O276" s="14">
        <f>J276/K276-1</f>
        <v/>
      </c>
      <c r="P276" s="7" t="inlineStr">
        <is>
          <t>ACIMA +8.7%</t>
        </is>
      </c>
      <c r="Q276" s="7" t="inlineStr"/>
    </row>
    <row r="277">
      <c r="A277" s="7" t="n">
        <v>617451</v>
      </c>
      <c r="B277" s="7" t="inlineStr"/>
      <c r="C277" s="12" t="inlineStr">
        <is>
          <t>17896007552983</t>
        </is>
      </c>
      <c r="D277" s="7" t="inlineStr">
        <is>
          <t>FRD PLENIT CLASSIC G/XG 16UN</t>
        </is>
      </c>
      <c r="E277" s="13" t="n">
        <v>1</v>
      </c>
      <c r="F277" s="13" t="n">
        <v>1</v>
      </c>
      <c r="G277" s="13" t="n">
        <v>1</v>
      </c>
      <c r="H277" s="8" t="n">
        <v>59.83</v>
      </c>
      <c r="I277" s="8">
        <f>G277*H277</f>
        <v/>
      </c>
      <c r="J277" s="8">
        <f>H277/E277</f>
        <v/>
      </c>
      <c r="K277" s="8" t="n">
        <v>42.24</v>
      </c>
      <c r="L277" s="8" t="n">
        <v>42.24</v>
      </c>
      <c r="M277" s="8" t="n">
        <v>42.24</v>
      </c>
      <c r="N277" s="14">
        <f>J277/M277-1</f>
        <v/>
      </c>
      <c r="O277" s="14">
        <f>J277/K277-1</f>
        <v/>
      </c>
      <c r="P277" s="7" t="inlineStr">
        <is>
          <t>ACIMA +41.6%</t>
        </is>
      </c>
      <c r="Q277" s="7" t="inlineStr"/>
    </row>
    <row r="278">
      <c r="A278" s="7" t="n">
        <v>617461</v>
      </c>
      <c r="B278" s="7" t="inlineStr"/>
      <c r="C278" s="12" t="inlineStr">
        <is>
          <t>17896007552969</t>
        </is>
      </c>
      <c r="D278" s="7" t="inlineStr">
        <is>
          <t>FRD PLENIT CLASSIC G/XG 8UN</t>
        </is>
      </c>
      <c r="E278" s="13" t="n">
        <v>1</v>
      </c>
      <c r="F278" s="13" t="n">
        <v>1</v>
      </c>
      <c r="G278" s="13" t="n">
        <v>1</v>
      </c>
      <c r="H278" s="8" t="n">
        <v>31.35</v>
      </c>
      <c r="I278" s="8">
        <f>G278*H278</f>
        <v/>
      </c>
      <c r="J278" s="8">
        <f>H278/E278</f>
        <v/>
      </c>
      <c r="K278" s="8" t="n">
        <v>22.4625</v>
      </c>
      <c r="L278" s="8" t="n">
        <v>22.4625</v>
      </c>
      <c r="M278" s="8" t="n">
        <v>22.4625</v>
      </c>
      <c r="N278" s="14">
        <f>J278/M278-1</f>
        <v/>
      </c>
      <c r="O278" s="14">
        <f>J278/K278-1</f>
        <v/>
      </c>
      <c r="P278" s="7" t="inlineStr">
        <is>
          <t>ACIMA +39.6%</t>
        </is>
      </c>
      <c r="Q278" s="7" t="inlineStr"/>
    </row>
    <row r="279">
      <c r="A279" s="7" t="n">
        <v>617471</v>
      </c>
      <c r="B279" s="7" t="inlineStr"/>
      <c r="C279" s="12" t="inlineStr">
        <is>
          <t>17896007552976</t>
        </is>
      </c>
      <c r="D279" s="7" t="inlineStr">
        <is>
          <t>FRD PLENIT CLASSIC P/M 16UN</t>
        </is>
      </c>
      <c r="E279" s="13" t="n">
        <v>1</v>
      </c>
      <c r="F279" s="13" t="n">
        <v>1</v>
      </c>
      <c r="G279" s="13" t="n">
        <v>1</v>
      </c>
      <c r="H279" s="8" t="n">
        <v>59.83</v>
      </c>
      <c r="I279" s="8">
        <f>G279*H279</f>
        <v/>
      </c>
      <c r="J279" s="8">
        <f>H279/E279</f>
        <v/>
      </c>
      <c r="K279" s="8" t="n">
        <v>36.36</v>
      </c>
      <c r="L279" s="8" t="n">
        <v>36.36</v>
      </c>
      <c r="M279" s="8" t="n">
        <v>36.36</v>
      </c>
      <c r="N279" s="14">
        <f>J279/M279-1</f>
        <v/>
      </c>
      <c r="O279" s="14">
        <f>J279/K279-1</f>
        <v/>
      </c>
      <c r="P279" s="7" t="inlineStr">
        <is>
          <t>ACIMA +64.5%</t>
        </is>
      </c>
      <c r="Q279" s="7" t="inlineStr"/>
    </row>
    <row r="280">
      <c r="A280" s="7" t="n">
        <v>564521</v>
      </c>
      <c r="B280" s="7" t="inlineStr"/>
      <c r="C280" s="12" t="inlineStr">
        <is>
          <t>7896007547173</t>
        </is>
      </c>
      <c r="D280" s="7" t="inlineStr">
        <is>
          <t>FRD PLENIT PROT PLUS G/XG 8</t>
        </is>
      </c>
      <c r="E280" s="13" t="n">
        <v>1</v>
      </c>
      <c r="F280" s="13" t="n">
        <v>1</v>
      </c>
      <c r="G280" s="13" t="n">
        <v>1</v>
      </c>
      <c r="H280" s="8" t="n">
        <v>34.83</v>
      </c>
      <c r="I280" s="8">
        <f>G280*H280</f>
        <v/>
      </c>
      <c r="J280" s="8">
        <f>H280/E280</f>
        <v/>
      </c>
      <c r="K280" s="8" t="n">
        <v>25.045</v>
      </c>
      <c r="L280" s="8" t="n">
        <v>25.045</v>
      </c>
      <c r="M280" s="8" t="n">
        <v>25.045</v>
      </c>
      <c r="N280" s="14">
        <f>J280/M280-1</f>
        <v/>
      </c>
      <c r="O280" s="14">
        <f>J280/K280-1</f>
        <v/>
      </c>
      <c r="P280" s="7" t="inlineStr">
        <is>
          <t>ACIMA +39.1%</t>
        </is>
      </c>
      <c r="Q280" s="7" t="inlineStr">
        <is>
          <t>estoque parcial (3 un)</t>
        </is>
      </c>
    </row>
    <row r="281">
      <c r="A281" s="7" t="n">
        <v>637311</v>
      </c>
      <c r="B281" s="7" t="inlineStr"/>
      <c r="C281" s="12" t="inlineStr">
        <is>
          <t>7896770900250</t>
        </is>
      </c>
      <c r="D281" s="7" t="inlineStr">
        <is>
          <t>FRD TENA CONFORT P C/30</t>
        </is>
      </c>
      <c r="E281" s="13" t="n">
        <v>1</v>
      </c>
      <c r="F281" s="13" t="n">
        <v>1</v>
      </c>
      <c r="G281" s="13" t="n">
        <v>1</v>
      </c>
      <c r="H281" s="8" t="n">
        <v>61.09059999999999</v>
      </c>
      <c r="I281" s="8">
        <f>G281*H281</f>
        <v/>
      </c>
      <c r="J281" s="8">
        <f>H281/E281</f>
        <v/>
      </c>
      <c r="K281" s="8" t="n">
        <v>44.42</v>
      </c>
      <c r="L281" s="8" t="n">
        <v>44.42</v>
      </c>
      <c r="M281" s="8" t="n">
        <v>44.41999999999999</v>
      </c>
      <c r="N281" s="14">
        <f>J281/M281-1</f>
        <v/>
      </c>
      <c r="O281" s="14">
        <f>J281/K281-1</f>
        <v/>
      </c>
      <c r="P281" s="7" t="inlineStr">
        <is>
          <t>ACIMA +37.5%</t>
        </is>
      </c>
      <c r="Q281" s="7" t="inlineStr"/>
    </row>
    <row r="282">
      <c r="A282" s="7" t="n">
        <v>670071</v>
      </c>
      <c r="B282" s="7" t="inlineStr"/>
      <c r="C282" s="12" t="inlineStr">
        <is>
          <t>17896770982864</t>
        </is>
      </c>
      <c r="D282" s="7" t="inlineStr">
        <is>
          <t>FRD.AD.TENA PANT.DE.G 4X16 OF</t>
        </is>
      </c>
      <c r="E282" s="13" t="n">
        <v>1</v>
      </c>
      <c r="F282" s="13" t="n">
        <v>1</v>
      </c>
      <c r="G282" s="13" t="n">
        <v>1</v>
      </c>
      <c r="H282" s="8" t="n">
        <v>59.9266</v>
      </c>
      <c r="I282" s="8">
        <f>G282*H282</f>
        <v/>
      </c>
      <c r="J282" s="8">
        <f>H282/E282</f>
        <v/>
      </c>
      <c r="K282" s="8" t="n">
        <v>39.0775</v>
      </c>
      <c r="L282" s="8" t="n">
        <v>39.0775</v>
      </c>
      <c r="M282" s="8" t="n">
        <v>39.0775</v>
      </c>
      <c r="N282" s="14">
        <f>J282/M282-1</f>
        <v/>
      </c>
      <c r="O282" s="14">
        <f>J282/K282-1</f>
        <v/>
      </c>
      <c r="P282" s="7" t="inlineStr">
        <is>
          <t>ACIMA +53.4%</t>
        </is>
      </c>
      <c r="Q282" s="7" t="inlineStr"/>
    </row>
    <row r="283">
      <c r="A283" s="7" t="n">
        <v>670571</v>
      </c>
      <c r="B283" s="7" t="inlineStr"/>
      <c r="C283" s="12" t="inlineStr">
        <is>
          <t>7898216368037</t>
        </is>
      </c>
      <c r="D283" s="7" t="inlineStr">
        <is>
          <t>GARDENAL 100MG C/20 COMP (C1)-REFERENCIA</t>
        </is>
      </c>
      <c r="E283" s="13" t="n">
        <v>1</v>
      </c>
      <c r="F283" s="13" t="n">
        <v>2</v>
      </c>
      <c r="G283" s="13" t="n">
        <v>2</v>
      </c>
      <c r="H283" s="8" t="n">
        <v>9.468</v>
      </c>
      <c r="I283" s="8">
        <f>G283*H283</f>
        <v/>
      </c>
      <c r="J283" s="8">
        <f>H283/E283</f>
        <v/>
      </c>
      <c r="K283" s="8" t="n">
        <v>9.4094</v>
      </c>
      <c r="L283" s="8" t="n">
        <v>9.4094</v>
      </c>
      <c r="M283" s="8" t="n">
        <v>9.4094</v>
      </c>
      <c r="N283" s="14">
        <f>J283/M283-1</f>
        <v/>
      </c>
      <c r="O283" s="14">
        <f>J283/K283-1</f>
        <v/>
      </c>
      <c r="P283" s="7" t="inlineStr">
        <is>
          <t>ACIMA +0.6%</t>
        </is>
      </c>
      <c r="Q283" s="7" t="inlineStr"/>
    </row>
    <row r="284">
      <c r="A284" s="7" t="n">
        <v>630831</v>
      </c>
      <c r="B284" s="7" t="inlineStr"/>
      <c r="C284" s="12" t="inlineStr">
        <is>
          <t>7899706178129</t>
        </is>
      </c>
      <c r="D284" s="7" t="inlineStr">
        <is>
          <t>GARNIER AGUA MICELAR 400ML TUDO EM 1</t>
        </is>
      </c>
      <c r="E284" s="13" t="n">
        <v>1</v>
      </c>
      <c r="F284" s="13" t="n">
        <v>1</v>
      </c>
      <c r="G284" s="13" t="n">
        <v>1</v>
      </c>
      <c r="H284" s="8" t="n">
        <v>45.67</v>
      </c>
      <c r="I284" s="8">
        <f>G284*H284</f>
        <v/>
      </c>
      <c r="J284" s="8">
        <f>H284/E284</f>
        <v/>
      </c>
      <c r="K284" s="8" t="n">
        <v>44.69</v>
      </c>
      <c r="L284" s="8" t="n">
        <v>44.69</v>
      </c>
      <c r="M284" s="8" t="n">
        <v>44.69</v>
      </c>
      <c r="N284" s="14">
        <f>J284/M284-1</f>
        <v/>
      </c>
      <c r="O284" s="14">
        <f>J284/K284-1</f>
        <v/>
      </c>
      <c r="P284" s="7" t="inlineStr">
        <is>
          <t>ACIMA +2.2%</t>
        </is>
      </c>
      <c r="Q284" s="7" t="inlineStr"/>
    </row>
    <row r="285">
      <c r="A285" s="7" t="n">
        <v>672141</v>
      </c>
      <c r="B285" s="7" t="inlineStr"/>
      <c r="C285" s="12" t="inlineStr">
        <is>
          <t>7908785422136</t>
        </is>
      </c>
      <c r="D285" s="7" t="inlineStr">
        <is>
          <t>GARNIER HIDRAT FAC ANTIACNE 85G-DEMAIS PROD</t>
        </is>
      </c>
      <c r="E285" s="13" t="n">
        <v>1</v>
      </c>
      <c r="F285" s="13" t="n">
        <v>1</v>
      </c>
      <c r="G285" s="13" t="n">
        <v>1</v>
      </c>
      <c r="H285" s="8" t="n">
        <v>30.21</v>
      </c>
      <c r="I285" s="8">
        <f>G285*H285</f>
        <v/>
      </c>
      <c r="J285" s="8">
        <f>H285/E285</f>
        <v/>
      </c>
      <c r="K285" s="8" t="n">
        <v>24.4</v>
      </c>
      <c r="L285" s="8" t="n">
        <v>24.4</v>
      </c>
      <c r="M285" s="8" t="n">
        <v>24.4</v>
      </c>
      <c r="N285" s="14">
        <f>J285/M285-1</f>
        <v/>
      </c>
      <c r="O285" s="14">
        <f>J285/K285-1</f>
        <v/>
      </c>
      <c r="P285" s="7" t="inlineStr">
        <is>
          <t>ACIMA +23.8%</t>
        </is>
      </c>
      <c r="Q285" s="7" t="inlineStr"/>
    </row>
    <row r="286">
      <c r="A286" s="7" t="n">
        <v>365461</v>
      </c>
      <c r="B286" s="7" t="inlineStr"/>
      <c r="C286" s="12" t="inlineStr">
        <is>
          <t>7891317489595</t>
        </is>
      </c>
      <c r="D286" s="7" t="inlineStr">
        <is>
          <t>GINNA 0,02G CREM VAG BG 40G+7APLIC</t>
        </is>
      </c>
      <c r="E286" s="13" t="n">
        <v>1</v>
      </c>
      <c r="F286" s="13" t="n">
        <v>1</v>
      </c>
      <c r="G286" s="13" t="n">
        <v>1</v>
      </c>
      <c r="H286" s="8" t="n">
        <v>37.99460000000001</v>
      </c>
      <c r="I286" s="8">
        <f>G286*H286</f>
        <v/>
      </c>
      <c r="J286" s="8">
        <f>H286/E286</f>
        <v/>
      </c>
      <c r="K286" s="8" t="n">
        <v>37.45</v>
      </c>
      <c r="L286" s="8" t="n">
        <v>33.595</v>
      </c>
      <c r="M286" s="8" t="n">
        <v>35.695</v>
      </c>
      <c r="N286" s="14">
        <f>J286/M286-1</f>
        <v/>
      </c>
      <c r="O286" s="14">
        <f>J286/K286-1</f>
        <v/>
      </c>
      <c r="P286" s="7" t="inlineStr">
        <is>
          <t>ACIMA +1.5%</t>
        </is>
      </c>
      <c r="Q286" s="7" t="inlineStr"/>
    </row>
    <row r="287">
      <c r="A287" s="7" t="n">
        <v>672581</v>
      </c>
      <c r="B287" s="7" t="inlineStr"/>
      <c r="C287" s="12" t="inlineStr">
        <is>
          <t>7891106916561</t>
        </is>
      </c>
      <c r="D287" s="7" t="inlineStr">
        <is>
          <t>GINO CANESTEN PURO CUIDADO 200ML-DEMAIS PROD</t>
        </is>
      </c>
      <c r="E287" s="13" t="n">
        <v>1</v>
      </c>
      <c r="F287" s="13" t="n">
        <v>2</v>
      </c>
      <c r="G287" s="13" t="n">
        <v>2</v>
      </c>
      <c r="H287" s="8" t="n">
        <v>23.086</v>
      </c>
      <c r="I287" s="8">
        <f>G287*H287</f>
        <v/>
      </c>
      <c r="J287" s="8">
        <f>H287/E287</f>
        <v/>
      </c>
      <c r="K287" s="8" t="n">
        <v>18.34</v>
      </c>
      <c r="L287" s="8" t="n">
        <v>18.34</v>
      </c>
      <c r="M287" s="8" t="n">
        <v>18.34</v>
      </c>
      <c r="N287" s="14">
        <f>J287/M287-1</f>
        <v/>
      </c>
      <c r="O287" s="14">
        <f>J287/K287-1</f>
        <v/>
      </c>
      <c r="P287" s="7" t="inlineStr">
        <is>
          <t>ACIMA +25.9%</t>
        </is>
      </c>
      <c r="Q287" s="7" t="inlineStr"/>
    </row>
    <row r="288">
      <c r="A288" s="7" t="n">
        <v>584761</v>
      </c>
      <c r="B288" s="7" t="inlineStr"/>
      <c r="C288" s="12" t="inlineStr">
        <is>
          <t>7896902217614</t>
        </is>
      </c>
      <c r="D288" s="7" t="inlineStr">
        <is>
          <t>GLICERINA PURA 100ML</t>
        </is>
      </c>
      <c r="E288" s="13" t="n">
        <v>1</v>
      </c>
      <c r="F288" s="13" t="n">
        <v>6</v>
      </c>
      <c r="G288" s="13" t="n">
        <v>6</v>
      </c>
      <c r="H288" s="8" t="n">
        <v>6.42</v>
      </c>
      <c r="I288" s="8">
        <f>G288*H288</f>
        <v/>
      </c>
      <c r="J288" s="8">
        <f>H288/E288</f>
        <v/>
      </c>
      <c r="K288" s="8" t="n">
        <v>6.04</v>
      </c>
      <c r="L288" s="8" t="n">
        <v>5.85</v>
      </c>
      <c r="M288" s="8" t="n">
        <v>5.896666666666666</v>
      </c>
      <c r="N288" s="14">
        <f>J288/M288-1</f>
        <v/>
      </c>
      <c r="O288" s="14">
        <f>J288/K288-1</f>
        <v/>
      </c>
      <c r="P288" s="7" t="inlineStr">
        <is>
          <t>ACIMA +6.3%</t>
        </is>
      </c>
      <c r="Q288" s="7" t="inlineStr"/>
    </row>
    <row r="289">
      <c r="A289" s="7" t="n">
        <v>499461</v>
      </c>
      <c r="B289" s="7" t="inlineStr"/>
      <c r="C289" s="12" t="inlineStr">
        <is>
          <t>7896523210926</t>
        </is>
      </c>
      <c r="D289" s="7" t="inlineStr">
        <is>
          <t>GLIMEPIRIDA 2MG CX 30 COMP</t>
        </is>
      </c>
      <c r="E289" s="13" t="n">
        <v>1</v>
      </c>
      <c r="F289" s="13" t="n">
        <v>3</v>
      </c>
      <c r="G289" s="13" t="n">
        <v>3</v>
      </c>
      <c r="H289" s="8" t="n">
        <v>28.04</v>
      </c>
      <c r="I289" s="8">
        <f>G289*H289</f>
        <v/>
      </c>
      <c r="J289" s="8">
        <f>H289/E289</f>
        <v/>
      </c>
      <c r="K289" s="8" t="n">
        <v>2.49</v>
      </c>
      <c r="L289" s="8" t="n">
        <v>2.39</v>
      </c>
      <c r="M289" s="8" t="n">
        <v>2.39</v>
      </c>
      <c r="N289" s="14">
        <f>J289/M289-1</f>
        <v/>
      </c>
      <c r="O289" s="14">
        <f>J289/K289-1</f>
        <v/>
      </c>
      <c r="P289" s="7" t="inlineStr">
        <is>
          <t>ACIMA +1026.1%</t>
        </is>
      </c>
      <c r="Q289" s="7" t="inlineStr">
        <is>
          <t>conferir emb.</t>
        </is>
      </c>
    </row>
    <row r="290">
      <c r="A290" s="7" t="n">
        <v>663841</v>
      </c>
      <c r="B290" s="7" t="inlineStr"/>
      <c r="C290" s="12" t="inlineStr">
        <is>
          <t>7891158106835</t>
        </is>
      </c>
      <c r="D290" s="7" t="inlineStr">
        <is>
          <t>GLUCERNA SR BAUNILHA 200ML-DEMAIS PROD</t>
        </is>
      </c>
      <c r="E290" s="13" t="n">
        <v>1</v>
      </c>
      <c r="F290" s="13" t="n">
        <v>1</v>
      </c>
      <c r="G290" s="13" t="n">
        <v>1</v>
      </c>
      <c r="H290" s="8" t="n">
        <v>16.9302</v>
      </c>
      <c r="I290" s="8">
        <f>G290*H290</f>
        <v/>
      </c>
      <c r="J290" s="8">
        <f>H290/E290</f>
        <v/>
      </c>
      <c r="K290" s="8" t="n">
        <v>14.855</v>
      </c>
      <c r="L290" s="8" t="n">
        <v>14.855</v>
      </c>
      <c r="M290" s="8" t="n">
        <v>14.855</v>
      </c>
      <c r="N290" s="14">
        <f>J290/M290-1</f>
        <v/>
      </c>
      <c r="O290" s="14">
        <f>J290/K290-1</f>
        <v/>
      </c>
      <c r="P290" s="7" t="inlineStr">
        <is>
          <t>ACIMA +14.0%</t>
        </is>
      </c>
      <c r="Q290" s="7" t="inlineStr"/>
    </row>
    <row r="291">
      <c r="A291" s="7" t="n">
        <v>669561</v>
      </c>
      <c r="B291" s="7" t="inlineStr"/>
      <c r="C291" s="12" t="inlineStr">
        <is>
          <t>7891158106842</t>
        </is>
      </c>
      <c r="D291" s="7" t="inlineStr">
        <is>
          <t>GLUCERNA SR CHOCOLATE 200ML-DEMAIS PROD</t>
        </is>
      </c>
      <c r="E291" s="13" t="n">
        <v>1</v>
      </c>
      <c r="F291" s="13" t="n">
        <v>1</v>
      </c>
      <c r="G291" s="13" t="n">
        <v>1</v>
      </c>
      <c r="H291" s="8" t="n">
        <v>16.9302</v>
      </c>
      <c r="I291" s="8">
        <f>G291*H291</f>
        <v/>
      </c>
      <c r="J291" s="8">
        <f>H291/E291</f>
        <v/>
      </c>
      <c r="K291" s="8" t="n">
        <v>14.12</v>
      </c>
      <c r="L291" s="8" t="n">
        <v>14.12</v>
      </c>
      <c r="M291" s="8" t="n">
        <v>14.12</v>
      </c>
      <c r="N291" s="14">
        <f>J291/M291-1</f>
        <v/>
      </c>
      <c r="O291" s="14">
        <f>J291/K291-1</f>
        <v/>
      </c>
      <c r="P291" s="7" t="inlineStr">
        <is>
          <t>ACIMA +19.9%</t>
        </is>
      </c>
      <c r="Q291" s="7" t="inlineStr"/>
    </row>
    <row r="292">
      <c r="A292" s="7" t="n">
        <v>583441</v>
      </c>
      <c r="B292" s="7" t="inlineStr"/>
      <c r="C292" s="12" t="inlineStr">
        <is>
          <t>7896512944436</t>
        </is>
      </c>
      <c r="D292" s="7" t="inlineStr">
        <is>
          <t>GRANADO BEBE CR HID 120ML TRADICIONAL</t>
        </is>
      </c>
      <c r="E292" s="13" t="n">
        <v>1</v>
      </c>
      <c r="F292" s="13" t="n">
        <v>1</v>
      </c>
      <c r="G292" s="13" t="n">
        <v>1</v>
      </c>
      <c r="H292" s="8" t="n">
        <v>21.32</v>
      </c>
      <c r="I292" s="8">
        <f>G292*H292</f>
        <v/>
      </c>
      <c r="J292" s="8">
        <f>H292/E292</f>
        <v/>
      </c>
      <c r="K292" s="8" t="n">
        <v>21.65</v>
      </c>
      <c r="L292" s="8" t="n">
        <v>21.65</v>
      </c>
      <c r="M292" s="8" t="n">
        <v>21.65</v>
      </c>
      <c r="N292" s="14">
        <f>J292/M292-1</f>
        <v/>
      </c>
      <c r="O292" s="14">
        <f>J292/K292-1</f>
        <v/>
      </c>
      <c r="P292" s="7" t="inlineStr">
        <is>
          <t>OK (≤ menor hist.)</t>
        </is>
      </c>
      <c r="Q292" s="7" t="inlineStr"/>
    </row>
    <row r="293">
      <c r="A293" s="7" t="n">
        <v>555481</v>
      </c>
      <c r="B293" s="7" t="inlineStr"/>
      <c r="C293" s="12" t="inlineStr">
        <is>
          <t>7898075311755</t>
        </is>
      </c>
      <c r="D293" s="7" t="inlineStr">
        <is>
          <t>GRAV TEST CLICK</t>
        </is>
      </c>
      <c r="E293" s="13" t="n">
        <v>1</v>
      </c>
      <c r="F293" s="13" t="n">
        <v>20</v>
      </c>
      <c r="G293" s="13" t="n">
        <v>20</v>
      </c>
      <c r="H293" s="8" t="n">
        <v>10.41</v>
      </c>
      <c r="I293" s="8">
        <f>G293*H293</f>
        <v/>
      </c>
      <c r="J293" s="8">
        <f>H293/E293</f>
        <v/>
      </c>
      <c r="K293" s="8" t="n">
        <v>9.09</v>
      </c>
      <c r="L293" s="8" t="n">
        <v>7.29</v>
      </c>
      <c r="M293" s="8" t="n">
        <v>7.386666666666667</v>
      </c>
      <c r="N293" s="14">
        <f>J293/M293-1</f>
        <v/>
      </c>
      <c r="O293" s="14">
        <f>J293/K293-1</f>
        <v/>
      </c>
      <c r="P293" s="7" t="inlineStr">
        <is>
          <t>ACIMA +14.5%</t>
        </is>
      </c>
      <c r="Q293" s="7" t="inlineStr"/>
    </row>
    <row r="294">
      <c r="A294" s="7" t="n">
        <v>558721</v>
      </c>
      <c r="B294" s="7" t="inlineStr"/>
      <c r="C294" s="12" t="inlineStr">
        <is>
          <t>7898075310383</t>
        </is>
      </c>
      <c r="D294" s="7" t="inlineStr">
        <is>
          <t>GRAV TEST EASY</t>
        </is>
      </c>
      <c r="E294" s="13" t="n">
        <v>1</v>
      </c>
      <c r="F294" s="13" t="n">
        <v>93</v>
      </c>
      <c r="G294" s="13" t="n">
        <v>93</v>
      </c>
      <c r="H294" s="8" t="n">
        <v>3.63</v>
      </c>
      <c r="I294" s="8">
        <f>G294*H294</f>
        <v/>
      </c>
      <c r="J294" s="8">
        <f>H294/E294</f>
        <v/>
      </c>
      <c r="K294" s="8" t="n">
        <v>2.69</v>
      </c>
      <c r="L294" s="8" t="n">
        <v>1.99</v>
      </c>
      <c r="M294" s="8" t="n">
        <v>2.223333333333333</v>
      </c>
      <c r="N294" s="14">
        <f>J294/M294-1</f>
        <v/>
      </c>
      <c r="O294" s="14">
        <f>J294/K294-1</f>
        <v/>
      </c>
      <c r="P294" s="7" t="inlineStr">
        <is>
          <t>ACIMA +34.9%</t>
        </is>
      </c>
      <c r="Q294" s="7" t="inlineStr"/>
    </row>
    <row r="295">
      <c r="A295" s="7" t="n">
        <v>626171</v>
      </c>
      <c r="B295" s="7" t="inlineStr"/>
      <c r="C295" s="12" t="inlineStr">
        <is>
          <t>7898185414865</t>
        </is>
      </c>
      <c r="D295" s="7" t="inlineStr">
        <is>
          <t>GUM ENXAGUANTE INF TROLLS 250ML</t>
        </is>
      </c>
      <c r="E295" s="13" t="n">
        <v>1</v>
      </c>
      <c r="F295" s="13" t="n">
        <v>1</v>
      </c>
      <c r="G295" s="13" t="n">
        <v>1</v>
      </c>
      <c r="H295" s="8" t="n">
        <v>13.1712</v>
      </c>
      <c r="I295" s="8">
        <f>G295*H295</f>
        <v/>
      </c>
      <c r="J295" s="8">
        <f>H295/E295</f>
        <v/>
      </c>
      <c r="K295" s="8" t="n">
        <v>11.245</v>
      </c>
      <c r="L295" s="8" t="n">
        <v>11.245</v>
      </c>
      <c r="M295" s="8" t="n">
        <v>11.245</v>
      </c>
      <c r="N295" s="14">
        <f>J295/M295-1</f>
        <v/>
      </c>
      <c r="O295" s="14">
        <f>J295/K295-1</f>
        <v/>
      </c>
      <c r="P295" s="7" t="inlineStr">
        <is>
          <t>ACIMA +17.1%</t>
        </is>
      </c>
      <c r="Q295" s="7" t="inlineStr"/>
    </row>
    <row r="296">
      <c r="A296" s="7" t="n">
        <v>626251</v>
      </c>
      <c r="B296" s="7" t="inlineStr"/>
      <c r="C296" s="12" t="inlineStr">
        <is>
          <t>070942005142</t>
        </is>
      </c>
      <c r="D296" s="7" t="inlineStr">
        <is>
          <t>GUM ESC DENTAL MIRACULOUS MANUAL 2UN</t>
        </is>
      </c>
      <c r="E296" s="13" t="n">
        <v>1</v>
      </c>
      <c r="F296" s="13" t="n">
        <v>1</v>
      </c>
      <c r="G296" s="13" t="n">
        <v>1</v>
      </c>
      <c r="H296" s="8" t="n">
        <v>14.2176</v>
      </c>
      <c r="I296" s="8">
        <f>G296*H296</f>
        <v/>
      </c>
      <c r="J296" s="8">
        <f>H296/E296</f>
        <v/>
      </c>
      <c r="K296" s="8" t="n">
        <v>15.265</v>
      </c>
      <c r="L296" s="8" t="n">
        <v>15.265</v>
      </c>
      <c r="M296" s="8" t="n">
        <v>15.265</v>
      </c>
      <c r="N296" s="14">
        <f>J296/M296-1</f>
        <v/>
      </c>
      <c r="O296" s="14">
        <f>J296/K296-1</f>
        <v/>
      </c>
      <c r="P296" s="7" t="inlineStr">
        <is>
          <t>OK (≤ menor hist.)</t>
        </is>
      </c>
      <c r="Q296" s="7" t="inlineStr"/>
    </row>
    <row r="297">
      <c r="A297" s="7" t="n">
        <v>554541</v>
      </c>
      <c r="B297" s="7" t="inlineStr"/>
      <c r="C297" s="12" t="inlineStr">
        <is>
          <t>7908134200040</t>
        </is>
      </c>
      <c r="D297" s="7" t="inlineStr">
        <is>
          <t>GYNOTRAN 750+200MG OVULO 1 STRIP X 7+14 DEDEIRAS</t>
        </is>
      </c>
      <c r="E297" s="13" t="n">
        <v>1</v>
      </c>
      <c r="F297" s="13" t="n">
        <v>2</v>
      </c>
      <c r="G297" s="13" t="n">
        <v>2</v>
      </c>
      <c r="H297" s="8" t="n">
        <v>87.41460000000001</v>
      </c>
      <c r="I297" s="8">
        <f>G297*H297</f>
        <v/>
      </c>
      <c r="J297" s="8">
        <f>H297/E297</f>
        <v/>
      </c>
      <c r="K297" s="8" t="n">
        <v>90.84</v>
      </c>
      <c r="L297" s="8" t="n">
        <v>84.2</v>
      </c>
      <c r="M297" s="8" t="n">
        <v>88.62666666666667</v>
      </c>
      <c r="N297" s="14">
        <f>J297/M297-1</f>
        <v/>
      </c>
      <c r="O297" s="14">
        <f>J297/K297-1</f>
        <v/>
      </c>
      <c r="P297" s="7" t="inlineStr">
        <is>
          <t>OK (≤ últ. compra)</t>
        </is>
      </c>
      <c r="Q297" s="7" t="inlineStr"/>
    </row>
    <row r="298">
      <c r="A298" s="7" t="n">
        <v>648351</v>
      </c>
      <c r="B298" s="7" t="inlineStr"/>
      <c r="C298" s="12" t="inlineStr">
        <is>
          <t>7898108640623</t>
        </is>
      </c>
      <c r="D298" s="7" t="inlineStr">
        <is>
          <t>HASTES FLEX SANCARE 75UN</t>
        </is>
      </c>
      <c r="E298" s="13" t="n">
        <v>1</v>
      </c>
      <c r="F298" s="13" t="n">
        <v>1</v>
      </c>
      <c r="G298" s="13" t="n">
        <v>1</v>
      </c>
      <c r="H298" s="8" t="n">
        <v>1.767</v>
      </c>
      <c r="I298" s="8">
        <f>G298*H298</f>
        <v/>
      </c>
      <c r="J298" s="8">
        <f>H298/E298</f>
        <v/>
      </c>
      <c r="K298" s="8" t="n">
        <v>1.8442</v>
      </c>
      <c r="L298" s="8" t="n">
        <v>1.8442</v>
      </c>
      <c r="M298" s="8" t="n">
        <v>1.8442</v>
      </c>
      <c r="N298" s="14">
        <f>J298/M298-1</f>
        <v/>
      </c>
      <c r="O298" s="14">
        <f>J298/K298-1</f>
        <v/>
      </c>
      <c r="P298" s="7" t="inlineStr">
        <is>
          <t>OK (≤ menor hist.)</t>
        </is>
      </c>
      <c r="Q298" s="7" t="inlineStr"/>
    </row>
    <row r="299">
      <c r="A299" s="7" t="n">
        <v>275521</v>
      </c>
      <c r="B299" s="7" t="inlineStr"/>
      <c r="C299" s="12" t="inlineStr">
        <is>
          <t>7891721027017</t>
        </is>
      </c>
      <c r="D299" s="7" t="inlineStr">
        <is>
          <t>HEMIFUMARATO DE BISOPROLOL 10MG CX 30 COMP REV</t>
        </is>
      </c>
      <c r="E299" s="13" t="n">
        <v>1</v>
      </c>
      <c r="F299" s="13" t="n">
        <v>1</v>
      </c>
      <c r="G299" s="13" t="n">
        <v>1</v>
      </c>
      <c r="H299" s="8" t="n">
        <v>55.44</v>
      </c>
      <c r="I299" s="8">
        <f>G299*H299</f>
        <v/>
      </c>
      <c r="J299" s="8">
        <f>H299/E299</f>
        <v/>
      </c>
      <c r="K299" s="8" t="n">
        <v>27.72</v>
      </c>
      <c r="L299" s="8" t="n">
        <v>27.72</v>
      </c>
      <c r="M299" s="8" t="n">
        <v>27.72</v>
      </c>
      <c r="N299" s="14">
        <f>J299/M299-1</f>
        <v/>
      </c>
      <c r="O299" s="14">
        <f>J299/K299-1</f>
        <v/>
      </c>
      <c r="P299" s="7" t="inlineStr">
        <is>
          <t>ACIMA +100.0%</t>
        </is>
      </c>
      <c r="Q299" s="7" t="inlineStr"/>
    </row>
    <row r="300">
      <c r="A300" s="7" t="n">
        <v>275641</v>
      </c>
      <c r="B300" s="7" t="inlineStr"/>
      <c r="C300" s="12" t="inlineStr">
        <is>
          <t>7896422522670</t>
        </is>
      </c>
      <c r="D300" s="7" t="inlineStr">
        <is>
          <t>HEMIFUMARATO DE BISOPROLOL 5MG CX 30 COMP REV</t>
        </is>
      </c>
      <c r="E300" s="13" t="n">
        <v>1</v>
      </c>
      <c r="F300" s="13" t="n">
        <v>1</v>
      </c>
      <c r="G300" s="13" t="n">
        <v>1</v>
      </c>
      <c r="H300" s="8" t="n">
        <v>46.942124</v>
      </c>
      <c r="I300" s="8">
        <f>G300*H300</f>
        <v/>
      </c>
      <c r="J300" s="8">
        <f>H300/E300</f>
        <v/>
      </c>
      <c r="K300" s="8" t="n">
        <v>24.6867</v>
      </c>
      <c r="L300" s="8" t="n">
        <v>19.7317</v>
      </c>
      <c r="M300" s="8" t="n">
        <v>23.03503333333333</v>
      </c>
      <c r="N300" s="14">
        <f>J300/M300-1</f>
        <v/>
      </c>
      <c r="O300" s="14">
        <f>J300/K300-1</f>
        <v/>
      </c>
      <c r="P300" s="7" t="inlineStr">
        <is>
          <t>ACIMA +90.2%</t>
        </is>
      </c>
      <c r="Q300" s="7" t="inlineStr"/>
    </row>
    <row r="301">
      <c r="A301" s="7" t="n">
        <v>598351</v>
      </c>
      <c r="B301" s="7" t="inlineStr"/>
      <c r="C301" s="12" t="inlineStr">
        <is>
          <t>7896512944443</t>
        </is>
      </c>
      <c r="D301" s="7" t="inlineStr">
        <is>
          <t>HID INF GRANADO BEBE 120ML LAVANDA</t>
        </is>
      </c>
      <c r="E301" s="13" t="n">
        <v>1</v>
      </c>
      <c r="F301" s="13" t="n">
        <v>1</v>
      </c>
      <c r="G301" s="13" t="n">
        <v>1</v>
      </c>
      <c r="H301" s="8" t="n">
        <v>21.32</v>
      </c>
      <c r="I301" s="8">
        <f>G301*H301</f>
        <v/>
      </c>
      <c r="J301" s="8">
        <f>H301/E301</f>
        <v/>
      </c>
      <c r="K301" s="8" t="n">
        <v>21.65</v>
      </c>
      <c r="L301" s="8" t="n">
        <v>21.65</v>
      </c>
      <c r="M301" s="8" t="n">
        <v>21.65</v>
      </c>
      <c r="N301" s="14">
        <f>J301/M301-1</f>
        <v/>
      </c>
      <c r="O301" s="14">
        <f>J301/K301-1</f>
        <v/>
      </c>
      <c r="P301" s="7" t="inlineStr">
        <is>
          <t>OK (≤ menor hist.)</t>
        </is>
      </c>
      <c r="Q301" s="7" t="inlineStr"/>
    </row>
    <row r="302">
      <c r="A302" s="7" t="n">
        <v>626321</v>
      </c>
      <c r="B302" s="7" t="inlineStr"/>
      <c r="C302" s="12" t="inlineStr">
        <is>
          <t>7898040325008</t>
        </is>
      </c>
      <c r="D302" s="7" t="inlineStr">
        <is>
          <t>HIDRAFEMME GEL 24G C/ 8 APLIC</t>
        </is>
      </c>
      <c r="E302" s="13" t="n">
        <v>1</v>
      </c>
      <c r="F302" s="13" t="n">
        <v>2</v>
      </c>
      <c r="G302" s="13" t="n">
        <v>2</v>
      </c>
      <c r="H302" s="8" t="n">
        <v>75.2041</v>
      </c>
      <c r="I302" s="8">
        <f>G302*H302</f>
        <v/>
      </c>
      <c r="J302" s="8">
        <f>H302/E302</f>
        <v/>
      </c>
      <c r="K302" s="8" t="n">
        <v>69.84</v>
      </c>
      <c r="L302" s="8" t="n">
        <v>57.646</v>
      </c>
      <c r="M302" s="8" t="n">
        <v>65.77533333333334</v>
      </c>
      <c r="N302" s="14">
        <f>J302/M302-1</f>
        <v/>
      </c>
      <c r="O302" s="14">
        <f>J302/K302-1</f>
        <v/>
      </c>
      <c r="P302" s="7" t="inlineStr">
        <is>
          <t>ACIMA +7.7%</t>
        </is>
      </c>
      <c r="Q302" s="7" t="inlineStr"/>
    </row>
    <row r="303">
      <c r="A303" s="7" t="n">
        <v>284521</v>
      </c>
      <c r="B303" s="7" t="inlineStr"/>
      <c r="C303" s="12" t="inlineStr">
        <is>
          <t>7891058002657</t>
        </is>
      </c>
      <c r="D303" s="7" t="inlineStr">
        <is>
          <t>HIDROCLOROTIAZIDA 25MG CX 30 COMP</t>
        </is>
      </c>
      <c r="E303" s="13" t="n">
        <v>1</v>
      </c>
      <c r="F303" s="13" t="n">
        <v>75</v>
      </c>
      <c r="G303" s="13" t="n">
        <v>75</v>
      </c>
      <c r="H303" s="8" t="n">
        <v>2.434242</v>
      </c>
      <c r="I303" s="8">
        <f>G303*H303</f>
        <v/>
      </c>
      <c r="J303" s="8">
        <f>H303/E303</f>
        <v/>
      </c>
      <c r="K303" s="8" t="n">
        <v>2.38</v>
      </c>
      <c r="L303" s="8" t="n">
        <v>0.8065</v>
      </c>
      <c r="M303" s="8" t="n">
        <v>1.8555</v>
      </c>
      <c r="N303" s="14">
        <f>J303/M303-1</f>
        <v/>
      </c>
      <c r="O303" s="14">
        <f>J303/K303-1</f>
        <v/>
      </c>
      <c r="P303" s="7" t="inlineStr">
        <is>
          <t>ACIMA +2.3%</t>
        </is>
      </c>
      <c r="Q303" s="7" t="inlineStr"/>
    </row>
    <row r="304">
      <c r="A304" s="7" t="n">
        <v>285361</v>
      </c>
      <c r="B304" s="7" t="inlineStr"/>
      <c r="C304" s="12" t="inlineStr">
        <is>
          <t>7896523210070</t>
        </is>
      </c>
      <c r="D304" s="7" t="inlineStr">
        <is>
          <t>HIDROCLOROTIAZIDA 25MG CX 3BL X 10 COMP</t>
        </is>
      </c>
      <c r="E304" s="13" t="n">
        <v>1</v>
      </c>
      <c r="F304" s="13" t="n">
        <v>62</v>
      </c>
      <c r="G304" s="13" t="n">
        <v>62</v>
      </c>
      <c r="H304" s="8" t="n">
        <v>5.09</v>
      </c>
      <c r="I304" s="8">
        <f>G304*H304</f>
        <v/>
      </c>
      <c r="J304" s="8">
        <f>H304/E304</f>
        <v/>
      </c>
      <c r="K304" s="8" t="n">
        <v>1.25</v>
      </c>
      <c r="L304" s="8" t="n">
        <v>1.15</v>
      </c>
      <c r="M304" s="8" t="n">
        <v>1.166666666666667</v>
      </c>
      <c r="N304" s="14">
        <f>J304/M304-1</f>
        <v/>
      </c>
      <c r="O304" s="14">
        <f>J304/K304-1</f>
        <v/>
      </c>
      <c r="P304" s="7" t="inlineStr">
        <is>
          <t>ACIMA +307.2%</t>
        </is>
      </c>
      <c r="Q304" s="7" t="inlineStr">
        <is>
          <t>conferir emb.</t>
        </is>
      </c>
    </row>
    <row r="305">
      <c r="A305" s="7" t="n">
        <v>406241</v>
      </c>
      <c r="B305" s="7" t="inlineStr"/>
      <c r="C305" s="12" t="inlineStr">
        <is>
          <t>7897411601505</t>
        </is>
      </c>
      <c r="D305" s="7" t="inlineStr">
        <is>
          <t>HIRUDOID 3MG/G GEL BG X 40G</t>
        </is>
      </c>
      <c r="E305" s="13" t="n">
        <v>1</v>
      </c>
      <c r="F305" s="13" t="n">
        <v>2</v>
      </c>
      <c r="G305" s="13" t="n">
        <v>2</v>
      </c>
      <c r="H305" s="8" t="n">
        <v>32.016</v>
      </c>
      <c r="I305" s="8">
        <f>G305*H305</f>
        <v/>
      </c>
      <c r="J305" s="8">
        <f>H305/E305</f>
        <v/>
      </c>
      <c r="K305" s="8" t="n">
        <v>32.92</v>
      </c>
      <c r="L305" s="8" t="n">
        <v>28.79</v>
      </c>
      <c r="M305" s="8" t="n">
        <v>31.54333333333333</v>
      </c>
      <c r="N305" s="14">
        <f>J305/M305-1</f>
        <v/>
      </c>
      <c r="O305" s="14">
        <f>J305/K305-1</f>
        <v/>
      </c>
      <c r="P305" s="7" t="inlineStr">
        <is>
          <t>OK (≤ últ. compra)</t>
        </is>
      </c>
      <c r="Q305" s="7" t="inlineStr"/>
    </row>
    <row r="306">
      <c r="A306" s="7" t="n">
        <v>406261</v>
      </c>
      <c r="B306" s="7" t="inlineStr"/>
      <c r="C306" s="12" t="inlineStr">
        <is>
          <t>7897411601567</t>
        </is>
      </c>
      <c r="D306" s="7" t="inlineStr">
        <is>
          <t>HIRUDOID 5MG/G POM BG X 40G</t>
        </is>
      </c>
      <c r="E306" s="13" t="n">
        <v>1</v>
      </c>
      <c r="F306" s="13" t="n">
        <v>1</v>
      </c>
      <c r="G306" s="13" t="n">
        <v>1</v>
      </c>
      <c r="H306" s="8" t="n">
        <v>35.0592</v>
      </c>
      <c r="I306" s="8">
        <f>G306*H306</f>
        <v/>
      </c>
      <c r="J306" s="8">
        <f>H306/E306</f>
        <v/>
      </c>
      <c r="K306" s="8" t="n">
        <v>36.05</v>
      </c>
      <c r="L306" s="8" t="n">
        <v>31.52</v>
      </c>
      <c r="M306" s="8" t="n">
        <v>34.415</v>
      </c>
      <c r="N306" s="14">
        <f>J306/M306-1</f>
        <v/>
      </c>
      <c r="O306" s="14">
        <f>J306/K306-1</f>
        <v/>
      </c>
      <c r="P306" s="7" t="inlineStr">
        <is>
          <t>OK (≤ últ. compra)</t>
        </is>
      </c>
      <c r="Q306" s="7" t="inlineStr"/>
    </row>
    <row r="307">
      <c r="A307" s="7" t="n">
        <v>646171</v>
      </c>
      <c r="B307" s="7" t="inlineStr"/>
      <c r="C307" s="12" t="inlineStr">
        <is>
          <t>7899941202269</t>
        </is>
      </c>
      <c r="D307" s="7" t="inlineStr">
        <is>
          <t>HORUS MAX TITANIUM FRUTAS VERMELHAS POTE 150G</t>
        </is>
      </c>
      <c r="E307" s="13" t="n">
        <v>1</v>
      </c>
      <c r="F307" s="13" t="n">
        <v>3</v>
      </c>
      <c r="G307" s="13" t="n">
        <v>3</v>
      </c>
      <c r="H307" s="8" t="n">
        <v>38.09</v>
      </c>
      <c r="I307" s="8">
        <f>G307*H307</f>
        <v/>
      </c>
      <c r="J307" s="8">
        <f>H307/E307</f>
        <v/>
      </c>
      <c r="K307" s="8" t="n">
        <v>59.9</v>
      </c>
      <c r="L307" s="8" t="n">
        <v>59.9</v>
      </c>
      <c r="M307" s="8" t="n">
        <v>59.9</v>
      </c>
      <c r="N307" s="14">
        <f>J307/M307-1</f>
        <v/>
      </c>
      <c r="O307" s="14">
        <f>J307/K307-1</f>
        <v/>
      </c>
      <c r="P307" s="7" t="inlineStr">
        <is>
          <t>OK (≤ menor hist.)</t>
        </is>
      </c>
      <c r="Q307" s="7" t="inlineStr"/>
    </row>
    <row r="308">
      <c r="A308" s="7" t="n">
        <v>592811</v>
      </c>
      <c r="B308" s="7" t="inlineStr"/>
      <c r="C308" s="12" t="inlineStr">
        <is>
          <t>7898495609487</t>
        </is>
      </c>
      <c r="D308" s="7" t="inlineStr">
        <is>
          <t>IMOLAC SOL C/200ML+COP (CFE)</t>
        </is>
      </c>
      <c r="E308" s="13" t="n">
        <v>1</v>
      </c>
      <c r="F308" s="13" t="n">
        <v>3</v>
      </c>
      <c r="G308" s="13" t="n">
        <v>3</v>
      </c>
      <c r="H308" s="8" t="n">
        <v>91.3061</v>
      </c>
      <c r="I308" s="8">
        <f>G308*H308</f>
        <v/>
      </c>
      <c r="J308" s="8">
        <f>H308/E308</f>
        <v/>
      </c>
      <c r="K308" s="8" t="n">
        <v>67.37</v>
      </c>
      <c r="L308" s="8" t="n">
        <v>67.37</v>
      </c>
      <c r="M308" s="8" t="n">
        <v>67.37</v>
      </c>
      <c r="N308" s="14">
        <f>J308/M308-1</f>
        <v/>
      </c>
      <c r="O308" s="14">
        <f>J308/K308-1</f>
        <v/>
      </c>
      <c r="P308" s="7" t="inlineStr">
        <is>
          <t>ACIMA +35.5%</t>
        </is>
      </c>
      <c r="Q308" s="7" t="inlineStr"/>
    </row>
    <row r="309">
      <c r="A309" s="7" t="n">
        <v>240081</v>
      </c>
      <c r="B309" s="7" t="inlineStr"/>
      <c r="C309" s="12" t="inlineStr">
        <is>
          <t>7896094208094</t>
        </is>
      </c>
      <c r="D309" s="7" t="inlineStr">
        <is>
          <t>IUMI 3+0,02MG CX 24 COMP REV</t>
        </is>
      </c>
      <c r="E309" s="13" t="n">
        <v>1</v>
      </c>
      <c r="F309" s="13" t="n">
        <v>1</v>
      </c>
      <c r="G309" s="13" t="n">
        <v>1</v>
      </c>
      <c r="H309" s="8" t="n">
        <v>57.7764</v>
      </c>
      <c r="I309" s="8">
        <f>G309*H309</f>
        <v/>
      </c>
      <c r="J309" s="8">
        <f>H309/E309</f>
        <v/>
      </c>
      <c r="K309" s="8" t="n">
        <v>58.84</v>
      </c>
      <c r="L309" s="8" t="n">
        <v>54.58</v>
      </c>
      <c r="M309" s="8" t="n">
        <v>57.41999999999999</v>
      </c>
      <c r="N309" s="14">
        <f>J309/M309-1</f>
        <v/>
      </c>
      <c r="O309" s="14">
        <f>J309/K309-1</f>
        <v/>
      </c>
      <c r="P309" s="7" t="inlineStr">
        <is>
          <t>OK (≤ últ. compra)</t>
        </is>
      </c>
      <c r="Q309" s="7" t="inlineStr"/>
    </row>
    <row r="310">
      <c r="A310" s="7" t="n">
        <v>237681</v>
      </c>
      <c r="B310" s="7" t="inlineStr"/>
      <c r="C310" s="12" t="inlineStr">
        <is>
          <t>7896094209510</t>
        </is>
      </c>
      <c r="D310" s="7" t="inlineStr">
        <is>
          <t>IZIZ 2,5+1,5MG CX CARTELA COMP REV CAIXA C/ 3 CARTELAS</t>
        </is>
      </c>
      <c r="E310" s="13" t="n">
        <v>1</v>
      </c>
      <c r="F310" s="13" t="n">
        <v>1</v>
      </c>
      <c r="G310" s="13" t="n">
        <v>1</v>
      </c>
      <c r="H310" s="8" t="n">
        <v>124.0767</v>
      </c>
      <c r="I310" s="8">
        <f>G310*H310</f>
        <v/>
      </c>
      <c r="J310" s="8">
        <f>H310/E310</f>
        <v/>
      </c>
      <c r="K310" s="8" t="n">
        <v>42.1167</v>
      </c>
      <c r="L310" s="8" t="n">
        <v>38.5967</v>
      </c>
      <c r="M310" s="8" t="n">
        <v>40.94336666666667</v>
      </c>
      <c r="N310" s="14">
        <f>J310/M310-1</f>
        <v/>
      </c>
      <c r="O310" s="14">
        <f>J310/K310-1</f>
        <v/>
      </c>
      <c r="P310" s="7" t="inlineStr">
        <is>
          <t>ACIMA +194.6%</t>
        </is>
      </c>
      <c r="Q310" s="7" t="inlineStr">
        <is>
          <t>conferir emb.</t>
        </is>
      </c>
    </row>
    <row r="311">
      <c r="A311" s="7" t="n">
        <v>654861</v>
      </c>
      <c r="B311" s="7" t="inlineStr"/>
      <c r="C311" s="12" t="inlineStr">
        <is>
          <t>7897947620131</t>
        </is>
      </c>
      <c r="D311" s="7" t="inlineStr">
        <is>
          <t>JOAO E MARIA SAB LIQ BABY GLIC FR 200ML</t>
        </is>
      </c>
      <c r="E311" s="13" t="n">
        <v>1</v>
      </c>
      <c r="F311" s="13" t="n">
        <v>1</v>
      </c>
      <c r="G311" s="13" t="n">
        <v>1</v>
      </c>
      <c r="H311" s="8" t="n">
        <v>16.21</v>
      </c>
      <c r="I311" s="8">
        <f>G311*H311</f>
        <v/>
      </c>
      <c r="J311" s="8">
        <f>H311/E311</f>
        <v/>
      </c>
      <c r="K311" s="8" t="n">
        <v>13.83</v>
      </c>
      <c r="L311" s="8" t="n">
        <v>13.83</v>
      </c>
      <c r="M311" s="8" t="n">
        <v>13.83</v>
      </c>
      <c r="N311" s="14">
        <f>J311/M311-1</f>
        <v/>
      </c>
      <c r="O311" s="14">
        <f>J311/K311-1</f>
        <v/>
      </c>
      <c r="P311" s="7" t="inlineStr">
        <is>
          <t>ACIMA +17.2%</t>
        </is>
      </c>
      <c r="Q311" s="7" t="inlineStr"/>
    </row>
    <row r="312">
      <c r="A312" s="7" t="n">
        <v>42603</v>
      </c>
      <c r="B312" s="7" t="inlineStr"/>
      <c r="C312" s="12" t="inlineStr">
        <is>
          <t>7896222720368</t>
        </is>
      </c>
      <c r="D312" s="7" t="inlineStr">
        <is>
          <t>JONTEX XL LUBRIFICADO 6-DEMAIS PROD</t>
        </is>
      </c>
      <c r="E312" s="13" t="n">
        <v>1</v>
      </c>
      <c r="F312" s="13" t="n">
        <v>1</v>
      </c>
      <c r="G312" s="13" t="n">
        <v>1</v>
      </c>
      <c r="H312" s="8" t="n">
        <v>15.1998</v>
      </c>
      <c r="I312" s="8">
        <f>G312*H312</f>
        <v/>
      </c>
      <c r="J312" s="8">
        <f>H312/E312</f>
        <v/>
      </c>
      <c r="K312" s="8" t="n">
        <v>13.7433</v>
      </c>
      <c r="L312" s="8" t="n">
        <v>13.7433</v>
      </c>
      <c r="M312" s="8" t="n">
        <v>13.7433</v>
      </c>
      <c r="N312" s="14">
        <f>J312/M312-1</f>
        <v/>
      </c>
      <c r="O312" s="14">
        <f>J312/K312-1</f>
        <v/>
      </c>
      <c r="P312" s="7" t="inlineStr">
        <is>
          <t>ACIMA +10.6%</t>
        </is>
      </c>
      <c r="Q312" s="7" t="inlineStr"/>
    </row>
    <row r="313">
      <c r="A313" s="7" t="n">
        <v>546681</v>
      </c>
      <c r="B313" s="7" t="inlineStr"/>
      <c r="C313" s="12" t="inlineStr">
        <is>
          <t>7896523210582</t>
        </is>
      </c>
      <c r="D313" s="7" t="inlineStr">
        <is>
          <t>K-MED 2 EM 1 GEL FR 203 G</t>
        </is>
      </c>
      <c r="E313" s="13" t="n">
        <v>1</v>
      </c>
      <c r="F313" s="13" t="n">
        <v>8</v>
      </c>
      <c r="G313" s="13" t="n">
        <v>8</v>
      </c>
      <c r="H313" s="8" t="n">
        <v>30.61</v>
      </c>
      <c r="I313" s="8">
        <f>G313*H313</f>
        <v/>
      </c>
      <c r="J313" s="8">
        <f>H313/E313</f>
        <v/>
      </c>
      <c r="K313" s="8" t="n">
        <v>27.83</v>
      </c>
      <c r="L313" s="8" t="n">
        <v>13.99</v>
      </c>
      <c r="M313" s="8" t="n">
        <v>21.52666666666667</v>
      </c>
      <c r="N313" s="14">
        <f>J313/M313-1</f>
        <v/>
      </c>
      <c r="O313" s="14">
        <f>J313/K313-1</f>
        <v/>
      </c>
      <c r="P313" s="7" t="inlineStr">
        <is>
          <t>ACIMA +10.0%</t>
        </is>
      </c>
      <c r="Q313" s="7" t="inlineStr"/>
    </row>
    <row r="314">
      <c r="A314" s="7" t="n">
        <v>607011</v>
      </c>
      <c r="B314" s="7" t="inlineStr"/>
      <c r="C314" s="12" t="inlineStr">
        <is>
          <t>7896523228136</t>
        </is>
      </c>
      <c r="D314" s="7" t="inlineStr">
        <is>
          <t>K-MED 2 EM 1 GEL FR 203 G LGBTQIA+</t>
        </is>
      </c>
      <c r="E314" s="13" t="n">
        <v>1</v>
      </c>
      <c r="F314" s="13" t="n">
        <v>3</v>
      </c>
      <c r="G314" s="13" t="n">
        <v>3</v>
      </c>
      <c r="H314" s="8" t="n">
        <v>30.45</v>
      </c>
      <c r="I314" s="8">
        <f>G314*H314</f>
        <v/>
      </c>
      <c r="J314" s="8">
        <f>H314/E314</f>
        <v/>
      </c>
      <c r="K314" s="8" t="n">
        <v>26.72</v>
      </c>
      <c r="L314" s="8" t="n">
        <v>24.29</v>
      </c>
      <c r="M314" s="8" t="n">
        <v>24.29</v>
      </c>
      <c r="N314" s="14">
        <f>J314/M314-1</f>
        <v/>
      </c>
      <c r="O314" s="14">
        <f>J314/K314-1</f>
        <v/>
      </c>
      <c r="P314" s="7" t="inlineStr">
        <is>
          <t>ACIMA +14.0%</t>
        </is>
      </c>
      <c r="Q314" s="7" t="inlineStr"/>
    </row>
    <row r="315">
      <c r="A315" s="7" t="n">
        <v>630501</v>
      </c>
      <c r="B315" s="7" t="inlineStr"/>
      <c r="C315" s="12" t="inlineStr">
        <is>
          <t>7896523201948</t>
        </is>
      </c>
      <c r="D315" s="7" t="inlineStr">
        <is>
          <t>K-MED 2 EM 1 GEL FR 50 G</t>
        </is>
      </c>
      <c r="E315" s="13" t="n">
        <v>1</v>
      </c>
      <c r="F315" s="13" t="n">
        <v>7</v>
      </c>
      <c r="G315" s="13" t="n">
        <v>7</v>
      </c>
      <c r="H315" s="8" t="n">
        <v>17.48</v>
      </c>
      <c r="I315" s="8">
        <f>G315*H315</f>
        <v/>
      </c>
      <c r="J315" s="8">
        <f>H315/E315</f>
        <v/>
      </c>
      <c r="K315" s="8" t="n">
        <v>13.3</v>
      </c>
      <c r="L315" s="8" t="n">
        <v>12.09</v>
      </c>
      <c r="M315" s="8" t="n">
        <v>12.09</v>
      </c>
      <c r="N315" s="14">
        <f>J315/M315-1</f>
        <v/>
      </c>
      <c r="O315" s="14">
        <f>J315/K315-1</f>
        <v/>
      </c>
      <c r="P315" s="7" t="inlineStr">
        <is>
          <t>ACIMA +31.4%</t>
        </is>
      </c>
      <c r="Q315" s="7" t="inlineStr"/>
    </row>
    <row r="316">
      <c r="A316" s="7" t="n">
        <v>621221</v>
      </c>
      <c r="B316" s="7" t="inlineStr"/>
      <c r="C316" s="12" t="inlineStr">
        <is>
          <t>7896523228440</t>
        </is>
      </c>
      <c r="D316" s="7" t="inlineStr">
        <is>
          <t>K-MED ICE FR 50G</t>
        </is>
      </c>
      <c r="E316" s="13" t="n">
        <v>1</v>
      </c>
      <c r="F316" s="13" t="n">
        <v>7</v>
      </c>
      <c r="G316" s="13" t="n">
        <v>7</v>
      </c>
      <c r="H316" s="8" t="n">
        <v>17.48</v>
      </c>
      <c r="I316" s="8">
        <f>G316*H316</f>
        <v/>
      </c>
      <c r="J316" s="8">
        <f>H316/E316</f>
        <v/>
      </c>
      <c r="K316" s="8" t="n">
        <v>14.06</v>
      </c>
      <c r="L316" s="8" t="n">
        <v>12.09</v>
      </c>
      <c r="M316" s="8" t="n">
        <v>12.49333333333333</v>
      </c>
      <c r="N316" s="14">
        <f>J316/M316-1</f>
        <v/>
      </c>
      <c r="O316" s="14">
        <f>J316/K316-1</f>
        <v/>
      </c>
      <c r="P316" s="7" t="inlineStr">
        <is>
          <t>ACIMA +24.3%</t>
        </is>
      </c>
      <c r="Q316" s="7" t="inlineStr"/>
    </row>
    <row r="317">
      <c r="A317" s="7" t="n">
        <v>400901</v>
      </c>
      <c r="B317" s="7" t="inlineStr"/>
      <c r="C317" s="12" t="inlineStr">
        <is>
          <t>7896641804397</t>
        </is>
      </c>
      <c r="D317" s="7" t="inlineStr">
        <is>
          <t>KALOBA 825MG/ML SOL ORAL FR 50ML</t>
        </is>
      </c>
      <c r="E317" s="13" t="n">
        <v>1</v>
      </c>
      <c r="F317" s="13" t="n">
        <v>1</v>
      </c>
      <c r="G317" s="13" t="n">
        <v>1</v>
      </c>
      <c r="H317" s="8" t="n">
        <v>124.8096</v>
      </c>
      <c r="I317" s="8">
        <f>G317*H317</f>
        <v/>
      </c>
      <c r="J317" s="8">
        <f>H317/E317</f>
        <v/>
      </c>
      <c r="K317" s="8" t="n">
        <v>128.35</v>
      </c>
      <c r="L317" s="8" t="n">
        <v>111.97</v>
      </c>
      <c r="M317" s="8" t="n">
        <v>121.54</v>
      </c>
      <c r="N317" s="14">
        <f>J317/M317-1</f>
        <v/>
      </c>
      <c r="O317" s="14">
        <f>J317/K317-1</f>
        <v/>
      </c>
      <c r="P317" s="7" t="inlineStr">
        <is>
          <t>OK (≤ últ. compra)</t>
        </is>
      </c>
      <c r="Q317" s="7" t="inlineStr"/>
    </row>
    <row r="318">
      <c r="A318" s="7" t="n">
        <v>535001</v>
      </c>
      <c r="B318" s="7" t="inlineStr"/>
      <c r="C318" s="12" t="inlineStr">
        <is>
          <t>7896000724953</t>
        </is>
      </c>
      <c r="D318" s="7" t="inlineStr">
        <is>
          <t>KIT COLORACAO CREME 1.110 PRETO ÔNIX NIELY COR&amp;TON MEGA COLORS</t>
        </is>
      </c>
      <c r="E318" s="13" t="n">
        <v>1</v>
      </c>
      <c r="F318" s="13" t="n">
        <v>4</v>
      </c>
      <c r="G318" s="13" t="n">
        <v>4</v>
      </c>
      <c r="H318" s="8" t="n">
        <v>12.87</v>
      </c>
      <c r="I318" s="8">
        <f>G318*H318</f>
        <v/>
      </c>
      <c r="J318" s="8">
        <f>H318/E318</f>
        <v/>
      </c>
      <c r="K318" s="8" t="n">
        <v>12.58</v>
      </c>
      <c r="L318" s="8" t="n">
        <v>10.5</v>
      </c>
      <c r="M318" s="8" t="n">
        <v>11.72333333333333</v>
      </c>
      <c r="N318" s="14">
        <f>J318/M318-1</f>
        <v/>
      </c>
      <c r="O318" s="14">
        <f>J318/K318-1</f>
        <v/>
      </c>
      <c r="P318" s="7" t="inlineStr">
        <is>
          <t>ACIMA +2.3%</t>
        </is>
      </c>
      <c r="Q318" s="7" t="inlineStr"/>
    </row>
    <row r="319">
      <c r="A319" s="7" t="n">
        <v>535041</v>
      </c>
      <c r="B319" s="7" t="inlineStr"/>
      <c r="C319" s="12" t="inlineStr">
        <is>
          <t>7896000705969</t>
        </is>
      </c>
      <c r="D319" s="7" t="inlineStr">
        <is>
          <t>KIT COLORACAO CREME 3.0 CASTANHO ESCURO NIELY COR&amp;TON</t>
        </is>
      </c>
      <c r="E319" s="13" t="n">
        <v>1</v>
      </c>
      <c r="F319" s="13" t="n">
        <v>2</v>
      </c>
      <c r="G319" s="13" t="n">
        <v>2</v>
      </c>
      <c r="H319" s="8" t="n">
        <v>12.87</v>
      </c>
      <c r="I319" s="8">
        <f>G319*H319</f>
        <v/>
      </c>
      <c r="J319" s="8">
        <f>H319/E319</f>
        <v/>
      </c>
      <c r="K319" s="8" t="n">
        <v>12.58</v>
      </c>
      <c r="L319" s="8" t="n">
        <v>9.585000000000001</v>
      </c>
      <c r="M319" s="8" t="n">
        <v>11.45833333333333</v>
      </c>
      <c r="N319" s="14">
        <f>J319/M319-1</f>
        <v/>
      </c>
      <c r="O319" s="14">
        <f>J319/K319-1</f>
        <v/>
      </c>
      <c r="P319" s="7" t="inlineStr">
        <is>
          <t>ACIMA +2.3%</t>
        </is>
      </c>
      <c r="Q319" s="7" t="inlineStr"/>
    </row>
    <row r="320">
      <c r="A320" s="7" t="n">
        <v>534981</v>
      </c>
      <c r="B320" s="7" t="inlineStr"/>
      <c r="C320" s="12" t="inlineStr">
        <is>
          <t>7896000705983</t>
        </is>
      </c>
      <c r="D320" s="7" t="inlineStr">
        <is>
          <t>KIT COLORACAO CREME 5.0 CASTANHO CLARO NIELY COR&amp;TON</t>
        </is>
      </c>
      <c r="E320" s="13" t="n">
        <v>1</v>
      </c>
      <c r="F320" s="13" t="n">
        <v>4</v>
      </c>
      <c r="G320" s="13" t="n">
        <v>4</v>
      </c>
      <c r="H320" s="8" t="n">
        <v>12.87</v>
      </c>
      <c r="I320" s="8">
        <f>G320*H320</f>
        <v/>
      </c>
      <c r="J320" s="8">
        <f>H320/E320</f>
        <v/>
      </c>
      <c r="K320" s="8" t="n">
        <v>12.58</v>
      </c>
      <c r="L320" s="8" t="n">
        <v>9.82</v>
      </c>
      <c r="M320" s="8" t="n">
        <v>11.49666666666667</v>
      </c>
      <c r="N320" s="14">
        <f>J320/M320-1</f>
        <v/>
      </c>
      <c r="O320" s="14">
        <f>J320/K320-1</f>
        <v/>
      </c>
      <c r="P320" s="7" t="inlineStr">
        <is>
          <t>ACIMA +2.3%</t>
        </is>
      </c>
      <c r="Q320" s="7" t="inlineStr"/>
    </row>
    <row r="321">
      <c r="A321" s="7" t="n">
        <v>536661</v>
      </c>
      <c r="B321" s="7" t="inlineStr"/>
      <c r="C321" s="12" t="inlineStr">
        <is>
          <t>7896000724731</t>
        </is>
      </c>
      <c r="D321" s="7" t="inlineStr">
        <is>
          <t>KIT COLORACAO CREME 6.646 VERMELHO CEREJA NIELY COR&amp;TON MEGA COLORS</t>
        </is>
      </c>
      <c r="E321" s="13" t="n">
        <v>1</v>
      </c>
      <c r="F321" s="13" t="n">
        <v>3</v>
      </c>
      <c r="G321" s="13" t="n">
        <v>3</v>
      </c>
      <c r="H321" s="8" t="n">
        <v>12.87</v>
      </c>
      <c r="I321" s="8">
        <f>G321*H321</f>
        <v/>
      </c>
      <c r="J321" s="8">
        <f>H321/E321</f>
        <v/>
      </c>
      <c r="K321" s="8" t="n">
        <v>12.58</v>
      </c>
      <c r="L321" s="8" t="n">
        <v>9.7033</v>
      </c>
      <c r="M321" s="8" t="n">
        <v>11.6211</v>
      </c>
      <c r="N321" s="14">
        <f>J321/M321-1</f>
        <v/>
      </c>
      <c r="O321" s="14">
        <f>J321/K321-1</f>
        <v/>
      </c>
      <c r="P321" s="7" t="inlineStr">
        <is>
          <t>ACIMA +2.3%</t>
        </is>
      </c>
      <c r="Q321" s="7" t="inlineStr"/>
    </row>
    <row r="322">
      <c r="A322" s="7" t="n">
        <v>535101</v>
      </c>
      <c r="B322" s="7" t="inlineStr"/>
      <c r="C322" s="12" t="inlineStr">
        <is>
          <t>7896000705921</t>
        </is>
      </c>
      <c r="D322" s="7" t="inlineStr">
        <is>
          <t>KIT COLORACAO CREME COR&amp;TON 6.7 CHOCOLATE</t>
        </is>
      </c>
      <c r="E322" s="13" t="n">
        <v>1</v>
      </c>
      <c r="F322" s="13" t="n">
        <v>3</v>
      </c>
      <c r="G322" s="13" t="n">
        <v>3</v>
      </c>
      <c r="H322" s="8" t="n">
        <v>12.87</v>
      </c>
      <c r="I322" s="8">
        <f>G322*H322</f>
        <v/>
      </c>
      <c r="J322" s="8">
        <f>H322/E322</f>
        <v/>
      </c>
      <c r="K322" s="8" t="n">
        <v>12.58</v>
      </c>
      <c r="L322" s="8" t="n">
        <v>9.585000000000001</v>
      </c>
      <c r="M322" s="8" t="n">
        <v>11.41833333333333</v>
      </c>
      <c r="N322" s="14">
        <f>J322/M322-1</f>
        <v/>
      </c>
      <c r="O322" s="14">
        <f>J322/K322-1</f>
        <v/>
      </c>
      <c r="P322" s="7" t="inlineStr">
        <is>
          <t>ACIMA +2.3%</t>
        </is>
      </c>
      <c r="Q322" s="7" t="inlineStr"/>
    </row>
    <row r="323">
      <c r="A323" s="7" t="n">
        <v>677701</v>
      </c>
      <c r="B323" s="7" t="inlineStr"/>
      <c r="C323" s="12" t="inlineStr">
        <is>
          <t>7891150103801</t>
        </is>
      </c>
      <c r="D323" s="7" t="inlineStr">
        <is>
          <t>KIT SH+COND DOVE HIDRAT+HIA 350ML+175ML</t>
        </is>
      </c>
      <c r="E323" s="13" t="n">
        <v>1</v>
      </c>
      <c r="F323" s="13" t="n">
        <v>1</v>
      </c>
      <c r="G323" s="13" t="n">
        <v>1</v>
      </c>
      <c r="H323" s="8" t="n">
        <v>21.52</v>
      </c>
      <c r="I323" s="8">
        <f>G323*H323</f>
        <v/>
      </c>
      <c r="J323" s="8">
        <f>H323/E323</f>
        <v/>
      </c>
      <c r="K323" s="8" t="n">
        <v>28.36</v>
      </c>
      <c r="L323" s="8" t="n">
        <v>28.36</v>
      </c>
      <c r="M323" s="8" t="n">
        <v>28.36</v>
      </c>
      <c r="N323" s="14">
        <f>J323/M323-1</f>
        <v/>
      </c>
      <c r="O323" s="14">
        <f>J323/K323-1</f>
        <v/>
      </c>
      <c r="P323" s="7" t="inlineStr">
        <is>
          <t>OK (≤ menor hist.)</t>
        </is>
      </c>
      <c r="Q323" s="7" t="inlineStr"/>
    </row>
    <row r="324">
      <c r="A324" s="7" t="n">
        <v>677901</v>
      </c>
      <c r="B324" s="7" t="inlineStr"/>
      <c r="C324" s="12" t="inlineStr">
        <is>
          <t>7891150097384</t>
        </is>
      </c>
      <c r="D324" s="7" t="inlineStr">
        <is>
          <t>KIT SH+COND SEDA LISO PERF 300ML+190ML</t>
        </is>
      </c>
      <c r="E324" s="13" t="n">
        <v>1</v>
      </c>
      <c r="F324" s="13" t="n">
        <v>1</v>
      </c>
      <c r="G324" s="13" t="n">
        <v>1</v>
      </c>
      <c r="H324" s="8" t="n">
        <v>14.8</v>
      </c>
      <c r="I324" s="8">
        <f>G324*H324</f>
        <v/>
      </c>
      <c r="J324" s="8">
        <f>H324/E324</f>
        <v/>
      </c>
      <c r="K324" s="8" t="n">
        <v>14.65</v>
      </c>
      <c r="L324" s="8" t="n">
        <v>14.65</v>
      </c>
      <c r="M324" s="8" t="n">
        <v>14.65</v>
      </c>
      <c r="N324" s="14">
        <f>J324/M324-1</f>
        <v/>
      </c>
      <c r="O324" s="14">
        <f>J324/K324-1</f>
        <v/>
      </c>
      <c r="P324" s="7" t="inlineStr">
        <is>
          <t>ACIMA +1.0%</t>
        </is>
      </c>
      <c r="Q324" s="7" t="inlineStr"/>
    </row>
    <row r="325">
      <c r="A325" s="7" t="n">
        <v>552141</v>
      </c>
      <c r="B325" s="7" t="inlineStr"/>
      <c r="C325" s="12" t="inlineStr">
        <is>
          <t>7896000727527</t>
        </is>
      </c>
      <c r="D325" s="7" t="inlineStr">
        <is>
          <t>KIT SHAMP.+COND.NIELY GOLD (HIDRATACAO)</t>
        </is>
      </c>
      <c r="E325" s="13" t="n">
        <v>1</v>
      </c>
      <c r="F325" s="13" t="n">
        <v>1</v>
      </c>
      <c r="G325" s="13" t="n">
        <v>1</v>
      </c>
      <c r="H325" s="8" t="n">
        <v>17.98</v>
      </c>
      <c r="I325" s="8">
        <f>G325*H325</f>
        <v/>
      </c>
      <c r="J325" s="8">
        <f>H325/E325</f>
        <v/>
      </c>
      <c r="K325" s="8" t="n">
        <v>15.08</v>
      </c>
      <c r="L325" s="8" t="n">
        <v>15.08</v>
      </c>
      <c r="M325" s="8" t="n">
        <v>15.08</v>
      </c>
      <c r="N325" s="14">
        <f>J325/M325-1</f>
        <v/>
      </c>
      <c r="O325" s="14">
        <f>J325/K325-1</f>
        <v/>
      </c>
      <c r="P325" s="7" t="inlineStr">
        <is>
          <t>ACIMA +19.2%</t>
        </is>
      </c>
      <c r="Q325" s="7" t="inlineStr"/>
    </row>
    <row r="326">
      <c r="A326" s="7" t="n">
        <v>663141</v>
      </c>
      <c r="B326" s="7" t="inlineStr"/>
      <c r="C326" s="12" t="inlineStr">
        <is>
          <t>7891150101630</t>
        </is>
      </c>
      <c r="D326" s="7" t="inlineStr">
        <is>
          <t>KIT SHP+COND SEDA TOQUE DE SEDA 300ML+190ML   UNIL %DN:10.00</t>
        </is>
      </c>
      <c r="E326" s="13" t="n">
        <v>1</v>
      </c>
      <c r="F326" s="13" t="n">
        <v>2</v>
      </c>
      <c r="G326" s="13" t="n">
        <v>2</v>
      </c>
      <c r="H326" s="8" t="n">
        <v>14.8</v>
      </c>
      <c r="I326" s="8">
        <f>G326*H326</f>
        <v/>
      </c>
      <c r="J326" s="8">
        <f>H326/E326</f>
        <v/>
      </c>
      <c r="K326" s="8" t="n">
        <v>13.625</v>
      </c>
      <c r="L326" s="8" t="n">
        <v>13.625</v>
      </c>
      <c r="M326" s="8" t="n">
        <v>13.625</v>
      </c>
      <c r="N326" s="14">
        <f>J326/M326-1</f>
        <v/>
      </c>
      <c r="O326" s="14">
        <f>J326/K326-1</f>
        <v/>
      </c>
      <c r="P326" s="7" t="inlineStr">
        <is>
          <t>ACIMA +8.6%</t>
        </is>
      </c>
      <c r="Q326" s="7" t="inlineStr"/>
    </row>
    <row r="327">
      <c r="A327" s="7" t="n">
        <v>114801</v>
      </c>
      <c r="B327" s="7" t="inlineStr"/>
      <c r="C327" s="12" t="inlineStr">
        <is>
          <t>7896523206929</t>
        </is>
      </c>
      <c r="D327" s="7" t="inlineStr">
        <is>
          <t>KURAMED 20+1,30MG/ML SOL TOP SPRAY FR 50ML</t>
        </is>
      </c>
      <c r="E327" s="13" t="n">
        <v>1</v>
      </c>
      <c r="F327" s="13" t="n">
        <v>4</v>
      </c>
      <c r="G327" s="13" t="n">
        <v>4</v>
      </c>
      <c r="H327" s="8" t="n">
        <v>19.86</v>
      </c>
      <c r="I327" s="8">
        <f>G327*H327</f>
        <v/>
      </c>
      <c r="J327" s="8">
        <f>H327/E327</f>
        <v/>
      </c>
      <c r="K327" s="8" t="n">
        <v>7.99</v>
      </c>
      <c r="L327" s="8" t="n">
        <v>7.99</v>
      </c>
      <c r="M327" s="8" t="n">
        <v>7.989999999999999</v>
      </c>
      <c r="N327" s="14">
        <f>J327/M327-1</f>
        <v/>
      </c>
      <c r="O327" s="14">
        <f>J327/K327-1</f>
        <v/>
      </c>
      <c r="P327" s="7" t="inlineStr">
        <is>
          <t>ACIMA +148.6%</t>
        </is>
      </c>
      <c r="Q327" s="7" t="inlineStr">
        <is>
          <t>conferir emb.</t>
        </is>
      </c>
    </row>
    <row r="328">
      <c r="A328" s="7" t="n">
        <v>637661</v>
      </c>
      <c r="B328" s="7" t="inlineStr"/>
      <c r="C328" s="12" t="inlineStr">
        <is>
          <t>4005900453259</t>
        </is>
      </c>
      <c r="D328" s="7" t="inlineStr">
        <is>
          <t>LABIAL NIVEA AMORA SHINE 4,8G</t>
        </is>
      </c>
      <c r="E328" s="13" t="n">
        <v>1</v>
      </c>
      <c r="F328" s="13" t="n">
        <v>2</v>
      </c>
      <c r="G328" s="13" t="n">
        <v>2</v>
      </c>
      <c r="H328" s="8" t="n">
        <v>19.41</v>
      </c>
      <c r="I328" s="8">
        <f>G328*H328</f>
        <v/>
      </c>
      <c r="J328" s="8">
        <f>H328/E328</f>
        <v/>
      </c>
      <c r="K328" s="8" t="n">
        <v>14.2933</v>
      </c>
      <c r="L328" s="8" t="n">
        <v>14.1692</v>
      </c>
      <c r="M328" s="8" t="n">
        <v>14.21056666666667</v>
      </c>
      <c r="N328" s="14">
        <f>J328/M328-1</f>
        <v/>
      </c>
      <c r="O328" s="14">
        <f>J328/K328-1</f>
        <v/>
      </c>
      <c r="P328" s="7" t="inlineStr">
        <is>
          <t>ACIMA +35.8%</t>
        </is>
      </c>
      <c r="Q328" s="7" t="inlineStr"/>
    </row>
    <row r="329">
      <c r="A329" s="7" t="n">
        <v>582461</v>
      </c>
      <c r="B329" s="7" t="inlineStr"/>
      <c r="C329" s="12" t="inlineStr">
        <is>
          <t>4005900663993</t>
        </is>
      </c>
      <c r="D329" s="7" t="inlineStr">
        <is>
          <t>LABIAL NIVEA CEREJA SHINE 4,8G</t>
        </is>
      </c>
      <c r="E329" s="13" t="n">
        <v>1</v>
      </c>
      <c r="F329" s="13" t="n">
        <v>4</v>
      </c>
      <c r="G329" s="13" t="n">
        <v>4</v>
      </c>
      <c r="H329" s="8" t="n">
        <v>19.41</v>
      </c>
      <c r="I329" s="8">
        <f>G329*H329</f>
        <v/>
      </c>
      <c r="J329" s="8">
        <f>H329/E329</f>
        <v/>
      </c>
      <c r="K329" s="8" t="n">
        <v>14.17</v>
      </c>
      <c r="L329" s="8" t="n">
        <v>14.17</v>
      </c>
      <c r="M329" s="8" t="n">
        <v>14.17</v>
      </c>
      <c r="N329" s="14">
        <f>J329/M329-1</f>
        <v/>
      </c>
      <c r="O329" s="14">
        <f>J329/K329-1</f>
        <v/>
      </c>
      <c r="P329" s="7" t="inlineStr">
        <is>
          <t>ACIMA +37.0%</t>
        </is>
      </c>
      <c r="Q329" s="7" t="inlineStr"/>
    </row>
    <row r="330">
      <c r="A330" s="7" t="n">
        <v>566881</v>
      </c>
      <c r="B330" s="7" t="inlineStr"/>
      <c r="C330" s="12" t="inlineStr">
        <is>
          <t>4005808850617</t>
        </is>
      </c>
      <c r="D330" s="7" t="inlineStr">
        <is>
          <t>LABIAL NIVEA ESSENTIAL 4,8G  NIVE %DN:0.00</t>
        </is>
      </c>
      <c r="E330" s="13" t="n">
        <v>1</v>
      </c>
      <c r="F330" s="13" t="n">
        <v>1</v>
      </c>
      <c r="G330" s="13" t="n">
        <v>1</v>
      </c>
      <c r="H330" s="8" t="n">
        <v>19.41</v>
      </c>
      <c r="I330" s="8">
        <f>G330*H330</f>
        <v/>
      </c>
      <c r="J330" s="8">
        <f>H330/E330</f>
        <v/>
      </c>
      <c r="K330" s="8" t="n">
        <v>13.92</v>
      </c>
      <c r="L330" s="8" t="n">
        <v>13.92</v>
      </c>
      <c r="M330" s="8" t="n">
        <v>13.92</v>
      </c>
      <c r="N330" s="14">
        <f>J330/M330-1</f>
        <v/>
      </c>
      <c r="O330" s="14">
        <f>J330/K330-1</f>
        <v/>
      </c>
      <c r="P330" s="7" t="inlineStr">
        <is>
          <t>ACIMA +39.4%</t>
        </is>
      </c>
      <c r="Q330" s="7" t="inlineStr"/>
    </row>
    <row r="331">
      <c r="A331" s="7" t="n">
        <v>22803</v>
      </c>
      <c r="B331" s="7" t="inlineStr"/>
      <c r="C331" s="12" t="inlineStr">
        <is>
          <t>4006000101354</t>
        </is>
      </c>
      <c r="D331" s="7" t="inlineStr">
        <is>
          <t>LABIAL NIVEA HIDRACOLOR VERMEL FPS30 4,8G</t>
        </is>
      </c>
      <c r="E331" s="13" t="n">
        <v>1</v>
      </c>
      <c r="F331" s="13" t="n">
        <v>1</v>
      </c>
      <c r="G331" s="13" t="n">
        <v>1</v>
      </c>
      <c r="H331" s="8" t="n">
        <v>23.3</v>
      </c>
      <c r="I331" s="8">
        <f>G331*H331</f>
        <v/>
      </c>
      <c r="J331" s="8">
        <f>H331/E331</f>
        <v/>
      </c>
      <c r="K331" s="8" t="n">
        <v>23.18</v>
      </c>
      <c r="L331" s="8" t="n">
        <v>23.18</v>
      </c>
      <c r="M331" s="8" t="n">
        <v>23.18</v>
      </c>
      <c r="N331" s="14">
        <f>J331/M331-1</f>
        <v/>
      </c>
      <c r="O331" s="14">
        <f>J331/K331-1</f>
        <v/>
      </c>
      <c r="P331" s="7" t="inlineStr">
        <is>
          <t>ACIMA +0.5%</t>
        </is>
      </c>
      <c r="Q331" s="7" t="inlineStr"/>
    </row>
    <row r="332">
      <c r="A332" s="7" t="n">
        <v>594291</v>
      </c>
      <c r="B332" s="7" t="inlineStr"/>
      <c r="C332" s="12" t="inlineStr">
        <is>
          <t>4005808934980</t>
        </is>
      </c>
      <c r="D332" s="7" t="inlineStr">
        <is>
          <t>LABIAL NIVEA MELANCIA 4,8G</t>
        </is>
      </c>
      <c r="E332" s="13" t="n">
        <v>1</v>
      </c>
      <c r="F332" s="13" t="n">
        <v>2</v>
      </c>
      <c r="G332" s="13" t="n">
        <v>2</v>
      </c>
      <c r="H332" s="8" t="n">
        <v>19.41</v>
      </c>
      <c r="I332" s="8">
        <f>G332*H332</f>
        <v/>
      </c>
      <c r="J332" s="8">
        <f>H332/E332</f>
        <v/>
      </c>
      <c r="K332" s="8" t="n">
        <v>14.34</v>
      </c>
      <c r="L332" s="8" t="n">
        <v>14.34</v>
      </c>
      <c r="M332" s="8" t="n">
        <v>14.34</v>
      </c>
      <c r="N332" s="14">
        <f>J332/M332-1</f>
        <v/>
      </c>
      <c r="O332" s="14">
        <f>J332/K332-1</f>
        <v/>
      </c>
      <c r="P332" s="7" t="inlineStr">
        <is>
          <t>ACIMA +35.4%</t>
        </is>
      </c>
      <c r="Q332" s="7" t="inlineStr"/>
    </row>
    <row r="333">
      <c r="A333" s="7" t="n">
        <v>615351</v>
      </c>
      <c r="B333" s="7" t="inlineStr"/>
      <c r="C333" s="12" t="inlineStr">
        <is>
          <t>4005808850839</t>
        </is>
      </c>
      <c r="D333" s="7" t="inlineStr">
        <is>
          <t>LABIAL NIVEA STAR FRU STRAWB 4,8G</t>
        </is>
      </c>
      <c r="E333" s="13" t="n">
        <v>1</v>
      </c>
      <c r="F333" s="13" t="n">
        <v>5</v>
      </c>
      <c r="G333" s="13" t="n">
        <v>5</v>
      </c>
      <c r="H333" s="8" t="n">
        <v>19.41</v>
      </c>
      <c r="I333" s="8">
        <f>G333*H333</f>
        <v/>
      </c>
      <c r="J333" s="8">
        <f>H333/E333</f>
        <v/>
      </c>
      <c r="K333" s="8" t="n">
        <v>14.2933</v>
      </c>
      <c r="L333" s="8" t="n">
        <v>13.92</v>
      </c>
      <c r="M333" s="8" t="n">
        <v>14.04443333333333</v>
      </c>
      <c r="N333" s="14">
        <f>J333/M333-1</f>
        <v/>
      </c>
      <c r="O333" s="14">
        <f>J333/K333-1</f>
        <v/>
      </c>
      <c r="P333" s="7" t="inlineStr">
        <is>
          <t>ACIMA +35.8%</t>
        </is>
      </c>
      <c r="Q333" s="7" t="inlineStr"/>
    </row>
    <row r="334">
      <c r="A334" s="7" t="n">
        <v>128941</v>
      </c>
      <c r="B334" s="7" t="inlineStr"/>
      <c r="C334" s="12" t="inlineStr">
        <is>
          <t>7896637028417</t>
        </is>
      </c>
      <c r="D334" s="7" t="inlineStr">
        <is>
          <t>LABIRIN 8MG CX 30 COMP</t>
        </is>
      </c>
      <c r="E334" s="13" t="n">
        <v>1</v>
      </c>
      <c r="F334" s="13" t="n">
        <v>1</v>
      </c>
      <c r="G334" s="13" t="n">
        <v>1</v>
      </c>
      <c r="H334" s="8" t="n">
        <v>29.95385</v>
      </c>
      <c r="I334" s="8">
        <f>G334*H334</f>
        <v/>
      </c>
      <c r="J334" s="8">
        <f>H334/E334</f>
        <v/>
      </c>
      <c r="K334" s="8" t="n">
        <v>29.194</v>
      </c>
      <c r="L334" s="8" t="n">
        <v>29.194</v>
      </c>
      <c r="M334" s="8" t="n">
        <v>29.194</v>
      </c>
      <c r="N334" s="14">
        <f>J334/M334-1</f>
        <v/>
      </c>
      <c r="O334" s="14">
        <f>J334/K334-1</f>
        <v/>
      </c>
      <c r="P334" s="7" t="inlineStr">
        <is>
          <t>ACIMA +2.6%</t>
        </is>
      </c>
      <c r="Q334" s="7" t="inlineStr"/>
    </row>
    <row r="335">
      <c r="A335" s="7" t="n">
        <v>662291</v>
      </c>
      <c r="B335" s="7" t="inlineStr"/>
      <c r="C335" s="12" t="inlineStr">
        <is>
          <t>7896637034852</t>
        </is>
      </c>
      <c r="D335" s="7" t="inlineStr">
        <is>
          <t>LABIRIN XR 48MG 30CPR</t>
        </is>
      </c>
      <c r="E335" s="13" t="n">
        <v>1</v>
      </c>
      <c r="F335" s="13" t="n">
        <v>1</v>
      </c>
      <c r="G335" s="13" t="n">
        <v>1</v>
      </c>
      <c r="H335" s="8" t="n">
        <v>65.6798</v>
      </c>
      <c r="I335" s="8">
        <f>G335*H335</f>
        <v/>
      </c>
      <c r="J335" s="8">
        <f>H335/E335</f>
        <v/>
      </c>
      <c r="K335" s="8" t="n">
        <v>61.68</v>
      </c>
      <c r="L335" s="8" t="n">
        <v>61.67</v>
      </c>
      <c r="M335" s="8" t="n">
        <v>61.66999999999999</v>
      </c>
      <c r="N335" s="14">
        <f>J335/M335-1</f>
        <v/>
      </c>
      <c r="O335" s="14">
        <f>J335/K335-1</f>
        <v/>
      </c>
      <c r="P335" s="7" t="inlineStr">
        <is>
          <t>ACIMA +6.5%</t>
        </is>
      </c>
      <c r="Q335" s="7" t="inlineStr"/>
    </row>
    <row r="336">
      <c r="A336" s="7" t="n">
        <v>310061</v>
      </c>
      <c r="B336" s="7" t="inlineStr"/>
      <c r="C336" s="12" t="inlineStr">
        <is>
          <t>7897411610750</t>
        </is>
      </c>
      <c r="D336" s="7" t="inlineStr">
        <is>
          <t>LACTULONA 667MG/ML XPE FR 120ML SB AMEIXA</t>
        </is>
      </c>
      <c r="E336" s="13" t="n">
        <v>1</v>
      </c>
      <c r="F336" s="13" t="n">
        <v>1</v>
      </c>
      <c r="G336" s="13" t="n">
        <v>1</v>
      </c>
      <c r="H336" s="8" t="n">
        <v>46.8384</v>
      </c>
      <c r="I336" s="8">
        <f>G336*H336</f>
        <v/>
      </c>
      <c r="J336" s="8">
        <f>H336/E336</f>
        <v/>
      </c>
      <c r="K336" s="8" t="n">
        <v>48.17</v>
      </c>
      <c r="L336" s="8" t="n">
        <v>42.12</v>
      </c>
      <c r="M336" s="8" t="n">
        <v>45.98166666666666</v>
      </c>
      <c r="N336" s="14">
        <f>J336/M336-1</f>
        <v/>
      </c>
      <c r="O336" s="14">
        <f>J336/K336-1</f>
        <v/>
      </c>
      <c r="P336" s="7" t="inlineStr">
        <is>
          <t>OK (≤ últ. compra)</t>
        </is>
      </c>
      <c r="Q336" s="7" t="inlineStr"/>
    </row>
    <row r="337">
      <c r="A337" s="7" t="n">
        <v>555341</v>
      </c>
      <c r="B337" s="7" t="inlineStr"/>
      <c r="C337" s="12" t="inlineStr">
        <is>
          <t>7898949409458</t>
        </is>
      </c>
      <c r="D337" s="7" t="inlineStr">
        <is>
          <t>LAKESIA GENOMMA CAIXA 30ML SOLUÇÃO ANTIMICÓTICA</t>
        </is>
      </c>
      <c r="E337" s="13" t="n">
        <v>1</v>
      </c>
      <c r="F337" s="13" t="n">
        <v>4</v>
      </c>
      <c r="G337" s="13" t="n">
        <v>4</v>
      </c>
      <c r="H337" s="8" t="n">
        <v>44.18</v>
      </c>
      <c r="I337" s="8">
        <f>G337*H337</f>
        <v/>
      </c>
      <c r="J337" s="8">
        <f>H337/E337</f>
        <v/>
      </c>
      <c r="K337" s="8" t="n">
        <v>35.342</v>
      </c>
      <c r="L337" s="8" t="n">
        <v>33.17</v>
      </c>
      <c r="M337" s="8" t="n">
        <v>34.618</v>
      </c>
      <c r="N337" s="14">
        <f>J337/M337-1</f>
        <v/>
      </c>
      <c r="O337" s="14">
        <f>J337/K337-1</f>
        <v/>
      </c>
      <c r="P337" s="7" t="inlineStr">
        <is>
          <t>ACIMA +25.0%</t>
        </is>
      </c>
      <c r="Q337" s="7" t="inlineStr"/>
    </row>
    <row r="338">
      <c r="A338" s="7" t="n">
        <v>655561</v>
      </c>
      <c r="B338" s="7" t="inlineStr"/>
      <c r="C338" s="12" t="inlineStr">
        <is>
          <t>7891317029869</t>
        </is>
      </c>
      <c r="D338" s="7" t="inlineStr">
        <is>
          <t>LARC 500MG C/14 COMP-SIMILAR</t>
        </is>
      </c>
      <c r="E338" s="13" t="n">
        <v>1</v>
      </c>
      <c r="F338" s="13" t="n">
        <v>2</v>
      </c>
      <c r="G338" s="13" t="n">
        <v>2</v>
      </c>
      <c r="H338" s="8" t="n">
        <v>37.3</v>
      </c>
      <c r="I338" s="8">
        <f>G338*H338</f>
        <v/>
      </c>
      <c r="J338" s="8">
        <f>H338/E338</f>
        <v/>
      </c>
      <c r="K338" s="8" t="n">
        <v>33.36</v>
      </c>
      <c r="L338" s="8" t="n">
        <v>33.36</v>
      </c>
      <c r="M338" s="8" t="n">
        <v>33.36</v>
      </c>
      <c r="N338" s="14">
        <f>J338/M338-1</f>
        <v/>
      </c>
      <c r="O338" s="14">
        <f>J338/K338-1</f>
        <v/>
      </c>
      <c r="P338" s="7" t="inlineStr">
        <is>
          <t>ACIMA +11.8%</t>
        </is>
      </c>
      <c r="Q338" s="7" t="inlineStr">
        <is>
          <t>estoque parcial (1 un)</t>
        </is>
      </c>
    </row>
    <row r="339">
      <c r="A339" s="7" t="n">
        <v>640111</v>
      </c>
      <c r="B339" s="7" t="inlineStr"/>
      <c r="C339" s="12" t="inlineStr">
        <is>
          <t>7897947617445</t>
        </is>
      </c>
      <c r="D339" s="7" t="inlineStr">
        <is>
          <t>LAVITAN CABELOS E UNHAS CPRV FR C/30 SF</t>
        </is>
      </c>
      <c r="E339" s="13" t="n">
        <v>1</v>
      </c>
      <c r="F339" s="13" t="n">
        <v>1</v>
      </c>
      <c r="G339" s="13" t="n">
        <v>1</v>
      </c>
      <c r="H339" s="8" t="n">
        <v>43.91</v>
      </c>
      <c r="I339" s="8">
        <f>G339*H339</f>
        <v/>
      </c>
      <c r="J339" s="8">
        <f>H339/E339</f>
        <v/>
      </c>
      <c r="K339" s="8" t="n">
        <v>38.21</v>
      </c>
      <c r="L339" s="8" t="n">
        <v>36.39</v>
      </c>
      <c r="M339" s="8" t="n">
        <v>36.99666666666666</v>
      </c>
      <c r="N339" s="14">
        <f>J339/M339-1</f>
        <v/>
      </c>
      <c r="O339" s="14">
        <f>J339/K339-1</f>
        <v/>
      </c>
      <c r="P339" s="7" t="inlineStr">
        <is>
          <t>ACIMA +14.9%</t>
        </is>
      </c>
      <c r="Q339" s="7" t="inlineStr"/>
    </row>
    <row r="340">
      <c r="A340" s="7" t="n">
        <v>1243</v>
      </c>
      <c r="B340" s="7" t="inlineStr"/>
      <c r="C340" s="12" t="inlineStr">
        <is>
          <t>7897947601871</t>
        </is>
      </c>
      <c r="D340" s="7" t="inlineStr">
        <is>
          <t>LAVITAN COLAGENO VERI+AC H PO PT 300G</t>
        </is>
      </c>
      <c r="E340" s="13" t="n">
        <v>1</v>
      </c>
      <c r="F340" s="13" t="n">
        <v>1</v>
      </c>
      <c r="G340" s="13" t="n">
        <v>1</v>
      </c>
      <c r="H340" s="8" t="n">
        <v>97.95999999999999</v>
      </c>
      <c r="I340" s="8">
        <f>G340*H340</f>
        <v/>
      </c>
      <c r="J340" s="8">
        <f>H340/E340</f>
        <v/>
      </c>
      <c r="K340" s="8" t="n">
        <v>78.52</v>
      </c>
      <c r="L340" s="8" t="n">
        <v>78.52</v>
      </c>
      <c r="M340" s="8" t="n">
        <v>78.52</v>
      </c>
      <c r="N340" s="14">
        <f>J340/M340-1</f>
        <v/>
      </c>
      <c r="O340" s="14">
        <f>J340/K340-1</f>
        <v/>
      </c>
      <c r="P340" s="7" t="inlineStr">
        <is>
          <t>ACIMA +24.8%</t>
        </is>
      </c>
      <c r="Q340" s="7" t="inlineStr"/>
    </row>
    <row r="341">
      <c r="A341" s="7" t="n">
        <v>984</v>
      </c>
      <c r="B341" s="7" t="inlineStr"/>
      <c r="C341" s="12" t="inlineStr">
        <is>
          <t>7897947621077</t>
        </is>
      </c>
      <c r="D341" s="7" t="inlineStr">
        <is>
          <t>LAVITAN COMPLEXO B COMP REV FR X 100</t>
        </is>
      </c>
      <c r="E341" s="13" t="n">
        <v>1</v>
      </c>
      <c r="F341" s="13" t="n">
        <v>1</v>
      </c>
      <c r="G341" s="13" t="n">
        <v>1</v>
      </c>
      <c r="H341" s="8" t="n">
        <v>38.97</v>
      </c>
      <c r="I341" s="8">
        <f>G341*H341</f>
        <v/>
      </c>
      <c r="J341" s="8">
        <f>H341/E341</f>
        <v/>
      </c>
      <c r="K341" s="8" t="n"/>
      <c r="L341" s="8" t="n"/>
      <c r="M341" s="8" t="n"/>
      <c r="N341" s="14" t="n"/>
      <c r="O341" s="14" t="n"/>
      <c r="P341" s="7" t="inlineStr">
        <is>
          <t>SEM HISTÓRICO</t>
        </is>
      </c>
      <c r="Q341" s="7" t="inlineStr"/>
    </row>
    <row r="342">
      <c r="A342" s="7" t="n">
        <v>655431</v>
      </c>
      <c r="B342" s="7" t="inlineStr"/>
      <c r="C342" s="12" t="inlineStr">
        <is>
          <t>7897947620223</t>
        </is>
      </c>
      <c r="D342" s="7" t="inlineStr">
        <is>
          <t>LAVITAN CREATINA PO PT 300G</t>
        </is>
      </c>
      <c r="E342" s="13" t="n">
        <v>1</v>
      </c>
      <c r="F342" s="13" t="n">
        <v>3</v>
      </c>
      <c r="G342" s="13" t="n">
        <v>3</v>
      </c>
      <c r="H342" s="8" t="n">
        <v>86.87</v>
      </c>
      <c r="I342" s="8">
        <f>G342*H342</f>
        <v/>
      </c>
      <c r="J342" s="8">
        <f>H342/E342</f>
        <v/>
      </c>
      <c r="K342" s="8" t="n">
        <v>31.99</v>
      </c>
      <c r="L342" s="8" t="n">
        <v>31.99</v>
      </c>
      <c r="M342" s="8" t="n">
        <v>31.99</v>
      </c>
      <c r="N342" s="14">
        <f>J342/M342-1</f>
        <v/>
      </c>
      <c r="O342" s="14">
        <f>J342/K342-1</f>
        <v/>
      </c>
      <c r="P342" s="7" t="inlineStr">
        <is>
          <t>ACIMA +171.6%</t>
        </is>
      </c>
      <c r="Q342" s="7" t="inlineStr">
        <is>
          <t>conferir emb.</t>
        </is>
      </c>
    </row>
    <row r="343">
      <c r="A343" s="7" t="n">
        <v>564641</v>
      </c>
      <c r="B343" s="7" t="inlineStr"/>
      <c r="C343" s="12" t="inlineStr">
        <is>
          <t>7897947601147</t>
        </is>
      </c>
      <c r="D343" s="7" t="inlineStr">
        <is>
          <t>LAVITAN MELATONINA 0,21MG CP PT 90 MOR</t>
        </is>
      </c>
      <c r="E343" s="13" t="n">
        <v>1</v>
      </c>
      <c r="F343" s="13" t="n">
        <v>13</v>
      </c>
      <c r="G343" s="13" t="n">
        <v>13</v>
      </c>
      <c r="H343" s="8" t="n">
        <v>19.18</v>
      </c>
      <c r="I343" s="8">
        <f>G343*H343</f>
        <v/>
      </c>
      <c r="J343" s="8">
        <f>H343/E343</f>
        <v/>
      </c>
      <c r="K343" s="8" t="n">
        <v>21.94</v>
      </c>
      <c r="L343" s="8" t="n">
        <v>19.59</v>
      </c>
      <c r="M343" s="8" t="n">
        <v>21.15666666666667</v>
      </c>
      <c r="N343" s="14">
        <f>J343/M343-1</f>
        <v/>
      </c>
      <c r="O343" s="14">
        <f>J343/K343-1</f>
        <v/>
      </c>
      <c r="P343" s="7" t="inlineStr">
        <is>
          <t>OK (≤ menor hist.)</t>
        </is>
      </c>
      <c r="Q343" s="7" t="inlineStr"/>
    </row>
    <row r="344">
      <c r="A344" s="7" t="n">
        <v>546241</v>
      </c>
      <c r="B344" s="7" t="inlineStr"/>
      <c r="C344" s="12" t="inlineStr">
        <is>
          <t>7897947616509</t>
        </is>
      </c>
      <c r="D344" s="7" t="inlineStr">
        <is>
          <t>LAVITAN MULTI HOMEM 5G 60CP</t>
        </is>
      </c>
      <c r="E344" s="13" t="n">
        <v>1</v>
      </c>
      <c r="F344" s="13" t="n">
        <v>8</v>
      </c>
      <c r="G344" s="13" t="n">
        <v>8</v>
      </c>
      <c r="H344" s="8" t="n">
        <v>39.92</v>
      </c>
      <c r="I344" s="8">
        <f>G344*H344</f>
        <v/>
      </c>
      <c r="J344" s="8">
        <f>H344/E344</f>
        <v/>
      </c>
      <c r="K344" s="8" t="n">
        <v>36.5</v>
      </c>
      <c r="L344" s="8" t="n">
        <v>32.59</v>
      </c>
      <c r="M344" s="8" t="n">
        <v>35.19666666666667</v>
      </c>
      <c r="N344" s="14">
        <f>J344/M344-1</f>
        <v/>
      </c>
      <c r="O344" s="14">
        <f>J344/K344-1</f>
        <v/>
      </c>
      <c r="P344" s="7" t="inlineStr">
        <is>
          <t>ACIMA +9.4%</t>
        </is>
      </c>
      <c r="Q344" s="7" t="inlineStr"/>
    </row>
    <row r="345">
      <c r="A345" s="7" t="n">
        <v>546261</v>
      </c>
      <c r="B345" s="7" t="inlineStr"/>
      <c r="C345" s="12" t="inlineStr">
        <is>
          <t>7897947616516</t>
        </is>
      </c>
      <c r="D345" s="7" t="inlineStr">
        <is>
          <t>LAVITAN MULTI MULHER 5G 60CP</t>
        </is>
      </c>
      <c r="E345" s="13" t="n">
        <v>1</v>
      </c>
      <c r="F345" s="13" t="n">
        <v>4</v>
      </c>
      <c r="G345" s="13" t="n">
        <v>4</v>
      </c>
      <c r="H345" s="8" t="n">
        <v>39.92</v>
      </c>
      <c r="I345" s="8">
        <f>G345*H345</f>
        <v/>
      </c>
      <c r="J345" s="8">
        <f>H345/E345</f>
        <v/>
      </c>
      <c r="K345" s="8" t="n">
        <v>38.33</v>
      </c>
      <c r="L345" s="8" t="n">
        <v>32.59</v>
      </c>
      <c r="M345" s="8" t="n">
        <v>36.41666666666666</v>
      </c>
      <c r="N345" s="14">
        <f>J345/M345-1</f>
        <v/>
      </c>
      <c r="O345" s="14">
        <f>J345/K345-1</f>
        <v/>
      </c>
      <c r="P345" s="7" t="inlineStr">
        <is>
          <t>ACIMA +4.1%</t>
        </is>
      </c>
      <c r="Q345" s="7" t="inlineStr"/>
    </row>
    <row r="346">
      <c r="A346" s="7" t="n">
        <v>546101</v>
      </c>
      <c r="B346" s="7" t="inlineStr"/>
      <c r="C346" s="12" t="inlineStr">
        <is>
          <t>7897947612600</t>
        </is>
      </c>
      <c r="D346" s="7" t="inlineStr">
        <is>
          <t>LAVITAN OMEGA 3 MAIS 90CP GEL</t>
        </is>
      </c>
      <c r="E346" s="13" t="n">
        <v>1</v>
      </c>
      <c r="F346" s="13" t="n">
        <v>1</v>
      </c>
      <c r="G346" s="13" t="n">
        <v>1</v>
      </c>
      <c r="H346" s="8" t="n">
        <v>42.04</v>
      </c>
      <c r="I346" s="8">
        <f>G346*H346</f>
        <v/>
      </c>
      <c r="J346" s="8">
        <f>H346/E346</f>
        <v/>
      </c>
      <c r="K346" s="8" t="n">
        <v>32.59</v>
      </c>
      <c r="L346" s="8" t="n">
        <v>32.59</v>
      </c>
      <c r="M346" s="8" t="n">
        <v>32.59</v>
      </c>
      <c r="N346" s="14">
        <f>J346/M346-1</f>
        <v/>
      </c>
      <c r="O346" s="14">
        <f>J346/K346-1</f>
        <v/>
      </c>
      <c r="P346" s="7" t="inlineStr">
        <is>
          <t>ACIMA +29.0%</t>
        </is>
      </c>
      <c r="Q346" s="7" t="inlineStr"/>
    </row>
    <row r="347">
      <c r="A347" s="7" t="n">
        <v>616351</v>
      </c>
      <c r="B347" s="7" t="inlineStr"/>
      <c r="C347" s="12" t="inlineStr">
        <is>
          <t>7897947612594</t>
        </is>
      </c>
      <c r="D347" s="7" t="inlineStr">
        <is>
          <t>LAVITAN VIT AZ MULHER COMP REV FR C/ 90</t>
        </is>
      </c>
      <c r="E347" s="13" t="n">
        <v>1</v>
      </c>
      <c r="F347" s="13" t="n">
        <v>9</v>
      </c>
      <c r="G347" s="13" t="n">
        <v>9</v>
      </c>
      <c r="H347" s="8" t="n">
        <v>22.22</v>
      </c>
      <c r="I347" s="8">
        <f>G347*H347</f>
        <v/>
      </c>
      <c r="J347" s="8">
        <f>H347/E347</f>
        <v/>
      </c>
      <c r="K347" s="8" t="n">
        <v>21.39</v>
      </c>
      <c r="L347" s="8" t="n">
        <v>21.39</v>
      </c>
      <c r="M347" s="8" t="n">
        <v>21.39</v>
      </c>
      <c r="N347" s="14">
        <f>J347/M347-1</f>
        <v/>
      </c>
      <c r="O347" s="14">
        <f>J347/K347-1</f>
        <v/>
      </c>
      <c r="P347" s="7" t="inlineStr">
        <is>
          <t>ACIMA +3.9%</t>
        </is>
      </c>
      <c r="Q347" s="7" t="inlineStr"/>
    </row>
    <row r="348">
      <c r="A348" s="7" t="n">
        <v>646341</v>
      </c>
      <c r="B348" s="7" t="inlineStr"/>
      <c r="C348" s="12" t="inlineStr">
        <is>
          <t>7908615053097</t>
        </is>
      </c>
      <c r="D348" s="7" t="inlineStr">
        <is>
          <t>LEAVE IN ELSEVE 100ML CICATRI RENOV BNGA</t>
        </is>
      </c>
      <c r="E348" s="13" t="n">
        <v>1</v>
      </c>
      <c r="F348" s="13" t="n">
        <v>1</v>
      </c>
      <c r="G348" s="13" t="n">
        <v>1</v>
      </c>
      <c r="H348" s="8" t="n">
        <v>26.54</v>
      </c>
      <c r="I348" s="8">
        <f>G348*H348</f>
        <v/>
      </c>
      <c r="J348" s="8">
        <f>H348/E348</f>
        <v/>
      </c>
      <c r="K348" s="8" t="n">
        <v>30.07</v>
      </c>
      <c r="L348" s="8" t="n">
        <v>30.07</v>
      </c>
      <c r="M348" s="8" t="n">
        <v>30.07</v>
      </c>
      <c r="N348" s="14">
        <f>J348/M348-1</f>
        <v/>
      </c>
      <c r="O348" s="14">
        <f>J348/K348-1</f>
        <v/>
      </c>
      <c r="P348" s="7" t="inlineStr">
        <is>
          <t>OK (≤ menor hist.)</t>
        </is>
      </c>
      <c r="Q348" s="7" t="inlineStr"/>
    </row>
    <row r="349">
      <c r="A349" s="7" t="n">
        <v>651991</v>
      </c>
      <c r="B349" s="7" t="inlineStr"/>
      <c r="C349" s="12" t="inlineStr">
        <is>
          <t>7895858015664</t>
        </is>
      </c>
      <c r="D349" s="7" t="inlineStr">
        <is>
          <t>LEITE DE MAGNESIA PHILLIPS HORT 120ML</t>
        </is>
      </c>
      <c r="E349" s="13" t="n">
        <v>1</v>
      </c>
      <c r="F349" s="13" t="n">
        <v>1</v>
      </c>
      <c r="G349" s="13" t="n">
        <v>1</v>
      </c>
      <c r="H349" s="8" t="n">
        <v>18.88</v>
      </c>
      <c r="I349" s="8">
        <f>G349*H349</f>
        <v/>
      </c>
      <c r="J349" s="8">
        <f>H349/E349</f>
        <v/>
      </c>
      <c r="K349" s="8" t="n">
        <v>18.31</v>
      </c>
      <c r="L349" s="8" t="n">
        <v>9.81</v>
      </c>
      <c r="M349" s="8" t="n">
        <v>9.81</v>
      </c>
      <c r="N349" s="14">
        <f>J349/M349-1</f>
        <v/>
      </c>
      <c r="O349" s="14">
        <f>J349/K349-1</f>
        <v/>
      </c>
      <c r="P349" s="7" t="inlineStr">
        <is>
          <t>ACIMA +3.1%</t>
        </is>
      </c>
      <c r="Q349" s="7" t="inlineStr"/>
    </row>
    <row r="350">
      <c r="A350" s="7" t="n">
        <v>537361</v>
      </c>
      <c r="B350" s="7" t="inlineStr"/>
      <c r="C350" s="12" t="inlineStr">
        <is>
          <t>7891010247324</t>
        </is>
      </c>
      <c r="D350" s="7" t="inlineStr">
        <is>
          <t>LENC HUM JOHNSONS 44UN</t>
        </is>
      </c>
      <c r="E350" s="13" t="n">
        <v>1</v>
      </c>
      <c r="F350" s="13" t="n">
        <v>4</v>
      </c>
      <c r="G350" s="13" t="n">
        <v>4</v>
      </c>
      <c r="H350" s="8" t="n">
        <v>11.75</v>
      </c>
      <c r="I350" s="8">
        <f>G350*H350</f>
        <v/>
      </c>
      <c r="J350" s="8">
        <f>H350/E350</f>
        <v/>
      </c>
      <c r="K350" s="8" t="n">
        <v>11.36</v>
      </c>
      <c r="L350" s="8" t="n">
        <v>11.36</v>
      </c>
      <c r="M350" s="8" t="n">
        <v>11.36</v>
      </c>
      <c r="N350" s="14">
        <f>J350/M350-1</f>
        <v/>
      </c>
      <c r="O350" s="14">
        <f>J350/K350-1</f>
        <v/>
      </c>
      <c r="P350" s="7" t="inlineStr">
        <is>
          <t>ACIMA +3.4%</t>
        </is>
      </c>
      <c r="Q350" s="7" t="inlineStr"/>
    </row>
    <row r="351">
      <c r="A351" s="7" t="n">
        <v>661741</v>
      </c>
      <c r="B351" s="7" t="inlineStr"/>
      <c r="C351" s="12" t="inlineStr">
        <is>
          <t>7896018700536</t>
        </is>
      </c>
      <c r="D351" s="7" t="inlineStr">
        <is>
          <t>LENCO UMED INTIMUS DEFESA NATURAL 16UN</t>
        </is>
      </c>
      <c r="E351" s="13" t="n">
        <v>1</v>
      </c>
      <c r="F351" s="13" t="n">
        <v>2</v>
      </c>
      <c r="G351" s="13" t="n">
        <v>2</v>
      </c>
      <c r="H351" s="8" t="n">
        <v>11.87</v>
      </c>
      <c r="I351" s="8">
        <f>G351*H351</f>
        <v/>
      </c>
      <c r="J351" s="8">
        <f>H351/E351</f>
        <v/>
      </c>
      <c r="K351" s="8" t="n">
        <v>6.5371</v>
      </c>
      <c r="L351" s="8" t="n">
        <v>6.5371</v>
      </c>
      <c r="M351" s="8" t="n">
        <v>6.5371</v>
      </c>
      <c r="N351" s="14">
        <f>J351/M351-1</f>
        <v/>
      </c>
      <c r="O351" s="14">
        <f>J351/K351-1</f>
        <v/>
      </c>
      <c r="P351" s="7" t="inlineStr">
        <is>
          <t>ACIMA +81.6%</t>
        </is>
      </c>
      <c r="Q351" s="7" t="inlineStr"/>
    </row>
    <row r="352">
      <c r="A352" s="7" t="n">
        <v>594421</v>
      </c>
      <c r="B352" s="7" t="inlineStr"/>
      <c r="C352" s="12" t="inlineStr">
        <is>
          <t>7891010568764</t>
        </is>
      </c>
      <c r="D352" s="7" t="inlineStr">
        <is>
          <t>LENCOS J J BABY UMED H SONO</t>
        </is>
      </c>
      <c r="E352" s="13" t="n">
        <v>1</v>
      </c>
      <c r="F352" s="13" t="n">
        <v>2</v>
      </c>
      <c r="G352" s="13" t="n">
        <v>2</v>
      </c>
      <c r="H352" s="8" t="n">
        <v>16.94</v>
      </c>
      <c r="I352" s="8">
        <f>G352*H352</f>
        <v/>
      </c>
      <c r="J352" s="8">
        <f>H352/E352</f>
        <v/>
      </c>
      <c r="K352" s="8" t="n">
        <v>15.74</v>
      </c>
      <c r="L352" s="8" t="n">
        <v>15.74</v>
      </c>
      <c r="M352" s="8" t="n">
        <v>15.74</v>
      </c>
      <c r="N352" s="14">
        <f>J352/M352-1</f>
        <v/>
      </c>
      <c r="O352" s="14">
        <f>J352/K352-1</f>
        <v/>
      </c>
      <c r="P352" s="7" t="inlineStr">
        <is>
          <t>ACIMA +7.6%</t>
        </is>
      </c>
      <c r="Q352" s="7" t="inlineStr"/>
    </row>
    <row r="353">
      <c r="A353" s="7" t="n">
        <v>319001</v>
      </c>
      <c r="B353" s="7" t="inlineStr"/>
      <c r="C353" s="12" t="inlineStr">
        <is>
          <t>7896523200361</t>
        </is>
      </c>
      <c r="D353" s="7" t="inlineStr">
        <is>
          <t>LEVONORGESTREL 1,5MG CX 1 COMP</t>
        </is>
      </c>
      <c r="E353" s="13" t="n">
        <v>1</v>
      </c>
      <c r="F353" s="13" t="n">
        <v>40</v>
      </c>
      <c r="G353" s="13" t="n">
        <v>40</v>
      </c>
      <c r="H353" s="8" t="n">
        <v>13.88</v>
      </c>
      <c r="I353" s="8">
        <f>G353*H353</f>
        <v/>
      </c>
      <c r="J353" s="8">
        <f>H353/E353</f>
        <v/>
      </c>
      <c r="K353" s="8" t="n">
        <v>5.19</v>
      </c>
      <c r="L353" s="8" t="n">
        <v>5.19</v>
      </c>
      <c r="M353" s="8" t="n">
        <v>5.19</v>
      </c>
      <c r="N353" s="14">
        <f>J353/M353-1</f>
        <v/>
      </c>
      <c r="O353" s="14">
        <f>J353/K353-1</f>
        <v/>
      </c>
      <c r="P353" s="7" t="inlineStr">
        <is>
          <t>ACIMA +167.4%</t>
        </is>
      </c>
      <c r="Q353" s="7" t="inlineStr">
        <is>
          <t>conferir emb.</t>
        </is>
      </c>
    </row>
    <row r="354">
      <c r="A354" s="7" t="n">
        <v>634641</v>
      </c>
      <c r="B354" s="7" t="inlineStr"/>
      <c r="C354" s="12" t="inlineStr">
        <is>
          <t>7891721202889</t>
        </is>
      </c>
      <c r="D354" s="7" t="inlineStr">
        <is>
          <t>LEVOTIROXINA SODICA 125MCG CX 30 COMP</t>
        </is>
      </c>
      <c r="E354" s="13" t="n">
        <v>1</v>
      </c>
      <c r="F354" s="13" t="n">
        <v>11</v>
      </c>
      <c r="G354" s="13" t="n">
        <v>11</v>
      </c>
      <c r="H354" s="8" t="n">
        <v>11.673102</v>
      </c>
      <c r="I354" s="8">
        <f>G354*H354</f>
        <v/>
      </c>
      <c r="J354" s="8">
        <f>H354/E354</f>
        <v/>
      </c>
      <c r="K354" s="8" t="n">
        <v>10.295</v>
      </c>
      <c r="L354" s="8" t="n">
        <v>10.275</v>
      </c>
      <c r="M354" s="8" t="n">
        <v>10.275</v>
      </c>
      <c r="N354" s="14">
        <f>J354/M354-1</f>
        <v/>
      </c>
      <c r="O354" s="14">
        <f>J354/K354-1</f>
        <v/>
      </c>
      <c r="P354" s="7" t="inlineStr">
        <is>
          <t>ACIMA +13.4%</t>
        </is>
      </c>
      <c r="Q354" s="7" t="inlineStr"/>
    </row>
    <row r="355">
      <c r="A355" s="7" t="n">
        <v>634661</v>
      </c>
      <c r="B355" s="7" t="inlineStr"/>
      <c r="C355" s="12" t="inlineStr">
        <is>
          <t>7891721202810</t>
        </is>
      </c>
      <c r="D355" s="7" t="inlineStr">
        <is>
          <t>LEVOTIROXINA SODICA 50MCG CX 30 COMP</t>
        </is>
      </c>
      <c r="E355" s="13" t="n">
        <v>1</v>
      </c>
      <c r="F355" s="13" t="n">
        <v>2</v>
      </c>
      <c r="G355" s="13" t="n">
        <v>2</v>
      </c>
      <c r="H355" s="8" t="n">
        <v>9.317828</v>
      </c>
      <c r="I355" s="8">
        <f>G355*H355</f>
        <v/>
      </c>
      <c r="J355" s="8">
        <f>H355/E355</f>
        <v/>
      </c>
      <c r="K355" s="8" t="n">
        <v>6.89</v>
      </c>
      <c r="L355" s="8" t="n">
        <v>6.6717</v>
      </c>
      <c r="M355" s="8" t="n">
        <v>6.744466666666667</v>
      </c>
      <c r="N355" s="14">
        <f>J355/M355-1</f>
        <v/>
      </c>
      <c r="O355" s="14">
        <f>J355/K355-1</f>
        <v/>
      </c>
      <c r="P355" s="7" t="inlineStr">
        <is>
          <t>ACIMA +35.2%</t>
        </is>
      </c>
      <c r="Q355" s="7" t="inlineStr"/>
    </row>
    <row r="356">
      <c r="A356" s="7" t="n">
        <v>634681</v>
      </c>
      <c r="B356" s="7" t="inlineStr"/>
      <c r="C356" s="12" t="inlineStr">
        <is>
          <t>7891721202841</t>
        </is>
      </c>
      <c r="D356" s="7" t="inlineStr">
        <is>
          <t>LEVOTIROXINA SODICA 88MCG CX 30 COMP</t>
        </is>
      </c>
      <c r="E356" s="13" t="n">
        <v>1</v>
      </c>
      <c r="F356" s="13" t="n">
        <v>4</v>
      </c>
      <c r="G356" s="13" t="n">
        <v>4</v>
      </c>
      <c r="H356" s="8" t="n">
        <v>12.298024</v>
      </c>
      <c r="I356" s="8">
        <f>G356*H356</f>
        <v/>
      </c>
      <c r="J356" s="8">
        <f>H356/E356</f>
        <v/>
      </c>
      <c r="K356" s="8" t="n">
        <v>9.085599999999999</v>
      </c>
      <c r="L356" s="8" t="n">
        <v>8.81</v>
      </c>
      <c r="M356" s="8" t="n">
        <v>8.901866666666669</v>
      </c>
      <c r="N356" s="14">
        <f>J356/M356-1</f>
        <v/>
      </c>
      <c r="O356" s="14">
        <f>J356/K356-1</f>
        <v/>
      </c>
      <c r="P356" s="7" t="inlineStr">
        <is>
          <t>ACIMA +35.4%</t>
        </is>
      </c>
      <c r="Q356" s="7" t="inlineStr"/>
    </row>
    <row r="357">
      <c r="A357" s="7" t="n">
        <v>553481</v>
      </c>
      <c r="B357" s="7" t="inlineStr"/>
      <c r="C357" s="12" t="inlineStr">
        <is>
          <t>7895858017422</t>
        </is>
      </c>
      <c r="D357" s="7" t="inlineStr">
        <is>
          <t>MAGNESIA BISURADA 63,7+521+67+3,3MG(CARTELA)</t>
        </is>
      </c>
      <c r="E357" s="13" t="n">
        <v>4</v>
      </c>
      <c r="F357" s="13" t="n">
        <v>6</v>
      </c>
      <c r="G357" s="13" t="n">
        <v>2</v>
      </c>
      <c r="H357" s="8" t="n">
        <v>41.17</v>
      </c>
      <c r="I357" s="8">
        <f>G357*H357</f>
        <v/>
      </c>
      <c r="J357" s="8">
        <f>H357/E357</f>
        <v/>
      </c>
      <c r="K357" s="8" t="n">
        <v>10.2681</v>
      </c>
      <c r="L357" s="8" t="n">
        <v>8.754799999999999</v>
      </c>
      <c r="M357" s="8" t="n">
        <v>9.193199999999999</v>
      </c>
      <c r="N357" s="14">
        <f>J357/M357-1</f>
        <v/>
      </c>
      <c r="O357" s="14">
        <f>J357/K357-1</f>
        <v/>
      </c>
      <c r="P357" s="7" t="inlineStr">
        <is>
          <t>ACIMA +0.2%</t>
        </is>
      </c>
      <c r="Q357" s="7" t="inlineStr">
        <is>
          <t>1 emb = 4 un</t>
        </is>
      </c>
    </row>
    <row r="358">
      <c r="A358" s="7" t="n">
        <v>79381</v>
      </c>
      <c r="B358" s="7" t="inlineStr"/>
      <c r="C358" s="12" t="inlineStr">
        <is>
          <t>7895858017309</t>
        </is>
      </c>
      <c r="D358" s="7" t="inlineStr">
        <is>
          <t>MAGNESIA BISURADA 63,70+521,0+67,0+3,30MG CX 200 PAST</t>
        </is>
      </c>
      <c r="E358" s="13" t="n">
        <v>20</v>
      </c>
      <c r="F358" s="13" t="n">
        <v>1</v>
      </c>
      <c r="G358" s="13" t="n">
        <v>1</v>
      </c>
      <c r="H358" s="8" t="n">
        <v>205.88</v>
      </c>
      <c r="I358" s="8">
        <f>G358*H358</f>
        <v/>
      </c>
      <c r="J358" s="8">
        <f>H358/E358</f>
        <v/>
      </c>
      <c r="K358" s="8" t="n">
        <v>9.779299999999999</v>
      </c>
      <c r="L358" s="8" t="n">
        <v>8.995799999999999</v>
      </c>
      <c r="M358" s="8" t="n">
        <v>9.518133333333333</v>
      </c>
      <c r="N358" s="14">
        <f>J358/M358-1</f>
        <v/>
      </c>
      <c r="O358" s="14">
        <f>J358/K358-1</f>
        <v/>
      </c>
      <c r="P358" s="7" t="inlineStr">
        <is>
          <t>ACIMA +5.3%</t>
        </is>
      </c>
      <c r="Q358" s="7" t="inlineStr">
        <is>
          <t>1 emb = 20 un</t>
        </is>
      </c>
    </row>
    <row r="359">
      <c r="A359" s="7" t="n">
        <v>654211</v>
      </c>
      <c r="B359" s="7" t="inlineStr"/>
      <c r="C359" s="12" t="inlineStr">
        <is>
          <t>7896026170406</t>
        </is>
      </c>
      <c r="D359" s="7" t="inlineStr">
        <is>
          <t>MALVATRIKIDS BABY CR DEN S/FLUOR 70G</t>
        </is>
      </c>
      <c r="E359" s="13" t="n">
        <v>1</v>
      </c>
      <c r="F359" s="13" t="n">
        <v>3</v>
      </c>
      <c r="G359" s="13" t="n">
        <v>3</v>
      </c>
      <c r="H359" s="8" t="n">
        <v>18.4106</v>
      </c>
      <c r="I359" s="8">
        <f>G359*H359</f>
        <v/>
      </c>
      <c r="J359" s="8">
        <f>H359/E359</f>
        <v/>
      </c>
      <c r="K359" s="8" t="n">
        <v>13.26</v>
      </c>
      <c r="L359" s="8" t="n">
        <v>13.26</v>
      </c>
      <c r="M359" s="8" t="n">
        <v>13.26</v>
      </c>
      <c r="N359" s="14">
        <f>J359/M359-1</f>
        <v/>
      </c>
      <c r="O359" s="14">
        <f>J359/K359-1</f>
        <v/>
      </c>
      <c r="P359" s="7" t="inlineStr">
        <is>
          <t>ACIMA +38.8%</t>
        </is>
      </c>
      <c r="Q359" s="7" t="inlineStr"/>
    </row>
    <row r="360">
      <c r="A360" s="7" t="n">
        <v>640591</v>
      </c>
      <c r="B360" s="7" t="inlineStr"/>
      <c r="C360" s="12" t="inlineStr">
        <is>
          <t>7898040322540</t>
        </is>
      </c>
      <c r="D360" s="7" t="inlineStr">
        <is>
          <t>MARESIS (N.S.) SOL SPRAY FR 100ML</t>
        </is>
      </c>
      <c r="E360" s="13" t="n">
        <v>1</v>
      </c>
      <c r="F360" s="13" t="n">
        <v>1</v>
      </c>
      <c r="G360" s="13" t="n">
        <v>1</v>
      </c>
      <c r="H360" s="8" t="n">
        <v>37.7427</v>
      </c>
      <c r="I360" s="8">
        <f>G360*H360</f>
        <v/>
      </c>
      <c r="J360" s="8">
        <f>H360/E360</f>
        <v/>
      </c>
      <c r="K360" s="8" t="n">
        <v>41.6</v>
      </c>
      <c r="L360" s="8" t="n">
        <v>37.585</v>
      </c>
      <c r="M360" s="8" t="n">
        <v>40.26166666666666</v>
      </c>
      <c r="N360" s="14">
        <f>J360/M360-1</f>
        <v/>
      </c>
      <c r="O360" s="14">
        <f>J360/K360-1</f>
        <v/>
      </c>
      <c r="P360" s="7" t="inlineStr">
        <is>
          <t>OK (≤ últ. compra)</t>
        </is>
      </c>
      <c r="Q360" s="7" t="inlineStr"/>
    </row>
    <row r="361">
      <c r="A361" s="7" t="n">
        <v>653761</v>
      </c>
      <c r="B361" s="7" t="inlineStr"/>
      <c r="C361" s="12" t="inlineStr">
        <is>
          <t>7898244720609</t>
        </is>
      </c>
      <c r="D361" s="7" t="inlineStr">
        <is>
          <t>MARESIS FLEX 1,08G KIT FR+15SACH   FQM %DN:15.00</t>
        </is>
      </c>
      <c r="E361" s="13" t="n">
        <v>1</v>
      </c>
      <c r="F361" s="13" t="n">
        <v>1</v>
      </c>
      <c r="G361" s="13" t="n">
        <v>1</v>
      </c>
      <c r="H361" s="8" t="n">
        <v>37.18980000000001</v>
      </c>
      <c r="I361" s="8">
        <f>G361*H361</f>
        <v/>
      </c>
      <c r="J361" s="8">
        <f>H361/E361</f>
        <v/>
      </c>
      <c r="K361" s="8" t="n">
        <v>33.8425</v>
      </c>
      <c r="L361" s="8" t="n">
        <v>33.8425</v>
      </c>
      <c r="M361" s="8" t="n">
        <v>33.8425</v>
      </c>
      <c r="N361" s="14">
        <f>J361/M361-1</f>
        <v/>
      </c>
      <c r="O361" s="14">
        <f>J361/K361-1</f>
        <v/>
      </c>
      <c r="P361" s="7" t="inlineStr">
        <is>
          <t>ACIMA +9.9%</t>
        </is>
      </c>
      <c r="Q361" s="7" t="inlineStr"/>
    </row>
    <row r="362">
      <c r="A362" s="7" t="n">
        <v>120461</v>
      </c>
      <c r="B362" s="7" t="inlineStr"/>
      <c r="C362" s="12" t="inlineStr">
        <is>
          <t>7898040326425</t>
        </is>
      </c>
      <c r="D362" s="7" t="inlineStr">
        <is>
          <t>MARESIS HT 2% 20MG/ML SOL SPR NAS FR 100ML</t>
        </is>
      </c>
      <c r="E362" s="13" t="n">
        <v>1</v>
      </c>
      <c r="F362" s="13" t="n">
        <v>1</v>
      </c>
      <c r="G362" s="13" t="n">
        <v>1</v>
      </c>
      <c r="H362" s="8" t="n">
        <v>46.3854</v>
      </c>
      <c r="I362" s="8">
        <f>G362*H362</f>
        <v/>
      </c>
      <c r="J362" s="8">
        <f>H362/E362</f>
        <v/>
      </c>
      <c r="K362" s="8" t="n">
        <v>40.65</v>
      </c>
      <c r="L362" s="8" t="n">
        <v>40.65</v>
      </c>
      <c r="M362" s="8" t="n">
        <v>40.65</v>
      </c>
      <c r="N362" s="14">
        <f>J362/M362-1</f>
        <v/>
      </c>
      <c r="O362" s="14">
        <f>J362/K362-1</f>
        <v/>
      </c>
      <c r="P362" s="7" t="inlineStr">
        <is>
          <t>ACIMA +14.1%</t>
        </is>
      </c>
      <c r="Q362" s="7" t="inlineStr"/>
    </row>
    <row r="363">
      <c r="A363" s="7" t="n">
        <v>615911</v>
      </c>
      <c r="B363" s="7" t="inlineStr"/>
      <c r="C363" s="12" t="inlineStr">
        <is>
          <t>7896000722737</t>
        </is>
      </c>
      <c r="D363" s="7" t="inlineStr">
        <is>
          <t>MASC HID CAP N GOLD O AR 430ML</t>
        </is>
      </c>
      <c r="E363" s="13" t="n">
        <v>1</v>
      </c>
      <c r="F363" s="13" t="n">
        <v>1</v>
      </c>
      <c r="G363" s="13" t="n">
        <v>1</v>
      </c>
      <c r="H363" s="8" t="n">
        <v>13.65</v>
      </c>
      <c r="I363" s="8">
        <f>G363*H363</f>
        <v/>
      </c>
      <c r="J363" s="8">
        <f>H363/E363</f>
        <v/>
      </c>
      <c r="K363" s="8" t="n">
        <v>9.779999999999999</v>
      </c>
      <c r="L363" s="8" t="n">
        <v>9.779999999999999</v>
      </c>
      <c r="M363" s="8" t="n">
        <v>9.779999999999999</v>
      </c>
      <c r="N363" s="14">
        <f>J363/M363-1</f>
        <v/>
      </c>
      <c r="O363" s="14">
        <f>J363/K363-1</f>
        <v/>
      </c>
      <c r="P363" s="7" t="inlineStr">
        <is>
          <t>ACIMA +39.6%</t>
        </is>
      </c>
      <c r="Q363" s="7" t="inlineStr"/>
    </row>
    <row r="364">
      <c r="A364" s="7" t="n">
        <v>663151</v>
      </c>
      <c r="B364" s="7" t="inlineStr"/>
      <c r="C364" s="12" t="inlineStr">
        <is>
          <t>7891150101661</t>
        </is>
      </c>
      <c r="D364" s="7" t="inlineStr">
        <is>
          <t>MASC TRAT SEDA CERAMIDAS 300G</t>
        </is>
      </c>
      <c r="E364" s="13" t="n">
        <v>1</v>
      </c>
      <c r="F364" s="13" t="n">
        <v>1</v>
      </c>
      <c r="G364" s="13" t="n">
        <v>1</v>
      </c>
      <c r="H364" s="8" t="n">
        <v>14.31</v>
      </c>
      <c r="I364" s="8">
        <f>G364*H364</f>
        <v/>
      </c>
      <c r="J364" s="8">
        <f>H364/E364</f>
        <v/>
      </c>
      <c r="K364" s="8" t="n">
        <v>12.03</v>
      </c>
      <c r="L364" s="8" t="n">
        <v>12.03</v>
      </c>
      <c r="M364" s="8" t="n">
        <v>12.03</v>
      </c>
      <c r="N364" s="14">
        <f>J364/M364-1</f>
        <v/>
      </c>
      <c r="O364" s="14">
        <f>J364/K364-1</f>
        <v/>
      </c>
      <c r="P364" s="7" t="inlineStr">
        <is>
          <t>ACIMA +19.0%</t>
        </is>
      </c>
      <c r="Q364" s="7" t="inlineStr"/>
    </row>
    <row r="365">
      <c r="A365" s="7" t="n">
        <v>663171</v>
      </c>
      <c r="B365" s="7" t="inlineStr"/>
      <c r="C365" s="12" t="inlineStr">
        <is>
          <t>7891150101579</t>
        </is>
      </c>
      <c r="D365" s="7" t="inlineStr">
        <is>
          <t>MASC TRAT SEDA TOQUE DE SEDA 300G</t>
        </is>
      </c>
      <c r="E365" s="13" t="n">
        <v>1</v>
      </c>
      <c r="F365" s="13" t="n">
        <v>1</v>
      </c>
      <c r="G365" s="13" t="n">
        <v>1</v>
      </c>
      <c r="H365" s="8" t="n">
        <v>14.31</v>
      </c>
      <c r="I365" s="8">
        <f>G365*H365</f>
        <v/>
      </c>
      <c r="J365" s="8">
        <f>H365/E365</f>
        <v/>
      </c>
      <c r="K365" s="8" t="n">
        <v>10.92</v>
      </c>
      <c r="L365" s="8" t="n">
        <v>10.92</v>
      </c>
      <c r="M365" s="8" t="n">
        <v>10.92</v>
      </c>
      <c r="N365" s="14">
        <f>J365/M365-1</f>
        <v/>
      </c>
      <c r="O365" s="14">
        <f>J365/K365-1</f>
        <v/>
      </c>
      <c r="P365" s="7" t="inlineStr">
        <is>
          <t>ACIMA +31.0%</t>
        </is>
      </c>
      <c r="Q365" s="7" t="inlineStr"/>
    </row>
    <row r="366">
      <c r="A366" s="7" t="n">
        <v>660541</v>
      </c>
      <c r="B366" s="7" t="inlineStr"/>
      <c r="C366" s="12" t="inlineStr">
        <is>
          <t>7891150100350</t>
        </is>
      </c>
      <c r="D366" s="7" t="inlineStr">
        <is>
          <t>MASC TRAT TRESEMME BLIND ANTIUMIDADE 400GR</t>
        </is>
      </c>
      <c r="E366" s="13" t="n">
        <v>1</v>
      </c>
      <c r="F366" s="13" t="n">
        <v>1</v>
      </c>
      <c r="G366" s="13" t="n">
        <v>1</v>
      </c>
      <c r="H366" s="8" t="n">
        <v>21.28</v>
      </c>
      <c r="I366" s="8">
        <f>G366*H366</f>
        <v/>
      </c>
      <c r="J366" s="8">
        <f>H366/E366</f>
        <v/>
      </c>
      <c r="K366" s="8" t="n">
        <v>17.97</v>
      </c>
      <c r="L366" s="8" t="n">
        <v>17.97</v>
      </c>
      <c r="M366" s="8" t="n">
        <v>17.97</v>
      </c>
      <c r="N366" s="14">
        <f>J366/M366-1</f>
        <v/>
      </c>
      <c r="O366" s="14">
        <f>J366/K366-1</f>
        <v/>
      </c>
      <c r="P366" s="7" t="inlineStr">
        <is>
          <t>ACIMA +18.4%</t>
        </is>
      </c>
      <c r="Q366" s="7" t="inlineStr"/>
    </row>
    <row r="367">
      <c r="A367" s="7" t="n">
        <v>650111</v>
      </c>
      <c r="B367" s="7" t="inlineStr"/>
      <c r="C367" s="12" t="inlineStr">
        <is>
          <t>7891150096738</t>
        </is>
      </c>
      <c r="D367" s="7" t="inlineStr">
        <is>
          <t>MASC. TRAT. CAP. DOVE HIDRAT. 500</t>
        </is>
      </c>
      <c r="E367" s="13" t="n">
        <v>1</v>
      </c>
      <c r="F367" s="13" t="n">
        <v>2</v>
      </c>
      <c r="G367" s="13" t="n">
        <v>2</v>
      </c>
      <c r="H367" s="8" t="n">
        <v>21.15</v>
      </c>
      <c r="I367" s="8">
        <f>G367*H367</f>
        <v/>
      </c>
      <c r="J367" s="8">
        <f>H367/E367</f>
        <v/>
      </c>
      <c r="K367" s="8" t="n">
        <v>17.54</v>
      </c>
      <c r="L367" s="8" t="n">
        <v>16.5133</v>
      </c>
      <c r="M367" s="8" t="n">
        <v>16.5133</v>
      </c>
      <c r="N367" s="14">
        <f>J367/M367-1</f>
        <v/>
      </c>
      <c r="O367" s="14">
        <f>J367/K367-1</f>
        <v/>
      </c>
      <c r="P367" s="7" t="inlineStr">
        <is>
          <t>ACIMA +20.6%</t>
        </is>
      </c>
      <c r="Q367" s="7" t="inlineStr"/>
    </row>
    <row r="368">
      <c r="A368" s="7" t="n">
        <v>665751</v>
      </c>
      <c r="B368" s="7" t="inlineStr"/>
      <c r="C368" s="12" t="inlineStr">
        <is>
          <t>7896148500600</t>
        </is>
      </c>
      <c r="D368" s="7" t="inlineStr">
        <is>
          <t>MEL DE ABELHA 200G BISNAGA FITOBEL</t>
        </is>
      </c>
      <c r="E368" s="13" t="n">
        <v>1</v>
      </c>
      <c r="F368" s="13" t="n">
        <v>2</v>
      </c>
      <c r="G368" s="13" t="n">
        <v>2</v>
      </c>
      <c r="H368" s="8" t="n">
        <v>10.54</v>
      </c>
      <c r="I368" s="8">
        <f>G368*H368</f>
        <v/>
      </c>
      <c r="J368" s="8">
        <f>H368/E368</f>
        <v/>
      </c>
      <c r="K368" s="8" t="n">
        <v>10.54</v>
      </c>
      <c r="L368" s="8" t="n">
        <v>9.43</v>
      </c>
      <c r="M368" s="8" t="n">
        <v>10.17</v>
      </c>
      <c r="N368" s="14">
        <f>J368/M368-1</f>
        <v/>
      </c>
      <c r="O368" s="14">
        <f>J368/K368-1</f>
        <v/>
      </c>
      <c r="P368" s="7" t="inlineStr">
        <is>
          <t>OK (≤ últ. compra)</t>
        </is>
      </c>
      <c r="Q368" s="7" t="inlineStr"/>
    </row>
    <row r="369">
      <c r="A369" s="7" t="n">
        <v>345701</v>
      </c>
      <c r="B369" s="7" t="inlineStr"/>
      <c r="C369" s="12" t="inlineStr">
        <is>
          <t>7896014669028</t>
        </is>
      </c>
      <c r="D369" s="7" t="inlineStr">
        <is>
          <t>METREXATO 2,5MG CX 24 COMP</t>
        </is>
      </c>
      <c r="E369" s="13" t="n">
        <v>1</v>
      </c>
      <c r="F369" s="13" t="n">
        <v>7</v>
      </c>
      <c r="G369" s="13" t="n">
        <v>7</v>
      </c>
      <c r="H369" s="8" t="n">
        <v>25.110068</v>
      </c>
      <c r="I369" s="8">
        <f>G369*H369</f>
        <v/>
      </c>
      <c r="J369" s="8">
        <f>H369/E369</f>
        <v/>
      </c>
      <c r="K369" s="8" t="n">
        <v>24.8467</v>
      </c>
      <c r="L369" s="8" t="n">
        <v>20.995</v>
      </c>
      <c r="M369" s="8" t="n">
        <v>23.38833333333334</v>
      </c>
      <c r="N369" s="14">
        <f>J369/M369-1</f>
        <v/>
      </c>
      <c r="O369" s="14">
        <f>J369/K369-1</f>
        <v/>
      </c>
      <c r="P369" s="7" t="inlineStr">
        <is>
          <t>ACIMA +1.1%</t>
        </is>
      </c>
      <c r="Q369" s="7" t="inlineStr"/>
    </row>
    <row r="370">
      <c r="A370" s="7" t="n">
        <v>650421</v>
      </c>
      <c r="B370" s="7" t="inlineStr"/>
      <c r="C370" s="12" t="inlineStr">
        <is>
          <t>7891800666090</t>
        </is>
      </c>
      <c r="D370" s="7" t="inlineStr">
        <is>
          <t>MICROPOROSA CREMER BRANCA 2,5CMX90CM</t>
        </is>
      </c>
      <c r="E370" s="13" t="n">
        <v>1</v>
      </c>
      <c r="F370" s="13" t="n">
        <v>7</v>
      </c>
      <c r="G370" s="13" t="n">
        <v>7</v>
      </c>
      <c r="H370" s="8" t="n">
        <v>3.9382</v>
      </c>
      <c r="I370" s="8">
        <f>G370*H370</f>
        <v/>
      </c>
      <c r="J370" s="8">
        <f>H370/E370</f>
        <v/>
      </c>
      <c r="K370" s="8" t="n">
        <v>4.0517</v>
      </c>
      <c r="L370" s="8" t="n">
        <v>3.83</v>
      </c>
      <c r="M370" s="8" t="n">
        <v>3.9778</v>
      </c>
      <c r="N370" s="14">
        <f>J370/M370-1</f>
        <v/>
      </c>
      <c r="O370" s="14">
        <f>J370/K370-1</f>
        <v/>
      </c>
      <c r="P370" s="7" t="inlineStr">
        <is>
          <t>OK (≤ últ. compra)</t>
        </is>
      </c>
      <c r="Q370" s="7" t="inlineStr"/>
    </row>
    <row r="371">
      <c r="A371" s="7" t="n">
        <v>225321</v>
      </c>
      <c r="B371" s="7" t="inlineStr"/>
      <c r="C371" s="12" t="inlineStr">
        <is>
          <t>7896004760995</t>
        </is>
      </c>
      <c r="D371" s="7" t="inlineStr">
        <is>
          <t>MIGRALIV CX 12 COMP</t>
        </is>
      </c>
      <c r="E371" s="13" t="n">
        <v>1</v>
      </c>
      <c r="F371" s="13" t="n">
        <v>1</v>
      </c>
      <c r="G371" s="13" t="n">
        <v>1</v>
      </c>
      <c r="H371" s="8" t="n">
        <v>16.56525</v>
      </c>
      <c r="I371" s="8">
        <f>G371*H371</f>
        <v/>
      </c>
      <c r="J371" s="8">
        <f>H371/E371</f>
        <v/>
      </c>
      <c r="K371" s="8" t="n">
        <v>12.36</v>
      </c>
      <c r="L371" s="8" t="n">
        <v>12.36</v>
      </c>
      <c r="M371" s="8" t="n">
        <v>12.36</v>
      </c>
      <c r="N371" s="14">
        <f>J371/M371-1</f>
        <v/>
      </c>
      <c r="O371" s="14">
        <f>J371/K371-1</f>
        <v/>
      </c>
      <c r="P371" s="7" t="inlineStr">
        <is>
          <t>ACIMA +34.0%</t>
        </is>
      </c>
      <c r="Q371" s="7" t="inlineStr"/>
    </row>
    <row r="372">
      <c r="A372" s="7" t="n">
        <v>670851</v>
      </c>
      <c r="B372" s="7" t="inlineStr"/>
      <c r="C372" s="12" t="inlineStr">
        <is>
          <t>7891000357019</t>
        </is>
      </c>
      <c r="D372" s="7" t="inlineStr">
        <is>
          <t>MING MUCILON ARROZ/AVEIA SH 360G</t>
        </is>
      </c>
      <c r="E372" s="13" t="n">
        <v>1</v>
      </c>
      <c r="F372" s="13" t="n">
        <v>1</v>
      </c>
      <c r="G372" s="13" t="n">
        <v>1</v>
      </c>
      <c r="H372" s="8" t="n">
        <v>13.36</v>
      </c>
      <c r="I372" s="8">
        <f>G372*H372</f>
        <v/>
      </c>
      <c r="J372" s="8">
        <f>H372/E372</f>
        <v/>
      </c>
      <c r="K372" s="8" t="n">
        <v>8.59</v>
      </c>
      <c r="L372" s="8" t="n">
        <v>8.59</v>
      </c>
      <c r="M372" s="8" t="n">
        <v>8.59</v>
      </c>
      <c r="N372" s="14">
        <f>J372/M372-1</f>
        <v/>
      </c>
      <c r="O372" s="14">
        <f>J372/K372-1</f>
        <v/>
      </c>
      <c r="P372" s="7" t="inlineStr">
        <is>
          <t>ACIMA +55.5%</t>
        </is>
      </c>
      <c r="Q372" s="7" t="inlineStr"/>
    </row>
    <row r="373">
      <c r="A373" s="7" t="n">
        <v>670861</v>
      </c>
      <c r="B373" s="7" t="inlineStr"/>
      <c r="C373" s="12" t="inlineStr">
        <is>
          <t>7891000356975</t>
        </is>
      </c>
      <c r="D373" s="7" t="inlineStr">
        <is>
          <t>MING MUCILON MILHO SH 360G</t>
        </is>
      </c>
      <c r="E373" s="13" t="n">
        <v>1</v>
      </c>
      <c r="F373" s="13" t="n">
        <v>1</v>
      </c>
      <c r="G373" s="13" t="n">
        <v>1</v>
      </c>
      <c r="H373" s="8" t="n">
        <v>13.36</v>
      </c>
      <c r="I373" s="8">
        <f>G373*H373</f>
        <v/>
      </c>
      <c r="J373" s="8">
        <f>H373/E373</f>
        <v/>
      </c>
      <c r="K373" s="8" t="n">
        <v>8.59</v>
      </c>
      <c r="L373" s="8" t="n">
        <v>8.59</v>
      </c>
      <c r="M373" s="8" t="n">
        <v>8.59</v>
      </c>
      <c r="N373" s="14">
        <f>J373/M373-1</f>
        <v/>
      </c>
      <c r="O373" s="14">
        <f>J373/K373-1</f>
        <v/>
      </c>
      <c r="P373" s="7" t="inlineStr">
        <is>
          <t>ACIMA +55.5%</t>
        </is>
      </c>
      <c r="Q373" s="7" t="inlineStr"/>
    </row>
    <row r="374">
      <c r="A374" s="7" t="n">
        <v>351361</v>
      </c>
      <c r="B374" s="7" t="inlineStr"/>
      <c r="C374" s="12" t="inlineStr">
        <is>
          <t>7897851250585</t>
        </is>
      </c>
      <c r="D374" s="7" t="inlineStr">
        <is>
          <t>MONOCORDIL 40MG CX 30 COMP</t>
        </is>
      </c>
      <c r="E374" s="13" t="n">
        <v>1</v>
      </c>
      <c r="F374" s="13" t="n">
        <v>1</v>
      </c>
      <c r="G374" s="13" t="n">
        <v>1</v>
      </c>
      <c r="H374" s="8" t="n">
        <v>29.6723</v>
      </c>
      <c r="I374" s="8">
        <f>G374*H374</f>
        <v/>
      </c>
      <c r="J374" s="8">
        <f>H374/E374</f>
        <v/>
      </c>
      <c r="K374" s="8" t="n">
        <v>25.57</v>
      </c>
      <c r="L374" s="8" t="n">
        <v>25.57</v>
      </c>
      <c r="M374" s="8" t="n">
        <v>25.57</v>
      </c>
      <c r="N374" s="14">
        <f>J374/M374-1</f>
        <v/>
      </c>
      <c r="O374" s="14">
        <f>J374/K374-1</f>
        <v/>
      </c>
      <c r="P374" s="7" t="inlineStr">
        <is>
          <t>ACIMA +16.0%</t>
        </is>
      </c>
      <c r="Q374" s="7" t="inlineStr"/>
    </row>
    <row r="375">
      <c r="A375" s="7" t="n">
        <v>229001</v>
      </c>
      <c r="B375" s="7" t="inlineStr"/>
      <c r="C375" s="12" t="inlineStr">
        <is>
          <t>7896212429738</t>
        </is>
      </c>
      <c r="D375" s="7" t="inlineStr">
        <is>
          <t>MOTILIUM 10MG CX 30 COMP</t>
        </is>
      </c>
      <c r="E375" s="13" t="n">
        <v>1</v>
      </c>
      <c r="F375" s="13" t="n">
        <v>5</v>
      </c>
      <c r="G375" s="13" t="n">
        <v>5</v>
      </c>
      <c r="H375" s="8" t="n">
        <v>27.88</v>
      </c>
      <c r="I375" s="8">
        <f>G375*H375</f>
        <v/>
      </c>
      <c r="J375" s="8">
        <f>H375/E375</f>
        <v/>
      </c>
      <c r="K375" s="8" t="n">
        <v>28.63</v>
      </c>
      <c r="L375" s="8" t="n">
        <v>27.02</v>
      </c>
      <c r="M375" s="8" t="n">
        <v>27.89666666666666</v>
      </c>
      <c r="N375" s="14">
        <f>J375/M375-1</f>
        <v/>
      </c>
      <c r="O375" s="14">
        <f>J375/K375-1</f>
        <v/>
      </c>
      <c r="P375" s="7" t="inlineStr">
        <is>
          <t>OK (≤ últ. compra)</t>
        </is>
      </c>
      <c r="Q375" s="7" t="inlineStr">
        <is>
          <t>estoque parcial (1 un); preços divergentes entre EANs (usado menor)</t>
        </is>
      </c>
    </row>
    <row r="376">
      <c r="A376" s="7" t="n">
        <v>672781</v>
      </c>
      <c r="B376" s="7" t="inlineStr"/>
      <c r="C376" s="12" t="inlineStr">
        <is>
          <t>7891000319598</t>
        </is>
      </c>
      <c r="D376" s="7" t="inlineStr">
        <is>
          <t>MUCILON MILHO SACHET 12X180G BR</t>
        </is>
      </c>
      <c r="E376" s="13" t="n">
        <v>1</v>
      </c>
      <c r="F376" s="13" t="n">
        <v>1</v>
      </c>
      <c r="G376" s="13" t="n">
        <v>1</v>
      </c>
      <c r="H376" s="8" t="n">
        <v>7.46</v>
      </c>
      <c r="I376" s="8">
        <f>G376*H376</f>
        <v/>
      </c>
      <c r="J376" s="8">
        <f>H376/E376</f>
        <v/>
      </c>
      <c r="K376" s="8" t="n">
        <v>6.1883</v>
      </c>
      <c r="L376" s="8" t="n">
        <v>6.0358</v>
      </c>
      <c r="M376" s="8" t="n">
        <v>6.137466666666666</v>
      </c>
      <c r="N376" s="14">
        <f>J376/M376-1</f>
        <v/>
      </c>
      <c r="O376" s="14">
        <f>J376/K376-1</f>
        <v/>
      </c>
      <c r="P376" s="7" t="inlineStr">
        <is>
          <t>ACIMA +20.6%</t>
        </is>
      </c>
      <c r="Q376" s="7" t="inlineStr"/>
    </row>
    <row r="377">
      <c r="A377" s="7" t="n">
        <v>590141</v>
      </c>
      <c r="B377" s="7" t="inlineStr"/>
      <c r="C377" s="12" t="inlineStr">
        <is>
          <t>7891000086131</t>
        </is>
      </c>
      <c r="D377" s="7" t="inlineStr">
        <is>
          <t>MUCILON MULTICEREAIS SACHET 9X600G BR</t>
        </is>
      </c>
      <c r="E377" s="13" t="n">
        <v>1</v>
      </c>
      <c r="F377" s="13" t="n">
        <v>1</v>
      </c>
      <c r="G377" s="13" t="n">
        <v>1</v>
      </c>
      <c r="H377" s="8" t="n">
        <v>23.14</v>
      </c>
      <c r="I377" s="8">
        <f>G377*H377</f>
        <v/>
      </c>
      <c r="J377" s="8">
        <f>H377/E377</f>
        <v/>
      </c>
      <c r="K377" s="8" t="n">
        <v>19.5189</v>
      </c>
      <c r="L377" s="8" t="n">
        <v>18.7089</v>
      </c>
      <c r="M377" s="8" t="n">
        <v>19.1363</v>
      </c>
      <c r="N377" s="14">
        <f>J377/M377-1</f>
        <v/>
      </c>
      <c r="O377" s="14">
        <f>J377/K377-1</f>
        <v/>
      </c>
      <c r="P377" s="7" t="inlineStr">
        <is>
          <t>ACIMA +18.6%</t>
        </is>
      </c>
      <c r="Q377" s="7" t="inlineStr"/>
    </row>
    <row r="378">
      <c r="A378" s="7" t="n">
        <v>609671</v>
      </c>
      <c r="B378" s="7" t="inlineStr"/>
      <c r="C378" s="12" t="inlineStr">
        <is>
          <t>7891000383063</t>
        </is>
      </c>
      <c r="D378" s="7" t="inlineStr">
        <is>
          <t>MUCILON PIPOQUINHA MILHO 35G</t>
        </is>
      </c>
      <c r="E378" s="13" t="n">
        <v>1</v>
      </c>
      <c r="F378" s="13" t="n">
        <v>1</v>
      </c>
      <c r="G378" s="13" t="n">
        <v>1</v>
      </c>
      <c r="H378" s="8" t="n">
        <v>5.01</v>
      </c>
      <c r="I378" s="8">
        <f>G378*H378</f>
        <v/>
      </c>
      <c r="J378" s="8">
        <f>H378/E378</f>
        <v/>
      </c>
      <c r="K378" s="8" t="n">
        <v>4.28</v>
      </c>
      <c r="L378" s="8" t="n">
        <v>4.28</v>
      </c>
      <c r="M378" s="8" t="n">
        <v>4.28</v>
      </c>
      <c r="N378" s="14">
        <f>J378/M378-1</f>
        <v/>
      </c>
      <c r="O378" s="14">
        <f>J378/K378-1</f>
        <v/>
      </c>
      <c r="P378" s="7" t="inlineStr">
        <is>
          <t>ACIMA +17.1%</t>
        </is>
      </c>
      <c r="Q378" s="7" t="inlineStr"/>
    </row>
    <row r="379">
      <c r="A379" s="7" t="n">
        <v>661311</v>
      </c>
      <c r="B379" s="7" t="inlineStr"/>
      <c r="C379" s="12" t="inlineStr">
        <is>
          <t>0618231034291</t>
        </is>
      </c>
      <c r="D379" s="7" t="inlineStr">
        <is>
          <t>MULTIVITALE VIT D 2.000UI 60CPS</t>
        </is>
      </c>
      <c r="E379" s="13" t="n">
        <v>1</v>
      </c>
      <c r="F379" s="13" t="n">
        <v>1</v>
      </c>
      <c r="G379" s="13" t="n">
        <v>1</v>
      </c>
      <c r="H379" s="8" t="n">
        <v>18.31</v>
      </c>
      <c r="I379" s="8">
        <f>G379*H379</f>
        <v/>
      </c>
      <c r="J379" s="8">
        <f>H379/E379</f>
        <v/>
      </c>
      <c r="K379" s="8" t="n">
        <v>18.31</v>
      </c>
      <c r="L379" s="8" t="n">
        <v>18.31</v>
      </c>
      <c r="M379" s="8" t="n">
        <v>18.31</v>
      </c>
      <c r="N379" s="14">
        <f>J379/M379-1</f>
        <v/>
      </c>
      <c r="O379" s="14">
        <f>J379/K379-1</f>
        <v/>
      </c>
      <c r="P379" s="7" t="inlineStr">
        <is>
          <t>OK (≤ menor hist.)</t>
        </is>
      </c>
      <c r="Q379" s="7" t="inlineStr"/>
    </row>
    <row r="380">
      <c r="A380" s="7" t="n">
        <v>434881</v>
      </c>
      <c r="B380" s="7" t="inlineStr"/>
      <c r="C380" s="12" t="inlineStr">
        <is>
          <t>7891010256432</t>
        </is>
      </c>
      <c r="D380" s="7" t="inlineStr">
        <is>
          <t>MYLANTA PLUS 80+80+6MG SUS OR FR 240ML SB MORANGO</t>
        </is>
      </c>
      <c r="E380" s="13" t="n">
        <v>1</v>
      </c>
      <c r="F380" s="13" t="n">
        <v>8</v>
      </c>
      <c r="G380" s="13" t="n">
        <v>8</v>
      </c>
      <c r="H380" s="8" t="n">
        <v>48.93</v>
      </c>
      <c r="I380" s="8">
        <f>G380*H380</f>
        <v/>
      </c>
      <c r="J380" s="8">
        <f>H380/E380</f>
        <v/>
      </c>
      <c r="K380" s="8" t="n">
        <v>44.04</v>
      </c>
      <c r="L380" s="8" t="n">
        <v>39.865</v>
      </c>
      <c r="M380" s="8" t="n">
        <v>42.40776666666667</v>
      </c>
      <c r="N380" s="14">
        <f>J380/M380-1</f>
        <v/>
      </c>
      <c r="O380" s="14">
        <f>J380/K380-1</f>
        <v/>
      </c>
      <c r="P380" s="7" t="inlineStr">
        <is>
          <t>ACIMA +11.1%</t>
        </is>
      </c>
      <c r="Q380" s="7" t="inlineStr"/>
    </row>
    <row r="381">
      <c r="A381" s="7" t="n">
        <v>652151</v>
      </c>
      <c r="B381" s="7" t="inlineStr"/>
      <c r="C381" s="12" t="inlineStr">
        <is>
          <t>7896007553563</t>
        </is>
      </c>
      <c r="D381" s="7" t="inlineStr">
        <is>
          <t>N ABS INTIMUS NOTURNO SUAVE C/A 45UN   KIMB %DN:3.00</t>
        </is>
      </c>
      <c r="E381" s="13" t="n">
        <v>1</v>
      </c>
      <c r="F381" s="13" t="n">
        <v>2</v>
      </c>
      <c r="G381" s="13" t="n">
        <v>2</v>
      </c>
      <c r="H381" s="8" t="n">
        <v>32.68</v>
      </c>
      <c r="I381" s="8">
        <f>G381*H381</f>
        <v/>
      </c>
      <c r="J381" s="8">
        <f>H381/E381</f>
        <v/>
      </c>
      <c r="K381" s="8" t="n">
        <v>27.3308</v>
      </c>
      <c r="L381" s="8" t="n">
        <v>27.3308</v>
      </c>
      <c r="M381" s="8" t="n">
        <v>27.3308</v>
      </c>
      <c r="N381" s="14">
        <f>J381/M381-1</f>
        <v/>
      </c>
      <c r="O381" s="14">
        <f>J381/K381-1</f>
        <v/>
      </c>
      <c r="P381" s="7" t="inlineStr">
        <is>
          <t>ACIMA +19.6%</t>
        </is>
      </c>
      <c r="Q381" s="7" t="inlineStr"/>
    </row>
    <row r="382">
      <c r="A382" s="7" t="n">
        <v>651901</v>
      </c>
      <c r="B382" s="7" t="inlineStr"/>
      <c r="C382" s="12" t="inlineStr">
        <is>
          <t>7898108640050</t>
        </is>
      </c>
      <c r="D382" s="7" t="inlineStr">
        <is>
          <t>N COMPRESSA GAZES 11FIOS ESTER 5UND   SANF %DN:0.00</t>
        </is>
      </c>
      <c r="E382" s="13" t="n">
        <v>1</v>
      </c>
      <c r="F382" s="13" t="n">
        <v>1</v>
      </c>
      <c r="G382" s="13" t="n">
        <v>1</v>
      </c>
      <c r="H382" s="8" t="n">
        <v>0.8929999999999999</v>
      </c>
      <c r="I382" s="8">
        <f>G382*H382</f>
        <v/>
      </c>
      <c r="J382" s="8">
        <f>H382/E382</f>
        <v/>
      </c>
      <c r="K382" s="8" t="n">
        <v>0.92</v>
      </c>
      <c r="L382" s="8" t="n">
        <v>0.92</v>
      </c>
      <c r="M382" s="8" t="n">
        <v>0.92</v>
      </c>
      <c r="N382" s="14">
        <f>J382/M382-1</f>
        <v/>
      </c>
      <c r="O382" s="14">
        <f>J382/K382-1</f>
        <v/>
      </c>
      <c r="P382" s="7" t="inlineStr">
        <is>
          <t>OK (≤ menor hist.)</t>
        </is>
      </c>
      <c r="Q382" s="7" t="inlineStr"/>
    </row>
    <row r="383">
      <c r="A383" s="7" t="n">
        <v>669941</v>
      </c>
      <c r="B383" s="7" t="inlineStr"/>
      <c r="C383" s="12" t="inlineStr">
        <is>
          <t>7506306255678</t>
        </is>
      </c>
      <c r="D383" s="7" t="inlineStr">
        <is>
          <t>N SAB DOVE ESFOLIANTE BEAUTY SCRUB COCO 280G   UNIL %DN:0.00</t>
        </is>
      </c>
      <c r="E383" s="13" t="n">
        <v>1</v>
      </c>
      <c r="F383" s="13" t="n">
        <v>1</v>
      </c>
      <c r="G383" s="13" t="n">
        <v>1</v>
      </c>
      <c r="H383" s="8" t="n">
        <v>38.79</v>
      </c>
      <c r="I383" s="8">
        <f>G383*H383</f>
        <v/>
      </c>
      <c r="J383" s="8">
        <f>H383/E383</f>
        <v/>
      </c>
      <c r="K383" s="8" t="n">
        <v>37.43</v>
      </c>
      <c r="L383" s="8" t="n">
        <v>37.43</v>
      </c>
      <c r="M383" s="8" t="n">
        <v>37.43</v>
      </c>
      <c r="N383" s="14">
        <f>J383/M383-1</f>
        <v/>
      </c>
      <c r="O383" s="14">
        <f>J383/K383-1</f>
        <v/>
      </c>
      <c r="P383" s="7" t="inlineStr">
        <is>
          <t>ACIMA +3.6%</t>
        </is>
      </c>
      <c r="Q383" s="7" t="inlineStr"/>
    </row>
    <row r="384">
      <c r="A384" s="7" t="n">
        <v>598381</v>
      </c>
      <c r="B384" s="7" t="inlineStr"/>
      <c r="C384" s="12" t="inlineStr">
        <is>
          <t>7509546673189</t>
        </is>
      </c>
      <c r="D384" s="7" t="inlineStr">
        <is>
          <t>N SAB LIQ PROTEX BABY GLIC 200ML</t>
        </is>
      </c>
      <c r="E384" s="13" t="n">
        <v>1</v>
      </c>
      <c r="F384" s="13" t="n">
        <v>5</v>
      </c>
      <c r="G384" s="13" t="n">
        <v>5</v>
      </c>
      <c r="H384" s="8" t="n">
        <v>18.04</v>
      </c>
      <c r="I384" s="8">
        <f>G384*H384</f>
        <v/>
      </c>
      <c r="J384" s="8">
        <f>H384/E384</f>
        <v/>
      </c>
      <c r="K384" s="8" t="n">
        <v>9.215</v>
      </c>
      <c r="L384" s="8" t="n">
        <v>9.215</v>
      </c>
      <c r="M384" s="8" t="n">
        <v>9.215</v>
      </c>
      <c r="N384" s="14">
        <f>J384/M384-1</f>
        <v/>
      </c>
      <c r="O384" s="14">
        <f>J384/K384-1</f>
        <v/>
      </c>
      <c r="P384" s="7" t="inlineStr">
        <is>
          <t>ACIMA +95.8%</t>
        </is>
      </c>
      <c r="Q384" s="7" t="inlineStr"/>
    </row>
    <row r="385">
      <c r="A385" s="7" t="n">
        <v>666171</v>
      </c>
      <c r="B385" s="7" t="inlineStr"/>
      <c r="C385" s="12" t="inlineStr">
        <is>
          <t>7891000071625</t>
        </is>
      </c>
      <c r="D385" s="7" t="inlineStr">
        <is>
          <t>NAN COMFOR 0-6MESES HMO 6X800G BR</t>
        </is>
      </c>
      <c r="E385" s="13" t="n">
        <v>1</v>
      </c>
      <c r="F385" s="13" t="n">
        <v>3</v>
      </c>
      <c r="G385" s="13" t="n">
        <v>3</v>
      </c>
      <c r="H385" s="8" t="n">
        <v>96.62</v>
      </c>
      <c r="I385" s="8">
        <f>G385*H385</f>
        <v/>
      </c>
      <c r="J385" s="8">
        <f>H385/E385</f>
        <v/>
      </c>
      <c r="K385" s="8" t="n">
        <v>67.94499999999999</v>
      </c>
      <c r="L385" s="8" t="n">
        <v>66.08499999999999</v>
      </c>
      <c r="M385" s="8" t="n">
        <v>67.32499999999999</v>
      </c>
      <c r="N385" s="14">
        <f>J385/M385-1</f>
        <v/>
      </c>
      <c r="O385" s="14">
        <f>J385/K385-1</f>
        <v/>
      </c>
      <c r="P385" s="7" t="inlineStr">
        <is>
          <t>ACIMA +42.2%</t>
        </is>
      </c>
      <c r="Q385" s="7" t="inlineStr"/>
    </row>
    <row r="386">
      <c r="A386" s="7" t="n">
        <v>590371</v>
      </c>
      <c r="B386" s="7" t="inlineStr"/>
      <c r="C386" s="12" t="inlineStr">
        <is>
          <t>7891000097649</t>
        </is>
      </c>
      <c r="D386" s="7" t="inlineStr">
        <is>
          <t>NANLAC COMFOR FI 800G LT</t>
        </is>
      </c>
      <c r="E386" s="13" t="n">
        <v>1</v>
      </c>
      <c r="F386" s="13" t="n">
        <v>1</v>
      </c>
      <c r="G386" s="13" t="n">
        <v>1</v>
      </c>
      <c r="H386" s="8" t="n">
        <v>89.26000000000001</v>
      </c>
      <c r="I386" s="8">
        <f>G386*H386</f>
        <v/>
      </c>
      <c r="J386" s="8">
        <f>H386/E386</f>
        <v/>
      </c>
      <c r="K386" s="8" t="n">
        <v>57.655</v>
      </c>
      <c r="L386" s="8" t="n">
        <v>57.655</v>
      </c>
      <c r="M386" s="8" t="n">
        <v>57.655</v>
      </c>
      <c r="N386" s="14">
        <f>J386/M386-1</f>
        <v/>
      </c>
      <c r="O386" s="14">
        <f>J386/K386-1</f>
        <v/>
      </c>
      <c r="P386" s="7" t="inlineStr">
        <is>
          <t>ACIMA +54.8%</t>
        </is>
      </c>
      <c r="Q386" s="7" t="inlineStr"/>
    </row>
    <row r="387">
      <c r="A387" s="7" t="n">
        <v>416901</v>
      </c>
      <c r="B387" s="7" t="inlineStr"/>
      <c r="C387" s="12" t="inlineStr">
        <is>
          <t>7896094206342</t>
        </is>
      </c>
      <c r="D387" s="7" t="inlineStr">
        <is>
          <t>NAPRIX 2,5MG BL AL AL CX 30 COMP</t>
        </is>
      </c>
      <c r="E387" s="13" t="n">
        <v>1</v>
      </c>
      <c r="F387" s="13" t="n">
        <v>1</v>
      </c>
      <c r="G387" s="13" t="n">
        <v>1</v>
      </c>
      <c r="H387" s="8" t="n">
        <v>65.21130000000001</v>
      </c>
      <c r="I387" s="8">
        <f>G387*H387</f>
        <v/>
      </c>
      <c r="J387" s="8">
        <f>H387/E387</f>
        <v/>
      </c>
      <c r="K387" s="8" t="n">
        <v>58.95</v>
      </c>
      <c r="L387" s="8" t="n">
        <v>58.95</v>
      </c>
      <c r="M387" s="8" t="n">
        <v>58.95000000000001</v>
      </c>
      <c r="N387" s="14">
        <f>J387/M387-1</f>
        <v/>
      </c>
      <c r="O387" s="14">
        <f>J387/K387-1</f>
        <v/>
      </c>
      <c r="P387" s="7" t="inlineStr">
        <is>
          <t>ACIMA +10.6%</t>
        </is>
      </c>
      <c r="Q387" s="7" t="inlineStr"/>
    </row>
    <row r="388">
      <c r="A388" s="7" t="n">
        <v>290881</v>
      </c>
      <c r="B388" s="7" t="inlineStr"/>
      <c r="C388" s="12" t="inlineStr">
        <is>
          <t>7896094203266</t>
        </is>
      </c>
      <c r="D388" s="7" t="inlineStr">
        <is>
          <t>NAPRIX D 12,5MG CX 30 CAP</t>
        </is>
      </c>
      <c r="E388" s="13" t="n">
        <v>1</v>
      </c>
      <c r="F388" s="13" t="n">
        <v>1</v>
      </c>
      <c r="G388" s="13" t="n">
        <v>1</v>
      </c>
      <c r="H388" s="8" t="n">
        <v>57.47940000000001</v>
      </c>
      <c r="I388" s="8">
        <f>G388*H388</f>
        <v/>
      </c>
      <c r="J388" s="8">
        <f>H388/E388</f>
        <v/>
      </c>
      <c r="K388" s="8" t="n">
        <v>55.03</v>
      </c>
      <c r="L388" s="8" t="n">
        <v>55.03</v>
      </c>
      <c r="M388" s="8" t="n">
        <v>55.03</v>
      </c>
      <c r="N388" s="14">
        <f>J388/M388-1</f>
        <v/>
      </c>
      <c r="O388" s="14">
        <f>J388/K388-1</f>
        <v/>
      </c>
      <c r="P388" s="7" t="inlineStr">
        <is>
          <t>ACIMA +4.5%</t>
        </is>
      </c>
      <c r="Q388" s="7" t="inlineStr"/>
    </row>
    <row r="389">
      <c r="A389" s="7" t="n">
        <v>237461</v>
      </c>
      <c r="B389" s="7" t="inlineStr"/>
      <c r="C389" s="12" t="inlineStr">
        <is>
          <t>7896094201460</t>
        </is>
      </c>
      <c r="D389" s="7" t="inlineStr">
        <is>
          <t>NATIFA 1MG CX 28 COMP REV</t>
        </is>
      </c>
      <c r="E389" s="13" t="n">
        <v>1</v>
      </c>
      <c r="F389" s="13" t="n">
        <v>3</v>
      </c>
      <c r="G389" s="13" t="n">
        <v>3</v>
      </c>
      <c r="H389" s="8" t="n">
        <v>57.2418</v>
      </c>
      <c r="I389" s="8">
        <f>G389*H389</f>
        <v/>
      </c>
      <c r="J389" s="8">
        <f>H389/E389</f>
        <v/>
      </c>
      <c r="K389" s="8" t="n">
        <v>58.3</v>
      </c>
      <c r="L389" s="8" t="n">
        <v>54.075</v>
      </c>
      <c r="M389" s="8" t="n">
        <v>56.15666666666667</v>
      </c>
      <c r="N389" s="14">
        <f>J389/M389-1</f>
        <v/>
      </c>
      <c r="O389" s="14">
        <f>J389/K389-1</f>
        <v/>
      </c>
      <c r="P389" s="7" t="inlineStr">
        <is>
          <t>OK (≤ últ. compra)</t>
        </is>
      </c>
      <c r="Q389" s="7" t="inlineStr"/>
    </row>
    <row r="390">
      <c r="A390" s="7" t="n">
        <v>644711</v>
      </c>
      <c r="B390" s="7" t="inlineStr"/>
      <c r="C390" s="12" t="inlineStr">
        <is>
          <t>7891010254025</t>
        </is>
      </c>
      <c r="D390" s="7" t="inlineStr">
        <is>
          <t>NEOS MINESOL COR/ROS FPS70 120ML</t>
        </is>
      </c>
      <c r="E390" s="13" t="n">
        <v>1</v>
      </c>
      <c r="F390" s="13" t="n">
        <v>1</v>
      </c>
      <c r="G390" s="13" t="n">
        <v>1</v>
      </c>
      <c r="H390" s="8" t="n">
        <v>127.48</v>
      </c>
      <c r="I390" s="8">
        <f>G390*H390</f>
        <v/>
      </c>
      <c r="J390" s="8">
        <f>H390/E390</f>
        <v/>
      </c>
      <c r="K390" s="8" t="n">
        <v>82.5275</v>
      </c>
      <c r="L390" s="8" t="n">
        <v>82.5275</v>
      </c>
      <c r="M390" s="8" t="n">
        <v>82.5275</v>
      </c>
      <c r="N390" s="14">
        <f>J390/M390-1</f>
        <v/>
      </c>
      <c r="O390" s="14">
        <f>J390/K390-1</f>
        <v/>
      </c>
      <c r="P390" s="7" t="inlineStr">
        <is>
          <t>ACIMA +54.5%</t>
        </is>
      </c>
      <c r="Q390" s="7" t="inlineStr"/>
    </row>
    <row r="391">
      <c r="A391" s="7" t="n">
        <v>669601</v>
      </c>
      <c r="B391" s="7" t="inlineStr"/>
      <c r="C391" s="12" t="inlineStr">
        <is>
          <t>7896046304126</t>
        </is>
      </c>
      <c r="D391" s="7" t="inlineStr">
        <is>
          <t>NEOVITE MAX 30CAP BLPA</t>
        </is>
      </c>
      <c r="E391" s="13" t="n">
        <v>1</v>
      </c>
      <c r="F391" s="13" t="n">
        <v>1</v>
      </c>
      <c r="G391" s="13" t="n">
        <v>1</v>
      </c>
      <c r="H391" s="8" t="n">
        <v>166.63</v>
      </c>
      <c r="I391" s="8">
        <f>G391*H391</f>
        <v/>
      </c>
      <c r="J391" s="8">
        <f>H391/E391</f>
        <v/>
      </c>
      <c r="K391" s="8" t="n">
        <v>81.84</v>
      </c>
      <c r="L391" s="8" t="n">
        <v>81.84</v>
      </c>
      <c r="M391" s="8" t="n">
        <v>81.84</v>
      </c>
      <c r="N391" s="14">
        <f>J391/M391-1</f>
        <v/>
      </c>
      <c r="O391" s="14">
        <f>J391/K391-1</f>
        <v/>
      </c>
      <c r="P391" s="7" t="inlineStr">
        <is>
          <t>ACIMA +103.6%</t>
        </is>
      </c>
      <c r="Q391" s="7" t="inlineStr">
        <is>
          <t>conferir emb.</t>
        </is>
      </c>
    </row>
    <row r="392">
      <c r="A392" s="7" t="n">
        <v>556401</v>
      </c>
      <c r="B392" s="7" t="inlineStr"/>
      <c r="C392" s="12" t="inlineStr">
        <is>
          <t>7896677704890</t>
        </is>
      </c>
      <c r="D392" s="7" t="inlineStr">
        <is>
          <t>NERVOCALM 250MG CX 20 COMP</t>
        </is>
      </c>
      <c r="E392" s="13" t="n">
        <v>1</v>
      </c>
      <c r="F392" s="13" t="n">
        <v>5</v>
      </c>
      <c r="G392" s="13" t="n">
        <v>5</v>
      </c>
      <c r="H392" s="8" t="n">
        <v>30.15</v>
      </c>
      <c r="I392" s="8">
        <f>G392*H392</f>
        <v/>
      </c>
      <c r="J392" s="8">
        <f>H392/E392</f>
        <v/>
      </c>
      <c r="K392" s="8" t="n">
        <v>31.33</v>
      </c>
      <c r="L392" s="8" t="n">
        <v>22.32</v>
      </c>
      <c r="M392" s="8" t="n">
        <v>28.32666666666666</v>
      </c>
      <c r="N392" s="14">
        <f>J392/M392-1</f>
        <v/>
      </c>
      <c r="O392" s="14">
        <f>J392/K392-1</f>
        <v/>
      </c>
      <c r="P392" s="7" t="inlineStr">
        <is>
          <t>OK (≤ últ. compra)</t>
        </is>
      </c>
      <c r="Q392" s="7" t="inlineStr"/>
    </row>
    <row r="393">
      <c r="A393" s="7" t="n">
        <v>567381</v>
      </c>
      <c r="B393" s="7" t="inlineStr"/>
      <c r="C393" s="12" t="inlineStr">
        <is>
          <t>7891000056523</t>
        </is>
      </c>
      <c r="D393" s="7" t="inlineStr">
        <is>
          <t>NESTOGENO 1 400G</t>
        </is>
      </c>
      <c r="E393" s="13" t="n">
        <v>1</v>
      </c>
      <c r="F393" s="13" t="n">
        <v>2</v>
      </c>
      <c r="G393" s="13" t="n">
        <v>2</v>
      </c>
      <c r="H393" s="8" t="n">
        <v>41.78</v>
      </c>
      <c r="I393" s="8">
        <f>G393*H393</f>
        <v/>
      </c>
      <c r="J393" s="8">
        <f>H393/E393</f>
        <v/>
      </c>
      <c r="K393" s="8" t="n">
        <v>34.68</v>
      </c>
      <c r="L393" s="8" t="n">
        <v>28.8158</v>
      </c>
      <c r="M393" s="8" t="n">
        <v>30.77053333333333</v>
      </c>
      <c r="N393" s="14">
        <f>J393/M393-1</f>
        <v/>
      </c>
      <c r="O393" s="14">
        <f>J393/K393-1</f>
        <v/>
      </c>
      <c r="P393" s="7" t="inlineStr">
        <is>
          <t>ACIMA +20.5%</t>
        </is>
      </c>
      <c r="Q393" s="7" t="inlineStr">
        <is>
          <t>estoque parcial (1 un)</t>
        </is>
      </c>
    </row>
    <row r="394">
      <c r="A394" s="7" t="n">
        <v>592121</v>
      </c>
      <c r="B394" s="7" t="inlineStr"/>
      <c r="C394" s="12" t="inlineStr">
        <is>
          <t>7891000062739</t>
        </is>
      </c>
      <c r="D394" s="7" t="inlineStr">
        <is>
          <t>NESTOGENO 1 FORMULA INFANTIL 800G</t>
        </is>
      </c>
      <c r="E394" s="13" t="n">
        <v>1</v>
      </c>
      <c r="F394" s="13" t="n">
        <v>1</v>
      </c>
      <c r="G394" s="13" t="n">
        <v>1</v>
      </c>
      <c r="H394" s="8" t="n">
        <v>67.52</v>
      </c>
      <c r="I394" s="8">
        <f>G394*H394</f>
        <v/>
      </c>
      <c r="J394" s="8">
        <f>H394/E394</f>
        <v/>
      </c>
      <c r="K394" s="8" t="n">
        <v>56.435</v>
      </c>
      <c r="L394" s="8" t="n">
        <v>49.5933</v>
      </c>
      <c r="M394" s="8" t="n">
        <v>52.6011</v>
      </c>
      <c r="N394" s="14">
        <f>J394/M394-1</f>
        <v/>
      </c>
      <c r="O394" s="14">
        <f>J394/K394-1</f>
        <v/>
      </c>
      <c r="P394" s="7" t="inlineStr">
        <is>
          <t>ACIMA +19.6%</t>
        </is>
      </c>
      <c r="Q394" s="7" t="inlineStr"/>
    </row>
    <row r="395">
      <c r="A395" s="7" t="n">
        <v>567401</v>
      </c>
      <c r="B395" s="7" t="inlineStr"/>
      <c r="C395" s="12" t="inlineStr">
        <is>
          <t>7891000056615</t>
        </is>
      </c>
      <c r="D395" s="7" t="inlineStr">
        <is>
          <t>NESTOGENO 2 400G</t>
        </is>
      </c>
      <c r="E395" s="13" t="n">
        <v>1</v>
      </c>
      <c r="F395" s="13" t="n">
        <v>5</v>
      </c>
      <c r="G395" s="13" t="n">
        <v>5</v>
      </c>
      <c r="H395" s="8" t="n">
        <v>41.78</v>
      </c>
      <c r="I395" s="8">
        <f>G395*H395</f>
        <v/>
      </c>
      <c r="J395" s="8">
        <f>H395/E395</f>
        <v/>
      </c>
      <c r="K395" s="8" t="n">
        <v>34.67</v>
      </c>
      <c r="L395" s="8" t="n">
        <v>28.66</v>
      </c>
      <c r="M395" s="8" t="n">
        <v>30.08916666666667</v>
      </c>
      <c r="N395" s="14">
        <f>J395/M395-1</f>
        <v/>
      </c>
      <c r="O395" s="14">
        <f>J395/K395-1</f>
        <v/>
      </c>
      <c r="P395" s="7" t="inlineStr">
        <is>
          <t>ACIMA +20.5%</t>
        </is>
      </c>
      <c r="Q395" s="7" t="inlineStr"/>
    </row>
    <row r="396">
      <c r="A396" s="7" t="n">
        <v>358321</v>
      </c>
      <c r="B396" s="7" t="inlineStr"/>
      <c r="C396" s="12" t="inlineStr">
        <is>
          <t>7894916500333</t>
        </is>
      </c>
      <c r="D396" s="7" t="inlineStr">
        <is>
          <t>NEUTROFER 300MG FR 30 COMP</t>
        </is>
      </c>
      <c r="E396" s="13" t="n">
        <v>1</v>
      </c>
      <c r="F396" s="13" t="n">
        <v>3</v>
      </c>
      <c r="G396" s="13" t="n">
        <v>3</v>
      </c>
      <c r="H396" s="8" t="n">
        <v>47.21925</v>
      </c>
      <c r="I396" s="8">
        <f>G396*H396</f>
        <v/>
      </c>
      <c r="J396" s="8">
        <f>H396/E396</f>
        <v/>
      </c>
      <c r="K396" s="8" t="n">
        <v>45.04</v>
      </c>
      <c r="L396" s="8" t="n">
        <v>44.905</v>
      </c>
      <c r="M396" s="8" t="n">
        <v>44.995</v>
      </c>
      <c r="N396" s="14">
        <f>J396/M396-1</f>
        <v/>
      </c>
      <c r="O396" s="14">
        <f>J396/K396-1</f>
        <v/>
      </c>
      <c r="P396" s="7" t="inlineStr">
        <is>
          <t>ACIMA +4.8%</t>
        </is>
      </c>
      <c r="Q396" s="7" t="inlineStr"/>
    </row>
    <row r="397">
      <c r="A397" s="7" t="n">
        <v>443</v>
      </c>
      <c r="B397" s="7" t="inlineStr"/>
      <c r="C397" s="12" t="inlineStr">
        <is>
          <t>7891010704490</t>
        </is>
      </c>
      <c r="D397" s="7" t="inlineStr">
        <is>
          <t>NEUTROG D CLEAN ESF ENER 100G</t>
        </is>
      </c>
      <c r="E397" s="13" t="n">
        <v>1</v>
      </c>
      <c r="F397" s="13" t="n">
        <v>1</v>
      </c>
      <c r="G397" s="13" t="n">
        <v>1</v>
      </c>
      <c r="H397" s="8" t="n">
        <v>33.46</v>
      </c>
      <c r="I397" s="8">
        <f>G397*H397</f>
        <v/>
      </c>
      <c r="J397" s="8">
        <f>H397/E397</f>
        <v/>
      </c>
      <c r="K397" s="8" t="n">
        <v>33.105</v>
      </c>
      <c r="L397" s="8" t="n">
        <v>33.105</v>
      </c>
      <c r="M397" s="8" t="n">
        <v>33.105</v>
      </c>
      <c r="N397" s="14">
        <f>J397/M397-1</f>
        <v/>
      </c>
      <c r="O397" s="14">
        <f>J397/K397-1</f>
        <v/>
      </c>
      <c r="P397" s="7" t="inlineStr">
        <is>
          <t>ACIMA +1.1%</t>
        </is>
      </c>
      <c r="Q397" s="7" t="inlineStr"/>
    </row>
    <row r="398">
      <c r="A398" s="7" t="n">
        <v>666971</v>
      </c>
      <c r="B398" s="7" t="inlineStr"/>
      <c r="C398" s="12" t="inlineStr">
        <is>
          <t>7908785482697</t>
        </is>
      </c>
      <c r="D398" s="7" t="inlineStr">
        <is>
          <t>NIELY GOLD - SILIC CONC 42ML RECONSTRUC</t>
        </is>
      </c>
      <c r="E398" s="13" t="n">
        <v>1</v>
      </c>
      <c r="F398" s="13" t="n">
        <v>1</v>
      </c>
      <c r="G398" s="13" t="n">
        <v>1</v>
      </c>
      <c r="H398" s="8" t="n">
        <v>19.1</v>
      </c>
      <c r="I398" s="8">
        <f>G398*H398</f>
        <v/>
      </c>
      <c r="J398" s="8">
        <f>H398/E398</f>
        <v/>
      </c>
      <c r="K398" s="8" t="n">
        <v>14.5</v>
      </c>
      <c r="L398" s="8" t="n">
        <v>14.5</v>
      </c>
      <c r="M398" s="8" t="n">
        <v>14.5</v>
      </c>
      <c r="N398" s="14">
        <f>J398/M398-1</f>
        <v/>
      </c>
      <c r="O398" s="14">
        <f>J398/K398-1</f>
        <v/>
      </c>
      <c r="P398" s="7" t="inlineStr">
        <is>
          <t>ACIMA +31.7%</t>
        </is>
      </c>
      <c r="Q398" s="7" t="inlineStr"/>
    </row>
    <row r="399">
      <c r="A399" s="7" t="n">
        <v>361981</v>
      </c>
      <c r="B399" s="7" t="inlineStr"/>
      <c r="C399" s="12" t="inlineStr">
        <is>
          <t>7896523211268</t>
        </is>
      </c>
      <c r="D399" s="7" t="inlineStr">
        <is>
          <t>NIMESULIDA 50MG/ML SUS OR FR GOTS 15ML</t>
        </is>
      </c>
      <c r="E399" s="13" t="n">
        <v>1</v>
      </c>
      <c r="F399" s="13" t="n">
        <v>7</v>
      </c>
      <c r="G399" s="13" t="n">
        <v>7</v>
      </c>
      <c r="H399" s="8" t="n">
        <v>23.79</v>
      </c>
      <c r="I399" s="8">
        <f>G399*H399</f>
        <v/>
      </c>
      <c r="J399" s="8">
        <f>H399/E399</f>
        <v/>
      </c>
      <c r="K399" s="8" t="n">
        <v>2.19</v>
      </c>
      <c r="L399" s="8" t="n">
        <v>2.09</v>
      </c>
      <c r="M399" s="8" t="n">
        <v>2.116666666666667</v>
      </c>
      <c r="N399" s="14">
        <f>J399/M399-1</f>
        <v/>
      </c>
      <c r="O399" s="14">
        <f>J399/K399-1</f>
        <v/>
      </c>
      <c r="P399" s="7" t="inlineStr">
        <is>
          <t>ACIMA +986.3%</t>
        </is>
      </c>
      <c r="Q399" s="7" t="inlineStr">
        <is>
          <t>conferir emb.</t>
        </is>
      </c>
    </row>
    <row r="400">
      <c r="A400" s="7" t="n">
        <v>577281</v>
      </c>
      <c r="B400" s="7" t="inlineStr"/>
      <c r="C400" s="12" t="inlineStr">
        <is>
          <t>7891000062661</t>
        </is>
      </c>
      <c r="D400" s="7" t="inlineStr">
        <is>
          <t>NINHO 1 PREBIO FASES LATA 800G</t>
        </is>
      </c>
      <c r="E400" s="13" t="n">
        <v>1</v>
      </c>
      <c r="F400" s="13" t="n">
        <v>1</v>
      </c>
      <c r="G400" s="13" t="n">
        <v>1</v>
      </c>
      <c r="H400" s="8" t="n">
        <v>56.48</v>
      </c>
      <c r="I400" s="8">
        <f>G400*H400</f>
        <v/>
      </c>
      <c r="J400" s="8">
        <f>H400/E400</f>
        <v/>
      </c>
      <c r="K400" s="8" t="n">
        <v>45.0808</v>
      </c>
      <c r="L400" s="8" t="n">
        <v>40.55</v>
      </c>
      <c r="M400" s="8" t="n">
        <v>43.57053333333334</v>
      </c>
      <c r="N400" s="14">
        <f>J400/M400-1</f>
        <v/>
      </c>
      <c r="O400" s="14">
        <f>J400/K400-1</f>
        <v/>
      </c>
      <c r="P400" s="7" t="inlineStr">
        <is>
          <t>ACIMA +25.3%</t>
        </is>
      </c>
      <c r="Q400" s="7" t="inlineStr"/>
    </row>
    <row r="401">
      <c r="A401" s="7" t="n">
        <v>637571</v>
      </c>
      <c r="B401" s="7" t="inlineStr"/>
      <c r="C401" s="12" t="inlineStr">
        <is>
          <t>7891000340981</t>
        </is>
      </c>
      <c r="D401" s="7" t="inlineStr">
        <is>
          <t>NINHO 380G 10% GRATIS LEITE EM PÓ INTEGRAL NESTLE</t>
        </is>
      </c>
      <c r="E401" s="13" t="n">
        <v>1</v>
      </c>
      <c r="F401" s="13" t="n">
        <v>114</v>
      </c>
      <c r="G401" s="13" t="n">
        <v>114</v>
      </c>
      <c r="H401" s="8" t="n">
        <v>20.89</v>
      </c>
      <c r="I401" s="8">
        <f>G401*H401</f>
        <v/>
      </c>
      <c r="J401" s="8">
        <f>H401/E401</f>
        <v/>
      </c>
      <c r="K401" s="8" t="n">
        <v>16.99</v>
      </c>
      <c r="L401" s="8" t="n">
        <v>16.99</v>
      </c>
      <c r="M401" s="8" t="n">
        <v>16.99</v>
      </c>
      <c r="N401" s="14">
        <f>J401/M401-1</f>
        <v/>
      </c>
      <c r="O401" s="14">
        <f>J401/K401-1</f>
        <v/>
      </c>
      <c r="P401" s="7" t="inlineStr">
        <is>
          <t>ACIMA +23.0%</t>
        </is>
      </c>
      <c r="Q401" s="7" t="inlineStr"/>
    </row>
    <row r="402">
      <c r="A402" s="7" t="n">
        <v>580781</v>
      </c>
      <c r="B402" s="7" t="inlineStr"/>
      <c r="C402" s="12" t="inlineStr">
        <is>
          <t>7891000325858</t>
        </is>
      </c>
      <c r="D402" s="7" t="inlineStr">
        <is>
          <t>NINHO 380G LEITE EM PÓ INTEGRAL NESTLE</t>
        </is>
      </c>
      <c r="E402" s="13" t="n">
        <v>1</v>
      </c>
      <c r="F402" s="13" t="n">
        <v>58</v>
      </c>
      <c r="G402" s="13" t="n">
        <v>58</v>
      </c>
      <c r="H402" s="8" t="n">
        <v>26.65</v>
      </c>
      <c r="I402" s="8">
        <f>G402*H402</f>
        <v/>
      </c>
      <c r="J402" s="8">
        <f>H402/E402</f>
        <v/>
      </c>
      <c r="K402" s="8" t="n">
        <v>16.79</v>
      </c>
      <c r="L402" s="8" t="n">
        <v>16.79</v>
      </c>
      <c r="M402" s="8" t="n">
        <v>16.79</v>
      </c>
      <c r="N402" s="14">
        <f>J402/M402-1</f>
        <v/>
      </c>
      <c r="O402" s="14">
        <f>J402/K402-1</f>
        <v/>
      </c>
      <c r="P402" s="7" t="inlineStr">
        <is>
          <t>ACIMA +58.7%</t>
        </is>
      </c>
      <c r="Q402" s="7" t="inlineStr"/>
    </row>
    <row r="403">
      <c r="A403" s="7" t="n">
        <v>642291</v>
      </c>
      <c r="B403" s="7" t="inlineStr"/>
      <c r="C403" s="12" t="inlineStr">
        <is>
          <t>7891000397077</t>
        </is>
      </c>
      <c r="D403" s="7" t="inlineStr">
        <is>
          <t>NINHO ADULTO LEITE EM PO 350G BR</t>
        </is>
      </c>
      <c r="E403" s="13" t="n">
        <v>1</v>
      </c>
      <c r="F403" s="13" t="n">
        <v>23</v>
      </c>
      <c r="G403" s="13" t="n">
        <v>23</v>
      </c>
      <c r="H403" s="8" t="n">
        <v>23.13</v>
      </c>
      <c r="I403" s="8">
        <f>G403*H403</f>
        <v/>
      </c>
      <c r="J403" s="8">
        <f>H403/E403</f>
        <v/>
      </c>
      <c r="K403" s="8" t="n">
        <v>21.84</v>
      </c>
      <c r="L403" s="8" t="n">
        <v>21.84</v>
      </c>
      <c r="M403" s="8" t="n">
        <v>21.84</v>
      </c>
      <c r="N403" s="14">
        <f>J403/M403-1</f>
        <v/>
      </c>
      <c r="O403" s="14">
        <f>J403/K403-1</f>
        <v/>
      </c>
      <c r="P403" s="7" t="inlineStr">
        <is>
          <t>ACIMA +5.9%</t>
        </is>
      </c>
      <c r="Q403" s="7" t="inlineStr"/>
    </row>
    <row r="404">
      <c r="A404" s="7" t="n">
        <v>362441</v>
      </c>
      <c r="B404" s="7" t="inlineStr"/>
      <c r="C404" s="12" t="inlineStr">
        <is>
          <t>7896422504577</t>
        </is>
      </c>
      <c r="D404" s="7" t="inlineStr">
        <is>
          <t>NISTATINA 25.000UI/G CREM VAG BG+14 APLIC</t>
        </is>
      </c>
      <c r="E404" s="13" t="n">
        <v>1</v>
      </c>
      <c r="F404" s="13" t="n">
        <v>9</v>
      </c>
      <c r="G404" s="13" t="n">
        <v>9</v>
      </c>
      <c r="H404" s="8" t="n">
        <v>12.27216</v>
      </c>
      <c r="I404" s="8">
        <f>G404*H404</f>
        <v/>
      </c>
      <c r="J404" s="8">
        <f>H404/E404</f>
        <v/>
      </c>
      <c r="K404" s="8" t="n">
        <v>9.878</v>
      </c>
      <c r="L404" s="8" t="n">
        <v>8.788</v>
      </c>
      <c r="M404" s="8" t="n">
        <v>9.514666666666667</v>
      </c>
      <c r="N404" s="14">
        <f>J404/M404-1</f>
        <v/>
      </c>
      <c r="O404" s="14">
        <f>J404/K404-1</f>
        <v/>
      </c>
      <c r="P404" s="7" t="inlineStr">
        <is>
          <t>ACIMA +24.2%</t>
        </is>
      </c>
      <c r="Q404" s="7" t="inlineStr"/>
    </row>
    <row r="405">
      <c r="A405" s="7" t="n">
        <v>652331</v>
      </c>
      <c r="B405" s="7" t="inlineStr"/>
      <c r="C405" s="12" t="inlineStr">
        <is>
          <t>7896026160018</t>
        </is>
      </c>
      <c r="D405" s="7" t="inlineStr">
        <is>
          <t>NOPLAK SOL 250ML</t>
        </is>
      </c>
      <c r="E405" s="13" t="n">
        <v>1</v>
      </c>
      <c r="F405" s="13" t="n">
        <v>1</v>
      </c>
      <c r="G405" s="13" t="n">
        <v>1</v>
      </c>
      <c r="H405" s="8" t="n">
        <v>21.6601</v>
      </c>
      <c r="I405" s="8">
        <f>G405*H405</f>
        <v/>
      </c>
      <c r="J405" s="8">
        <f>H405/E405</f>
        <v/>
      </c>
      <c r="K405" s="8" t="n">
        <v>16.94</v>
      </c>
      <c r="L405" s="8" t="n">
        <v>10.385</v>
      </c>
      <c r="M405" s="8" t="n">
        <v>12.04166666666667</v>
      </c>
      <c r="N405" s="14">
        <f>J405/M405-1</f>
        <v/>
      </c>
      <c r="O405" s="14">
        <f>J405/K405-1</f>
        <v/>
      </c>
      <c r="P405" s="7" t="inlineStr">
        <is>
          <t>ACIMA +27.9%</t>
        </is>
      </c>
      <c r="Q405" s="7" t="inlineStr"/>
    </row>
    <row r="406">
      <c r="A406" s="7" t="n">
        <v>601521</v>
      </c>
      <c r="B406" s="7" t="inlineStr"/>
      <c r="C406" s="12" t="inlineStr">
        <is>
          <t>7898581710615</t>
        </is>
      </c>
      <c r="D406" s="7" t="inlineStr">
        <is>
          <t>NORIPURUM ENDOV INJ 5 AMP X 5ML</t>
        </is>
      </c>
      <c r="E406" s="13" t="n">
        <v>1</v>
      </c>
      <c r="F406" s="13" t="n">
        <v>3</v>
      </c>
      <c r="G406" s="13" t="n">
        <v>3</v>
      </c>
      <c r="H406" s="8" t="n">
        <v>74.59</v>
      </c>
      <c r="I406" s="8">
        <f>G406*H406</f>
        <v/>
      </c>
      <c r="J406" s="8">
        <f>H406/E406</f>
        <v/>
      </c>
      <c r="K406" s="8" t="n">
        <v>70.11</v>
      </c>
      <c r="L406" s="8" t="n">
        <v>68.31</v>
      </c>
      <c r="M406" s="8" t="n">
        <v>69.51000000000001</v>
      </c>
      <c r="N406" s="14">
        <f>J406/M406-1</f>
        <v/>
      </c>
      <c r="O406" s="14">
        <f>J406/K406-1</f>
        <v/>
      </c>
      <c r="P406" s="7" t="inlineStr">
        <is>
          <t>ACIMA +6.4%</t>
        </is>
      </c>
      <c r="Q406" s="7" t="inlineStr"/>
    </row>
    <row r="407">
      <c r="A407" s="7" t="n">
        <v>669611</v>
      </c>
      <c r="B407" s="7" t="inlineStr"/>
      <c r="C407" s="12" t="inlineStr">
        <is>
          <t>7891000417584</t>
        </is>
      </c>
      <c r="D407" s="7" t="inlineStr">
        <is>
          <t>NUTREN MULTI A-Z 30CAPS SOFTGEL</t>
        </is>
      </c>
      <c r="E407" s="13" t="n">
        <v>1</v>
      </c>
      <c r="F407" s="13" t="n">
        <v>1</v>
      </c>
      <c r="G407" s="13" t="n">
        <v>1</v>
      </c>
      <c r="H407" s="8" t="n">
        <v>30.38</v>
      </c>
      <c r="I407" s="8">
        <f>G407*H407</f>
        <v/>
      </c>
      <c r="J407" s="8">
        <f>H407/E407</f>
        <v/>
      </c>
      <c r="K407" s="8" t="n">
        <v>27.21</v>
      </c>
      <c r="L407" s="8" t="n">
        <v>16.6</v>
      </c>
      <c r="M407" s="8" t="n">
        <v>16.6</v>
      </c>
      <c r="N407" s="14">
        <f>J407/M407-1</f>
        <v/>
      </c>
      <c r="O407" s="14">
        <f>J407/K407-1</f>
        <v/>
      </c>
      <c r="P407" s="7" t="inlineStr">
        <is>
          <t>ACIMA +11.7%</t>
        </is>
      </c>
      <c r="Q407" s="7" t="inlineStr"/>
    </row>
    <row r="408">
      <c r="A408" s="7" t="n">
        <v>597291</v>
      </c>
      <c r="B408" s="7" t="inlineStr"/>
      <c r="C408" s="12" t="inlineStr">
        <is>
          <t>7891000096482</t>
        </is>
      </c>
      <c r="D408" s="7" t="inlineStr">
        <is>
          <t>NUTREN SENIOR PO 370G BR</t>
        </is>
      </c>
      <c r="E408" s="13" t="n">
        <v>1</v>
      </c>
      <c r="F408" s="13" t="n">
        <v>1</v>
      </c>
      <c r="G408" s="13" t="n">
        <v>1</v>
      </c>
      <c r="H408" s="8" t="n">
        <v>102.41</v>
      </c>
      <c r="I408" s="8">
        <f>G408*H408</f>
        <v/>
      </c>
      <c r="J408" s="8">
        <f>H408/E408</f>
        <v/>
      </c>
      <c r="K408" s="8" t="n">
        <v>77.842</v>
      </c>
      <c r="L408" s="8" t="n">
        <v>77.842</v>
      </c>
      <c r="M408" s="8" t="n">
        <v>77.842</v>
      </c>
      <c r="N408" s="14">
        <f>J408/M408-1</f>
        <v/>
      </c>
      <c r="O408" s="14">
        <f>J408/K408-1</f>
        <v/>
      </c>
      <c r="P408" s="7" t="inlineStr">
        <is>
          <t>ACIMA +31.6%</t>
        </is>
      </c>
      <c r="Q408" s="7" t="inlineStr"/>
    </row>
    <row r="409">
      <c r="A409" s="7" t="n">
        <v>606041</v>
      </c>
      <c r="B409" s="7" t="inlineStr"/>
      <c r="C409" s="12" t="inlineStr">
        <is>
          <t>7891000103487</t>
        </is>
      </c>
      <c r="D409" s="7" t="inlineStr">
        <is>
          <t>NUTREN SENIOR PO 740 G</t>
        </is>
      </c>
      <c r="E409" s="13" t="n">
        <v>1</v>
      </c>
      <c r="F409" s="13" t="n">
        <v>1</v>
      </c>
      <c r="G409" s="13" t="n">
        <v>1</v>
      </c>
      <c r="H409" s="8" t="n">
        <v>177.95</v>
      </c>
      <c r="I409" s="8">
        <f>G409*H409</f>
        <v/>
      </c>
      <c r="J409" s="8">
        <f>H409/E409</f>
        <v/>
      </c>
      <c r="K409" s="8" t="n">
        <v>74.3008</v>
      </c>
      <c r="L409" s="8" t="n">
        <v>74.3008</v>
      </c>
      <c r="M409" s="8" t="n">
        <v>74.3008</v>
      </c>
      <c r="N409" s="14">
        <f>J409/M409-1</f>
        <v/>
      </c>
      <c r="O409" s="14">
        <f>J409/K409-1</f>
        <v/>
      </c>
      <c r="P409" s="7" t="inlineStr">
        <is>
          <t>ACIMA +139.5%</t>
        </is>
      </c>
      <c r="Q409" s="7" t="inlineStr">
        <is>
          <t>conferir emb.</t>
        </is>
      </c>
    </row>
    <row r="410">
      <c r="A410" s="7" t="n">
        <v>564341</v>
      </c>
      <c r="B410" s="7" t="inlineStr"/>
      <c r="C410" s="12" t="inlineStr">
        <is>
          <t>7899026478909</t>
        </is>
      </c>
      <c r="D410" s="7" t="inlineStr">
        <is>
          <t>OLEO ELSEVE EXTRAORDINAR 100ML</t>
        </is>
      </c>
      <c r="E410" s="13" t="n">
        <v>1</v>
      </c>
      <c r="F410" s="13" t="n">
        <v>14</v>
      </c>
      <c r="G410" s="13" t="n">
        <v>14</v>
      </c>
      <c r="H410" s="8" t="n">
        <v>35.03</v>
      </c>
      <c r="I410" s="8">
        <f>G410*H410</f>
        <v/>
      </c>
      <c r="J410" s="8">
        <f>H410/E410</f>
        <v/>
      </c>
      <c r="K410" s="8" t="n">
        <v>33.88</v>
      </c>
      <c r="L410" s="8" t="n">
        <v>33.88</v>
      </c>
      <c r="M410" s="8" t="n">
        <v>33.88</v>
      </c>
      <c r="N410" s="14">
        <f>J410/M410-1</f>
        <v/>
      </c>
      <c r="O410" s="14">
        <f>J410/K410-1</f>
        <v/>
      </c>
      <c r="P410" s="7" t="inlineStr">
        <is>
          <t>ACIMA +3.4%</t>
        </is>
      </c>
      <c r="Q410" s="7" t="inlineStr"/>
    </row>
    <row r="411">
      <c r="A411" s="7" t="n">
        <v>563181</v>
      </c>
      <c r="B411" s="7" t="inlineStr"/>
      <c r="C411" s="12" t="inlineStr">
        <is>
          <t>7896523224435</t>
        </is>
      </c>
      <c r="D411" s="7" t="inlineStr">
        <is>
          <t>OLEO MINERAL FR 100 ML</t>
        </is>
      </c>
      <c r="E411" s="13" t="n">
        <v>1</v>
      </c>
      <c r="F411" s="13" t="n">
        <v>7</v>
      </c>
      <c r="G411" s="13" t="n">
        <v>7</v>
      </c>
      <c r="H411" s="8" t="n">
        <v>7.2</v>
      </c>
      <c r="I411" s="8">
        <f>G411*H411</f>
        <v/>
      </c>
      <c r="J411" s="8">
        <f>H411/E411</f>
        <v/>
      </c>
      <c r="K411" s="8" t="n">
        <v>6.99</v>
      </c>
      <c r="L411" s="8" t="n">
        <v>6.99</v>
      </c>
      <c r="M411" s="8" t="n">
        <v>6.989999999999999</v>
      </c>
      <c r="N411" s="14">
        <f>J411/M411-1</f>
        <v/>
      </c>
      <c r="O411" s="14">
        <f>J411/K411-1</f>
        <v/>
      </c>
      <c r="P411" s="7" t="inlineStr">
        <is>
          <t>ACIMA +3.0%</t>
        </is>
      </c>
      <c r="Q411" s="7" t="inlineStr"/>
    </row>
    <row r="412">
      <c r="A412" s="7" t="n">
        <v>668581</v>
      </c>
      <c r="B412" s="7" t="inlineStr"/>
      <c r="C412" s="12" t="inlineStr">
        <is>
          <t>7896000722553</t>
        </is>
      </c>
      <c r="D412" s="7" t="inlineStr">
        <is>
          <t>OLEO NIELY G SILICONE NUTRI 42ML-DEMAIS PROD</t>
        </is>
      </c>
      <c r="E412" s="13" t="n">
        <v>1</v>
      </c>
      <c r="F412" s="13" t="n">
        <v>1</v>
      </c>
      <c r="G412" s="13" t="n">
        <v>1</v>
      </c>
      <c r="H412" s="8" t="n">
        <v>19.1</v>
      </c>
      <c r="I412" s="8">
        <f>G412*H412</f>
        <v/>
      </c>
      <c r="J412" s="8">
        <f>H412/E412</f>
        <v/>
      </c>
      <c r="K412" s="8" t="n">
        <v>18.66</v>
      </c>
      <c r="L412" s="8" t="n">
        <v>17.26</v>
      </c>
      <c r="M412" s="8" t="n">
        <v>18.19333333333333</v>
      </c>
      <c r="N412" s="14">
        <f>J412/M412-1</f>
        <v/>
      </c>
      <c r="O412" s="14">
        <f>J412/K412-1</f>
        <v/>
      </c>
      <c r="P412" s="7" t="inlineStr">
        <is>
          <t>ACIMA +2.4%</t>
        </is>
      </c>
      <c r="Q412" s="7" t="inlineStr"/>
    </row>
    <row r="413">
      <c r="A413" s="7" t="n">
        <v>636361</v>
      </c>
      <c r="B413" s="7" t="inlineStr"/>
      <c r="C413" s="12" t="inlineStr">
        <is>
          <t>7891058003159</t>
        </is>
      </c>
      <c r="D413" s="7" t="inlineStr">
        <is>
          <t>OLMESARTANA MEDOXOMILA 20MG CX 30 COMP REV</t>
        </is>
      </c>
      <c r="E413" s="13" t="n">
        <v>1</v>
      </c>
      <c r="F413" s="13" t="n">
        <v>4</v>
      </c>
      <c r="G413" s="13" t="n">
        <v>4</v>
      </c>
      <c r="H413" s="8" t="n">
        <v>27.2025</v>
      </c>
      <c r="I413" s="8">
        <f>G413*H413</f>
        <v/>
      </c>
      <c r="J413" s="8">
        <f>H413/E413</f>
        <v/>
      </c>
      <c r="K413" s="8" t="n">
        <v>15.655</v>
      </c>
      <c r="L413" s="8" t="n">
        <v>14.2667</v>
      </c>
      <c r="M413" s="8" t="n">
        <v>15.19223333333333</v>
      </c>
      <c r="N413" s="14">
        <f>J413/M413-1</f>
        <v/>
      </c>
      <c r="O413" s="14">
        <f>J413/K413-1</f>
        <v/>
      </c>
      <c r="P413" s="7" t="inlineStr">
        <is>
          <t>ACIMA +73.8%</t>
        </is>
      </c>
      <c r="Q413" s="7" t="inlineStr"/>
    </row>
    <row r="414">
      <c r="A414" s="7" t="n">
        <v>378101</v>
      </c>
      <c r="B414" s="7" t="inlineStr"/>
      <c r="C414" s="12" t="inlineStr">
        <is>
          <t>7896523227184</t>
        </is>
      </c>
      <c r="D414" s="7" t="inlineStr">
        <is>
          <t>OMEPRAZOL 20MG CX 28 CAP LIB RETARD</t>
        </is>
      </c>
      <c r="E414" s="13" t="n">
        <v>1</v>
      </c>
      <c r="F414" s="13" t="n">
        <v>14</v>
      </c>
      <c r="G414" s="13" t="n">
        <v>14</v>
      </c>
      <c r="H414" s="8" t="n">
        <v>23.13</v>
      </c>
      <c r="I414" s="8">
        <f>G414*H414</f>
        <v/>
      </c>
      <c r="J414" s="8">
        <f>H414/E414</f>
        <v/>
      </c>
      <c r="K414" s="8" t="n">
        <v>2.79</v>
      </c>
      <c r="L414" s="8" t="n">
        <v>2.65</v>
      </c>
      <c r="M414" s="8" t="n">
        <v>2.686666666666667</v>
      </c>
      <c r="N414" s="14">
        <f>J414/M414-1</f>
        <v/>
      </c>
      <c r="O414" s="14">
        <f>J414/K414-1</f>
        <v/>
      </c>
      <c r="P414" s="7" t="inlineStr">
        <is>
          <t>ACIMA +729.0%</t>
        </is>
      </c>
      <c r="Q414" s="7" t="inlineStr">
        <is>
          <t>conferir emb.</t>
        </is>
      </c>
    </row>
    <row r="415">
      <c r="A415" s="7" t="n">
        <v>378121</v>
      </c>
      <c r="B415" s="7" t="inlineStr"/>
      <c r="C415" s="12" t="inlineStr">
        <is>
          <t>7896523227191</t>
        </is>
      </c>
      <c r="D415" s="7" t="inlineStr">
        <is>
          <t>OMEPRAZOL 20MG CX 56 CAP LIB RETARD</t>
        </is>
      </c>
      <c r="E415" s="13" t="n">
        <v>1</v>
      </c>
      <c r="F415" s="13" t="n">
        <v>8</v>
      </c>
      <c r="G415" s="13" t="n">
        <v>8</v>
      </c>
      <c r="H415" s="8" t="n">
        <v>21.22</v>
      </c>
      <c r="I415" s="8">
        <f>G415*H415</f>
        <v/>
      </c>
      <c r="J415" s="8">
        <f>H415/E415</f>
        <v/>
      </c>
      <c r="K415" s="8" t="n">
        <v>4.95</v>
      </c>
      <c r="L415" s="8" t="n">
        <v>3.94</v>
      </c>
      <c r="M415" s="8" t="n">
        <v>4.276666666666666</v>
      </c>
      <c r="N415" s="14">
        <f>J415/M415-1</f>
        <v/>
      </c>
      <c r="O415" s="14">
        <f>J415/K415-1</f>
        <v/>
      </c>
      <c r="P415" s="7" t="inlineStr">
        <is>
          <t>ACIMA +328.7%</t>
        </is>
      </c>
      <c r="Q415" s="7" t="inlineStr">
        <is>
          <t>conferir emb.</t>
        </is>
      </c>
    </row>
    <row r="416">
      <c r="A416" s="7" t="n">
        <v>609511</v>
      </c>
      <c r="B416" s="7" t="inlineStr"/>
      <c r="C416" s="12" t="inlineStr">
        <is>
          <t>7897316806388</t>
        </is>
      </c>
      <c r="D416" s="7" t="inlineStr">
        <is>
          <t>OPTIVE FR 15ML</t>
        </is>
      </c>
      <c r="E416" s="13" t="n">
        <v>1</v>
      </c>
      <c r="F416" s="13" t="n">
        <v>1</v>
      </c>
      <c r="G416" s="13" t="n">
        <v>1</v>
      </c>
      <c r="H416" s="8" t="n">
        <v>65.136</v>
      </c>
      <c r="I416" s="8">
        <f>G416*H416</f>
        <v/>
      </c>
      <c r="J416" s="8">
        <f>H416/E416</f>
        <v/>
      </c>
      <c r="K416" s="8" t="n">
        <v>81.22</v>
      </c>
      <c r="L416" s="8" t="n">
        <v>73.28</v>
      </c>
      <c r="M416" s="8" t="n">
        <v>78.57333333333334</v>
      </c>
      <c r="N416" s="14">
        <f>J416/M416-1</f>
        <v/>
      </c>
      <c r="O416" s="14">
        <f>J416/K416-1</f>
        <v/>
      </c>
      <c r="P416" s="7" t="inlineStr">
        <is>
          <t>OK (≤ menor hist.)</t>
        </is>
      </c>
      <c r="Q416" s="7" t="inlineStr"/>
    </row>
    <row r="417">
      <c r="A417" s="7" t="n">
        <v>666771</v>
      </c>
      <c r="B417" s="7" t="inlineStr"/>
      <c r="C417" s="12" t="inlineStr">
        <is>
          <t>7891058002428</t>
        </is>
      </c>
      <c r="D417" s="7" t="inlineStr">
        <is>
          <t>OXALATO DE ESCITALOPRAM 10MG CX 60 COMP REV</t>
        </is>
      </c>
      <c r="E417" s="13" t="n">
        <v>1</v>
      </c>
      <c r="F417" s="13" t="n">
        <v>1</v>
      </c>
      <c r="G417" s="13" t="n">
        <v>1</v>
      </c>
      <c r="H417" s="8" t="n">
        <v>44.380476</v>
      </c>
      <c r="I417" s="8">
        <f>G417*H417</f>
        <v/>
      </c>
      <c r="J417" s="8">
        <f>H417/E417</f>
        <v/>
      </c>
      <c r="K417" s="8" t="n">
        <v>16.19</v>
      </c>
      <c r="L417" s="8" t="n">
        <v>11.4133</v>
      </c>
      <c r="M417" s="8" t="n">
        <v>14.59776666666667</v>
      </c>
      <c r="N417" s="14">
        <f>J417/M417-1</f>
        <v/>
      </c>
      <c r="O417" s="14">
        <f>J417/K417-1</f>
        <v/>
      </c>
      <c r="P417" s="7" t="inlineStr">
        <is>
          <t>ACIMA +174.1%</t>
        </is>
      </c>
      <c r="Q417" s="7" t="inlineStr">
        <is>
          <t>conferir emb.</t>
        </is>
      </c>
    </row>
    <row r="418">
      <c r="A418" s="7" t="n">
        <v>670391</v>
      </c>
      <c r="B418" s="7" t="inlineStr"/>
      <c r="C418" s="12" t="inlineStr">
        <is>
          <t>7891058005979</t>
        </is>
      </c>
      <c r="D418" s="7" t="inlineStr">
        <is>
          <t>PANTOPRAZOL 40MG 28CPR LIB RET</t>
        </is>
      </c>
      <c r="E418" s="13" t="n">
        <v>1</v>
      </c>
      <c r="F418" s="13" t="n">
        <v>15</v>
      </c>
      <c r="G418" s="13" t="n">
        <v>15</v>
      </c>
      <c r="H418" s="8" t="n">
        <v>16.54848</v>
      </c>
      <c r="I418" s="8">
        <f>G418*H418</f>
        <v/>
      </c>
      <c r="J418" s="8">
        <f>H418/E418</f>
        <v/>
      </c>
      <c r="K418" s="8" t="n">
        <v>6.23</v>
      </c>
      <c r="L418" s="8" t="n">
        <v>6.23</v>
      </c>
      <c r="M418" s="8" t="n">
        <v>6.23</v>
      </c>
      <c r="N418" s="14">
        <f>J418/M418-1</f>
        <v/>
      </c>
      <c r="O418" s="14">
        <f>J418/K418-1</f>
        <v/>
      </c>
      <c r="P418" s="7" t="inlineStr">
        <is>
          <t>ACIMA +165.6%</t>
        </is>
      </c>
      <c r="Q418" s="7" t="inlineStr">
        <is>
          <t>estoque parcial (2 un); conferir emb.</t>
        </is>
      </c>
    </row>
    <row r="419">
      <c r="A419" s="7" t="n">
        <v>664791</v>
      </c>
      <c r="B419" s="7" t="inlineStr"/>
      <c r="C419" s="12" t="inlineStr">
        <is>
          <t>7896523201726</t>
        </is>
      </c>
      <c r="D419" s="7" t="inlineStr">
        <is>
          <t>PARACETAMOL 750 MG CX 20CP</t>
        </is>
      </c>
      <c r="E419" s="13" t="n">
        <v>1</v>
      </c>
      <c r="F419" s="13" t="n">
        <v>19</v>
      </c>
      <c r="G419" s="13" t="n">
        <v>19</v>
      </c>
      <c r="H419" s="8" t="n">
        <v>20.31</v>
      </c>
      <c r="I419" s="8">
        <f>G419*H419</f>
        <v/>
      </c>
      <c r="J419" s="8">
        <f>H419/E419</f>
        <v/>
      </c>
      <c r="K419" s="8" t="n">
        <v>3.39</v>
      </c>
      <c r="L419" s="8" t="n">
        <v>3.39</v>
      </c>
      <c r="M419" s="8" t="n">
        <v>3.39</v>
      </c>
      <c r="N419" s="14">
        <f>J419/M419-1</f>
        <v/>
      </c>
      <c r="O419" s="14">
        <f>J419/K419-1</f>
        <v/>
      </c>
      <c r="P419" s="7" t="inlineStr">
        <is>
          <t>ACIMA +499.1%</t>
        </is>
      </c>
      <c r="Q419" s="7" t="inlineStr">
        <is>
          <t>conferir emb.</t>
        </is>
      </c>
    </row>
    <row r="420">
      <c r="A420" s="7" t="n">
        <v>630971</v>
      </c>
      <c r="B420" s="7" t="inlineStr"/>
      <c r="C420" s="12" t="inlineStr">
        <is>
          <t>7896902209749</t>
        </is>
      </c>
      <c r="D420" s="7" t="inlineStr">
        <is>
          <t>PEDRA HUME FARMAX 30ML C/GLIC SPRAY</t>
        </is>
      </c>
      <c r="E420" s="13" t="n">
        <v>1</v>
      </c>
      <c r="F420" s="13" t="n">
        <v>2</v>
      </c>
      <c r="G420" s="13" t="n">
        <v>2</v>
      </c>
      <c r="H420" s="8" t="n">
        <v>7.04</v>
      </c>
      <c r="I420" s="8">
        <f>G420*H420</f>
        <v/>
      </c>
      <c r="J420" s="8">
        <f>H420/E420</f>
        <v/>
      </c>
      <c r="K420" s="8" t="n">
        <v>7.04</v>
      </c>
      <c r="L420" s="8" t="n">
        <v>7.04</v>
      </c>
      <c r="M420" s="8" t="n">
        <v>7.04</v>
      </c>
      <c r="N420" s="14">
        <f>J420/M420-1</f>
        <v/>
      </c>
      <c r="O420" s="14">
        <f>J420/K420-1</f>
        <v/>
      </c>
      <c r="P420" s="7" t="inlineStr">
        <is>
          <t>OK (≤ menor hist.)</t>
        </is>
      </c>
      <c r="Q420" s="7" t="inlineStr"/>
    </row>
    <row r="421">
      <c r="A421" s="7" t="n">
        <v>553021</v>
      </c>
      <c r="B421" s="7" t="inlineStr"/>
      <c r="C421" s="12" t="inlineStr">
        <is>
          <t>7896676434323</t>
        </is>
      </c>
      <c r="D421" s="7" t="inlineStr">
        <is>
          <t>PHOSFOENEMA 160+60MG/ML ENEMA FR 130ML</t>
        </is>
      </c>
      <c r="E421" s="13" t="n">
        <v>1</v>
      </c>
      <c r="F421" s="13" t="n">
        <v>8</v>
      </c>
      <c r="G421" s="13" t="n">
        <v>8</v>
      </c>
      <c r="H421" s="8" t="n">
        <v>17.0618</v>
      </c>
      <c r="I421" s="8">
        <f>G421*H421</f>
        <v/>
      </c>
      <c r="J421" s="8">
        <f>H421/E421</f>
        <v/>
      </c>
      <c r="K421" s="8" t="n">
        <v>16.8267</v>
      </c>
      <c r="L421" s="8" t="n">
        <v>14.228</v>
      </c>
      <c r="M421" s="8" t="n">
        <v>15.30376666666667</v>
      </c>
      <c r="N421" s="14">
        <f>J421/M421-1</f>
        <v/>
      </c>
      <c r="O421" s="14">
        <f>J421/K421-1</f>
        <v/>
      </c>
      <c r="P421" s="7" t="inlineStr">
        <is>
          <t>ACIMA +1.4%</t>
        </is>
      </c>
      <c r="Q421" s="7" t="inlineStr"/>
    </row>
    <row r="422">
      <c r="A422" s="7" t="n">
        <v>629391</v>
      </c>
      <c r="B422" s="7" t="inlineStr"/>
      <c r="C422" s="12" t="inlineStr">
        <is>
          <t>7898936110558</t>
        </is>
      </c>
      <c r="D422" s="7" t="inlineStr">
        <is>
          <t>PIQUITUCHO TOALHAS UMD PREMIUM C/60</t>
        </is>
      </c>
      <c r="E422" s="13" t="n">
        <v>1</v>
      </c>
      <c r="F422" s="13" t="n">
        <v>15</v>
      </c>
      <c r="G422" s="13" t="n">
        <v>15</v>
      </c>
      <c r="H422" s="8" t="n">
        <v>5.3253</v>
      </c>
      <c r="I422" s="8">
        <f>G422*H422</f>
        <v/>
      </c>
      <c r="J422" s="8">
        <f>H422/E422</f>
        <v/>
      </c>
      <c r="K422" s="8" t="n">
        <v>4.25</v>
      </c>
      <c r="L422" s="8" t="n">
        <v>4.18</v>
      </c>
      <c r="M422" s="8" t="n">
        <v>4.18</v>
      </c>
      <c r="N422" s="14">
        <f>J422/M422-1</f>
        <v/>
      </c>
      <c r="O422" s="14">
        <f>J422/K422-1</f>
        <v/>
      </c>
      <c r="P422" s="7" t="inlineStr">
        <is>
          <t>ACIMA +25.3%</t>
        </is>
      </c>
      <c r="Q422" s="7" t="inlineStr"/>
    </row>
    <row r="423">
      <c r="A423" s="7" t="n">
        <v>159781</v>
      </c>
      <c r="B423" s="7" t="inlineStr"/>
      <c r="C423" s="12" t="inlineStr">
        <is>
          <t>7891058059149</t>
        </is>
      </c>
      <c r="D423" s="7" t="inlineStr">
        <is>
          <t>PLASIL 10MG CX 20 COMP</t>
        </is>
      </c>
      <c r="E423" s="13" t="n">
        <v>1</v>
      </c>
      <c r="F423" s="13" t="n">
        <v>8</v>
      </c>
      <c r="G423" s="13" t="n">
        <v>8</v>
      </c>
      <c r="H423" s="8" t="n">
        <v>11.037</v>
      </c>
      <c r="I423" s="8">
        <f>G423*H423</f>
        <v/>
      </c>
      <c r="J423" s="8">
        <f>H423/E423</f>
        <v/>
      </c>
      <c r="K423" s="8" t="n">
        <v>11.352</v>
      </c>
      <c r="L423" s="8" t="n">
        <v>9.918900000000001</v>
      </c>
      <c r="M423" s="8" t="n">
        <v>10.54173333333333</v>
      </c>
      <c r="N423" s="14">
        <f>J423/M423-1</f>
        <v/>
      </c>
      <c r="O423" s="14">
        <f>J423/K423-1</f>
        <v/>
      </c>
      <c r="P423" s="7" t="inlineStr">
        <is>
          <t>OK (≤ últ. compra)</t>
        </is>
      </c>
      <c r="Q423" s="7" t="inlineStr">
        <is>
          <t>estoque parcial (5 un)</t>
        </is>
      </c>
    </row>
    <row r="424">
      <c r="A424" s="7" t="n">
        <v>594181</v>
      </c>
      <c r="B424" s="7" t="inlineStr"/>
      <c r="C424" s="12" t="inlineStr">
        <is>
          <t>7891024130728</t>
        </is>
      </c>
      <c r="D424" s="7" t="inlineStr">
        <is>
          <t>PLAX DEN COLGATE FRESH MINT 60ML</t>
        </is>
      </c>
      <c r="E424" s="13" t="n">
        <v>1</v>
      </c>
      <c r="F424" s="13" t="n">
        <v>5</v>
      </c>
      <c r="G424" s="13" t="n">
        <v>5</v>
      </c>
      <c r="H424" s="8" t="n">
        <v>4.52</v>
      </c>
      <c r="I424" s="8">
        <f>G424*H424</f>
        <v/>
      </c>
      <c r="J424" s="8">
        <f>H424/E424</f>
        <v/>
      </c>
      <c r="K424" s="8" t="n">
        <v>4.5017</v>
      </c>
      <c r="L424" s="8" t="n">
        <v>4.37</v>
      </c>
      <c r="M424" s="8" t="n">
        <v>4.37</v>
      </c>
      <c r="N424" s="14">
        <f>J424/M424-1</f>
        <v/>
      </c>
      <c r="O424" s="14">
        <f>J424/K424-1</f>
        <v/>
      </c>
      <c r="P424" s="7" t="inlineStr">
        <is>
          <t>ACIMA +0.4%</t>
        </is>
      </c>
      <c r="Q424" s="7" t="inlineStr"/>
    </row>
    <row r="425">
      <c r="A425" s="7" t="n">
        <v>627821</v>
      </c>
      <c r="B425" s="7" t="inlineStr"/>
      <c r="C425" s="12" t="inlineStr">
        <is>
          <t>7896523201320</t>
        </is>
      </c>
      <c r="D425" s="7" t="inlineStr">
        <is>
          <t>PRALIVIO 400MG BL 10 CAP</t>
        </is>
      </c>
      <c r="E425" s="13" t="n">
        <v>1</v>
      </c>
      <c r="F425" s="13" t="n">
        <v>1</v>
      </c>
      <c r="G425" s="13" t="n">
        <v>1</v>
      </c>
      <c r="H425" s="8" t="n">
        <v>18.61</v>
      </c>
      <c r="I425" s="8">
        <f>G425*H425</f>
        <v/>
      </c>
      <c r="J425" s="8">
        <f>H425/E425</f>
        <v/>
      </c>
      <c r="K425" s="8" t="n">
        <v>6.99</v>
      </c>
      <c r="L425" s="8" t="n">
        <v>6.99</v>
      </c>
      <c r="M425" s="8" t="n">
        <v>6.989999999999999</v>
      </c>
      <c r="N425" s="14">
        <f>J425/M425-1</f>
        <v/>
      </c>
      <c r="O425" s="14">
        <f>J425/K425-1</f>
        <v/>
      </c>
      <c r="P425" s="7" t="inlineStr">
        <is>
          <t>ACIMA +166.2%</t>
        </is>
      </c>
      <c r="Q425" s="7" t="inlineStr">
        <is>
          <t>conferir emb.</t>
        </is>
      </c>
    </row>
    <row r="426">
      <c r="A426" s="7" t="n">
        <v>660331</v>
      </c>
      <c r="B426" s="7" t="inlineStr"/>
      <c r="C426" s="12" t="inlineStr">
        <is>
          <t>7891058005665</t>
        </is>
      </c>
      <c r="D426" s="7" t="inlineStr">
        <is>
          <t>PREDNISONA 20MG CX 10 COMP</t>
        </is>
      </c>
      <c r="E426" s="13" t="n">
        <v>1</v>
      </c>
      <c r="F426" s="13" t="n">
        <v>8</v>
      </c>
      <c r="G426" s="13" t="n">
        <v>8</v>
      </c>
      <c r="H426" s="8" t="n">
        <v>8.305759999999999</v>
      </c>
      <c r="I426" s="8">
        <f>G426*H426</f>
        <v/>
      </c>
      <c r="J426" s="8">
        <f>H426/E426</f>
        <v/>
      </c>
      <c r="K426" s="8" t="n">
        <v>4.74</v>
      </c>
      <c r="L426" s="8" t="n">
        <v>4.07</v>
      </c>
      <c r="M426" s="8" t="n">
        <v>4.516666666666667</v>
      </c>
      <c r="N426" s="14">
        <f>J426/M426-1</f>
        <v/>
      </c>
      <c r="O426" s="14">
        <f>J426/K426-1</f>
        <v/>
      </c>
      <c r="P426" s="7" t="inlineStr">
        <is>
          <t>ACIMA +75.2%</t>
        </is>
      </c>
      <c r="Q426" s="7" t="inlineStr"/>
    </row>
    <row r="427">
      <c r="A427" s="7" t="n">
        <v>408261</v>
      </c>
      <c r="B427" s="7" t="inlineStr"/>
      <c r="C427" s="12" t="inlineStr">
        <is>
          <t>7891317004095</t>
        </is>
      </c>
      <c r="D427" s="7" t="inlineStr">
        <is>
          <t>PRENI 20MG CX 10 COMP</t>
        </is>
      </c>
      <c r="E427" s="13" t="n">
        <v>1</v>
      </c>
      <c r="F427" s="13" t="n">
        <v>1</v>
      </c>
      <c r="G427" s="13" t="n">
        <v>1</v>
      </c>
      <c r="H427" s="8" t="n">
        <v>22.26</v>
      </c>
      <c r="I427" s="8">
        <f>G427*H427</f>
        <v/>
      </c>
      <c r="J427" s="8">
        <f>H427/E427</f>
        <v/>
      </c>
      <c r="K427" s="8" t="n">
        <v>19.31</v>
      </c>
      <c r="L427" s="8" t="n">
        <v>19.31</v>
      </c>
      <c r="M427" s="8" t="n">
        <v>19.31</v>
      </c>
      <c r="N427" s="14">
        <f>J427/M427-1</f>
        <v/>
      </c>
      <c r="O427" s="14">
        <f>J427/K427-1</f>
        <v/>
      </c>
      <c r="P427" s="7" t="inlineStr">
        <is>
          <t>ACIMA +15.3%</t>
        </is>
      </c>
      <c r="Q427" s="7" t="inlineStr"/>
    </row>
    <row r="428">
      <c r="A428" s="7" t="n">
        <v>563761</v>
      </c>
      <c r="B428" s="7" t="inlineStr"/>
      <c r="C428" s="12" t="inlineStr">
        <is>
          <t>7891035991110</t>
        </is>
      </c>
      <c r="D428" s="7" t="inlineStr">
        <is>
          <t>PRES JONTEX ULTRA SENSITIVE C2UN</t>
        </is>
      </c>
      <c r="E428" s="13" t="n">
        <v>1</v>
      </c>
      <c r="F428" s="13" t="n">
        <v>1</v>
      </c>
      <c r="G428" s="13" t="n">
        <v>1</v>
      </c>
      <c r="H428" s="8" t="n">
        <v>13.1908</v>
      </c>
      <c r="I428" s="8">
        <f>G428*H428</f>
        <v/>
      </c>
      <c r="J428" s="8">
        <f>H428/E428</f>
        <v/>
      </c>
      <c r="K428" s="8" t="n">
        <v>12.06</v>
      </c>
      <c r="L428" s="8" t="n">
        <v>11.4783</v>
      </c>
      <c r="M428" s="8" t="n">
        <v>11.4783</v>
      </c>
      <c r="N428" s="14">
        <f>J428/M428-1</f>
        <v/>
      </c>
      <c r="O428" s="14">
        <f>J428/K428-1</f>
        <v/>
      </c>
      <c r="P428" s="7" t="inlineStr">
        <is>
          <t>ACIMA +9.4%</t>
        </is>
      </c>
      <c r="Q428" s="7" t="inlineStr"/>
    </row>
    <row r="429">
      <c r="A429" s="7" t="n">
        <v>657391</v>
      </c>
      <c r="B429" s="7" t="inlineStr"/>
      <c r="C429" s="12" t="inlineStr">
        <is>
          <t>7898079001300</t>
        </is>
      </c>
      <c r="D429" s="7" t="inlineStr">
        <is>
          <t>PRES. PRUDENCE AROM MORANGO C/06</t>
        </is>
      </c>
      <c r="E429" s="13" t="n">
        <v>1</v>
      </c>
      <c r="F429" s="13" t="n">
        <v>6</v>
      </c>
      <c r="G429" s="13" t="n">
        <v>6</v>
      </c>
      <c r="H429" s="8" t="n">
        <v>9.6995</v>
      </c>
      <c r="I429" s="8">
        <f>G429*H429</f>
        <v/>
      </c>
      <c r="J429" s="8">
        <f>H429/E429</f>
        <v/>
      </c>
      <c r="K429" s="8" t="n">
        <v>8.390000000000001</v>
      </c>
      <c r="L429" s="8" t="n">
        <v>8.390000000000001</v>
      </c>
      <c r="M429" s="8" t="n">
        <v>8.390000000000001</v>
      </c>
      <c r="N429" s="14">
        <f>J429/M429-1</f>
        <v/>
      </c>
      <c r="O429" s="14">
        <f>J429/K429-1</f>
        <v/>
      </c>
      <c r="P429" s="7" t="inlineStr">
        <is>
          <t>ACIMA +15.6%</t>
        </is>
      </c>
      <c r="Q429" s="7" t="inlineStr"/>
    </row>
    <row r="430">
      <c r="A430" s="7" t="n">
        <v>595671</v>
      </c>
      <c r="B430" s="7" t="inlineStr"/>
      <c r="C430" s="12" t="inlineStr">
        <is>
          <t>7898079006404</t>
        </is>
      </c>
      <c r="D430" s="7" t="inlineStr">
        <is>
          <t>PRESERV PRUDENCE EF RET 8 OF</t>
        </is>
      </c>
      <c r="E430" s="13" t="n">
        <v>1</v>
      </c>
      <c r="F430" s="13" t="n">
        <v>3</v>
      </c>
      <c r="G430" s="13" t="n">
        <v>3</v>
      </c>
      <c r="H430" s="8" t="n">
        <v>14.7725</v>
      </c>
      <c r="I430" s="8">
        <f>G430*H430</f>
        <v/>
      </c>
      <c r="J430" s="8">
        <f>H430/E430</f>
        <v/>
      </c>
      <c r="K430" s="8" t="n">
        <v>12.99</v>
      </c>
      <c r="L430" s="8" t="n">
        <v>12.99</v>
      </c>
      <c r="M430" s="8" t="n">
        <v>12.99</v>
      </c>
      <c r="N430" s="14">
        <f>J430/M430-1</f>
        <v/>
      </c>
      <c r="O430" s="14">
        <f>J430/K430-1</f>
        <v/>
      </c>
      <c r="P430" s="7" t="inlineStr">
        <is>
          <t>ACIMA +13.7%</t>
        </is>
      </c>
      <c r="Q430" s="7" t="inlineStr"/>
    </row>
    <row r="431">
      <c r="A431" s="7" t="n">
        <v>595661</v>
      </c>
      <c r="B431" s="7" t="inlineStr"/>
      <c r="C431" s="12" t="inlineStr">
        <is>
          <t>7898079000433</t>
        </is>
      </c>
      <c r="D431" s="7" t="inlineStr">
        <is>
          <t>PRESERV PRUDENCE EG US 8 OF</t>
        </is>
      </c>
      <c r="E431" s="13" t="n">
        <v>1</v>
      </c>
      <c r="F431" s="13" t="n">
        <v>4</v>
      </c>
      <c r="G431" s="13" t="n">
        <v>4</v>
      </c>
      <c r="H431" s="8" t="n">
        <v>13.4995</v>
      </c>
      <c r="I431" s="8">
        <f>G431*H431</f>
        <v/>
      </c>
      <c r="J431" s="8">
        <f>H431/E431</f>
        <v/>
      </c>
      <c r="K431" s="8" t="n">
        <v>11.88</v>
      </c>
      <c r="L431" s="8" t="n">
        <v>11.88</v>
      </c>
      <c r="M431" s="8" t="n">
        <v>11.88</v>
      </c>
      <c r="N431" s="14">
        <f>J431/M431-1</f>
        <v/>
      </c>
      <c r="O431" s="14">
        <f>J431/K431-1</f>
        <v/>
      </c>
      <c r="P431" s="7" t="inlineStr">
        <is>
          <t>ACIMA +13.6%</t>
        </is>
      </c>
      <c r="Q431" s="7" t="inlineStr"/>
    </row>
    <row r="432">
      <c r="A432" s="7" t="n">
        <v>662501</v>
      </c>
      <c r="B432" s="7" t="inlineStr"/>
      <c r="C432" s="12" t="inlineStr">
        <is>
          <t>7898079000938</t>
        </is>
      </c>
      <c r="D432" s="7" t="inlineStr">
        <is>
          <t>PRESERVATIVO PRUDENCE C S MIX TROPICAL LV8 PG6</t>
        </is>
      </c>
      <c r="E432" s="13" t="n">
        <v>1</v>
      </c>
      <c r="F432" s="13" t="n">
        <v>2</v>
      </c>
      <c r="G432" s="13" t="n">
        <v>2</v>
      </c>
      <c r="H432" s="8" t="n">
        <v>9.6995</v>
      </c>
      <c r="I432" s="8">
        <f>G432*H432</f>
        <v/>
      </c>
      <c r="J432" s="8">
        <f>H432/E432</f>
        <v/>
      </c>
      <c r="K432" s="8" t="n">
        <v>8.539999999999999</v>
      </c>
      <c r="L432" s="8" t="n">
        <v>8.539999999999999</v>
      </c>
      <c r="M432" s="8" t="n">
        <v>8.539999999999999</v>
      </c>
      <c r="N432" s="14">
        <f>J432/M432-1</f>
        <v/>
      </c>
      <c r="O432" s="14">
        <f>J432/K432-1</f>
        <v/>
      </c>
      <c r="P432" s="7" t="inlineStr">
        <is>
          <t>ACIMA +13.6%</t>
        </is>
      </c>
      <c r="Q432" s="7" t="inlineStr"/>
    </row>
    <row r="433">
      <c r="A433" s="7" t="n">
        <v>658581</v>
      </c>
      <c r="B433" s="7" t="inlineStr"/>
      <c r="C433" s="12" t="inlineStr">
        <is>
          <t>0070341368183</t>
        </is>
      </c>
      <c r="D433" s="7" t="inlineStr">
        <is>
          <t>PRINCIPIA DC AD-02 70ML HIDRATA E ACALMA</t>
        </is>
      </c>
      <c r="E433" s="13" t="n">
        <v>1</v>
      </c>
      <c r="F433" s="13" t="n">
        <v>1</v>
      </c>
      <c r="G433" s="13" t="n">
        <v>1</v>
      </c>
      <c r="H433" s="8" t="n">
        <v>35.24</v>
      </c>
      <c r="I433" s="8">
        <f>G433*H433</f>
        <v/>
      </c>
      <c r="J433" s="8">
        <f>H433/E433</f>
        <v/>
      </c>
      <c r="K433" s="8" t="n">
        <v>30.8</v>
      </c>
      <c r="L433" s="8" t="n">
        <v>30.8</v>
      </c>
      <c r="M433" s="8" t="n">
        <v>30.8</v>
      </c>
      <c r="N433" s="14">
        <f>J433/M433-1</f>
        <v/>
      </c>
      <c r="O433" s="14">
        <f>J433/K433-1</f>
        <v/>
      </c>
      <c r="P433" s="7" t="inlineStr">
        <is>
          <t>ACIMA +14.4%</t>
        </is>
      </c>
      <c r="Q433" s="7" t="inlineStr"/>
    </row>
    <row r="434">
      <c r="A434" s="7" t="n">
        <v>658621</v>
      </c>
      <c r="B434" s="7" t="inlineStr"/>
      <c r="C434" s="12" t="inlineStr">
        <is>
          <t>0609963220625</t>
        </is>
      </c>
      <c r="D434" s="7" t="inlineStr">
        <is>
          <t>PRINCIPIA EMULSAO CORPORAL EC-01 200ML</t>
        </is>
      </c>
      <c r="E434" s="13" t="n">
        <v>1</v>
      </c>
      <c r="F434" s="13" t="n">
        <v>4</v>
      </c>
      <c r="G434" s="13" t="n">
        <v>4</v>
      </c>
      <c r="H434" s="8" t="n">
        <v>45.01</v>
      </c>
      <c r="I434" s="8">
        <f>G434*H434</f>
        <v/>
      </c>
      <c r="J434" s="8">
        <f>H434/E434</f>
        <v/>
      </c>
      <c r="K434" s="8" t="n">
        <v>38.63</v>
      </c>
      <c r="L434" s="8" t="n">
        <v>38.63</v>
      </c>
      <c r="M434" s="8" t="n">
        <v>38.63</v>
      </c>
      <c r="N434" s="14">
        <f>J434/M434-1</f>
        <v/>
      </c>
      <c r="O434" s="14">
        <f>J434/K434-1</f>
        <v/>
      </c>
      <c r="P434" s="7" t="inlineStr">
        <is>
          <t>ACIMA +16.5%</t>
        </is>
      </c>
      <c r="Q434" s="7" t="inlineStr"/>
    </row>
    <row r="435">
      <c r="A435" s="7" t="n">
        <v>658571</v>
      </c>
      <c r="B435" s="7" t="inlineStr"/>
      <c r="C435" s="12" t="inlineStr">
        <is>
          <t>0736532824868</t>
        </is>
      </c>
      <c r="D435" s="7" t="inlineStr">
        <is>
          <t>PRINCIPIA EMULSAO FAC GRANACTI GR-2 30ML</t>
        </is>
      </c>
      <c r="E435" s="13" t="n">
        <v>1</v>
      </c>
      <c r="F435" s="13" t="n">
        <v>1</v>
      </c>
      <c r="G435" s="13" t="n">
        <v>1</v>
      </c>
      <c r="H435" s="8" t="n">
        <v>82.53</v>
      </c>
      <c r="I435" s="8">
        <f>G435*H435</f>
        <v/>
      </c>
      <c r="J435" s="8">
        <f>H435/E435</f>
        <v/>
      </c>
      <c r="K435" s="8" t="n">
        <v>68.44</v>
      </c>
      <c r="L435" s="8" t="n">
        <v>68.44</v>
      </c>
      <c r="M435" s="8" t="n">
        <v>68.44</v>
      </c>
      <c r="N435" s="14">
        <f>J435/M435-1</f>
        <v/>
      </c>
      <c r="O435" s="14">
        <f>J435/K435-1</f>
        <v/>
      </c>
      <c r="P435" s="7" t="inlineStr">
        <is>
          <t>ACIMA +20.6%</t>
        </is>
      </c>
      <c r="Q435" s="7" t="inlineStr"/>
    </row>
    <row r="436">
      <c r="A436" s="7" t="n">
        <v>658701</v>
      </c>
      <c r="B436" s="7" t="inlineStr"/>
      <c r="C436" s="12" t="inlineStr">
        <is>
          <t>609963220564</t>
        </is>
      </c>
      <c r="D436" s="7" t="inlineStr">
        <is>
          <t>PRINCIPIA GEL LIMPEZA FAC GL-01 350G</t>
        </is>
      </c>
      <c r="E436" s="13" t="n">
        <v>1</v>
      </c>
      <c r="F436" s="13" t="n">
        <v>6</v>
      </c>
      <c r="G436" s="13" t="n">
        <v>6</v>
      </c>
      <c r="H436" s="8" t="n">
        <v>45.47</v>
      </c>
      <c r="I436" s="8">
        <f>G436*H436</f>
        <v/>
      </c>
      <c r="J436" s="8">
        <f>H436/E436</f>
        <v/>
      </c>
      <c r="K436" s="8" t="n">
        <v>40.77</v>
      </c>
      <c r="L436" s="8" t="n">
        <v>34.3</v>
      </c>
      <c r="M436" s="8" t="n">
        <v>38.61333333333334</v>
      </c>
      <c r="N436" s="14">
        <f>J436/M436-1</f>
        <v/>
      </c>
      <c r="O436" s="14">
        <f>J436/K436-1</f>
        <v/>
      </c>
      <c r="P436" s="7" t="inlineStr">
        <is>
          <t>ACIMA +11.5%</t>
        </is>
      </c>
      <c r="Q436" s="7" t="inlineStr"/>
    </row>
    <row r="437">
      <c r="A437" s="7" t="n">
        <v>658711</v>
      </c>
      <c r="B437" s="7" t="inlineStr"/>
      <c r="C437" s="12" t="inlineStr">
        <is>
          <t>609963220755</t>
        </is>
      </c>
      <c r="D437" s="7" t="inlineStr">
        <is>
          <t>PRINCIPIA GEL LIMPEZA FAC GL-02 350G</t>
        </is>
      </c>
      <c r="E437" s="13" t="n">
        <v>1</v>
      </c>
      <c r="F437" s="13" t="n">
        <v>3</v>
      </c>
      <c r="G437" s="13" t="n">
        <v>3</v>
      </c>
      <c r="H437" s="8" t="n">
        <v>41.26</v>
      </c>
      <c r="I437" s="8">
        <f>G437*H437</f>
        <v/>
      </c>
      <c r="J437" s="8">
        <f>H437/E437</f>
        <v/>
      </c>
      <c r="K437" s="8" t="n">
        <v>38.64</v>
      </c>
      <c r="L437" s="8" t="n">
        <v>34.3</v>
      </c>
      <c r="M437" s="8" t="n">
        <v>37.19333333333334</v>
      </c>
      <c r="N437" s="14">
        <f>J437/M437-1</f>
        <v/>
      </c>
      <c r="O437" s="14">
        <f>J437/K437-1</f>
        <v/>
      </c>
      <c r="P437" s="7" t="inlineStr">
        <is>
          <t>ACIMA +6.8%</t>
        </is>
      </c>
      <c r="Q437" s="7" t="inlineStr"/>
    </row>
    <row r="438">
      <c r="A438" s="7" t="n">
        <v>658731</v>
      </c>
      <c r="B438" s="7" t="inlineStr"/>
      <c r="C438" s="12" t="inlineStr">
        <is>
          <t>0609963220694</t>
        </is>
      </c>
      <c r="D438" s="7" t="inlineStr">
        <is>
          <t>PRINCIPIA PROT SOL FAC PS-01 FPS60 40ML</t>
        </is>
      </c>
      <c r="E438" s="13" t="n">
        <v>1</v>
      </c>
      <c r="F438" s="13" t="n">
        <v>3</v>
      </c>
      <c r="G438" s="13" t="n">
        <v>3</v>
      </c>
      <c r="H438" s="8" t="n">
        <v>40.85</v>
      </c>
      <c r="I438" s="8">
        <f>G438*H438</f>
        <v/>
      </c>
      <c r="J438" s="8">
        <f>H438/E438</f>
        <v/>
      </c>
      <c r="K438" s="8" t="n">
        <v>36.74</v>
      </c>
      <c r="L438" s="8" t="n">
        <v>30.8</v>
      </c>
      <c r="M438" s="8" t="n">
        <v>34.76</v>
      </c>
      <c r="N438" s="14">
        <f>J438/M438-1</f>
        <v/>
      </c>
      <c r="O438" s="14">
        <f>J438/K438-1</f>
        <v/>
      </c>
      <c r="P438" s="7" t="inlineStr">
        <is>
          <t>ACIMA +11.2%</t>
        </is>
      </c>
      <c r="Q438" s="7" t="inlineStr"/>
    </row>
    <row r="439">
      <c r="A439" s="7" t="n">
        <v>658721</v>
      </c>
      <c r="B439" s="7" t="inlineStr"/>
      <c r="C439" s="12" t="inlineStr">
        <is>
          <t>602883706477</t>
        </is>
      </c>
      <c r="D439" s="7" t="inlineStr">
        <is>
          <t>PRINCIPIA SERUM FAC NIACINAM MIX-01 30ML</t>
        </is>
      </c>
      <c r="E439" s="13" t="n">
        <v>1</v>
      </c>
      <c r="F439" s="13" t="n">
        <v>2</v>
      </c>
      <c r="G439" s="13" t="n">
        <v>2</v>
      </c>
      <c r="H439" s="8" t="n">
        <v>61.69</v>
      </c>
      <c r="I439" s="8">
        <f>G439*H439</f>
        <v/>
      </c>
      <c r="J439" s="8">
        <f>H439/E439</f>
        <v/>
      </c>
      <c r="K439" s="8" t="n">
        <v>53.85</v>
      </c>
      <c r="L439" s="8" t="n">
        <v>44.8</v>
      </c>
      <c r="M439" s="8" t="n">
        <v>50.83333333333334</v>
      </c>
      <c r="N439" s="14">
        <f>J439/M439-1</f>
        <v/>
      </c>
      <c r="O439" s="14">
        <f>J439/K439-1</f>
        <v/>
      </c>
      <c r="P439" s="7" t="inlineStr">
        <is>
          <t>ACIMA +14.6%</t>
        </is>
      </c>
      <c r="Q439" s="7" t="inlineStr"/>
    </row>
    <row r="440">
      <c r="A440" s="7" t="n">
        <v>405861</v>
      </c>
      <c r="B440" s="7" t="inlineStr"/>
      <c r="C440" s="12" t="inlineStr">
        <is>
          <t>7896641801792</t>
        </is>
      </c>
      <c r="D440" s="7" t="inlineStr">
        <is>
          <t>PROCTYL POM BG 30G</t>
        </is>
      </c>
      <c r="E440" s="13" t="n">
        <v>1</v>
      </c>
      <c r="F440" s="13" t="n">
        <v>3</v>
      </c>
      <c r="G440" s="13" t="n">
        <v>3</v>
      </c>
      <c r="H440" s="8" t="n">
        <v>83.40000000000001</v>
      </c>
      <c r="I440" s="8">
        <f>G440*H440</f>
        <v/>
      </c>
      <c r="J440" s="8">
        <f>H440/E440</f>
        <v/>
      </c>
      <c r="K440" s="8" t="n">
        <v>84.06999999999999</v>
      </c>
      <c r="L440" s="8" t="n">
        <v>65.70999999999999</v>
      </c>
      <c r="M440" s="8" t="n">
        <v>73.27499999999999</v>
      </c>
      <c r="N440" s="14">
        <f>J440/M440-1</f>
        <v/>
      </c>
      <c r="O440" s="14">
        <f>J440/K440-1</f>
        <v/>
      </c>
      <c r="P440" s="7" t="inlineStr">
        <is>
          <t>OK (≤ últ. compra)</t>
        </is>
      </c>
      <c r="Q440" s="7" t="inlineStr"/>
    </row>
    <row r="441">
      <c r="A441" s="7" t="n">
        <v>96361</v>
      </c>
      <c r="B441" s="7" t="inlineStr"/>
      <c r="C441" s="12" t="inlineStr">
        <is>
          <t>7896070601871</t>
        </is>
      </c>
      <c r="D441" s="7" t="inlineStr">
        <is>
          <t>PROFENID 50MG SOL INJ CX 6 AMP X 2ML</t>
        </is>
      </c>
      <c r="E441" s="13" t="n">
        <v>6</v>
      </c>
      <c r="F441" s="13" t="n">
        <v>1</v>
      </c>
      <c r="G441" s="13" t="n">
        <v>1</v>
      </c>
      <c r="H441" s="8" t="n">
        <v>31.4535</v>
      </c>
      <c r="I441" s="8">
        <f>G441*H441</f>
        <v/>
      </c>
      <c r="J441" s="8">
        <f>H441/E441</f>
        <v/>
      </c>
      <c r="K441" s="8" t="n">
        <v>5.3083</v>
      </c>
      <c r="L441" s="8" t="n">
        <v>5.0654</v>
      </c>
      <c r="M441" s="8" t="n">
        <v>5.227333333333333</v>
      </c>
      <c r="N441" s="14">
        <f>J441/M441-1</f>
        <v/>
      </c>
      <c r="O441" s="14">
        <f>J441/K441-1</f>
        <v/>
      </c>
      <c r="P441" s="7" t="inlineStr">
        <is>
          <t>OK (≤ últ. compra)</t>
        </is>
      </c>
      <c r="Q441" s="7" t="inlineStr">
        <is>
          <t>1 emb = 6 un</t>
        </is>
      </c>
    </row>
    <row r="442">
      <c r="A442" s="7" t="n">
        <v>594451</v>
      </c>
      <c r="B442" s="7" t="inlineStr"/>
      <c r="C442" s="12" t="inlineStr">
        <is>
          <t>7891010087722</t>
        </is>
      </c>
      <c r="D442" s="7" t="inlineStr">
        <is>
          <t>PROT DIAR CAREFREE PROTECAO C/PERF 15UN</t>
        </is>
      </c>
      <c r="E442" s="13" t="n">
        <v>1</v>
      </c>
      <c r="F442" s="13" t="n">
        <v>2</v>
      </c>
      <c r="G442" s="13" t="n">
        <v>2</v>
      </c>
      <c r="H442" s="8" t="n">
        <v>7.82</v>
      </c>
      <c r="I442" s="8">
        <f>G442*H442</f>
        <v/>
      </c>
      <c r="J442" s="8">
        <f>H442/E442</f>
        <v/>
      </c>
      <c r="K442" s="8" t="n">
        <v>7.1408</v>
      </c>
      <c r="L442" s="8" t="n">
        <v>7.1408</v>
      </c>
      <c r="M442" s="8" t="n">
        <v>7.1408</v>
      </c>
      <c r="N442" s="14">
        <f>J442/M442-1</f>
        <v/>
      </c>
      <c r="O442" s="14">
        <f>J442/K442-1</f>
        <v/>
      </c>
      <c r="P442" s="7" t="inlineStr">
        <is>
          <t>ACIMA +9.5%</t>
        </is>
      </c>
      <c r="Q442" s="7" t="inlineStr"/>
    </row>
    <row r="443">
      <c r="A443" s="7" t="n">
        <v>661771</v>
      </c>
      <c r="B443" s="7" t="inlineStr"/>
      <c r="C443" s="12" t="inlineStr">
        <is>
          <t>7899852025780</t>
        </is>
      </c>
      <c r="D443" s="7" t="inlineStr">
        <is>
          <t>PROT LAB VULT AMORA FPS15 3,5G-DEMAIS PROD</t>
        </is>
      </c>
      <c r="E443" s="13" t="n">
        <v>1</v>
      </c>
      <c r="F443" s="13" t="n">
        <v>1</v>
      </c>
      <c r="G443" s="13" t="n">
        <v>1</v>
      </c>
      <c r="H443" s="8" t="n">
        <v>13.72</v>
      </c>
      <c r="I443" s="8">
        <f>G443*H443</f>
        <v/>
      </c>
      <c r="J443" s="8">
        <f>H443/E443</f>
        <v/>
      </c>
      <c r="K443" s="8" t="n">
        <v>11.1</v>
      </c>
      <c r="L443" s="8" t="n">
        <v>11.1</v>
      </c>
      <c r="M443" s="8" t="n">
        <v>11.1</v>
      </c>
      <c r="N443" s="14">
        <f>J443/M443-1</f>
        <v/>
      </c>
      <c r="O443" s="14">
        <f>J443/K443-1</f>
        <v/>
      </c>
      <c r="P443" s="7" t="inlineStr">
        <is>
          <t>ACIMA +23.6%</t>
        </is>
      </c>
      <c r="Q443" s="7" t="inlineStr"/>
    </row>
    <row r="444">
      <c r="A444" s="7" t="n">
        <v>566981</v>
      </c>
      <c r="B444" s="7" t="inlineStr"/>
      <c r="C444" s="12" t="inlineStr">
        <is>
          <t>4005900308719</t>
        </is>
      </c>
      <c r="D444" s="7" t="inlineStr">
        <is>
          <t>PROT NIVEA SOLAR SUN PROT  HIDRAT FPS70 200ML</t>
        </is>
      </c>
      <c r="E444" s="13" t="n">
        <v>1</v>
      </c>
      <c r="F444" s="13" t="n">
        <v>1</v>
      </c>
      <c r="G444" s="13" t="n">
        <v>1</v>
      </c>
      <c r="H444" s="8" t="n">
        <v>76.68000000000001</v>
      </c>
      <c r="I444" s="8">
        <f>G444*H444</f>
        <v/>
      </c>
      <c r="J444" s="8">
        <f>H444/E444</f>
        <v/>
      </c>
      <c r="K444" s="8" t="n">
        <v>51.4243</v>
      </c>
      <c r="L444" s="8" t="n">
        <v>51.4243</v>
      </c>
      <c r="M444" s="8" t="n">
        <v>51.4243</v>
      </c>
      <c r="N444" s="14">
        <f>J444/M444-1</f>
        <v/>
      </c>
      <c r="O444" s="14">
        <f>J444/K444-1</f>
        <v/>
      </c>
      <c r="P444" s="7" t="inlineStr">
        <is>
          <t>ACIMA +49.1%</t>
        </is>
      </c>
      <c r="Q444" s="7" t="inlineStr"/>
    </row>
    <row r="445">
      <c r="A445" s="7" t="n">
        <v>637681</v>
      </c>
      <c r="B445" s="7" t="inlineStr"/>
      <c r="C445" s="12" t="inlineStr">
        <is>
          <t>4005900980380</t>
        </is>
      </c>
      <c r="D445" s="7" t="inlineStr">
        <is>
          <t>PROT NIVEA SUN FACIAL TOQUE SECO FPS30 40ML</t>
        </is>
      </c>
      <c r="E445" s="13" t="n">
        <v>1</v>
      </c>
      <c r="F445" s="13" t="n">
        <v>1</v>
      </c>
      <c r="G445" s="13" t="n">
        <v>1</v>
      </c>
      <c r="H445" s="8" t="n">
        <v>35.95</v>
      </c>
      <c r="I445" s="8">
        <f>G445*H445</f>
        <v/>
      </c>
      <c r="J445" s="8">
        <f>H445/E445</f>
        <v/>
      </c>
      <c r="K445" s="8" t="n">
        <v>35.8</v>
      </c>
      <c r="L445" s="8" t="n">
        <v>35.8</v>
      </c>
      <c r="M445" s="8" t="n">
        <v>35.8</v>
      </c>
      <c r="N445" s="14">
        <f>J445/M445-1</f>
        <v/>
      </c>
      <c r="O445" s="14">
        <f>J445/K445-1</f>
        <v/>
      </c>
      <c r="P445" s="7" t="inlineStr">
        <is>
          <t>ACIMA +0.4%</t>
        </is>
      </c>
      <c r="Q445" s="7" t="inlineStr"/>
    </row>
    <row r="446">
      <c r="A446" s="7" t="n">
        <v>554841</v>
      </c>
      <c r="B446" s="7" t="inlineStr"/>
      <c r="C446" s="12" t="inlineStr">
        <is>
          <t>7896007550463</t>
        </is>
      </c>
      <c r="D446" s="7" t="inlineStr">
        <is>
          <t>PROTETOR DIARIO INTIMUS ANTBAC 15UN</t>
        </is>
      </c>
      <c r="E446" s="13" t="n">
        <v>1</v>
      </c>
      <c r="F446" s="13" t="n">
        <v>5</v>
      </c>
      <c r="G446" s="13" t="n">
        <v>5</v>
      </c>
      <c r="H446" s="8" t="n">
        <v>5.76</v>
      </c>
      <c r="I446" s="8">
        <f>G446*H446</f>
        <v/>
      </c>
      <c r="J446" s="8">
        <f>H446/E446</f>
        <v/>
      </c>
      <c r="K446" s="8" t="n">
        <v>4.035</v>
      </c>
      <c r="L446" s="8" t="n">
        <v>4.035</v>
      </c>
      <c r="M446" s="8" t="n">
        <v>4.035</v>
      </c>
      <c r="N446" s="14">
        <f>J446/M446-1</f>
        <v/>
      </c>
      <c r="O446" s="14">
        <f>J446/K446-1</f>
        <v/>
      </c>
      <c r="P446" s="7" t="inlineStr">
        <is>
          <t>ACIMA +42.8%</t>
        </is>
      </c>
      <c r="Q446" s="7" t="inlineStr"/>
    </row>
    <row r="447">
      <c r="A447" s="7" t="n">
        <v>648811</v>
      </c>
      <c r="B447" s="7" t="inlineStr"/>
      <c r="C447" s="12" t="inlineStr">
        <is>
          <t>7509546687865</t>
        </is>
      </c>
      <c r="D447" s="7" t="inlineStr">
        <is>
          <t>PROTEX BABY BW LAVANDA REFIL 180ML</t>
        </is>
      </c>
      <c r="E447" s="13" t="n">
        <v>1</v>
      </c>
      <c r="F447" s="13" t="n">
        <v>8</v>
      </c>
      <c r="G447" s="13" t="n">
        <v>8</v>
      </c>
      <c r="H447" s="8" t="n">
        <v>11.98</v>
      </c>
      <c r="I447" s="8">
        <f>G447*H447</f>
        <v/>
      </c>
      <c r="J447" s="8">
        <f>H447/E447</f>
        <v/>
      </c>
      <c r="K447" s="8" t="n">
        <v>11.0733</v>
      </c>
      <c r="L447" s="8" t="n">
        <v>5.78</v>
      </c>
      <c r="M447" s="8" t="n">
        <v>9.308866666666667</v>
      </c>
      <c r="N447" s="14">
        <f>J447/M447-1</f>
        <v/>
      </c>
      <c r="O447" s="14">
        <f>J447/K447-1</f>
        <v/>
      </c>
      <c r="P447" s="7" t="inlineStr">
        <is>
          <t>ACIMA +8.2%</t>
        </is>
      </c>
      <c r="Q447" s="7" t="inlineStr"/>
    </row>
    <row r="448">
      <c r="A448" s="7" t="n">
        <v>695701</v>
      </c>
      <c r="B448" s="7" t="inlineStr"/>
      <c r="C448" s="12" t="inlineStr">
        <is>
          <t>0070341368572</t>
        </is>
      </c>
      <c r="D448" s="7" t="inlineStr">
        <is>
          <t>PS-05 PROTETOR SOLAR 14,5% MIX DE FILTROS UV + 5% NIACINAMIDA FPS 70 - COR 2.0 30ML</t>
        </is>
      </c>
      <c r="E448" s="13" t="n">
        <v>1</v>
      </c>
      <c r="F448" s="13" t="n">
        <v>1</v>
      </c>
      <c r="G448" s="13" t="n">
        <v>1</v>
      </c>
      <c r="H448" s="8" t="n">
        <v>44.11</v>
      </c>
      <c r="I448" s="8">
        <f>G448*H448</f>
        <v/>
      </c>
      <c r="J448" s="8">
        <f>H448/E448</f>
        <v/>
      </c>
      <c r="K448" s="8" t="n">
        <v>38.63</v>
      </c>
      <c r="L448" s="8" t="n">
        <v>38.63</v>
      </c>
      <c r="M448" s="8" t="n">
        <v>38.63</v>
      </c>
      <c r="N448" s="14">
        <f>J448/M448-1</f>
        <v/>
      </c>
      <c r="O448" s="14">
        <f>J448/K448-1</f>
        <v/>
      </c>
      <c r="P448" s="7" t="inlineStr">
        <is>
          <t>ACIMA +14.2%</t>
        </is>
      </c>
      <c r="Q448" s="7" t="inlineStr"/>
    </row>
    <row r="449">
      <c r="A449" s="7" t="n">
        <v>695801</v>
      </c>
      <c r="B449" s="7" t="inlineStr"/>
      <c r="C449" s="12" t="inlineStr">
        <is>
          <t>0070341368589</t>
        </is>
      </c>
      <c r="D449" s="7" t="inlineStr">
        <is>
          <t>PS-05 PROTETOR SOLAR 14,5% MIX DE FILTROS UV + 5% NIACINAMIDA FPS 70 - COR 3.0 30ML</t>
        </is>
      </c>
      <c r="E449" s="13" t="n">
        <v>1</v>
      </c>
      <c r="F449" s="13" t="n">
        <v>3</v>
      </c>
      <c r="G449" s="13" t="n">
        <v>3</v>
      </c>
      <c r="H449" s="8" t="n">
        <v>44.11</v>
      </c>
      <c r="I449" s="8">
        <f>G449*H449</f>
        <v/>
      </c>
      <c r="J449" s="8">
        <f>H449/E449</f>
        <v/>
      </c>
      <c r="K449" s="8" t="n">
        <v>38.63</v>
      </c>
      <c r="L449" s="8" t="n">
        <v>38.63</v>
      </c>
      <c r="M449" s="8" t="n">
        <v>38.63</v>
      </c>
      <c r="N449" s="14">
        <f>J449/M449-1</f>
        <v/>
      </c>
      <c r="O449" s="14">
        <f>J449/K449-1</f>
        <v/>
      </c>
      <c r="P449" s="7" t="inlineStr">
        <is>
          <t>ACIMA +14.2%</t>
        </is>
      </c>
      <c r="Q449" s="7" t="inlineStr"/>
    </row>
    <row r="450">
      <c r="A450" s="7" t="n">
        <v>69341</v>
      </c>
      <c r="B450" s="7" t="inlineStr"/>
      <c r="C450" s="12" t="inlineStr">
        <is>
          <t>7896206401610</t>
        </is>
      </c>
      <c r="D450" s="7" t="inlineStr">
        <is>
          <t>PULMICORT 0,25MG SUS EMBALAGEM FRACIONADA (5 FC)</t>
        </is>
      </c>
      <c r="E450" s="13" t="n">
        <v>4</v>
      </c>
      <c r="F450" s="13" t="n">
        <v>1</v>
      </c>
      <c r="G450" s="13" t="n">
        <v>1</v>
      </c>
      <c r="H450" s="8" t="n">
        <v>173.6949</v>
      </c>
      <c r="I450" s="8">
        <f>G450*H450</f>
        <v/>
      </c>
      <c r="J450" s="8">
        <f>H450/E450</f>
        <v/>
      </c>
      <c r="K450" s="8" t="n">
        <v>43.5222</v>
      </c>
      <c r="L450" s="8" t="n">
        <v>39.2025</v>
      </c>
      <c r="M450" s="8" t="n">
        <v>42.0823</v>
      </c>
      <c r="N450" s="14">
        <f>J450/M450-1</f>
        <v/>
      </c>
      <c r="O450" s="14">
        <f>J450/K450-1</f>
        <v/>
      </c>
      <c r="P450" s="7" t="inlineStr">
        <is>
          <t>OK (≤ últ. compra)</t>
        </is>
      </c>
      <c r="Q450" s="7" t="inlineStr">
        <is>
          <t>1 emb = 4 un</t>
        </is>
      </c>
    </row>
    <row r="451">
      <c r="A451" s="7" t="n">
        <v>331801</v>
      </c>
      <c r="B451" s="7" t="inlineStr"/>
      <c r="C451" s="12" t="inlineStr">
        <is>
          <t>7896523209425</t>
        </is>
      </c>
      <c r="D451" s="7" t="inlineStr">
        <is>
          <t>PV - ALERGOMINE 0,4MG/ML SOL OR FR 120ML+CM</t>
        </is>
      </c>
      <c r="E451" s="13" t="n">
        <v>1</v>
      </c>
      <c r="F451" s="13" t="n">
        <v>5</v>
      </c>
      <c r="G451" s="13" t="n">
        <v>5</v>
      </c>
      <c r="H451" s="8" t="n">
        <v>21.03</v>
      </c>
      <c r="I451" s="8">
        <f>G451*H451</f>
        <v/>
      </c>
      <c r="J451" s="8">
        <f>H451/E451</f>
        <v/>
      </c>
      <c r="K451" s="8" t="n">
        <v>10.2</v>
      </c>
      <c r="L451" s="8" t="n">
        <v>10.2</v>
      </c>
      <c r="M451" s="8" t="n">
        <v>10.2</v>
      </c>
      <c r="N451" s="14">
        <f>J451/M451-1</f>
        <v/>
      </c>
      <c r="O451" s="14">
        <f>J451/K451-1</f>
        <v/>
      </c>
      <c r="P451" s="7" t="inlineStr">
        <is>
          <t>ACIMA +106.2%</t>
        </is>
      </c>
      <c r="Q451" s="7" t="inlineStr">
        <is>
          <t>conferir emb.</t>
        </is>
      </c>
    </row>
    <row r="452">
      <c r="A452" s="7" t="n">
        <v>509861</v>
      </c>
      <c r="B452" s="7" t="inlineStr"/>
      <c r="C452" s="12" t="inlineStr">
        <is>
          <t>7896672203909</t>
        </is>
      </c>
      <c r="D452" s="7" t="inlineStr">
        <is>
          <t>PV - BRONCHO-VAXOM 3,5MG PO LIOF CX 10 CAP</t>
        </is>
      </c>
      <c r="E452" s="13" t="n">
        <v>1</v>
      </c>
      <c r="F452" s="13" t="n">
        <v>1</v>
      </c>
      <c r="G452" s="13" t="n">
        <v>1</v>
      </c>
      <c r="H452" s="8" t="n">
        <v>54.3394</v>
      </c>
      <c r="I452" s="8">
        <f>G452*H452</f>
        <v/>
      </c>
      <c r="J452" s="8">
        <f>H452/E452</f>
        <v/>
      </c>
      <c r="K452" s="8" t="n">
        <v>49.26</v>
      </c>
      <c r="L452" s="8" t="n">
        <v>49.26</v>
      </c>
      <c r="M452" s="8" t="n">
        <v>49.26</v>
      </c>
      <c r="N452" s="14">
        <f>J452/M452-1</f>
        <v/>
      </c>
      <c r="O452" s="14">
        <f>J452/K452-1</f>
        <v/>
      </c>
      <c r="P452" s="7" t="inlineStr">
        <is>
          <t>ACIMA +10.3%</t>
        </is>
      </c>
      <c r="Q452" s="7" t="inlineStr"/>
    </row>
    <row r="453">
      <c r="A453" s="7" t="n">
        <v>634631</v>
      </c>
      <c r="B453" s="7" t="inlineStr"/>
      <c r="C453" s="12" t="inlineStr">
        <is>
          <t>7891721202872</t>
        </is>
      </c>
      <c r="D453" s="7" t="inlineStr">
        <is>
          <t>PV - LEVOTIROXINA SODICA 112MCG CX 30 COMP</t>
        </is>
      </c>
      <c r="E453" s="13" t="n">
        <v>1</v>
      </c>
      <c r="F453" s="13" t="n">
        <v>1</v>
      </c>
      <c r="G453" s="13" t="n">
        <v>1</v>
      </c>
      <c r="H453" s="8" t="n">
        <v>15.664891</v>
      </c>
      <c r="I453" s="8">
        <f>G453*H453</f>
        <v/>
      </c>
      <c r="J453" s="8">
        <f>H453/E453</f>
        <v/>
      </c>
      <c r="K453" s="8" t="n">
        <v>14.33</v>
      </c>
      <c r="L453" s="8" t="n">
        <v>12.17</v>
      </c>
      <c r="M453" s="8" t="n">
        <v>13.24553333333333</v>
      </c>
      <c r="N453" s="14">
        <f>J453/M453-1</f>
        <v/>
      </c>
      <c r="O453" s="14">
        <f>J453/K453-1</f>
        <v/>
      </c>
      <c r="P453" s="7" t="inlineStr">
        <is>
          <t>ACIMA +9.3%</t>
        </is>
      </c>
      <c r="Q453" s="7" t="inlineStr"/>
    </row>
    <row r="454">
      <c r="A454" s="7" t="n">
        <v>290261</v>
      </c>
      <c r="B454" s="7" t="inlineStr"/>
      <c r="C454" s="12" t="inlineStr">
        <is>
          <t>7894916510417</t>
        </is>
      </c>
      <c r="D454" s="7" t="inlineStr">
        <is>
          <t>PV - OLMY HCT 20+12,5MG CX 10 COMP REV</t>
        </is>
      </c>
      <c r="E454" s="13" t="n">
        <v>1</v>
      </c>
      <c r="F454" s="13" t="n">
        <v>1</v>
      </c>
      <c r="G454" s="13" t="n">
        <v>1</v>
      </c>
      <c r="H454" s="8" t="n">
        <v>49.1</v>
      </c>
      <c r="I454" s="8">
        <f>G454*H454</f>
        <v/>
      </c>
      <c r="J454" s="8">
        <f>H454/E454</f>
        <v/>
      </c>
      <c r="K454" s="8" t="n">
        <v>49.1</v>
      </c>
      <c r="L454" s="8" t="n">
        <v>49.1</v>
      </c>
      <c r="M454" s="8" t="n">
        <v>49.1</v>
      </c>
      <c r="N454" s="14">
        <f>J454/M454-1</f>
        <v/>
      </c>
      <c r="O454" s="14">
        <f>J454/K454-1</f>
        <v/>
      </c>
      <c r="P454" s="7" t="inlineStr">
        <is>
          <t>OK (≤ menor hist.)</t>
        </is>
      </c>
      <c r="Q454" s="7" t="inlineStr"/>
    </row>
    <row r="455">
      <c r="A455" s="7" t="n">
        <v>204261</v>
      </c>
      <c r="B455" s="7" t="inlineStr"/>
      <c r="C455" s="12" t="inlineStr">
        <is>
          <t>7897337713382</t>
        </is>
      </c>
      <c r="D455" s="7" t="inlineStr">
        <is>
          <t>PV - PEROLA 0,075MG CX 28 COMP REV</t>
        </is>
      </c>
      <c r="E455" s="13" t="n">
        <v>1</v>
      </c>
      <c r="F455" s="13" t="n">
        <v>1</v>
      </c>
      <c r="G455" s="13" t="n">
        <v>1</v>
      </c>
      <c r="H455" s="8" t="n">
        <v>36.7824</v>
      </c>
      <c r="I455" s="8">
        <f>G455*H455</f>
        <v/>
      </c>
      <c r="J455" s="8">
        <f>H455/E455</f>
        <v/>
      </c>
      <c r="K455" s="8" t="n">
        <v>32.905</v>
      </c>
      <c r="L455" s="8" t="n">
        <v>32.905</v>
      </c>
      <c r="M455" s="8" t="n">
        <v>32.905</v>
      </c>
      <c r="N455" s="14">
        <f>J455/M455-1</f>
        <v/>
      </c>
      <c r="O455" s="14">
        <f>J455/K455-1</f>
        <v/>
      </c>
      <c r="P455" s="7" t="inlineStr">
        <is>
          <t>ACIMA +11.8%</t>
        </is>
      </c>
      <c r="Q455" s="7" t="inlineStr"/>
    </row>
    <row r="456">
      <c r="A456" s="7" t="n">
        <v>604551</v>
      </c>
      <c r="B456" s="7" t="inlineStr"/>
      <c r="C456" s="12" t="inlineStr">
        <is>
          <t>7891010253691</t>
        </is>
      </c>
      <c r="D456" s="7" t="inlineStr">
        <is>
          <t>PV - SAB.LIQ.JOHN.K.200ML LIMP.S.PO</t>
        </is>
      </c>
      <c r="E456" s="13" t="n">
        <v>1</v>
      </c>
      <c r="F456" s="13" t="n">
        <v>3</v>
      </c>
      <c r="G456" s="13" t="n">
        <v>3</v>
      </c>
      <c r="H456" s="8" t="n">
        <v>19.5</v>
      </c>
      <c r="I456" s="8">
        <f>G456*H456</f>
        <v/>
      </c>
      <c r="J456" s="8">
        <f>H456/E456</f>
        <v/>
      </c>
      <c r="K456" s="8" t="n">
        <v>19.5333</v>
      </c>
      <c r="L456" s="8" t="n">
        <v>19.5333</v>
      </c>
      <c r="M456" s="8" t="n">
        <v>19.5333</v>
      </c>
      <c r="N456" s="14">
        <f>J456/M456-1</f>
        <v/>
      </c>
      <c r="O456" s="14">
        <f>J456/K456-1</f>
        <v/>
      </c>
      <c r="P456" s="7" t="inlineStr">
        <is>
          <t>OK (≤ menor hist.)</t>
        </is>
      </c>
      <c r="Q456" s="7" t="inlineStr">
        <is>
          <t>estoque parcial (1 un)</t>
        </is>
      </c>
    </row>
    <row r="457">
      <c r="A457" s="7" t="n">
        <v>616811</v>
      </c>
      <c r="B457" s="7" t="inlineStr"/>
      <c r="C457" s="12" t="inlineStr">
        <is>
          <t>7899852022833</t>
        </is>
      </c>
      <c r="D457" s="7" t="inlineStr">
        <is>
          <t>PV - VULT CARE CREME FAC HID UNIFORMIZAD 100G</t>
        </is>
      </c>
      <c r="E457" s="13" t="n">
        <v>1</v>
      </c>
      <c r="F457" s="13" t="n">
        <v>1</v>
      </c>
      <c r="G457" s="13" t="n">
        <v>1</v>
      </c>
      <c r="H457" s="8" t="n">
        <v>23.56</v>
      </c>
      <c r="I457" s="8">
        <f>G457*H457</f>
        <v/>
      </c>
      <c r="J457" s="8">
        <f>H457/E457</f>
        <v/>
      </c>
      <c r="K457" s="8" t="n">
        <v>21.65</v>
      </c>
      <c r="L457" s="8" t="n">
        <v>21.65</v>
      </c>
      <c r="M457" s="8" t="n">
        <v>21.65</v>
      </c>
      <c r="N457" s="14">
        <f>J457/M457-1</f>
        <v/>
      </c>
      <c r="O457" s="14">
        <f>J457/K457-1</f>
        <v/>
      </c>
      <c r="P457" s="7" t="inlineStr">
        <is>
          <t>ACIMA +8.8%</t>
        </is>
      </c>
      <c r="Q457" s="7" t="inlineStr"/>
    </row>
    <row r="458">
      <c r="A458" s="7" t="n">
        <v>534421</v>
      </c>
      <c r="B458" s="7" t="inlineStr"/>
      <c r="C458" s="12" t="inlineStr">
        <is>
          <t>7891024042915</t>
        </is>
      </c>
      <c r="D458" s="7" t="inlineStr">
        <is>
          <t>PV CONDICIONADOR PALMOLIVE DETOX ENERGIZANTE FORCE</t>
        </is>
      </c>
      <c r="E458" s="13" t="n">
        <v>1</v>
      </c>
      <c r="F458" s="13" t="n">
        <v>1</v>
      </c>
      <c r="G458" s="13" t="n">
        <v>1</v>
      </c>
      <c r="H458" s="8" t="n">
        <v>9.869999999999999</v>
      </c>
      <c r="I458" s="8">
        <f>G458*H458</f>
        <v/>
      </c>
      <c r="J458" s="8">
        <f>H458/E458</f>
        <v/>
      </c>
      <c r="K458" s="8" t="n">
        <v>7.98</v>
      </c>
      <c r="L458" s="8" t="n">
        <v>7.98</v>
      </c>
      <c r="M458" s="8" t="n">
        <v>7.98</v>
      </c>
      <c r="N458" s="14">
        <f>J458/M458-1</f>
        <v/>
      </c>
      <c r="O458" s="14">
        <f>J458/K458-1</f>
        <v/>
      </c>
      <c r="P458" s="7" t="inlineStr">
        <is>
          <t>ACIMA +23.7%</t>
        </is>
      </c>
      <c r="Q458" s="7" t="inlineStr"/>
    </row>
    <row r="459">
      <c r="A459" s="7" t="n">
        <v>546021</v>
      </c>
      <c r="B459" s="7" t="inlineStr"/>
      <c r="C459" s="12" t="inlineStr">
        <is>
          <t>7897947605053</t>
        </is>
      </c>
      <c r="D459" s="7" t="inlineStr">
        <is>
          <t>PV LAVITAN KIDS LARANJA, UVA E LIMÃO CIMED CAIXA 60 COMP MAST</t>
        </is>
      </c>
      <c r="E459" s="13" t="n">
        <v>1</v>
      </c>
      <c r="F459" s="13" t="n">
        <v>6</v>
      </c>
      <c r="G459" s="13" t="n">
        <v>6</v>
      </c>
      <c r="H459" s="8" t="n">
        <v>21.22</v>
      </c>
      <c r="I459" s="8">
        <f>G459*H459</f>
        <v/>
      </c>
      <c r="J459" s="8">
        <f>H459/E459</f>
        <v/>
      </c>
      <c r="K459" s="8" t="n">
        <v>12.99</v>
      </c>
      <c r="L459" s="8" t="n">
        <v>12.99</v>
      </c>
      <c r="M459" s="8" t="n">
        <v>12.99</v>
      </c>
      <c r="N459" s="14">
        <f>J459/M459-1</f>
        <v/>
      </c>
      <c r="O459" s="14">
        <f>J459/K459-1</f>
        <v/>
      </c>
      <c r="P459" s="7" t="inlineStr">
        <is>
          <t>ACIMA +63.4%</t>
        </is>
      </c>
      <c r="Q459" s="7" t="inlineStr"/>
    </row>
    <row r="460">
      <c r="A460" s="7" t="n">
        <v>584141</v>
      </c>
      <c r="B460" s="7" t="inlineStr"/>
      <c r="C460" s="12" t="inlineStr">
        <is>
          <t>7891000319505</t>
        </is>
      </c>
      <c r="D460" s="7" t="inlineStr">
        <is>
          <t>PV MUCILON MULTICEREAIS SACHET 180G BR</t>
        </is>
      </c>
      <c r="E460" s="13" t="n">
        <v>1</v>
      </c>
      <c r="F460" s="13" t="n">
        <v>1</v>
      </c>
      <c r="G460" s="13" t="n">
        <v>1</v>
      </c>
      <c r="H460" s="8" t="n">
        <v>6.64</v>
      </c>
      <c r="I460" s="8">
        <f>G460*H460</f>
        <v/>
      </c>
      <c r="J460" s="8">
        <f>H460/E460</f>
        <v/>
      </c>
      <c r="K460" s="8" t="n">
        <v>6.2967</v>
      </c>
      <c r="L460" s="8" t="n">
        <v>5.785</v>
      </c>
      <c r="M460" s="8" t="n">
        <v>5.84</v>
      </c>
      <c r="N460" s="14">
        <f>J460/M460-1</f>
        <v/>
      </c>
      <c r="O460" s="14">
        <f>J460/K460-1</f>
        <v/>
      </c>
      <c r="P460" s="7" t="inlineStr">
        <is>
          <t>ACIMA +5.5%</t>
        </is>
      </c>
      <c r="Q460" s="7" t="inlineStr">
        <is>
          <t>preços divergentes entre EANs (usado menor)</t>
        </is>
      </c>
    </row>
    <row r="461">
      <c r="A461" s="7" t="n">
        <v>17761</v>
      </c>
      <c r="B461" s="7" t="inlineStr"/>
      <c r="C461" s="12" t="inlineStr">
        <is>
          <t>7896512904089</t>
        </is>
      </c>
      <c r="D461" s="7" t="inlineStr">
        <is>
          <t>PV POLVILHO ANTISSEPTICO 3,0+0,352+17,602+11,735G PO TOP FR 100G</t>
        </is>
      </c>
      <c r="E461" s="13" t="n">
        <v>1</v>
      </c>
      <c r="F461" s="13" t="n">
        <v>3</v>
      </c>
      <c r="G461" s="13" t="n">
        <v>3</v>
      </c>
      <c r="H461" s="8" t="n">
        <v>12.88</v>
      </c>
      <c r="I461" s="8">
        <f>G461*H461</f>
        <v/>
      </c>
      <c r="J461" s="8">
        <f>H461/E461</f>
        <v/>
      </c>
      <c r="K461" s="8" t="n">
        <v>9.859999999999999</v>
      </c>
      <c r="L461" s="8" t="n">
        <v>9.859999999999999</v>
      </c>
      <c r="M461" s="8" t="n">
        <v>9.859999999999999</v>
      </c>
      <c r="N461" s="14">
        <f>J461/M461-1</f>
        <v/>
      </c>
      <c r="O461" s="14">
        <f>J461/K461-1</f>
        <v/>
      </c>
      <c r="P461" s="7" t="inlineStr">
        <is>
          <t>ACIMA +30.6%</t>
        </is>
      </c>
      <c r="Q461" s="7" t="inlineStr"/>
    </row>
    <row r="462">
      <c r="A462" s="7" t="n">
        <v>17801</v>
      </c>
      <c r="B462" s="7" t="inlineStr"/>
      <c r="C462" s="12" t="inlineStr">
        <is>
          <t>7896512904324</t>
        </is>
      </c>
      <c r="D462" s="7" t="inlineStr">
        <is>
          <t>PV POLVILHO ANTISSEPTICO FRESH 3,0+0,352+17,602+11,735G PO TOP FR 100G</t>
        </is>
      </c>
      <c r="E462" s="13" t="n">
        <v>1</v>
      </c>
      <c r="F462" s="13" t="n">
        <v>2</v>
      </c>
      <c r="G462" s="13" t="n">
        <v>2</v>
      </c>
      <c r="H462" s="8" t="n">
        <v>12.88</v>
      </c>
      <c r="I462" s="8">
        <f>G462*H462</f>
        <v/>
      </c>
      <c r="J462" s="8">
        <f>H462/E462</f>
        <v/>
      </c>
      <c r="K462" s="8" t="n">
        <v>10.72</v>
      </c>
      <c r="L462" s="8" t="n">
        <v>10.72</v>
      </c>
      <c r="M462" s="8" t="n">
        <v>10.72</v>
      </c>
      <c r="N462" s="14">
        <f>J462/M462-1</f>
        <v/>
      </c>
      <c r="O462" s="14">
        <f>J462/K462-1</f>
        <v/>
      </c>
      <c r="P462" s="7" t="inlineStr">
        <is>
          <t>ACIMA +20.1%</t>
        </is>
      </c>
      <c r="Q462" s="7" t="inlineStr"/>
    </row>
    <row r="463">
      <c r="A463" s="7" t="n">
        <v>204241</v>
      </c>
      <c r="B463" s="7" t="inlineStr"/>
      <c r="C463" s="12" t="inlineStr">
        <is>
          <t>7897337713399</t>
        </is>
      </c>
      <c r="D463" s="7" t="inlineStr">
        <is>
          <t>PV- PEROLA 0,075MG (CARTELA) C/28CP</t>
        </is>
      </c>
      <c r="E463" s="13" t="n">
        <v>1</v>
      </c>
      <c r="F463" s="13" t="n">
        <v>1</v>
      </c>
      <c r="G463" s="13" t="n">
        <v>1</v>
      </c>
      <c r="H463" s="8" t="n">
        <v>96.61199999999999</v>
      </c>
      <c r="I463" s="8">
        <f>G463*H463</f>
        <v/>
      </c>
      <c r="J463" s="8">
        <f>H463/E463</f>
        <v/>
      </c>
      <c r="K463" s="8" t="n">
        <v>86.43000000000001</v>
      </c>
      <c r="L463" s="8" t="n">
        <v>86.43000000000001</v>
      </c>
      <c r="M463" s="8" t="n">
        <v>86.43000000000001</v>
      </c>
      <c r="N463" s="14">
        <f>J463/M463-1</f>
        <v/>
      </c>
      <c r="O463" s="14">
        <f>J463/K463-1</f>
        <v/>
      </c>
      <c r="P463" s="7" t="inlineStr">
        <is>
          <t>ACIMA +11.8%</t>
        </is>
      </c>
      <c r="Q463" s="7" t="inlineStr"/>
    </row>
    <row r="464">
      <c r="A464" s="7" t="n">
        <v>234601</v>
      </c>
      <c r="B464" s="7" t="inlineStr"/>
      <c r="C464" s="12" t="inlineStr">
        <is>
          <t>7896206425906</t>
        </is>
      </c>
      <c r="D464" s="7" t="inlineStr">
        <is>
          <t>PVV - ESOMEPRAZOL MAGNESIO TRIIDRATADO 40MG CX 28 COMP REV</t>
        </is>
      </c>
      <c r="E464" s="13" t="n">
        <v>1</v>
      </c>
      <c r="F464" s="13" t="n">
        <v>3</v>
      </c>
      <c r="G464" s="13" t="n">
        <v>3</v>
      </c>
      <c r="H464" s="8" t="n">
        <v>123.32</v>
      </c>
      <c r="I464" s="8">
        <f>G464*H464</f>
        <v/>
      </c>
      <c r="J464" s="8">
        <f>H464/E464</f>
        <v/>
      </c>
      <c r="K464" s="8" t="n">
        <v>37.7017</v>
      </c>
      <c r="L464" s="8" t="n">
        <v>37.7017</v>
      </c>
      <c r="M464" s="8" t="n">
        <v>37.7017</v>
      </c>
      <c r="N464" s="14">
        <f>J464/M464-1</f>
        <v/>
      </c>
      <c r="O464" s="14">
        <f>J464/K464-1</f>
        <v/>
      </c>
      <c r="P464" s="7" t="inlineStr">
        <is>
          <t>ACIMA +227.1%</t>
        </is>
      </c>
      <c r="Q464" s="7" t="inlineStr">
        <is>
          <t>conferir emb.</t>
        </is>
      </c>
    </row>
    <row r="465">
      <c r="A465" s="7" t="n">
        <v>662901</v>
      </c>
      <c r="B465" s="7" t="inlineStr"/>
      <c r="C465" s="12" t="inlineStr">
        <is>
          <t>7897947619548</t>
        </is>
      </c>
      <c r="D465" s="7" t="inlineStr">
        <is>
          <t>PVV - LAVITAN OMEGA COMPLEX CAP GEL PT X 30 SF</t>
        </is>
      </c>
      <c r="E465" s="13" t="n">
        <v>1</v>
      </c>
      <c r="F465" s="13" t="n">
        <v>1</v>
      </c>
      <c r="G465" s="13" t="n">
        <v>1</v>
      </c>
      <c r="H465" s="8" t="n">
        <v>50.46</v>
      </c>
      <c r="I465" s="8">
        <f>G465*H465</f>
        <v/>
      </c>
      <c r="J465" s="8">
        <f>H465/E465</f>
        <v/>
      </c>
      <c r="K465" s="8" t="n"/>
      <c r="L465" s="8" t="n"/>
      <c r="M465" s="8" t="n"/>
      <c r="N465" s="14" t="n"/>
      <c r="O465" s="14" t="n"/>
      <c r="P465" s="7" t="inlineStr">
        <is>
          <t>SEM HISTÓRICO</t>
        </is>
      </c>
      <c r="Q465" s="7" t="inlineStr"/>
    </row>
    <row r="466">
      <c r="A466" s="7" t="n">
        <v>622891</v>
      </c>
      <c r="B466" s="7" t="inlineStr"/>
      <c r="C466" s="12" t="inlineStr">
        <is>
          <t>7891106908535</t>
        </is>
      </c>
      <c r="D466" s="7" t="inlineStr">
        <is>
          <t>REDOXITOS LARANJA 25 UNIDADES-DEMAIS PROD</t>
        </is>
      </c>
      <c r="E466" s="13" t="n">
        <v>1</v>
      </c>
      <c r="F466" s="13" t="n">
        <v>2</v>
      </c>
      <c r="G466" s="13" t="n">
        <v>2</v>
      </c>
      <c r="H466" s="8" t="n">
        <v>16.393</v>
      </c>
      <c r="I466" s="8">
        <f>G466*H466</f>
        <v/>
      </c>
      <c r="J466" s="8">
        <f>H466/E466</f>
        <v/>
      </c>
      <c r="K466" s="8" t="n">
        <v>16.18</v>
      </c>
      <c r="L466" s="8" t="n">
        <v>14.7067</v>
      </c>
      <c r="M466" s="8" t="n">
        <v>15.63223333333333</v>
      </c>
      <c r="N466" s="14">
        <f>J466/M466-1</f>
        <v/>
      </c>
      <c r="O466" s="14">
        <f>J466/K466-1</f>
        <v/>
      </c>
      <c r="P466" s="7" t="inlineStr">
        <is>
          <t>ACIMA +1.3%</t>
        </is>
      </c>
      <c r="Q466" s="7" t="inlineStr"/>
    </row>
    <row r="467">
      <c r="A467" s="7" t="n">
        <v>598361</v>
      </c>
      <c r="B467" s="7" t="inlineStr"/>
      <c r="C467" s="12" t="inlineStr">
        <is>
          <t>7896902201255</t>
        </is>
      </c>
      <c r="D467" s="7" t="inlineStr">
        <is>
          <t>REMOV ESM FARMAX 100ML S/ACET VITAM</t>
        </is>
      </c>
      <c r="E467" s="13" t="n">
        <v>1</v>
      </c>
      <c r="F467" s="13" t="n">
        <v>3</v>
      </c>
      <c r="G467" s="13" t="n">
        <v>3</v>
      </c>
      <c r="H467" s="8" t="n">
        <v>3.79</v>
      </c>
      <c r="I467" s="8">
        <f>G467*H467</f>
        <v/>
      </c>
      <c r="J467" s="8">
        <f>H467/E467</f>
        <v/>
      </c>
      <c r="K467" s="8" t="n">
        <v>4.56</v>
      </c>
      <c r="L467" s="8" t="n">
        <v>4.56</v>
      </c>
      <c r="M467" s="8" t="n">
        <v>4.56</v>
      </c>
      <c r="N467" s="14">
        <f>J467/M467-1</f>
        <v/>
      </c>
      <c r="O467" s="14">
        <f>J467/K467-1</f>
        <v/>
      </c>
      <c r="P467" s="7" t="inlineStr">
        <is>
          <t>OK (≤ menor hist.)</t>
        </is>
      </c>
      <c r="Q467" s="7" t="inlineStr"/>
    </row>
    <row r="468">
      <c r="A468" s="7" t="n">
        <v>664401</v>
      </c>
      <c r="B468" s="7" t="inlineStr"/>
      <c r="C468" s="12" t="inlineStr">
        <is>
          <t>7899420508370</t>
        </is>
      </c>
      <c r="D468" s="7" t="inlineStr">
        <is>
          <t>RENOVI B PLUS 5+100+100+4,3MG SOL INJ 3 DOSES AMP</t>
        </is>
      </c>
      <c r="E468" s="13" t="n">
        <v>1</v>
      </c>
      <c r="F468" s="13" t="n">
        <v>1</v>
      </c>
      <c r="G468" s="13" t="n">
        <v>1</v>
      </c>
      <c r="H468" s="8" t="n">
        <v>40.55240000000001</v>
      </c>
      <c r="I468" s="8">
        <f>G468*H468</f>
        <v/>
      </c>
      <c r="J468" s="8">
        <f>H468/E468</f>
        <v/>
      </c>
      <c r="K468" s="8" t="n">
        <v>37.9567</v>
      </c>
      <c r="L468" s="8" t="n">
        <v>37.9567</v>
      </c>
      <c r="M468" s="8" t="n">
        <v>37.9567</v>
      </c>
      <c r="N468" s="14">
        <f>J468/M468-1</f>
        <v/>
      </c>
      <c r="O468" s="14">
        <f>J468/K468-1</f>
        <v/>
      </c>
      <c r="P468" s="7" t="inlineStr">
        <is>
          <t>ACIMA +6.8%</t>
        </is>
      </c>
      <c r="Q468" s="7" t="inlineStr"/>
    </row>
    <row r="469">
      <c r="A469" s="7" t="n">
        <v>607761</v>
      </c>
      <c r="B469" s="7" t="inlineStr"/>
      <c r="C469" s="12" t="inlineStr">
        <is>
          <t>7894650009567</t>
        </is>
      </c>
      <c r="D469" s="7" t="inlineStr">
        <is>
          <t>REP OFF FAMILY SPRAY 170ML</t>
        </is>
      </c>
      <c r="E469" s="13" t="n">
        <v>1</v>
      </c>
      <c r="F469" s="13" t="n">
        <v>2</v>
      </c>
      <c r="G469" s="13" t="n">
        <v>2</v>
      </c>
      <c r="H469" s="8" t="n">
        <v>17.2</v>
      </c>
      <c r="I469" s="8">
        <f>G469*H469</f>
        <v/>
      </c>
      <c r="J469" s="8">
        <f>H469/E469</f>
        <v/>
      </c>
      <c r="K469" s="8" t="n">
        <v>18.38</v>
      </c>
      <c r="L469" s="8" t="n">
        <v>18.38</v>
      </c>
      <c r="M469" s="8" t="n">
        <v>18.38</v>
      </c>
      <c r="N469" s="14">
        <f>J469/M469-1</f>
        <v/>
      </c>
      <c r="O469" s="14">
        <f>J469/K469-1</f>
        <v/>
      </c>
      <c r="P469" s="7" t="inlineStr">
        <is>
          <t>OK (≤ menor hist.)</t>
        </is>
      </c>
      <c r="Q469" s="7" t="inlineStr"/>
    </row>
    <row r="470">
      <c r="A470" s="7" t="n">
        <v>544781</v>
      </c>
      <c r="B470" s="7" t="inlineStr"/>
      <c r="C470" s="12" t="inlineStr">
        <is>
          <t>7894650005712</t>
        </is>
      </c>
      <c r="D470" s="7" t="inlineStr">
        <is>
          <t>REP OFF KIDS LOCAO 117ML</t>
        </is>
      </c>
      <c r="E470" s="13" t="n">
        <v>1</v>
      </c>
      <c r="F470" s="13" t="n">
        <v>3</v>
      </c>
      <c r="G470" s="13" t="n">
        <v>3</v>
      </c>
      <c r="H470" s="8" t="n">
        <v>19.84</v>
      </c>
      <c r="I470" s="8">
        <f>G470*H470</f>
        <v/>
      </c>
      <c r="J470" s="8">
        <f>H470/E470</f>
        <v/>
      </c>
      <c r="K470" s="8" t="n">
        <v>20.92</v>
      </c>
      <c r="L470" s="8" t="n">
        <v>20.92</v>
      </c>
      <c r="M470" s="8" t="n">
        <v>20.92</v>
      </c>
      <c r="N470" s="14">
        <f>J470/M470-1</f>
        <v/>
      </c>
      <c r="O470" s="14">
        <f>J470/K470-1</f>
        <v/>
      </c>
      <c r="P470" s="7" t="inlineStr">
        <is>
          <t>OK (≤ menor hist.)</t>
        </is>
      </c>
      <c r="Q470" s="7" t="inlineStr"/>
    </row>
    <row r="471">
      <c r="A471" s="7" t="n">
        <v>1603</v>
      </c>
      <c r="B471" s="7" t="inlineStr"/>
      <c r="C471" s="12" t="inlineStr">
        <is>
          <t>7891010913908</t>
        </is>
      </c>
      <c r="D471" s="7" t="inlineStr">
        <is>
          <t>REPEL J&amp;J BABY ANTI MOSQ 200ML-DEMAIS PROD</t>
        </is>
      </c>
      <c r="E471" s="13" t="n">
        <v>1</v>
      </c>
      <c r="F471" s="13" t="n">
        <v>1</v>
      </c>
      <c r="G471" s="13" t="n">
        <v>1</v>
      </c>
      <c r="H471" s="8" t="n">
        <v>66.73</v>
      </c>
      <c r="I471" s="8">
        <f>G471*H471</f>
        <v/>
      </c>
      <c r="J471" s="8">
        <f>H471/E471</f>
        <v/>
      </c>
      <c r="K471" s="8" t="n">
        <v>50.15</v>
      </c>
      <c r="L471" s="8" t="n">
        <v>50.15</v>
      </c>
      <c r="M471" s="8" t="n">
        <v>50.15</v>
      </c>
      <c r="N471" s="14">
        <f>J471/M471-1</f>
        <v/>
      </c>
      <c r="O471" s="14">
        <f>J471/K471-1</f>
        <v/>
      </c>
      <c r="P471" s="7" t="inlineStr">
        <is>
          <t>ACIMA +33.1%</t>
        </is>
      </c>
      <c r="Q471" s="7" t="inlineStr"/>
    </row>
    <row r="472">
      <c r="A472" s="7" t="n">
        <v>590231</v>
      </c>
      <c r="B472" s="7" t="inlineStr"/>
      <c r="C472" s="12" t="inlineStr">
        <is>
          <t>7894650940006</t>
        </is>
      </c>
      <c r="D472" s="7" t="inlineStr">
        <is>
          <t>REPEL OFF LOCAO 200ML OF</t>
        </is>
      </c>
      <c r="E472" s="13" t="n">
        <v>1</v>
      </c>
      <c r="F472" s="13" t="n">
        <v>4</v>
      </c>
      <c r="G472" s="13" t="n">
        <v>4</v>
      </c>
      <c r="H472" s="8" t="n">
        <v>17.09</v>
      </c>
      <c r="I472" s="8">
        <f>G472*H472</f>
        <v/>
      </c>
      <c r="J472" s="8">
        <f>H472/E472</f>
        <v/>
      </c>
      <c r="K472" s="8" t="n">
        <v>19.9</v>
      </c>
      <c r="L472" s="8" t="n">
        <v>19.9</v>
      </c>
      <c r="M472" s="8" t="n">
        <v>19.9</v>
      </c>
      <c r="N472" s="14">
        <f>J472/M472-1</f>
        <v/>
      </c>
      <c r="O472" s="14">
        <f>J472/K472-1</f>
        <v/>
      </c>
      <c r="P472" s="7" t="inlineStr">
        <is>
          <t>OK (≤ menor hist.)</t>
        </is>
      </c>
      <c r="Q472" s="7" t="inlineStr"/>
    </row>
    <row r="473">
      <c r="A473" s="7" t="n">
        <v>590241</v>
      </c>
      <c r="B473" s="7" t="inlineStr"/>
      <c r="C473" s="12" t="inlineStr">
        <is>
          <t>7894650013380</t>
        </is>
      </c>
      <c r="D473" s="7" t="inlineStr">
        <is>
          <t>REPEL OFF LOCAO BABY 117ML</t>
        </is>
      </c>
      <c r="E473" s="13" t="n">
        <v>1</v>
      </c>
      <c r="F473" s="13" t="n">
        <v>1</v>
      </c>
      <c r="G473" s="13" t="n">
        <v>1</v>
      </c>
      <c r="H473" s="8" t="n">
        <v>27.22</v>
      </c>
      <c r="I473" s="8">
        <f>G473*H473</f>
        <v/>
      </c>
      <c r="J473" s="8">
        <f>H473/E473</f>
        <v/>
      </c>
      <c r="K473" s="8" t="n">
        <v>25.34</v>
      </c>
      <c r="L473" s="8" t="n">
        <v>25.34</v>
      </c>
      <c r="M473" s="8" t="n">
        <v>25.34</v>
      </c>
      <c r="N473" s="14">
        <f>J473/M473-1</f>
        <v/>
      </c>
      <c r="O473" s="14">
        <f>J473/K473-1</f>
        <v/>
      </c>
      <c r="P473" s="7" t="inlineStr">
        <is>
          <t>ACIMA +7.4%</t>
        </is>
      </c>
      <c r="Q473" s="7" t="inlineStr"/>
    </row>
    <row r="474">
      <c r="A474" s="7" t="n">
        <v>662471</v>
      </c>
      <c r="B474" s="7" t="inlineStr"/>
      <c r="C474" s="12" t="inlineStr">
        <is>
          <t>7894916325882</t>
        </is>
      </c>
      <c r="D474" s="7" t="inlineStr">
        <is>
          <t>REPOFLOR 250/250MG FR CAP</t>
        </is>
      </c>
      <c r="E474" s="13" t="n">
        <v>1</v>
      </c>
      <c r="F474" s="13" t="n">
        <v>1</v>
      </c>
      <c r="G474" s="13" t="n">
        <v>1</v>
      </c>
      <c r="H474" s="8" t="n">
        <v>35.22</v>
      </c>
      <c r="I474" s="8">
        <f>G474*H474</f>
        <v/>
      </c>
      <c r="J474" s="8">
        <f>H474/E474</f>
        <v/>
      </c>
      <c r="K474" s="8" t="n">
        <v>22.13</v>
      </c>
      <c r="L474" s="8" t="n">
        <v>22.13</v>
      </c>
      <c r="M474" s="8" t="n">
        <v>22.13</v>
      </c>
      <c r="N474" s="14">
        <f>J474/M474-1</f>
        <v/>
      </c>
      <c r="O474" s="14">
        <f>J474/K474-1</f>
        <v/>
      </c>
      <c r="P474" s="7" t="inlineStr">
        <is>
          <t>ACIMA +59.2%</t>
        </is>
      </c>
      <c r="Q474" s="7" t="inlineStr"/>
    </row>
    <row r="475">
      <c r="A475" s="7" t="n">
        <v>619441</v>
      </c>
      <c r="B475" s="7" t="inlineStr"/>
      <c r="C475" s="12" t="inlineStr">
        <is>
          <t>7897947617483</t>
        </is>
      </c>
      <c r="D475" s="7" t="inlineStr">
        <is>
          <t>RESSALIV SOL   FLAC 10ML SBR ABACAXI</t>
        </is>
      </c>
      <c r="E475" s="13" t="n">
        <v>1</v>
      </c>
      <c r="F475" s="13" t="n">
        <v>2</v>
      </c>
      <c r="G475" s="13" t="n">
        <v>2</v>
      </c>
      <c r="H475" s="8" t="n">
        <v>34.51</v>
      </c>
      <c r="I475" s="8">
        <f>G475*H475</f>
        <v/>
      </c>
      <c r="J475" s="8">
        <f>H475/E475</f>
        <v/>
      </c>
      <c r="K475" s="8" t="n">
        <v>0.4998</v>
      </c>
      <c r="L475" s="8" t="n">
        <v>0.4998</v>
      </c>
      <c r="M475" s="8" t="n">
        <v>0.4998</v>
      </c>
      <c r="N475" s="14">
        <f>J475/M475-1</f>
        <v/>
      </c>
      <c r="O475" s="14">
        <f>J475/K475-1</f>
        <v/>
      </c>
      <c r="P475" s="7" t="inlineStr">
        <is>
          <t>ACIMA +6804.8%</t>
        </is>
      </c>
      <c r="Q475" s="7" t="inlineStr">
        <is>
          <t>conferir emb.</t>
        </is>
      </c>
    </row>
    <row r="476">
      <c r="A476" s="7" t="n">
        <v>696001</v>
      </c>
      <c r="B476" s="7" t="inlineStr"/>
      <c r="C476" s="12" t="inlineStr">
        <is>
          <t>0609963220526</t>
        </is>
      </c>
      <c r="D476" s="7" t="inlineStr">
        <is>
          <t>RN-0,3 SERUM RETINOL 0,3%+VIT E 30ML</t>
        </is>
      </c>
      <c r="E476" s="13" t="n">
        <v>1</v>
      </c>
      <c r="F476" s="13" t="n">
        <v>1</v>
      </c>
      <c r="G476" s="13" t="n">
        <v>1</v>
      </c>
      <c r="H476" s="8" t="n">
        <v>57.52</v>
      </c>
      <c r="I476" s="8">
        <f>G476*H476</f>
        <v/>
      </c>
      <c r="J476" s="8">
        <f>H476/E476</f>
        <v/>
      </c>
      <c r="K476" s="8" t="n">
        <v>49.48</v>
      </c>
      <c r="L476" s="8" t="n">
        <v>49.48</v>
      </c>
      <c r="M476" s="8" t="n">
        <v>49.48</v>
      </c>
      <c r="N476" s="14">
        <f>J476/M476-1</f>
        <v/>
      </c>
      <c r="O476" s="14">
        <f>J476/K476-1</f>
        <v/>
      </c>
      <c r="P476" s="7" t="inlineStr">
        <is>
          <t>ACIMA +16.2%</t>
        </is>
      </c>
      <c r="Q476" s="7" t="inlineStr"/>
    </row>
    <row r="477">
      <c r="A477" s="7" t="n">
        <v>427821</v>
      </c>
      <c r="B477" s="7" t="inlineStr"/>
      <c r="C477" s="12" t="inlineStr">
        <is>
          <t>8902220109506</t>
        </is>
      </c>
      <c r="D477" s="7" t="inlineStr">
        <is>
          <t>ROSUCOR 10MG CX 30 COMP REV</t>
        </is>
      </c>
      <c r="E477" s="13" t="n">
        <v>1</v>
      </c>
      <c r="F477" s="13" t="n">
        <v>1</v>
      </c>
      <c r="G477" s="13" t="n">
        <v>1</v>
      </c>
      <c r="H477" s="8" t="n">
        <v>33.65920000000001</v>
      </c>
      <c r="I477" s="8">
        <f>G477*H477</f>
        <v/>
      </c>
      <c r="J477" s="8">
        <f>H477/E477</f>
        <v/>
      </c>
      <c r="K477" s="8" t="n">
        <v>33.14</v>
      </c>
      <c r="L477" s="8" t="n">
        <v>28.21</v>
      </c>
      <c r="M477" s="8" t="n">
        <v>31.49666666666667</v>
      </c>
      <c r="N477" s="14">
        <f>J477/M477-1</f>
        <v/>
      </c>
      <c r="O477" s="14">
        <f>J477/K477-1</f>
        <v/>
      </c>
      <c r="P477" s="7" t="inlineStr">
        <is>
          <t>ACIMA +1.6%</t>
        </is>
      </c>
      <c r="Q477" s="7" t="inlineStr"/>
    </row>
    <row r="478">
      <c r="A478" s="7" t="n">
        <v>427841</v>
      </c>
      <c r="B478" s="7" t="inlineStr"/>
      <c r="C478" s="12" t="inlineStr">
        <is>
          <t>8902220109520</t>
        </is>
      </c>
      <c r="D478" s="7" t="inlineStr">
        <is>
          <t>ROSUCOR 20MG CX 30 COMP REV</t>
        </is>
      </c>
      <c r="E478" s="13" t="n">
        <v>1</v>
      </c>
      <c r="F478" s="13" t="n">
        <v>1</v>
      </c>
      <c r="G478" s="13" t="n">
        <v>1</v>
      </c>
      <c r="H478" s="8" t="n">
        <v>57.56225</v>
      </c>
      <c r="I478" s="8">
        <f>G478*H478</f>
        <v/>
      </c>
      <c r="J478" s="8">
        <f>H478/E478</f>
        <v/>
      </c>
      <c r="K478" s="8" t="n">
        <v>58.89</v>
      </c>
      <c r="L478" s="8" t="n">
        <v>46.56</v>
      </c>
      <c r="M478" s="8" t="n">
        <v>52.915</v>
      </c>
      <c r="N478" s="14">
        <f>J478/M478-1</f>
        <v/>
      </c>
      <c r="O478" s="14">
        <f>J478/K478-1</f>
        <v/>
      </c>
      <c r="P478" s="7" t="inlineStr">
        <is>
          <t>OK (≤ últ. compra)</t>
        </is>
      </c>
      <c r="Q478" s="7" t="inlineStr"/>
    </row>
    <row r="479">
      <c r="A479" s="7" t="n">
        <v>426321</v>
      </c>
      <c r="B479" s="7" t="inlineStr"/>
      <c r="C479" s="12" t="inlineStr">
        <is>
          <t>7896422528580</t>
        </is>
      </c>
      <c r="D479" s="7" t="inlineStr">
        <is>
          <t>ROSUVASTATINA CALCICA 10MG CX 30 COMP REV</t>
        </is>
      </c>
      <c r="E479" s="13" t="n">
        <v>1</v>
      </c>
      <c r="F479" s="13" t="n">
        <v>5</v>
      </c>
      <c r="G479" s="13" t="n">
        <v>5</v>
      </c>
      <c r="H479" s="8" t="n">
        <v>37.690797</v>
      </c>
      <c r="I479" s="8">
        <f>G479*H479</f>
        <v/>
      </c>
      <c r="J479" s="8">
        <f>H479/E479</f>
        <v/>
      </c>
      <c r="K479" s="8" t="n">
        <v>6.47</v>
      </c>
      <c r="L479" s="8" t="n">
        <v>4.0392</v>
      </c>
      <c r="M479" s="8" t="n">
        <v>5.659733333333333</v>
      </c>
      <c r="N479" s="14">
        <f>J479/M479-1</f>
        <v/>
      </c>
      <c r="O479" s="14">
        <f>J479/K479-1</f>
        <v/>
      </c>
      <c r="P479" s="7" t="inlineStr">
        <is>
          <t>ACIMA +482.5%</t>
        </is>
      </c>
      <c r="Q479" s="7" t="inlineStr">
        <is>
          <t>conferir emb.</t>
        </is>
      </c>
    </row>
    <row r="480">
      <c r="A480" s="7" t="n">
        <v>425921</v>
      </c>
      <c r="B480" s="7" t="inlineStr"/>
      <c r="C480" s="12" t="inlineStr">
        <is>
          <t>8902220109544</t>
        </is>
      </c>
      <c r="D480" s="7" t="inlineStr">
        <is>
          <t>ROSUVASTATINA CALCICA 10MG CX 30 COMP REV</t>
        </is>
      </c>
      <c r="E480" s="13" t="n">
        <v>1</v>
      </c>
      <c r="F480" s="13" t="n">
        <v>2</v>
      </c>
      <c r="G480" s="13" t="n">
        <v>2</v>
      </c>
      <c r="H480" s="8" t="n">
        <v>52.31</v>
      </c>
      <c r="I480" s="8">
        <f>G480*H480</f>
        <v/>
      </c>
      <c r="J480" s="8">
        <f>H480/E480</f>
        <v/>
      </c>
      <c r="K480" s="8" t="n">
        <v>8.16</v>
      </c>
      <c r="L480" s="8" t="n">
        <v>8.16</v>
      </c>
      <c r="M480" s="8" t="n">
        <v>8.16</v>
      </c>
      <c r="N480" s="14">
        <f>J480/M480-1</f>
        <v/>
      </c>
      <c r="O480" s="14">
        <f>J480/K480-1</f>
        <v/>
      </c>
      <c r="P480" s="7" t="inlineStr">
        <is>
          <t>ACIMA +541.1%</t>
        </is>
      </c>
      <c r="Q480" s="7" t="inlineStr">
        <is>
          <t>conferir emb.</t>
        </is>
      </c>
    </row>
    <row r="481">
      <c r="A481" s="7" t="n">
        <v>663181</v>
      </c>
      <c r="B481" s="7" t="inlineStr"/>
      <c r="C481" s="12" t="inlineStr">
        <is>
          <t>7891150090989</t>
        </is>
      </c>
      <c r="D481" s="7" t="inlineStr">
        <is>
          <t>SAB BAR GLIC ESSENC BR BROMELIA 100G</t>
        </is>
      </c>
      <c r="E481" s="13" t="n">
        <v>1</v>
      </c>
      <c r="F481" s="13" t="n">
        <v>3</v>
      </c>
      <c r="G481" s="13" t="n">
        <v>3</v>
      </c>
      <c r="H481" s="8" t="n">
        <v>4</v>
      </c>
      <c r="I481" s="8">
        <f>G481*H481</f>
        <v/>
      </c>
      <c r="J481" s="8">
        <f>H481/E481</f>
        <v/>
      </c>
      <c r="K481" s="8" t="n">
        <v>3.1208</v>
      </c>
      <c r="L481" s="8" t="n">
        <v>3.1208</v>
      </c>
      <c r="M481" s="8" t="n">
        <v>3.1208</v>
      </c>
      <c r="N481" s="14">
        <f>J481/M481-1</f>
        <v/>
      </c>
      <c r="O481" s="14">
        <f>J481/K481-1</f>
        <v/>
      </c>
      <c r="P481" s="7" t="inlineStr">
        <is>
          <t>ACIMA +28.2%</t>
        </is>
      </c>
      <c r="Q481" s="7" t="inlineStr"/>
    </row>
    <row r="482">
      <c r="A482" s="7" t="n">
        <v>663201</v>
      </c>
      <c r="B482" s="7" t="inlineStr"/>
      <c r="C482" s="12" t="inlineStr">
        <is>
          <t>7891150090996</t>
        </is>
      </c>
      <c r="D482" s="7" t="inlineStr">
        <is>
          <t>SAB BAR GLIC ESSENC BR FLOR CAJ 100G   UNIL %DN:17.00</t>
        </is>
      </c>
      <c r="E482" s="13" t="n">
        <v>1</v>
      </c>
      <c r="F482" s="13" t="n">
        <v>3</v>
      </c>
      <c r="G482" s="13" t="n">
        <v>3</v>
      </c>
      <c r="H482" s="8" t="n">
        <v>4</v>
      </c>
      <c r="I482" s="8">
        <f>G482*H482</f>
        <v/>
      </c>
      <c r="J482" s="8">
        <f>H482/E482</f>
        <v/>
      </c>
      <c r="K482" s="8" t="n">
        <v>3.1208</v>
      </c>
      <c r="L482" s="8" t="n">
        <v>3.1208</v>
      </c>
      <c r="M482" s="8" t="n">
        <v>3.1208</v>
      </c>
      <c r="N482" s="14">
        <f>J482/M482-1</f>
        <v/>
      </c>
      <c r="O482" s="14">
        <f>J482/K482-1</f>
        <v/>
      </c>
      <c r="P482" s="7" t="inlineStr">
        <is>
          <t>ACIMA +28.2%</t>
        </is>
      </c>
      <c r="Q482" s="7" t="inlineStr"/>
    </row>
    <row r="483">
      <c r="A483" s="7" t="n">
        <v>623921</v>
      </c>
      <c r="B483" s="7" t="inlineStr"/>
      <c r="C483" s="12" t="inlineStr">
        <is>
          <t>7509546678832</t>
        </is>
      </c>
      <c r="D483" s="7" t="inlineStr">
        <is>
          <t>SAB BARRA PROTEX CARVAO 85G</t>
        </is>
      </c>
      <c r="E483" s="13" t="n">
        <v>1</v>
      </c>
      <c r="F483" s="13" t="n">
        <v>2</v>
      </c>
      <c r="G483" s="13" t="n">
        <v>2</v>
      </c>
      <c r="H483" s="8" t="n">
        <v>3.55</v>
      </c>
      <c r="I483" s="8">
        <f>G483*H483</f>
        <v/>
      </c>
      <c r="J483" s="8">
        <f>H483/E483</f>
        <v/>
      </c>
      <c r="K483" s="8" t="n">
        <v>3.75</v>
      </c>
      <c r="L483" s="8" t="n">
        <v>3.75</v>
      </c>
      <c r="M483" s="8" t="n">
        <v>3.75</v>
      </c>
      <c r="N483" s="14">
        <f>J483/M483-1</f>
        <v/>
      </c>
      <c r="O483" s="14">
        <f>J483/K483-1</f>
        <v/>
      </c>
      <c r="P483" s="7" t="inlineStr">
        <is>
          <t>OK (≤ menor hist.)</t>
        </is>
      </c>
      <c r="Q483" s="7" t="inlineStr"/>
    </row>
    <row r="484">
      <c r="A484" s="7" t="n">
        <v>590251</v>
      </c>
      <c r="B484" s="7" t="inlineStr"/>
      <c r="C484" s="12" t="inlineStr">
        <is>
          <t>7898422746759</t>
        </is>
      </c>
      <c r="D484" s="7" t="inlineStr">
        <is>
          <t>SAB DOVE 90G CREMOSO</t>
        </is>
      </c>
      <c r="E484" s="13" t="n">
        <v>1</v>
      </c>
      <c r="F484" s="13" t="n">
        <v>1</v>
      </c>
      <c r="G484" s="13" t="n">
        <v>1</v>
      </c>
      <c r="H484" s="8" t="n">
        <v>5.41</v>
      </c>
      <c r="I484" s="8">
        <f>G484*H484</f>
        <v/>
      </c>
      <c r="J484" s="8">
        <f>H484/E484</f>
        <v/>
      </c>
      <c r="K484" s="8" t="n">
        <v>3.7046</v>
      </c>
      <c r="L484" s="8" t="n">
        <v>3.7046</v>
      </c>
      <c r="M484" s="8" t="n">
        <v>3.704600000000001</v>
      </c>
      <c r="N484" s="14">
        <f>J484/M484-1</f>
        <v/>
      </c>
      <c r="O484" s="14">
        <f>J484/K484-1</f>
        <v/>
      </c>
      <c r="P484" s="7" t="inlineStr">
        <is>
          <t>ACIMA +46.0%</t>
        </is>
      </c>
      <c r="Q484" s="7" t="inlineStr"/>
    </row>
    <row r="485">
      <c r="A485" s="7" t="n">
        <v>615871</v>
      </c>
      <c r="B485" s="7" t="inlineStr"/>
      <c r="C485" s="12" t="inlineStr">
        <is>
          <t>7891150034075</t>
        </is>
      </c>
      <c r="D485" s="7" t="inlineStr">
        <is>
          <t>SAB DOVE 90G LEITE DE COCO</t>
        </is>
      </c>
      <c r="E485" s="13" t="n">
        <v>1</v>
      </c>
      <c r="F485" s="13" t="n">
        <v>4</v>
      </c>
      <c r="G485" s="13" t="n">
        <v>4</v>
      </c>
      <c r="H485" s="8" t="n">
        <v>5.41</v>
      </c>
      <c r="I485" s="8">
        <f>G485*H485</f>
        <v/>
      </c>
      <c r="J485" s="8">
        <f>H485/E485</f>
        <v/>
      </c>
      <c r="K485" s="8" t="n">
        <v>3.7183</v>
      </c>
      <c r="L485" s="8" t="n">
        <v>3.7183</v>
      </c>
      <c r="M485" s="8" t="n">
        <v>3.718300000000001</v>
      </c>
      <c r="N485" s="14">
        <f>J485/M485-1</f>
        <v/>
      </c>
      <c r="O485" s="14">
        <f>J485/K485-1</f>
        <v/>
      </c>
      <c r="P485" s="7" t="inlineStr">
        <is>
          <t>ACIMA +45.5%</t>
        </is>
      </c>
      <c r="Q485" s="7" t="inlineStr"/>
    </row>
    <row r="486">
      <c r="A486" s="7" t="n">
        <v>615891</v>
      </c>
      <c r="B486" s="7" t="inlineStr"/>
      <c r="C486" s="12" t="inlineStr">
        <is>
          <t>7891150057470</t>
        </is>
      </c>
      <c r="D486" s="7" t="inlineStr">
        <is>
          <t>SAB DOVE 90G MICELAR ANTI STR.</t>
        </is>
      </c>
      <c r="E486" s="13" t="n">
        <v>1</v>
      </c>
      <c r="F486" s="13" t="n">
        <v>4</v>
      </c>
      <c r="G486" s="13" t="n">
        <v>4</v>
      </c>
      <c r="H486" s="8" t="n">
        <v>5.26</v>
      </c>
      <c r="I486" s="8">
        <f>G486*H486</f>
        <v/>
      </c>
      <c r="J486" s="8">
        <f>H486/E486</f>
        <v/>
      </c>
      <c r="K486" s="8" t="n">
        <v>5.0925</v>
      </c>
      <c r="L486" s="8" t="n">
        <v>4.5025</v>
      </c>
      <c r="M486" s="8" t="n">
        <v>4.895833333333333</v>
      </c>
      <c r="N486" s="14">
        <f>J486/M486-1</f>
        <v/>
      </c>
      <c r="O486" s="14">
        <f>J486/K486-1</f>
        <v/>
      </c>
      <c r="P486" s="7" t="inlineStr">
        <is>
          <t>ACIMA +3.3%</t>
        </is>
      </c>
      <c r="Q486" s="7" t="inlineStr"/>
    </row>
    <row r="487">
      <c r="A487" s="7" t="n">
        <v>615901</v>
      </c>
      <c r="B487" s="7" t="inlineStr"/>
      <c r="C487" s="12" t="inlineStr">
        <is>
          <t>7891150043923</t>
        </is>
      </c>
      <c r="D487" s="7" t="inlineStr">
        <is>
          <t>SAB DOVE 90G REVIGORANTE</t>
        </is>
      </c>
      <c r="E487" s="13" t="n">
        <v>1</v>
      </c>
      <c r="F487" s="13" t="n">
        <v>4</v>
      </c>
      <c r="G487" s="13" t="n">
        <v>4</v>
      </c>
      <c r="H487" s="8" t="n">
        <v>5.26</v>
      </c>
      <c r="I487" s="8">
        <f>G487*H487</f>
        <v/>
      </c>
      <c r="J487" s="8">
        <f>H487/E487</f>
        <v/>
      </c>
      <c r="K487" s="8" t="n">
        <v>5.0925</v>
      </c>
      <c r="L487" s="8" t="n">
        <v>5.0925</v>
      </c>
      <c r="M487" s="8" t="n">
        <v>5.0925</v>
      </c>
      <c r="N487" s="14">
        <f>J487/M487-1</f>
        <v/>
      </c>
      <c r="O487" s="14">
        <f>J487/K487-1</f>
        <v/>
      </c>
      <c r="P487" s="7" t="inlineStr">
        <is>
          <t>ACIMA +3.3%</t>
        </is>
      </c>
      <c r="Q487" s="7" t="inlineStr"/>
    </row>
    <row r="488">
      <c r="A488" s="7" t="n">
        <v>610851</v>
      </c>
      <c r="B488" s="7" t="inlineStr"/>
      <c r="C488" s="12" t="inlineStr">
        <is>
          <t>7891150075382</t>
        </is>
      </c>
      <c r="D488" s="7" t="inlineStr">
        <is>
          <t>SAB DOVE ANTIBAC</t>
        </is>
      </c>
      <c r="E488" s="13" t="n">
        <v>1</v>
      </c>
      <c r="F488" s="13" t="n">
        <v>4</v>
      </c>
      <c r="G488" s="13" t="n">
        <v>4</v>
      </c>
      <c r="H488" s="8" t="n">
        <v>5.26</v>
      </c>
      <c r="I488" s="8">
        <f>G488*H488</f>
        <v/>
      </c>
      <c r="J488" s="8">
        <f>H488/E488</f>
        <v/>
      </c>
      <c r="K488" s="8" t="n">
        <v>5.0925</v>
      </c>
      <c r="L488" s="8" t="n">
        <v>5.0925</v>
      </c>
      <c r="M488" s="8" t="n">
        <v>5.0925</v>
      </c>
      <c r="N488" s="14">
        <f>J488/M488-1</f>
        <v/>
      </c>
      <c r="O488" s="14">
        <f>J488/K488-1</f>
        <v/>
      </c>
      <c r="P488" s="7" t="inlineStr">
        <is>
          <t>ACIMA +3.3%</t>
        </is>
      </c>
      <c r="Q488" s="7" t="inlineStr">
        <is>
          <t>estoque parcial (1 un)</t>
        </is>
      </c>
    </row>
    <row r="489">
      <c r="A489" s="7" t="n">
        <v>660551</v>
      </c>
      <c r="B489" s="7" t="inlineStr"/>
      <c r="C489" s="12" t="inlineStr">
        <is>
          <t>7891150044654</t>
        </is>
      </c>
      <c r="D489" s="7" t="inlineStr">
        <is>
          <t>SAB DOVE KARITE/BAUNI 90G</t>
        </is>
      </c>
      <c r="E489" s="13" t="n">
        <v>1</v>
      </c>
      <c r="F489" s="13" t="n">
        <v>1</v>
      </c>
      <c r="G489" s="13" t="n">
        <v>1</v>
      </c>
      <c r="H489" s="8" t="n">
        <v>27.85</v>
      </c>
      <c r="I489" s="8">
        <f>G489*H489</f>
        <v/>
      </c>
      <c r="J489" s="8">
        <f>H489/E489</f>
        <v/>
      </c>
      <c r="K489" s="8" t="n">
        <v>21.04</v>
      </c>
      <c r="L489" s="8" t="n">
        <v>21.04</v>
      </c>
      <c r="M489" s="8" t="n">
        <v>21.04</v>
      </c>
      <c r="N489" s="14">
        <f>J489/M489-1</f>
        <v/>
      </c>
      <c r="O489" s="14">
        <f>J489/K489-1</f>
        <v/>
      </c>
      <c r="P489" s="7" t="inlineStr">
        <is>
          <t>ACIMA +32.4%</t>
        </is>
      </c>
      <c r="Q489" s="7" t="inlineStr"/>
    </row>
    <row r="490">
      <c r="A490" s="7" t="n">
        <v>663241</v>
      </c>
      <c r="B490" s="7" t="inlineStr"/>
      <c r="C490" s="12" t="inlineStr">
        <is>
          <t>7891150095694</t>
        </is>
      </c>
      <c r="D490" s="7" t="inlineStr">
        <is>
          <t>SAB DOVE LIQ PELE SENSIVEL 250ML   UNIL %DN:17.00</t>
        </is>
      </c>
      <c r="E490" s="13" t="n">
        <v>1</v>
      </c>
      <c r="F490" s="13" t="n">
        <v>1</v>
      </c>
      <c r="G490" s="13" t="n">
        <v>1</v>
      </c>
      <c r="H490" s="8" t="n">
        <v>12.38</v>
      </c>
      <c r="I490" s="8">
        <f>G490*H490</f>
        <v/>
      </c>
      <c r="J490" s="8">
        <f>H490/E490</f>
        <v/>
      </c>
      <c r="K490" s="8" t="n">
        <v>11.685</v>
      </c>
      <c r="L490" s="8" t="n">
        <v>10.565</v>
      </c>
      <c r="M490" s="8" t="n">
        <v>11.31166666666667</v>
      </c>
      <c r="N490" s="14">
        <f>J490/M490-1</f>
        <v/>
      </c>
      <c r="O490" s="14">
        <f>J490/K490-1</f>
        <v/>
      </c>
      <c r="P490" s="7" t="inlineStr">
        <is>
          <t>ACIMA +5.9%</t>
        </is>
      </c>
      <c r="Q490" s="7" t="inlineStr"/>
    </row>
    <row r="491">
      <c r="A491" s="7" t="n">
        <v>603091</v>
      </c>
      <c r="B491" s="7" t="inlineStr"/>
      <c r="C491" s="12" t="inlineStr">
        <is>
          <t>7896512941923</t>
        </is>
      </c>
      <c r="D491" s="7" t="inlineStr">
        <is>
          <t>SAB GLIC BEBE CAMOMILA 250ML</t>
        </is>
      </c>
      <c r="E491" s="13" t="n">
        <v>1</v>
      </c>
      <c r="F491" s="13" t="n">
        <v>4</v>
      </c>
      <c r="G491" s="13" t="n">
        <v>4</v>
      </c>
      <c r="H491" s="8" t="n">
        <v>22.65</v>
      </c>
      <c r="I491" s="8">
        <f>G491*H491</f>
        <v/>
      </c>
      <c r="J491" s="8">
        <f>H491/E491</f>
        <v/>
      </c>
      <c r="K491" s="8" t="n">
        <v>20.385</v>
      </c>
      <c r="L491" s="8" t="n">
        <v>17.96</v>
      </c>
      <c r="M491" s="8" t="n">
        <v>19.57666666666667</v>
      </c>
      <c r="N491" s="14">
        <f>J491/M491-1</f>
        <v/>
      </c>
      <c r="O491" s="14">
        <f>J491/K491-1</f>
        <v/>
      </c>
      <c r="P491" s="7" t="inlineStr">
        <is>
          <t>ACIMA +11.1%</t>
        </is>
      </c>
      <c r="Q491" s="7" t="inlineStr"/>
    </row>
    <row r="492">
      <c r="A492" s="7" t="n">
        <v>603101</v>
      </c>
      <c r="B492" s="7" t="inlineStr"/>
      <c r="C492" s="12" t="inlineStr">
        <is>
          <t>7896512911933</t>
        </is>
      </c>
      <c r="D492" s="7" t="inlineStr">
        <is>
          <t>SAB GLIC BEBE LAVANDA 250ML</t>
        </is>
      </c>
      <c r="E492" s="13" t="n">
        <v>1</v>
      </c>
      <c r="F492" s="13" t="n">
        <v>6</v>
      </c>
      <c r="G492" s="13" t="n">
        <v>6</v>
      </c>
      <c r="H492" s="8" t="n">
        <v>22.65</v>
      </c>
      <c r="I492" s="8">
        <f>G492*H492</f>
        <v/>
      </c>
      <c r="J492" s="8">
        <f>H492/E492</f>
        <v/>
      </c>
      <c r="K492" s="8" t="n">
        <v>18.98</v>
      </c>
      <c r="L492" s="8" t="n">
        <v>17.96</v>
      </c>
      <c r="M492" s="8" t="n">
        <v>18.64</v>
      </c>
      <c r="N492" s="14">
        <f>J492/M492-1</f>
        <v/>
      </c>
      <c r="O492" s="14">
        <f>J492/K492-1</f>
        <v/>
      </c>
      <c r="P492" s="7" t="inlineStr">
        <is>
          <t>ACIMA +19.3%</t>
        </is>
      </c>
      <c r="Q492" s="7" t="inlineStr"/>
    </row>
    <row r="493">
      <c r="A493" s="7" t="n">
        <v>617541</v>
      </c>
      <c r="B493" s="7" t="inlineStr"/>
      <c r="C493" s="12" t="inlineStr">
        <is>
          <t>47896512900058</t>
        </is>
      </c>
      <c r="D493" s="7" t="inlineStr">
        <is>
          <t>SAB GRANADO 100G COCO</t>
        </is>
      </c>
      <c r="E493" s="13" t="n">
        <v>1</v>
      </c>
      <c r="F493" s="13" t="n">
        <v>5</v>
      </c>
      <c r="G493" s="13" t="n">
        <v>5</v>
      </c>
      <c r="H493" s="8" t="n">
        <v>8.41</v>
      </c>
      <c r="I493" s="8">
        <f>G493*H493</f>
        <v/>
      </c>
      <c r="J493" s="8">
        <f>H493/E493</f>
        <v/>
      </c>
      <c r="K493" s="8" t="n">
        <v>6.67</v>
      </c>
      <c r="L493" s="8" t="n">
        <v>6.67</v>
      </c>
      <c r="M493" s="8" t="n">
        <v>6.669999999999999</v>
      </c>
      <c r="N493" s="14">
        <f>J493/M493-1</f>
        <v/>
      </c>
      <c r="O493" s="14">
        <f>J493/K493-1</f>
        <v/>
      </c>
      <c r="P493" s="7" t="inlineStr">
        <is>
          <t>ACIMA +26.1%</t>
        </is>
      </c>
      <c r="Q493" s="7" t="inlineStr"/>
    </row>
    <row r="494">
      <c r="A494" s="7" t="n">
        <v>617551</v>
      </c>
      <c r="B494" s="7" t="inlineStr"/>
      <c r="C494" s="12" t="inlineStr">
        <is>
          <t>7896512910936</t>
        </is>
      </c>
      <c r="D494" s="7" t="inlineStr">
        <is>
          <t>SAB GRANADO 90G ANTIS.FRESH</t>
        </is>
      </c>
      <c r="E494" s="13" t="n">
        <v>1</v>
      </c>
      <c r="F494" s="13" t="n">
        <v>2</v>
      </c>
      <c r="G494" s="13" t="n">
        <v>2</v>
      </c>
      <c r="H494" s="8" t="n">
        <v>7.95</v>
      </c>
      <c r="I494" s="8">
        <f>G494*H494</f>
        <v/>
      </c>
      <c r="J494" s="8">
        <f>H494/E494</f>
        <v/>
      </c>
      <c r="K494" s="8" t="n">
        <v>6.8217</v>
      </c>
      <c r="L494" s="8" t="n">
        <v>6.8217</v>
      </c>
      <c r="M494" s="8" t="n">
        <v>6.8217</v>
      </c>
      <c r="N494" s="14">
        <f>J494/M494-1</f>
        <v/>
      </c>
      <c r="O494" s="14">
        <f>J494/K494-1</f>
        <v/>
      </c>
      <c r="P494" s="7" t="inlineStr">
        <is>
          <t>ACIMA +16.5%</t>
        </is>
      </c>
      <c r="Q494" s="7" t="inlineStr"/>
    </row>
    <row r="495">
      <c r="A495" s="7" t="n">
        <v>617601</v>
      </c>
      <c r="B495" s="7" t="inlineStr"/>
      <c r="C495" s="12" t="inlineStr">
        <is>
          <t>37896512912306</t>
        </is>
      </c>
      <c r="D495" s="7" t="inlineStr">
        <is>
          <t>SAB GRANADO 90G GLIC B LAV</t>
        </is>
      </c>
      <c r="E495" s="13" t="n">
        <v>1</v>
      </c>
      <c r="F495" s="13" t="n">
        <v>2</v>
      </c>
      <c r="G495" s="13" t="n">
        <v>2</v>
      </c>
      <c r="H495" s="8" t="n">
        <v>7.95</v>
      </c>
      <c r="I495" s="8">
        <f>G495*H495</f>
        <v/>
      </c>
      <c r="J495" s="8">
        <f>H495/E495</f>
        <v/>
      </c>
      <c r="K495" s="8" t="n">
        <v>7.13</v>
      </c>
      <c r="L495" s="8" t="n">
        <v>7.13</v>
      </c>
      <c r="M495" s="8" t="n">
        <v>7.13</v>
      </c>
      <c r="N495" s="14">
        <f>J495/M495-1</f>
        <v/>
      </c>
      <c r="O495" s="14">
        <f>J495/K495-1</f>
        <v/>
      </c>
      <c r="P495" s="7" t="inlineStr">
        <is>
          <t>ACIMA +11.5%</t>
        </is>
      </c>
      <c r="Q495" s="7" t="inlineStr"/>
    </row>
    <row r="496">
      <c r="A496" s="7" t="n">
        <v>598341</v>
      </c>
      <c r="B496" s="7" t="inlineStr"/>
      <c r="C496" s="12" t="inlineStr">
        <is>
          <t>7896512941947</t>
        </is>
      </c>
      <c r="D496" s="7" t="inlineStr">
        <is>
          <t>SAB INF GRANADO GLIC BEBE 90G CAMOMILA</t>
        </is>
      </c>
      <c r="E496" s="13" t="n">
        <v>1</v>
      </c>
      <c r="F496" s="13" t="n">
        <v>8</v>
      </c>
      <c r="G496" s="13" t="n">
        <v>8</v>
      </c>
      <c r="H496" s="8" t="n">
        <v>6.17</v>
      </c>
      <c r="I496" s="8">
        <f>G496*H496</f>
        <v/>
      </c>
      <c r="J496" s="8">
        <f>H496/E496</f>
        <v/>
      </c>
      <c r="K496" s="8" t="n">
        <v>4.95</v>
      </c>
      <c r="L496" s="8" t="n">
        <v>4.95</v>
      </c>
      <c r="M496" s="8" t="n">
        <v>4.95</v>
      </c>
      <c r="N496" s="14">
        <f>J496/M496-1</f>
        <v/>
      </c>
      <c r="O496" s="14">
        <f>J496/K496-1</f>
        <v/>
      </c>
      <c r="P496" s="7" t="inlineStr">
        <is>
          <t>ACIMA +24.6%</t>
        </is>
      </c>
      <c r="Q496" s="7" t="inlineStr"/>
    </row>
    <row r="497">
      <c r="A497" s="7" t="n">
        <v>634</v>
      </c>
      <c r="B497" s="7" t="inlineStr"/>
      <c r="C497" s="12" t="inlineStr">
        <is>
          <t>7896018703704</t>
        </is>
      </c>
      <c r="D497" s="7" t="inlineStr">
        <is>
          <t>SAB INTIMO INTIMUS DEFESA NATURAL 200ML</t>
        </is>
      </c>
      <c r="E497" s="13" t="n">
        <v>1</v>
      </c>
      <c r="F497" s="13" t="n">
        <v>4</v>
      </c>
      <c r="G497" s="13" t="n">
        <v>4</v>
      </c>
      <c r="H497" s="8" t="n">
        <v>34.11</v>
      </c>
      <c r="I497" s="8">
        <f>G497*H497</f>
        <v/>
      </c>
      <c r="J497" s="8">
        <f>H497/E497</f>
        <v/>
      </c>
      <c r="K497" s="8" t="n">
        <v>22.3217</v>
      </c>
      <c r="L497" s="8" t="n">
        <v>22.3217</v>
      </c>
      <c r="M497" s="8" t="n">
        <v>22.3217</v>
      </c>
      <c r="N497" s="14">
        <f>J497/M497-1</f>
        <v/>
      </c>
      <c r="O497" s="14">
        <f>J497/K497-1</f>
        <v/>
      </c>
      <c r="P497" s="7" t="inlineStr">
        <is>
          <t>ACIMA +52.8%</t>
        </is>
      </c>
      <c r="Q497" s="7" t="inlineStr"/>
    </row>
    <row r="498">
      <c r="A498" s="7" t="n">
        <v>843</v>
      </c>
      <c r="B498" s="7" t="inlineStr"/>
      <c r="C498" s="12" t="inlineStr">
        <is>
          <t>7891010781668</t>
        </is>
      </c>
      <c r="D498" s="7" t="inlineStr">
        <is>
          <t>SAB J J BABY HORA DO SONO 80G</t>
        </is>
      </c>
      <c r="E498" s="13" t="n">
        <v>1</v>
      </c>
      <c r="F498" s="13" t="n">
        <v>1</v>
      </c>
      <c r="G498" s="13" t="n">
        <v>1</v>
      </c>
      <c r="H498" s="8" t="n">
        <v>5.63</v>
      </c>
      <c r="I498" s="8">
        <f>G498*H498</f>
        <v/>
      </c>
      <c r="J498" s="8">
        <f>H498/E498</f>
        <v/>
      </c>
      <c r="K498" s="8" t="n">
        <v>5.79</v>
      </c>
      <c r="L498" s="8" t="n">
        <v>5.79</v>
      </c>
      <c r="M498" s="8" t="n">
        <v>5.79</v>
      </c>
      <c r="N498" s="14">
        <f>J498/M498-1</f>
        <v/>
      </c>
      <c r="O498" s="14">
        <f>J498/K498-1</f>
        <v/>
      </c>
      <c r="P498" s="7" t="inlineStr">
        <is>
          <t>OK (≤ menor hist.)</t>
        </is>
      </c>
      <c r="Q498" s="7" t="inlineStr"/>
    </row>
    <row r="499">
      <c r="A499" s="7" t="n">
        <v>567301</v>
      </c>
      <c r="B499" s="7" t="inlineStr"/>
      <c r="C499" s="12" t="inlineStr">
        <is>
          <t>7891010871024</t>
        </is>
      </c>
      <c r="D499" s="7" t="inlineStr">
        <is>
          <t>SAB J J BABY LIQ REF HORA SONO 180ML</t>
        </is>
      </c>
      <c r="E499" s="13" t="n">
        <v>1</v>
      </c>
      <c r="F499" s="13" t="n">
        <v>4</v>
      </c>
      <c r="G499" s="13" t="n">
        <v>4</v>
      </c>
      <c r="H499" s="8" t="n">
        <v>13.88</v>
      </c>
      <c r="I499" s="8">
        <f>G499*H499</f>
        <v/>
      </c>
      <c r="J499" s="8">
        <f>H499/E499</f>
        <v/>
      </c>
      <c r="K499" s="8" t="n">
        <v>12.9692</v>
      </c>
      <c r="L499" s="8" t="n">
        <v>12.9692</v>
      </c>
      <c r="M499" s="8" t="n">
        <v>12.9692</v>
      </c>
      <c r="N499" s="14">
        <f>J499/M499-1</f>
        <v/>
      </c>
      <c r="O499" s="14">
        <f>J499/K499-1</f>
        <v/>
      </c>
      <c r="P499" s="7" t="inlineStr">
        <is>
          <t>ACIMA +7.0%</t>
        </is>
      </c>
      <c r="Q499" s="7" t="inlineStr"/>
    </row>
    <row r="500">
      <c r="A500" s="7" t="n">
        <v>612361</v>
      </c>
      <c r="B500" s="7" t="inlineStr"/>
      <c r="C500" s="12" t="inlineStr">
        <is>
          <t>7891010247409</t>
        </is>
      </c>
      <c r="D500" s="7" t="inlineStr">
        <is>
          <t>SAB JOHNSONS AMENDOAS 80G</t>
        </is>
      </c>
      <c r="E500" s="13" t="n">
        <v>1</v>
      </c>
      <c r="F500" s="13" t="n">
        <v>2</v>
      </c>
      <c r="G500" s="13" t="n">
        <v>2</v>
      </c>
      <c r="H500" s="8" t="n">
        <v>2.25</v>
      </c>
      <c r="I500" s="8">
        <f>G500*H500</f>
        <v/>
      </c>
      <c r="J500" s="8">
        <f>H500/E500</f>
        <v/>
      </c>
      <c r="K500" s="8" t="n">
        <v>2.31</v>
      </c>
      <c r="L500" s="8" t="n">
        <v>2.31</v>
      </c>
      <c r="M500" s="8" t="n">
        <v>2.31</v>
      </c>
      <c r="N500" s="14">
        <f>J500/M500-1</f>
        <v/>
      </c>
      <c r="O500" s="14">
        <f>J500/K500-1</f>
        <v/>
      </c>
      <c r="P500" s="7" t="inlineStr">
        <is>
          <t>OK (≤ menor hist.)</t>
        </is>
      </c>
      <c r="Q500" s="7" t="inlineStr"/>
    </row>
    <row r="501">
      <c r="A501" s="7" t="n">
        <v>612371</v>
      </c>
      <c r="B501" s="7" t="inlineStr"/>
      <c r="C501" s="12" t="inlineStr">
        <is>
          <t>7891010247393</t>
        </is>
      </c>
      <c r="D501" s="7" t="inlineStr">
        <is>
          <t>SAB JOHNSONS ROSAS E SANDALO 80G</t>
        </is>
      </c>
      <c r="E501" s="13" t="n">
        <v>1</v>
      </c>
      <c r="F501" s="13" t="n">
        <v>5</v>
      </c>
      <c r="G501" s="13" t="n">
        <v>5</v>
      </c>
      <c r="H501" s="8" t="n">
        <v>2.25</v>
      </c>
      <c r="I501" s="8">
        <f>G501*H501</f>
        <v/>
      </c>
      <c r="J501" s="8">
        <f>H501/E501</f>
        <v/>
      </c>
      <c r="K501" s="8" t="n">
        <v>2.31</v>
      </c>
      <c r="L501" s="8" t="n">
        <v>2.31</v>
      </c>
      <c r="M501" s="8" t="n">
        <v>2.31</v>
      </c>
      <c r="N501" s="14">
        <f>J501/M501-1</f>
        <v/>
      </c>
      <c r="O501" s="14">
        <f>J501/K501-1</f>
        <v/>
      </c>
      <c r="P501" s="7" t="inlineStr">
        <is>
          <t>OK (≤ menor hist.)</t>
        </is>
      </c>
      <c r="Q501" s="7" t="inlineStr"/>
    </row>
    <row r="502">
      <c r="A502" s="7" t="n">
        <v>603131</v>
      </c>
      <c r="B502" s="7" t="inlineStr"/>
      <c r="C502" s="12" t="inlineStr">
        <is>
          <t>7896512949417</t>
        </is>
      </c>
      <c r="D502" s="7" t="inlineStr">
        <is>
          <t>SAB LIQ BEBE TRAD 500ML</t>
        </is>
      </c>
      <c r="E502" s="13" t="n">
        <v>1</v>
      </c>
      <c r="F502" s="13" t="n">
        <v>3</v>
      </c>
      <c r="G502" s="13" t="n">
        <v>3</v>
      </c>
      <c r="H502" s="8" t="n">
        <v>33.62</v>
      </c>
      <c r="I502" s="8">
        <f>G502*H502</f>
        <v/>
      </c>
      <c r="J502" s="8">
        <f>H502/E502</f>
        <v/>
      </c>
      <c r="K502" s="8" t="n">
        <v>28.35</v>
      </c>
      <c r="L502" s="8" t="n">
        <v>28.35</v>
      </c>
      <c r="M502" s="8" t="n">
        <v>28.35</v>
      </c>
      <c r="N502" s="14">
        <f>J502/M502-1</f>
        <v/>
      </c>
      <c r="O502" s="14">
        <f>J502/K502-1</f>
        <v/>
      </c>
      <c r="P502" s="7" t="inlineStr">
        <is>
          <t>ACIMA +18.6%</t>
        </is>
      </c>
      <c r="Q502" s="7" t="inlineStr"/>
    </row>
    <row r="503">
      <c r="A503" s="7" t="n">
        <v>539001</v>
      </c>
      <c r="B503" s="7" t="inlineStr"/>
      <c r="C503" s="12" t="inlineStr">
        <is>
          <t>7891150060241</t>
        </is>
      </c>
      <c r="D503" s="7" t="inlineStr">
        <is>
          <t>SAB LIQ BUQUE DE JASMIM 200ML REFIL</t>
        </is>
      </c>
      <c r="E503" s="13" t="n">
        <v>1</v>
      </c>
      <c r="F503" s="13" t="n">
        <v>4</v>
      </c>
      <c r="G503" s="13" t="n">
        <v>4</v>
      </c>
      <c r="H503" s="8" t="n">
        <v>6.4</v>
      </c>
      <c r="I503" s="8">
        <f>G503*H503</f>
        <v/>
      </c>
      <c r="J503" s="8">
        <f>H503/E503</f>
        <v/>
      </c>
      <c r="K503" s="8" t="n">
        <v>6.19</v>
      </c>
      <c r="L503" s="8" t="n">
        <v>6.19</v>
      </c>
      <c r="M503" s="8" t="n">
        <v>6.19</v>
      </c>
      <c r="N503" s="14">
        <f>J503/M503-1</f>
        <v/>
      </c>
      <c r="O503" s="14">
        <f>J503/K503-1</f>
        <v/>
      </c>
      <c r="P503" s="7" t="inlineStr">
        <is>
          <t>ACIMA +3.4%</t>
        </is>
      </c>
      <c r="Q503" s="7" t="inlineStr"/>
    </row>
    <row r="504">
      <c r="A504" s="7" t="n">
        <v>541901</v>
      </c>
      <c r="B504" s="7" t="inlineStr"/>
      <c r="C504" s="12" t="inlineStr">
        <is>
          <t>7896018704206</t>
        </is>
      </c>
      <c r="D504" s="7" t="inlineStr">
        <is>
          <t>SAB LIQ CABECA AOS PES DISNEY BABY HUGGIES 200ML REFIL</t>
        </is>
      </c>
      <c r="E504" s="13" t="n">
        <v>1</v>
      </c>
      <c r="F504" s="13" t="n">
        <v>1</v>
      </c>
      <c r="G504" s="13" t="n">
        <v>1</v>
      </c>
      <c r="H504" s="8" t="n">
        <v>11.79</v>
      </c>
      <c r="I504" s="8">
        <f>G504*H504</f>
        <v/>
      </c>
      <c r="J504" s="8">
        <f>H504/E504</f>
        <v/>
      </c>
      <c r="K504" s="8" t="n">
        <v>7.8133</v>
      </c>
      <c r="L504" s="8" t="n">
        <v>7.8133</v>
      </c>
      <c r="M504" s="8" t="n">
        <v>7.813300000000001</v>
      </c>
      <c r="N504" s="14">
        <f>J504/M504-1</f>
        <v/>
      </c>
      <c r="O504" s="14">
        <f>J504/K504-1</f>
        <v/>
      </c>
      <c r="P504" s="7" t="inlineStr">
        <is>
          <t>ACIMA +50.9%</t>
        </is>
      </c>
      <c r="Q504" s="7" t="inlineStr"/>
    </row>
    <row r="505">
      <c r="A505" s="7" t="n">
        <v>669521</v>
      </c>
      <c r="B505" s="7" t="inlineStr"/>
      <c r="C505" s="12" t="inlineStr">
        <is>
          <t>7509546695945</t>
        </is>
      </c>
      <c r="D505" s="7" t="inlineStr">
        <is>
          <t>SAB LIQ CORP PALMOLIVE MELANCIA   LICHIA 250ML</t>
        </is>
      </c>
      <c r="E505" s="13" t="n">
        <v>1</v>
      </c>
      <c r="F505" s="13" t="n">
        <v>10</v>
      </c>
      <c r="G505" s="13" t="n">
        <v>10</v>
      </c>
      <c r="H505" s="8" t="n">
        <v>7.58</v>
      </c>
      <c r="I505" s="8">
        <f>G505*H505</f>
        <v/>
      </c>
      <c r="J505" s="8">
        <f>H505/E505</f>
        <v/>
      </c>
      <c r="K505" s="8" t="n">
        <v>5.685</v>
      </c>
      <c r="L505" s="8" t="n">
        <v>5.685</v>
      </c>
      <c r="M505" s="8" t="n">
        <v>5.685</v>
      </c>
      <c r="N505" s="14">
        <f>J505/M505-1</f>
        <v/>
      </c>
      <c r="O505" s="14">
        <f>J505/K505-1</f>
        <v/>
      </c>
      <c r="P505" s="7" t="inlineStr">
        <is>
          <t>ACIMA +33.3%</t>
        </is>
      </c>
      <c r="Q505" s="7" t="inlineStr"/>
    </row>
    <row r="506">
      <c r="A506" s="7" t="n">
        <v>669171</v>
      </c>
      <c r="B506" s="7" t="inlineStr"/>
      <c r="C506" s="12" t="inlineStr">
        <is>
          <t>7891150098442</t>
        </is>
      </c>
      <c r="D506" s="7" t="inlineStr">
        <is>
          <t>SAB LIQ DOVE OLEO DE BANHO 240ML</t>
        </is>
      </c>
      <c r="E506" s="13" t="n">
        <v>1</v>
      </c>
      <c r="F506" s="13" t="n">
        <v>4</v>
      </c>
      <c r="G506" s="13" t="n">
        <v>4</v>
      </c>
      <c r="H506" s="8" t="n">
        <v>26.05</v>
      </c>
      <c r="I506" s="8">
        <f>G506*H506</f>
        <v/>
      </c>
      <c r="J506" s="8">
        <f>H506/E506</f>
        <v/>
      </c>
      <c r="K506" s="8" t="n">
        <v>25.735</v>
      </c>
      <c r="L506" s="8" t="n">
        <v>23.9367</v>
      </c>
      <c r="M506" s="8" t="n">
        <v>25.13556666666667</v>
      </c>
      <c r="N506" s="14">
        <f>J506/M506-1</f>
        <v/>
      </c>
      <c r="O506" s="14">
        <f>J506/K506-1</f>
        <v/>
      </c>
      <c r="P506" s="7" t="inlineStr">
        <is>
          <t>ACIMA +1.2%</t>
        </is>
      </c>
      <c r="Q506" s="7" t="inlineStr"/>
    </row>
    <row r="507">
      <c r="A507" s="7" t="n">
        <v>567921</v>
      </c>
      <c r="B507" s="7" t="inlineStr"/>
      <c r="C507" s="12" t="inlineStr">
        <is>
          <t>7896512922472</t>
        </is>
      </c>
      <c r="D507" s="7" t="inlineStr">
        <is>
          <t>SAB LIQ GRANADO LAVANDA REFIL 250ML</t>
        </is>
      </c>
      <c r="E507" s="13" t="n">
        <v>1</v>
      </c>
      <c r="F507" s="13" t="n">
        <v>6</v>
      </c>
      <c r="G507" s="13" t="n">
        <v>6</v>
      </c>
      <c r="H507" s="8" t="n">
        <v>16.9</v>
      </c>
      <c r="I507" s="8">
        <f>G507*H507</f>
        <v/>
      </c>
      <c r="J507" s="8">
        <f>H507/E507</f>
        <v/>
      </c>
      <c r="K507" s="8" t="n">
        <v>15.72</v>
      </c>
      <c r="L507" s="8" t="n">
        <v>14.1958</v>
      </c>
      <c r="M507" s="8" t="n">
        <v>14.1958</v>
      </c>
      <c r="N507" s="14">
        <f>J507/M507-1</f>
        <v/>
      </c>
      <c r="O507" s="14">
        <f>J507/K507-1</f>
        <v/>
      </c>
      <c r="P507" s="7" t="inlineStr">
        <is>
          <t>ACIMA +7.5%</t>
        </is>
      </c>
      <c r="Q507" s="7" t="inlineStr"/>
    </row>
    <row r="508">
      <c r="A508" s="7" t="n">
        <v>668531</v>
      </c>
      <c r="B508" s="7" t="inlineStr"/>
      <c r="C508" s="12" t="inlineStr">
        <is>
          <t>7891150095311</t>
        </is>
      </c>
      <c r="D508" s="7" t="inlineStr">
        <is>
          <t>SAB LIQ LUX GARD E OLEO DE AMEND 250ML</t>
        </is>
      </c>
      <c r="E508" s="13" t="n">
        <v>1</v>
      </c>
      <c r="F508" s="13" t="n">
        <v>1</v>
      </c>
      <c r="G508" s="13" t="n">
        <v>1</v>
      </c>
      <c r="H508" s="8" t="n">
        <v>8.58</v>
      </c>
      <c r="I508" s="8">
        <f>G508*H508</f>
        <v/>
      </c>
      <c r="J508" s="8">
        <f>H508/E508</f>
        <v/>
      </c>
      <c r="K508" s="8" t="n">
        <v>5.98</v>
      </c>
      <c r="L508" s="8" t="n">
        <v>5.98</v>
      </c>
      <c r="M508" s="8" t="n">
        <v>5.98</v>
      </c>
      <c r="N508" s="14">
        <f>J508/M508-1</f>
        <v/>
      </c>
      <c r="O508" s="14">
        <f>J508/K508-1</f>
        <v/>
      </c>
      <c r="P508" s="7" t="inlineStr">
        <is>
          <t>ACIMA +43.5%</t>
        </is>
      </c>
      <c r="Q508" s="7" t="inlineStr"/>
    </row>
    <row r="509">
      <c r="A509" s="7" t="n">
        <v>537401</v>
      </c>
      <c r="B509" s="7" t="inlineStr"/>
      <c r="C509" s="12" t="inlineStr">
        <is>
          <t>7891150060210</t>
        </is>
      </c>
      <c r="D509" s="7" t="inlineStr">
        <is>
          <t>SAB LIQ ORQUIDEA NEGRA LUX 200ML REFIL</t>
        </is>
      </c>
      <c r="E509" s="13" t="n">
        <v>1</v>
      </c>
      <c r="F509" s="13" t="n">
        <v>5</v>
      </c>
      <c r="G509" s="13" t="n">
        <v>5</v>
      </c>
      <c r="H509" s="8" t="n">
        <v>6.4</v>
      </c>
      <c r="I509" s="8">
        <f>G509*H509</f>
        <v/>
      </c>
      <c r="J509" s="8">
        <f>H509/E509</f>
        <v/>
      </c>
      <c r="K509" s="8" t="n">
        <v>5.94</v>
      </c>
      <c r="L509" s="8" t="n">
        <v>5.4517</v>
      </c>
      <c r="M509" s="8" t="n">
        <v>5.777233333333334</v>
      </c>
      <c r="N509" s="14">
        <f>J509/M509-1</f>
        <v/>
      </c>
      <c r="O509" s="14">
        <f>J509/K509-1</f>
        <v/>
      </c>
      <c r="P509" s="7" t="inlineStr">
        <is>
          <t>ACIMA +7.7%</t>
        </is>
      </c>
      <c r="Q509" s="7" t="inlineStr"/>
    </row>
    <row r="510">
      <c r="A510" s="7" t="n">
        <v>613911</v>
      </c>
      <c r="B510" s="7" t="inlineStr"/>
      <c r="C510" s="12" t="inlineStr">
        <is>
          <t>7891024029831</t>
        </is>
      </c>
      <c r="D510" s="7" t="inlineStr">
        <is>
          <t>SAB LIQ PALM NAT OLEO NUTRITIVO 250ML</t>
        </is>
      </c>
      <c r="E510" s="13" t="n">
        <v>1</v>
      </c>
      <c r="F510" s="13" t="n">
        <v>6</v>
      </c>
      <c r="G510" s="13" t="n">
        <v>6</v>
      </c>
      <c r="H510" s="8" t="n">
        <v>7.58</v>
      </c>
      <c r="I510" s="8">
        <f>G510*H510</f>
        <v/>
      </c>
      <c r="J510" s="8">
        <f>H510/E510</f>
        <v/>
      </c>
      <c r="K510" s="8" t="n">
        <v>5.5567</v>
      </c>
      <c r="L510" s="8" t="n">
        <v>5.5567</v>
      </c>
      <c r="M510" s="8" t="n">
        <v>5.5567</v>
      </c>
      <c r="N510" s="14">
        <f>J510/M510-1</f>
        <v/>
      </c>
      <c r="O510" s="14">
        <f>J510/K510-1</f>
        <v/>
      </c>
      <c r="P510" s="7" t="inlineStr">
        <is>
          <t>ACIMA +36.4%</t>
        </is>
      </c>
      <c r="Q510" s="7" t="inlineStr"/>
    </row>
    <row r="511">
      <c r="A511" s="7" t="n">
        <v>598501</v>
      </c>
      <c r="B511" s="7" t="inlineStr"/>
      <c r="C511" s="12" t="inlineStr">
        <is>
          <t>7509546665818</t>
        </is>
      </c>
      <c r="D511" s="7" t="inlineStr">
        <is>
          <t>SAB LIQ POLM LUMINOUS OILS 250ML</t>
        </is>
      </c>
      <c r="E511" s="13" t="n">
        <v>1</v>
      </c>
      <c r="F511" s="13" t="n">
        <v>5</v>
      </c>
      <c r="G511" s="13" t="n">
        <v>5</v>
      </c>
      <c r="H511" s="8" t="n">
        <v>11.82</v>
      </c>
      <c r="I511" s="8">
        <f>G511*H511</f>
        <v/>
      </c>
      <c r="J511" s="8">
        <f>H511/E511</f>
        <v/>
      </c>
      <c r="K511" s="8" t="n">
        <v>8.68</v>
      </c>
      <c r="L511" s="8" t="n">
        <v>7.42</v>
      </c>
      <c r="M511" s="8" t="n">
        <v>8.26</v>
      </c>
      <c r="N511" s="14">
        <f>J511/M511-1</f>
        <v/>
      </c>
      <c r="O511" s="14">
        <f>J511/K511-1</f>
        <v/>
      </c>
      <c r="P511" s="7" t="inlineStr">
        <is>
          <t>ACIMA +36.2%</t>
        </is>
      </c>
      <c r="Q511" s="7" t="inlineStr"/>
    </row>
    <row r="512">
      <c r="A512" s="7" t="n">
        <v>571261</v>
      </c>
      <c r="B512" s="7" t="inlineStr"/>
      <c r="C512" s="12" t="inlineStr">
        <is>
          <t>7891024027257</t>
        </is>
      </c>
      <c r="D512" s="7" t="inlineStr">
        <is>
          <t>SAB LIQ PROTEX 200ML REF VIT E</t>
        </is>
      </c>
      <c r="E512" s="13" t="n">
        <v>1</v>
      </c>
      <c r="F512" s="13" t="n">
        <v>2</v>
      </c>
      <c r="G512" s="13" t="n">
        <v>2</v>
      </c>
      <c r="H512" s="8" t="n">
        <v>7.75</v>
      </c>
      <c r="I512" s="8">
        <f>G512*H512</f>
        <v/>
      </c>
      <c r="J512" s="8">
        <f>H512/E512</f>
        <v/>
      </c>
      <c r="K512" s="8" t="n">
        <v>7.59</v>
      </c>
      <c r="L512" s="8" t="n">
        <v>7.31</v>
      </c>
      <c r="M512" s="8" t="n">
        <v>7.496666666666666</v>
      </c>
      <c r="N512" s="14">
        <f>J512/M512-1</f>
        <v/>
      </c>
      <c r="O512" s="14">
        <f>J512/K512-1</f>
        <v/>
      </c>
      <c r="P512" s="7" t="inlineStr">
        <is>
          <t>ACIMA +2.1%</t>
        </is>
      </c>
      <c r="Q512" s="7" t="inlineStr"/>
    </row>
    <row r="513">
      <c r="A513" s="7" t="n">
        <v>571281</v>
      </c>
      <c r="B513" s="7" t="inlineStr"/>
      <c r="C513" s="12" t="inlineStr">
        <is>
          <t>7891024114865</t>
        </is>
      </c>
      <c r="D513" s="7" t="inlineStr">
        <is>
          <t>SAB LIQ PROTEX 250ML VITAMI E</t>
        </is>
      </c>
      <c r="E513" s="13" t="n">
        <v>1</v>
      </c>
      <c r="F513" s="13" t="n">
        <v>6</v>
      </c>
      <c r="G513" s="13" t="n">
        <v>6</v>
      </c>
      <c r="H513" s="8" t="n">
        <v>11.7</v>
      </c>
      <c r="I513" s="8">
        <f>G513*H513</f>
        <v/>
      </c>
      <c r="J513" s="8">
        <f>H513/E513</f>
        <v/>
      </c>
      <c r="K513" s="8" t="n">
        <v>7.6233</v>
      </c>
      <c r="L513" s="8" t="n">
        <v>6.0325</v>
      </c>
      <c r="M513" s="8" t="n">
        <v>6.0325</v>
      </c>
      <c r="N513" s="14">
        <f>J513/M513-1</f>
        <v/>
      </c>
      <c r="O513" s="14">
        <f>J513/K513-1</f>
        <v/>
      </c>
      <c r="P513" s="7" t="inlineStr">
        <is>
          <t>ACIMA +53.5%</t>
        </is>
      </c>
      <c r="Q513" s="7" t="inlineStr"/>
    </row>
    <row r="514">
      <c r="A514" s="7" t="n">
        <v>623951</v>
      </c>
      <c r="B514" s="7" t="inlineStr"/>
      <c r="C514" s="12" t="inlineStr">
        <is>
          <t>7891024033227</t>
        </is>
      </c>
      <c r="D514" s="7" t="inlineStr">
        <is>
          <t>SAB LIQ PROTEX INTIMO CALM PROTECT 200ML   COLG %DN:2.00</t>
        </is>
      </c>
      <c r="E514" s="13" t="n">
        <v>1</v>
      </c>
      <c r="F514" s="13" t="n">
        <v>2</v>
      </c>
      <c r="G514" s="13" t="n">
        <v>2</v>
      </c>
      <c r="H514" s="8" t="n">
        <v>20.24</v>
      </c>
      <c r="I514" s="8">
        <f>G514*H514</f>
        <v/>
      </c>
      <c r="J514" s="8">
        <f>H514/E514</f>
        <v/>
      </c>
      <c r="K514" s="8" t="n">
        <v>18.13</v>
      </c>
      <c r="L514" s="8" t="n">
        <v>18.13</v>
      </c>
      <c r="M514" s="8" t="n">
        <v>18.13</v>
      </c>
      <c r="N514" s="14">
        <f>J514/M514-1</f>
        <v/>
      </c>
      <c r="O514" s="14">
        <f>J514/K514-1</f>
        <v/>
      </c>
      <c r="P514" s="7" t="inlineStr">
        <is>
          <t>ACIMA +11.6%</t>
        </is>
      </c>
      <c r="Q514" s="7" t="inlineStr"/>
    </row>
    <row r="515">
      <c r="A515" s="7" t="n">
        <v>623971</v>
      </c>
      <c r="B515" s="7" t="inlineStr"/>
      <c r="C515" s="12" t="inlineStr">
        <is>
          <t>7509546665986</t>
        </is>
      </c>
      <c r="D515" s="7" t="inlineStr">
        <is>
          <t>SAB LIQ PROTEX PUM ERVA DOCE 400ML</t>
        </is>
      </c>
      <c r="E515" s="13" t="n">
        <v>1</v>
      </c>
      <c r="F515" s="13" t="n">
        <v>1</v>
      </c>
      <c r="G515" s="13" t="n">
        <v>1</v>
      </c>
      <c r="H515" s="8" t="n">
        <v>16.67</v>
      </c>
      <c r="I515" s="8">
        <f>G515*H515</f>
        <v/>
      </c>
      <c r="J515" s="8">
        <f>H515/E515</f>
        <v/>
      </c>
      <c r="K515" s="8" t="n">
        <v>19.53</v>
      </c>
      <c r="L515" s="8" t="n">
        <v>19.53</v>
      </c>
      <c r="M515" s="8" t="n">
        <v>19.53</v>
      </c>
      <c r="N515" s="14">
        <f>J515/M515-1</f>
        <v/>
      </c>
      <c r="O515" s="14">
        <f>J515/K515-1</f>
        <v/>
      </c>
      <c r="P515" s="7" t="inlineStr">
        <is>
          <t>OK (≤ menor hist.)</t>
        </is>
      </c>
      <c r="Q515" s="7" t="inlineStr"/>
    </row>
    <row r="516">
      <c r="A516" s="7" t="n">
        <v>689301</v>
      </c>
      <c r="B516" s="7" t="inlineStr"/>
      <c r="C516" s="12" t="inlineStr">
        <is>
          <t>7891150083042</t>
        </is>
      </c>
      <c r="D516" s="7" t="inlineStr">
        <is>
          <t>SAB LIQ REXONA ANTIBAC FRESH 250ML</t>
        </is>
      </c>
      <c r="E516" s="13" t="n">
        <v>1</v>
      </c>
      <c r="F516" s="13" t="n">
        <v>2</v>
      </c>
      <c r="G516" s="13" t="n">
        <v>2</v>
      </c>
      <c r="H516" s="8" t="n">
        <v>8.529999999999999</v>
      </c>
      <c r="I516" s="8">
        <f>G516*H516</f>
        <v/>
      </c>
      <c r="J516" s="8">
        <f>H516/E516</f>
        <v/>
      </c>
      <c r="K516" s="8" t="n">
        <v>9.58</v>
      </c>
      <c r="L516" s="8" t="n">
        <v>9.58</v>
      </c>
      <c r="M516" s="8" t="n">
        <v>9.58</v>
      </c>
      <c r="N516" s="14">
        <f>J516/M516-1</f>
        <v/>
      </c>
      <c r="O516" s="14">
        <f>J516/K516-1</f>
        <v/>
      </c>
      <c r="P516" s="7" t="inlineStr">
        <is>
          <t>OK (≤ menor hist.)</t>
        </is>
      </c>
      <c r="Q516" s="7" t="inlineStr"/>
    </row>
    <row r="517">
      <c r="A517" s="7" t="n">
        <v>538881</v>
      </c>
      <c r="B517" s="7" t="inlineStr"/>
      <c r="C517" s="12" t="inlineStr">
        <is>
          <t>7891150060234</t>
        </is>
      </c>
      <c r="D517" s="7" t="inlineStr">
        <is>
          <t>SAB LIQ ROSAS FRANCESAS LUX  200ML REFIL</t>
        </is>
      </c>
      <c r="E517" s="13" t="n">
        <v>1</v>
      </c>
      <c r="F517" s="13" t="n">
        <v>7</v>
      </c>
      <c r="G517" s="13" t="n">
        <v>7</v>
      </c>
      <c r="H517" s="8" t="n">
        <v>6.4</v>
      </c>
      <c r="I517" s="8">
        <f>G517*H517</f>
        <v/>
      </c>
      <c r="J517" s="8">
        <f>H517/E517</f>
        <v/>
      </c>
      <c r="K517" s="8" t="n">
        <v>5.9558</v>
      </c>
      <c r="L517" s="8" t="n">
        <v>4.4775</v>
      </c>
      <c r="M517" s="8" t="n">
        <v>5.463033333333333</v>
      </c>
      <c r="N517" s="14">
        <f>J517/M517-1</f>
        <v/>
      </c>
      <c r="O517" s="14">
        <f>J517/K517-1</f>
        <v/>
      </c>
      <c r="P517" s="7" t="inlineStr">
        <is>
          <t>ACIMA +7.5%</t>
        </is>
      </c>
      <c r="Q517" s="7" t="inlineStr"/>
    </row>
    <row r="518">
      <c r="A518" s="7" t="n">
        <v>663261</v>
      </c>
      <c r="B518" s="7" t="inlineStr"/>
      <c r="C518" s="12" t="inlineStr">
        <is>
          <t>7891150060289</t>
        </is>
      </c>
      <c r="D518" s="7" t="inlineStr">
        <is>
          <t>SAB LUX BUQUE JASMIM 125G</t>
        </is>
      </c>
      <c r="E518" s="13" t="n">
        <v>1</v>
      </c>
      <c r="F518" s="13" t="n">
        <v>4</v>
      </c>
      <c r="G518" s="13" t="n">
        <v>4</v>
      </c>
      <c r="H518" s="8" t="n">
        <v>3.52</v>
      </c>
      <c r="I518" s="8">
        <f>G518*H518</f>
        <v/>
      </c>
      <c r="J518" s="8">
        <f>H518/E518</f>
        <v/>
      </c>
      <c r="K518" s="8" t="n">
        <v>2.6061</v>
      </c>
      <c r="L518" s="8" t="n">
        <v>2.6061</v>
      </c>
      <c r="M518" s="8" t="n">
        <v>2.6061</v>
      </c>
      <c r="N518" s="14">
        <f>J518/M518-1</f>
        <v/>
      </c>
      <c r="O518" s="14">
        <f>J518/K518-1</f>
        <v/>
      </c>
      <c r="P518" s="7" t="inlineStr">
        <is>
          <t>ACIMA +35.1%</t>
        </is>
      </c>
      <c r="Q518" s="7" t="inlineStr"/>
    </row>
    <row r="519">
      <c r="A519" s="7" t="n">
        <v>663271</v>
      </c>
      <c r="B519" s="7" t="inlineStr"/>
      <c r="C519" s="12" t="inlineStr">
        <is>
          <t>7891150095304</t>
        </is>
      </c>
      <c r="D519" s="7" t="inlineStr">
        <is>
          <t>SAB LUX GARD E OLEO DE AMEND 85G   UNIL %DN:17.00</t>
        </is>
      </c>
      <c r="E519" s="13" t="n">
        <v>1</v>
      </c>
      <c r="F519" s="13" t="n">
        <v>2</v>
      </c>
      <c r="G519" s="13" t="n">
        <v>2</v>
      </c>
      <c r="H519" s="8" t="n">
        <v>2.52</v>
      </c>
      <c r="I519" s="8">
        <f>G519*H519</f>
        <v/>
      </c>
      <c r="J519" s="8">
        <f>H519/E519</f>
        <v/>
      </c>
      <c r="K519" s="8" t="n">
        <v>1.8925</v>
      </c>
      <c r="L519" s="8" t="n">
        <v>1.8925</v>
      </c>
      <c r="M519" s="8" t="n">
        <v>1.8925</v>
      </c>
      <c r="N519" s="14">
        <f>J519/M519-1</f>
        <v/>
      </c>
      <c r="O519" s="14">
        <f>J519/K519-1</f>
        <v/>
      </c>
      <c r="P519" s="7" t="inlineStr">
        <is>
          <t>ACIMA +33.2%</t>
        </is>
      </c>
      <c r="Q519" s="7" t="inlineStr"/>
    </row>
    <row r="520">
      <c r="A520" s="7" t="n">
        <v>552661</v>
      </c>
      <c r="B520" s="7" t="inlineStr"/>
      <c r="C520" s="12" t="inlineStr">
        <is>
          <t>7896512941930</t>
        </is>
      </c>
      <c r="D520" s="7" t="inlineStr">
        <is>
          <t>SAB LÍQ CAMOMILA GRANADO SACHÊ 250ML REFIL</t>
        </is>
      </c>
      <c r="E520" s="13" t="n">
        <v>1</v>
      </c>
      <c r="F520" s="13" t="n">
        <v>3</v>
      </c>
      <c r="G520" s="13" t="n">
        <v>3</v>
      </c>
      <c r="H520" s="8" t="n">
        <v>16.9</v>
      </c>
      <c r="I520" s="8">
        <f>G520*H520</f>
        <v/>
      </c>
      <c r="J520" s="8">
        <f>H520/E520</f>
        <v/>
      </c>
      <c r="K520" s="8" t="n">
        <v>14.1958</v>
      </c>
      <c r="L520" s="8" t="n">
        <v>14.1958</v>
      </c>
      <c r="M520" s="8" t="n">
        <v>14.1958</v>
      </c>
      <c r="N520" s="14">
        <f>J520/M520-1</f>
        <v/>
      </c>
      <c r="O520" s="14">
        <f>J520/K520-1</f>
        <v/>
      </c>
      <c r="P520" s="7" t="inlineStr">
        <is>
          <t>ACIMA +19.0%</t>
        </is>
      </c>
      <c r="Q520" s="7" t="inlineStr"/>
    </row>
    <row r="521">
      <c r="A521" s="7" t="n">
        <v>551381</v>
      </c>
      <c r="B521" s="7" t="inlineStr"/>
      <c r="C521" s="12" t="inlineStr">
        <is>
          <t>7891150035874</t>
        </is>
      </c>
      <c r="D521" s="7" t="inlineStr">
        <is>
          <t>SAB LÍQ HIDR ENRIQ DA CABEÇA AOS PÉS DOVE BABY SACHÊ 180ML</t>
        </is>
      </c>
      <c r="E521" s="13" t="n">
        <v>1</v>
      </c>
      <c r="F521" s="13" t="n">
        <v>5</v>
      </c>
      <c r="G521" s="13" t="n">
        <v>5</v>
      </c>
      <c r="H521" s="8" t="n">
        <v>10.77</v>
      </c>
      <c r="I521" s="8">
        <f>G521*H521</f>
        <v/>
      </c>
      <c r="J521" s="8">
        <f>H521/E521</f>
        <v/>
      </c>
      <c r="K521" s="8" t="n">
        <v>10.5242</v>
      </c>
      <c r="L521" s="8" t="n">
        <v>10.5242</v>
      </c>
      <c r="M521" s="8" t="n">
        <v>10.5242</v>
      </c>
      <c r="N521" s="14">
        <f>J521/M521-1</f>
        <v/>
      </c>
      <c r="O521" s="14">
        <f>J521/K521-1</f>
        <v/>
      </c>
      <c r="P521" s="7" t="inlineStr">
        <is>
          <t>ACIMA +2.3%</t>
        </is>
      </c>
      <c r="Q521" s="7" t="inlineStr"/>
    </row>
    <row r="522">
      <c r="A522" s="7" t="n">
        <v>551161</v>
      </c>
      <c r="B522" s="7" t="inlineStr"/>
      <c r="C522" s="12" t="inlineStr">
        <is>
          <t>7891150060227</t>
        </is>
      </c>
      <c r="D522" s="7" t="inlineStr">
        <is>
          <t>SAB LÍQ LAVANDA LUX BOTANICALS SACHÊ 200ML REFIL</t>
        </is>
      </c>
      <c r="E522" s="13" t="n">
        <v>1</v>
      </c>
      <c r="F522" s="13" t="n">
        <v>4</v>
      </c>
      <c r="G522" s="13" t="n">
        <v>4</v>
      </c>
      <c r="H522" s="8" t="n">
        <v>6.4</v>
      </c>
      <c r="I522" s="8">
        <f>G522*H522</f>
        <v/>
      </c>
      <c r="J522" s="8">
        <f>H522/E522</f>
        <v/>
      </c>
      <c r="K522" s="8" t="n">
        <v>4.8892</v>
      </c>
      <c r="L522" s="8" t="n">
        <v>4.8892</v>
      </c>
      <c r="M522" s="8" t="n">
        <v>4.8892</v>
      </c>
      <c r="N522" s="14">
        <f>J522/M522-1</f>
        <v/>
      </c>
      <c r="O522" s="14">
        <f>J522/K522-1</f>
        <v/>
      </c>
      <c r="P522" s="7" t="inlineStr">
        <is>
          <t>ACIMA +30.9%</t>
        </is>
      </c>
      <c r="Q522" s="7" t="inlineStr"/>
    </row>
    <row r="523">
      <c r="A523" s="7" t="n">
        <v>551181</v>
      </c>
      <c r="B523" s="7" t="inlineStr"/>
      <c r="C523" s="12" t="inlineStr">
        <is>
          <t>7891150060197</t>
        </is>
      </c>
      <c r="D523" s="7" t="inlineStr">
        <is>
          <t>SAB LÍQ ROSAS FRANCESAS LUX 250ML</t>
        </is>
      </c>
      <c r="E523" s="13" t="n">
        <v>1</v>
      </c>
      <c r="F523" s="13" t="n">
        <v>4</v>
      </c>
      <c r="G523" s="13" t="n">
        <v>4</v>
      </c>
      <c r="H523" s="8" t="n">
        <v>8.58</v>
      </c>
      <c r="I523" s="8">
        <f>G523*H523</f>
        <v/>
      </c>
      <c r="J523" s="8">
        <f>H523/E523</f>
        <v/>
      </c>
      <c r="K523" s="8" t="n">
        <v>5.9825</v>
      </c>
      <c r="L523" s="8" t="n">
        <v>5.9825</v>
      </c>
      <c r="M523" s="8" t="n">
        <v>5.982499999999999</v>
      </c>
      <c r="N523" s="14">
        <f>J523/M523-1</f>
        <v/>
      </c>
      <c r="O523" s="14">
        <f>J523/K523-1</f>
        <v/>
      </c>
      <c r="P523" s="7" t="inlineStr">
        <is>
          <t>ACIMA +43.4%</t>
        </is>
      </c>
      <c r="Q523" s="7" t="inlineStr"/>
    </row>
    <row r="524">
      <c r="A524" s="7" t="n">
        <v>554601</v>
      </c>
      <c r="B524" s="7" t="inlineStr"/>
      <c r="C524" s="12" t="inlineStr">
        <is>
          <t>7896512922373</t>
        </is>
      </c>
      <c r="D524" s="7" t="inlineStr">
        <is>
          <t>SAB LÍQUIDO DE GLICERINA GRANADO BEBÊ 250ML REFIL</t>
        </is>
      </c>
      <c r="E524" s="13" t="n">
        <v>1</v>
      </c>
      <c r="F524" s="13" t="n">
        <v>14</v>
      </c>
      <c r="G524" s="13" t="n">
        <v>14</v>
      </c>
      <c r="H524" s="8" t="n">
        <v>16.9</v>
      </c>
      <c r="I524" s="8">
        <f>G524*H524</f>
        <v/>
      </c>
      <c r="J524" s="8">
        <f>H524/E524</f>
        <v/>
      </c>
      <c r="K524" s="8" t="n">
        <v>15.72</v>
      </c>
      <c r="L524" s="8" t="n">
        <v>12.59</v>
      </c>
      <c r="M524" s="8" t="n">
        <v>13.66053333333333</v>
      </c>
      <c r="N524" s="14">
        <f>J524/M524-1</f>
        <v/>
      </c>
      <c r="O524" s="14">
        <f>J524/K524-1</f>
        <v/>
      </c>
      <c r="P524" s="7" t="inlineStr">
        <is>
          <t>ACIMA +7.5%</t>
        </is>
      </c>
      <c r="Q524" s="7" t="inlineStr"/>
    </row>
    <row r="525">
      <c r="A525" s="7" t="n">
        <v>637861</v>
      </c>
      <c r="B525" s="7" t="inlineStr"/>
      <c r="C525" s="12" t="inlineStr">
        <is>
          <t>7896512945136</t>
        </is>
      </c>
      <c r="D525" s="7" t="inlineStr">
        <is>
          <t>SAB MEDITERRANEO GERANIO 100G</t>
        </is>
      </c>
      <c r="E525" s="13" t="n">
        <v>1</v>
      </c>
      <c r="F525" s="13" t="n">
        <v>1</v>
      </c>
      <c r="G525" s="13" t="n">
        <v>1</v>
      </c>
      <c r="H525" s="8" t="n">
        <v>5.44</v>
      </c>
      <c r="I525" s="8">
        <f>G525*H525</f>
        <v/>
      </c>
      <c r="J525" s="8">
        <f>H525/E525</f>
        <v/>
      </c>
      <c r="K525" s="8" t="n">
        <v>4.7658</v>
      </c>
      <c r="L525" s="8" t="n">
        <v>4.7658</v>
      </c>
      <c r="M525" s="8" t="n">
        <v>4.7658</v>
      </c>
      <c r="N525" s="14">
        <f>J525/M525-1</f>
        <v/>
      </c>
      <c r="O525" s="14">
        <f>J525/K525-1</f>
        <v/>
      </c>
      <c r="P525" s="7" t="inlineStr">
        <is>
          <t>ACIMA +14.1%</t>
        </is>
      </c>
      <c r="Q525" s="7" t="inlineStr"/>
    </row>
    <row r="526">
      <c r="A526" s="7" t="n">
        <v>604601</v>
      </c>
      <c r="B526" s="7" t="inlineStr"/>
      <c r="C526" s="12" t="inlineStr">
        <is>
          <t>4005900521934</t>
        </is>
      </c>
      <c r="D526" s="7" t="inlineStr">
        <is>
          <t>SAB NIVEA HIDRAT 85G</t>
        </is>
      </c>
      <c r="E526" s="13" t="n">
        <v>1</v>
      </c>
      <c r="F526" s="13" t="n">
        <v>1</v>
      </c>
      <c r="G526" s="13" t="n">
        <v>1</v>
      </c>
      <c r="H526" s="8" t="n">
        <v>2.77</v>
      </c>
      <c r="I526" s="8">
        <f>G526*H526</f>
        <v/>
      </c>
      <c r="J526" s="8">
        <f>H526/E526</f>
        <v/>
      </c>
      <c r="K526" s="8" t="n">
        <v>2.2525</v>
      </c>
      <c r="L526" s="8" t="n">
        <v>2.2525</v>
      </c>
      <c r="M526" s="8" t="n">
        <v>2.2525</v>
      </c>
      <c r="N526" s="14">
        <f>J526/M526-1</f>
        <v/>
      </c>
      <c r="O526" s="14">
        <f>J526/K526-1</f>
        <v/>
      </c>
      <c r="P526" s="7" t="inlineStr">
        <is>
          <t>ACIMA +23.0%</t>
        </is>
      </c>
      <c r="Q526" s="7" t="inlineStr"/>
    </row>
    <row r="527">
      <c r="A527" s="7" t="n">
        <v>615401</v>
      </c>
      <c r="B527" s="7" t="inlineStr"/>
      <c r="C527" s="12" t="inlineStr">
        <is>
          <t>4005808896134</t>
        </is>
      </c>
      <c r="D527" s="7" t="inlineStr">
        <is>
          <t>SAB NIVEA LIQ FRANGI   OIL 250ML</t>
        </is>
      </c>
      <c r="E527" s="13" t="n">
        <v>1</v>
      </c>
      <c r="F527" s="13" t="n">
        <v>1</v>
      </c>
      <c r="G527" s="13" t="n">
        <v>1</v>
      </c>
      <c r="H527" s="8" t="n">
        <v>17.12</v>
      </c>
      <c r="I527" s="8">
        <f>G527*H527</f>
        <v/>
      </c>
      <c r="J527" s="8">
        <f>H527/E527</f>
        <v/>
      </c>
      <c r="K527" s="8" t="n">
        <v>17</v>
      </c>
      <c r="L527" s="8" t="n">
        <v>17</v>
      </c>
      <c r="M527" s="8" t="n">
        <v>17</v>
      </c>
      <c r="N527" s="14">
        <f>J527/M527-1</f>
        <v/>
      </c>
      <c r="O527" s="14">
        <f>J527/K527-1</f>
        <v/>
      </c>
      <c r="P527" s="7" t="inlineStr">
        <is>
          <t>ACIMA +0.7%</t>
        </is>
      </c>
      <c r="Q527" s="7" t="inlineStr"/>
    </row>
    <row r="528">
      <c r="A528" s="7" t="n">
        <v>610831</v>
      </c>
      <c r="B528" s="7" t="inlineStr"/>
      <c r="C528" s="12" t="inlineStr">
        <is>
          <t>7896512909763</t>
        </is>
      </c>
      <c r="D528" s="7" t="inlineStr">
        <is>
          <t>SAB PHEBO FRESCOR DA MANHA</t>
        </is>
      </c>
      <c r="E528" s="13" t="n">
        <v>1</v>
      </c>
      <c r="F528" s="13" t="n">
        <v>1</v>
      </c>
      <c r="G528" s="13" t="n">
        <v>1</v>
      </c>
      <c r="H528" s="8" t="n">
        <v>4.99</v>
      </c>
      <c r="I528" s="8">
        <f>G528*H528</f>
        <v/>
      </c>
      <c r="J528" s="8">
        <f>H528/E528</f>
        <v/>
      </c>
      <c r="K528" s="8" t="n">
        <v>3.92</v>
      </c>
      <c r="L528" s="8" t="n">
        <v>3.92</v>
      </c>
      <c r="M528" s="8" t="n">
        <v>3.92</v>
      </c>
      <c r="N528" s="14">
        <f>J528/M528-1</f>
        <v/>
      </c>
      <c r="O528" s="14">
        <f>J528/K528-1</f>
        <v/>
      </c>
      <c r="P528" s="7" t="inlineStr">
        <is>
          <t>ACIMA +27.3%</t>
        </is>
      </c>
      <c r="Q528" s="7" t="inlineStr"/>
    </row>
    <row r="529">
      <c r="A529" s="7" t="n">
        <v>637871</v>
      </c>
      <c r="B529" s="7" t="inlineStr"/>
      <c r="C529" s="12" t="inlineStr">
        <is>
          <t>7896512911537</t>
        </is>
      </c>
      <c r="D529" s="7" t="inlineStr">
        <is>
          <t>SAB PHEBO MEDITERR ALFAZEMA PROV 100GR</t>
        </is>
      </c>
      <c r="E529" s="13" t="n">
        <v>1</v>
      </c>
      <c r="F529" s="13" t="n">
        <v>2</v>
      </c>
      <c r="G529" s="13" t="n">
        <v>2</v>
      </c>
      <c r="H529" s="8" t="n">
        <v>5.44</v>
      </c>
      <c r="I529" s="8">
        <f>G529*H529</f>
        <v/>
      </c>
      <c r="J529" s="8">
        <f>H529/E529</f>
        <v/>
      </c>
      <c r="K529" s="8" t="n">
        <v>4.7658</v>
      </c>
      <c r="L529" s="8" t="n">
        <v>4.7658</v>
      </c>
      <c r="M529" s="8" t="n">
        <v>4.7658</v>
      </c>
      <c r="N529" s="14">
        <f>J529/M529-1</f>
        <v/>
      </c>
      <c r="O529" s="14">
        <f>J529/K529-1</f>
        <v/>
      </c>
      <c r="P529" s="7" t="inlineStr">
        <is>
          <t>ACIMA +14.1%</t>
        </is>
      </c>
      <c r="Q529" s="7" t="inlineStr"/>
    </row>
    <row r="530">
      <c r="A530" s="7" t="n">
        <v>637881</v>
      </c>
      <c r="B530" s="7" t="inlineStr"/>
      <c r="C530" s="12" t="inlineStr">
        <is>
          <t>7896512921789</t>
        </is>
      </c>
      <c r="D530" s="7" t="inlineStr">
        <is>
          <t>SAB PHEBO MEDITERR LIMAO SICILIAN 100GR</t>
        </is>
      </c>
      <c r="E530" s="13" t="n">
        <v>1</v>
      </c>
      <c r="F530" s="13" t="n">
        <v>1</v>
      </c>
      <c r="G530" s="13" t="n">
        <v>1</v>
      </c>
      <c r="H530" s="8" t="n">
        <v>5.44</v>
      </c>
      <c r="I530" s="8">
        <f>G530*H530</f>
        <v/>
      </c>
      <c r="J530" s="8">
        <f>H530/E530</f>
        <v/>
      </c>
      <c r="K530" s="8" t="n">
        <v>4.1667</v>
      </c>
      <c r="L530" s="8" t="n">
        <v>4.1667</v>
      </c>
      <c r="M530" s="8" t="n">
        <v>4.1667</v>
      </c>
      <c r="N530" s="14">
        <f>J530/M530-1</f>
        <v/>
      </c>
      <c r="O530" s="14">
        <f>J530/K530-1</f>
        <v/>
      </c>
      <c r="P530" s="7" t="inlineStr">
        <is>
          <t>ACIMA +30.6%</t>
        </is>
      </c>
      <c r="Q530" s="7" t="inlineStr"/>
    </row>
    <row r="531">
      <c r="A531" s="7" t="n">
        <v>637891</v>
      </c>
      <c r="B531" s="7" t="inlineStr"/>
      <c r="C531" s="12" t="inlineStr">
        <is>
          <t>7896512937834</t>
        </is>
      </c>
      <c r="D531" s="7" t="inlineStr">
        <is>
          <t>SAB PHEBO NECTARINA 100G</t>
        </is>
      </c>
      <c r="E531" s="13" t="n">
        <v>1</v>
      </c>
      <c r="F531" s="13" t="n">
        <v>1</v>
      </c>
      <c r="G531" s="13" t="n">
        <v>1</v>
      </c>
      <c r="H531" s="8" t="n">
        <v>5.44</v>
      </c>
      <c r="I531" s="8">
        <f>G531*H531</f>
        <v/>
      </c>
      <c r="J531" s="8">
        <f>H531/E531</f>
        <v/>
      </c>
      <c r="K531" s="8" t="n">
        <v>4.1667</v>
      </c>
      <c r="L531" s="8" t="n">
        <v>4.1667</v>
      </c>
      <c r="M531" s="8" t="n">
        <v>4.1667</v>
      </c>
      <c r="N531" s="14">
        <f>J531/M531-1</f>
        <v/>
      </c>
      <c r="O531" s="14">
        <f>J531/K531-1</f>
        <v/>
      </c>
      <c r="P531" s="7" t="inlineStr">
        <is>
          <t>ACIMA +30.6%</t>
        </is>
      </c>
      <c r="Q531" s="7" t="inlineStr"/>
    </row>
    <row r="532">
      <c r="A532" s="7" t="n">
        <v>598481</v>
      </c>
      <c r="B532" s="7" t="inlineStr"/>
      <c r="C532" s="12" t="inlineStr">
        <is>
          <t>7891024035313</t>
        </is>
      </c>
      <c r="D532" s="7" t="inlineStr">
        <is>
          <t>SAB PROTEX MEN SPORT 85G</t>
        </is>
      </c>
      <c r="E532" s="13" t="n">
        <v>1</v>
      </c>
      <c r="F532" s="13" t="n">
        <v>1</v>
      </c>
      <c r="G532" s="13" t="n">
        <v>1</v>
      </c>
      <c r="H532" s="8" t="n">
        <v>3.55</v>
      </c>
      <c r="I532" s="8">
        <f>G532*H532</f>
        <v/>
      </c>
      <c r="J532" s="8">
        <f>H532/E532</f>
        <v/>
      </c>
      <c r="K532" s="8" t="n">
        <v>35.535</v>
      </c>
      <c r="L532" s="8" t="n">
        <v>35.535</v>
      </c>
      <c r="M532" s="8" t="n">
        <v>35.535</v>
      </c>
      <c r="N532" s="14">
        <f>J532/M532-1</f>
        <v/>
      </c>
      <c r="O532" s="14">
        <f>J532/K532-1</f>
        <v/>
      </c>
      <c r="P532" s="7" t="inlineStr">
        <is>
          <t>OK (≤ menor hist.)</t>
        </is>
      </c>
      <c r="Q532" s="7" t="inlineStr">
        <is>
          <t>conferir emb.</t>
        </is>
      </c>
    </row>
    <row r="533">
      <c r="A533" s="7" t="n">
        <v>651621</v>
      </c>
      <c r="B533" s="7" t="inlineStr"/>
      <c r="C533" s="12" t="inlineStr">
        <is>
          <t>7509546692043</t>
        </is>
      </c>
      <c r="D533" s="7" t="inlineStr">
        <is>
          <t>SAB PROTEX SERUM RETINOL 250ML-DEMAIS PROD</t>
        </is>
      </c>
      <c r="E533" s="13" t="n">
        <v>1</v>
      </c>
      <c r="F533" s="13" t="n">
        <v>1</v>
      </c>
      <c r="G533" s="13" t="n">
        <v>1</v>
      </c>
      <c r="H533" s="8" t="n">
        <v>12.5</v>
      </c>
      <c r="I533" s="8">
        <f>G533*H533</f>
        <v/>
      </c>
      <c r="J533" s="8">
        <f>H533/E533</f>
        <v/>
      </c>
      <c r="K533" s="8" t="n">
        <v>9.5608</v>
      </c>
      <c r="L533" s="8" t="n">
        <v>9.5608</v>
      </c>
      <c r="M533" s="8" t="n">
        <v>9.5608</v>
      </c>
      <c r="N533" s="14">
        <f>J533/M533-1</f>
        <v/>
      </c>
      <c r="O533" s="14">
        <f>J533/K533-1</f>
        <v/>
      </c>
      <c r="P533" s="7" t="inlineStr">
        <is>
          <t>ACIMA +30.7%</t>
        </is>
      </c>
      <c r="Q533" s="7" t="inlineStr"/>
    </row>
    <row r="534">
      <c r="A534" s="7" t="n">
        <v>605611</v>
      </c>
      <c r="B534" s="7" t="inlineStr"/>
      <c r="C534" s="12" t="inlineStr">
        <is>
          <t>7898422746827</t>
        </is>
      </c>
      <c r="D534" s="7" t="inlineStr">
        <is>
          <t>SAB.DOVE 90G ESFOLIACAO DIARIA</t>
        </is>
      </c>
      <c r="E534" s="13" t="n">
        <v>1</v>
      </c>
      <c r="F534" s="13" t="n">
        <v>1</v>
      </c>
      <c r="G534" s="13" t="n">
        <v>1</v>
      </c>
      <c r="H534" s="8" t="n">
        <v>5.41</v>
      </c>
      <c r="I534" s="8">
        <f>G534*H534</f>
        <v/>
      </c>
      <c r="J534" s="8">
        <f>H534/E534</f>
        <v/>
      </c>
      <c r="K534" s="8" t="n">
        <v>4.9258</v>
      </c>
      <c r="L534" s="8" t="n">
        <v>4.9258</v>
      </c>
      <c r="M534" s="8" t="n">
        <v>4.9258</v>
      </c>
      <c r="N534" s="14">
        <f>J534/M534-1</f>
        <v/>
      </c>
      <c r="O534" s="14">
        <f>J534/K534-1</f>
        <v/>
      </c>
      <c r="P534" s="7" t="inlineStr">
        <is>
          <t>ACIMA +9.8%</t>
        </is>
      </c>
      <c r="Q534" s="7" t="inlineStr"/>
    </row>
    <row r="535">
      <c r="A535" s="7" t="n">
        <v>569901</v>
      </c>
      <c r="B535" s="7" t="inlineStr"/>
      <c r="C535" s="12" t="inlineStr">
        <is>
          <t>7891150060159</t>
        </is>
      </c>
      <c r="D535" s="7" t="inlineStr">
        <is>
          <t>SAB.LIQ.LUX BOT.250ML LAVANDA</t>
        </is>
      </c>
      <c r="E535" s="13" t="n">
        <v>1</v>
      </c>
      <c r="F535" s="13" t="n">
        <v>4</v>
      </c>
      <c r="G535" s="13" t="n">
        <v>4</v>
      </c>
      <c r="H535" s="8" t="n">
        <v>8.58</v>
      </c>
      <c r="I535" s="8">
        <f>G535*H535</f>
        <v/>
      </c>
      <c r="J535" s="8">
        <f>H535/E535</f>
        <v/>
      </c>
      <c r="K535" s="8" t="n">
        <v>7.9925</v>
      </c>
      <c r="L535" s="8" t="n">
        <v>7.9925</v>
      </c>
      <c r="M535" s="8" t="n">
        <v>7.9925</v>
      </c>
      <c r="N535" s="14">
        <f>J535/M535-1</f>
        <v/>
      </c>
      <c r="O535" s="14">
        <f>J535/K535-1</f>
        <v/>
      </c>
      <c r="P535" s="7" t="inlineStr">
        <is>
          <t>ACIMA +7.4%</t>
        </is>
      </c>
      <c r="Q535" s="7" t="inlineStr"/>
    </row>
    <row r="536">
      <c r="A536" s="7" t="n">
        <v>569921</v>
      </c>
      <c r="B536" s="7" t="inlineStr"/>
      <c r="C536" s="12" t="inlineStr">
        <is>
          <t>7891150060142</t>
        </is>
      </c>
      <c r="D536" s="7" t="inlineStr">
        <is>
          <t>SAB.LIQ.LUX BOT.250ML ORQ.NEG.</t>
        </is>
      </c>
      <c r="E536" s="13" t="n">
        <v>1</v>
      </c>
      <c r="F536" s="13" t="n">
        <v>1</v>
      </c>
      <c r="G536" s="13" t="n">
        <v>1</v>
      </c>
      <c r="H536" s="8" t="n">
        <v>8.58</v>
      </c>
      <c r="I536" s="8">
        <f>G536*H536</f>
        <v/>
      </c>
      <c r="J536" s="8">
        <f>H536/E536</f>
        <v/>
      </c>
      <c r="K536" s="8" t="n">
        <v>5.98</v>
      </c>
      <c r="L536" s="8" t="n">
        <v>5.98</v>
      </c>
      <c r="M536" s="8" t="n">
        <v>5.98</v>
      </c>
      <c r="N536" s="14">
        <f>J536/M536-1</f>
        <v/>
      </c>
      <c r="O536" s="14">
        <f>J536/K536-1</f>
        <v/>
      </c>
      <c r="P536" s="7" t="inlineStr">
        <is>
          <t>ACIMA +43.5%</t>
        </is>
      </c>
      <c r="Q536" s="7" t="inlineStr"/>
    </row>
    <row r="537">
      <c r="A537" s="7" t="n">
        <v>604611</v>
      </c>
      <c r="B537" s="7" t="inlineStr"/>
      <c r="C537" s="12" t="inlineStr">
        <is>
          <t>4005900522016</t>
        </is>
      </c>
      <c r="D537" s="7" t="inlineStr">
        <is>
          <t>SAB.NIVEA HIDRAT.12X85G ORQ.</t>
        </is>
      </c>
      <c r="E537" s="13" t="n">
        <v>1</v>
      </c>
      <c r="F537" s="13" t="n">
        <v>1</v>
      </c>
      <c r="G537" s="13" t="n">
        <v>1</v>
      </c>
      <c r="H537" s="8" t="n">
        <v>2.77</v>
      </c>
      <c r="I537" s="8">
        <f>G537*H537</f>
        <v/>
      </c>
      <c r="J537" s="8">
        <f>H537/E537</f>
        <v/>
      </c>
      <c r="K537" s="8" t="n">
        <v>2.5367</v>
      </c>
      <c r="L537" s="8" t="n">
        <v>2.5367</v>
      </c>
      <c r="M537" s="8" t="n">
        <v>2.5367</v>
      </c>
      <c r="N537" s="14">
        <f>J537/M537-1</f>
        <v/>
      </c>
      <c r="O537" s="14">
        <f>J537/K537-1</f>
        <v/>
      </c>
      <c r="P537" s="7" t="inlineStr">
        <is>
          <t>ACIMA +9.2%</t>
        </is>
      </c>
      <c r="Q537" s="7" t="inlineStr"/>
    </row>
    <row r="538">
      <c r="A538" s="7" t="n">
        <v>549061</v>
      </c>
      <c r="B538" s="7" t="inlineStr"/>
      <c r="C538" s="12" t="inlineStr">
        <is>
          <t>7896512904621</t>
        </is>
      </c>
      <c r="D538" s="7" t="inlineStr">
        <is>
          <t>SABON.LIQ.GRANADO INF.TRAD.250ML</t>
        </is>
      </c>
      <c r="E538" s="13" t="n">
        <v>1</v>
      </c>
      <c r="F538" s="13" t="n">
        <v>7</v>
      </c>
      <c r="G538" s="13" t="n">
        <v>7</v>
      </c>
      <c r="H538" s="8" t="n">
        <v>22.65</v>
      </c>
      <c r="I538" s="8">
        <f>G538*H538</f>
        <v/>
      </c>
      <c r="J538" s="8">
        <f>H538/E538</f>
        <v/>
      </c>
      <c r="K538" s="8" t="n">
        <v>18.98</v>
      </c>
      <c r="L538" s="8" t="n">
        <v>16.72</v>
      </c>
      <c r="M538" s="8" t="n">
        <v>18.22666666666667</v>
      </c>
      <c r="N538" s="14">
        <f>J538/M538-1</f>
        <v/>
      </c>
      <c r="O538" s="14">
        <f>J538/K538-1</f>
        <v/>
      </c>
      <c r="P538" s="7" t="inlineStr">
        <is>
          <t>ACIMA +19.3%</t>
        </is>
      </c>
      <c r="Q538" s="7" t="inlineStr"/>
    </row>
    <row r="539">
      <c r="A539" s="7" t="n">
        <v>538781</v>
      </c>
      <c r="B539" s="7" t="inlineStr"/>
      <c r="C539" s="12" t="inlineStr">
        <is>
          <t>7891150059849</t>
        </is>
      </c>
      <c r="D539" s="7" t="inlineStr">
        <is>
          <t>SABONETE BARRA BUQUE DE JASMIM LUX BOTANICALS ENVOLTÓRIO 85G</t>
        </is>
      </c>
      <c r="E539" s="13" t="n">
        <v>1</v>
      </c>
      <c r="F539" s="13" t="n">
        <v>8</v>
      </c>
      <c r="G539" s="13" t="n">
        <v>8</v>
      </c>
      <c r="H539" s="8" t="n">
        <v>2.52</v>
      </c>
      <c r="I539" s="8">
        <f>G539*H539</f>
        <v/>
      </c>
      <c r="J539" s="8">
        <f>H539/E539</f>
        <v/>
      </c>
      <c r="K539" s="8" t="n">
        <v>2.28</v>
      </c>
      <c r="L539" s="8" t="n">
        <v>2.28</v>
      </c>
      <c r="M539" s="8" t="n">
        <v>2.28</v>
      </c>
      <c r="N539" s="14">
        <f>J539/M539-1</f>
        <v/>
      </c>
      <c r="O539" s="14">
        <f>J539/K539-1</f>
        <v/>
      </c>
      <c r="P539" s="7" t="inlineStr">
        <is>
          <t>ACIMA +10.5%</t>
        </is>
      </c>
      <c r="Q539" s="7" t="inlineStr"/>
    </row>
    <row r="540">
      <c r="A540" s="7" t="n">
        <v>537201</v>
      </c>
      <c r="B540" s="7" t="inlineStr"/>
      <c r="C540" s="12" t="inlineStr">
        <is>
          <t>7896512900043</t>
        </is>
      </c>
      <c r="D540" s="7" t="inlineStr">
        <is>
          <t>SABONETE BARRA ENXOFRE GRANADO CAIXA 90G</t>
        </is>
      </c>
      <c r="E540" s="13" t="n">
        <v>1</v>
      </c>
      <c r="F540" s="13" t="n">
        <v>71</v>
      </c>
      <c r="G540" s="13" t="n">
        <v>71</v>
      </c>
      <c r="H540" s="8" t="n">
        <v>8.41</v>
      </c>
      <c r="I540" s="8">
        <f>G540*H540</f>
        <v/>
      </c>
      <c r="J540" s="8">
        <f>H540/E540</f>
        <v/>
      </c>
      <c r="K540" s="8" t="n">
        <v>6.6661</v>
      </c>
      <c r="L540" s="8" t="n">
        <v>6.363</v>
      </c>
      <c r="M540" s="8" t="n">
        <v>6.565066666666667</v>
      </c>
      <c r="N540" s="14">
        <f>J540/M540-1</f>
        <v/>
      </c>
      <c r="O540" s="14">
        <f>J540/K540-1</f>
        <v/>
      </c>
      <c r="P540" s="7" t="inlineStr">
        <is>
          <t>ACIMA +26.2%</t>
        </is>
      </c>
      <c r="Q540" s="7" t="inlineStr"/>
    </row>
    <row r="541">
      <c r="A541" s="7" t="n">
        <v>538761</v>
      </c>
      <c r="B541" s="7" t="inlineStr"/>
      <c r="C541" s="12" t="inlineStr">
        <is>
          <t>7891150059924</t>
        </is>
      </c>
      <c r="D541" s="7" t="inlineStr">
        <is>
          <t>SABONETE BARRA FLOR DE LÓTUS LUX BOTANICALS ENVOLTÓRIO 85G</t>
        </is>
      </c>
      <c r="E541" s="13" t="n">
        <v>1</v>
      </c>
      <c r="F541" s="13" t="n">
        <v>1</v>
      </c>
      <c r="G541" s="13" t="n">
        <v>1</v>
      </c>
      <c r="H541" s="8" t="n">
        <v>2.52</v>
      </c>
      <c r="I541" s="8">
        <f>G541*H541</f>
        <v/>
      </c>
      <c r="J541" s="8">
        <f>H541/E541</f>
        <v/>
      </c>
      <c r="K541" s="8" t="n">
        <v>1.8925</v>
      </c>
      <c r="L541" s="8" t="n">
        <v>1.8925</v>
      </c>
      <c r="M541" s="8" t="n">
        <v>1.8925</v>
      </c>
      <c r="N541" s="14">
        <f>J541/M541-1</f>
        <v/>
      </c>
      <c r="O541" s="14">
        <f>J541/K541-1</f>
        <v/>
      </c>
      <c r="P541" s="7" t="inlineStr">
        <is>
          <t>ACIMA +33.2%</t>
        </is>
      </c>
      <c r="Q541" s="7" t="inlineStr"/>
    </row>
    <row r="542">
      <c r="A542" s="7" t="n">
        <v>538801</v>
      </c>
      <c r="B542" s="7" t="inlineStr"/>
      <c r="C542" s="12" t="inlineStr">
        <is>
          <t>7891150059917</t>
        </is>
      </c>
      <c r="D542" s="7" t="inlineStr">
        <is>
          <t>SABONETE BARRA LIRIO AZUL LUX BOTANICALS ENVOLTÓRIO 85G</t>
        </is>
      </c>
      <c r="E542" s="13" t="n">
        <v>1</v>
      </c>
      <c r="F542" s="13" t="n">
        <v>3</v>
      </c>
      <c r="G542" s="13" t="n">
        <v>3</v>
      </c>
      <c r="H542" s="8" t="n">
        <v>2.52</v>
      </c>
      <c r="I542" s="8">
        <f>G542*H542</f>
        <v/>
      </c>
      <c r="J542" s="8">
        <f>H542/E542</f>
        <v/>
      </c>
      <c r="K542" s="8" t="n">
        <v>1.8925</v>
      </c>
      <c r="L542" s="8" t="n">
        <v>1.8925</v>
      </c>
      <c r="M542" s="8" t="n">
        <v>1.8925</v>
      </c>
      <c r="N542" s="14">
        <f>J542/M542-1</f>
        <v/>
      </c>
      <c r="O542" s="14">
        <f>J542/K542-1</f>
        <v/>
      </c>
      <c r="P542" s="7" t="inlineStr">
        <is>
          <t>ACIMA +33.2%</t>
        </is>
      </c>
      <c r="Q542" s="7" t="inlineStr"/>
    </row>
    <row r="543">
      <c r="A543" s="7" t="n">
        <v>552301</v>
      </c>
      <c r="B543" s="7" t="inlineStr"/>
      <c r="C543" s="12" t="inlineStr">
        <is>
          <t>7896512900111</t>
        </is>
      </c>
      <c r="D543" s="7" t="inlineStr">
        <is>
          <t>SABONETE BARRA SULFUROSO GRANADO CAIXA 90G</t>
        </is>
      </c>
      <c r="E543" s="13" t="n">
        <v>1</v>
      </c>
      <c r="F543" s="13" t="n">
        <v>10</v>
      </c>
      <c r="G543" s="13" t="n">
        <v>10</v>
      </c>
      <c r="H543" s="8" t="n">
        <v>8.41</v>
      </c>
      <c r="I543" s="8">
        <f>G543*H543</f>
        <v/>
      </c>
      <c r="J543" s="8">
        <f>H543/E543</f>
        <v/>
      </c>
      <c r="K543" s="8" t="n">
        <v>6.665</v>
      </c>
      <c r="L543" s="8" t="n">
        <v>6.4504</v>
      </c>
      <c r="M543" s="8" t="n">
        <v>6.593466666666667</v>
      </c>
      <c r="N543" s="14">
        <f>J543/M543-1</f>
        <v/>
      </c>
      <c r="O543" s="14">
        <f>J543/K543-1</f>
        <v/>
      </c>
      <c r="P543" s="7" t="inlineStr">
        <is>
          <t>ACIMA +26.2%</t>
        </is>
      </c>
      <c r="Q543" s="7" t="inlineStr"/>
    </row>
    <row r="544">
      <c r="A544" s="7" t="n">
        <v>536801</v>
      </c>
      <c r="B544" s="7" t="inlineStr"/>
      <c r="C544" s="12" t="inlineStr">
        <is>
          <t>7896512909787</t>
        </is>
      </c>
      <c r="D544" s="7" t="inlineStr">
        <is>
          <t>SABONETE BARRA VEGETAL ODOR DE ROSAS PHEBO ENVOLTÓRIO 90G</t>
        </is>
      </c>
      <c r="E544" s="13" t="n">
        <v>1</v>
      </c>
      <c r="F544" s="13" t="n">
        <v>11</v>
      </c>
      <c r="G544" s="13" t="n">
        <v>11</v>
      </c>
      <c r="H544" s="8" t="n">
        <v>4.68</v>
      </c>
      <c r="I544" s="8">
        <f>G544*H544</f>
        <v/>
      </c>
      <c r="J544" s="8">
        <f>H544/E544</f>
        <v/>
      </c>
      <c r="K544" s="8" t="n">
        <v>4.6</v>
      </c>
      <c r="L544" s="8" t="n">
        <v>4.6</v>
      </c>
      <c r="M544" s="8" t="n">
        <v>4.6</v>
      </c>
      <c r="N544" s="14">
        <f>J544/M544-1</f>
        <v/>
      </c>
      <c r="O544" s="14">
        <f>J544/K544-1</f>
        <v/>
      </c>
      <c r="P544" s="7" t="inlineStr">
        <is>
          <t>ACIMA +1.7%</t>
        </is>
      </c>
      <c r="Q544" s="7" t="inlineStr"/>
    </row>
    <row r="545">
      <c r="A545" s="7" t="n">
        <v>545341</v>
      </c>
      <c r="B545" s="7" t="inlineStr"/>
      <c r="C545" s="12" t="inlineStr">
        <is>
          <t>7896018700789</t>
        </is>
      </c>
      <c r="D545" s="7" t="inlineStr">
        <is>
          <t>SABONETE INFANTIL BARRA CHÁ DE CAMOMILA DISNEY BABY HUGGIES 75G</t>
        </is>
      </c>
      <c r="E545" s="13" t="n">
        <v>1</v>
      </c>
      <c r="F545" s="13" t="n">
        <v>4</v>
      </c>
      <c r="G545" s="13" t="n">
        <v>4</v>
      </c>
      <c r="H545" s="8" t="n">
        <v>4.55</v>
      </c>
      <c r="I545" s="8">
        <f>G545*H545</f>
        <v/>
      </c>
      <c r="J545" s="8">
        <f>H545/E545</f>
        <v/>
      </c>
      <c r="K545" s="8" t="n">
        <v>4.55</v>
      </c>
      <c r="L545" s="8" t="n">
        <v>4.55</v>
      </c>
      <c r="M545" s="8" t="n">
        <v>4.55</v>
      </c>
      <c r="N545" s="14">
        <f>J545/M545-1</f>
        <v/>
      </c>
      <c r="O545" s="14">
        <f>J545/K545-1</f>
        <v/>
      </c>
      <c r="P545" s="7" t="inlineStr">
        <is>
          <t>OK (≤ menor hist.)</t>
        </is>
      </c>
      <c r="Q545" s="7" t="inlineStr"/>
    </row>
    <row r="546">
      <c r="A546" s="7" t="n">
        <v>540441</v>
      </c>
      <c r="B546" s="7" t="inlineStr"/>
      <c r="C546" s="12" t="inlineStr">
        <is>
          <t>7896018700338</t>
        </is>
      </c>
      <c r="D546" s="7" t="inlineStr">
        <is>
          <t>SABONETE LIQ HUGGIES EXTRA SUAVE 200ML</t>
        </is>
      </c>
      <c r="E546" s="13" t="n">
        <v>1</v>
      </c>
      <c r="F546" s="13" t="n">
        <v>1</v>
      </c>
      <c r="G546" s="13" t="n">
        <v>1</v>
      </c>
      <c r="H546" s="8" t="n">
        <v>15.73</v>
      </c>
      <c r="I546" s="8">
        <f>G546*H546</f>
        <v/>
      </c>
      <c r="J546" s="8">
        <f>H546/E546</f>
        <v/>
      </c>
      <c r="K546" s="8" t="n">
        <v>10.64</v>
      </c>
      <c r="L546" s="8" t="n">
        <v>10.64</v>
      </c>
      <c r="M546" s="8" t="n">
        <v>10.64</v>
      </c>
      <c r="N546" s="14">
        <f>J546/M546-1</f>
        <v/>
      </c>
      <c r="O546" s="14">
        <f>J546/K546-1</f>
        <v/>
      </c>
      <c r="P546" s="7" t="inlineStr">
        <is>
          <t>ACIMA +47.8%</t>
        </is>
      </c>
      <c r="Q546" s="7" t="inlineStr"/>
    </row>
    <row r="547">
      <c r="A547" s="7" t="n">
        <v>535741</v>
      </c>
      <c r="B547" s="7" t="inlineStr"/>
      <c r="C547" s="12" t="inlineStr">
        <is>
          <t>7890704810516</t>
        </is>
      </c>
      <c r="D547" s="7" t="inlineStr">
        <is>
          <t>SABONETE LIQUIDO INTIMO NIVEA SUAVE FRASCO 250ML</t>
        </is>
      </c>
      <c r="E547" s="13" t="n">
        <v>1</v>
      </c>
      <c r="F547" s="13" t="n">
        <v>3</v>
      </c>
      <c r="G547" s="13" t="n">
        <v>3</v>
      </c>
      <c r="H547" s="8" t="n">
        <v>20.34</v>
      </c>
      <c r="I547" s="8">
        <f>G547*H547</f>
        <v/>
      </c>
      <c r="J547" s="8">
        <f>H547/E547</f>
        <v/>
      </c>
      <c r="K547" s="8" t="n">
        <v>17.7647</v>
      </c>
      <c r="L547" s="8" t="n">
        <v>16.0142</v>
      </c>
      <c r="M547" s="8" t="n">
        <v>16.99806666666666</v>
      </c>
      <c r="N547" s="14">
        <f>J547/M547-1</f>
        <v/>
      </c>
      <c r="O547" s="14">
        <f>J547/K547-1</f>
        <v/>
      </c>
      <c r="P547" s="7" t="inlineStr">
        <is>
          <t>ACIMA +14.5%</t>
        </is>
      </c>
      <c r="Q547" s="7" t="inlineStr"/>
    </row>
    <row r="548">
      <c r="A548" s="7" t="n">
        <v>535581</v>
      </c>
      <c r="B548" s="7" t="inlineStr"/>
      <c r="C548" s="12" t="inlineStr">
        <is>
          <t>7891024115800</t>
        </is>
      </c>
      <c r="D548" s="7" t="inlineStr">
        <is>
          <t>SABONETE LIQUIDO PROTEX BALANCE SAUDAVEL FRASCO 250ML</t>
        </is>
      </c>
      <c r="E548" s="13" t="n">
        <v>1</v>
      </c>
      <c r="F548" s="13" t="n">
        <v>3</v>
      </c>
      <c r="G548" s="13" t="n">
        <v>3</v>
      </c>
      <c r="H548" s="8" t="n">
        <v>11.7</v>
      </c>
      <c r="I548" s="8">
        <f>G548*H548</f>
        <v/>
      </c>
      <c r="J548" s="8">
        <f>H548/E548</f>
        <v/>
      </c>
      <c r="K548" s="8" t="n">
        <v>7.6233</v>
      </c>
      <c r="L548" s="8" t="n">
        <v>7.0783</v>
      </c>
      <c r="M548" s="8" t="n">
        <v>7.0783</v>
      </c>
      <c r="N548" s="14">
        <f>J548/M548-1</f>
        <v/>
      </c>
      <c r="O548" s="14">
        <f>J548/K548-1</f>
        <v/>
      </c>
      <c r="P548" s="7" t="inlineStr">
        <is>
          <t>ACIMA +53.5%</t>
        </is>
      </c>
      <c r="Q548" s="7" t="inlineStr"/>
    </row>
    <row r="549">
      <c r="A549" s="7" t="n">
        <v>535621</v>
      </c>
      <c r="B549" s="7" t="inlineStr"/>
      <c r="C549" s="12" t="inlineStr">
        <is>
          <t>7891024115107</t>
        </is>
      </c>
      <c r="D549" s="7" t="inlineStr">
        <is>
          <t>SABONETE LIQUIDO PROTEX CREAM FRASCO 250ML</t>
        </is>
      </c>
      <c r="E549" s="13" t="n">
        <v>1</v>
      </c>
      <c r="F549" s="13" t="n">
        <v>6</v>
      </c>
      <c r="G549" s="13" t="n">
        <v>6</v>
      </c>
      <c r="H549" s="8" t="n">
        <v>11.7</v>
      </c>
      <c r="I549" s="8">
        <f>G549*H549</f>
        <v/>
      </c>
      <c r="J549" s="8">
        <f>H549/E549</f>
        <v/>
      </c>
      <c r="K549" s="8" t="n">
        <v>8.775</v>
      </c>
      <c r="L549" s="8" t="n">
        <v>7.0783</v>
      </c>
      <c r="M549" s="8" t="n">
        <v>8.209433333333333</v>
      </c>
      <c r="N549" s="14">
        <f>J549/M549-1</f>
        <v/>
      </c>
      <c r="O549" s="14">
        <f>J549/K549-1</f>
        <v/>
      </c>
      <c r="P549" s="7" t="inlineStr">
        <is>
          <t>ACIMA +33.3%</t>
        </is>
      </c>
      <c r="Q549" s="7" t="inlineStr"/>
    </row>
    <row r="550">
      <c r="A550" s="7" t="n">
        <v>318421</v>
      </c>
      <c r="B550" s="7" t="inlineStr"/>
      <c r="C550" s="12" t="inlineStr">
        <is>
          <t>7896227800812</t>
        </is>
      </c>
      <c r="D550" s="7" t="inlineStr">
        <is>
          <t>SALONPAS 144,0+131,0+28,4MG  CX 2 UNID. ADES TAM GDE</t>
        </is>
      </c>
      <c r="E550" s="13" t="n">
        <v>1</v>
      </c>
      <c r="F550" s="13" t="n">
        <v>36</v>
      </c>
      <c r="G550" s="13" t="n">
        <v>36</v>
      </c>
      <c r="H550" s="8" t="n">
        <v>8.220000000000001</v>
      </c>
      <c r="I550" s="8">
        <f>G550*H550</f>
        <v/>
      </c>
      <c r="J550" s="8">
        <f>H550/E550</f>
        <v/>
      </c>
      <c r="K550" s="8" t="n">
        <v>8.029500000000001</v>
      </c>
      <c r="L550" s="8" t="n">
        <v>6.1254</v>
      </c>
      <c r="M550" s="8" t="n">
        <v>7.3948</v>
      </c>
      <c r="N550" s="14">
        <f>J550/M550-1</f>
        <v/>
      </c>
      <c r="O550" s="14">
        <f>J550/K550-1</f>
        <v/>
      </c>
      <c r="P550" s="7" t="inlineStr">
        <is>
          <t>ACIMA +2.4%</t>
        </is>
      </c>
      <c r="Q550" s="7" t="inlineStr">
        <is>
          <t>estoque parcial (32 un)</t>
        </is>
      </c>
    </row>
    <row r="551">
      <c r="A551" s="7" t="n">
        <v>318441</v>
      </c>
      <c r="B551" s="7" t="inlineStr"/>
      <c r="C551" s="12" t="inlineStr">
        <is>
          <t>7896227800829</t>
        </is>
      </c>
      <c r="D551" s="7" t="inlineStr">
        <is>
          <t>SALONPAS 144,0+131,0+28,4MG CX 4 UNID. ADES TAM GDE</t>
        </is>
      </c>
      <c r="E551" s="13" t="n">
        <v>1</v>
      </c>
      <c r="F551" s="13" t="n">
        <v>61</v>
      </c>
      <c r="G551" s="13" t="n">
        <v>61</v>
      </c>
      <c r="H551" s="8" t="n">
        <v>14.8</v>
      </c>
      <c r="I551" s="8">
        <f>G551*H551</f>
        <v/>
      </c>
      <c r="J551" s="8">
        <f>H551/E551</f>
        <v/>
      </c>
      <c r="K551" s="8" t="n">
        <v>15.3803</v>
      </c>
      <c r="L551" s="8" t="n">
        <v>11.0372</v>
      </c>
      <c r="M551" s="8" t="n">
        <v>13.1579</v>
      </c>
      <c r="N551" s="14">
        <f>J551/M551-1</f>
        <v/>
      </c>
      <c r="O551" s="14">
        <f>J551/K551-1</f>
        <v/>
      </c>
      <c r="P551" s="7" t="inlineStr">
        <is>
          <t>OK (≤ últ. compra)</t>
        </is>
      </c>
      <c r="Q551" s="7" t="inlineStr"/>
    </row>
    <row r="552">
      <c r="A552" s="7" t="n">
        <v>431321</v>
      </c>
      <c r="B552" s="7" t="inlineStr"/>
      <c r="C552" s="12" t="inlineStr">
        <is>
          <t>7896227800041</t>
        </is>
      </c>
      <c r="D552" s="7" t="inlineStr">
        <is>
          <t>SALONPAS 30+38,5+38,5+19MG/ML LATA COM 80ML</t>
        </is>
      </c>
      <c r="E552" s="13" t="n">
        <v>1</v>
      </c>
      <c r="F552" s="13" t="n">
        <v>1</v>
      </c>
      <c r="G552" s="13" t="n">
        <v>1</v>
      </c>
      <c r="H552" s="8" t="n">
        <v>43.68</v>
      </c>
      <c r="I552" s="8">
        <f>G552*H552</f>
        <v/>
      </c>
      <c r="J552" s="8">
        <f>H552/E552</f>
        <v/>
      </c>
      <c r="K552" s="8" t="n">
        <v>37.6733</v>
      </c>
      <c r="L552" s="8" t="n">
        <v>32.5533</v>
      </c>
      <c r="M552" s="8" t="n">
        <v>35.4922</v>
      </c>
      <c r="N552" s="14">
        <f>J552/M552-1</f>
        <v/>
      </c>
      <c r="O552" s="14">
        <f>J552/K552-1</f>
        <v/>
      </c>
      <c r="P552" s="7" t="inlineStr">
        <is>
          <t>ACIMA +15.9%</t>
        </is>
      </c>
      <c r="Q552" s="7" t="inlineStr"/>
    </row>
    <row r="553">
      <c r="A553" s="7" t="n">
        <v>318381</v>
      </c>
      <c r="B553" s="7" t="inlineStr"/>
      <c r="C553" s="12" t="inlineStr">
        <is>
          <t>7896227800805</t>
        </is>
      </c>
      <c r="D553" s="7" t="inlineStr">
        <is>
          <t>SALONPAS 36,0MG+33,0MG+7,1MG CX 10 UNID. ADES TAM PEQ</t>
        </is>
      </c>
      <c r="E553" s="13" t="n">
        <v>1</v>
      </c>
      <c r="F553" s="13" t="n">
        <v>32</v>
      </c>
      <c r="G553" s="13" t="n">
        <v>32</v>
      </c>
      <c r="H553" s="8" t="n">
        <v>9.279999999999999</v>
      </c>
      <c r="I553" s="8">
        <f>G553*H553</f>
        <v/>
      </c>
      <c r="J553" s="8">
        <f>H553/E553</f>
        <v/>
      </c>
      <c r="K553" s="8" t="n">
        <v>8.486000000000001</v>
      </c>
      <c r="L553" s="8" t="n">
        <v>6.9125</v>
      </c>
      <c r="M553" s="8" t="n">
        <v>7.961500000000001</v>
      </c>
      <c r="N553" s="14">
        <f>J553/M553-1</f>
        <v/>
      </c>
      <c r="O553" s="14">
        <f>J553/K553-1</f>
        <v/>
      </c>
      <c r="P553" s="7" t="inlineStr">
        <is>
          <t>ACIMA +9.4%</t>
        </is>
      </c>
      <c r="Q553" s="7" t="inlineStr"/>
    </row>
    <row r="554">
      <c r="A554" s="7" t="n">
        <v>628621</v>
      </c>
      <c r="B554" s="7" t="inlineStr"/>
      <c r="C554" s="12" t="inlineStr">
        <is>
          <t>7891150075375</t>
        </is>
      </c>
      <c r="D554" s="7" t="inlineStr">
        <is>
          <t>SB LIQ DOVE 200ML RF CUIDA PROTEGE M3</t>
        </is>
      </c>
      <c r="E554" s="13" t="n">
        <v>1</v>
      </c>
      <c r="F554" s="13" t="n">
        <v>2</v>
      </c>
      <c r="G554" s="13" t="n">
        <v>2</v>
      </c>
      <c r="H554" s="8" t="n">
        <v>9.35</v>
      </c>
      <c r="I554" s="8">
        <f>G554*H554</f>
        <v/>
      </c>
      <c r="J554" s="8">
        <f>H554/E554</f>
        <v/>
      </c>
      <c r="K554" s="8" t="n">
        <v>8.31</v>
      </c>
      <c r="L554" s="8" t="n">
        <v>7.53</v>
      </c>
      <c r="M554" s="8" t="n">
        <v>8.050000000000001</v>
      </c>
      <c r="N554" s="14">
        <f>J554/M554-1</f>
        <v/>
      </c>
      <c r="O554" s="14">
        <f>J554/K554-1</f>
        <v/>
      </c>
      <c r="P554" s="7" t="inlineStr">
        <is>
          <t>ACIMA +12.5%</t>
        </is>
      </c>
      <c r="Q554" s="7" t="inlineStr"/>
    </row>
    <row r="555">
      <c r="A555" s="7" t="n">
        <v>576081</v>
      </c>
      <c r="B555" s="7" t="inlineStr"/>
      <c r="C555" s="12" t="inlineStr">
        <is>
          <t>7891150075405</t>
        </is>
      </c>
      <c r="D555" s="7" t="inlineStr">
        <is>
          <t>SB LIQ DOVE 250ML CUIDA PROTEGE M3</t>
        </is>
      </c>
      <c r="E555" s="13" t="n">
        <v>1</v>
      </c>
      <c r="F555" s="13" t="n">
        <v>4</v>
      </c>
      <c r="G555" s="13" t="n">
        <v>4</v>
      </c>
      <c r="H555" s="8" t="n">
        <v>12.38</v>
      </c>
      <c r="I555" s="8">
        <f>G555*H555</f>
        <v/>
      </c>
      <c r="J555" s="8">
        <f>H555/E555</f>
        <v/>
      </c>
      <c r="K555" s="8" t="n">
        <v>11.685</v>
      </c>
      <c r="L555" s="8" t="n">
        <v>11.5333</v>
      </c>
      <c r="M555" s="8" t="n">
        <v>11.5333</v>
      </c>
      <c r="N555" s="14">
        <f>J555/M555-1</f>
        <v/>
      </c>
      <c r="O555" s="14">
        <f>J555/K555-1</f>
        <v/>
      </c>
      <c r="P555" s="7" t="inlineStr">
        <is>
          <t>ACIMA +5.9%</t>
        </is>
      </c>
      <c r="Q555" s="7" t="inlineStr"/>
    </row>
    <row r="556">
      <c r="A556" s="7" t="n">
        <v>575521</v>
      </c>
      <c r="B556" s="7" t="inlineStr"/>
      <c r="C556" s="12" t="inlineStr">
        <is>
          <t>7891150029293</t>
        </is>
      </c>
      <c r="D556" s="7" t="inlineStr">
        <is>
          <t>SB LIQ DOVE 250ML CUIDADO RECONFORTAN M3</t>
        </is>
      </c>
      <c r="E556" s="13" t="n">
        <v>1</v>
      </c>
      <c r="F556" s="13" t="n">
        <v>1</v>
      </c>
      <c r="G556" s="13" t="n">
        <v>1</v>
      </c>
      <c r="H556" s="8" t="n">
        <v>12.38</v>
      </c>
      <c r="I556" s="8">
        <f>G556*H556</f>
        <v/>
      </c>
      <c r="J556" s="8">
        <f>H556/E556</f>
        <v/>
      </c>
      <c r="K556" s="8" t="n">
        <v>12.6</v>
      </c>
      <c r="L556" s="8" t="n">
        <v>12.6</v>
      </c>
      <c r="M556" s="8" t="n">
        <v>12.6</v>
      </c>
      <c r="N556" s="14">
        <f>J556/M556-1</f>
        <v/>
      </c>
      <c r="O556" s="14">
        <f>J556/K556-1</f>
        <v/>
      </c>
      <c r="P556" s="7" t="inlineStr">
        <is>
          <t>OK (≤ menor hist.)</t>
        </is>
      </c>
      <c r="Q556" s="7" t="inlineStr"/>
    </row>
    <row r="557">
      <c r="A557" s="7" t="n">
        <v>631681</v>
      </c>
      <c r="B557" s="7" t="inlineStr"/>
      <c r="C557" s="12" t="inlineStr">
        <is>
          <t>7891150063105</t>
        </is>
      </c>
      <c r="D557" s="7" t="inlineStr">
        <is>
          <t>SB LIQ DOVE 250ML NUTRICAO PROFUNDA</t>
        </is>
      </c>
      <c r="E557" s="13" t="n">
        <v>1</v>
      </c>
      <c r="F557" s="13" t="n">
        <v>2</v>
      </c>
      <c r="G557" s="13" t="n">
        <v>2</v>
      </c>
      <c r="H557" s="8" t="n">
        <v>12.03</v>
      </c>
      <c r="I557" s="8">
        <f>G557*H557</f>
        <v/>
      </c>
      <c r="J557" s="8">
        <f>H557/E557</f>
        <v/>
      </c>
      <c r="K557" s="8" t="n">
        <v>12.17</v>
      </c>
      <c r="L557" s="8" t="n">
        <v>10.7908</v>
      </c>
      <c r="M557" s="8" t="n">
        <v>11.71026666666667</v>
      </c>
      <c r="N557" s="14">
        <f>J557/M557-1</f>
        <v/>
      </c>
      <c r="O557" s="14">
        <f>J557/K557-1</f>
        <v/>
      </c>
      <c r="P557" s="7" t="inlineStr">
        <is>
          <t>OK (≤ últ. compra)</t>
        </is>
      </c>
      <c r="Q557" s="7" t="inlineStr"/>
    </row>
    <row r="558">
      <c r="A558" s="7" t="n">
        <v>653871</v>
      </c>
      <c r="B558" s="7" t="inlineStr"/>
      <c r="C558" s="12" t="inlineStr">
        <is>
          <t>7891150095328</t>
        </is>
      </c>
      <c r="D558" s="7" t="inlineStr">
        <is>
          <t>SB LIQ LUX BOT 200ML REFIL GARD AMEND</t>
        </is>
      </c>
      <c r="E558" s="13" t="n">
        <v>1</v>
      </c>
      <c r="F558" s="13" t="n">
        <v>3</v>
      </c>
      <c r="G558" s="13" t="n">
        <v>3</v>
      </c>
      <c r="H558" s="8" t="n">
        <v>6.4</v>
      </c>
      <c r="I558" s="8">
        <f>G558*H558</f>
        <v/>
      </c>
      <c r="J558" s="8">
        <f>H558/E558</f>
        <v/>
      </c>
      <c r="K558" s="8" t="n">
        <v>5.94</v>
      </c>
      <c r="L558" s="8" t="n">
        <v>5.94</v>
      </c>
      <c r="M558" s="8" t="n">
        <v>5.94</v>
      </c>
      <c r="N558" s="14">
        <f>J558/M558-1</f>
        <v/>
      </c>
      <c r="O558" s="14">
        <f>J558/K558-1</f>
        <v/>
      </c>
      <c r="P558" s="7" t="inlineStr">
        <is>
          <t>ACIMA +7.7%</t>
        </is>
      </c>
      <c r="Q558" s="7" t="inlineStr"/>
    </row>
    <row r="559">
      <c r="A559" s="7" t="n">
        <v>575781</v>
      </c>
      <c r="B559" s="7" t="inlineStr"/>
      <c r="C559" s="12" t="inlineStr">
        <is>
          <t>7891150060166</t>
        </is>
      </c>
      <c r="D559" s="7" t="inlineStr">
        <is>
          <t>SB LIQ LUX BOTANICALS 250ML BUQ DE JA M3</t>
        </is>
      </c>
      <c r="E559" s="13" t="n">
        <v>1</v>
      </c>
      <c r="F559" s="13" t="n">
        <v>6</v>
      </c>
      <c r="G559" s="13" t="n">
        <v>6</v>
      </c>
      <c r="H559" s="8" t="n">
        <v>8.58</v>
      </c>
      <c r="I559" s="8">
        <f>G559*H559</f>
        <v/>
      </c>
      <c r="J559" s="8">
        <f>H559/E559</f>
        <v/>
      </c>
      <c r="K559" s="8" t="n">
        <v>8.026</v>
      </c>
      <c r="L559" s="8" t="n">
        <v>7.67</v>
      </c>
      <c r="M559" s="8" t="n">
        <v>7.885000000000001</v>
      </c>
      <c r="N559" s="14">
        <f>J559/M559-1</f>
        <v/>
      </c>
      <c r="O559" s="14">
        <f>J559/K559-1</f>
        <v/>
      </c>
      <c r="P559" s="7" t="inlineStr">
        <is>
          <t>ACIMA +6.9%</t>
        </is>
      </c>
      <c r="Q559" s="7" t="inlineStr"/>
    </row>
    <row r="560">
      <c r="A560" s="7" t="n">
        <v>636211</v>
      </c>
      <c r="B560" s="7" t="inlineStr"/>
      <c r="C560" s="12" t="inlineStr">
        <is>
          <t>7896512934536</t>
        </is>
      </c>
      <c r="D560" s="7" t="inlineStr">
        <is>
          <t>SB PHEBO 90G PATCHOULY M12</t>
        </is>
      </c>
      <c r="E560" s="13" t="n">
        <v>1</v>
      </c>
      <c r="F560" s="13" t="n">
        <v>2</v>
      </c>
      <c r="G560" s="13" t="n">
        <v>2</v>
      </c>
      <c r="H560" s="8" t="n">
        <v>4.68</v>
      </c>
      <c r="I560" s="8">
        <f>G560*H560</f>
        <v/>
      </c>
      <c r="J560" s="8">
        <f>H560/E560</f>
        <v/>
      </c>
      <c r="K560" s="8" t="n">
        <v>4.2117</v>
      </c>
      <c r="L560" s="8" t="n">
        <v>4.2117</v>
      </c>
      <c r="M560" s="8" t="n">
        <v>4.2117</v>
      </c>
      <c r="N560" s="14">
        <f>J560/M560-1</f>
        <v/>
      </c>
      <c r="O560" s="14">
        <f>J560/K560-1</f>
        <v/>
      </c>
      <c r="P560" s="7" t="inlineStr">
        <is>
          <t>ACIMA +11.1%</t>
        </is>
      </c>
      <c r="Q560" s="7" t="inlineStr"/>
    </row>
    <row r="561">
      <c r="A561" s="7" t="n">
        <v>540721</v>
      </c>
      <c r="B561" s="7" t="inlineStr"/>
      <c r="C561" s="12" t="inlineStr">
        <is>
          <t>7896512905420</t>
        </is>
      </c>
      <c r="D561" s="7" t="inlineStr">
        <is>
          <t>SBNT GRANADO GLICERINA 90G</t>
        </is>
      </c>
      <c r="E561" s="13" t="n">
        <v>1</v>
      </c>
      <c r="F561" s="13" t="n">
        <v>7</v>
      </c>
      <c r="G561" s="13" t="n">
        <v>7</v>
      </c>
      <c r="H561" s="8" t="n">
        <v>6.17</v>
      </c>
      <c r="I561" s="8">
        <f>G561*H561</f>
        <v/>
      </c>
      <c r="J561" s="8">
        <f>H561/E561</f>
        <v/>
      </c>
      <c r="K561" s="8" t="n">
        <v>4.95</v>
      </c>
      <c r="L561" s="8" t="n">
        <v>4.95</v>
      </c>
      <c r="M561" s="8" t="n">
        <v>4.95</v>
      </c>
      <c r="N561" s="14">
        <f>J561/M561-1</f>
        <v/>
      </c>
      <c r="O561" s="14">
        <f>J561/K561-1</f>
        <v/>
      </c>
      <c r="P561" s="7" t="inlineStr">
        <is>
          <t>ACIMA +24.6%</t>
        </is>
      </c>
      <c r="Q561" s="7" t="inlineStr"/>
    </row>
    <row r="562">
      <c r="A562" s="7" t="n">
        <v>593601</v>
      </c>
      <c r="B562" s="7" t="inlineStr"/>
      <c r="C562" s="12" t="inlineStr">
        <is>
          <t>7891035000898</t>
        </is>
      </c>
      <c r="D562" s="7" t="inlineStr">
        <is>
          <t>SBP LOCAO REPEL INFANTIL BABY 12X100ML</t>
        </is>
      </c>
      <c r="E562" s="13" t="n">
        <v>1</v>
      </c>
      <c r="F562" s="13" t="n">
        <v>3</v>
      </c>
      <c r="G562" s="13" t="n">
        <v>3</v>
      </c>
      <c r="H562" s="8" t="n">
        <v>31.2032</v>
      </c>
      <c r="I562" s="8">
        <f>G562*H562</f>
        <v/>
      </c>
      <c r="J562" s="8">
        <f>H562/E562</f>
        <v/>
      </c>
      <c r="K562" s="8" t="n">
        <v>35.33</v>
      </c>
      <c r="L562" s="8" t="n">
        <v>35.33</v>
      </c>
      <c r="M562" s="8" t="n">
        <v>35.33</v>
      </c>
      <c r="N562" s="14">
        <f>J562/M562-1</f>
        <v/>
      </c>
      <c r="O562" s="14">
        <f>J562/K562-1</f>
        <v/>
      </c>
      <c r="P562" s="7" t="inlineStr">
        <is>
          <t>OK (≤ menor hist.)</t>
        </is>
      </c>
      <c r="Q562" s="7" t="inlineStr"/>
    </row>
    <row r="563">
      <c r="A563" s="7" t="n">
        <v>648661</v>
      </c>
      <c r="B563" s="7" t="inlineStr"/>
      <c r="C563" s="12" t="inlineStr">
        <is>
          <t>7891150095618</t>
        </is>
      </c>
      <c r="D563" s="7" t="inlineStr">
        <is>
          <t>SDS DOVE 90G PELE SENSIVEL M3</t>
        </is>
      </c>
      <c r="E563" s="13" t="n">
        <v>1</v>
      </c>
      <c r="F563" s="13" t="n">
        <v>9</v>
      </c>
      <c r="G563" s="13" t="n">
        <v>9</v>
      </c>
      <c r="H563" s="8" t="n">
        <v>5.26</v>
      </c>
      <c r="I563" s="8">
        <f>G563*H563</f>
        <v/>
      </c>
      <c r="J563" s="8">
        <f>H563/E563</f>
        <v/>
      </c>
      <c r="K563" s="8" t="n">
        <v>5.0925</v>
      </c>
      <c r="L563" s="8" t="n">
        <v>4.5022</v>
      </c>
      <c r="M563" s="8" t="n">
        <v>4.895733333333333</v>
      </c>
      <c r="N563" s="14">
        <f>J563/M563-1</f>
        <v/>
      </c>
      <c r="O563" s="14">
        <f>J563/K563-1</f>
        <v/>
      </c>
      <c r="P563" s="7" t="inlineStr">
        <is>
          <t>ACIMA +3.3%</t>
        </is>
      </c>
      <c r="Q563" s="7" t="inlineStr"/>
    </row>
    <row r="564">
      <c r="A564" s="7" t="n">
        <v>432381</v>
      </c>
      <c r="B564" s="7" t="inlineStr"/>
      <c r="C564" s="12" t="inlineStr">
        <is>
          <t>7896422505680</t>
        </is>
      </c>
      <c r="D564" s="7" t="inlineStr">
        <is>
          <t>SECNIDAZOL 1G CX 2 COMP</t>
        </is>
      </c>
      <c r="E564" s="13" t="n">
        <v>1</v>
      </c>
      <c r="F564" s="13" t="n">
        <v>9</v>
      </c>
      <c r="G564" s="13" t="n">
        <v>9</v>
      </c>
      <c r="H564" s="8" t="n">
        <v>9.875632</v>
      </c>
      <c r="I564" s="8">
        <f>G564*H564</f>
        <v/>
      </c>
      <c r="J564" s="8">
        <f>H564/E564</f>
        <v/>
      </c>
      <c r="K564" s="8" t="n">
        <v>4.054</v>
      </c>
      <c r="L564" s="8" t="n">
        <v>4.054</v>
      </c>
      <c r="M564" s="8" t="n">
        <v>4.054</v>
      </c>
      <c r="N564" s="14">
        <f>J564/M564-1</f>
        <v/>
      </c>
      <c r="O564" s="14">
        <f>J564/K564-1</f>
        <v/>
      </c>
      <c r="P564" s="7" t="inlineStr">
        <is>
          <t>ACIMA +143.6%</t>
        </is>
      </c>
      <c r="Q564" s="7" t="inlineStr">
        <is>
          <t>conferir emb.</t>
        </is>
      </c>
    </row>
    <row r="565">
      <c r="A565" s="7" t="n">
        <v>660561</v>
      </c>
      <c r="B565" s="7" t="inlineStr"/>
      <c r="C565" s="12" t="inlineStr">
        <is>
          <t>7891150099821</t>
        </is>
      </c>
      <c r="D565" s="7" t="inlineStr">
        <is>
          <t>SEDA SERUM LUMINOSO UV 110ML</t>
        </is>
      </c>
      <c r="E565" s="13" t="n">
        <v>1</v>
      </c>
      <c r="F565" s="13" t="n">
        <v>1</v>
      </c>
      <c r="G565" s="13" t="n">
        <v>1</v>
      </c>
      <c r="H565" s="8" t="n">
        <v>19.16</v>
      </c>
      <c r="I565" s="8">
        <f>G565*H565</f>
        <v/>
      </c>
      <c r="J565" s="8">
        <f>H565/E565</f>
        <v/>
      </c>
      <c r="K565" s="8" t="n">
        <v>14.87</v>
      </c>
      <c r="L565" s="8" t="n">
        <v>14.87</v>
      </c>
      <c r="M565" s="8" t="n">
        <v>14.87</v>
      </c>
      <c r="N565" s="14">
        <f>J565/M565-1</f>
        <v/>
      </c>
      <c r="O565" s="14">
        <f>J565/K565-1</f>
        <v/>
      </c>
      <c r="P565" s="7" t="inlineStr">
        <is>
          <t>ACIMA +28.9%</t>
        </is>
      </c>
      <c r="Q565" s="7" t="inlineStr"/>
    </row>
    <row r="566">
      <c r="A566" s="7" t="n">
        <v>662821</v>
      </c>
      <c r="B566" s="7" t="inlineStr"/>
      <c r="C566" s="12" t="inlineStr">
        <is>
          <t>7908785461555</t>
        </is>
      </c>
      <c r="D566" s="7" t="inlineStr">
        <is>
          <t>SERUM ELSEVE SONHOS 2025 100ML</t>
        </is>
      </c>
      <c r="E566" s="13" t="n">
        <v>1</v>
      </c>
      <c r="F566" s="13" t="n">
        <v>2</v>
      </c>
      <c r="G566" s="13" t="n">
        <v>2</v>
      </c>
      <c r="H566" s="8" t="n">
        <v>36.53</v>
      </c>
      <c r="I566" s="8">
        <f>G566*H566</f>
        <v/>
      </c>
      <c r="J566" s="8">
        <f>H566/E566</f>
        <v/>
      </c>
      <c r="K566" s="8" t="n">
        <v>33.72</v>
      </c>
      <c r="L566" s="8" t="n">
        <v>33.72</v>
      </c>
      <c r="M566" s="8" t="n">
        <v>33.72</v>
      </c>
      <c r="N566" s="14">
        <f>J566/M566-1</f>
        <v/>
      </c>
      <c r="O566" s="14">
        <f>J566/K566-1</f>
        <v/>
      </c>
      <c r="P566" s="7" t="inlineStr">
        <is>
          <t>ACIMA +8.3%</t>
        </is>
      </c>
      <c r="Q566" s="7" t="inlineStr"/>
    </row>
    <row r="567">
      <c r="A567" s="7" t="n">
        <v>696101</v>
      </c>
      <c r="B567" s="7" t="inlineStr"/>
      <c r="C567" s="12" t="inlineStr">
        <is>
          <t>0609963220359</t>
        </is>
      </c>
      <c r="D567" s="7" t="inlineStr">
        <is>
          <t>SERUM VIT C 10%+FERULICO VC-10 - ANTIOXIDANTE 30ML</t>
        </is>
      </c>
      <c r="E567" s="13" t="n">
        <v>1</v>
      </c>
      <c r="F567" s="13" t="n">
        <v>1</v>
      </c>
      <c r="G567" s="13" t="n">
        <v>1</v>
      </c>
      <c r="H567" s="8" t="n">
        <v>57.52</v>
      </c>
      <c r="I567" s="8">
        <f>G567*H567</f>
        <v/>
      </c>
      <c r="J567" s="8">
        <f>H567/E567</f>
        <v/>
      </c>
      <c r="K567" s="8" t="n">
        <v>53.39</v>
      </c>
      <c r="L567" s="8" t="n">
        <v>53.39</v>
      </c>
      <c r="M567" s="8" t="n">
        <v>53.39000000000001</v>
      </c>
      <c r="N567" s="14">
        <f>J567/M567-1</f>
        <v/>
      </c>
      <c r="O567" s="14">
        <f>J567/K567-1</f>
        <v/>
      </c>
      <c r="P567" s="7" t="inlineStr">
        <is>
          <t>ACIMA +7.7%</t>
        </is>
      </c>
      <c r="Q567" s="7" t="inlineStr"/>
    </row>
    <row r="568">
      <c r="A568" s="7" t="n">
        <v>582641</v>
      </c>
      <c r="B568" s="7" t="inlineStr"/>
      <c r="C568" s="12" t="inlineStr">
        <is>
          <t>7899026459960</t>
        </is>
      </c>
      <c r="D568" s="7" t="inlineStr">
        <is>
          <t>SH .ELSEVE REPARAC.TOTAL5 200ML</t>
        </is>
      </c>
      <c r="E568" s="13" t="n">
        <v>1</v>
      </c>
      <c r="F568" s="13" t="n">
        <v>2</v>
      </c>
      <c r="G568" s="13" t="n">
        <v>2</v>
      </c>
      <c r="H568" s="8" t="n">
        <v>14.37</v>
      </c>
      <c r="I568" s="8">
        <f>G568*H568</f>
        <v/>
      </c>
      <c r="J568" s="8">
        <f>H568/E568</f>
        <v/>
      </c>
      <c r="K568" s="8" t="n">
        <v>13.5</v>
      </c>
      <c r="L568" s="8" t="n">
        <v>11.0167</v>
      </c>
      <c r="M568" s="8" t="n">
        <v>12.67223333333333</v>
      </c>
      <c r="N568" s="14">
        <f>J568/M568-1</f>
        <v/>
      </c>
      <c r="O568" s="14">
        <f>J568/K568-1</f>
        <v/>
      </c>
      <c r="P568" s="7" t="inlineStr">
        <is>
          <t>ACIMA +6.4%</t>
        </is>
      </c>
      <c r="Q568" s="7" t="inlineStr"/>
    </row>
    <row r="569">
      <c r="A569" s="7" t="n">
        <v>591831</v>
      </c>
      <c r="B569" s="7" t="inlineStr"/>
      <c r="C569" s="12" t="inlineStr">
        <is>
          <t>7891150081611</t>
        </is>
      </c>
      <c r="D569" s="7" t="inlineStr">
        <is>
          <t>SH ANT CAS CLEAR ANTICOC 200ML</t>
        </is>
      </c>
      <c r="E569" s="13" t="n">
        <v>1</v>
      </c>
      <c r="F569" s="13" t="n">
        <v>1</v>
      </c>
      <c r="G569" s="13" t="n">
        <v>1</v>
      </c>
      <c r="H569" s="8" t="n">
        <v>15.7</v>
      </c>
      <c r="I569" s="8">
        <f>G569*H569</f>
        <v/>
      </c>
      <c r="J569" s="8">
        <f>H569/E569</f>
        <v/>
      </c>
      <c r="K569" s="8" t="n">
        <v>10.15</v>
      </c>
      <c r="L569" s="8" t="n">
        <v>10.15</v>
      </c>
      <c r="M569" s="8" t="n">
        <v>10.15</v>
      </c>
      <c r="N569" s="14">
        <f>J569/M569-1</f>
        <v/>
      </c>
      <c r="O569" s="14">
        <f>J569/K569-1</f>
        <v/>
      </c>
      <c r="P569" s="7" t="inlineStr">
        <is>
          <t>ACIMA +54.7%</t>
        </is>
      </c>
      <c r="Q569" s="7" t="inlineStr"/>
    </row>
    <row r="570">
      <c r="A570" s="7" t="n">
        <v>545941</v>
      </c>
      <c r="B570" s="7" t="inlineStr"/>
      <c r="C570" s="12" t="inlineStr">
        <is>
          <t>7891150019508</t>
        </is>
      </c>
      <c r="D570" s="7" t="inlineStr">
        <is>
          <t>SH ANT CAS CLEAR MEN SPORTS FRASCO 200ML</t>
        </is>
      </c>
      <c r="E570" s="13" t="n">
        <v>1</v>
      </c>
      <c r="F570" s="13" t="n">
        <v>3</v>
      </c>
      <c r="G570" s="13" t="n">
        <v>3</v>
      </c>
      <c r="H570" s="8" t="n">
        <v>15.7</v>
      </c>
      <c r="I570" s="8">
        <f>G570*H570</f>
        <v/>
      </c>
      <c r="J570" s="8">
        <f>H570/E570</f>
        <v/>
      </c>
      <c r="K570" s="8" t="n">
        <v>14.1067</v>
      </c>
      <c r="L570" s="8" t="n">
        <v>14.0525</v>
      </c>
      <c r="M570" s="8" t="n">
        <v>14.08863333333333</v>
      </c>
      <c r="N570" s="14">
        <f>J570/M570-1</f>
        <v/>
      </c>
      <c r="O570" s="14">
        <f>J570/K570-1</f>
        <v/>
      </c>
      <c r="P570" s="7" t="inlineStr">
        <is>
          <t>ACIMA +11.3%</t>
        </is>
      </c>
      <c r="Q570" s="7" t="inlineStr"/>
    </row>
    <row r="571">
      <c r="A571" s="7" t="n">
        <v>551361</v>
      </c>
      <c r="B571" s="7" t="inlineStr"/>
      <c r="C571" s="12" t="inlineStr">
        <is>
          <t>7891150055698</t>
        </is>
      </c>
      <c r="D571" s="7" t="inlineStr">
        <is>
          <t>SH ANT CAS CLEAR SCALPFOODS DETOX DIÁRIO FRASCO 200ML</t>
        </is>
      </c>
      <c r="E571" s="13" t="n">
        <v>1</v>
      </c>
      <c r="F571" s="13" t="n">
        <v>1</v>
      </c>
      <c r="G571" s="13" t="n">
        <v>1</v>
      </c>
      <c r="H571" s="8" t="n">
        <v>15.7</v>
      </c>
      <c r="I571" s="8">
        <f>G571*H571</f>
        <v/>
      </c>
      <c r="J571" s="8">
        <f>H571/E571</f>
        <v/>
      </c>
      <c r="K571" s="8" t="n">
        <v>10.15</v>
      </c>
      <c r="L571" s="8" t="n">
        <v>10.15</v>
      </c>
      <c r="M571" s="8" t="n">
        <v>10.15</v>
      </c>
      <c r="N571" s="14">
        <f>J571/M571-1</f>
        <v/>
      </c>
      <c r="O571" s="14">
        <f>J571/K571-1</f>
        <v/>
      </c>
      <c r="P571" s="7" t="inlineStr">
        <is>
          <t>ACIMA +54.7%</t>
        </is>
      </c>
      <c r="Q571" s="7" t="inlineStr"/>
    </row>
    <row r="572">
      <c r="A572" s="7" t="n">
        <v>546641</v>
      </c>
      <c r="B572" s="7" t="inlineStr"/>
      <c r="C572" s="12" t="inlineStr">
        <is>
          <t>7891150007406</t>
        </is>
      </c>
      <c r="D572" s="7" t="inlineStr">
        <is>
          <t>SH ANT CAS ICE COOL MENTHOL CLEAR MEN FRASCO 200ML</t>
        </is>
      </c>
      <c r="E572" s="13" t="n">
        <v>1</v>
      </c>
      <c r="F572" s="13" t="n">
        <v>2</v>
      </c>
      <c r="G572" s="13" t="n">
        <v>2</v>
      </c>
      <c r="H572" s="8" t="n">
        <v>15.7</v>
      </c>
      <c r="I572" s="8">
        <f>G572*H572</f>
        <v/>
      </c>
      <c r="J572" s="8">
        <f>H572/E572</f>
        <v/>
      </c>
      <c r="K572" s="8" t="n">
        <v>14.11</v>
      </c>
      <c r="L572" s="8" t="n">
        <v>14.11</v>
      </c>
      <c r="M572" s="8" t="n">
        <v>14.11</v>
      </c>
      <c r="N572" s="14">
        <f>J572/M572-1</f>
        <v/>
      </c>
      <c r="O572" s="14">
        <f>J572/K572-1</f>
        <v/>
      </c>
      <c r="P572" s="7" t="inlineStr">
        <is>
          <t>ACIMA +11.3%</t>
        </is>
      </c>
      <c r="Q572" s="7" t="inlineStr"/>
    </row>
    <row r="573">
      <c r="A573" s="7" t="n">
        <v>591851</v>
      </c>
      <c r="B573" s="7" t="inlineStr"/>
      <c r="C573" s="12" t="inlineStr">
        <is>
          <t>7891150075276</t>
        </is>
      </c>
      <c r="D573" s="7" t="inlineStr">
        <is>
          <t>SH ANT CAS MEN C.B 200ML</t>
        </is>
      </c>
      <c r="E573" s="13" t="n">
        <v>1</v>
      </c>
      <c r="F573" s="13" t="n">
        <v>2</v>
      </c>
      <c r="G573" s="13" t="n">
        <v>2</v>
      </c>
      <c r="H573" s="8" t="n">
        <v>15.7</v>
      </c>
      <c r="I573" s="8">
        <f>G573*H573</f>
        <v/>
      </c>
      <c r="J573" s="8">
        <f>H573/E573</f>
        <v/>
      </c>
      <c r="K573" s="8" t="n">
        <v>14.85</v>
      </c>
      <c r="L573" s="8" t="n">
        <v>14.0525</v>
      </c>
      <c r="M573" s="8" t="n">
        <v>14.58416666666667</v>
      </c>
      <c r="N573" s="14">
        <f>J573/M573-1</f>
        <v/>
      </c>
      <c r="O573" s="14">
        <f>J573/K573-1</f>
        <v/>
      </c>
      <c r="P573" s="7" t="inlineStr">
        <is>
          <t>ACIMA +5.7%</t>
        </is>
      </c>
      <c r="Q573" s="7" t="inlineStr"/>
    </row>
    <row r="574">
      <c r="A574" s="7" t="n">
        <v>672851</v>
      </c>
      <c r="B574" s="7" t="inlineStr"/>
      <c r="C574" s="12" t="inlineStr">
        <is>
          <t>7891150097643</t>
        </is>
      </c>
      <c r="D574" s="7" t="inlineStr">
        <is>
          <t>SH DOVE BOND 350ML+COND 150ML-DEMAIS PROD</t>
        </is>
      </c>
      <c r="E574" s="13" t="n">
        <v>1</v>
      </c>
      <c r="F574" s="13" t="n">
        <v>2</v>
      </c>
      <c r="G574" s="13" t="n">
        <v>2</v>
      </c>
      <c r="H574" s="8" t="n">
        <v>21.52</v>
      </c>
      <c r="I574" s="8">
        <f>G574*H574</f>
        <v/>
      </c>
      <c r="J574" s="8">
        <f>H574/E574</f>
        <v/>
      </c>
      <c r="K574" s="8" t="n">
        <v>32.18</v>
      </c>
      <c r="L574" s="8" t="n">
        <v>32.18</v>
      </c>
      <c r="M574" s="8" t="n">
        <v>32.18</v>
      </c>
      <c r="N574" s="14">
        <f>J574/M574-1</f>
        <v/>
      </c>
      <c r="O574" s="14">
        <f>J574/K574-1</f>
        <v/>
      </c>
      <c r="P574" s="7" t="inlineStr">
        <is>
          <t>OK (≤ menor hist.)</t>
        </is>
      </c>
      <c r="Q574" s="7" t="inlineStr"/>
    </row>
    <row r="575">
      <c r="A575" s="7" t="n">
        <v>672151</v>
      </c>
      <c r="B575" s="7" t="inlineStr"/>
      <c r="C575" s="12" t="inlineStr">
        <is>
          <t>7908966528404</t>
        </is>
      </c>
      <c r="D575" s="7" t="inlineStr">
        <is>
          <t>SH ELSEVE COLAGENO 200ML-DEMAIS PROD</t>
        </is>
      </c>
      <c r="E575" s="13" t="n">
        <v>1</v>
      </c>
      <c r="F575" s="13" t="n">
        <v>2</v>
      </c>
      <c r="G575" s="13" t="n">
        <v>2</v>
      </c>
      <c r="H575" s="8" t="n">
        <v>14.37</v>
      </c>
      <c r="I575" s="8">
        <f>G575*H575</f>
        <v/>
      </c>
      <c r="J575" s="8">
        <f>H575/E575</f>
        <v/>
      </c>
      <c r="K575" s="8" t="n">
        <v>14.9</v>
      </c>
      <c r="L575" s="8" t="n">
        <v>12.96</v>
      </c>
      <c r="M575" s="8" t="n">
        <v>12.96</v>
      </c>
      <c r="N575" s="14">
        <f>J575/M575-1</f>
        <v/>
      </c>
      <c r="O575" s="14">
        <f>J575/K575-1</f>
        <v/>
      </c>
      <c r="P575" s="7" t="inlineStr">
        <is>
          <t>OK (≤ últ. compra)</t>
        </is>
      </c>
      <c r="Q575" s="7" t="inlineStr"/>
    </row>
    <row r="576">
      <c r="A576" s="7" t="n">
        <v>656971</v>
      </c>
      <c r="B576" s="7" t="inlineStr"/>
      <c r="C576" s="12" t="inlineStr">
        <is>
          <t>7908785461753</t>
        </is>
      </c>
      <c r="D576" s="7" t="inlineStr">
        <is>
          <t>SH ELSEVE LISO SONHOS 2025 200ML-DEMAIS PROD</t>
        </is>
      </c>
      <c r="E576" s="13" t="n">
        <v>1</v>
      </c>
      <c r="F576" s="13" t="n">
        <v>10</v>
      </c>
      <c r="G576" s="13" t="n">
        <v>10</v>
      </c>
      <c r="H576" s="8" t="n">
        <v>14.37</v>
      </c>
      <c r="I576" s="8">
        <f>G576*H576</f>
        <v/>
      </c>
      <c r="J576" s="8">
        <f>H576/E576</f>
        <v/>
      </c>
      <c r="K576" s="8" t="n">
        <v>13.5</v>
      </c>
      <c r="L576" s="8" t="n">
        <v>10.7567</v>
      </c>
      <c r="M576" s="8" t="n">
        <v>12.58556666666667</v>
      </c>
      <c r="N576" s="14">
        <f>J576/M576-1</f>
        <v/>
      </c>
      <c r="O576" s="14">
        <f>J576/K576-1</f>
        <v/>
      </c>
      <c r="P576" s="7" t="inlineStr">
        <is>
          <t>ACIMA +6.4%</t>
        </is>
      </c>
      <c r="Q576" s="7" t="inlineStr"/>
    </row>
    <row r="577">
      <c r="A577" s="7" t="n">
        <v>638551</v>
      </c>
      <c r="B577" s="7" t="inlineStr"/>
      <c r="C577" s="12" t="inlineStr">
        <is>
          <t>7896512973771</t>
        </is>
      </c>
      <c r="D577" s="7" t="inlineStr">
        <is>
          <t>SH INF GRANADO BEBE 250ML TRADIC-REF</t>
        </is>
      </c>
      <c r="E577" s="13" t="n">
        <v>1</v>
      </c>
      <c r="F577" s="13" t="n">
        <v>3</v>
      </c>
      <c r="G577" s="13" t="n">
        <v>3</v>
      </c>
      <c r="H577" s="8" t="n">
        <v>12.81</v>
      </c>
      <c r="I577" s="8">
        <f>G577*H577</f>
        <v/>
      </c>
      <c r="J577" s="8">
        <f>H577/E577</f>
        <v/>
      </c>
      <c r="K577" s="8" t="n">
        <v>11.5292</v>
      </c>
      <c r="L577" s="8" t="n">
        <v>11.5292</v>
      </c>
      <c r="M577" s="8" t="n">
        <v>11.5292</v>
      </c>
      <c r="N577" s="14">
        <f>J577/M577-1</f>
        <v/>
      </c>
      <c r="O577" s="14">
        <f>J577/K577-1</f>
        <v/>
      </c>
      <c r="P577" s="7" t="inlineStr">
        <is>
          <t>ACIMA +11.1%</t>
        </is>
      </c>
      <c r="Q577" s="7" t="inlineStr"/>
    </row>
    <row r="578">
      <c r="A578" s="7" t="n">
        <v>659421</v>
      </c>
      <c r="B578" s="7" t="inlineStr"/>
      <c r="C578" s="12" t="inlineStr">
        <is>
          <t>7891010256494</t>
        </is>
      </c>
      <c r="D578" s="7" t="inlineStr">
        <is>
          <t>SH INF JS BABY 180ML CHEIRINHO PROL -REF</t>
        </is>
      </c>
      <c r="E578" s="13" t="n">
        <v>1</v>
      </c>
      <c r="F578" s="13" t="n">
        <v>1</v>
      </c>
      <c r="G578" s="13" t="n">
        <v>1</v>
      </c>
      <c r="H578" s="8" t="n">
        <v>14.88</v>
      </c>
      <c r="I578" s="8">
        <f>G578*H578</f>
        <v/>
      </c>
      <c r="J578" s="8">
        <f>H578/E578</f>
        <v/>
      </c>
      <c r="K578" s="8" t="n">
        <v>13.44</v>
      </c>
      <c r="L578" s="8" t="n">
        <v>13.44</v>
      </c>
      <c r="M578" s="8" t="n">
        <v>13.44</v>
      </c>
      <c r="N578" s="14">
        <f>J578/M578-1</f>
        <v/>
      </c>
      <c r="O578" s="14">
        <f>J578/K578-1</f>
        <v/>
      </c>
      <c r="P578" s="7" t="inlineStr">
        <is>
          <t>ACIMA +10.7%</t>
        </is>
      </c>
      <c r="Q578" s="7" t="inlineStr"/>
    </row>
    <row r="579">
      <c r="A579" s="7" t="n">
        <v>569401</v>
      </c>
      <c r="B579" s="7" t="inlineStr"/>
      <c r="C579" s="12" t="inlineStr">
        <is>
          <t>7891150037595</t>
        </is>
      </c>
      <c r="D579" s="7" t="inlineStr">
        <is>
          <t>SH SEDA CACHOS DEFINID.325ML</t>
        </is>
      </c>
      <c r="E579" s="13" t="n">
        <v>1</v>
      </c>
      <c r="F579" s="13" t="n">
        <v>1</v>
      </c>
      <c r="G579" s="13" t="n">
        <v>1</v>
      </c>
      <c r="H579" s="8" t="n">
        <v>10.52</v>
      </c>
      <c r="I579" s="8">
        <f>G579*H579</f>
        <v/>
      </c>
      <c r="J579" s="8">
        <f>H579/E579</f>
        <v/>
      </c>
      <c r="K579" s="8" t="n">
        <v>9.6333</v>
      </c>
      <c r="L579" s="8" t="n">
        <v>9.6333</v>
      </c>
      <c r="M579" s="8" t="n">
        <v>9.6333</v>
      </c>
      <c r="N579" s="14">
        <f>J579/M579-1</f>
        <v/>
      </c>
      <c r="O579" s="14">
        <f>J579/K579-1</f>
        <v/>
      </c>
      <c r="P579" s="7" t="inlineStr">
        <is>
          <t>ACIMA +9.2%</t>
        </is>
      </c>
      <c r="Q579" s="7" t="inlineStr"/>
    </row>
    <row r="580">
      <c r="A580" s="7" t="n">
        <v>590001</v>
      </c>
      <c r="B580" s="7" t="inlineStr"/>
      <c r="C580" s="12" t="inlineStr">
        <is>
          <t>7891150037397</t>
        </is>
      </c>
      <c r="D580" s="7" t="inlineStr">
        <is>
          <t>SH SEDA CERAMIDAS 325ML</t>
        </is>
      </c>
      <c r="E580" s="13" t="n">
        <v>1</v>
      </c>
      <c r="F580" s="13" t="n">
        <v>1</v>
      </c>
      <c r="G580" s="13" t="n">
        <v>1</v>
      </c>
      <c r="H580" s="8" t="n">
        <v>10.52</v>
      </c>
      <c r="I580" s="8">
        <f>G580*H580</f>
        <v/>
      </c>
      <c r="J580" s="8">
        <f>H580/E580</f>
        <v/>
      </c>
      <c r="K580" s="8" t="n">
        <v>9.6333</v>
      </c>
      <c r="L580" s="8" t="n">
        <v>9.255000000000001</v>
      </c>
      <c r="M580" s="8" t="n">
        <v>9.507199999999999</v>
      </c>
      <c r="N580" s="14">
        <f>J580/M580-1</f>
        <v/>
      </c>
      <c r="O580" s="14">
        <f>J580/K580-1</f>
        <v/>
      </c>
      <c r="P580" s="7" t="inlineStr">
        <is>
          <t>ACIMA +9.2%</t>
        </is>
      </c>
      <c r="Q580" s="7" t="inlineStr"/>
    </row>
    <row r="581">
      <c r="A581" s="7" t="n">
        <v>569461</v>
      </c>
      <c r="B581" s="7" t="inlineStr"/>
      <c r="C581" s="12" t="inlineStr">
        <is>
          <t>7891150037519</t>
        </is>
      </c>
      <c r="D581" s="7" t="inlineStr">
        <is>
          <t>SH SEDA LISO PERFEITO 325ML</t>
        </is>
      </c>
      <c r="E581" s="13" t="n">
        <v>1</v>
      </c>
      <c r="F581" s="13" t="n">
        <v>5</v>
      </c>
      <c r="G581" s="13" t="n">
        <v>5</v>
      </c>
      <c r="H581" s="8" t="n">
        <v>10.52</v>
      </c>
      <c r="I581" s="8">
        <f>G581*H581</f>
        <v/>
      </c>
      <c r="J581" s="8">
        <f>H581/E581</f>
        <v/>
      </c>
      <c r="K581" s="8" t="n">
        <v>9.914199999999999</v>
      </c>
      <c r="L581" s="8" t="n">
        <v>9.914199999999999</v>
      </c>
      <c r="M581" s="8" t="n">
        <v>9.914199999999999</v>
      </c>
      <c r="N581" s="14">
        <f>J581/M581-1</f>
        <v/>
      </c>
      <c r="O581" s="14">
        <f>J581/K581-1</f>
        <v/>
      </c>
      <c r="P581" s="7" t="inlineStr">
        <is>
          <t>ACIMA +6.1%</t>
        </is>
      </c>
      <c r="Q581" s="7" t="inlineStr"/>
    </row>
    <row r="582">
      <c r="A582" s="7" t="n">
        <v>569481</v>
      </c>
      <c r="B582" s="7" t="inlineStr"/>
      <c r="C582" s="12" t="inlineStr">
        <is>
          <t>7891150037526</t>
        </is>
      </c>
      <c r="D582" s="7" t="inlineStr">
        <is>
          <t>SH SEDA PRETOS LUMINOSOS 325M</t>
        </is>
      </c>
      <c r="E582" s="13" t="n">
        <v>1</v>
      </c>
      <c r="F582" s="13" t="n">
        <v>4</v>
      </c>
      <c r="G582" s="13" t="n">
        <v>4</v>
      </c>
      <c r="H582" s="8" t="n">
        <v>10.52</v>
      </c>
      <c r="I582" s="8">
        <f>G582*H582</f>
        <v/>
      </c>
      <c r="J582" s="8">
        <f>H582/E582</f>
        <v/>
      </c>
      <c r="K582" s="8" t="n">
        <v>9.255000000000001</v>
      </c>
      <c r="L582" s="8" t="n">
        <v>9.255000000000001</v>
      </c>
      <c r="M582" s="8" t="n">
        <v>9.255000000000001</v>
      </c>
      <c r="N582" s="14">
        <f>J582/M582-1</f>
        <v/>
      </c>
      <c r="O582" s="14">
        <f>J582/K582-1</f>
        <v/>
      </c>
      <c r="P582" s="7" t="inlineStr">
        <is>
          <t>ACIMA +13.7%</t>
        </is>
      </c>
      <c r="Q582" s="7" t="inlineStr"/>
    </row>
    <row r="583">
      <c r="A583" s="7" t="n">
        <v>533621</v>
      </c>
      <c r="B583" s="7" t="inlineStr"/>
      <c r="C583" s="12" t="inlineStr">
        <is>
          <t>7891150019416</t>
        </is>
      </c>
      <c r="D583" s="7" t="inlineStr">
        <is>
          <t>SHAMPOO ANTICASPA CLEAR MEN SPORTS FRASCO 400ML</t>
        </is>
      </c>
      <c r="E583" s="13" t="n">
        <v>1</v>
      </c>
      <c r="F583" s="13" t="n">
        <v>3</v>
      </c>
      <c r="G583" s="13" t="n">
        <v>3</v>
      </c>
      <c r="H583" s="8" t="n">
        <v>26.73</v>
      </c>
      <c r="I583" s="8">
        <f>G583*H583</f>
        <v/>
      </c>
      <c r="J583" s="8">
        <f>H583/E583</f>
        <v/>
      </c>
      <c r="K583" s="8" t="n">
        <v>25.33</v>
      </c>
      <c r="L583" s="8" t="n">
        <v>22.438</v>
      </c>
      <c r="M583" s="8" t="n">
        <v>24.366</v>
      </c>
      <c r="N583" s="14">
        <f>J583/M583-1</f>
        <v/>
      </c>
      <c r="O583" s="14">
        <f>J583/K583-1</f>
        <v/>
      </c>
      <c r="P583" s="7" t="inlineStr">
        <is>
          <t>ACIMA +5.5%</t>
        </is>
      </c>
      <c r="Q583" s="7" t="inlineStr"/>
    </row>
    <row r="584">
      <c r="A584" s="7" t="n">
        <v>551341</v>
      </c>
      <c r="B584" s="7" t="inlineStr"/>
      <c r="C584" s="12" t="inlineStr">
        <is>
          <t>7891150008151</t>
        </is>
      </c>
      <c r="D584" s="7" t="inlineStr">
        <is>
          <t>SHAMPOO ANTICASPA CLEAR WOMEN HIDRATAÇÃO INTENSA FRASCO 200ML</t>
        </is>
      </c>
      <c r="E584" s="13" t="n">
        <v>1</v>
      </c>
      <c r="F584" s="13" t="n">
        <v>2</v>
      </c>
      <c r="G584" s="13" t="n">
        <v>2</v>
      </c>
      <c r="H584" s="8" t="n">
        <v>15.7</v>
      </c>
      <c r="I584" s="8">
        <f>G584*H584</f>
        <v/>
      </c>
      <c r="J584" s="8">
        <f>H584/E584</f>
        <v/>
      </c>
      <c r="K584" s="8" t="n">
        <v>14.0517</v>
      </c>
      <c r="L584" s="8" t="n">
        <v>14.0517</v>
      </c>
      <c r="M584" s="8" t="n">
        <v>14.0517</v>
      </c>
      <c r="N584" s="14">
        <f>J584/M584-1</f>
        <v/>
      </c>
      <c r="O584" s="14">
        <f>J584/K584-1</f>
        <v/>
      </c>
      <c r="P584" s="7" t="inlineStr">
        <is>
          <t>ACIMA +11.7%</t>
        </is>
      </c>
      <c r="Q584" s="7" t="inlineStr"/>
    </row>
    <row r="585">
      <c r="A585" s="7" t="n">
        <v>669951</v>
      </c>
      <c r="B585" s="7" t="inlineStr"/>
      <c r="C585" s="12" t="inlineStr">
        <is>
          <t>7891150102507</t>
        </is>
      </c>
      <c r="D585" s="7" t="inlineStr">
        <is>
          <t>SHP DOVE HIDRAT HIALU VIT 190ML   UNIL %DN:15.00</t>
        </is>
      </c>
      <c r="E585" s="13" t="n">
        <v>1</v>
      </c>
      <c r="F585" s="13" t="n">
        <v>1</v>
      </c>
      <c r="G585" s="13" t="n">
        <v>1</v>
      </c>
      <c r="H585" s="8" t="n">
        <v>13.59</v>
      </c>
      <c r="I585" s="8">
        <f>G585*H585</f>
        <v/>
      </c>
      <c r="J585" s="8">
        <f>H585/E585</f>
        <v/>
      </c>
      <c r="K585" s="8" t="n">
        <v>11.55</v>
      </c>
      <c r="L585" s="8" t="n">
        <v>11.55</v>
      </c>
      <c r="M585" s="8" t="n">
        <v>11.55</v>
      </c>
      <c r="N585" s="14">
        <f>J585/M585-1</f>
        <v/>
      </c>
      <c r="O585" s="14">
        <f>J585/K585-1</f>
        <v/>
      </c>
      <c r="P585" s="7" t="inlineStr">
        <is>
          <t>ACIMA +17.7%</t>
        </is>
      </c>
      <c r="Q585" s="7" t="inlineStr"/>
    </row>
    <row r="586">
      <c r="A586" s="7" t="n">
        <v>668541</v>
      </c>
      <c r="B586" s="7" t="inlineStr"/>
      <c r="C586" s="12" t="inlineStr">
        <is>
          <t>7891150102637</t>
        </is>
      </c>
      <c r="D586" s="7" t="inlineStr">
        <is>
          <t>SHP DOVE RECON AMINOACIDO 370ML</t>
        </is>
      </c>
      <c r="E586" s="13" t="n">
        <v>1</v>
      </c>
      <c r="F586" s="13" t="n">
        <v>1</v>
      </c>
      <c r="G586" s="13" t="n">
        <v>1</v>
      </c>
      <c r="H586" s="8" t="n">
        <v>21.41</v>
      </c>
      <c r="I586" s="8">
        <f>G586*H586</f>
        <v/>
      </c>
      <c r="J586" s="8">
        <f>H586/E586</f>
        <v/>
      </c>
      <c r="K586" s="8" t="n">
        <v>16.98</v>
      </c>
      <c r="L586" s="8" t="n">
        <v>16.98</v>
      </c>
      <c r="M586" s="8" t="n">
        <v>16.98</v>
      </c>
      <c r="N586" s="14">
        <f>J586/M586-1</f>
        <v/>
      </c>
      <c r="O586" s="14">
        <f>J586/K586-1</f>
        <v/>
      </c>
      <c r="P586" s="7" t="inlineStr">
        <is>
          <t>ACIMA +26.1%</t>
        </is>
      </c>
      <c r="Q586" s="7" t="inlineStr"/>
    </row>
    <row r="587">
      <c r="A587" s="7" t="n">
        <v>668461</v>
      </c>
      <c r="B587" s="7" t="inlineStr"/>
      <c r="C587" s="12" t="inlineStr">
        <is>
          <t>7891150102729</t>
        </is>
      </c>
      <c r="D587" s="7" t="inlineStr">
        <is>
          <t>SHP DOVE UV REPAIR 370ML</t>
        </is>
      </c>
      <c r="E587" s="13" t="n">
        <v>1</v>
      </c>
      <c r="F587" s="13" t="n">
        <v>1</v>
      </c>
      <c r="G587" s="13" t="n">
        <v>1</v>
      </c>
      <c r="H587" s="8" t="n">
        <v>21.41</v>
      </c>
      <c r="I587" s="8">
        <f>G587*H587</f>
        <v/>
      </c>
      <c r="J587" s="8">
        <f>H587/E587</f>
        <v/>
      </c>
      <c r="K587" s="8" t="n">
        <v>16.97</v>
      </c>
      <c r="L587" s="8" t="n">
        <v>16.97</v>
      </c>
      <c r="M587" s="8" t="n">
        <v>16.97</v>
      </c>
      <c r="N587" s="14">
        <f>J587/M587-1</f>
        <v/>
      </c>
      <c r="O587" s="14">
        <f>J587/K587-1</f>
        <v/>
      </c>
      <c r="P587" s="7" t="inlineStr">
        <is>
          <t>ACIMA +26.2%</t>
        </is>
      </c>
      <c r="Q587" s="7" t="inlineStr"/>
    </row>
    <row r="588">
      <c r="A588" s="7" t="n">
        <v>617121</v>
      </c>
      <c r="B588" s="7" t="inlineStr"/>
      <c r="C588" s="12" t="inlineStr">
        <is>
          <t>7896512959850</t>
        </is>
      </c>
      <c r="D588" s="7" t="inlineStr">
        <is>
          <t>SHP GRANADO BEBE CALENDULA 250ML</t>
        </is>
      </c>
      <c r="E588" s="13" t="n">
        <v>1</v>
      </c>
      <c r="F588" s="13" t="n">
        <v>1</v>
      </c>
      <c r="G588" s="13" t="n">
        <v>1</v>
      </c>
      <c r="H588" s="8" t="n">
        <v>15.4</v>
      </c>
      <c r="I588" s="8">
        <f>G588*H588</f>
        <v/>
      </c>
      <c r="J588" s="8">
        <f>H588/E588</f>
        <v/>
      </c>
      <c r="K588" s="8" t="n">
        <v>12.22</v>
      </c>
      <c r="L588" s="8" t="n">
        <v>12.22</v>
      </c>
      <c r="M588" s="8" t="n">
        <v>12.22</v>
      </c>
      <c r="N588" s="14">
        <f>J588/M588-1</f>
        <v/>
      </c>
      <c r="O588" s="14">
        <f>J588/K588-1</f>
        <v/>
      </c>
      <c r="P588" s="7" t="inlineStr">
        <is>
          <t>ACIMA +26.0%</t>
        </is>
      </c>
      <c r="Q588" s="7" t="inlineStr"/>
    </row>
    <row r="589">
      <c r="A589" s="7" t="n">
        <v>567321</v>
      </c>
      <c r="B589" s="7" t="inlineStr"/>
      <c r="C589" s="12" t="inlineStr">
        <is>
          <t>7891010030889</t>
        </is>
      </c>
      <c r="D589" s="7" t="inlineStr">
        <is>
          <t>SHP J J BABY CAB CLAROS 200ML</t>
        </is>
      </c>
      <c r="E589" s="13" t="n">
        <v>1</v>
      </c>
      <c r="F589" s="13" t="n">
        <v>1</v>
      </c>
      <c r="G589" s="13" t="n">
        <v>1</v>
      </c>
      <c r="H589" s="8" t="n">
        <v>17.02</v>
      </c>
      <c r="I589" s="8">
        <f>G589*H589</f>
        <v/>
      </c>
      <c r="J589" s="8">
        <f>H589/E589</f>
        <v/>
      </c>
      <c r="K589" s="8" t="n">
        <v>17.8506</v>
      </c>
      <c r="L589" s="8" t="n">
        <v>17.8506</v>
      </c>
      <c r="M589" s="8" t="n">
        <v>17.8506</v>
      </c>
      <c r="N589" s="14">
        <f>J589/M589-1</f>
        <v/>
      </c>
      <c r="O589" s="14">
        <f>J589/K589-1</f>
        <v/>
      </c>
      <c r="P589" s="7" t="inlineStr">
        <is>
          <t>OK (≤ menor hist.)</t>
        </is>
      </c>
      <c r="Q589" s="7" t="inlineStr"/>
    </row>
    <row r="590">
      <c r="A590" s="7" t="n">
        <v>556721</v>
      </c>
      <c r="B590" s="7" t="inlineStr"/>
      <c r="C590" s="12" t="inlineStr">
        <is>
          <t>7891010030094</t>
        </is>
      </c>
      <c r="D590" s="7" t="inlineStr">
        <is>
          <t>SHP J J BABY REG 200ML</t>
        </is>
      </c>
      <c r="E590" s="13" t="n">
        <v>1</v>
      </c>
      <c r="F590" s="13" t="n">
        <v>4</v>
      </c>
      <c r="G590" s="13" t="n">
        <v>4</v>
      </c>
      <c r="H590" s="8" t="n">
        <v>17.02</v>
      </c>
      <c r="I590" s="8">
        <f>G590*H590</f>
        <v/>
      </c>
      <c r="J590" s="8">
        <f>H590/E590</f>
        <v/>
      </c>
      <c r="K590" s="8" t="n">
        <v>15.1533</v>
      </c>
      <c r="L590" s="8" t="n">
        <v>12.915</v>
      </c>
      <c r="M590" s="8" t="n">
        <v>14.4072</v>
      </c>
      <c r="N590" s="14">
        <f>J590/M590-1</f>
        <v/>
      </c>
      <c r="O590" s="14">
        <f>J590/K590-1</f>
        <v/>
      </c>
      <c r="P590" s="7" t="inlineStr">
        <is>
          <t>ACIMA +12.3%</t>
        </is>
      </c>
      <c r="Q590" s="7" t="inlineStr"/>
    </row>
    <row r="591">
      <c r="A591" s="7" t="n">
        <v>663321</v>
      </c>
      <c r="B591" s="7" t="inlineStr"/>
      <c r="C591" s="12" t="inlineStr">
        <is>
          <t>7891150099845</t>
        </is>
      </c>
      <c r="D591" s="7" t="inlineStr">
        <is>
          <t>SHP SEDA LUMINOSO UV 300ML   UNIL %DN:10.00</t>
        </is>
      </c>
      <c r="E591" s="13" t="n">
        <v>1</v>
      </c>
      <c r="F591" s="13" t="n">
        <v>1</v>
      </c>
      <c r="G591" s="13" t="n">
        <v>1</v>
      </c>
      <c r="H591" s="8" t="n">
        <v>10.52</v>
      </c>
      <c r="I591" s="8">
        <f>G591*H591</f>
        <v/>
      </c>
      <c r="J591" s="8">
        <f>H591/E591</f>
        <v/>
      </c>
      <c r="K591" s="8" t="n">
        <v>10.14</v>
      </c>
      <c r="L591" s="8" t="n">
        <v>10.14</v>
      </c>
      <c r="M591" s="8" t="n">
        <v>10.14</v>
      </c>
      <c r="N591" s="14">
        <f>J591/M591-1</f>
        <v/>
      </c>
      <c r="O591" s="14">
        <f>J591/K591-1</f>
        <v/>
      </c>
      <c r="P591" s="7" t="inlineStr">
        <is>
          <t>ACIMA +3.7%</t>
        </is>
      </c>
      <c r="Q591" s="7" t="inlineStr"/>
    </row>
    <row r="592">
      <c r="A592" s="7" t="n">
        <v>660581</v>
      </c>
      <c r="B592" s="7" t="inlineStr"/>
      <c r="C592" s="12" t="inlineStr">
        <is>
          <t>7891150101616</t>
        </is>
      </c>
      <c r="D592" s="7" t="inlineStr">
        <is>
          <t>SHP SEDA TOQUE DE SEDA 300ML</t>
        </is>
      </c>
      <c r="E592" s="13" t="n">
        <v>1</v>
      </c>
      <c r="F592" s="13" t="n">
        <v>1</v>
      </c>
      <c r="G592" s="13" t="n">
        <v>1</v>
      </c>
      <c r="H592" s="8" t="n">
        <v>10.52</v>
      </c>
      <c r="I592" s="8">
        <f>G592*H592</f>
        <v/>
      </c>
      <c r="J592" s="8">
        <f>H592/E592</f>
        <v/>
      </c>
      <c r="K592" s="8" t="n">
        <v>9.255000000000001</v>
      </c>
      <c r="L592" s="8" t="n">
        <v>9.255000000000001</v>
      </c>
      <c r="M592" s="8" t="n">
        <v>9.255000000000001</v>
      </c>
      <c r="N592" s="14">
        <f>J592/M592-1</f>
        <v/>
      </c>
      <c r="O592" s="14">
        <f>J592/K592-1</f>
        <v/>
      </c>
      <c r="P592" s="7" t="inlineStr">
        <is>
          <t>ACIMA +13.7%</t>
        </is>
      </c>
      <c r="Q592" s="7" t="inlineStr"/>
    </row>
    <row r="593">
      <c r="A593" s="7" t="n">
        <v>660591</v>
      </c>
      <c r="B593" s="7" t="inlineStr"/>
      <c r="C593" s="12" t="inlineStr">
        <is>
          <t>7891150100312</t>
        </is>
      </c>
      <c r="D593" s="7" t="inlineStr">
        <is>
          <t>SHP TRESEMME BLIND ANTIUMIDADE 650ML</t>
        </is>
      </c>
      <c r="E593" s="13" t="n">
        <v>1</v>
      </c>
      <c r="F593" s="13" t="n">
        <v>1</v>
      </c>
      <c r="G593" s="13" t="n">
        <v>1</v>
      </c>
      <c r="H593" s="8" t="n">
        <v>32.05</v>
      </c>
      <c r="I593" s="8">
        <f>G593*H593</f>
        <v/>
      </c>
      <c r="J593" s="8">
        <f>H593/E593</f>
        <v/>
      </c>
      <c r="K593" s="8" t="n">
        <v>23.88</v>
      </c>
      <c r="L593" s="8" t="n">
        <v>23.88</v>
      </c>
      <c r="M593" s="8" t="n">
        <v>23.88</v>
      </c>
      <c r="N593" s="14">
        <f>J593/M593-1</f>
        <v/>
      </c>
      <c r="O593" s="14">
        <f>J593/K593-1</f>
        <v/>
      </c>
      <c r="P593" s="7" t="inlineStr">
        <is>
          <t>ACIMA +34.2%</t>
        </is>
      </c>
      <c r="Q593" s="7" t="inlineStr"/>
    </row>
    <row r="594">
      <c r="A594" s="7" t="n">
        <v>635261</v>
      </c>
      <c r="B594" s="7" t="inlineStr"/>
      <c r="C594" s="12" t="inlineStr">
        <is>
          <t>7891033535026</t>
        </is>
      </c>
      <c r="D594" s="7" t="inlineStr">
        <is>
          <t>SIAGE SH ACELERA CRESCIMENTO 250ML</t>
        </is>
      </c>
      <c r="E594" s="13" t="n">
        <v>1</v>
      </c>
      <c r="F594" s="13" t="n">
        <v>1</v>
      </c>
      <c r="G594" s="13" t="n">
        <v>1</v>
      </c>
      <c r="H594" s="8" t="n">
        <v>40.7</v>
      </c>
      <c r="I594" s="8">
        <f>G594*H594</f>
        <v/>
      </c>
      <c r="J594" s="8">
        <f>H594/E594</f>
        <v/>
      </c>
      <c r="K594" s="8" t="n">
        <v>42.58</v>
      </c>
      <c r="L594" s="8" t="n">
        <v>42.58</v>
      </c>
      <c r="M594" s="8" t="n">
        <v>42.58</v>
      </c>
      <c r="N594" s="14">
        <f>J594/M594-1</f>
        <v/>
      </c>
      <c r="O594" s="14">
        <f>J594/K594-1</f>
        <v/>
      </c>
      <c r="P594" s="7" t="inlineStr">
        <is>
          <t>OK (≤ menor hist.)</t>
        </is>
      </c>
      <c r="Q594" s="7" t="inlineStr"/>
    </row>
    <row r="595">
      <c r="A595" s="7" t="n">
        <v>634941</v>
      </c>
      <c r="B595" s="7" t="inlineStr"/>
      <c r="C595" s="12" t="inlineStr">
        <is>
          <t>7891033530946</t>
        </is>
      </c>
      <c r="D595" s="7" t="inlineStr">
        <is>
          <t>SIAGE SH PRO CRONOLOGY 250ML</t>
        </is>
      </c>
      <c r="E595" s="13" t="n">
        <v>1</v>
      </c>
      <c r="F595" s="13" t="n">
        <v>1</v>
      </c>
      <c r="G595" s="13" t="n">
        <v>1</v>
      </c>
      <c r="H595" s="8" t="n">
        <v>40.7</v>
      </c>
      <c r="I595" s="8">
        <f>G595*H595</f>
        <v/>
      </c>
      <c r="J595" s="8">
        <f>H595/E595</f>
        <v/>
      </c>
      <c r="K595" s="8" t="n">
        <v>38.32</v>
      </c>
      <c r="L595" s="8" t="n">
        <v>38.32</v>
      </c>
      <c r="M595" s="8" t="n">
        <v>38.32</v>
      </c>
      <c r="N595" s="14">
        <f>J595/M595-1</f>
        <v/>
      </c>
      <c r="O595" s="14">
        <f>J595/K595-1</f>
        <v/>
      </c>
      <c r="P595" s="7" t="inlineStr">
        <is>
          <t>ACIMA +6.2%</t>
        </is>
      </c>
      <c r="Q595" s="7" t="inlineStr"/>
    </row>
    <row r="596">
      <c r="A596" s="7" t="n">
        <v>434001</v>
      </c>
      <c r="B596" s="7" t="inlineStr"/>
      <c r="C596" s="12" t="inlineStr">
        <is>
          <t>7897460401743</t>
        </is>
      </c>
      <c r="D596" s="7" t="inlineStr">
        <is>
          <t>SILIMALON 140 140+100MG CX 30 COMP REV</t>
        </is>
      </c>
      <c r="E596" s="13" t="n">
        <v>1</v>
      </c>
      <c r="F596" s="13" t="n">
        <v>3</v>
      </c>
      <c r="G596" s="13" t="n">
        <v>3</v>
      </c>
      <c r="H596" s="8" t="n">
        <v>89.982</v>
      </c>
      <c r="I596" s="8">
        <f>G596*H596</f>
        <v/>
      </c>
      <c r="J596" s="8">
        <f>H596/E596</f>
        <v/>
      </c>
      <c r="K596" s="8" t="n">
        <v>92.47</v>
      </c>
      <c r="L596" s="8" t="n">
        <v>84.03</v>
      </c>
      <c r="M596" s="8" t="n">
        <v>88.16223333333335</v>
      </c>
      <c r="N596" s="14">
        <f>J596/M596-1</f>
        <v/>
      </c>
      <c r="O596" s="14">
        <f>J596/K596-1</f>
        <v/>
      </c>
      <c r="P596" s="7" t="inlineStr">
        <is>
          <t>OK (≤ últ. compra)</t>
        </is>
      </c>
      <c r="Q596" s="7" t="inlineStr"/>
    </row>
    <row r="597">
      <c r="A597" s="7" t="n">
        <v>433961</v>
      </c>
      <c r="B597" s="7" t="inlineStr"/>
      <c r="C597" s="12" t="inlineStr">
        <is>
          <t>7897460401750</t>
        </is>
      </c>
      <c r="D597" s="7" t="inlineStr">
        <is>
          <t>SILIMALON 140 140+100MG CX 60 COMP REV</t>
        </is>
      </c>
      <c r="E597" s="13" t="n">
        <v>1</v>
      </c>
      <c r="F597" s="13" t="n">
        <v>1</v>
      </c>
      <c r="G597" s="13" t="n">
        <v>1</v>
      </c>
      <c r="H597" s="8" t="n">
        <v>137.556</v>
      </c>
      <c r="I597" s="8">
        <f>G597*H597</f>
        <v/>
      </c>
      <c r="J597" s="8">
        <f>H597/E597</f>
        <v/>
      </c>
      <c r="K597" s="8" t="n">
        <v>128.47</v>
      </c>
      <c r="L597" s="8" t="n">
        <v>128.47</v>
      </c>
      <c r="M597" s="8" t="n">
        <v>128.47</v>
      </c>
      <c r="N597" s="14">
        <f>J597/M597-1</f>
        <v/>
      </c>
      <c r="O597" s="14">
        <f>J597/K597-1</f>
        <v/>
      </c>
      <c r="P597" s="7" t="inlineStr">
        <is>
          <t>ACIMA +7.1%</t>
        </is>
      </c>
      <c r="Q597" s="7" t="inlineStr"/>
    </row>
    <row r="598">
      <c r="A598" s="7" t="n">
        <v>626961</v>
      </c>
      <c r="B598" s="7" t="inlineStr"/>
      <c r="C598" s="12" t="inlineStr">
        <is>
          <t>7896422520669</t>
        </is>
      </c>
      <c r="D598" s="7" t="inlineStr">
        <is>
          <t>SIMETICONA (N.S) 125MG CX 10 CAP</t>
        </is>
      </c>
      <c r="E598" s="13" t="n">
        <v>1</v>
      </c>
      <c r="F598" s="13" t="n">
        <v>7</v>
      </c>
      <c r="G598" s="13" t="n">
        <v>7</v>
      </c>
      <c r="H598" s="8" t="n">
        <v>9.103100000000001</v>
      </c>
      <c r="I598" s="8">
        <f>G598*H598</f>
        <v/>
      </c>
      <c r="J598" s="8">
        <f>H598/E598</f>
        <v/>
      </c>
      <c r="K598" s="8" t="n">
        <v>3.2333</v>
      </c>
      <c r="L598" s="8" t="n">
        <v>2.5302</v>
      </c>
      <c r="M598" s="8" t="n">
        <v>2.998933333333333</v>
      </c>
      <c r="N598" s="14">
        <f>J598/M598-1</f>
        <v/>
      </c>
      <c r="O598" s="14">
        <f>J598/K598-1</f>
        <v/>
      </c>
      <c r="P598" s="7" t="inlineStr">
        <is>
          <t>ACIMA +181.5%</t>
        </is>
      </c>
      <c r="Q598" s="7" t="inlineStr">
        <is>
          <t>conferir emb.</t>
        </is>
      </c>
    </row>
    <row r="599">
      <c r="A599" s="7" t="n">
        <v>643171</v>
      </c>
      <c r="B599" s="7" t="inlineStr"/>
      <c r="C599" s="12" t="inlineStr">
        <is>
          <t>7896422522823</t>
        </is>
      </c>
      <c r="D599" s="7" t="inlineStr">
        <is>
          <t>SIMETICONA (N.S) 40MG CX 20 COMP</t>
        </is>
      </c>
      <c r="E599" s="13" t="n">
        <v>1</v>
      </c>
      <c r="F599" s="13" t="n">
        <v>31</v>
      </c>
      <c r="G599" s="13" t="n">
        <v>31</v>
      </c>
      <c r="H599" s="8" t="n">
        <v>6.177599999999999</v>
      </c>
      <c r="I599" s="8">
        <f>G599*H599</f>
        <v/>
      </c>
      <c r="J599" s="8">
        <f>H599/E599</f>
        <v/>
      </c>
      <c r="K599" s="8" t="n">
        <v>2.9995</v>
      </c>
      <c r="L599" s="8" t="n">
        <v>2.9995</v>
      </c>
      <c r="M599" s="8" t="n">
        <v>2.9995</v>
      </c>
      <c r="N599" s="14">
        <f>J599/M599-1</f>
        <v/>
      </c>
      <c r="O599" s="14">
        <f>J599/K599-1</f>
        <v/>
      </c>
      <c r="P599" s="7" t="inlineStr">
        <is>
          <t>ACIMA +106.0%</t>
        </is>
      </c>
      <c r="Q599" s="7" t="inlineStr">
        <is>
          <t>conferir emb.</t>
        </is>
      </c>
    </row>
    <row r="600">
      <c r="A600" s="7" t="n">
        <v>638851</v>
      </c>
      <c r="B600" s="7" t="inlineStr"/>
      <c r="C600" s="12" t="inlineStr">
        <is>
          <t>7896422504744</t>
        </is>
      </c>
      <c r="D600" s="7" t="inlineStr">
        <is>
          <t>SIMETICONA (N.S) 75MG/ML EMU FR GOT 15ML</t>
        </is>
      </c>
      <c r="E600" s="13" t="n">
        <v>1</v>
      </c>
      <c r="F600" s="13" t="n">
        <v>10</v>
      </c>
      <c r="G600" s="13" t="n">
        <v>10</v>
      </c>
      <c r="H600" s="8" t="n">
        <v>7.3834</v>
      </c>
      <c r="I600" s="8">
        <f>G600*H600</f>
        <v/>
      </c>
      <c r="J600" s="8">
        <f>H600/E600</f>
        <v/>
      </c>
      <c r="K600" s="8" t="n">
        <v>2.5777</v>
      </c>
      <c r="L600" s="8" t="n">
        <v>2.5777</v>
      </c>
      <c r="M600" s="8" t="n">
        <v>2.5777</v>
      </c>
      <c r="N600" s="14">
        <f>J600/M600-1</f>
        <v/>
      </c>
      <c r="O600" s="14">
        <f>J600/K600-1</f>
        <v/>
      </c>
      <c r="P600" s="7" t="inlineStr">
        <is>
          <t>ACIMA +186.4%</t>
        </is>
      </c>
      <c r="Q600" s="7" t="inlineStr">
        <is>
          <t>conferir emb.</t>
        </is>
      </c>
    </row>
    <row r="601">
      <c r="A601" s="7" t="n">
        <v>555741</v>
      </c>
      <c r="B601" s="7" t="inlineStr"/>
      <c r="C601" s="12" t="inlineStr">
        <is>
          <t>7896523226675</t>
        </is>
      </c>
      <c r="D601" s="7" t="inlineStr">
        <is>
          <t>SIMETICONA 125MG CAPS MOLE 1 BL X 10</t>
        </is>
      </c>
      <c r="E601" s="13" t="n">
        <v>1</v>
      </c>
      <c r="F601" s="13" t="n">
        <v>63</v>
      </c>
      <c r="G601" s="13" t="n">
        <v>63</v>
      </c>
      <c r="H601" s="8" t="n">
        <v>14.12</v>
      </c>
      <c r="I601" s="8">
        <f>G601*H601</f>
        <v/>
      </c>
      <c r="J601" s="8">
        <f>H601/E601</f>
        <v/>
      </c>
      <c r="K601" s="8" t="n">
        <v>2.32</v>
      </c>
      <c r="L601" s="8" t="n">
        <v>2.23</v>
      </c>
      <c r="M601" s="8" t="n">
        <v>2.26</v>
      </c>
      <c r="N601" s="14">
        <f>J601/M601-1</f>
        <v/>
      </c>
      <c r="O601" s="14">
        <f>J601/K601-1</f>
        <v/>
      </c>
      <c r="P601" s="7" t="inlineStr">
        <is>
          <t>ACIMA +508.6%</t>
        </is>
      </c>
      <c r="Q601" s="7" t="inlineStr">
        <is>
          <t>conferir emb.</t>
        </is>
      </c>
    </row>
    <row r="602">
      <c r="A602" s="7" t="n">
        <v>555501</v>
      </c>
      <c r="B602" s="7" t="inlineStr"/>
      <c r="C602" s="12" t="inlineStr">
        <is>
          <t>7896523212319</t>
        </is>
      </c>
      <c r="D602" s="7" t="inlineStr">
        <is>
          <t>SIMETICONA 75MG/ML EMU OR FR 15ML</t>
        </is>
      </c>
      <c r="E602" s="13" t="n">
        <v>1</v>
      </c>
      <c r="F602" s="13" t="n">
        <v>40</v>
      </c>
      <c r="G602" s="13" t="n">
        <v>40</v>
      </c>
      <c r="H602" s="8" t="n">
        <v>10.41</v>
      </c>
      <c r="I602" s="8">
        <f>G602*H602</f>
        <v/>
      </c>
      <c r="J602" s="8">
        <f>H602/E602</f>
        <v/>
      </c>
      <c r="K602" s="8" t="n">
        <v>2.09</v>
      </c>
      <c r="L602" s="8" t="n">
        <v>1.82</v>
      </c>
      <c r="M602" s="8" t="n">
        <v>1.91</v>
      </c>
      <c r="N602" s="14">
        <f>J602/M602-1</f>
        <v/>
      </c>
      <c r="O602" s="14">
        <f>J602/K602-1</f>
        <v/>
      </c>
      <c r="P602" s="7" t="inlineStr">
        <is>
          <t>ACIMA +398.1%</t>
        </is>
      </c>
      <c r="Q602" s="7" t="inlineStr">
        <is>
          <t>conferir emb.</t>
        </is>
      </c>
    </row>
    <row r="603">
      <c r="A603" s="7" t="n">
        <v>435741</v>
      </c>
      <c r="B603" s="7" t="inlineStr"/>
      <c r="C603" s="12" t="inlineStr">
        <is>
          <t>7896523215235</t>
        </is>
      </c>
      <c r="D603" s="7" t="inlineStr">
        <is>
          <t>SINVASTATINA 20MG CX 30 COMP REV</t>
        </is>
      </c>
      <c r="E603" s="13" t="n">
        <v>1</v>
      </c>
      <c r="F603" s="13" t="n">
        <v>26</v>
      </c>
      <c r="G603" s="13" t="n">
        <v>26</v>
      </c>
      <c r="H603" s="8" t="n">
        <v>12.67</v>
      </c>
      <c r="I603" s="8">
        <f>G603*H603</f>
        <v/>
      </c>
      <c r="J603" s="8">
        <f>H603/E603</f>
        <v/>
      </c>
      <c r="K603" s="8" t="n">
        <v>2.65</v>
      </c>
      <c r="L603" s="8" t="n">
        <v>2.55</v>
      </c>
      <c r="M603" s="8" t="n">
        <v>2.616666666666667</v>
      </c>
      <c r="N603" s="14">
        <f>J603/M603-1</f>
        <v/>
      </c>
      <c r="O603" s="14">
        <f>J603/K603-1</f>
        <v/>
      </c>
      <c r="P603" s="7" t="inlineStr">
        <is>
          <t>ACIMA +378.1%</t>
        </is>
      </c>
      <c r="Q603" s="7" t="inlineStr">
        <is>
          <t>conferir emb.</t>
        </is>
      </c>
    </row>
    <row r="604">
      <c r="A604" s="7" t="n">
        <v>435701</v>
      </c>
      <c r="B604" s="7" t="inlineStr"/>
      <c r="C604" s="12" t="inlineStr">
        <is>
          <t>7896523215273</t>
        </is>
      </c>
      <c r="D604" s="7" t="inlineStr">
        <is>
          <t>SINVASTATINA 40MG CX 30 COMP REV</t>
        </is>
      </c>
      <c r="E604" s="13" t="n">
        <v>1</v>
      </c>
      <c r="F604" s="13" t="n">
        <v>24</v>
      </c>
      <c r="G604" s="13" t="n">
        <v>24</v>
      </c>
      <c r="H604" s="8" t="n">
        <v>18.37</v>
      </c>
      <c r="I604" s="8">
        <f>G604*H604</f>
        <v/>
      </c>
      <c r="J604" s="8">
        <f>H604/E604</f>
        <v/>
      </c>
      <c r="K604" s="8" t="n">
        <v>5.09</v>
      </c>
      <c r="L604" s="8" t="n">
        <v>4.8</v>
      </c>
      <c r="M604" s="8" t="n">
        <v>4.896666666666667</v>
      </c>
      <c r="N604" s="14">
        <f>J604/M604-1</f>
        <v/>
      </c>
      <c r="O604" s="14">
        <f>J604/K604-1</f>
        <v/>
      </c>
      <c r="P604" s="7" t="inlineStr">
        <is>
          <t>ACIMA +260.9%</t>
        </is>
      </c>
      <c r="Q604" s="7" t="inlineStr">
        <is>
          <t>conferir emb.</t>
        </is>
      </c>
    </row>
    <row r="605">
      <c r="A605" s="7" t="n">
        <v>529941</v>
      </c>
      <c r="B605" s="7" t="inlineStr"/>
      <c r="C605" s="12" t="inlineStr">
        <is>
          <t>7908134200552</t>
        </is>
      </c>
      <c r="D605" s="7" t="inlineStr">
        <is>
          <t>SLINDA 4MG (CAIXA C/ 3 CARTELAS) C/28 COMP REV</t>
        </is>
      </c>
      <c r="E605" s="13" t="n">
        <v>1</v>
      </c>
      <c r="F605" s="13" t="n">
        <v>2</v>
      </c>
      <c r="G605" s="13" t="n">
        <v>2</v>
      </c>
      <c r="H605" s="8" t="n">
        <v>219.2827</v>
      </c>
      <c r="I605" s="8">
        <f>G605*H605</f>
        <v/>
      </c>
      <c r="J605" s="8">
        <f>H605/E605</f>
        <v/>
      </c>
      <c r="K605" s="8" t="n">
        <v>226.51</v>
      </c>
      <c r="L605" s="8" t="n">
        <v>67.41330000000001</v>
      </c>
      <c r="M605" s="8" t="n">
        <v>121.7522</v>
      </c>
      <c r="N605" s="14">
        <f>J605/M605-1</f>
        <v/>
      </c>
      <c r="O605" s="14">
        <f>J605/K605-1</f>
        <v/>
      </c>
      <c r="P605" s="7" t="inlineStr">
        <is>
          <t>OK (≤ últ. compra)</t>
        </is>
      </c>
      <c r="Q605" s="7" t="inlineStr"/>
    </row>
    <row r="606">
      <c r="A606" s="7" t="n">
        <v>529921</v>
      </c>
      <c r="B606" s="7" t="inlineStr"/>
      <c r="C606" s="12" t="inlineStr">
        <is>
          <t>7908134200453</t>
        </is>
      </c>
      <c r="D606" s="7" t="inlineStr">
        <is>
          <t>SLINDA 4MG CX 24 COMP REV+4 PLACEBOS</t>
        </is>
      </c>
      <c r="E606" s="13" t="n">
        <v>1</v>
      </c>
      <c r="F606" s="13" t="n">
        <v>3</v>
      </c>
      <c r="G606" s="13" t="n">
        <v>3</v>
      </c>
      <c r="H606" s="8" t="n">
        <v>92.04650000000001</v>
      </c>
      <c r="I606" s="8">
        <f>G606*H606</f>
        <v/>
      </c>
      <c r="J606" s="8">
        <f>H606/E606</f>
        <v/>
      </c>
      <c r="K606" s="8" t="n">
        <v>95.08</v>
      </c>
      <c r="L606" s="8" t="n">
        <v>89.83499999999999</v>
      </c>
      <c r="M606" s="8" t="n">
        <v>91.58333333333333</v>
      </c>
      <c r="N606" s="14">
        <f>J606/M606-1</f>
        <v/>
      </c>
      <c r="O606" s="14">
        <f>J606/K606-1</f>
        <v/>
      </c>
      <c r="P606" s="7" t="inlineStr">
        <is>
          <t>OK (≤ últ. compra)</t>
        </is>
      </c>
      <c r="Q606" s="7" t="inlineStr"/>
    </row>
    <row r="607">
      <c r="A607" s="7" t="n">
        <v>651321</v>
      </c>
      <c r="B607" s="7" t="inlineStr"/>
      <c r="C607" s="12" t="inlineStr">
        <is>
          <t>7899706197946</t>
        </is>
      </c>
      <c r="D607" s="7" t="inlineStr">
        <is>
          <t>SOLAR EXPERT ANTIOL F60 40G 3.0-DEMAIS PROD</t>
        </is>
      </c>
      <c r="E607" s="13" t="n">
        <v>1</v>
      </c>
      <c r="F607" s="13" t="n">
        <v>1</v>
      </c>
      <c r="G607" s="13" t="n">
        <v>1</v>
      </c>
      <c r="H607" s="8" t="n">
        <v>44.1</v>
      </c>
      <c r="I607" s="8">
        <f>G607*H607</f>
        <v/>
      </c>
      <c r="J607" s="8">
        <f>H607/E607</f>
        <v/>
      </c>
      <c r="K607" s="8" t="n">
        <v>34.79</v>
      </c>
      <c r="L607" s="8" t="n">
        <v>34.79</v>
      </c>
      <c r="M607" s="8" t="n">
        <v>34.79</v>
      </c>
      <c r="N607" s="14">
        <f>J607/M607-1</f>
        <v/>
      </c>
      <c r="O607" s="14">
        <f>J607/K607-1</f>
        <v/>
      </c>
      <c r="P607" s="7" t="inlineStr">
        <is>
          <t>ACIMA +26.8%</t>
        </is>
      </c>
      <c r="Q607" s="7" t="inlineStr"/>
    </row>
    <row r="608">
      <c r="A608" s="7" t="n">
        <v>558381</v>
      </c>
      <c r="B608" s="7" t="inlineStr"/>
      <c r="C608" s="12" t="inlineStr">
        <is>
          <t>7896902212152</t>
        </is>
      </c>
      <c r="D608" s="7" t="inlineStr">
        <is>
          <t>SOLUCAO SORIMAX 100 ML</t>
        </is>
      </c>
      <c r="E608" s="13" t="n">
        <v>1</v>
      </c>
      <c r="F608" s="13" t="n">
        <v>50</v>
      </c>
      <c r="G608" s="13" t="n">
        <v>50</v>
      </c>
      <c r="H608" s="8" t="n">
        <v>2.39</v>
      </c>
      <c r="I608" s="8">
        <f>G608*H608</f>
        <v/>
      </c>
      <c r="J608" s="8">
        <f>H608/E608</f>
        <v/>
      </c>
      <c r="K608" s="8" t="n">
        <v>2.69</v>
      </c>
      <c r="L608" s="8" t="n">
        <v>2.69</v>
      </c>
      <c r="M608" s="8" t="n">
        <v>2.69</v>
      </c>
      <c r="N608" s="14">
        <f>J608/M608-1</f>
        <v/>
      </c>
      <c r="O608" s="14">
        <f>J608/K608-1</f>
        <v/>
      </c>
      <c r="P608" s="7" t="inlineStr">
        <is>
          <t>OK (≤ menor hist.)</t>
        </is>
      </c>
      <c r="Q608" s="7" t="inlineStr"/>
    </row>
    <row r="609">
      <c r="A609" s="7" t="n">
        <v>264541</v>
      </c>
      <c r="B609" s="7" t="inlineStr"/>
      <c r="C609" s="12" t="inlineStr">
        <is>
          <t>7894916512107</t>
        </is>
      </c>
      <c r="D609" s="7" t="inlineStr">
        <is>
          <t>SOMALGIN CARDIO 81MG 6 BLT 10 COMP REV-S</t>
        </is>
      </c>
      <c r="E609" s="13" t="n">
        <v>1</v>
      </c>
      <c r="F609" s="13" t="n">
        <v>2</v>
      </c>
      <c r="G609" s="13" t="n">
        <v>2</v>
      </c>
      <c r="H609" s="8" t="n">
        <v>24.0045</v>
      </c>
      <c r="I609" s="8">
        <f>G609*H609</f>
        <v/>
      </c>
      <c r="J609" s="8">
        <f>H609/E609</f>
        <v/>
      </c>
      <c r="K609" s="8" t="n">
        <v>22.9</v>
      </c>
      <c r="L609" s="8" t="n">
        <v>21.925</v>
      </c>
      <c r="M609" s="8" t="n">
        <v>22.25</v>
      </c>
      <c r="N609" s="14">
        <f>J609/M609-1</f>
        <v/>
      </c>
      <c r="O609" s="14">
        <f>J609/K609-1</f>
        <v/>
      </c>
      <c r="P609" s="7" t="inlineStr">
        <is>
          <t>ACIMA +4.8%</t>
        </is>
      </c>
      <c r="Q609" s="7" t="inlineStr"/>
    </row>
    <row r="610">
      <c r="A610" s="7" t="n">
        <v>614861</v>
      </c>
      <c r="B610" s="7" t="inlineStr"/>
      <c r="C610" s="12" t="inlineStr">
        <is>
          <t>7891317011277</t>
        </is>
      </c>
      <c r="D610" s="7" t="inlineStr">
        <is>
          <t>SONIC 50MG CX 60 COMP REV</t>
        </is>
      </c>
      <c r="E610" s="13" t="n">
        <v>1</v>
      </c>
      <c r="F610" s="13" t="n">
        <v>2</v>
      </c>
      <c r="G610" s="13" t="n">
        <v>2</v>
      </c>
      <c r="H610" s="8" t="n">
        <v>41.5912</v>
      </c>
      <c r="I610" s="8">
        <f>G610*H610</f>
        <v/>
      </c>
      <c r="J610" s="8">
        <f>H610/E610</f>
        <v/>
      </c>
      <c r="K610" s="8" t="n">
        <v>41.02</v>
      </c>
      <c r="L610" s="8" t="n">
        <v>37.98</v>
      </c>
      <c r="M610" s="8" t="n">
        <v>38.99333333333333</v>
      </c>
      <c r="N610" s="14">
        <f>J610/M610-1</f>
        <v/>
      </c>
      <c r="O610" s="14">
        <f>J610/K610-1</f>
        <v/>
      </c>
      <c r="P610" s="7" t="inlineStr">
        <is>
          <t>ACIMA +1.4%</t>
        </is>
      </c>
      <c r="Q610" s="7" t="inlineStr"/>
    </row>
    <row r="611">
      <c r="A611" s="7" t="n">
        <v>619991</v>
      </c>
      <c r="B611" s="7" t="inlineStr"/>
      <c r="C611" s="12" t="inlineStr">
        <is>
          <t>7898636193974</t>
        </is>
      </c>
      <c r="D611" s="7" t="inlineStr">
        <is>
          <t>SOROX ABACAXI COM HORTELA 550ML</t>
        </is>
      </c>
      <c r="E611" s="13" t="n">
        <v>1</v>
      </c>
      <c r="F611" s="13" t="n">
        <v>4</v>
      </c>
      <c r="G611" s="13" t="n">
        <v>4</v>
      </c>
      <c r="H611" s="8" t="n">
        <v>9.74</v>
      </c>
      <c r="I611" s="8">
        <f>G611*H611</f>
        <v/>
      </c>
      <c r="J611" s="8">
        <f>H611/E611</f>
        <v/>
      </c>
      <c r="K611" s="8" t="n">
        <v>6.5767</v>
      </c>
      <c r="L611" s="8" t="n">
        <v>6.5767</v>
      </c>
      <c r="M611" s="8" t="n">
        <v>6.5767</v>
      </c>
      <c r="N611" s="14">
        <f>J611/M611-1</f>
        <v/>
      </c>
      <c r="O611" s="14">
        <f>J611/K611-1</f>
        <v/>
      </c>
      <c r="P611" s="7" t="inlineStr">
        <is>
          <t>ACIMA +48.1%</t>
        </is>
      </c>
      <c r="Q611" s="7" t="inlineStr"/>
    </row>
    <row r="612">
      <c r="A612" s="7" t="n">
        <v>656951</v>
      </c>
      <c r="B612" s="7" t="inlineStr"/>
      <c r="C612" s="12" t="inlineStr">
        <is>
          <t>7898636194186</t>
        </is>
      </c>
      <c r="D612" s="7" t="inlineStr">
        <is>
          <t>SOROX FRUTAS AMARELAS 550ML-DEMAIS PROD</t>
        </is>
      </c>
      <c r="E612" s="13" t="n">
        <v>1</v>
      </c>
      <c r="F612" s="13" t="n">
        <v>2</v>
      </c>
      <c r="G612" s="13" t="n">
        <v>2</v>
      </c>
      <c r="H612" s="8" t="n">
        <v>9.74</v>
      </c>
      <c r="I612" s="8">
        <f>G612*H612</f>
        <v/>
      </c>
      <c r="J612" s="8">
        <f>H612/E612</f>
        <v/>
      </c>
      <c r="K612" s="8" t="n">
        <v>6.5767</v>
      </c>
      <c r="L612" s="8" t="n">
        <v>6.5767</v>
      </c>
      <c r="M612" s="8" t="n">
        <v>6.5767</v>
      </c>
      <c r="N612" s="14">
        <f>J612/M612-1</f>
        <v/>
      </c>
      <c r="O612" s="14">
        <f>J612/K612-1</f>
        <v/>
      </c>
      <c r="P612" s="7" t="inlineStr">
        <is>
          <t>ACIMA +48.1%</t>
        </is>
      </c>
      <c r="Q612" s="7" t="inlineStr"/>
    </row>
    <row r="613">
      <c r="A613" s="7" t="n">
        <v>620001</v>
      </c>
      <c r="B613" s="7" t="inlineStr"/>
      <c r="C613" s="12" t="inlineStr">
        <is>
          <t>7898636193882</t>
        </is>
      </c>
      <c r="D613" s="7" t="inlineStr">
        <is>
          <t>SOROX FRUTAS VERMELHAS 550ML</t>
        </is>
      </c>
      <c r="E613" s="13" t="n">
        <v>1</v>
      </c>
      <c r="F613" s="13" t="n">
        <v>5</v>
      </c>
      <c r="G613" s="13" t="n">
        <v>5</v>
      </c>
      <c r="H613" s="8" t="n">
        <v>9.74</v>
      </c>
      <c r="I613" s="8">
        <f>G613*H613</f>
        <v/>
      </c>
      <c r="J613" s="8">
        <f>H613/E613</f>
        <v/>
      </c>
      <c r="K613" s="8" t="n">
        <v>6.5767</v>
      </c>
      <c r="L613" s="8" t="n">
        <v>6.5767</v>
      </c>
      <c r="M613" s="8" t="n">
        <v>6.5767</v>
      </c>
      <c r="N613" s="14">
        <f>J613/M613-1</f>
        <v/>
      </c>
      <c r="O613" s="14">
        <f>J613/K613-1</f>
        <v/>
      </c>
      <c r="P613" s="7" t="inlineStr">
        <is>
          <t>ACIMA +48.1%</t>
        </is>
      </c>
      <c r="Q613" s="7" t="inlineStr"/>
    </row>
    <row r="614">
      <c r="A614" s="7" t="n">
        <v>609721</v>
      </c>
      <c r="B614" s="7" t="inlineStr"/>
      <c r="C614" s="12" t="inlineStr">
        <is>
          <t>7898636193493</t>
        </is>
      </c>
      <c r="D614" s="7" t="inlineStr">
        <is>
          <t>SOROX LIMAO 550ML</t>
        </is>
      </c>
      <c r="E614" s="13" t="n">
        <v>1</v>
      </c>
      <c r="F614" s="13" t="n">
        <v>3</v>
      </c>
      <c r="G614" s="13" t="n">
        <v>3</v>
      </c>
      <c r="H614" s="8" t="n">
        <v>9.74</v>
      </c>
      <c r="I614" s="8">
        <f>G614*H614</f>
        <v/>
      </c>
      <c r="J614" s="8">
        <f>H614/E614</f>
        <v/>
      </c>
      <c r="K614" s="8" t="n">
        <v>6.5767</v>
      </c>
      <c r="L614" s="8" t="n">
        <v>6.5767</v>
      </c>
      <c r="M614" s="8" t="n">
        <v>6.5767</v>
      </c>
      <c r="N614" s="14">
        <f>J614/M614-1</f>
        <v/>
      </c>
      <c r="O614" s="14">
        <f>J614/K614-1</f>
        <v/>
      </c>
      <c r="P614" s="7" t="inlineStr">
        <is>
          <t>ACIMA +48.1%</t>
        </is>
      </c>
      <c r="Q614" s="7" t="inlineStr"/>
    </row>
    <row r="615">
      <c r="A615" s="7" t="n">
        <v>655781</v>
      </c>
      <c r="B615" s="7" t="inlineStr"/>
      <c r="C615" s="12" t="inlineStr">
        <is>
          <t>7898636194193</t>
        </is>
      </c>
      <c r="D615" s="7" t="inlineStr">
        <is>
          <t>SOROX MORANGOI COM LARANJA 550ML</t>
        </is>
      </c>
      <c r="E615" s="13" t="n">
        <v>1</v>
      </c>
      <c r="F615" s="13" t="n">
        <v>2</v>
      </c>
      <c r="G615" s="13" t="n">
        <v>2</v>
      </c>
      <c r="H615" s="8" t="n">
        <v>9.74</v>
      </c>
      <c r="I615" s="8">
        <f>G615*H615</f>
        <v/>
      </c>
      <c r="J615" s="8">
        <f>H615/E615</f>
        <v/>
      </c>
      <c r="K615" s="8" t="n">
        <v>7.235</v>
      </c>
      <c r="L615" s="8" t="n">
        <v>6.5767</v>
      </c>
      <c r="M615" s="8" t="n">
        <v>7.015566666666667</v>
      </c>
      <c r="N615" s="14">
        <f>J615/M615-1</f>
        <v/>
      </c>
      <c r="O615" s="14">
        <f>J615/K615-1</f>
        <v/>
      </c>
      <c r="P615" s="7" t="inlineStr">
        <is>
          <t>ACIMA +34.6%</t>
        </is>
      </c>
      <c r="Q615" s="7" t="inlineStr"/>
    </row>
    <row r="616">
      <c r="A616" s="7" t="n">
        <v>609731</v>
      </c>
      <c r="B616" s="7" t="inlineStr"/>
      <c r="C616" s="12" t="inlineStr">
        <is>
          <t>7898636193509</t>
        </is>
      </c>
      <c r="D616" s="7" t="inlineStr">
        <is>
          <t>SOROX TANGERINA 550ML</t>
        </is>
      </c>
      <c r="E616" s="13" t="n">
        <v>1</v>
      </c>
      <c r="F616" s="13" t="n">
        <v>9</v>
      </c>
      <c r="G616" s="13" t="n">
        <v>9</v>
      </c>
      <c r="H616" s="8" t="n">
        <v>9.74</v>
      </c>
      <c r="I616" s="8">
        <f>G616*H616</f>
        <v/>
      </c>
      <c r="J616" s="8">
        <f>H616/E616</f>
        <v/>
      </c>
      <c r="K616" s="8" t="n">
        <v>6.5767</v>
      </c>
      <c r="L616" s="8" t="n">
        <v>6.5767</v>
      </c>
      <c r="M616" s="8" t="n">
        <v>6.5767</v>
      </c>
      <c r="N616" s="14">
        <f>J616/M616-1</f>
        <v/>
      </c>
      <c r="O616" s="14">
        <f>J616/K616-1</f>
        <v/>
      </c>
      <c r="P616" s="7" t="inlineStr">
        <is>
          <t>ACIMA +48.1%</t>
        </is>
      </c>
      <c r="Q616" s="7" t="inlineStr"/>
    </row>
    <row r="617">
      <c r="A617" s="7" t="n">
        <v>609741</v>
      </c>
      <c r="B617" s="7" t="inlineStr"/>
      <c r="C617" s="12" t="inlineStr">
        <is>
          <t>7898636193516</t>
        </is>
      </c>
      <c r="D617" s="7" t="inlineStr">
        <is>
          <t>SOROX UVA 550ML</t>
        </is>
      </c>
      <c r="E617" s="13" t="n">
        <v>1</v>
      </c>
      <c r="F617" s="13" t="n">
        <v>4</v>
      </c>
      <c r="G617" s="13" t="n">
        <v>4</v>
      </c>
      <c r="H617" s="8" t="n">
        <v>9.74</v>
      </c>
      <c r="I617" s="8">
        <f>G617*H617</f>
        <v/>
      </c>
      <c r="J617" s="8">
        <f>H617/E617</f>
        <v/>
      </c>
      <c r="K617" s="8" t="n">
        <v>6.5767</v>
      </c>
      <c r="L617" s="8" t="n">
        <v>6.5767</v>
      </c>
      <c r="M617" s="8" t="n">
        <v>6.5767</v>
      </c>
      <c r="N617" s="14">
        <f>J617/M617-1</f>
        <v/>
      </c>
      <c r="O617" s="14">
        <f>J617/K617-1</f>
        <v/>
      </c>
      <c r="P617" s="7" t="inlineStr">
        <is>
          <t>ACIMA +48.1%</t>
        </is>
      </c>
      <c r="Q617" s="7" t="inlineStr"/>
    </row>
    <row r="618">
      <c r="A618" s="7" t="n">
        <v>661151</v>
      </c>
      <c r="B618" s="7" t="inlineStr"/>
      <c r="C618" s="12" t="inlineStr">
        <is>
          <t>7899852025469</t>
        </is>
      </c>
      <c r="D618" s="7" t="inlineStr">
        <is>
          <t>SPR VULT RECARGA HIDRT 100ML-DEMAIS PROD</t>
        </is>
      </c>
      <c r="E618" s="13" t="n">
        <v>1</v>
      </c>
      <c r="F618" s="13" t="n">
        <v>1</v>
      </c>
      <c r="G618" s="13" t="n">
        <v>1</v>
      </c>
      <c r="H618" s="8" t="n">
        <v>27.38</v>
      </c>
      <c r="I618" s="8">
        <f>G618*H618</f>
        <v/>
      </c>
      <c r="J618" s="8">
        <f>H618/E618</f>
        <v/>
      </c>
      <c r="K618" s="8" t="n">
        <v>27.51</v>
      </c>
      <c r="L618" s="8" t="n">
        <v>27.51</v>
      </c>
      <c r="M618" s="8" t="n">
        <v>27.51</v>
      </c>
      <c r="N618" s="14">
        <f>J618/M618-1</f>
        <v/>
      </c>
      <c r="O618" s="14">
        <f>J618/K618-1</f>
        <v/>
      </c>
      <c r="P618" s="7" t="inlineStr">
        <is>
          <t>OK (≤ menor hist.)</t>
        </is>
      </c>
      <c r="Q618" s="7" t="inlineStr"/>
    </row>
    <row r="619">
      <c r="A619" s="7" t="n">
        <v>526121</v>
      </c>
      <c r="B619" s="7" t="inlineStr"/>
      <c r="C619" s="12" t="inlineStr">
        <is>
          <t>5060632508768</t>
        </is>
      </c>
      <c r="D619" s="7" t="inlineStr">
        <is>
          <t>STEZZA 2,5+1,5MG CX 24 COMP REV+CALEND+4 PLACEBO</t>
        </is>
      </c>
      <c r="E619" s="13" t="n">
        <v>1</v>
      </c>
      <c r="F619" s="13" t="n">
        <v>1</v>
      </c>
      <c r="G619" s="13" t="n">
        <v>1</v>
      </c>
      <c r="H619" s="8" t="n">
        <v>46.39</v>
      </c>
      <c r="I619" s="8">
        <f>G619*H619</f>
        <v/>
      </c>
      <c r="J619" s="8">
        <f>H619/E619</f>
        <v/>
      </c>
      <c r="K619" s="8" t="n">
        <v>48.21</v>
      </c>
      <c r="L619" s="8" t="n">
        <v>41.29</v>
      </c>
      <c r="M619" s="8" t="n">
        <v>43.40666666666667</v>
      </c>
      <c r="N619" s="14">
        <f>J619/M619-1</f>
        <v/>
      </c>
      <c r="O619" s="14">
        <f>J619/K619-1</f>
        <v/>
      </c>
      <c r="P619" s="7" t="inlineStr">
        <is>
          <t>OK (≤ últ. compra)</t>
        </is>
      </c>
      <c r="Q619" s="7" t="inlineStr"/>
    </row>
    <row r="620">
      <c r="A620" s="7" t="n">
        <v>505781</v>
      </c>
      <c r="B620" s="7" t="inlineStr"/>
      <c r="C620" s="12" t="inlineStr">
        <is>
          <t>7891058000950</t>
        </is>
      </c>
      <c r="D620" s="7" t="inlineStr">
        <is>
          <t>SUCCINATO DE METOPROLOL 25MG CX 30 COMP REV LIB PROL</t>
        </is>
      </c>
      <c r="E620" s="13" t="n">
        <v>1</v>
      </c>
      <c r="F620" s="13" t="n">
        <v>5</v>
      </c>
      <c r="G620" s="13" t="n">
        <v>5</v>
      </c>
      <c r="H620" s="8" t="n">
        <v>19.91</v>
      </c>
      <c r="I620" s="8">
        <f>G620*H620</f>
        <v/>
      </c>
      <c r="J620" s="8">
        <f>H620/E620</f>
        <v/>
      </c>
      <c r="K620" s="8" t="n">
        <v>16.3058</v>
      </c>
      <c r="L620" s="8" t="n">
        <v>16.3058</v>
      </c>
      <c r="M620" s="8" t="n">
        <v>16.3058</v>
      </c>
      <c r="N620" s="14">
        <f>J620/M620-1</f>
        <v/>
      </c>
      <c r="O620" s="14">
        <f>J620/K620-1</f>
        <v/>
      </c>
      <c r="P620" s="7" t="inlineStr">
        <is>
          <t>ACIMA +22.1%</t>
        </is>
      </c>
      <c r="Q620" s="7" t="inlineStr"/>
    </row>
    <row r="621">
      <c r="A621" s="7" t="n">
        <v>505761</v>
      </c>
      <c r="B621" s="7" t="inlineStr"/>
      <c r="C621" s="12" t="inlineStr">
        <is>
          <t>7891058000943</t>
        </is>
      </c>
      <c r="D621" s="7" t="inlineStr">
        <is>
          <t>SUCCINATO DE METOPROLOL 50MG CX 30 COMP REV LIB PROL</t>
        </is>
      </c>
      <c r="E621" s="13" t="n">
        <v>1</v>
      </c>
      <c r="F621" s="13" t="n">
        <v>1</v>
      </c>
      <c r="G621" s="13" t="n">
        <v>1</v>
      </c>
      <c r="H621" s="8" t="n">
        <v>35.1994</v>
      </c>
      <c r="I621" s="8">
        <f>G621*H621</f>
        <v/>
      </c>
      <c r="J621" s="8">
        <f>H621/E621</f>
        <v/>
      </c>
      <c r="K621" s="8" t="n">
        <v>20.52</v>
      </c>
      <c r="L621" s="8" t="n">
        <v>18.785</v>
      </c>
      <c r="M621" s="8" t="n">
        <v>19.94166666666667</v>
      </c>
      <c r="N621" s="14">
        <f>J621/M621-1</f>
        <v/>
      </c>
      <c r="O621" s="14">
        <f>J621/K621-1</f>
        <v/>
      </c>
      <c r="P621" s="7" t="inlineStr">
        <is>
          <t>ACIMA +71.5%</t>
        </is>
      </c>
      <c r="Q621" s="7" t="inlineStr"/>
    </row>
    <row r="622">
      <c r="A622" s="7" t="n">
        <v>48521</v>
      </c>
      <c r="B622" s="7" t="inlineStr"/>
      <c r="C622" s="12" t="inlineStr">
        <is>
          <t>7896422504478</t>
        </is>
      </c>
      <c r="D622" s="7" t="inlineStr">
        <is>
          <t>SULFATO DE NEOMICINA+BACITRACINA POM BG 50G</t>
        </is>
      </c>
      <c r="E622" s="13" t="n">
        <v>1</v>
      </c>
      <c r="F622" s="13" t="n">
        <v>1</v>
      </c>
      <c r="G622" s="13" t="n">
        <v>1</v>
      </c>
      <c r="H622" s="8" t="n">
        <v>14.476</v>
      </c>
      <c r="I622" s="8">
        <f>G622*H622</f>
        <v/>
      </c>
      <c r="J622" s="8">
        <f>H622/E622</f>
        <v/>
      </c>
      <c r="K622" s="8" t="n">
        <v>7.9267</v>
      </c>
      <c r="L622" s="8" t="n">
        <v>7.9267</v>
      </c>
      <c r="M622" s="8" t="n">
        <v>7.9267</v>
      </c>
      <c r="N622" s="14">
        <f>J622/M622-1</f>
        <v/>
      </c>
      <c r="O622" s="14">
        <f>J622/K622-1</f>
        <v/>
      </c>
      <c r="P622" s="7" t="inlineStr">
        <is>
          <t>ACIMA +82.6%</t>
        </is>
      </c>
      <c r="Q622" s="7" t="inlineStr"/>
    </row>
    <row r="623">
      <c r="A623" s="7" t="n">
        <v>445201</v>
      </c>
      <c r="B623" s="7" t="inlineStr"/>
      <c r="C623" s="12" t="inlineStr">
        <is>
          <t>7896094201064</t>
        </is>
      </c>
      <c r="D623" s="7" t="inlineStr">
        <is>
          <t>SUMAX 25MG CX 4 COMP REV</t>
        </is>
      </c>
      <c r="E623" s="13" t="n">
        <v>1</v>
      </c>
      <c r="F623" s="13" t="n">
        <v>2</v>
      </c>
      <c r="G623" s="13" t="n">
        <v>2</v>
      </c>
      <c r="H623" s="8" t="n">
        <v>28.2843</v>
      </c>
      <c r="I623" s="8">
        <f>G623*H623</f>
        <v/>
      </c>
      <c r="J623" s="8">
        <f>H623/E623</f>
        <v/>
      </c>
      <c r="K623" s="8" t="n">
        <v>28.8</v>
      </c>
      <c r="L623" s="8" t="n">
        <v>24.6367</v>
      </c>
      <c r="M623" s="8" t="n">
        <v>26.59223333333334</v>
      </c>
      <c r="N623" s="14">
        <f>J623/M623-1</f>
        <v/>
      </c>
      <c r="O623" s="14">
        <f>J623/K623-1</f>
        <v/>
      </c>
      <c r="P623" s="7" t="inlineStr">
        <is>
          <t>OK (≤ últ. compra)</t>
        </is>
      </c>
      <c r="Q623" s="7" t="inlineStr"/>
    </row>
    <row r="624">
      <c r="A624" s="7" t="n">
        <v>445261</v>
      </c>
      <c r="B624" s="7" t="inlineStr"/>
      <c r="C624" s="12" t="inlineStr">
        <is>
          <t>7896094208278</t>
        </is>
      </c>
      <c r="D624" s="7" t="inlineStr">
        <is>
          <t>SUMAXPRO 500+50MG CX 2 COMP REV</t>
        </is>
      </c>
      <c r="E624" s="13" t="n">
        <v>1</v>
      </c>
      <c r="F624" s="13" t="n">
        <v>2</v>
      </c>
      <c r="G624" s="13" t="n">
        <v>2</v>
      </c>
      <c r="H624" s="8" t="n">
        <v>34.7787</v>
      </c>
      <c r="I624" s="8">
        <f>G624*H624</f>
        <v/>
      </c>
      <c r="J624" s="8">
        <f>H624/E624</f>
        <v/>
      </c>
      <c r="K624" s="8" t="n">
        <v>35.42</v>
      </c>
      <c r="L624" s="8" t="n">
        <v>32.86</v>
      </c>
      <c r="M624" s="8" t="n">
        <v>34.12333333333333</v>
      </c>
      <c r="N624" s="14">
        <f>J624/M624-1</f>
        <v/>
      </c>
      <c r="O624" s="14">
        <f>J624/K624-1</f>
        <v/>
      </c>
      <c r="P624" s="7" t="inlineStr">
        <is>
          <t>OK (≤ últ. compra)</t>
        </is>
      </c>
      <c r="Q624" s="7" t="inlineStr"/>
    </row>
    <row r="625">
      <c r="A625" s="7" t="n">
        <v>605081</v>
      </c>
      <c r="B625" s="7" t="inlineStr"/>
      <c r="C625" s="12" t="inlineStr">
        <is>
          <t>7898941911270</t>
        </is>
      </c>
      <c r="D625" s="7" t="inlineStr">
        <is>
          <t>SUSTAGEN KIDS SACHET BAUNILHA 190GR UN QTD. 2.00 UN</t>
        </is>
      </c>
      <c r="E625" s="13" t="n">
        <v>1</v>
      </c>
      <c r="F625" s="13" t="n">
        <v>1</v>
      </c>
      <c r="G625" s="13" t="n">
        <v>1</v>
      </c>
      <c r="H625" s="8" t="n">
        <v>16.8854</v>
      </c>
      <c r="I625" s="8">
        <f>G625*H625</f>
        <v/>
      </c>
      <c r="J625" s="8">
        <f>H625/E625</f>
        <v/>
      </c>
      <c r="K625" s="8" t="n">
        <v>12.6617</v>
      </c>
      <c r="L625" s="8" t="n">
        <v>12.6617</v>
      </c>
      <c r="M625" s="8" t="n">
        <v>12.6617</v>
      </c>
      <c r="N625" s="14">
        <f>J625/M625-1</f>
        <v/>
      </c>
      <c r="O625" s="14">
        <f>J625/K625-1</f>
        <v/>
      </c>
      <c r="P625" s="7" t="inlineStr">
        <is>
          <t>ACIMA +33.4%</t>
        </is>
      </c>
      <c r="Q625" s="7" t="inlineStr"/>
    </row>
    <row r="626">
      <c r="A626" s="7" t="n">
        <v>617111</v>
      </c>
      <c r="B626" s="7" t="inlineStr"/>
      <c r="C626" s="12" t="inlineStr">
        <is>
          <t>7896512914415</t>
        </is>
      </c>
      <c r="D626" s="7" t="inlineStr">
        <is>
          <t>TALCO CREMOSO PINK 100GR</t>
        </is>
      </c>
      <c r="E626" s="13" t="n">
        <v>1</v>
      </c>
      <c r="F626" s="13" t="n">
        <v>1</v>
      </c>
      <c r="G626" s="13" t="n">
        <v>1</v>
      </c>
      <c r="H626" s="8" t="n">
        <v>24.62</v>
      </c>
      <c r="I626" s="8">
        <f>G626*H626</f>
        <v/>
      </c>
      <c r="J626" s="8">
        <f>H626/E626</f>
        <v/>
      </c>
      <c r="K626" s="8" t="n">
        <v>16.1917</v>
      </c>
      <c r="L626" s="8" t="n">
        <v>16.1917</v>
      </c>
      <c r="M626" s="8" t="n">
        <v>16.1917</v>
      </c>
      <c r="N626" s="14">
        <f>J626/M626-1</f>
        <v/>
      </c>
      <c r="O626" s="14">
        <f>J626/K626-1</f>
        <v/>
      </c>
      <c r="P626" s="7" t="inlineStr">
        <is>
          <t>ACIMA +52.1%</t>
        </is>
      </c>
      <c r="Q626" s="7" t="inlineStr"/>
    </row>
    <row r="627">
      <c r="A627" s="7" t="n">
        <v>540761</v>
      </c>
      <c r="B627" s="7" t="inlineStr"/>
      <c r="C627" s="12" t="inlineStr">
        <is>
          <t>7896512909190</t>
        </is>
      </c>
      <c r="D627" s="7" t="inlineStr">
        <is>
          <t>TALCO GRANADO BEBE 100G</t>
        </is>
      </c>
      <c r="E627" s="13" t="n">
        <v>1</v>
      </c>
      <c r="F627" s="13" t="n">
        <v>12</v>
      </c>
      <c r="G627" s="13" t="n">
        <v>12</v>
      </c>
      <c r="H627" s="8" t="n">
        <v>14.43</v>
      </c>
      <c r="I627" s="8">
        <f>G627*H627</f>
        <v/>
      </c>
      <c r="J627" s="8">
        <f>H627/E627</f>
        <v/>
      </c>
      <c r="K627" s="8" t="n">
        <v>10.8358</v>
      </c>
      <c r="L627" s="8" t="n">
        <v>10.8358</v>
      </c>
      <c r="M627" s="8" t="n">
        <v>10.8358</v>
      </c>
      <c r="N627" s="14">
        <f>J627/M627-1</f>
        <v/>
      </c>
      <c r="O627" s="14">
        <f>J627/K627-1</f>
        <v/>
      </c>
      <c r="P627" s="7" t="inlineStr">
        <is>
          <t>ACIMA +33.2%</t>
        </is>
      </c>
      <c r="Q627" s="7" t="inlineStr"/>
    </row>
    <row r="628">
      <c r="A628" s="7" t="n">
        <v>624141</v>
      </c>
      <c r="B628" s="7" t="inlineStr"/>
      <c r="C628" s="12" t="inlineStr">
        <is>
          <t>7506339305142</t>
        </is>
      </c>
      <c r="D628" s="7" t="inlineStr">
        <is>
          <t>TESTE GRAV CLEARBLUE PLUS 2UNI-DEMAIS PROD</t>
        </is>
      </c>
      <c r="E628" s="13" t="n">
        <v>1</v>
      </c>
      <c r="F628" s="13" t="n">
        <v>2</v>
      </c>
      <c r="G628" s="13" t="n">
        <v>2</v>
      </c>
      <c r="H628" s="8" t="n">
        <v>23.84</v>
      </c>
      <c r="I628" s="8">
        <f>G628*H628</f>
        <v/>
      </c>
      <c r="J628" s="8">
        <f>H628/E628</f>
        <v/>
      </c>
      <c r="K628" s="8" t="n">
        <v>24.7675</v>
      </c>
      <c r="L628" s="8" t="n">
        <v>23.11</v>
      </c>
      <c r="M628" s="8" t="n">
        <v>24.215</v>
      </c>
      <c r="N628" s="14">
        <f>J628/M628-1</f>
        <v/>
      </c>
      <c r="O628" s="14">
        <f>J628/K628-1</f>
        <v/>
      </c>
      <c r="P628" s="7" t="inlineStr">
        <is>
          <t>OK (≤ últ. compra)</t>
        </is>
      </c>
      <c r="Q628" s="7" t="inlineStr"/>
    </row>
    <row r="629">
      <c r="A629" s="7" t="n">
        <v>622921</v>
      </c>
      <c r="B629" s="7" t="inlineStr"/>
      <c r="C629" s="12" t="inlineStr">
        <is>
          <t>7500435137959</t>
        </is>
      </c>
      <c r="D629" s="7" t="inlineStr">
        <is>
          <t>TESTE GRAV CLEARBLUE SAIBA ANTES-DEMAIS PROD</t>
        </is>
      </c>
      <c r="E629" s="13" t="n">
        <v>1</v>
      </c>
      <c r="F629" s="13" t="n">
        <v>8</v>
      </c>
      <c r="G629" s="13" t="n">
        <v>8</v>
      </c>
      <c r="H629" s="8" t="n">
        <v>18.753</v>
      </c>
      <c r="I629" s="8">
        <f>G629*H629</f>
        <v/>
      </c>
      <c r="J629" s="8">
        <f>H629/E629</f>
        <v/>
      </c>
      <c r="K629" s="8" t="n">
        <v>21.65</v>
      </c>
      <c r="L629" s="8" t="n">
        <v>19.62</v>
      </c>
      <c r="M629" s="8" t="n">
        <v>20.60666666666667</v>
      </c>
      <c r="N629" s="14">
        <f>J629/M629-1</f>
        <v/>
      </c>
      <c r="O629" s="14">
        <f>J629/K629-1</f>
        <v/>
      </c>
      <c r="P629" s="7" t="inlineStr">
        <is>
          <t>OK (≤ menor hist.)</t>
        </is>
      </c>
      <c r="Q629" s="7" t="inlineStr"/>
    </row>
    <row r="630">
      <c r="A630" s="7" t="n">
        <v>672181</v>
      </c>
      <c r="B630" s="7" t="inlineStr"/>
      <c r="C630" s="12" t="inlineStr">
        <is>
          <t>7896014183067</t>
        </is>
      </c>
      <c r="D630" s="7" t="inlineStr">
        <is>
          <t>TINT CASTING CASTANHO ESCURO 300-DEMAIS PROD</t>
        </is>
      </c>
      <c r="E630" s="13" t="n">
        <v>1</v>
      </c>
      <c r="F630" s="13" t="n">
        <v>2</v>
      </c>
      <c r="G630" s="13" t="n">
        <v>2</v>
      </c>
      <c r="H630" s="8" t="n">
        <v>28.51</v>
      </c>
      <c r="I630" s="8">
        <f>G630*H630</f>
        <v/>
      </c>
      <c r="J630" s="8">
        <f>H630/E630</f>
        <v/>
      </c>
      <c r="K630" s="8" t="n">
        <v>25.3429</v>
      </c>
      <c r="L630" s="8" t="n">
        <v>25.3429</v>
      </c>
      <c r="M630" s="8" t="n">
        <v>25.3429</v>
      </c>
      <c r="N630" s="14">
        <f>J630/M630-1</f>
        <v/>
      </c>
      <c r="O630" s="14">
        <f>J630/K630-1</f>
        <v/>
      </c>
      <c r="P630" s="7" t="inlineStr">
        <is>
          <t>ACIMA +12.5%</t>
        </is>
      </c>
      <c r="Q630" s="7" t="inlineStr"/>
    </row>
    <row r="631">
      <c r="A631" s="7" t="n">
        <v>672211</v>
      </c>
      <c r="B631" s="7" t="inlineStr"/>
      <c r="C631" s="12" t="inlineStr">
        <is>
          <t>7896014183210</t>
        </is>
      </c>
      <c r="D631" s="7" t="inlineStr">
        <is>
          <t>TINT CASTING LOURO NATURAL 700-DEMAIS PROD</t>
        </is>
      </c>
      <c r="E631" s="13" t="n">
        <v>1</v>
      </c>
      <c r="F631" s="13" t="n">
        <v>5</v>
      </c>
      <c r="G631" s="13" t="n">
        <v>5</v>
      </c>
      <c r="H631" s="8" t="n">
        <v>28.51</v>
      </c>
      <c r="I631" s="8">
        <f>G631*H631</f>
        <v/>
      </c>
      <c r="J631" s="8">
        <f>H631/E631</f>
        <v/>
      </c>
      <c r="K631" s="8" t="n">
        <v>26.1</v>
      </c>
      <c r="L631" s="8" t="n">
        <v>26.1</v>
      </c>
      <c r="M631" s="8" t="n">
        <v>26.1</v>
      </c>
      <c r="N631" s="14">
        <f>J631/M631-1</f>
        <v/>
      </c>
      <c r="O631" s="14">
        <f>J631/K631-1</f>
        <v/>
      </c>
      <c r="P631" s="7" t="inlineStr">
        <is>
          <t>ACIMA +9.2%</t>
        </is>
      </c>
      <c r="Q631" s="7" t="inlineStr"/>
    </row>
    <row r="632">
      <c r="A632" s="7" t="n">
        <v>668591</v>
      </c>
      <c r="B632" s="7" t="inlineStr"/>
      <c r="C632" s="12" t="inlineStr">
        <is>
          <t>7896014183043</t>
        </is>
      </c>
      <c r="D632" s="7" t="inlineStr">
        <is>
          <t>TINT CASTING PRETO 200-DEMAIS PROD</t>
        </is>
      </c>
      <c r="E632" s="13" t="n">
        <v>1</v>
      </c>
      <c r="F632" s="13" t="n">
        <v>2</v>
      </c>
      <c r="G632" s="13" t="n">
        <v>2</v>
      </c>
      <c r="H632" s="8" t="n">
        <v>28.51</v>
      </c>
      <c r="I632" s="8">
        <f>G632*H632</f>
        <v/>
      </c>
      <c r="J632" s="8">
        <f>H632/E632</f>
        <v/>
      </c>
      <c r="K632" s="8" t="n">
        <v>27.57</v>
      </c>
      <c r="L632" s="8" t="n">
        <v>22.45</v>
      </c>
      <c r="M632" s="8" t="n">
        <v>25.86333333333333</v>
      </c>
      <c r="N632" s="14">
        <f>J632/M632-1</f>
        <v/>
      </c>
      <c r="O632" s="14">
        <f>J632/K632-1</f>
        <v/>
      </c>
      <c r="P632" s="7" t="inlineStr">
        <is>
          <t>ACIMA +3.4%</t>
        </is>
      </c>
      <c r="Q632" s="7" t="inlineStr"/>
    </row>
    <row r="633">
      <c r="A633" s="7" t="n">
        <v>672231</v>
      </c>
      <c r="B633" s="7" t="inlineStr"/>
      <c r="C633" s="12" t="inlineStr">
        <is>
          <t>7898587762564</t>
        </is>
      </c>
      <c r="D633" s="7" t="inlineStr">
        <is>
          <t>TINT CASTING PRETO NOITE 100-DEMAIS PROD</t>
        </is>
      </c>
      <c r="E633" s="13" t="n">
        <v>1</v>
      </c>
      <c r="F633" s="13" t="n">
        <v>1</v>
      </c>
      <c r="G633" s="13" t="n">
        <v>1</v>
      </c>
      <c r="H633" s="8" t="n">
        <v>28.51</v>
      </c>
      <c r="I633" s="8">
        <f>G633*H633</f>
        <v/>
      </c>
      <c r="J633" s="8">
        <f>H633/E633</f>
        <v/>
      </c>
      <c r="K633" s="8" t="n">
        <v>25.34</v>
      </c>
      <c r="L633" s="8" t="n">
        <v>25.34</v>
      </c>
      <c r="M633" s="8" t="n">
        <v>25.34</v>
      </c>
      <c r="N633" s="14">
        <f>J633/M633-1</f>
        <v/>
      </c>
      <c r="O633" s="14">
        <f>J633/K633-1</f>
        <v/>
      </c>
      <c r="P633" s="7" t="inlineStr">
        <is>
          <t>ACIMA +12.5%</t>
        </is>
      </c>
      <c r="Q633" s="7" t="inlineStr"/>
    </row>
    <row r="634">
      <c r="A634" s="7" t="n">
        <v>590011</v>
      </c>
      <c r="B634" s="7" t="inlineStr"/>
      <c r="C634" s="12" t="inlineStr">
        <is>
          <t>7896000706034</t>
        </is>
      </c>
      <c r="D634" s="7" t="inlineStr">
        <is>
          <t>TINT COR &amp; TON 8.0 LOU CL 50G</t>
        </is>
      </c>
      <c r="E634" s="13" t="n">
        <v>1</v>
      </c>
      <c r="F634" s="13" t="n">
        <v>3</v>
      </c>
      <c r="G634" s="13" t="n">
        <v>3</v>
      </c>
      <c r="H634" s="8" t="n">
        <v>12.87</v>
      </c>
      <c r="I634" s="8">
        <f>G634*H634</f>
        <v/>
      </c>
      <c r="J634" s="8">
        <f>H634/E634</f>
        <v/>
      </c>
      <c r="K634" s="8" t="n">
        <v>11.3</v>
      </c>
      <c r="L634" s="8" t="n">
        <v>10.5</v>
      </c>
      <c r="M634" s="8" t="n">
        <v>11.03333333333333</v>
      </c>
      <c r="N634" s="14">
        <f>J634/M634-1</f>
        <v/>
      </c>
      <c r="O634" s="14">
        <f>J634/K634-1</f>
        <v/>
      </c>
      <c r="P634" s="7" t="inlineStr">
        <is>
          <t>ACIMA +13.9%</t>
        </is>
      </c>
      <c r="Q634" s="7" t="inlineStr"/>
    </row>
    <row r="635">
      <c r="A635" s="7" t="n">
        <v>562981</v>
      </c>
      <c r="B635" s="7" t="inlineStr"/>
      <c r="C635" s="12" t="inlineStr">
        <is>
          <t>7896000705945</t>
        </is>
      </c>
      <c r="D635" s="7" t="inlineStr">
        <is>
          <t>TINT COR &amp;TON 1.0 PRETO AZULADO</t>
        </is>
      </c>
      <c r="E635" s="13" t="n">
        <v>1</v>
      </c>
      <c r="F635" s="13" t="n">
        <v>9</v>
      </c>
      <c r="G635" s="13" t="n">
        <v>9</v>
      </c>
      <c r="H635" s="8" t="n">
        <v>12.87</v>
      </c>
      <c r="I635" s="8">
        <f>G635*H635</f>
        <v/>
      </c>
      <c r="J635" s="8">
        <f>H635/E635</f>
        <v/>
      </c>
      <c r="K635" s="8" t="n">
        <v>12.58</v>
      </c>
      <c r="L635" s="8" t="n">
        <v>9.585000000000001</v>
      </c>
      <c r="M635" s="8" t="n">
        <v>10.72833333333333</v>
      </c>
      <c r="N635" s="14">
        <f>J635/M635-1</f>
        <v/>
      </c>
      <c r="O635" s="14">
        <f>J635/K635-1</f>
        <v/>
      </c>
      <c r="P635" s="7" t="inlineStr">
        <is>
          <t>ACIMA +2.3%</t>
        </is>
      </c>
      <c r="Q635" s="7" t="inlineStr"/>
    </row>
    <row r="636">
      <c r="A636" s="7" t="n">
        <v>563001</v>
      </c>
      <c r="B636" s="7" t="inlineStr"/>
      <c r="C636" s="12" t="inlineStr">
        <is>
          <t>7896000705952</t>
        </is>
      </c>
      <c r="D636" s="7" t="inlineStr">
        <is>
          <t>TINT COR&amp;TON 2.0 PRETO</t>
        </is>
      </c>
      <c r="E636" s="13" t="n">
        <v>1</v>
      </c>
      <c r="F636" s="13" t="n">
        <v>1</v>
      </c>
      <c r="G636" s="13" t="n">
        <v>1</v>
      </c>
      <c r="H636" s="8" t="n">
        <v>12.87</v>
      </c>
      <c r="I636" s="8">
        <f>G636*H636</f>
        <v/>
      </c>
      <c r="J636" s="8">
        <f>H636/E636</f>
        <v/>
      </c>
      <c r="K636" s="8" t="n">
        <v>11.3</v>
      </c>
      <c r="L636" s="8" t="n">
        <v>10.5</v>
      </c>
      <c r="M636" s="8" t="n">
        <v>10.79</v>
      </c>
      <c r="N636" s="14">
        <f>J636/M636-1</f>
        <v/>
      </c>
      <c r="O636" s="14">
        <f>J636/K636-1</f>
        <v/>
      </c>
      <c r="P636" s="7" t="inlineStr">
        <is>
          <t>ACIMA +13.9%</t>
        </is>
      </c>
      <c r="Q636" s="7" t="inlineStr"/>
    </row>
    <row r="637">
      <c r="A637" s="7" t="n">
        <v>563061</v>
      </c>
      <c r="B637" s="7" t="inlineStr"/>
      <c r="C637" s="12" t="inlineStr">
        <is>
          <t>7896000705938</t>
        </is>
      </c>
      <c r="D637" s="7" t="inlineStr">
        <is>
          <t>TINT COR&amp;TON 7.7 MARROM DOURADO</t>
        </is>
      </c>
      <c r="E637" s="13" t="n">
        <v>1</v>
      </c>
      <c r="F637" s="13" t="n">
        <v>2</v>
      </c>
      <c r="G637" s="13" t="n">
        <v>2</v>
      </c>
      <c r="H637" s="8" t="n">
        <v>12.87</v>
      </c>
      <c r="I637" s="8">
        <f>G637*H637</f>
        <v/>
      </c>
      <c r="J637" s="8">
        <f>H637/E637</f>
        <v/>
      </c>
      <c r="K637" s="8" t="n">
        <v>10.99</v>
      </c>
      <c r="L637" s="8" t="n">
        <v>10.5</v>
      </c>
      <c r="M637" s="8" t="n">
        <v>10.5</v>
      </c>
      <c r="N637" s="14">
        <f>J637/M637-1</f>
        <v/>
      </c>
      <c r="O637" s="14">
        <f>J637/K637-1</f>
        <v/>
      </c>
      <c r="P637" s="7" t="inlineStr">
        <is>
          <t>ACIMA +17.1%</t>
        </is>
      </c>
      <c r="Q637" s="7" t="inlineStr"/>
    </row>
    <row r="638">
      <c r="A638" s="7" t="n">
        <v>614501</v>
      </c>
      <c r="B638" s="7" t="inlineStr"/>
      <c r="C638" s="12" t="inlineStr">
        <is>
          <t>7908615062457</t>
        </is>
      </c>
      <c r="D638" s="7" t="inlineStr">
        <is>
          <t>TINT COR&amp;TON S/AMONIA 1.0 PRETO INTENSO</t>
        </is>
      </c>
      <c r="E638" s="13" t="n">
        <v>1</v>
      </c>
      <c r="F638" s="13" t="n">
        <v>2</v>
      </c>
      <c r="G638" s="13" t="n">
        <v>2</v>
      </c>
      <c r="H638" s="8" t="n">
        <v>16.09</v>
      </c>
      <c r="I638" s="8">
        <f>G638*H638</f>
        <v/>
      </c>
      <c r="J638" s="8">
        <f>H638/E638</f>
        <v/>
      </c>
      <c r="K638" s="8" t="n">
        <v>15.73</v>
      </c>
      <c r="L638" s="8" t="n">
        <v>13.39</v>
      </c>
      <c r="M638" s="8" t="n">
        <v>14.17</v>
      </c>
      <c r="N638" s="14">
        <f>J638/M638-1</f>
        <v/>
      </c>
      <c r="O638" s="14">
        <f>J638/K638-1</f>
        <v/>
      </c>
      <c r="P638" s="7" t="inlineStr">
        <is>
          <t>ACIMA +2.3%</t>
        </is>
      </c>
      <c r="Q638" s="7" t="inlineStr"/>
    </row>
    <row r="639">
      <c r="A639" s="7" t="n">
        <v>614521</v>
      </c>
      <c r="B639" s="7" t="inlineStr"/>
      <c r="C639" s="12" t="inlineStr">
        <is>
          <t>7908615062372</t>
        </is>
      </c>
      <c r="D639" s="7" t="inlineStr">
        <is>
          <t>TINT COR&amp;TON S/AMONIA 2.0 PRETO</t>
        </is>
      </c>
      <c r="E639" s="13" t="n">
        <v>1</v>
      </c>
      <c r="F639" s="13" t="n">
        <v>4</v>
      </c>
      <c r="G639" s="13" t="n">
        <v>4</v>
      </c>
      <c r="H639" s="8" t="n">
        <v>16.09</v>
      </c>
      <c r="I639" s="8">
        <f>G639*H639</f>
        <v/>
      </c>
      <c r="J639" s="8">
        <f>H639/E639</f>
        <v/>
      </c>
      <c r="K639" s="8" t="n">
        <v>15.73</v>
      </c>
      <c r="L639" s="8" t="n">
        <v>12.0267</v>
      </c>
      <c r="M639" s="8" t="n">
        <v>14.3489</v>
      </c>
      <c r="N639" s="14">
        <f>J639/M639-1</f>
        <v/>
      </c>
      <c r="O639" s="14">
        <f>J639/K639-1</f>
        <v/>
      </c>
      <c r="P639" s="7" t="inlineStr">
        <is>
          <t>ACIMA +2.3%</t>
        </is>
      </c>
      <c r="Q639" s="7" t="inlineStr"/>
    </row>
    <row r="640">
      <c r="A640" s="7" t="n">
        <v>614551</v>
      </c>
      <c r="B640" s="7" t="inlineStr"/>
      <c r="C640" s="12" t="inlineStr">
        <is>
          <t>7908615062433</t>
        </is>
      </c>
      <c r="D640" s="7" t="inlineStr">
        <is>
          <t>TINT COR&amp;TON S/AMONIA 5.0 CASTANHO CLAR</t>
        </is>
      </c>
      <c r="E640" s="13" t="n">
        <v>1</v>
      </c>
      <c r="F640" s="13" t="n">
        <v>9</v>
      </c>
      <c r="G640" s="13" t="n">
        <v>9</v>
      </c>
      <c r="H640" s="8" t="n">
        <v>16.09</v>
      </c>
      <c r="I640" s="8">
        <f>G640*H640</f>
        <v/>
      </c>
      <c r="J640" s="8">
        <f>H640/E640</f>
        <v/>
      </c>
      <c r="K640" s="8" t="n">
        <v>15.73</v>
      </c>
      <c r="L640" s="8" t="n">
        <v>13.99</v>
      </c>
      <c r="M640" s="8" t="n">
        <v>14.64333333333333</v>
      </c>
      <c r="N640" s="14">
        <f>J640/M640-1</f>
        <v/>
      </c>
      <c r="O640" s="14">
        <f>J640/K640-1</f>
        <v/>
      </c>
      <c r="P640" s="7" t="inlineStr">
        <is>
          <t>ACIMA +2.3%</t>
        </is>
      </c>
      <c r="Q640" s="7" t="inlineStr">
        <is>
          <t>estoque parcial (5 un)</t>
        </is>
      </c>
    </row>
    <row r="641">
      <c r="A641" s="7" t="n">
        <v>672291</v>
      </c>
      <c r="B641" s="7" t="inlineStr"/>
      <c r="C641" s="12" t="inlineStr">
        <is>
          <t>7896014140527</t>
        </is>
      </c>
      <c r="D641" s="7" t="inlineStr">
        <is>
          <t>TINT IMEDIA EXC LOURO ESCURO 6-DEMAIS PROD</t>
        </is>
      </c>
      <c r="E641" s="13" t="n">
        <v>1</v>
      </c>
      <c r="F641" s="13" t="n">
        <v>1</v>
      </c>
      <c r="G641" s="13" t="n">
        <v>1</v>
      </c>
      <c r="H641" s="8" t="n">
        <v>27.3</v>
      </c>
      <c r="I641" s="8">
        <f>G641*H641</f>
        <v/>
      </c>
      <c r="J641" s="8">
        <f>H641/E641</f>
        <v/>
      </c>
      <c r="K641" s="8" t="n">
        <v>24.27</v>
      </c>
      <c r="L641" s="8" t="n">
        <v>24.27</v>
      </c>
      <c r="M641" s="8" t="n">
        <v>24.27</v>
      </c>
      <c r="N641" s="14">
        <f>J641/M641-1</f>
        <v/>
      </c>
      <c r="O641" s="14">
        <f>J641/K641-1</f>
        <v/>
      </c>
      <c r="P641" s="7" t="inlineStr">
        <is>
          <t>ACIMA +12.5%</t>
        </is>
      </c>
      <c r="Q641" s="7" t="inlineStr"/>
    </row>
    <row r="642">
      <c r="A642" s="7" t="n">
        <v>534301</v>
      </c>
      <c r="B642" s="7" t="inlineStr"/>
      <c r="C642" s="12" t="inlineStr">
        <is>
          <t>7896014125265</t>
        </is>
      </c>
      <c r="D642" s="7" t="inlineStr">
        <is>
          <t>TINT. NUTRISSE 30 GRAFITE</t>
        </is>
      </c>
      <c r="E642" s="13" t="n">
        <v>1</v>
      </c>
      <c r="F642" s="13" t="n">
        <v>1</v>
      </c>
      <c r="G642" s="13" t="n">
        <v>1</v>
      </c>
      <c r="H642" s="8" t="n">
        <v>19.68</v>
      </c>
      <c r="I642" s="8">
        <f>G642*H642</f>
        <v/>
      </c>
      <c r="J642" s="8">
        <f>H642/E642</f>
        <v/>
      </c>
      <c r="K642" s="8" t="n">
        <v>17.14</v>
      </c>
      <c r="L642" s="8" t="n">
        <v>17.14</v>
      </c>
      <c r="M642" s="8" t="n">
        <v>17.14</v>
      </c>
      <c r="N642" s="14">
        <f>J642/M642-1</f>
        <v/>
      </c>
      <c r="O642" s="14">
        <f>J642/K642-1</f>
        <v/>
      </c>
      <c r="P642" s="7" t="inlineStr">
        <is>
          <t>ACIMA +14.8%</t>
        </is>
      </c>
      <c r="Q642" s="7" t="inlineStr"/>
    </row>
    <row r="643">
      <c r="A643" s="7" t="n">
        <v>563021</v>
      </c>
      <c r="B643" s="7" t="inlineStr"/>
      <c r="C643" s="12" t="inlineStr">
        <is>
          <t>7896000706072</t>
        </is>
      </c>
      <c r="D643" s="7" t="inlineStr">
        <is>
          <t>TINT.COR&amp;TON 8.1 LOURO CINZA CLARO</t>
        </is>
      </c>
      <c r="E643" s="13" t="n">
        <v>1</v>
      </c>
      <c r="F643" s="13" t="n">
        <v>1</v>
      </c>
      <c r="G643" s="13" t="n">
        <v>1</v>
      </c>
      <c r="H643" s="8" t="n">
        <v>12.87</v>
      </c>
      <c r="I643" s="8">
        <f>G643*H643</f>
        <v/>
      </c>
      <c r="J643" s="8">
        <f>H643/E643</f>
        <v/>
      </c>
      <c r="K643" s="8" t="n">
        <v>12.09</v>
      </c>
      <c r="L643" s="8" t="n">
        <v>9.82</v>
      </c>
      <c r="M643" s="8" t="n">
        <v>11.33333333333333</v>
      </c>
      <c r="N643" s="14">
        <f>J643/M643-1</f>
        <v/>
      </c>
      <c r="O643" s="14">
        <f>J643/K643-1</f>
        <v/>
      </c>
      <c r="P643" s="7" t="inlineStr">
        <is>
          <t>ACIMA +6.5%</t>
        </is>
      </c>
      <c r="Q643" s="7" t="inlineStr"/>
    </row>
    <row r="644">
      <c r="A644" s="7" t="n">
        <v>534361</v>
      </c>
      <c r="B644" s="7" t="inlineStr"/>
      <c r="C644" s="12" t="inlineStr">
        <is>
          <t>7896014125241</t>
        </is>
      </c>
      <c r="D644" s="7" t="inlineStr">
        <is>
          <t>TINT.NUTRISSE 10 PRETO ONIX</t>
        </is>
      </c>
      <c r="E644" s="13" t="n">
        <v>1</v>
      </c>
      <c r="F644" s="13" t="n">
        <v>2</v>
      </c>
      <c r="G644" s="13" t="n">
        <v>2</v>
      </c>
      <c r="H644" s="8" t="n">
        <v>19.68</v>
      </c>
      <c r="I644" s="8">
        <f>G644*H644</f>
        <v/>
      </c>
      <c r="J644" s="8">
        <f>H644/E644</f>
        <v/>
      </c>
      <c r="K644" s="8" t="n">
        <v>17.14</v>
      </c>
      <c r="L644" s="8" t="n">
        <v>17.14</v>
      </c>
      <c r="M644" s="8" t="n">
        <v>17.14</v>
      </c>
      <c r="N644" s="14">
        <f>J644/M644-1</f>
        <v/>
      </c>
      <c r="O644" s="14">
        <f>J644/K644-1</f>
        <v/>
      </c>
      <c r="P644" s="7" t="inlineStr">
        <is>
          <t>ACIMA +14.8%</t>
        </is>
      </c>
      <c r="Q644" s="7" t="inlineStr"/>
    </row>
    <row r="645">
      <c r="A645" s="7" t="n">
        <v>535061</v>
      </c>
      <c r="B645" s="7" t="inlineStr"/>
      <c r="C645" s="12" t="inlineStr">
        <is>
          <t>7896000706041</t>
        </is>
      </c>
      <c r="D645" s="7" t="inlineStr">
        <is>
          <t>TINTURA PERMANENTE CORTON 50G 9.0 LOURO CLARISSIMO UNIT</t>
        </is>
      </c>
      <c r="E645" s="13" t="n">
        <v>1</v>
      </c>
      <c r="F645" s="13" t="n">
        <v>1</v>
      </c>
      <c r="G645" s="13" t="n">
        <v>1</v>
      </c>
      <c r="H645" s="8" t="n">
        <v>12.87</v>
      </c>
      <c r="I645" s="8">
        <f>G645*H645</f>
        <v/>
      </c>
      <c r="J645" s="8">
        <f>H645/E645</f>
        <v/>
      </c>
      <c r="K645" s="8" t="n">
        <v>10.5</v>
      </c>
      <c r="L645" s="8" t="n">
        <v>10.5</v>
      </c>
      <c r="M645" s="8" t="n">
        <v>10.5</v>
      </c>
      <c r="N645" s="14">
        <f>J645/M645-1</f>
        <v/>
      </c>
      <c r="O645" s="14">
        <f>J645/K645-1</f>
        <v/>
      </c>
      <c r="P645" s="7" t="inlineStr">
        <is>
          <t>ACIMA +22.6%</t>
        </is>
      </c>
      <c r="Q645" s="7" t="inlineStr"/>
    </row>
    <row r="646">
      <c r="A646" s="7" t="n">
        <v>983</v>
      </c>
      <c r="B646" s="7" t="inlineStr"/>
      <c r="C646" s="12" t="inlineStr">
        <is>
          <t>7898636191581</t>
        </is>
      </c>
      <c r="D646" s="7" t="inlineStr">
        <is>
          <t>TIO NACHO SH+CON ENGROS 415ML</t>
        </is>
      </c>
      <c r="E646" s="13" t="n">
        <v>1</v>
      </c>
      <c r="F646" s="13" t="n">
        <v>1</v>
      </c>
      <c r="G646" s="13" t="n">
        <v>1</v>
      </c>
      <c r="H646" s="8" t="n">
        <v>48.66</v>
      </c>
      <c r="I646" s="8">
        <f>G646*H646</f>
        <v/>
      </c>
      <c r="J646" s="8">
        <f>H646/E646</f>
        <v/>
      </c>
      <c r="K646" s="8" t="n">
        <v>44.6</v>
      </c>
      <c r="L646" s="8" t="n">
        <v>44.6</v>
      </c>
      <c r="M646" s="8" t="n">
        <v>44.6</v>
      </c>
      <c r="N646" s="14">
        <f>J646/M646-1</f>
        <v/>
      </c>
      <c r="O646" s="14">
        <f>J646/K646-1</f>
        <v/>
      </c>
      <c r="P646" s="7" t="inlineStr">
        <is>
          <t>ACIMA +9.1%</t>
        </is>
      </c>
      <c r="Q646" s="7" t="inlineStr"/>
    </row>
    <row r="647">
      <c r="A647" s="7" t="n">
        <v>602221</v>
      </c>
      <c r="B647" s="7" t="inlineStr"/>
      <c r="C647" s="12" t="inlineStr">
        <is>
          <t>7896018703636</t>
        </is>
      </c>
      <c r="D647" s="7" t="inlineStr">
        <is>
          <t>TOALHA UMD HUGGIES ONE&amp;DONE C/48</t>
        </is>
      </c>
      <c r="E647" s="13" t="n">
        <v>1</v>
      </c>
      <c r="F647" s="13" t="n">
        <v>8</v>
      </c>
      <c r="G647" s="13" t="n">
        <v>8</v>
      </c>
      <c r="H647" s="8" t="n">
        <v>12.19</v>
      </c>
      <c r="I647" s="8">
        <f>G647*H647</f>
        <v/>
      </c>
      <c r="J647" s="8">
        <f>H647/E647</f>
        <v/>
      </c>
      <c r="K647" s="8" t="n">
        <v>6.93</v>
      </c>
      <c r="L647" s="8" t="n">
        <v>6.93</v>
      </c>
      <c r="M647" s="8" t="n">
        <v>6.93</v>
      </c>
      <c r="N647" s="14">
        <f>J647/M647-1</f>
        <v/>
      </c>
      <c r="O647" s="14">
        <f>J647/K647-1</f>
        <v/>
      </c>
      <c r="P647" s="7" t="inlineStr">
        <is>
          <t>ACIMA +75.9%</t>
        </is>
      </c>
      <c r="Q647" s="7" t="inlineStr"/>
    </row>
    <row r="648">
      <c r="A648" s="7" t="n">
        <v>674401</v>
      </c>
      <c r="B648" s="7" t="inlineStr"/>
      <c r="C648" s="12" t="inlineStr">
        <is>
          <t>7898966448409</t>
        </is>
      </c>
      <c r="D648" s="7" t="inlineStr">
        <is>
          <t>TOALHA UMED BEBE LIMP PREM X 140 CX 24</t>
        </is>
      </c>
      <c r="E648" s="13" t="n">
        <v>1</v>
      </c>
      <c r="F648" s="13" t="n">
        <v>8</v>
      </c>
      <c r="G648" s="13" t="n">
        <v>8</v>
      </c>
      <c r="H648" s="8" t="n">
        <v>13.3</v>
      </c>
      <c r="I648" s="8">
        <f>G648*H648</f>
        <v/>
      </c>
      <c r="J648" s="8">
        <f>H648/E648</f>
        <v/>
      </c>
      <c r="K648" s="8" t="n">
        <v>6.52</v>
      </c>
      <c r="L648" s="8" t="n">
        <v>6.52</v>
      </c>
      <c r="M648" s="8" t="n">
        <v>6.52</v>
      </c>
      <c r="N648" s="14">
        <f>J648/M648-1</f>
        <v/>
      </c>
      <c r="O648" s="14">
        <f>J648/K648-1</f>
        <v/>
      </c>
      <c r="P648" s="7" t="inlineStr">
        <is>
          <t>ACIMA +104.0%</t>
        </is>
      </c>
      <c r="Q648" s="7" t="inlineStr">
        <is>
          <t>conferir emb.</t>
        </is>
      </c>
    </row>
    <row r="649">
      <c r="A649" s="7" t="n">
        <v>552081</v>
      </c>
      <c r="B649" s="7" t="inlineStr"/>
      <c r="C649" s="12" t="inlineStr">
        <is>
          <t>7896018700604</t>
        </is>
      </c>
      <c r="D649" s="7" t="inlineStr">
        <is>
          <t>TOALHA UMEDECIDA DISNEY BABY HUGGIES SUPREME CARE PACOTE 48 UNIDADES</t>
        </is>
      </c>
      <c r="E649" s="13" t="n">
        <v>1</v>
      </c>
      <c r="F649" s="13" t="n">
        <v>3</v>
      </c>
      <c r="G649" s="13" t="n">
        <v>3</v>
      </c>
      <c r="H649" s="8" t="n">
        <v>14.87</v>
      </c>
      <c r="I649" s="8">
        <f>G649*H649</f>
        <v/>
      </c>
      <c r="J649" s="8">
        <f>H649/E649</f>
        <v/>
      </c>
      <c r="K649" s="8" t="n">
        <v>9.011200000000001</v>
      </c>
      <c r="L649" s="8" t="n">
        <v>9.011200000000001</v>
      </c>
      <c r="M649" s="8" t="n">
        <v>9.011200000000001</v>
      </c>
      <c r="N649" s="14">
        <f>J649/M649-1</f>
        <v/>
      </c>
      <c r="O649" s="14">
        <f>J649/K649-1</f>
        <v/>
      </c>
      <c r="P649" s="7" t="inlineStr">
        <is>
          <t>ACIMA +65.0%</t>
        </is>
      </c>
      <c r="Q649" s="7" t="inlineStr"/>
    </row>
    <row r="650">
      <c r="A650" s="7" t="n">
        <v>610651</v>
      </c>
      <c r="B650" s="7" t="inlineStr"/>
      <c r="C650" s="12" t="inlineStr">
        <is>
          <t>7908032300866</t>
        </is>
      </c>
      <c r="D650" s="7" t="inlineStr">
        <is>
          <t>TOALHAS UMED PIQUITUCHO PRATIC C/48UND</t>
        </is>
      </c>
      <c r="E650" s="13" t="n">
        <v>1</v>
      </c>
      <c r="F650" s="13" t="n">
        <v>9</v>
      </c>
      <c r="G650" s="13" t="n">
        <v>9</v>
      </c>
      <c r="H650" s="8" t="n">
        <v>4.0255</v>
      </c>
      <c r="I650" s="8">
        <f>G650*H650</f>
        <v/>
      </c>
      <c r="J650" s="8">
        <f>H650/E650</f>
        <v/>
      </c>
      <c r="K650" s="8" t="n">
        <v>6.03</v>
      </c>
      <c r="L650" s="8" t="n">
        <v>6.03</v>
      </c>
      <c r="M650" s="8" t="n">
        <v>6.03</v>
      </c>
      <c r="N650" s="14">
        <f>J650/M650-1</f>
        <v/>
      </c>
      <c r="O650" s="14">
        <f>J650/K650-1</f>
        <v/>
      </c>
      <c r="P650" s="7" t="inlineStr">
        <is>
          <t>OK (≤ menor hist.)</t>
        </is>
      </c>
      <c r="Q650" s="7" t="inlineStr"/>
    </row>
    <row r="651">
      <c r="A651" s="7" t="n">
        <v>558541</v>
      </c>
      <c r="B651" s="7" t="inlineStr"/>
      <c r="C651" s="12" t="inlineStr">
        <is>
          <t>7891317015985</t>
        </is>
      </c>
      <c r="D651" s="7" t="inlineStr">
        <is>
          <t>TORANTE 15MG/ML XPE FR 100ML+COP</t>
        </is>
      </c>
      <c r="E651" s="13" t="n">
        <v>1</v>
      </c>
      <c r="F651" s="13" t="n">
        <v>1</v>
      </c>
      <c r="G651" s="13" t="n">
        <v>1</v>
      </c>
      <c r="H651" s="8" t="n">
        <v>51.2246</v>
      </c>
      <c r="I651" s="8">
        <f>G651*H651</f>
        <v/>
      </c>
      <c r="J651" s="8">
        <f>H651/E651</f>
        <v/>
      </c>
      <c r="K651" s="8" t="n">
        <v>50.52</v>
      </c>
      <c r="L651" s="8" t="n">
        <v>44.8</v>
      </c>
      <c r="M651" s="8" t="n">
        <v>47.88776666666666</v>
      </c>
      <c r="N651" s="14">
        <f>J651/M651-1</f>
        <v/>
      </c>
      <c r="O651" s="14">
        <f>J651/K651-1</f>
        <v/>
      </c>
      <c r="P651" s="7" t="inlineStr">
        <is>
          <t>ACIMA +1.4%</t>
        </is>
      </c>
      <c r="Q651" s="7" t="inlineStr"/>
    </row>
    <row r="652">
      <c r="A652" s="7" t="n">
        <v>446421</v>
      </c>
      <c r="B652" s="7" t="inlineStr"/>
      <c r="C652" s="12" t="inlineStr">
        <is>
          <t>7898906376403</t>
        </is>
      </c>
      <c r="D652" s="7" t="inlineStr">
        <is>
          <t>TRIFAMOX 875+125MG CX 14 COMP REV</t>
        </is>
      </c>
      <c r="E652" s="13" t="n">
        <v>1</v>
      </c>
      <c r="F652" s="13" t="n">
        <v>1</v>
      </c>
      <c r="G652" s="13" t="n">
        <v>1</v>
      </c>
      <c r="H652" s="8" t="n">
        <v>127.3</v>
      </c>
      <c r="I652" s="8">
        <f>G652*H652</f>
        <v/>
      </c>
      <c r="J652" s="8">
        <f>H652/E652</f>
        <v/>
      </c>
      <c r="K652" s="8" t="n">
        <v>104.805</v>
      </c>
      <c r="L652" s="8" t="n">
        <v>104.805</v>
      </c>
      <c r="M652" s="8" t="n">
        <v>104.805</v>
      </c>
      <c r="N652" s="14">
        <f>J652/M652-1</f>
        <v/>
      </c>
      <c r="O652" s="14">
        <f>J652/K652-1</f>
        <v/>
      </c>
      <c r="P652" s="7" t="inlineStr">
        <is>
          <t>ACIMA +21.5%</t>
        </is>
      </c>
      <c r="Q652" s="7" t="inlineStr"/>
    </row>
    <row r="653">
      <c r="A653" s="7" t="n">
        <v>395721</v>
      </c>
      <c r="B653" s="7" t="inlineStr"/>
      <c r="C653" s="12" t="inlineStr">
        <is>
          <t>7891010255947</t>
        </is>
      </c>
      <c r="D653" s="7" t="inlineStr">
        <is>
          <t>TYLENOL 200MG SOL OR FR GTS 15ML</t>
        </is>
      </c>
      <c r="E653" s="13" t="n">
        <v>1</v>
      </c>
      <c r="F653" s="13" t="n">
        <v>1</v>
      </c>
      <c r="G653" s="13" t="n">
        <v>1</v>
      </c>
      <c r="H653" s="8" t="n">
        <v>36.49</v>
      </c>
      <c r="I653" s="8">
        <f>G653*H653</f>
        <v/>
      </c>
      <c r="J653" s="8">
        <f>H653/E653</f>
        <v/>
      </c>
      <c r="K653" s="8" t="n">
        <v>35.85</v>
      </c>
      <c r="L653" s="8" t="n">
        <v>29.67</v>
      </c>
      <c r="M653" s="8" t="n">
        <v>31.73</v>
      </c>
      <c r="N653" s="14">
        <f>J653/M653-1</f>
        <v/>
      </c>
      <c r="O653" s="14">
        <f>J653/K653-1</f>
        <v/>
      </c>
      <c r="P653" s="7" t="inlineStr">
        <is>
          <t>ACIMA +1.8%</t>
        </is>
      </c>
      <c r="Q653" s="7" t="inlineStr"/>
    </row>
    <row r="654">
      <c r="A654" s="7" t="n">
        <v>395781</v>
      </c>
      <c r="B654" s="7" t="inlineStr"/>
      <c r="C654" s="12" t="inlineStr">
        <is>
          <t>7891010986155</t>
        </is>
      </c>
      <c r="D654" s="7" t="inlineStr">
        <is>
          <t>TYLENOL 500MG CX 20 COMP REV</t>
        </is>
      </c>
      <c r="E654" s="13" t="n">
        <v>1</v>
      </c>
      <c r="F654" s="13" t="n">
        <v>4</v>
      </c>
      <c r="G654" s="13" t="n">
        <v>4</v>
      </c>
      <c r="H654" s="8" t="n">
        <v>30.69</v>
      </c>
      <c r="I654" s="8">
        <f>G654*H654</f>
        <v/>
      </c>
      <c r="J654" s="8">
        <f>H654/E654</f>
        <v/>
      </c>
      <c r="K654" s="8" t="n">
        <v>27.43</v>
      </c>
      <c r="L654" s="8" t="n">
        <v>27.43</v>
      </c>
      <c r="M654" s="8" t="n">
        <v>27.43</v>
      </c>
      <c r="N654" s="14">
        <f>J654/M654-1</f>
        <v/>
      </c>
      <c r="O654" s="14">
        <f>J654/K654-1</f>
        <v/>
      </c>
      <c r="P654" s="7" t="inlineStr">
        <is>
          <t>ACIMA +11.9%</t>
        </is>
      </c>
      <c r="Q654" s="7" t="inlineStr"/>
    </row>
    <row r="655">
      <c r="A655" s="7" t="n">
        <v>395741</v>
      </c>
      <c r="B655" s="7" t="inlineStr"/>
      <c r="C655" s="12" t="inlineStr">
        <is>
          <t>7891010255909</t>
        </is>
      </c>
      <c r="D655" s="7" t="inlineStr">
        <is>
          <t>TYLENOL BEBE 100MG SUS OR FR GTS 15ML+SER DOS</t>
        </is>
      </c>
      <c r="E655" s="13" t="n">
        <v>1</v>
      </c>
      <c r="F655" s="13" t="n">
        <v>1</v>
      </c>
      <c r="G655" s="13" t="n">
        <v>1</v>
      </c>
      <c r="H655" s="8" t="n">
        <v>49.56</v>
      </c>
      <c r="I655" s="8">
        <f>G655*H655</f>
        <v/>
      </c>
      <c r="J655" s="8">
        <f>H655/E655</f>
        <v/>
      </c>
      <c r="K655" s="8" t="n">
        <v>39.48</v>
      </c>
      <c r="L655" s="8" t="n">
        <v>39.16</v>
      </c>
      <c r="M655" s="8" t="n">
        <v>39.37333333333333</v>
      </c>
      <c r="N655" s="14">
        <f>J655/M655-1</f>
        <v/>
      </c>
      <c r="O655" s="14">
        <f>J655/K655-1</f>
        <v/>
      </c>
      <c r="P655" s="7" t="inlineStr">
        <is>
          <t>ACIMA +25.5%</t>
        </is>
      </c>
      <c r="Q655" s="7" t="inlineStr"/>
    </row>
    <row r="656">
      <c r="A656" s="7" t="n">
        <v>413281</v>
      </c>
      <c r="B656" s="7" t="inlineStr"/>
      <c r="C656" s="12" t="inlineStr">
        <is>
          <t>7898948648131</t>
        </is>
      </c>
      <c r="D656" s="7" t="inlineStr">
        <is>
          <t>UTROGESTAN 100MG CX 30 CAP</t>
        </is>
      </c>
      <c r="E656" s="13" t="n">
        <v>1</v>
      </c>
      <c r="F656" s="13" t="n">
        <v>1</v>
      </c>
      <c r="G656" s="13" t="n">
        <v>1</v>
      </c>
      <c r="H656" s="8" t="n">
        <v>63.12</v>
      </c>
      <c r="I656" s="8">
        <f>G656*H656</f>
        <v/>
      </c>
      <c r="J656" s="8">
        <f>H656/E656</f>
        <v/>
      </c>
      <c r="K656" s="8" t="n">
        <v>64.64</v>
      </c>
      <c r="L656" s="8" t="n">
        <v>56.81</v>
      </c>
      <c r="M656" s="8" t="n">
        <v>60.25943333333333</v>
      </c>
      <c r="N656" s="14">
        <f>J656/M656-1</f>
        <v/>
      </c>
      <c r="O656" s="14">
        <f>J656/K656-1</f>
        <v/>
      </c>
      <c r="P656" s="7" t="inlineStr">
        <is>
          <t>OK (≤ últ. compra)</t>
        </is>
      </c>
      <c r="Q656" s="7" t="inlineStr"/>
    </row>
    <row r="657">
      <c r="A657" s="7" t="n">
        <v>413241</v>
      </c>
      <c r="B657" s="7" t="inlineStr"/>
      <c r="C657" s="12" t="inlineStr">
        <is>
          <t>7898948648148</t>
        </is>
      </c>
      <c r="D657" s="7" t="inlineStr">
        <is>
          <t>UTROGESTAN 200MG CX 14 CAP</t>
        </is>
      </c>
      <c r="E657" s="13" t="n">
        <v>1</v>
      </c>
      <c r="F657" s="13" t="n">
        <v>3</v>
      </c>
      <c r="G657" s="13" t="n">
        <v>3</v>
      </c>
      <c r="H657" s="8" t="n">
        <v>58.95</v>
      </c>
      <c r="I657" s="8">
        <f>G657*H657</f>
        <v/>
      </c>
      <c r="J657" s="8">
        <f>H657/E657</f>
        <v/>
      </c>
      <c r="K657" s="8" t="n">
        <v>60.36</v>
      </c>
      <c r="L657" s="8" t="n">
        <v>53.0533</v>
      </c>
      <c r="M657" s="8" t="n">
        <v>56.27553333333334</v>
      </c>
      <c r="N657" s="14">
        <f>J657/M657-1</f>
        <v/>
      </c>
      <c r="O657" s="14">
        <f>J657/K657-1</f>
        <v/>
      </c>
      <c r="P657" s="7" t="inlineStr">
        <is>
          <t>OK (≤ últ. compra)</t>
        </is>
      </c>
      <c r="Q657" s="7" t="inlineStr"/>
    </row>
    <row r="658">
      <c r="A658" s="7" t="n">
        <v>319341</v>
      </c>
      <c r="B658" s="7" t="inlineStr"/>
      <c r="C658" s="12" t="inlineStr">
        <is>
          <t>7891045008433</t>
        </is>
      </c>
      <c r="D658" s="7" t="inlineStr">
        <is>
          <t>V - NORDETTE 0,15+0,03MG CX 21 DRG</t>
        </is>
      </c>
      <c r="E658" s="13" t="n">
        <v>1</v>
      </c>
      <c r="F658" s="13" t="n">
        <v>4</v>
      </c>
      <c r="G658" s="13" t="n">
        <v>4</v>
      </c>
      <c r="H658" s="8" t="n">
        <v>9.927499999999998</v>
      </c>
      <c r="I658" s="8">
        <f>G658*H658</f>
        <v/>
      </c>
      <c r="J658" s="8">
        <f>H658/E658</f>
        <v/>
      </c>
      <c r="K658" s="8" t="n">
        <v>10.31</v>
      </c>
      <c r="L658" s="8" t="n">
        <v>9.265000000000001</v>
      </c>
      <c r="M658" s="8" t="n">
        <v>9.831666666666667</v>
      </c>
      <c r="N658" s="14">
        <f>J658/M658-1</f>
        <v/>
      </c>
      <c r="O658" s="14">
        <f>J658/K658-1</f>
        <v/>
      </c>
      <c r="P658" s="7" t="inlineStr">
        <is>
          <t>OK (≤ últ. compra)</t>
        </is>
      </c>
      <c r="Q658" s="7" t="inlineStr"/>
    </row>
    <row r="659">
      <c r="A659" s="7" t="n">
        <v>654331</v>
      </c>
      <c r="B659" s="7" t="inlineStr"/>
      <c r="C659" s="12" t="inlineStr">
        <is>
          <t>7891653014260</t>
        </is>
      </c>
      <c r="D659" s="7" t="inlineStr">
        <is>
          <t>VAGISIL DEO INTIMO JASMIN BRANCO 75ML</t>
        </is>
      </c>
      <c r="E659" s="13" t="n">
        <v>1</v>
      </c>
      <c r="F659" s="13" t="n">
        <v>1</v>
      </c>
      <c r="G659" s="13" t="n">
        <v>1</v>
      </c>
      <c r="H659" s="8" t="n">
        <v>25.77</v>
      </c>
      <c r="I659" s="8">
        <f>G659*H659</f>
        <v/>
      </c>
      <c r="J659" s="8">
        <f>H659/E659</f>
        <v/>
      </c>
      <c r="K659" s="8" t="n">
        <v>24.47</v>
      </c>
      <c r="L659" s="8" t="n">
        <v>24.47</v>
      </c>
      <c r="M659" s="8" t="n">
        <v>24.47</v>
      </c>
      <c r="N659" s="14">
        <f>J659/M659-1</f>
        <v/>
      </c>
      <c r="O659" s="14">
        <f>J659/K659-1</f>
        <v/>
      </c>
      <c r="P659" s="7" t="inlineStr">
        <is>
          <t>ACIMA +5.3%</t>
        </is>
      </c>
      <c r="Q659" s="7" t="inlineStr"/>
    </row>
    <row r="660">
      <c r="A660" s="7" t="n">
        <v>662301</v>
      </c>
      <c r="B660" s="7" t="inlineStr"/>
      <c r="C660" s="12" t="inlineStr">
        <is>
          <t>7891653014031</t>
        </is>
      </c>
      <c r="D660" s="7" t="inlineStr">
        <is>
          <t>VAGISIL DEO INTIMO ODOR BLOCK 60ML</t>
        </is>
      </c>
      <c r="E660" s="13" t="n">
        <v>1</v>
      </c>
      <c r="F660" s="13" t="n">
        <v>1</v>
      </c>
      <c r="G660" s="13" t="n">
        <v>1</v>
      </c>
      <c r="H660" s="8" t="n">
        <v>22.43</v>
      </c>
      <c r="I660" s="8">
        <f>G660*H660</f>
        <v/>
      </c>
      <c r="J660" s="8">
        <f>H660/E660</f>
        <v/>
      </c>
      <c r="K660" s="8" t="n">
        <v>22.43</v>
      </c>
      <c r="L660" s="8" t="n">
        <v>22.42</v>
      </c>
      <c r="M660" s="8" t="n">
        <v>22.42666666666667</v>
      </c>
      <c r="N660" s="14">
        <f>J660/M660-1</f>
        <v/>
      </c>
      <c r="O660" s="14">
        <f>J660/K660-1</f>
        <v/>
      </c>
      <c r="P660" s="7" t="inlineStr">
        <is>
          <t>OK (≤ últ. compra)</t>
        </is>
      </c>
      <c r="Q660" s="7" t="inlineStr"/>
    </row>
    <row r="661">
      <c r="A661" s="7" t="n">
        <v>654311</v>
      </c>
      <c r="B661" s="7" t="inlineStr"/>
      <c r="C661" s="12" t="inlineStr">
        <is>
          <t>7891653040078</t>
        </is>
      </c>
      <c r="D661" s="7" t="inlineStr">
        <is>
          <t>VAGISIL SAB INTIMO URIN PROTECT 300ML</t>
        </is>
      </c>
      <c r="E661" s="13" t="n">
        <v>1</v>
      </c>
      <c r="F661" s="13" t="n">
        <v>4</v>
      </c>
      <c r="G661" s="13" t="n">
        <v>4</v>
      </c>
      <c r="H661" s="8" t="n">
        <v>21.67</v>
      </c>
      <c r="I661" s="8">
        <f>G661*H661</f>
        <v/>
      </c>
      <c r="J661" s="8">
        <f>H661/E661</f>
        <v/>
      </c>
      <c r="K661" s="8" t="n">
        <v>21.68</v>
      </c>
      <c r="L661" s="8" t="n">
        <v>17.95</v>
      </c>
      <c r="M661" s="8" t="n">
        <v>20.43666666666667</v>
      </c>
      <c r="N661" s="14">
        <f>J661/M661-1</f>
        <v/>
      </c>
      <c r="O661" s="14">
        <f>J661/K661-1</f>
        <v/>
      </c>
      <c r="P661" s="7" t="inlineStr">
        <is>
          <t>OK (≤ últ. compra)</t>
        </is>
      </c>
      <c r="Q661" s="7" t="inlineStr">
        <is>
          <t>estoque parcial (1 un)</t>
        </is>
      </c>
    </row>
    <row r="662">
      <c r="A662" s="7" t="n">
        <v>543061</v>
      </c>
      <c r="B662" s="7" t="inlineStr"/>
      <c r="C662" s="12" t="inlineStr">
        <is>
          <t>000001355406</t>
        </is>
      </c>
      <c r="D662" s="7" t="inlineStr">
        <is>
          <t>VALDA FRIENDS PASTILHA SACHE 25G</t>
        </is>
      </c>
      <c r="E662" s="13" t="n">
        <v>10</v>
      </c>
      <c r="F662" s="13" t="n">
        <v>1</v>
      </c>
      <c r="G662" s="13" t="n">
        <v>1</v>
      </c>
      <c r="H662" s="8" t="n">
        <v>53.6844</v>
      </c>
      <c r="I662" s="8">
        <f>G662*H662</f>
        <v/>
      </c>
      <c r="J662" s="8">
        <f>H662/E662</f>
        <v/>
      </c>
      <c r="K662" s="8" t="n">
        <v>5.734</v>
      </c>
      <c r="L662" s="8" t="n">
        <v>5.734</v>
      </c>
      <c r="M662" s="8" t="n">
        <v>5.733999999999999</v>
      </c>
      <c r="N662" s="14">
        <f>J662/M662-1</f>
        <v/>
      </c>
      <c r="O662" s="14">
        <f>J662/K662-1</f>
        <v/>
      </c>
      <c r="P662" s="7" t="inlineStr">
        <is>
          <t>OK (≤ menor hist.)</t>
        </is>
      </c>
      <c r="Q662" s="7" t="inlineStr">
        <is>
          <t>1 emb = 10 un</t>
        </is>
      </c>
    </row>
    <row r="663">
      <c r="A663" s="7" t="n">
        <v>619911</v>
      </c>
      <c r="B663" s="7" t="inlineStr"/>
      <c r="C663" s="12" t="inlineStr">
        <is>
          <t>7896902214828</t>
        </is>
      </c>
      <c r="D663" s="7" t="inlineStr">
        <is>
          <t>VASELINA LIQUIDA 100ML (VASEMAX)</t>
        </is>
      </c>
      <c r="E663" s="13" t="n">
        <v>1</v>
      </c>
      <c r="F663" s="13" t="n">
        <v>1</v>
      </c>
      <c r="G663" s="13" t="n">
        <v>1</v>
      </c>
      <c r="H663" s="8" t="n">
        <v>5.38</v>
      </c>
      <c r="I663" s="8">
        <f>G663*H663</f>
        <v/>
      </c>
      <c r="J663" s="8">
        <f>H663/E663</f>
        <v/>
      </c>
      <c r="K663" s="8" t="n">
        <v>4.36</v>
      </c>
      <c r="L663" s="8" t="n">
        <v>4.36</v>
      </c>
      <c r="M663" s="8" t="n">
        <v>4.36</v>
      </c>
      <c r="N663" s="14">
        <f>J663/M663-1</f>
        <v/>
      </c>
      <c r="O663" s="14">
        <f>J663/K663-1</f>
        <v/>
      </c>
      <c r="P663" s="7" t="inlineStr">
        <is>
          <t>ACIMA +23.4%</t>
        </is>
      </c>
      <c r="Q663" s="7" t="inlineStr"/>
    </row>
    <row r="664">
      <c r="A664" s="7" t="n">
        <v>621491</v>
      </c>
      <c r="B664" s="7" t="inlineStr"/>
      <c r="C664" s="12" t="inlineStr">
        <is>
          <t>7896004789545</t>
        </is>
      </c>
      <c r="D664" s="7" t="inlineStr">
        <is>
          <t>VENCIDO - LEFOR 2,5MG CX 30 COMP</t>
        </is>
      </c>
      <c r="E664" s="13" t="n">
        <v>1</v>
      </c>
      <c r="F664" s="13" t="n">
        <v>1</v>
      </c>
      <c r="G664" s="13" t="n">
        <v>1</v>
      </c>
      <c r="H664" s="8" t="n">
        <v>46.73175</v>
      </c>
      <c r="I664" s="8">
        <f>G664*H664</f>
        <v/>
      </c>
      <c r="J664" s="8">
        <f>H664/E664</f>
        <v/>
      </c>
      <c r="K664" s="8" t="n">
        <v>42.835</v>
      </c>
      <c r="L664" s="8" t="n">
        <v>42.835</v>
      </c>
      <c r="M664" s="8" t="n">
        <v>42.835</v>
      </c>
      <c r="N664" s="14">
        <f>J664/M664-1</f>
        <v/>
      </c>
      <c r="O664" s="14">
        <f>J664/K664-1</f>
        <v/>
      </c>
      <c r="P664" s="7" t="inlineStr">
        <is>
          <t>ACIMA +9.1%</t>
        </is>
      </c>
      <c r="Q664" s="7" t="inlineStr"/>
    </row>
    <row r="665">
      <c r="A665" s="7" t="n">
        <v>651281</v>
      </c>
      <c r="B665" s="7" t="inlineStr"/>
      <c r="C665" s="12" t="inlineStr">
        <is>
          <t>7500435245340</t>
        </is>
      </c>
      <c r="D665" s="7" t="inlineStr">
        <is>
          <t>VICK DROPS MEL C/20 PAST-DEMAIS PROD</t>
        </is>
      </c>
      <c r="E665" s="13" t="n">
        <v>1</v>
      </c>
      <c r="F665" s="13" t="n">
        <v>1</v>
      </c>
      <c r="G665" s="13" t="n">
        <v>1</v>
      </c>
      <c r="H665" s="8" t="n">
        <v>10.9345</v>
      </c>
      <c r="I665" s="8">
        <f>G665*H665</f>
        <v/>
      </c>
      <c r="J665" s="8">
        <f>H665/E665</f>
        <v/>
      </c>
      <c r="K665" s="8" t="n">
        <v>9.960000000000001</v>
      </c>
      <c r="L665" s="8" t="n">
        <v>7.77</v>
      </c>
      <c r="M665" s="8" t="n">
        <v>9.23</v>
      </c>
      <c r="N665" s="14">
        <f>J665/M665-1</f>
        <v/>
      </c>
      <c r="O665" s="14">
        <f>J665/K665-1</f>
        <v/>
      </c>
      <c r="P665" s="7" t="inlineStr">
        <is>
          <t>ACIMA +9.8%</t>
        </is>
      </c>
      <c r="Q665" s="7" t="inlineStr"/>
    </row>
    <row r="666">
      <c r="A666" s="7" t="n">
        <v>660421</v>
      </c>
      <c r="B666" s="7" t="inlineStr"/>
      <c r="C666" s="12" t="inlineStr">
        <is>
          <t>7500435245357</t>
        </is>
      </c>
      <c r="D666" s="7" t="inlineStr">
        <is>
          <t>VICK DROPS MENTOL C/20 PAST-DEMAIS PROD</t>
        </is>
      </c>
      <c r="E666" s="13" t="n">
        <v>1</v>
      </c>
      <c r="F666" s="13" t="n">
        <v>1</v>
      </c>
      <c r="G666" s="13" t="n">
        <v>1</v>
      </c>
      <c r="H666" s="8" t="n">
        <v>10.9345</v>
      </c>
      <c r="I666" s="8">
        <f>G666*H666</f>
        <v/>
      </c>
      <c r="J666" s="8">
        <f>H666/E666</f>
        <v/>
      </c>
      <c r="K666" s="8" t="n">
        <v>47.15</v>
      </c>
      <c r="L666" s="8" t="n">
        <v>7.66</v>
      </c>
      <c r="M666" s="8" t="n">
        <v>7.66</v>
      </c>
      <c r="N666" s="14">
        <f>J666/M666-1</f>
        <v/>
      </c>
      <c r="O666" s="14">
        <f>J666/K666-1</f>
        <v/>
      </c>
      <c r="P666" s="7" t="inlineStr">
        <is>
          <t>OK (≤ últ. compra)</t>
        </is>
      </c>
      <c r="Q666" s="7" t="inlineStr">
        <is>
          <t>conferir emb.</t>
        </is>
      </c>
    </row>
    <row r="667">
      <c r="A667" s="7" t="n">
        <v>468541</v>
      </c>
      <c r="B667" s="7" t="inlineStr"/>
      <c r="C667" s="12" t="inlineStr">
        <is>
          <t>7897129303579</t>
        </is>
      </c>
      <c r="D667" s="7" t="inlineStr">
        <is>
          <t>VITACID XT 1,00MG/G CREME DERM BG 25G</t>
        </is>
      </c>
      <c r="E667" s="13" t="n">
        <v>1</v>
      </c>
      <c r="F667" s="13" t="n">
        <v>1</v>
      </c>
      <c r="G667" s="13" t="n">
        <v>1</v>
      </c>
      <c r="H667" s="8" t="n">
        <v>58.3632</v>
      </c>
      <c r="I667" s="8">
        <f>G667*H667</f>
        <v/>
      </c>
      <c r="J667" s="8">
        <f>H667/E667</f>
        <v/>
      </c>
      <c r="K667" s="8" t="n">
        <v>47.28</v>
      </c>
      <c r="L667" s="8" t="n">
        <v>47.28</v>
      </c>
      <c r="M667" s="8" t="n">
        <v>47.28</v>
      </c>
      <c r="N667" s="14">
        <f>J667/M667-1</f>
        <v/>
      </c>
      <c r="O667" s="14">
        <f>J667/K667-1</f>
        <v/>
      </c>
      <c r="P667" s="7" t="inlineStr">
        <is>
          <t>ACIMA +23.4%</t>
        </is>
      </c>
      <c r="Q667" s="7" t="inlineStr"/>
    </row>
    <row r="668">
      <c r="A668" s="7" t="n">
        <v>753</v>
      </c>
      <c r="B668" s="7" t="inlineStr"/>
      <c r="C668" s="12" t="inlineStr">
        <is>
          <t>7894916325691</t>
        </is>
      </c>
      <c r="D668" s="7" t="inlineStr">
        <is>
          <t>VOLIG 4MG CX 4 COMP</t>
        </is>
      </c>
      <c r="E668" s="13" t="n">
        <v>1</v>
      </c>
      <c r="F668" s="13" t="n">
        <v>2</v>
      </c>
      <c r="G668" s="13" t="n">
        <v>2</v>
      </c>
      <c r="H668" s="8" t="n">
        <v>14.21</v>
      </c>
      <c r="I668" s="8">
        <f>G668*H668</f>
        <v/>
      </c>
      <c r="J668" s="8">
        <f>H668/E668</f>
        <v/>
      </c>
      <c r="K668" s="8" t="n">
        <v>2.33</v>
      </c>
      <c r="L668" s="8" t="n">
        <v>2.33</v>
      </c>
      <c r="M668" s="8" t="n">
        <v>2.33</v>
      </c>
      <c r="N668" s="14">
        <f>J668/M668-1</f>
        <v/>
      </c>
      <c r="O668" s="14">
        <f>J668/K668-1</f>
        <v/>
      </c>
      <c r="P668" s="7" t="inlineStr">
        <is>
          <t>ACIMA +509.9%</t>
        </is>
      </c>
      <c r="Q668" s="7" t="inlineStr">
        <is>
          <t>conferir emb.</t>
        </is>
      </c>
    </row>
    <row r="669">
      <c r="A669" s="7" t="n">
        <v>647851</v>
      </c>
      <c r="B669" s="7" t="inlineStr"/>
      <c r="C669" s="12" t="inlineStr">
        <is>
          <t>7896112407171</t>
        </is>
      </c>
      <c r="D669" s="7" t="inlineStr">
        <is>
          <t>VONAUGASMAX 250MG 10CAPS</t>
        </is>
      </c>
      <c r="E669" s="13" t="n">
        <v>1</v>
      </c>
      <c r="F669" s="13" t="n">
        <v>2</v>
      </c>
      <c r="G669" s="13" t="n">
        <v>2</v>
      </c>
      <c r="H669" s="8" t="n">
        <v>28.224</v>
      </c>
      <c r="I669" s="8">
        <f>G669*H669</f>
        <v/>
      </c>
      <c r="J669" s="8">
        <f>H669/E669</f>
        <v/>
      </c>
      <c r="K669" s="8" t="n">
        <v>14.4425</v>
      </c>
      <c r="L669" s="8" t="n">
        <v>14.4425</v>
      </c>
      <c r="M669" s="8" t="n">
        <v>14.4425</v>
      </c>
      <c r="N669" s="14">
        <f>J669/M669-1</f>
        <v/>
      </c>
      <c r="O669" s="14">
        <f>J669/K669-1</f>
        <v/>
      </c>
      <c r="P669" s="7" t="inlineStr">
        <is>
          <t>ACIMA +95.4%</t>
        </is>
      </c>
      <c r="Q669" s="7" t="inlineStr"/>
    </row>
    <row r="670">
      <c r="A670" s="7" t="n">
        <v>635041</v>
      </c>
      <c r="B670" s="7" t="inlineStr"/>
      <c r="C670" s="12" t="inlineStr">
        <is>
          <t>7899852025520</t>
        </is>
      </c>
      <c r="D670" s="7" t="inlineStr">
        <is>
          <t>VULT HAIR CO CACHOS 325ML</t>
        </is>
      </c>
      <c r="E670" s="13" t="n">
        <v>1</v>
      </c>
      <c r="F670" s="13" t="n">
        <v>1</v>
      </c>
      <c r="G670" s="13" t="n">
        <v>1</v>
      </c>
      <c r="H670" s="8" t="n">
        <v>20.72</v>
      </c>
      <c r="I670" s="8">
        <f>G670*H670</f>
        <v/>
      </c>
      <c r="J670" s="8">
        <f>H670/E670</f>
        <v/>
      </c>
      <c r="K670" s="8" t="n">
        <v>19.3</v>
      </c>
      <c r="L670" s="8" t="n">
        <v>19.3</v>
      </c>
      <c r="M670" s="8" t="n">
        <v>19.3</v>
      </c>
      <c r="N670" s="14">
        <f>J670/M670-1</f>
        <v/>
      </c>
      <c r="O670" s="14">
        <f>J670/K670-1</f>
        <v/>
      </c>
      <c r="P670" s="7" t="inlineStr">
        <is>
          <t>ACIMA +7.4%</t>
        </is>
      </c>
      <c r="Q670" s="7" t="inlineStr"/>
    </row>
    <row r="671">
      <c r="A671" s="7" t="n">
        <v>635051</v>
      </c>
      <c r="B671" s="7" t="inlineStr"/>
      <c r="C671" s="12" t="inlineStr">
        <is>
          <t>7899852025506</t>
        </is>
      </c>
      <c r="D671" s="7" t="inlineStr">
        <is>
          <t>VULT HAIR CO LISOS 325ML</t>
        </is>
      </c>
      <c r="E671" s="13" t="n">
        <v>1</v>
      </c>
      <c r="F671" s="13" t="n">
        <v>1</v>
      </c>
      <c r="G671" s="13" t="n">
        <v>1</v>
      </c>
      <c r="H671" s="8" t="n">
        <v>20.72</v>
      </c>
      <c r="I671" s="8">
        <f>G671*H671</f>
        <v/>
      </c>
      <c r="J671" s="8">
        <f>H671/E671</f>
        <v/>
      </c>
      <c r="K671" s="8" t="n">
        <v>19.11</v>
      </c>
      <c r="L671" s="8" t="n">
        <v>19.11</v>
      </c>
      <c r="M671" s="8" t="n">
        <v>19.11</v>
      </c>
      <c r="N671" s="14">
        <f>J671/M671-1</f>
        <v/>
      </c>
      <c r="O671" s="14">
        <f>J671/K671-1</f>
        <v/>
      </c>
      <c r="P671" s="7" t="inlineStr">
        <is>
          <t>ACIMA +8.4%</t>
        </is>
      </c>
      <c r="Q671" s="7" t="inlineStr"/>
    </row>
    <row r="672">
      <c r="A672" s="7" t="n">
        <v>635141</v>
      </c>
      <c r="B672" s="7" t="inlineStr"/>
      <c r="C672" s="12" t="inlineStr">
        <is>
          <t>7899852025407</t>
        </is>
      </c>
      <c r="D672" s="7" t="inlineStr">
        <is>
          <t>VULT HAIR CO RECARGA DE HIDRATACAO 325ML</t>
        </is>
      </c>
      <c r="E672" s="13" t="n">
        <v>1</v>
      </c>
      <c r="F672" s="13" t="n">
        <v>4</v>
      </c>
      <c r="G672" s="13" t="n">
        <v>4</v>
      </c>
      <c r="H672" s="8" t="n">
        <v>20.72</v>
      </c>
      <c r="I672" s="8">
        <f>G672*H672</f>
        <v/>
      </c>
      <c r="J672" s="8">
        <f>H672/E672</f>
        <v/>
      </c>
      <c r="K672" s="8" t="n">
        <v>18.23</v>
      </c>
      <c r="L672" s="8" t="n">
        <v>18.23</v>
      </c>
      <c r="M672" s="8" t="n">
        <v>18.23</v>
      </c>
      <c r="N672" s="14">
        <f>J672/M672-1</f>
        <v/>
      </c>
      <c r="O672" s="14">
        <f>J672/K672-1</f>
        <v/>
      </c>
      <c r="P672" s="7" t="inlineStr">
        <is>
          <t>ACIMA +13.7%</t>
        </is>
      </c>
      <c r="Q672" s="7" t="inlineStr"/>
    </row>
    <row r="673">
      <c r="A673" s="7" t="n">
        <v>635081</v>
      </c>
      <c r="B673" s="7" t="inlineStr"/>
      <c r="C673" s="12" t="inlineStr">
        <is>
          <t>7899852025513</t>
        </is>
      </c>
      <c r="D673" s="7" t="inlineStr">
        <is>
          <t>VULT HAIR SH CACHOS 350ML</t>
        </is>
      </c>
      <c r="E673" s="13" t="n">
        <v>1</v>
      </c>
      <c r="F673" s="13" t="n">
        <v>1</v>
      </c>
      <c r="G673" s="13" t="n">
        <v>1</v>
      </c>
      <c r="H673" s="8" t="n">
        <v>18.5</v>
      </c>
      <c r="I673" s="8">
        <f>G673*H673</f>
        <v/>
      </c>
      <c r="J673" s="8">
        <f>H673/E673</f>
        <v/>
      </c>
      <c r="K673" s="8" t="n">
        <v>16.55</v>
      </c>
      <c r="L673" s="8" t="n">
        <v>16.55</v>
      </c>
      <c r="M673" s="8" t="n">
        <v>16.55</v>
      </c>
      <c r="N673" s="14">
        <f>J673/M673-1</f>
        <v/>
      </c>
      <c r="O673" s="14">
        <f>J673/K673-1</f>
        <v/>
      </c>
      <c r="P673" s="7" t="inlineStr">
        <is>
          <t>ACIMA +11.8%</t>
        </is>
      </c>
      <c r="Q673" s="7" t="inlineStr"/>
    </row>
    <row r="674">
      <c r="A674" s="7" t="n">
        <v>635091</v>
      </c>
      <c r="B674" s="7" t="inlineStr"/>
      <c r="C674" s="12" t="inlineStr">
        <is>
          <t>7899852025452</t>
        </is>
      </c>
      <c r="D674" s="7" t="inlineStr">
        <is>
          <t>VULT HAIR SH LISOS 350ML</t>
        </is>
      </c>
      <c r="E674" s="13" t="n">
        <v>1</v>
      </c>
      <c r="F674" s="13" t="n">
        <v>1</v>
      </c>
      <c r="G674" s="13" t="n">
        <v>1</v>
      </c>
      <c r="H674" s="8" t="n">
        <v>18.5</v>
      </c>
      <c r="I674" s="8">
        <f>G674*H674</f>
        <v/>
      </c>
      <c r="J674" s="8">
        <f>H674/E674</f>
        <v/>
      </c>
      <c r="K674" s="8" t="n">
        <v>18.74</v>
      </c>
      <c r="L674" s="8" t="n">
        <v>18.74</v>
      </c>
      <c r="M674" s="8" t="n">
        <v>18.74</v>
      </c>
      <c r="N674" s="14">
        <f>J674/M674-1</f>
        <v/>
      </c>
      <c r="O674" s="14">
        <f>J674/K674-1</f>
        <v/>
      </c>
      <c r="P674" s="7" t="inlineStr">
        <is>
          <t>OK (≤ menor hist.)</t>
        </is>
      </c>
      <c r="Q674" s="7" t="inlineStr"/>
    </row>
    <row r="675">
      <c r="A675" s="7" t="n">
        <v>596011</v>
      </c>
      <c r="B675" s="7" t="inlineStr"/>
      <c r="C675" s="12" t="inlineStr">
        <is>
          <t>7899852020051</t>
        </is>
      </c>
      <c r="D675" s="7" t="inlineStr">
        <is>
          <t>VULT MAKE PROT LABIAL BALM MELANCIA 3,5G</t>
        </is>
      </c>
      <c r="E675" s="13" t="n">
        <v>1</v>
      </c>
      <c r="F675" s="13" t="n">
        <v>1</v>
      </c>
      <c r="G675" s="13" t="n">
        <v>1</v>
      </c>
      <c r="H675" s="8" t="n">
        <v>13.72</v>
      </c>
      <c r="I675" s="8">
        <f>G675*H675</f>
        <v/>
      </c>
      <c r="J675" s="8">
        <f>H675/E675</f>
        <v/>
      </c>
      <c r="K675" s="8" t="n">
        <v>11.1</v>
      </c>
      <c r="L675" s="8" t="n">
        <v>11.1</v>
      </c>
      <c r="M675" s="8" t="n">
        <v>11.1</v>
      </c>
      <c r="N675" s="14">
        <f>J675/M675-1</f>
        <v/>
      </c>
      <c r="O675" s="14">
        <f>J675/K675-1</f>
        <v/>
      </c>
      <c r="P675" s="7" t="inlineStr">
        <is>
          <t>ACIMA +23.6%</t>
        </is>
      </c>
      <c r="Q675" s="7" t="inlineStr"/>
    </row>
    <row r="676">
      <c r="A676" s="7" t="n">
        <v>595991</v>
      </c>
      <c r="B676" s="7" t="inlineStr"/>
      <c r="C676" s="12" t="inlineStr">
        <is>
          <t>7899852020075</t>
        </is>
      </c>
      <c r="D676" s="7" t="inlineStr">
        <is>
          <t>VULT MAKE PROT LABIAL BALM MORANGO 3,5G</t>
        </is>
      </c>
      <c r="E676" s="13" t="n">
        <v>1</v>
      </c>
      <c r="F676" s="13" t="n">
        <v>1</v>
      </c>
      <c r="G676" s="13" t="n">
        <v>1</v>
      </c>
      <c r="H676" s="8" t="n">
        <v>13.72</v>
      </c>
      <c r="I676" s="8">
        <f>G676*H676</f>
        <v/>
      </c>
      <c r="J676" s="8">
        <f>H676/E676</f>
        <v/>
      </c>
      <c r="K676" s="8" t="n">
        <v>8.82</v>
      </c>
      <c r="L676" s="8" t="n">
        <v>8.82</v>
      </c>
      <c r="M676" s="8" t="n">
        <v>8.82</v>
      </c>
      <c r="N676" s="14">
        <f>J676/M676-1</f>
        <v/>
      </c>
      <c r="O676" s="14">
        <f>J676/K676-1</f>
        <v/>
      </c>
      <c r="P676" s="7" t="inlineStr">
        <is>
          <t>ACIMA +55.6%</t>
        </is>
      </c>
      <c r="Q676" s="7" t="inlineStr"/>
    </row>
    <row r="677">
      <c r="A677" s="7" t="n">
        <v>556961</v>
      </c>
      <c r="B677" s="7" t="inlineStr"/>
      <c r="C677" s="12" t="inlineStr">
        <is>
          <t>7897947604506</t>
        </is>
      </c>
      <c r="D677" s="7" t="inlineStr">
        <is>
          <t>XO INSETO KIDS LOCAO 100 ML</t>
        </is>
      </c>
      <c r="E677" s="13" t="n">
        <v>1</v>
      </c>
      <c r="F677" s="13" t="n">
        <v>22</v>
      </c>
      <c r="G677" s="13" t="n">
        <v>22</v>
      </c>
      <c r="H677" s="8" t="n">
        <v>12.22</v>
      </c>
      <c r="I677" s="8">
        <f>G677*H677</f>
        <v/>
      </c>
      <c r="J677" s="8">
        <f>H677/E677</f>
        <v/>
      </c>
      <c r="K677" s="8" t="n">
        <v>8.69</v>
      </c>
      <c r="L677" s="8" t="n">
        <v>7.99</v>
      </c>
      <c r="M677" s="8" t="n">
        <v>8.223333333333334</v>
      </c>
      <c r="N677" s="14">
        <f>J677/M677-1</f>
        <v/>
      </c>
      <c r="O677" s="14">
        <f>J677/K677-1</f>
        <v/>
      </c>
      <c r="P677" s="7" t="inlineStr">
        <is>
          <t>ACIMA +40.6%</t>
        </is>
      </c>
      <c r="Q677" s="7" t="inlineStr"/>
    </row>
    <row r="678">
      <c r="D678" s="5" t="inlineStr">
        <is>
          <t>TOTAL</t>
        </is>
      </c>
      <c r="I678" s="18">
        <f>SUM(I2:I677)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7" customWidth="1" min="16" max="16"/>
    <col width="26" customWidth="1" min="17" max="17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Média hist.</t>
        </is>
      </c>
      <c r="N1" s="11" t="inlineStr">
        <is>
          <t>% vs média hist.</t>
        </is>
      </c>
      <c r="O1" s="11" t="inlineStr">
        <is>
          <t>% vs últ. compra</t>
        </is>
      </c>
      <c r="P1" s="11" t="inlineStr">
        <is>
          <t>Status</t>
        </is>
      </c>
      <c r="Q1" s="11" t="inlineStr">
        <is>
          <t>OBS</t>
        </is>
      </c>
    </row>
    <row r="2">
      <c r="A2" s="7" t="n">
        <v>9003</v>
      </c>
      <c r="B2" s="7" t="inlineStr"/>
      <c r="C2" s="12" t="inlineStr">
        <is>
          <t>7898662435147</t>
        </is>
      </c>
      <c r="D2" s="7" t="inlineStr">
        <is>
          <t>521 VIP MASC PARFUM 15ML (212 VIP BLACK CAROLINA HERRERA)</t>
        </is>
      </c>
      <c r="E2" s="13" t="n">
        <v>1</v>
      </c>
      <c r="F2" s="13" t="n">
        <v>3</v>
      </c>
      <c r="G2" s="13" t="n">
        <v>3</v>
      </c>
      <c r="H2" s="8" t="n">
        <v>21.1</v>
      </c>
      <c r="I2" s="8">
        <f>G2*H2</f>
        <v/>
      </c>
      <c r="J2" s="8">
        <f>H2/E2</f>
        <v/>
      </c>
      <c r="K2" s="8" t="n">
        <v>21.98</v>
      </c>
      <c r="L2" s="8" t="n">
        <v>21.98</v>
      </c>
      <c r="M2" s="8" t="n">
        <v>21.98</v>
      </c>
      <c r="N2" s="14">
        <f>J2/M2-1</f>
        <v/>
      </c>
      <c r="O2" s="14">
        <f>J2/K2-1</f>
        <v/>
      </c>
      <c r="P2" s="7" t="inlineStr">
        <is>
          <t>OK (≤ menor hist.)</t>
        </is>
      </c>
      <c r="Q2" s="7" t="inlineStr"/>
    </row>
    <row r="3">
      <c r="A3" s="7" t="n">
        <v>515381</v>
      </c>
      <c r="B3" s="7" t="inlineStr"/>
      <c r="C3" s="12" t="inlineStr">
        <is>
          <t>7891721202391</t>
        </is>
      </c>
      <c r="D3" s="7" t="inlineStr">
        <is>
          <t>ACICLOVIR 400MG FR 30 COMP</t>
        </is>
      </c>
      <c r="E3" s="13" t="n">
        <v>1</v>
      </c>
      <c r="F3" s="13" t="n">
        <v>2</v>
      </c>
      <c r="G3" s="13" t="n">
        <v>2</v>
      </c>
      <c r="H3" s="8" t="n">
        <v>35.01</v>
      </c>
      <c r="I3" s="8">
        <f>G3*H3</f>
        <v/>
      </c>
      <c r="J3" s="8">
        <f>H3/E3</f>
        <v/>
      </c>
      <c r="K3" s="8" t="n">
        <v>30.457</v>
      </c>
      <c r="L3" s="8" t="n">
        <v>30.457</v>
      </c>
      <c r="M3" s="8" t="n">
        <v>30.457</v>
      </c>
      <c r="N3" s="14">
        <f>J3/M3-1</f>
        <v/>
      </c>
      <c r="O3" s="14">
        <f>J3/K3-1</f>
        <v/>
      </c>
      <c r="P3" s="7" t="inlineStr">
        <is>
          <t>ACIMA +14.9%</t>
        </is>
      </c>
      <c r="Q3" s="7" t="inlineStr"/>
    </row>
    <row r="4">
      <c r="A4" s="7" t="n">
        <v>558201</v>
      </c>
      <c r="B4" s="7" t="inlineStr"/>
      <c r="C4" s="12" t="inlineStr">
        <is>
          <t>78909830</t>
        </is>
      </c>
      <c r="D4" s="7" t="inlineStr">
        <is>
          <t>AGULHA DESC 30X7 CX100 BD</t>
        </is>
      </c>
      <c r="E4" s="13" t="n">
        <v>1</v>
      </c>
      <c r="F4" s="13" t="n">
        <v>1</v>
      </c>
      <c r="G4" s="13" t="n">
        <v>1</v>
      </c>
      <c r="H4" s="8" t="n">
        <v>19.56</v>
      </c>
      <c r="I4" s="8">
        <f>G4*H4</f>
        <v/>
      </c>
      <c r="J4" s="8">
        <f>H4/E4</f>
        <v/>
      </c>
      <c r="K4" s="8" t="n"/>
      <c r="L4" s="8" t="n"/>
      <c r="M4" s="8" t="n"/>
      <c r="N4" s="14" t="n"/>
      <c r="O4" s="14" t="n"/>
      <c r="P4" s="7" t="inlineStr">
        <is>
          <t>SEM HISTÓRICO</t>
        </is>
      </c>
      <c r="Q4" s="7" t="inlineStr"/>
    </row>
    <row r="5">
      <c r="A5" s="7" t="n">
        <v>666901</v>
      </c>
      <c r="B5" s="7" t="inlineStr"/>
      <c r="C5" s="12" t="inlineStr">
        <is>
          <t>78910348</t>
        </is>
      </c>
      <c r="D5" s="7" t="inlineStr">
        <is>
          <t>AGULHA VERMELHA</t>
        </is>
      </c>
      <c r="E5" s="13" t="n">
        <v>1</v>
      </c>
      <c r="F5" s="13" t="n">
        <v>1</v>
      </c>
      <c r="G5" s="13" t="n">
        <v>1</v>
      </c>
      <c r="H5" s="8" t="n">
        <v>57</v>
      </c>
      <c r="I5" s="8">
        <f>G5*H5</f>
        <v/>
      </c>
      <c r="J5" s="8">
        <f>H5/E5</f>
        <v/>
      </c>
      <c r="K5" s="8" t="n"/>
      <c r="L5" s="8" t="n"/>
      <c r="M5" s="8" t="n"/>
      <c r="N5" s="14" t="n"/>
      <c r="O5" s="14" t="n"/>
      <c r="P5" s="7" t="inlineStr">
        <is>
          <t>SEM HISTÓRICO</t>
        </is>
      </c>
      <c r="Q5" s="7" t="inlineStr"/>
    </row>
    <row r="6">
      <c r="A6" s="7" t="n">
        <v>457961</v>
      </c>
      <c r="B6" s="7" t="inlineStr"/>
      <c r="C6" s="12" t="inlineStr">
        <is>
          <t>7896004810140</t>
        </is>
      </c>
      <c r="D6" s="7" t="inlineStr">
        <is>
          <t>BISMU-JET SOL FR GTS 20ML</t>
        </is>
      </c>
      <c r="E6" s="13" t="n">
        <v>1</v>
      </c>
      <c r="F6" s="13" t="n">
        <v>7</v>
      </c>
      <c r="G6" s="13" t="n">
        <v>7</v>
      </c>
      <c r="H6" s="8" t="n">
        <v>15.34</v>
      </c>
      <c r="I6" s="8">
        <f>G6*H6</f>
        <v/>
      </c>
      <c r="J6" s="8">
        <f>H6/E6</f>
        <v/>
      </c>
      <c r="K6" s="8" t="n">
        <v>16.56</v>
      </c>
      <c r="L6" s="8" t="n">
        <v>14.3</v>
      </c>
      <c r="M6" s="8" t="n">
        <v>14.67833333333333</v>
      </c>
      <c r="N6" s="14">
        <f>J6/M6-1</f>
        <v/>
      </c>
      <c r="O6" s="14">
        <f>J6/K6-1</f>
        <v/>
      </c>
      <c r="P6" s="7" t="inlineStr">
        <is>
          <t>OK (≤ últ. compra)</t>
        </is>
      </c>
      <c r="Q6" s="7" t="inlineStr"/>
    </row>
    <row r="7">
      <c r="A7" s="7" t="n">
        <v>629511</v>
      </c>
      <c r="B7" s="7" t="inlineStr"/>
      <c r="C7" s="12" t="inlineStr">
        <is>
          <t>7898920630406</t>
        </is>
      </c>
      <c r="D7" s="7" t="inlineStr">
        <is>
          <t>CENTRIX ZINCO 29,59MG 60 CPR</t>
        </is>
      </c>
      <c r="E7" s="13" t="n">
        <v>1</v>
      </c>
      <c r="F7" s="13" t="n">
        <v>1</v>
      </c>
      <c r="G7" s="13" t="n">
        <v>1</v>
      </c>
      <c r="H7" s="8" t="n">
        <v>15.48</v>
      </c>
      <c r="I7" s="8">
        <f>G7*H7</f>
        <v/>
      </c>
      <c r="J7" s="8">
        <f>H7/E7</f>
        <v/>
      </c>
      <c r="K7" s="8" t="n">
        <v>16.9</v>
      </c>
      <c r="L7" s="8" t="n">
        <v>16.9</v>
      </c>
      <c r="M7" s="8" t="n">
        <v>16.9</v>
      </c>
      <c r="N7" s="14">
        <f>J7/M7-1</f>
        <v/>
      </c>
      <c r="O7" s="14">
        <f>J7/K7-1</f>
        <v/>
      </c>
      <c r="P7" s="7" t="inlineStr">
        <is>
          <t>OK (≤ menor hist.)</t>
        </is>
      </c>
      <c r="Q7" s="7" t="inlineStr"/>
    </row>
    <row r="8">
      <c r="A8" s="7" t="n">
        <v>35203</v>
      </c>
      <c r="B8" s="7" t="inlineStr"/>
      <c r="C8" s="12" t="inlineStr">
        <is>
          <t>7896714292267</t>
        </is>
      </c>
      <c r="D8" s="7" t="inlineStr">
        <is>
          <t>CETOROLACO DE TROMETAMOL 10MG 10 CPR SUBL</t>
        </is>
      </c>
      <c r="E8" s="13" t="n">
        <v>1</v>
      </c>
      <c r="F8" s="13" t="n">
        <v>2</v>
      </c>
      <c r="G8" s="13" t="n">
        <v>2</v>
      </c>
      <c r="H8" s="8" t="n">
        <v>12.97</v>
      </c>
      <c r="I8" s="8">
        <f>G8*H8</f>
        <v/>
      </c>
      <c r="J8" s="8">
        <f>H8/E8</f>
        <v/>
      </c>
      <c r="K8" s="8" t="n">
        <v>12.97</v>
      </c>
      <c r="L8" s="8" t="n">
        <v>12.97</v>
      </c>
      <c r="M8" s="8" t="n">
        <v>12.97</v>
      </c>
      <c r="N8" s="14">
        <f>J8/M8-1</f>
        <v/>
      </c>
      <c r="O8" s="14">
        <f>J8/K8-1</f>
        <v/>
      </c>
      <c r="P8" s="7" t="inlineStr">
        <is>
          <t>OK (≤ menor hist.)</t>
        </is>
      </c>
      <c r="Q8" s="7" t="inlineStr"/>
    </row>
    <row r="9">
      <c r="A9" s="7" t="n">
        <v>631621</v>
      </c>
      <c r="B9" s="7" t="inlineStr"/>
      <c r="C9" s="12" t="inlineStr">
        <is>
          <t>7895296449816</t>
        </is>
      </c>
      <c r="D9" s="7" t="inlineStr">
        <is>
          <t>CLOR. NARATRIPTANA 2,5 MG C/4 COM REV-NQ</t>
        </is>
      </c>
      <c r="E9" s="13" t="n">
        <v>1</v>
      </c>
      <c r="F9" s="13" t="n">
        <v>7</v>
      </c>
      <c r="G9" s="13" t="n">
        <v>7</v>
      </c>
      <c r="H9" s="8" t="n">
        <v>6.98</v>
      </c>
      <c r="I9" s="8">
        <f>G9*H9</f>
        <v/>
      </c>
      <c r="J9" s="8">
        <f>H9/E9</f>
        <v/>
      </c>
      <c r="K9" s="8" t="n">
        <v>7.78</v>
      </c>
      <c r="L9" s="8" t="n">
        <v>6.5788</v>
      </c>
      <c r="M9" s="8" t="n">
        <v>7.3796</v>
      </c>
      <c r="N9" s="14">
        <f>J9/M9-1</f>
        <v/>
      </c>
      <c r="O9" s="14">
        <f>J9/K9-1</f>
        <v/>
      </c>
      <c r="P9" s="7" t="inlineStr">
        <is>
          <t>OK (≤ últ. compra)</t>
        </is>
      </c>
      <c r="Q9" s="7" t="inlineStr"/>
    </row>
    <row r="10">
      <c r="A10" s="7" t="n">
        <v>651111</v>
      </c>
      <c r="B10" s="7" t="inlineStr"/>
      <c r="C10" s="12" t="inlineStr">
        <is>
          <t>7891317009052</t>
        </is>
      </c>
      <c r="D10" s="7" t="inlineStr">
        <is>
          <t>CLORIDRATO DE TRAMADOL 100MG 10ML GTS</t>
        </is>
      </c>
      <c r="E10" s="13" t="n">
        <v>1</v>
      </c>
      <c r="F10" s="13" t="n">
        <v>1</v>
      </c>
      <c r="G10" s="13" t="n">
        <v>1</v>
      </c>
      <c r="H10" s="8" t="n">
        <v>16.51</v>
      </c>
      <c r="I10" s="8">
        <f>G10*H10</f>
        <v/>
      </c>
      <c r="J10" s="8">
        <f>H10/E10</f>
        <v/>
      </c>
      <c r="K10" s="8" t="n">
        <v>14.0725</v>
      </c>
      <c r="L10" s="8" t="n">
        <v>14.0725</v>
      </c>
      <c r="M10" s="8" t="n">
        <v>14.0725</v>
      </c>
      <c r="N10" s="14">
        <f>J10/M10-1</f>
        <v/>
      </c>
      <c r="O10" s="14">
        <f>J10/K10-1</f>
        <v/>
      </c>
      <c r="P10" s="7" t="inlineStr">
        <is>
          <t>ACIMA +17.3%</t>
        </is>
      </c>
      <c r="Q10" s="7" t="inlineStr"/>
    </row>
    <row r="11">
      <c r="A11" s="7" t="n">
        <v>668931</v>
      </c>
      <c r="B11" s="7" t="inlineStr"/>
      <c r="C11" s="12" t="inlineStr">
        <is>
          <t>7899952324356</t>
        </is>
      </c>
      <c r="D11" s="7" t="inlineStr">
        <is>
          <t>COLONIA FEMININA BARBIE GIRL POWER 25ML</t>
        </is>
      </c>
      <c r="E11" s="13" t="n">
        <v>1</v>
      </c>
      <c r="F11" s="13" t="n">
        <v>2</v>
      </c>
      <c r="G11" s="13" t="n">
        <v>2</v>
      </c>
      <c r="H11" s="8" t="n">
        <v>14.94</v>
      </c>
      <c r="I11" s="8">
        <f>G11*H11</f>
        <v/>
      </c>
      <c r="J11" s="8">
        <f>H11/E11</f>
        <v/>
      </c>
      <c r="K11" s="8" t="n">
        <v>14.94</v>
      </c>
      <c r="L11" s="8" t="n">
        <v>14.94</v>
      </c>
      <c r="M11" s="8" t="n">
        <v>14.94</v>
      </c>
      <c r="N11" s="14">
        <f>J11/M11-1</f>
        <v/>
      </c>
      <c r="O11" s="14">
        <f>J11/K11-1</f>
        <v/>
      </c>
      <c r="P11" s="7" t="inlineStr">
        <is>
          <t>OK (≤ menor hist.)</t>
        </is>
      </c>
      <c r="Q11" s="7" t="inlineStr"/>
    </row>
    <row r="12">
      <c r="A12" s="7" t="n">
        <v>668901</v>
      </c>
      <c r="B12" s="7" t="inlineStr"/>
      <c r="C12" s="12" t="inlineStr">
        <is>
          <t>7899601710301</t>
        </is>
      </c>
      <c r="D12" s="7" t="inlineStr">
        <is>
          <t>COLONIA FEMININA HELLO KITTY ESTILOSA 25ML</t>
        </is>
      </c>
      <c r="E12" s="13" t="n">
        <v>1</v>
      </c>
      <c r="F12" s="13" t="n">
        <v>1</v>
      </c>
      <c r="G12" s="13" t="n">
        <v>1</v>
      </c>
      <c r="H12" s="8" t="n">
        <v>14.94</v>
      </c>
      <c r="I12" s="8">
        <f>G12*H12</f>
        <v/>
      </c>
      <c r="J12" s="8">
        <f>H12/E12</f>
        <v/>
      </c>
      <c r="K12" s="8" t="n">
        <v>14.94</v>
      </c>
      <c r="L12" s="8" t="n">
        <v>14.94</v>
      </c>
      <c r="M12" s="8" t="n">
        <v>14.94</v>
      </c>
      <c r="N12" s="14">
        <f>J12/M12-1</f>
        <v/>
      </c>
      <c r="O12" s="14">
        <f>J12/K12-1</f>
        <v/>
      </c>
      <c r="P12" s="7" t="inlineStr">
        <is>
          <t>OK (≤ menor hist.)</t>
        </is>
      </c>
      <c r="Q12" s="7" t="inlineStr"/>
    </row>
    <row r="13">
      <c r="A13" s="7" t="n">
        <v>668861</v>
      </c>
      <c r="B13" s="7" t="inlineStr"/>
      <c r="C13" s="12" t="inlineStr">
        <is>
          <t>7899952324837</t>
        </is>
      </c>
      <c r="D13" s="7" t="inlineStr">
        <is>
          <t>COLONIA MASCULINA CARROS RELAMPAGO MCQUEEN 25ML</t>
        </is>
      </c>
      <c r="E13" s="13" t="n">
        <v>1</v>
      </c>
      <c r="F13" s="13" t="n">
        <v>5</v>
      </c>
      <c r="G13" s="13" t="n">
        <v>5</v>
      </c>
      <c r="H13" s="8" t="n">
        <v>14.94</v>
      </c>
      <c r="I13" s="8">
        <f>G13*H13</f>
        <v/>
      </c>
      <c r="J13" s="8">
        <f>H13/E13</f>
        <v/>
      </c>
      <c r="K13" s="8" t="n">
        <v>14.94</v>
      </c>
      <c r="L13" s="8" t="n">
        <v>14.94</v>
      </c>
      <c r="M13" s="8" t="n">
        <v>14.94</v>
      </c>
      <c r="N13" s="14">
        <f>J13/M13-1</f>
        <v/>
      </c>
      <c r="O13" s="14">
        <f>J13/K13-1</f>
        <v/>
      </c>
      <c r="P13" s="7" t="inlineStr">
        <is>
          <t>OK (≤ menor hist.)</t>
        </is>
      </c>
      <c r="Q13" s="7" t="inlineStr"/>
    </row>
    <row r="14">
      <c r="A14" s="7" t="n">
        <v>668791</v>
      </c>
      <c r="B14" s="7" t="inlineStr"/>
      <c r="C14" s="12" t="inlineStr">
        <is>
          <t>7899952324899</t>
        </is>
      </c>
      <c r="D14" s="7" t="inlineStr">
        <is>
          <t>COLONIA SPLASH FEMININA LARISSA MANOELA 200ML</t>
        </is>
      </c>
      <c r="E14" s="13" t="n">
        <v>1</v>
      </c>
      <c r="F14" s="13" t="n">
        <v>1</v>
      </c>
      <c r="G14" s="13" t="n">
        <v>1</v>
      </c>
      <c r="H14" s="8" t="n">
        <v>35.94</v>
      </c>
      <c r="I14" s="8">
        <f>G14*H14</f>
        <v/>
      </c>
      <c r="J14" s="8">
        <f>H14/E14</f>
        <v/>
      </c>
      <c r="K14" s="8" t="n">
        <v>35.94</v>
      </c>
      <c r="L14" s="8" t="n">
        <v>35.94</v>
      </c>
      <c r="M14" s="8" t="n">
        <v>35.94</v>
      </c>
      <c r="N14" s="14">
        <f>J14/M14-1</f>
        <v/>
      </c>
      <c r="O14" s="14">
        <f>J14/K14-1</f>
        <v/>
      </c>
      <c r="P14" s="7" t="inlineStr">
        <is>
          <t>OK (≤ menor hist.)</t>
        </is>
      </c>
      <c r="Q14" s="7" t="inlineStr"/>
    </row>
    <row r="15">
      <c r="A15" s="7" t="n">
        <v>4033</v>
      </c>
      <c r="B15" s="7" t="inlineStr"/>
      <c r="C15" s="12" t="inlineStr">
        <is>
          <t>7896544901346</t>
        </is>
      </c>
      <c r="D15" s="7" t="inlineStr">
        <is>
          <t>CURATIVO HIDROCOLOIDE P/ ACNES C/24 UND</t>
        </is>
      </c>
      <c r="E15" s="13" t="n">
        <v>1</v>
      </c>
      <c r="F15" s="13" t="n">
        <v>18</v>
      </c>
      <c r="G15" s="13" t="n">
        <v>18</v>
      </c>
      <c r="H15" s="8" t="n">
        <v>11.51</v>
      </c>
      <c r="I15" s="8">
        <f>G15*H15</f>
        <v/>
      </c>
      <c r="J15" s="8">
        <f>H15/E15</f>
        <v/>
      </c>
      <c r="K15" s="8" t="n">
        <v>8.32</v>
      </c>
      <c r="L15" s="8" t="n">
        <v>8.32</v>
      </c>
      <c r="M15" s="8" t="n">
        <v>8.32</v>
      </c>
      <c r="N15" s="14">
        <f>J15/M15-1</f>
        <v/>
      </c>
      <c r="O15" s="14">
        <f>J15/K15-1</f>
        <v/>
      </c>
      <c r="P15" s="7" t="inlineStr">
        <is>
          <t>ACIMA +38.3%</t>
        </is>
      </c>
      <c r="Q15" s="7" t="inlineStr"/>
    </row>
    <row r="16">
      <c r="A16" s="7" t="n">
        <v>666411</v>
      </c>
      <c r="B16" s="7" t="inlineStr"/>
      <c r="C16" s="12" t="inlineStr">
        <is>
          <t>7896862994372</t>
        </is>
      </c>
      <c r="D16" s="7" t="inlineStr">
        <is>
          <t>DAPAGLIFLOZINA 10MG COM REV CX 30 COMP</t>
        </is>
      </c>
      <c r="E16" s="13" t="n">
        <v>1</v>
      </c>
      <c r="F16" s="13" t="n">
        <v>2</v>
      </c>
      <c r="G16" s="13" t="n">
        <v>2</v>
      </c>
      <c r="H16" s="8" t="n">
        <v>31.97</v>
      </c>
      <c r="I16" s="8">
        <f>G16*H16</f>
        <v/>
      </c>
      <c r="J16" s="8">
        <f>H16/E16</f>
        <v/>
      </c>
      <c r="K16" s="8" t="n">
        <v>48.25</v>
      </c>
      <c r="L16" s="8" t="n">
        <v>48.25</v>
      </c>
      <c r="M16" s="8" t="n">
        <v>48.25</v>
      </c>
      <c r="N16" s="14">
        <f>J16/M16-1</f>
        <v/>
      </c>
      <c r="O16" s="14">
        <f>J16/K16-1</f>
        <v/>
      </c>
      <c r="P16" s="7" t="inlineStr">
        <is>
          <t>OK (≤ menor hist.)</t>
        </is>
      </c>
      <c r="Q16" s="7" t="inlineStr"/>
    </row>
    <row r="17">
      <c r="A17" s="7" t="n">
        <v>35003</v>
      </c>
      <c r="B17" s="7" t="inlineStr"/>
      <c r="C17" s="12" t="inlineStr">
        <is>
          <t>7896714297101</t>
        </is>
      </c>
      <c r="D17" s="7" t="inlineStr">
        <is>
          <t>DIPROPIONATO DE BETAMETASONA CREME 30GR</t>
        </is>
      </c>
      <c r="E17" s="13" t="n">
        <v>1</v>
      </c>
      <c r="F17" s="13" t="n">
        <v>2</v>
      </c>
      <c r="G17" s="13" t="n">
        <v>2</v>
      </c>
      <c r="H17" s="8" t="n">
        <v>14.99</v>
      </c>
      <c r="I17" s="8">
        <f>G17*H17</f>
        <v/>
      </c>
      <c r="J17" s="8">
        <f>H17/E17</f>
        <v/>
      </c>
      <c r="K17" s="8" t="n">
        <v>15.61</v>
      </c>
      <c r="L17" s="8" t="n">
        <v>15.61</v>
      </c>
      <c r="M17" s="8" t="n">
        <v>15.61</v>
      </c>
      <c r="N17" s="14">
        <f>J17/M17-1</f>
        <v/>
      </c>
      <c r="O17" s="14">
        <f>J17/K17-1</f>
        <v/>
      </c>
      <c r="P17" s="7" t="inlineStr">
        <is>
          <t>OK (≤ menor hist.)</t>
        </is>
      </c>
      <c r="Q17" s="7" t="inlineStr"/>
    </row>
    <row r="18">
      <c r="A18" s="7" t="n">
        <v>631181</v>
      </c>
      <c r="B18" s="7" t="inlineStr"/>
      <c r="C18" s="12" t="inlineStr">
        <is>
          <t>7898687737714</t>
        </is>
      </c>
      <c r="D18" s="7" t="inlineStr">
        <is>
          <t>EQUALIV VITAMINA C 1G X30 CPR</t>
        </is>
      </c>
      <c r="E18" s="13" t="n">
        <v>1</v>
      </c>
      <c r="F18" s="13" t="n">
        <v>1</v>
      </c>
      <c r="G18" s="13" t="n">
        <v>1</v>
      </c>
      <c r="H18" s="8" t="n">
        <v>35</v>
      </c>
      <c r="I18" s="8">
        <f>G18*H18</f>
        <v/>
      </c>
      <c r="J18" s="8">
        <f>H18/E18</f>
        <v/>
      </c>
      <c r="K18" s="8" t="n">
        <v>20.9</v>
      </c>
      <c r="L18" s="8" t="n">
        <v>20.9</v>
      </c>
      <c r="M18" s="8" t="n">
        <v>20.9</v>
      </c>
      <c r="N18" s="14">
        <f>J18/M18-1</f>
        <v/>
      </c>
      <c r="O18" s="14">
        <f>J18/K18-1</f>
        <v/>
      </c>
      <c r="P18" s="7" t="inlineStr">
        <is>
          <t>ACIMA +67.5%</t>
        </is>
      </c>
      <c r="Q18" s="7" t="inlineStr"/>
    </row>
    <row r="19">
      <c r="A19" s="7" t="n">
        <v>249041</v>
      </c>
      <c r="B19" s="7" t="inlineStr"/>
      <c r="C19" s="12" t="inlineStr">
        <is>
          <t>7894916140348</t>
        </is>
      </c>
      <c r="D19" s="7" t="inlineStr">
        <is>
          <t>FINASTERIDA 5MG CX 30 COMP REV</t>
        </is>
      </c>
      <c r="E19" s="13" t="n">
        <v>1</v>
      </c>
      <c r="F19" s="13" t="n">
        <v>1</v>
      </c>
      <c r="G19" s="13" t="n">
        <v>1</v>
      </c>
      <c r="H19" s="8" t="n">
        <v>13.44</v>
      </c>
      <c r="I19" s="8">
        <f>G19*H19</f>
        <v/>
      </c>
      <c r="J19" s="8">
        <f>H19/E19</f>
        <v/>
      </c>
      <c r="K19" s="8" t="n">
        <v>15.75</v>
      </c>
      <c r="L19" s="8" t="n">
        <v>15.75</v>
      </c>
      <c r="M19" s="8" t="n">
        <v>15.75</v>
      </c>
      <c r="N19" s="14">
        <f>J19/M19-1</f>
        <v/>
      </c>
      <c r="O19" s="14">
        <f>J19/K19-1</f>
        <v/>
      </c>
      <c r="P19" s="7" t="inlineStr">
        <is>
          <t>OK (≤ menor hist.)</t>
        </is>
      </c>
      <c r="Q19" s="7" t="inlineStr"/>
    </row>
    <row r="20">
      <c r="A20" s="7" t="n">
        <v>34803</v>
      </c>
      <c r="B20" s="7" t="inlineStr"/>
      <c r="C20" s="12" t="inlineStr">
        <is>
          <t>7896714292717</t>
        </is>
      </c>
      <c r="D20" s="7" t="inlineStr">
        <is>
          <t>FLOMICIN 200MG FR 6 CAP</t>
        </is>
      </c>
      <c r="E20" s="13" t="n">
        <v>1</v>
      </c>
      <c r="F20" s="13" t="n">
        <v>5</v>
      </c>
      <c r="G20" s="13" t="n">
        <v>5</v>
      </c>
      <c r="H20" s="8" t="n">
        <v>19.85</v>
      </c>
      <c r="I20" s="8">
        <f>G20*H20</f>
        <v/>
      </c>
      <c r="J20" s="8">
        <f>H20/E20</f>
        <v/>
      </c>
      <c r="K20" s="8" t="n">
        <v>20.68</v>
      </c>
      <c r="L20" s="8" t="n">
        <v>20.68</v>
      </c>
      <c r="M20" s="8" t="n">
        <v>20.68</v>
      </c>
      <c r="N20" s="14">
        <f>J20/M20-1</f>
        <v/>
      </c>
      <c r="O20" s="14">
        <f>J20/K20-1</f>
        <v/>
      </c>
      <c r="P20" s="7" t="inlineStr">
        <is>
          <t>OK (≤ menor hist.)</t>
        </is>
      </c>
      <c r="Q20" s="7" t="inlineStr"/>
    </row>
    <row r="21">
      <c r="A21" s="7" t="n">
        <v>542921</v>
      </c>
      <c r="B21" s="7" t="inlineStr"/>
      <c r="C21" s="12" t="inlineStr">
        <is>
          <t>7898100242955</t>
        </is>
      </c>
      <c r="D21" s="7" t="inlineStr">
        <is>
          <t>GLICEL (N.S.) 2,254G CX 6 SUP ADU</t>
        </is>
      </c>
      <c r="E21" s="13" t="n">
        <v>1</v>
      </c>
      <c r="F21" s="13" t="n">
        <v>2</v>
      </c>
      <c r="G21" s="13" t="n">
        <v>2</v>
      </c>
      <c r="H21" s="8" t="n">
        <v>7.47</v>
      </c>
      <c r="I21" s="8">
        <f>G21*H21</f>
        <v/>
      </c>
      <c r="J21" s="8">
        <f>H21/E21</f>
        <v/>
      </c>
      <c r="K21" s="8" t="n">
        <v>6.69</v>
      </c>
      <c r="L21" s="8" t="n">
        <v>5.59</v>
      </c>
      <c r="M21" s="8" t="n">
        <v>6.223333333333334</v>
      </c>
      <c r="N21" s="14">
        <f>J21/M21-1</f>
        <v/>
      </c>
      <c r="O21" s="14">
        <f>J21/K21-1</f>
        <v/>
      </c>
      <c r="P21" s="7" t="inlineStr">
        <is>
          <t>ACIMA +11.7%</t>
        </is>
      </c>
      <c r="Q21" s="7" t="inlineStr"/>
    </row>
    <row r="22">
      <c r="A22" s="7" t="n">
        <v>553901</v>
      </c>
      <c r="B22" s="7" t="inlineStr"/>
      <c r="C22" s="12" t="inlineStr">
        <is>
          <t>7896004780481</t>
        </is>
      </c>
      <c r="D22" s="7" t="inlineStr">
        <is>
          <t>HEDRA EXPEC 7MG/ML SOL ORAL FR 100ML</t>
        </is>
      </c>
      <c r="E22" s="13" t="n">
        <v>1</v>
      </c>
      <c r="F22" s="13" t="n">
        <v>11</v>
      </c>
      <c r="G22" s="13" t="n">
        <v>11</v>
      </c>
      <c r="H22" s="8" t="n">
        <v>13.24</v>
      </c>
      <c r="I22" s="8">
        <f>G22*H22</f>
        <v/>
      </c>
      <c r="J22" s="8">
        <f>H22/E22</f>
        <v/>
      </c>
      <c r="K22" s="8" t="n">
        <v>13.0325</v>
      </c>
      <c r="L22" s="8" t="n">
        <v>11.95</v>
      </c>
      <c r="M22" s="8" t="n">
        <v>12.67166666666667</v>
      </c>
      <c r="N22" s="14">
        <f>J22/M22-1</f>
        <v/>
      </c>
      <c r="O22" s="14">
        <f>J22/K22-1</f>
        <v/>
      </c>
      <c r="P22" s="7" t="inlineStr">
        <is>
          <t>ACIMA +1.6%</t>
        </is>
      </c>
      <c r="Q22" s="7" t="inlineStr"/>
    </row>
    <row r="23">
      <c r="A23" s="7" t="n">
        <v>276041</v>
      </c>
      <c r="B23" s="7" t="inlineStr"/>
      <c r="C23" s="12" t="inlineStr">
        <is>
          <t>8902220114203</t>
        </is>
      </c>
      <c r="D23" s="7" t="inlineStr">
        <is>
          <t>HEMIFUMARATO DE BISOPROLOL 10MG CX 30 COMP REV</t>
        </is>
      </c>
      <c r="E23" s="13" t="n">
        <v>1</v>
      </c>
      <c r="F23" s="13" t="n">
        <v>1</v>
      </c>
      <c r="G23" s="13" t="n">
        <v>1</v>
      </c>
      <c r="H23" s="8" t="n">
        <v>31.45</v>
      </c>
      <c r="I23" s="8">
        <f>G23*H23</f>
        <v/>
      </c>
      <c r="J23" s="8">
        <f>H23/E23</f>
        <v/>
      </c>
      <c r="K23" s="8" t="n">
        <v>9.6</v>
      </c>
      <c r="L23" s="8" t="n">
        <v>9.6</v>
      </c>
      <c r="M23" s="8" t="n">
        <v>9.6</v>
      </c>
      <c r="N23" s="14">
        <f>J23/M23-1</f>
        <v/>
      </c>
      <c r="O23" s="14">
        <f>J23/K23-1</f>
        <v/>
      </c>
      <c r="P23" s="7" t="inlineStr">
        <is>
          <t>ACIMA +227.6%</t>
        </is>
      </c>
      <c r="Q23" s="7" t="inlineStr">
        <is>
          <t>conferir emb.</t>
        </is>
      </c>
    </row>
    <row r="24">
      <c r="A24" s="7" t="n">
        <v>295121</v>
      </c>
      <c r="B24" s="7" t="inlineStr"/>
      <c r="C24" s="12" t="inlineStr">
        <is>
          <t>7896004746029</t>
        </is>
      </c>
      <c r="D24" s="7" t="inlineStr">
        <is>
          <t>IBULIV 400MG CX 10BL X 4 CAP</t>
        </is>
      </c>
      <c r="E24" s="13" t="n">
        <v>1</v>
      </c>
      <c r="F24" s="13" t="n">
        <v>1</v>
      </c>
      <c r="G24" s="13" t="n">
        <v>1</v>
      </c>
      <c r="H24" s="8" t="n">
        <v>38.73</v>
      </c>
      <c r="I24" s="8">
        <f>G24*H24</f>
        <v/>
      </c>
      <c r="J24" s="8">
        <f>H24/E24</f>
        <v/>
      </c>
      <c r="K24" s="8" t="n">
        <v>3.588</v>
      </c>
      <c r="L24" s="8" t="n">
        <v>3.588</v>
      </c>
      <c r="M24" s="8" t="n">
        <v>3.588</v>
      </c>
      <c r="N24" s="14">
        <f>J24/M24-1</f>
        <v/>
      </c>
      <c r="O24" s="14">
        <f>J24/K24-1</f>
        <v/>
      </c>
      <c r="P24" s="7" t="inlineStr">
        <is>
          <t>ACIMA +979.4%</t>
        </is>
      </c>
      <c r="Q24" s="7" t="inlineStr">
        <is>
          <t>conferir emb.</t>
        </is>
      </c>
    </row>
    <row r="25">
      <c r="A25" s="7" t="n">
        <v>630311</v>
      </c>
      <c r="B25" s="7" t="inlineStr"/>
      <c r="C25" s="12" t="inlineStr">
        <is>
          <t>7898687735901</t>
        </is>
      </c>
      <c r="D25" s="7" t="inlineStr">
        <is>
          <t>IROSE  NITAZOXANIDA 20MG/ML PO SUS OR FR 45ML+SER DOS</t>
        </is>
      </c>
      <c r="E25" s="13" t="n">
        <v>1</v>
      </c>
      <c r="F25" s="13" t="n">
        <v>7</v>
      </c>
      <c r="G25" s="13" t="n">
        <v>7</v>
      </c>
      <c r="H25" s="8" t="n">
        <v>7.79</v>
      </c>
      <c r="I25" s="8">
        <f>G25*H25</f>
        <v/>
      </c>
      <c r="J25" s="8">
        <f>H25/E25</f>
        <v/>
      </c>
      <c r="K25" s="8" t="n">
        <v>7.32</v>
      </c>
      <c r="L25" s="8" t="n">
        <v>7.32</v>
      </c>
      <c r="M25" s="8" t="n">
        <v>7.32</v>
      </c>
      <c r="N25" s="14">
        <f>J25/M25-1</f>
        <v/>
      </c>
      <c r="O25" s="14">
        <f>J25/K25-1</f>
        <v/>
      </c>
      <c r="P25" s="7" t="inlineStr">
        <is>
          <t>ACIMA +6.4%</t>
        </is>
      </c>
      <c r="Q25" s="7" t="inlineStr"/>
    </row>
    <row r="26">
      <c r="A26" s="7" t="n">
        <v>570201</v>
      </c>
      <c r="B26" s="7" t="inlineStr"/>
      <c r="C26" s="12" t="inlineStr">
        <is>
          <t>7896004762098</t>
        </is>
      </c>
      <c r="D26" s="7" t="inlineStr">
        <is>
          <t>LACDAY 8CPR MAST</t>
        </is>
      </c>
      <c r="E26" s="13" t="n">
        <v>1</v>
      </c>
      <c r="F26" s="13" t="n">
        <v>3</v>
      </c>
      <c r="G26" s="13" t="n">
        <v>3</v>
      </c>
      <c r="H26" s="8" t="n">
        <v>19.74</v>
      </c>
      <c r="I26" s="8">
        <f>G26*H26</f>
        <v/>
      </c>
      <c r="J26" s="8">
        <f>H26/E26</f>
        <v/>
      </c>
      <c r="K26" s="8" t="n">
        <v>16.73</v>
      </c>
      <c r="L26" s="8" t="n">
        <v>16.73</v>
      </c>
      <c r="M26" s="8" t="n">
        <v>16.73</v>
      </c>
      <c r="N26" s="14">
        <f>J26/M26-1</f>
        <v/>
      </c>
      <c r="O26" s="14">
        <f>J26/K26-1</f>
        <v/>
      </c>
      <c r="P26" s="7" t="inlineStr">
        <is>
          <t>ACIMA +18.0%</t>
        </is>
      </c>
      <c r="Q26" s="7" t="inlineStr"/>
    </row>
    <row r="27">
      <c r="A27" s="7" t="n">
        <v>639261</v>
      </c>
      <c r="B27" s="7" t="inlineStr"/>
      <c r="C27" s="12" t="inlineStr">
        <is>
          <t>7896191204579</t>
        </is>
      </c>
      <c r="D27" s="7" t="inlineStr">
        <is>
          <t>MEIA KENDALL ALTA COMPRESSAO 3/4 S/PONTEIRA MEL (1883) G*</t>
        </is>
      </c>
      <c r="E27" s="13" t="n">
        <v>1</v>
      </c>
      <c r="F27" s="13" t="n">
        <v>1</v>
      </c>
      <c r="G27" s="13" t="n">
        <v>1</v>
      </c>
      <c r="H27" s="8" t="n">
        <v>71.33</v>
      </c>
      <c r="I27" s="8">
        <f>G27*H27</f>
        <v/>
      </c>
      <c r="J27" s="8">
        <f>H27/E27</f>
        <v/>
      </c>
      <c r="K27" s="8" t="n">
        <v>55.31</v>
      </c>
      <c r="L27" s="8" t="n">
        <v>55.31</v>
      </c>
      <c r="M27" s="8" t="n">
        <v>55.31</v>
      </c>
      <c r="N27" s="14">
        <f>J27/M27-1</f>
        <v/>
      </c>
      <c r="O27" s="14">
        <f>J27/K27-1</f>
        <v/>
      </c>
      <c r="P27" s="7" t="inlineStr">
        <is>
          <t>ACIMA +29.0%</t>
        </is>
      </c>
      <c r="Q27" s="7" t="inlineStr"/>
    </row>
    <row r="28">
      <c r="A28" s="7" t="n">
        <v>639291</v>
      </c>
      <c r="B28" s="7" t="inlineStr"/>
      <c r="C28" s="12" t="inlineStr">
        <is>
          <t>7896191246159</t>
        </is>
      </c>
      <c r="D28" s="7" t="inlineStr">
        <is>
          <t>MEIA KENDALL MEDIA COMPRESSAO 3/4 S/PONTEIRA MEL (1872) M*</t>
        </is>
      </c>
      <c r="E28" s="13" t="n">
        <v>1</v>
      </c>
      <c r="F28" s="13" t="n">
        <v>1</v>
      </c>
      <c r="G28" s="13" t="n">
        <v>1</v>
      </c>
      <c r="H28" s="8" t="n">
        <v>54.02</v>
      </c>
      <c r="I28" s="8">
        <f>G28*H28</f>
        <v/>
      </c>
      <c r="J28" s="8">
        <f>H28/E28</f>
        <v/>
      </c>
      <c r="K28" s="8" t="n">
        <v>41.97</v>
      </c>
      <c r="L28" s="8" t="n">
        <v>41.97</v>
      </c>
      <c r="M28" s="8" t="n">
        <v>41.97</v>
      </c>
      <c r="N28" s="14">
        <f>J28/M28-1</f>
        <v/>
      </c>
      <c r="O28" s="14">
        <f>J28/K28-1</f>
        <v/>
      </c>
      <c r="P28" s="7" t="inlineStr">
        <is>
          <t>ACIMA +28.7%</t>
        </is>
      </c>
      <c r="Q28" s="7" t="inlineStr"/>
    </row>
    <row r="29">
      <c r="A29" s="7" t="n">
        <v>656271</v>
      </c>
      <c r="B29" s="7" t="inlineStr"/>
      <c r="C29" s="12" t="inlineStr">
        <is>
          <t>7896436906749</t>
        </is>
      </c>
      <c r="D29" s="7" t="inlineStr">
        <is>
          <t>N AP INAL OMRON INALAR COMPACT NE-C810   OMRO %DN:10.61</t>
        </is>
      </c>
      <c r="E29" s="13" t="n">
        <v>1</v>
      </c>
      <c r="F29" s="13" t="n">
        <v>1</v>
      </c>
      <c r="G29" s="13" t="n">
        <v>1</v>
      </c>
      <c r="H29" s="8" t="n">
        <v>117.91</v>
      </c>
      <c r="I29" s="8">
        <f>G29*H29</f>
        <v/>
      </c>
      <c r="J29" s="8">
        <f>H29/E29</f>
        <v/>
      </c>
      <c r="K29" s="8" t="n">
        <v>99.98999999999999</v>
      </c>
      <c r="L29" s="8" t="n">
        <v>99.98999999999999</v>
      </c>
      <c r="M29" s="8" t="n">
        <v>99.98999999999999</v>
      </c>
      <c r="N29" s="14">
        <f>J29/M29-1</f>
        <v/>
      </c>
      <c r="O29" s="14">
        <f>J29/K29-1</f>
        <v/>
      </c>
      <c r="P29" s="7" t="inlineStr">
        <is>
          <t>ACIMA +17.9%</t>
        </is>
      </c>
      <c r="Q29" s="7" t="inlineStr"/>
    </row>
    <row r="30">
      <c r="A30" s="7" t="n">
        <v>35503</v>
      </c>
      <c r="B30" s="7" t="inlineStr"/>
      <c r="C30" s="12" t="inlineStr">
        <is>
          <t>7896714296227</t>
        </is>
      </c>
      <c r="D30" s="7" t="inlineStr">
        <is>
          <t>NEOLYTE 4 SCH 29,44G UVA (CLOR SODIO+POTASSIO+SODIO+GLICOSE)</t>
        </is>
      </c>
      <c r="E30" s="13" t="n">
        <v>1</v>
      </c>
      <c r="F30" s="13" t="n">
        <v>1</v>
      </c>
      <c r="G30" s="13" t="n">
        <v>1</v>
      </c>
      <c r="H30" s="8" t="n">
        <v>10.97</v>
      </c>
      <c r="I30" s="8">
        <f>G30*H30</f>
        <v/>
      </c>
      <c r="J30" s="8">
        <f>H30/E30</f>
        <v/>
      </c>
      <c r="K30" s="8" t="n">
        <v>11.43</v>
      </c>
      <c r="L30" s="8" t="n">
        <v>11.43</v>
      </c>
      <c r="M30" s="8" t="n">
        <v>11.43</v>
      </c>
      <c r="N30" s="14">
        <f>J30/M30-1</f>
        <v/>
      </c>
      <c r="O30" s="14">
        <f>J30/K30-1</f>
        <v/>
      </c>
      <c r="P30" s="7" t="inlineStr">
        <is>
          <t>OK (≤ menor hist.)</t>
        </is>
      </c>
      <c r="Q30" s="7" t="inlineStr"/>
    </row>
    <row r="31">
      <c r="A31" s="7" t="n">
        <v>35403</v>
      </c>
      <c r="B31" s="7" t="inlineStr"/>
      <c r="C31" s="12" t="inlineStr">
        <is>
          <t>7896714296203</t>
        </is>
      </c>
      <c r="D31" s="7" t="inlineStr">
        <is>
          <t>NEOLYTE CX 4 SACHES NATURAL</t>
        </is>
      </c>
      <c r="E31" s="13" t="n">
        <v>1</v>
      </c>
      <c r="F31" s="13" t="n">
        <v>1</v>
      </c>
      <c r="G31" s="13" t="n">
        <v>1</v>
      </c>
      <c r="H31" s="8" t="n">
        <v>10.6</v>
      </c>
      <c r="I31" s="8">
        <f>G31*H31</f>
        <v/>
      </c>
      <c r="J31" s="8">
        <f>H31/E31</f>
        <v/>
      </c>
      <c r="K31" s="8" t="n">
        <v>11.05</v>
      </c>
      <c r="L31" s="8" t="n">
        <v>11.05</v>
      </c>
      <c r="M31" s="8" t="n">
        <v>11.05</v>
      </c>
      <c r="N31" s="14">
        <f>J31/M31-1</f>
        <v/>
      </c>
      <c r="O31" s="14">
        <f>J31/K31-1</f>
        <v/>
      </c>
      <c r="P31" s="7" t="inlineStr">
        <is>
          <t>OK (≤ menor hist.)</t>
        </is>
      </c>
      <c r="Q31" s="7" t="inlineStr"/>
    </row>
    <row r="32">
      <c r="A32" s="7" t="n">
        <v>361801</v>
      </c>
      <c r="B32" s="7" t="inlineStr"/>
      <c r="C32" s="12" t="inlineStr">
        <is>
          <t>7894916143080</t>
        </is>
      </c>
      <c r="D32" s="7" t="inlineStr">
        <is>
          <t>NIMESULIDA 100MG CX 12 COMP</t>
        </is>
      </c>
      <c r="E32" s="13" t="n">
        <v>1</v>
      </c>
      <c r="F32" s="13" t="n">
        <v>1</v>
      </c>
      <c r="G32" s="13" t="n">
        <v>1</v>
      </c>
      <c r="H32" s="8" t="n">
        <v>1.41</v>
      </c>
      <c r="I32" s="8">
        <f>G32*H32</f>
        <v/>
      </c>
      <c r="J32" s="8">
        <f>H32/E32</f>
        <v/>
      </c>
      <c r="K32" s="8" t="n">
        <v>1.29</v>
      </c>
      <c r="L32" s="8" t="n">
        <v>1.29</v>
      </c>
      <c r="M32" s="8" t="n">
        <v>1.29</v>
      </c>
      <c r="N32" s="14">
        <f>J32/M32-1</f>
        <v/>
      </c>
      <c r="O32" s="14">
        <f>J32/K32-1</f>
        <v/>
      </c>
      <c r="P32" s="7" t="inlineStr">
        <is>
          <t>ACIMA +9.3%</t>
        </is>
      </c>
      <c r="Q32" s="7" t="inlineStr"/>
    </row>
    <row r="33">
      <c r="A33" s="7" t="n">
        <v>363861</v>
      </c>
      <c r="B33" s="7" t="inlineStr"/>
      <c r="C33" s="12" t="inlineStr">
        <is>
          <t>7898569764517</t>
        </is>
      </c>
      <c r="D33" s="7" t="inlineStr">
        <is>
          <t>NITAZOXANIDA 500MG CX 6 COMP REV</t>
        </is>
      </c>
      <c r="E33" s="13" t="n">
        <v>1</v>
      </c>
      <c r="F33" s="13" t="n">
        <v>5</v>
      </c>
      <c r="G33" s="13" t="n">
        <v>5</v>
      </c>
      <c r="H33" s="8" t="n">
        <v>12.16</v>
      </c>
      <c r="I33" s="8">
        <f>G33*H33</f>
        <v/>
      </c>
      <c r="J33" s="8">
        <f>H33/E33</f>
        <v/>
      </c>
      <c r="K33" s="8" t="n">
        <v>12.98</v>
      </c>
      <c r="L33" s="8" t="n">
        <v>12.98</v>
      </c>
      <c r="M33" s="8" t="n">
        <v>12.98</v>
      </c>
      <c r="N33" s="14">
        <f>J33/M33-1</f>
        <v/>
      </c>
      <c r="O33" s="14">
        <f>J33/K33-1</f>
        <v/>
      </c>
      <c r="P33" s="7" t="inlineStr">
        <is>
          <t>OK (≤ menor hist.)</t>
        </is>
      </c>
      <c r="Q33" s="7" t="inlineStr"/>
    </row>
    <row r="34">
      <c r="A34" s="7" t="n">
        <v>584721</v>
      </c>
      <c r="B34" s="7" t="inlineStr"/>
      <c r="C34" s="12" t="inlineStr">
        <is>
          <t>7898556850988</t>
        </is>
      </c>
      <c r="D34" s="7" t="inlineStr">
        <is>
          <t>PRES RILEX BACON 3UN</t>
        </is>
      </c>
      <c r="E34" s="13" t="n">
        <v>1</v>
      </c>
      <c r="F34" s="13" t="n">
        <v>1</v>
      </c>
      <c r="G34" s="13" t="n">
        <v>1</v>
      </c>
      <c r="H34" s="8" t="n">
        <v>3.43</v>
      </c>
      <c r="I34" s="8">
        <f>G34*H34</f>
        <v/>
      </c>
      <c r="J34" s="8">
        <f>H34/E34</f>
        <v/>
      </c>
      <c r="K34" s="8" t="n">
        <v>6.16</v>
      </c>
      <c r="L34" s="8" t="n">
        <v>6.16</v>
      </c>
      <c r="M34" s="8" t="n">
        <v>6.16</v>
      </c>
      <c r="N34" s="14">
        <f>J34/M34-1</f>
        <v/>
      </c>
      <c r="O34" s="14">
        <f>J34/K34-1</f>
        <v/>
      </c>
      <c r="P34" s="7" t="inlineStr">
        <is>
          <t>OK (≤ menor hist.)</t>
        </is>
      </c>
      <c r="Q34" s="7" t="inlineStr"/>
    </row>
    <row r="35">
      <c r="A35" s="7" t="n">
        <v>492781</v>
      </c>
      <c r="B35" s="7" t="inlineStr"/>
      <c r="C35" s="12" t="inlineStr">
        <is>
          <t>7896004778341</t>
        </is>
      </c>
      <c r="D35" s="7" t="inlineStr">
        <is>
          <t>PVV - ALLOVITA 50MG/ML SOL CAPI 3 FR 50ML(UNIDADE)</t>
        </is>
      </c>
      <c r="E35" s="13" t="n">
        <v>1</v>
      </c>
      <c r="F35" s="13" t="n">
        <v>2</v>
      </c>
      <c r="G35" s="13" t="n">
        <v>2</v>
      </c>
      <c r="H35" s="8" t="n">
        <v>78.77</v>
      </c>
      <c r="I35" s="8">
        <f>G35*H35</f>
        <v/>
      </c>
      <c r="J35" s="8">
        <f>H35/E35</f>
        <v/>
      </c>
      <c r="K35" s="8" t="n">
        <v>47.24</v>
      </c>
      <c r="L35" s="8" t="n">
        <v>47.24</v>
      </c>
      <c r="M35" s="8" t="n">
        <v>47.24</v>
      </c>
      <c r="N35" s="14">
        <f>J35/M35-1</f>
        <v/>
      </c>
      <c r="O35" s="14">
        <f>J35/K35-1</f>
        <v/>
      </c>
      <c r="P35" s="7" t="inlineStr">
        <is>
          <t>ACIMA +66.7%</t>
        </is>
      </c>
      <c r="Q35" s="7" t="inlineStr"/>
    </row>
    <row r="36">
      <c r="A36" s="7" t="n">
        <v>428321</v>
      </c>
      <c r="B36" s="7" t="inlineStr"/>
      <c r="C36" s="12" t="inlineStr">
        <is>
          <t>7895296096034</t>
        </is>
      </c>
      <c r="D36" s="7" t="inlineStr">
        <is>
          <t>PVV - ROSUVASTATINA CALCICA 10MG CX 30 COMP REV</t>
        </is>
      </c>
      <c r="E36" s="13" t="n">
        <v>1</v>
      </c>
      <c r="F36" s="13" t="n">
        <v>3</v>
      </c>
      <c r="G36" s="13" t="n">
        <v>3</v>
      </c>
      <c r="H36" s="8" t="n">
        <v>6.69</v>
      </c>
      <c r="I36" s="8">
        <f>G36*H36</f>
        <v/>
      </c>
      <c r="J36" s="8">
        <f>H36/E36</f>
        <v/>
      </c>
      <c r="K36" s="8" t="n">
        <v>7.9862</v>
      </c>
      <c r="L36" s="8" t="n">
        <v>7.9862</v>
      </c>
      <c r="M36" s="8" t="n">
        <v>7.9862</v>
      </c>
      <c r="N36" s="14">
        <f>J36/M36-1</f>
        <v/>
      </c>
      <c r="O36" s="14">
        <f>J36/K36-1</f>
        <v/>
      </c>
      <c r="P36" s="7" t="inlineStr">
        <is>
          <t>OK (≤ menor hist.)</t>
        </is>
      </c>
      <c r="Q36" s="7" t="inlineStr"/>
    </row>
    <row r="37">
      <c r="A37" s="7" t="n">
        <v>666461</v>
      </c>
      <c r="B37" s="7" t="inlineStr"/>
      <c r="C37" s="12" t="inlineStr">
        <is>
          <t>7894916325899</t>
        </is>
      </c>
      <c r="D37" s="7" t="inlineStr">
        <is>
          <t>REPOFLOR 250/250MG CX 6 SACHES</t>
        </is>
      </c>
      <c r="E37" s="13" t="n">
        <v>1</v>
      </c>
      <c r="F37" s="13" t="n">
        <v>1</v>
      </c>
      <c r="G37" s="13" t="n">
        <v>1</v>
      </c>
      <c r="H37" s="8" t="n">
        <v>23.25</v>
      </c>
      <c r="I37" s="8">
        <f>G37*H37</f>
        <v/>
      </c>
      <c r="J37" s="8">
        <f>H37/E37</f>
        <v/>
      </c>
      <c r="K37" s="8" t="n">
        <v>20.61</v>
      </c>
      <c r="L37" s="8" t="n">
        <v>14.57</v>
      </c>
      <c r="M37" s="8" t="n">
        <v>14.57</v>
      </c>
      <c r="N37" s="14">
        <f>J37/M37-1</f>
        <v/>
      </c>
      <c r="O37" s="14">
        <f>J37/K37-1</f>
        <v/>
      </c>
      <c r="P37" s="7" t="inlineStr">
        <is>
          <t>ACIMA +12.8%</t>
        </is>
      </c>
      <c r="Q37" s="7" t="inlineStr"/>
    </row>
    <row r="38">
      <c r="A38" s="7" t="n">
        <v>624511</v>
      </c>
      <c r="B38" s="7" t="inlineStr"/>
      <c r="C38" s="12" t="inlineStr">
        <is>
          <t>7896004769943</t>
        </is>
      </c>
      <c r="D38" s="7" t="inlineStr">
        <is>
          <t>REPOFLOR 250MG CX 10 SACHES</t>
        </is>
      </c>
      <c r="E38" s="13" t="n">
        <v>1</v>
      </c>
      <c r="F38" s="13" t="n">
        <v>1</v>
      </c>
      <c r="G38" s="13" t="n">
        <v>1</v>
      </c>
      <c r="H38" s="8" t="n">
        <v>26.83</v>
      </c>
      <c r="I38" s="8">
        <f>G38*H38</f>
        <v/>
      </c>
      <c r="J38" s="8">
        <f>H38/E38</f>
        <v/>
      </c>
      <c r="K38" s="8" t="n">
        <v>33.23</v>
      </c>
      <c r="L38" s="8" t="n">
        <v>29.22</v>
      </c>
      <c r="M38" s="8" t="n">
        <v>30.55666666666666</v>
      </c>
      <c r="N38" s="14">
        <f>J38/M38-1</f>
        <v/>
      </c>
      <c r="O38" s="14">
        <f>J38/K38-1</f>
        <v/>
      </c>
      <c r="P38" s="7" t="inlineStr">
        <is>
          <t>OK (≤ menor hist.)</t>
        </is>
      </c>
      <c r="Q38" s="7" t="inlineStr"/>
    </row>
    <row r="39">
      <c r="A39" s="7" t="n">
        <v>428101</v>
      </c>
      <c r="B39" s="7" t="inlineStr"/>
      <c r="C39" s="12" t="inlineStr">
        <is>
          <t>7898569760458</t>
        </is>
      </c>
      <c r="D39" s="7" t="inlineStr">
        <is>
          <t>ROSUVASTATINA CALCICA 10MG CX 30 COMP REV</t>
        </is>
      </c>
      <c r="E39" s="13" t="n">
        <v>1</v>
      </c>
      <c r="F39" s="13" t="n">
        <v>1</v>
      </c>
      <c r="G39" s="13" t="n">
        <v>1</v>
      </c>
      <c r="H39" s="8" t="n">
        <v>4.88</v>
      </c>
      <c r="I39" s="8">
        <f>G39*H39</f>
        <v/>
      </c>
      <c r="J39" s="8">
        <f>H39/E39</f>
        <v/>
      </c>
      <c r="K39" s="8" t="n">
        <v>3.89</v>
      </c>
      <c r="L39" s="8" t="n">
        <v>3.89</v>
      </c>
      <c r="M39" s="8" t="n">
        <v>3.89</v>
      </c>
      <c r="N39" s="14">
        <f>J39/M39-1</f>
        <v/>
      </c>
      <c r="O39" s="14">
        <f>J39/K39-1</f>
        <v/>
      </c>
      <c r="P39" s="7" t="inlineStr">
        <is>
          <t>ACIMA +25.4%</t>
        </is>
      </c>
      <c r="Q39" s="7" t="inlineStr"/>
    </row>
    <row r="40">
      <c r="A40" s="7" t="n">
        <v>428181</v>
      </c>
      <c r="B40" s="7" t="inlineStr"/>
      <c r="C40" s="12" t="inlineStr">
        <is>
          <t>7898569760496</t>
        </is>
      </c>
      <c r="D40" s="7" t="inlineStr">
        <is>
          <t>ROSUVASTATINA CALCICA 20MG CX 30 COMP REV</t>
        </is>
      </c>
      <c r="E40" s="13" t="n">
        <v>1</v>
      </c>
      <c r="F40" s="13" t="n">
        <v>5</v>
      </c>
      <c r="G40" s="13" t="n">
        <v>5</v>
      </c>
      <c r="H40" s="8" t="n">
        <v>7.46</v>
      </c>
      <c r="I40" s="8">
        <f>G40*H40</f>
        <v/>
      </c>
      <c r="J40" s="8">
        <f>H40/E40</f>
        <v/>
      </c>
      <c r="K40" s="8" t="n">
        <v>6.83</v>
      </c>
      <c r="L40" s="8" t="n">
        <v>6.83</v>
      </c>
      <c r="M40" s="8" t="n">
        <v>6.830000000000001</v>
      </c>
      <c r="N40" s="14">
        <f>J40/M40-1</f>
        <v/>
      </c>
      <c r="O40" s="14">
        <f>J40/K40-1</f>
        <v/>
      </c>
      <c r="P40" s="7" t="inlineStr">
        <is>
          <t>ACIMA +9.2%</t>
        </is>
      </c>
      <c r="Q40" s="7" t="inlineStr"/>
    </row>
    <row r="41">
      <c r="A41" s="7" t="n">
        <v>13261</v>
      </c>
      <c r="B41" s="7" t="inlineStr"/>
      <c r="C41" s="12" t="inlineStr">
        <is>
          <t>7898100243792</t>
        </is>
      </c>
      <c r="D41" s="7" t="inlineStr">
        <is>
          <t>SALICETIL INFANTIL 100 MG 10CP</t>
        </is>
      </c>
      <c r="E41" s="13" t="n">
        <v>1</v>
      </c>
      <c r="F41" s="13" t="n">
        <v>4</v>
      </c>
      <c r="G41" s="13" t="n">
        <v>4</v>
      </c>
      <c r="H41" s="8" t="n">
        <v>12.26</v>
      </c>
      <c r="I41" s="8">
        <f>G41*H41</f>
        <v/>
      </c>
      <c r="J41" s="8">
        <f>H41/E41</f>
        <v/>
      </c>
      <c r="K41" s="8" t="n">
        <v>0.4995</v>
      </c>
      <c r="L41" s="8" t="n">
        <v>0.4495</v>
      </c>
      <c r="M41" s="8" t="n">
        <v>0.4828333333333334</v>
      </c>
      <c r="N41" s="14">
        <f>J41/M41-1</f>
        <v/>
      </c>
      <c r="O41" s="14">
        <f>J41/K41-1</f>
        <v/>
      </c>
      <c r="P41" s="7" t="inlineStr">
        <is>
          <t>ACIMA +2354.5%</t>
        </is>
      </c>
      <c r="Q41" s="7" t="inlineStr">
        <is>
          <t>conferir emb.</t>
        </is>
      </c>
    </row>
    <row r="42">
      <c r="A42" s="7" t="n">
        <v>670121</v>
      </c>
      <c r="B42" s="7" t="inlineStr"/>
      <c r="C42" s="12" t="inlineStr">
        <is>
          <t>7896540789580</t>
        </is>
      </c>
      <c r="D42" s="7" t="inlineStr">
        <is>
          <t>TERMOMETRO CLIN. DIG. AMARELO ENCARTELAD</t>
        </is>
      </c>
      <c r="E42" s="13" t="n">
        <v>1</v>
      </c>
      <c r="F42" s="13" t="n">
        <v>1</v>
      </c>
      <c r="G42" s="13" t="n">
        <v>1</v>
      </c>
      <c r="H42" s="8" t="n">
        <v>13.04</v>
      </c>
      <c r="I42" s="8">
        <f>G42*H42</f>
        <v/>
      </c>
      <c r="J42" s="8">
        <f>H42/E42</f>
        <v/>
      </c>
      <c r="K42" s="8" t="n"/>
      <c r="L42" s="8" t="n"/>
      <c r="M42" s="8" t="n"/>
      <c r="N42" s="14" t="n"/>
      <c r="O42" s="14" t="n"/>
      <c r="P42" s="7" t="inlineStr">
        <is>
          <t>SEM HISTÓRICO</t>
        </is>
      </c>
      <c r="Q42" s="7" t="inlineStr"/>
    </row>
    <row r="43">
      <c r="A43" s="7" t="n">
        <v>464681</v>
      </c>
      <c r="B43" s="7" t="inlineStr"/>
      <c r="C43" s="12" t="inlineStr">
        <is>
          <t>7894916145541</t>
        </is>
      </c>
      <c r="D43" s="7" t="inlineStr">
        <is>
          <t>TOBRAMICINA 3MG SOL OFT FR 5ML</t>
        </is>
      </c>
      <c r="E43" s="13" t="n">
        <v>1</v>
      </c>
      <c r="F43" s="13" t="n">
        <v>5</v>
      </c>
      <c r="G43" s="13" t="n">
        <v>5</v>
      </c>
      <c r="H43" s="8" t="n">
        <v>7.38</v>
      </c>
      <c r="I43" s="8">
        <f>G43*H43</f>
        <v/>
      </c>
      <c r="J43" s="8">
        <f>H43/E43</f>
        <v/>
      </c>
      <c r="K43" s="8" t="n">
        <v>11.61</v>
      </c>
      <c r="L43" s="8" t="n">
        <v>10.1</v>
      </c>
      <c r="M43" s="8" t="n">
        <v>10.51666666666667</v>
      </c>
      <c r="N43" s="14">
        <f>J43/M43-1</f>
        <v/>
      </c>
      <c r="O43" s="14">
        <f>J43/K43-1</f>
        <v/>
      </c>
      <c r="P43" s="7" t="inlineStr">
        <is>
          <t>OK (≤ menor hist.)</t>
        </is>
      </c>
      <c r="Q43" s="7" t="inlineStr"/>
    </row>
    <row r="44">
      <c r="A44" s="7" t="n">
        <v>660321</v>
      </c>
      <c r="B44" s="7" t="inlineStr"/>
      <c r="C44" s="12" t="inlineStr">
        <is>
          <t>7896714295503</t>
        </is>
      </c>
      <c r="D44" s="7" t="inlineStr">
        <is>
          <t>TRIMETAZIDINA 35MG 30CP LIB PROL(NQG)</t>
        </is>
      </c>
      <c r="E44" s="13" t="n">
        <v>1</v>
      </c>
      <c r="F44" s="13" t="n">
        <v>1</v>
      </c>
      <c r="G44" s="13" t="n">
        <v>1</v>
      </c>
      <c r="H44" s="8" t="n">
        <v>32.68</v>
      </c>
      <c r="I44" s="8">
        <f>G44*H44</f>
        <v/>
      </c>
      <c r="J44" s="8">
        <f>H44/E44</f>
        <v/>
      </c>
      <c r="K44" s="8" t="n">
        <v>29.54</v>
      </c>
      <c r="L44" s="8" t="n">
        <v>29.54</v>
      </c>
      <c r="M44" s="8" t="n">
        <v>29.54</v>
      </c>
      <c r="N44" s="14">
        <f>J44/M44-1</f>
        <v/>
      </c>
      <c r="O44" s="14">
        <f>J44/K44-1</f>
        <v/>
      </c>
      <c r="P44" s="7" t="inlineStr">
        <is>
          <t>ACIMA +10.6%</t>
        </is>
      </c>
      <c r="Q44" s="7" t="inlineStr"/>
    </row>
    <row r="45">
      <c r="A45" s="7" t="n">
        <v>35603</v>
      </c>
      <c r="B45" s="7" t="inlineStr"/>
      <c r="C45" s="12" t="inlineStr">
        <is>
          <t>7896094931688</t>
        </is>
      </c>
      <c r="D45" s="7" t="inlineStr">
        <is>
          <t>VIT NEO QUIMICA B12 60 CPR MAST (VITAMINA B12)</t>
        </is>
      </c>
      <c r="E45" s="13" t="n">
        <v>1</v>
      </c>
      <c r="F45" s="13" t="n">
        <v>2</v>
      </c>
      <c r="G45" s="13" t="n">
        <v>2</v>
      </c>
      <c r="H45" s="8" t="n">
        <v>17.44</v>
      </c>
      <c r="I45" s="8">
        <f>G45*H45</f>
        <v/>
      </c>
      <c r="J45" s="8">
        <f>H45/E45</f>
        <v/>
      </c>
      <c r="K45" s="8" t="n">
        <v>14.57</v>
      </c>
      <c r="L45" s="8" t="n">
        <v>14.57</v>
      </c>
      <c r="M45" s="8" t="n">
        <v>14.57</v>
      </c>
      <c r="N45" s="14">
        <f>J45/M45-1</f>
        <v/>
      </c>
      <c r="O45" s="14">
        <f>J45/K45-1</f>
        <v/>
      </c>
      <c r="P45" s="7" t="inlineStr">
        <is>
          <t>ACIMA +19.7%</t>
        </is>
      </c>
      <c r="Q45" s="7" t="inlineStr"/>
    </row>
    <row r="46">
      <c r="A46" s="7" t="n">
        <v>193181</v>
      </c>
      <c r="B46" s="7" t="inlineStr"/>
      <c r="C46" s="12" t="inlineStr">
        <is>
          <t>7898569765125</t>
        </is>
      </c>
      <c r="D46" s="7" t="inlineStr">
        <is>
          <t>VITAMINA D3 10000UI CX 8 CAP</t>
        </is>
      </c>
      <c r="E46" s="13" t="n">
        <v>1</v>
      </c>
      <c r="F46" s="13" t="n">
        <v>1</v>
      </c>
      <c r="G46" s="13" t="n">
        <v>1</v>
      </c>
      <c r="H46" s="8" t="n">
        <v>16.85</v>
      </c>
      <c r="I46" s="8">
        <f>G46*H46</f>
        <v/>
      </c>
      <c r="J46" s="8">
        <f>H46/E46</f>
        <v/>
      </c>
      <c r="K46" s="8" t="n">
        <v>12.69</v>
      </c>
      <c r="L46" s="8" t="n">
        <v>12.69</v>
      </c>
      <c r="M46" s="8" t="n">
        <v>12.69</v>
      </c>
      <c r="N46" s="14">
        <f>J46/M46-1</f>
        <v/>
      </c>
      <c r="O46" s="14">
        <f>J46/K46-1</f>
        <v/>
      </c>
      <c r="P46" s="7" t="inlineStr">
        <is>
          <t>ACIMA +32.8%</t>
        </is>
      </c>
      <c r="Q46" s="7" t="inlineStr"/>
    </row>
    <row r="47">
      <c r="D47" s="5" t="inlineStr">
        <is>
          <t>TOTAL</t>
        </is>
      </c>
      <c r="I47" s="18">
        <f>SUM(I2:I46)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7" customWidth="1" min="16" max="16"/>
    <col width="26" customWidth="1" min="17" max="17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Média hist.</t>
        </is>
      </c>
      <c r="N1" s="11" t="inlineStr">
        <is>
          <t>% vs média hist.</t>
        </is>
      </c>
      <c r="O1" s="11" t="inlineStr">
        <is>
          <t>% vs últ. compra</t>
        </is>
      </c>
      <c r="P1" s="11" t="inlineStr">
        <is>
          <t>Status</t>
        </is>
      </c>
      <c r="Q1" s="11" t="inlineStr">
        <is>
          <t>OBS</t>
        </is>
      </c>
    </row>
    <row r="2">
      <c r="A2" s="7" t="n">
        <v>532101</v>
      </c>
      <c r="B2" s="7" t="inlineStr"/>
      <c r="C2" s="12" t="inlineStr"/>
      <c r="D2" s="7" t="inlineStr">
        <is>
          <t>ABERALGINA GTS 10ML (DIPIRONA)</t>
        </is>
      </c>
      <c r="E2" s="13" t="n">
        <v>1</v>
      </c>
      <c r="F2" s="13" t="n">
        <v>16</v>
      </c>
      <c r="G2" s="13" t="n">
        <v>16</v>
      </c>
      <c r="H2" s="8" t="n">
        <v>1.39</v>
      </c>
      <c r="I2" s="8">
        <f>G2*H2</f>
        <v/>
      </c>
      <c r="J2" s="8">
        <f>H2/E2</f>
        <v/>
      </c>
      <c r="K2" s="8" t="n">
        <v>1.46</v>
      </c>
      <c r="L2" s="8" t="n">
        <v>1.45</v>
      </c>
      <c r="M2" s="8" t="n">
        <v>1.45</v>
      </c>
      <c r="N2" s="14">
        <f>J2/M2-1</f>
        <v/>
      </c>
      <c r="O2" s="14">
        <f>J2/K2-1</f>
        <v/>
      </c>
      <c r="P2" s="7" t="inlineStr">
        <is>
          <t>OK (≤ menor hist.)</t>
        </is>
      </c>
      <c r="Q2" s="7" t="inlineStr"/>
    </row>
    <row r="3">
      <c r="A3" s="7" t="n">
        <v>638981</v>
      </c>
      <c r="B3" s="7" t="inlineStr"/>
      <c r="C3" s="12" t="inlineStr">
        <is>
          <t>7894164009008</t>
        </is>
      </c>
      <c r="D3" s="7" t="inlineStr">
        <is>
          <t>ABIDOR CRIANCA 32G 60ML SUS.</t>
        </is>
      </c>
      <c r="E3" s="13" t="n">
        <v>1</v>
      </c>
      <c r="F3" s="13" t="n">
        <v>4</v>
      </c>
      <c r="G3" s="13" t="n">
        <v>4</v>
      </c>
      <c r="H3" s="8" t="n">
        <v>6.11</v>
      </c>
      <c r="I3" s="8">
        <f>G3*H3</f>
        <v/>
      </c>
      <c r="J3" s="8">
        <f>H3/E3</f>
        <v/>
      </c>
      <c r="K3" s="8" t="n">
        <v>5.65</v>
      </c>
      <c r="L3" s="8" t="n">
        <v>5.65</v>
      </c>
      <c r="M3" s="8" t="n">
        <v>5.650000000000001</v>
      </c>
      <c r="N3" s="14">
        <f>J3/M3-1</f>
        <v/>
      </c>
      <c r="O3" s="14">
        <f>J3/K3-1</f>
        <v/>
      </c>
      <c r="P3" s="7" t="inlineStr">
        <is>
          <t>ACIMA +8.1%</t>
        </is>
      </c>
      <c r="Q3" s="7" t="inlineStr"/>
    </row>
    <row r="4">
      <c r="A4" s="7" t="n">
        <v>563221</v>
      </c>
      <c r="B4" s="7" t="inlineStr"/>
      <c r="C4" s="12" t="inlineStr"/>
      <c r="D4" s="7" t="inlineStr">
        <is>
          <t>ABIDOR GTS 200MG/ML 15ML TUTTI-FRUTTI</t>
        </is>
      </c>
      <c r="E4" s="13" t="n">
        <v>1</v>
      </c>
      <c r="F4" s="13" t="n">
        <v>24</v>
      </c>
      <c r="G4" s="13" t="n">
        <v>24</v>
      </c>
      <c r="H4" s="8" t="n">
        <v>2.35</v>
      </c>
      <c r="I4" s="8">
        <f>G4*H4</f>
        <v/>
      </c>
      <c r="J4" s="8">
        <f>H4/E4</f>
        <v/>
      </c>
      <c r="K4" s="8" t="n">
        <v>2.33</v>
      </c>
      <c r="L4" s="8" t="n">
        <v>2.33</v>
      </c>
      <c r="M4" s="8" t="n">
        <v>2.33</v>
      </c>
      <c r="N4" s="14">
        <f>J4/M4-1</f>
        <v/>
      </c>
      <c r="O4" s="14">
        <f>J4/K4-1</f>
        <v/>
      </c>
      <c r="P4" s="7" t="inlineStr">
        <is>
          <t>ACIMA +0.9%</t>
        </is>
      </c>
      <c r="Q4" s="7" t="inlineStr"/>
    </row>
    <row r="5">
      <c r="A5" s="7" t="n">
        <v>2081</v>
      </c>
      <c r="B5" s="7" t="inlineStr"/>
      <c r="C5" s="12" t="inlineStr">
        <is>
          <t>7899620912731</t>
        </is>
      </c>
      <c r="D5" s="7" t="inlineStr">
        <is>
          <t>ACEBROFILINA 10MG/ML XPE FR 120ML+COP MED</t>
        </is>
      </c>
      <c r="E5" s="13" t="n">
        <v>1</v>
      </c>
      <c r="F5" s="13" t="n">
        <v>2</v>
      </c>
      <c r="G5" s="13" t="n">
        <v>2</v>
      </c>
      <c r="H5" s="8" t="n">
        <v>6.7</v>
      </c>
      <c r="I5" s="8">
        <f>G5*H5</f>
        <v/>
      </c>
      <c r="J5" s="8">
        <f>H5/E5</f>
        <v/>
      </c>
      <c r="K5" s="8" t="n">
        <v>7.01</v>
      </c>
      <c r="L5" s="8" t="n">
        <v>7.01</v>
      </c>
      <c r="M5" s="8" t="n">
        <v>7.010000000000001</v>
      </c>
      <c r="N5" s="14">
        <f>J5/M5-1</f>
        <v/>
      </c>
      <c r="O5" s="14">
        <f>J5/K5-1</f>
        <v/>
      </c>
      <c r="P5" s="7" t="inlineStr">
        <is>
          <t>OK (≤ menor hist.)</t>
        </is>
      </c>
      <c r="Q5" s="7" t="inlineStr"/>
    </row>
    <row r="6">
      <c r="A6" s="7" t="n">
        <v>577801</v>
      </c>
      <c r="B6" s="7" t="inlineStr"/>
      <c r="C6" s="12" t="inlineStr"/>
      <c r="D6" s="7" t="inlineStr">
        <is>
          <t>ADTON GOTAS SOL ORAL 20 ML</t>
        </is>
      </c>
      <c r="E6" s="13" t="n">
        <v>1</v>
      </c>
      <c r="F6" s="13" t="n">
        <v>3</v>
      </c>
      <c r="G6" s="13" t="n">
        <v>3</v>
      </c>
      <c r="H6" s="8" t="n">
        <v>10.3</v>
      </c>
      <c r="I6" s="8">
        <f>G6*H6</f>
        <v/>
      </c>
      <c r="J6" s="8">
        <f>H6/E6</f>
        <v/>
      </c>
      <c r="K6" s="8" t="n">
        <v>8.83</v>
      </c>
      <c r="L6" s="8" t="n">
        <v>8.710000000000001</v>
      </c>
      <c r="M6" s="8" t="n">
        <v>8.790000000000001</v>
      </c>
      <c r="N6" s="14">
        <f>J6/M6-1</f>
        <v/>
      </c>
      <c r="O6" s="14">
        <f>J6/K6-1</f>
        <v/>
      </c>
      <c r="P6" s="7" t="inlineStr">
        <is>
          <t>ACIMA +16.6%</t>
        </is>
      </c>
      <c r="Q6" s="7" t="inlineStr"/>
    </row>
    <row r="7">
      <c r="A7" s="7" t="n">
        <v>532121</v>
      </c>
      <c r="B7" s="7" t="inlineStr"/>
      <c r="C7" s="12" t="inlineStr">
        <is>
          <t>7898031310082</t>
        </is>
      </c>
      <c r="D7" s="7" t="inlineStr">
        <is>
          <t>AGUA BORICADA 3% 100ML</t>
        </is>
      </c>
      <c r="E7" s="13" t="n">
        <v>1</v>
      </c>
      <c r="F7" s="13" t="n">
        <v>1</v>
      </c>
      <c r="G7" s="13" t="n">
        <v>1</v>
      </c>
      <c r="H7" s="8" t="n">
        <v>2.39</v>
      </c>
      <c r="I7" s="8">
        <f>G7*H7</f>
        <v/>
      </c>
      <c r="J7" s="8">
        <f>H7/E7</f>
        <v/>
      </c>
      <c r="K7" s="8" t="n">
        <v>2.49</v>
      </c>
      <c r="L7" s="8" t="n">
        <v>2.49</v>
      </c>
      <c r="M7" s="8" t="n">
        <v>2.49</v>
      </c>
      <c r="N7" s="14">
        <f>J7/M7-1</f>
        <v/>
      </c>
      <c r="O7" s="14">
        <f>J7/K7-1</f>
        <v/>
      </c>
      <c r="P7" s="7" t="inlineStr">
        <is>
          <t>OK (≤ menor hist.)</t>
        </is>
      </c>
      <c r="Q7" s="7" t="inlineStr"/>
    </row>
    <row r="8">
      <c r="A8" s="7" t="n">
        <v>203301</v>
      </c>
      <c r="B8" s="7" t="inlineStr"/>
      <c r="C8" s="12" t="inlineStr"/>
      <c r="D8" s="7" t="inlineStr">
        <is>
          <t>ALERADINA 5MG CX 10 COMP REV</t>
        </is>
      </c>
      <c r="E8" s="13" t="n">
        <v>1</v>
      </c>
      <c r="F8" s="13" t="n">
        <v>15</v>
      </c>
      <c r="G8" s="13" t="n">
        <v>15</v>
      </c>
      <c r="H8" s="8" t="n">
        <v>4.92</v>
      </c>
      <c r="I8" s="8">
        <f>G8*H8</f>
        <v/>
      </c>
      <c r="J8" s="8">
        <f>H8/E8</f>
        <v/>
      </c>
      <c r="K8" s="8" t="n">
        <v>4.96</v>
      </c>
      <c r="L8" s="8" t="n">
        <v>4.96</v>
      </c>
      <c r="M8" s="8" t="n">
        <v>4.96</v>
      </c>
      <c r="N8" s="14">
        <f>J8/M8-1</f>
        <v/>
      </c>
      <c r="O8" s="14">
        <f>J8/K8-1</f>
        <v/>
      </c>
      <c r="P8" s="7" t="inlineStr">
        <is>
          <t>OK (≤ menor hist.)</t>
        </is>
      </c>
      <c r="Q8" s="7" t="inlineStr"/>
    </row>
    <row r="9">
      <c r="A9" s="7" t="n">
        <v>643861</v>
      </c>
      <c r="B9" s="7" t="inlineStr"/>
      <c r="C9" s="12" t="inlineStr"/>
      <c r="D9" s="7" t="inlineStr">
        <is>
          <t>ALLOVITA 50MG/ML SOL CAPILAR FR 50ML</t>
        </is>
      </c>
      <c r="E9" s="13" t="n">
        <v>1</v>
      </c>
      <c r="F9" s="13" t="n">
        <v>3</v>
      </c>
      <c r="G9" s="13" t="n">
        <v>3</v>
      </c>
      <c r="H9" s="8" t="n">
        <v>37.06</v>
      </c>
      <c r="I9" s="8">
        <f>G9*H9</f>
        <v/>
      </c>
      <c r="J9" s="8">
        <f>H9/E9</f>
        <v/>
      </c>
      <c r="K9" s="8" t="n">
        <v>19.22</v>
      </c>
      <c r="L9" s="8" t="n">
        <v>19.22</v>
      </c>
      <c r="M9" s="8" t="n">
        <v>19.22</v>
      </c>
      <c r="N9" s="14">
        <f>J9/M9-1</f>
        <v/>
      </c>
      <c r="O9" s="14">
        <f>J9/K9-1</f>
        <v/>
      </c>
      <c r="P9" s="7" t="inlineStr">
        <is>
          <t>ACIMA +92.8%</t>
        </is>
      </c>
      <c r="Q9" s="7" t="inlineStr"/>
    </row>
    <row r="10">
      <c r="A10" s="7" t="n">
        <v>122441</v>
      </c>
      <c r="B10" s="7" t="inlineStr"/>
      <c r="C10" s="12" t="inlineStr">
        <is>
          <t>7898100243143</t>
        </is>
      </c>
      <c r="D10" s="7" t="inlineStr">
        <is>
          <t>AMBROL 15MG/5ML XPE FR 100ML PED</t>
        </is>
      </c>
      <c r="E10" s="13" t="n">
        <v>1</v>
      </c>
      <c r="F10" s="13" t="n">
        <v>16</v>
      </c>
      <c r="G10" s="13" t="n">
        <v>16</v>
      </c>
      <c r="H10" s="8" t="n">
        <v>3.99</v>
      </c>
      <c r="I10" s="8">
        <f>G10*H10</f>
        <v/>
      </c>
      <c r="J10" s="8">
        <f>H10/E10</f>
        <v/>
      </c>
      <c r="K10" s="8" t="n">
        <v>3.69</v>
      </c>
      <c r="L10" s="8" t="n">
        <v>3.69</v>
      </c>
      <c r="M10" s="8" t="n">
        <v>3.69</v>
      </c>
      <c r="N10" s="14">
        <f>J10/M10-1</f>
        <v/>
      </c>
      <c r="O10" s="14">
        <f>J10/K10-1</f>
        <v/>
      </c>
      <c r="P10" s="7" t="inlineStr">
        <is>
          <t>ACIMA +8.1%</t>
        </is>
      </c>
      <c r="Q10" s="7" t="inlineStr">
        <is>
          <t>preços divergentes entre EANs (usado menor)</t>
        </is>
      </c>
    </row>
    <row r="11">
      <c r="A11" s="7" t="n">
        <v>122461</v>
      </c>
      <c r="B11" s="7" t="inlineStr"/>
      <c r="C11" s="12" t="inlineStr">
        <is>
          <t>7898100243150</t>
        </is>
      </c>
      <c r="D11" s="7" t="inlineStr">
        <is>
          <t>AMBROL 30MG/5ML XPE FR 100ML ADU</t>
        </is>
      </c>
      <c r="E11" s="13" t="n">
        <v>1</v>
      </c>
      <c r="F11" s="13" t="n">
        <v>70</v>
      </c>
      <c r="G11" s="13" t="n">
        <v>70</v>
      </c>
      <c r="H11" s="8" t="n">
        <v>4.09</v>
      </c>
      <c r="I11" s="8">
        <f>G11*H11</f>
        <v/>
      </c>
      <c r="J11" s="8">
        <f>H11/E11</f>
        <v/>
      </c>
      <c r="K11" s="8" t="n">
        <v>4.68</v>
      </c>
      <c r="L11" s="8" t="n">
        <v>3.69</v>
      </c>
      <c r="M11" s="8" t="n">
        <v>4.02</v>
      </c>
      <c r="N11" s="14">
        <f>J11/M11-1</f>
        <v/>
      </c>
      <c r="O11" s="14">
        <f>J11/K11-1</f>
        <v/>
      </c>
      <c r="P11" s="7" t="inlineStr">
        <is>
          <t>OK (≤ últ. compra)</t>
        </is>
      </c>
      <c r="Q11" s="7" t="inlineStr"/>
    </row>
    <row r="12">
      <c r="A12" s="7" t="n">
        <v>339181</v>
      </c>
      <c r="B12" s="7" t="inlineStr"/>
      <c r="C12" s="12" t="inlineStr">
        <is>
          <t>7898216360581</t>
        </is>
      </c>
      <c r="D12" s="7" t="inlineStr">
        <is>
          <t>ARTRITEC 7,5MG CX 10 COMP</t>
        </is>
      </c>
      <c r="E12" s="13" t="n">
        <v>1</v>
      </c>
      <c r="F12" s="13" t="n">
        <v>2</v>
      </c>
      <c r="G12" s="13" t="n">
        <v>2</v>
      </c>
      <c r="H12" s="8" t="n">
        <v>3.2</v>
      </c>
      <c r="I12" s="8">
        <f>G12*H12</f>
        <v/>
      </c>
      <c r="J12" s="8">
        <f>H12/E12</f>
        <v/>
      </c>
      <c r="K12" s="8" t="n">
        <v>3.22</v>
      </c>
      <c r="L12" s="8" t="n">
        <v>3.22</v>
      </c>
      <c r="M12" s="8" t="n">
        <v>3.22</v>
      </c>
      <c r="N12" s="14">
        <f>J12/M12-1</f>
        <v/>
      </c>
      <c r="O12" s="14">
        <f>J12/K12-1</f>
        <v/>
      </c>
      <c r="P12" s="7" t="inlineStr">
        <is>
          <t>OK (≤ menor hist.)</t>
        </is>
      </c>
      <c r="Q12" s="7" t="inlineStr"/>
    </row>
    <row r="13">
      <c r="A13" s="7" t="n">
        <v>653621</v>
      </c>
      <c r="B13" s="7" t="inlineStr"/>
      <c r="C13" s="12" t="inlineStr">
        <is>
          <t>7898108642108</t>
        </is>
      </c>
      <c r="D13" s="7" t="inlineStr">
        <is>
          <t>ATADURA DE CREPE MICKEY 12CM</t>
        </is>
      </c>
      <c r="E13" s="13" t="n">
        <v>1</v>
      </c>
      <c r="F13" s="13" t="n">
        <v>2</v>
      </c>
      <c r="G13" s="13" t="n">
        <v>2</v>
      </c>
      <c r="H13" s="8" t="n">
        <v>2.32</v>
      </c>
      <c r="I13" s="8">
        <f>G13*H13</f>
        <v/>
      </c>
      <c r="J13" s="8">
        <f>H13/E13</f>
        <v/>
      </c>
      <c r="K13" s="8" t="n">
        <v>2.53</v>
      </c>
      <c r="L13" s="8" t="n">
        <v>2.51</v>
      </c>
      <c r="M13" s="8" t="n">
        <v>2.51</v>
      </c>
      <c r="N13" s="14">
        <f>J13/M13-1</f>
        <v/>
      </c>
      <c r="O13" s="14">
        <f>J13/K13-1</f>
        <v/>
      </c>
      <c r="P13" s="7" t="inlineStr">
        <is>
          <t>OK (≤ menor hist.)</t>
        </is>
      </c>
      <c r="Q13" s="7" t="inlineStr"/>
    </row>
    <row r="14">
      <c r="A14" s="7" t="n">
        <v>661601</v>
      </c>
      <c r="B14" s="7" t="inlineStr"/>
      <c r="C14" s="12" t="inlineStr">
        <is>
          <t>7898108641347</t>
        </is>
      </c>
      <c r="D14" s="7" t="inlineStr">
        <is>
          <t>ATADURA DE CREPE SANF 12CMX1,80M</t>
        </is>
      </c>
      <c r="E14" s="13" t="n">
        <v>1</v>
      </c>
      <c r="F14" s="13" t="n">
        <v>2</v>
      </c>
      <c r="G14" s="13" t="n">
        <v>2</v>
      </c>
      <c r="H14" s="8" t="n">
        <v>1.21</v>
      </c>
      <c r="I14" s="8">
        <f>G14*H14</f>
        <v/>
      </c>
      <c r="J14" s="8">
        <f>H14/E14</f>
        <v/>
      </c>
      <c r="K14" s="8" t="n">
        <v>2.23</v>
      </c>
      <c r="L14" s="8" t="n">
        <v>2.23</v>
      </c>
      <c r="M14" s="8" t="n">
        <v>2.23</v>
      </c>
      <c r="N14" s="14">
        <f>J14/M14-1</f>
        <v/>
      </c>
      <c r="O14" s="14">
        <f>J14/K14-1</f>
        <v/>
      </c>
      <c r="P14" s="7" t="inlineStr">
        <is>
          <t>OK (≤ menor hist.)</t>
        </is>
      </c>
      <c r="Q14" s="7" t="inlineStr"/>
    </row>
    <row r="15">
      <c r="A15" s="7" t="n">
        <v>47221</v>
      </c>
      <c r="B15" s="7" t="inlineStr"/>
      <c r="C15" s="12" t="inlineStr">
        <is>
          <t>7898216365708</t>
        </is>
      </c>
      <c r="D15" s="7" t="inlineStr">
        <is>
          <t>AZITROMICINA DI-HIDRATADA 500MG CX 5 COMP REV</t>
        </is>
      </c>
      <c r="E15" s="13" t="n">
        <v>1</v>
      </c>
      <c r="F15" s="13" t="n">
        <v>18</v>
      </c>
      <c r="G15" s="13" t="n">
        <v>18</v>
      </c>
      <c r="H15" s="8" t="n">
        <v>5.74</v>
      </c>
      <c r="I15" s="8">
        <f>G15*H15</f>
        <v/>
      </c>
      <c r="J15" s="8">
        <f>H15/E15</f>
        <v/>
      </c>
      <c r="K15" s="8" t="n">
        <v>5.78</v>
      </c>
      <c r="L15" s="8" t="n">
        <v>5.78</v>
      </c>
      <c r="M15" s="8" t="n">
        <v>5.78</v>
      </c>
      <c r="N15" s="14">
        <f>J15/M15-1</f>
        <v/>
      </c>
      <c r="O15" s="14">
        <f>J15/K15-1</f>
        <v/>
      </c>
      <c r="P15" s="7" t="inlineStr">
        <is>
          <t>OK (≤ menor hist.)</t>
        </is>
      </c>
      <c r="Q15" s="7" t="inlineStr"/>
    </row>
    <row r="16">
      <c r="A16" s="7" t="n">
        <v>48221</v>
      </c>
      <c r="B16" s="7" t="inlineStr"/>
      <c r="C16" s="12" t="inlineStr">
        <is>
          <t>7898216360123</t>
        </is>
      </c>
      <c r="D16" s="7" t="inlineStr">
        <is>
          <t>AZITROPHAR 500MG CX 3 COM REV</t>
        </is>
      </c>
      <c r="E16" s="13" t="n">
        <v>1</v>
      </c>
      <c r="F16" s="13" t="n">
        <v>3</v>
      </c>
      <c r="G16" s="13" t="n">
        <v>3</v>
      </c>
      <c r="H16" s="8" t="n">
        <v>3.74</v>
      </c>
      <c r="I16" s="8">
        <f>G16*H16</f>
        <v/>
      </c>
      <c r="J16" s="8">
        <f>H16/E16</f>
        <v/>
      </c>
      <c r="K16" s="8" t="n">
        <v>3.63</v>
      </c>
      <c r="L16" s="8" t="n">
        <v>3.63</v>
      </c>
      <c r="M16" s="8" t="n">
        <v>3.63</v>
      </c>
      <c r="N16" s="14">
        <f>J16/M16-1</f>
        <v/>
      </c>
      <c r="O16" s="14">
        <f>J16/K16-1</f>
        <v/>
      </c>
      <c r="P16" s="7" t="inlineStr">
        <is>
          <t>ACIMA +3.0%</t>
        </is>
      </c>
      <c r="Q16" s="7" t="inlineStr"/>
    </row>
    <row r="17">
      <c r="A17" s="7" t="n">
        <v>47701</v>
      </c>
      <c r="B17" s="7" t="inlineStr"/>
      <c r="C17" s="12" t="inlineStr">
        <is>
          <t>7898216364510</t>
        </is>
      </c>
      <c r="D17" s="7" t="inlineStr">
        <is>
          <t>AZITROPHAR 600MG PO SUS OR FR 15ML + SER DOS 5ML</t>
        </is>
      </c>
      <c r="E17" s="13" t="n">
        <v>1</v>
      </c>
      <c r="F17" s="13" t="n">
        <v>6</v>
      </c>
      <c r="G17" s="13" t="n">
        <v>6</v>
      </c>
      <c r="H17" s="8" t="n">
        <v>13.84</v>
      </c>
      <c r="I17" s="8">
        <f>G17*H17</f>
        <v/>
      </c>
      <c r="J17" s="8">
        <f>H17/E17</f>
        <v/>
      </c>
      <c r="K17" s="8" t="n">
        <v>13.96</v>
      </c>
      <c r="L17" s="8" t="n">
        <v>13.96</v>
      </c>
      <c r="M17" s="8" t="n">
        <v>13.96</v>
      </c>
      <c r="N17" s="14">
        <f>J17/M17-1</f>
        <v/>
      </c>
      <c r="O17" s="14">
        <f>J17/K17-1</f>
        <v/>
      </c>
      <c r="P17" s="7" t="inlineStr">
        <is>
          <t>OK (≤ menor hist.)</t>
        </is>
      </c>
      <c r="Q17" s="7" t="inlineStr"/>
    </row>
    <row r="18">
      <c r="A18" s="7" t="n">
        <v>339861</v>
      </c>
      <c r="B18" s="7" t="inlineStr"/>
      <c r="C18" s="12" t="inlineStr">
        <is>
          <t>7896004726793</t>
        </is>
      </c>
      <c r="D18" s="7" t="inlineStr">
        <is>
          <t>BALSAMO BENGUE 0,10+0,50G AER FR 60G</t>
        </is>
      </c>
      <c r="E18" s="13" t="n">
        <v>1</v>
      </c>
      <c r="F18" s="13" t="n">
        <v>2</v>
      </c>
      <c r="G18" s="13" t="n">
        <v>2</v>
      </c>
      <c r="H18" s="8" t="n">
        <v>27.8</v>
      </c>
      <c r="I18" s="8">
        <f>G18*H18</f>
        <v/>
      </c>
      <c r="J18" s="8">
        <f>H18/E18</f>
        <v/>
      </c>
      <c r="K18" s="8" t="n">
        <v>28.88</v>
      </c>
      <c r="L18" s="8" t="n">
        <v>25.51</v>
      </c>
      <c r="M18" s="8" t="n">
        <v>26.7</v>
      </c>
      <c r="N18" s="14">
        <f>J18/M18-1</f>
        <v/>
      </c>
      <c r="O18" s="14">
        <f>J18/K18-1</f>
        <v/>
      </c>
      <c r="P18" s="7" t="inlineStr">
        <is>
          <t>OK (≤ últ. compra)</t>
        </is>
      </c>
      <c r="Q18" s="7" t="inlineStr"/>
    </row>
    <row r="19">
      <c r="A19" s="7" t="n">
        <v>339821</v>
      </c>
      <c r="B19" s="7" t="inlineStr"/>
      <c r="C19" s="12" t="inlineStr"/>
      <c r="D19" s="7" t="inlineStr">
        <is>
          <t>BALSAMO BENGUE GEL BG 20G</t>
        </is>
      </c>
      <c r="E19" s="13" t="n">
        <v>1</v>
      </c>
      <c r="F19" s="13" t="n">
        <v>3</v>
      </c>
      <c r="G19" s="13" t="n">
        <v>3</v>
      </c>
      <c r="H19" s="8" t="n">
        <v>15.98</v>
      </c>
      <c r="I19" s="8">
        <f>G19*H19</f>
        <v/>
      </c>
      <c r="J19" s="8">
        <f>H19/E19</f>
        <v/>
      </c>
      <c r="K19" s="8" t="n">
        <v>19.96</v>
      </c>
      <c r="L19" s="8" t="n">
        <v>13.96</v>
      </c>
      <c r="M19" s="8" t="n">
        <v>15.09556666666667</v>
      </c>
      <c r="N19" s="14">
        <f>J19/M19-1</f>
        <v/>
      </c>
      <c r="O19" s="14">
        <f>J19/K19-1</f>
        <v/>
      </c>
      <c r="P19" s="7" t="inlineStr">
        <is>
          <t>OK (≤ últ. compra)</t>
        </is>
      </c>
      <c r="Q19" s="7" t="inlineStr"/>
    </row>
    <row r="20">
      <c r="A20" s="7" t="n">
        <v>339841</v>
      </c>
      <c r="B20" s="7" t="inlineStr"/>
      <c r="C20" s="12" t="inlineStr"/>
      <c r="D20" s="7" t="inlineStr">
        <is>
          <t>BALSAMO BENGUE POM BG 20G</t>
        </is>
      </c>
      <c r="E20" s="13" t="n">
        <v>1</v>
      </c>
      <c r="F20" s="13" t="n">
        <v>2</v>
      </c>
      <c r="G20" s="13" t="n">
        <v>2</v>
      </c>
      <c r="H20" s="8" t="n">
        <v>16.83</v>
      </c>
      <c r="I20" s="8">
        <f>G20*H20</f>
        <v/>
      </c>
      <c r="J20" s="8">
        <f>H20/E20</f>
        <v/>
      </c>
      <c r="K20" s="8" t="n">
        <v>21.8425</v>
      </c>
      <c r="L20" s="8" t="n">
        <v>15.4369</v>
      </c>
      <c r="M20" s="8" t="n">
        <v>15.90686666666667</v>
      </c>
      <c r="N20" s="14">
        <f>J20/M20-1</f>
        <v/>
      </c>
      <c r="O20" s="14">
        <f>J20/K20-1</f>
        <v/>
      </c>
      <c r="P20" s="7" t="inlineStr">
        <is>
          <t>OK (≤ últ. compra)</t>
        </is>
      </c>
      <c r="Q20" s="7" t="inlineStr"/>
    </row>
    <row r="21">
      <c r="A21" s="7" t="n">
        <v>596481</v>
      </c>
      <c r="B21" s="7" t="inlineStr"/>
      <c r="C21" s="12" t="inlineStr">
        <is>
          <t>7894164005260</t>
        </is>
      </c>
      <c r="D21" s="7" t="inlineStr">
        <is>
          <t>CALOFIM 5ML SOL (AIRELA)</t>
        </is>
      </c>
      <c r="E21" s="13" t="n">
        <v>1</v>
      </c>
      <c r="F21" s="13" t="n">
        <v>8</v>
      </c>
      <c r="G21" s="13" t="n">
        <v>8</v>
      </c>
      <c r="H21" s="8" t="n">
        <v>8.5</v>
      </c>
      <c r="I21" s="8">
        <f>G21*H21</f>
        <v/>
      </c>
      <c r="J21" s="8">
        <f>H21/E21</f>
        <v/>
      </c>
      <c r="K21" s="8" t="n">
        <v>8.56</v>
      </c>
      <c r="L21" s="8" t="n">
        <v>8.48</v>
      </c>
      <c r="M21" s="8" t="n">
        <v>8.533333333333333</v>
      </c>
      <c r="N21" s="14">
        <f>J21/M21-1</f>
        <v/>
      </c>
      <c r="O21" s="14">
        <f>J21/K21-1</f>
        <v/>
      </c>
      <c r="P21" s="7" t="inlineStr">
        <is>
          <t>OK (≤ últ. compra)</t>
        </is>
      </c>
      <c r="Q21" s="7" t="inlineStr"/>
    </row>
    <row r="22">
      <c r="A22" s="7" t="n">
        <v>84261</v>
      </c>
      <c r="B22" s="7" t="inlineStr"/>
      <c r="C22" s="12" t="inlineStr">
        <is>
          <t>7895296261012</t>
        </is>
      </c>
      <c r="D22" s="7" t="inlineStr">
        <is>
          <t>CARDBET 12,5MG CX 30 COMP</t>
        </is>
      </c>
      <c r="E22" s="13" t="n">
        <v>1</v>
      </c>
      <c r="F22" s="13" t="n">
        <v>2</v>
      </c>
      <c r="G22" s="13" t="n">
        <v>2</v>
      </c>
      <c r="H22" s="8" t="n">
        <v>5.29</v>
      </c>
      <c r="I22" s="8">
        <f>G22*H22</f>
        <v/>
      </c>
      <c r="J22" s="8">
        <f>H22/E22</f>
        <v/>
      </c>
      <c r="K22" s="8" t="n">
        <v>4.6</v>
      </c>
      <c r="L22" s="8" t="n">
        <v>4.6</v>
      </c>
      <c r="M22" s="8" t="n">
        <v>4.6</v>
      </c>
      <c r="N22" s="14">
        <f>J22/M22-1</f>
        <v/>
      </c>
      <c r="O22" s="14">
        <f>J22/K22-1</f>
        <v/>
      </c>
      <c r="P22" s="7" t="inlineStr">
        <is>
          <t>ACIMA +15.0%</t>
        </is>
      </c>
      <c r="Q22" s="7" t="inlineStr"/>
    </row>
    <row r="23">
      <c r="A23" s="7" t="n">
        <v>84281</v>
      </c>
      <c r="B23" s="7" t="inlineStr"/>
      <c r="C23" s="12" t="inlineStr">
        <is>
          <t>7895296261036</t>
        </is>
      </c>
      <c r="D23" s="7" t="inlineStr">
        <is>
          <t>CARDBET 3,125MG CX 30 COMP</t>
        </is>
      </c>
      <c r="E23" s="13" t="n">
        <v>1</v>
      </c>
      <c r="F23" s="13" t="n">
        <v>3</v>
      </c>
      <c r="G23" s="13" t="n">
        <v>3</v>
      </c>
      <c r="H23" s="8" t="n">
        <v>3.62</v>
      </c>
      <c r="I23" s="8">
        <f>G23*H23</f>
        <v/>
      </c>
      <c r="J23" s="8">
        <f>H23/E23</f>
        <v/>
      </c>
      <c r="K23" s="8" t="n">
        <v>3</v>
      </c>
      <c r="L23" s="8" t="n">
        <v>3</v>
      </c>
      <c r="M23" s="8" t="n">
        <v>3</v>
      </c>
      <c r="N23" s="14">
        <f>J23/M23-1</f>
        <v/>
      </c>
      <c r="O23" s="14">
        <f>J23/K23-1</f>
        <v/>
      </c>
      <c r="P23" s="7" t="inlineStr">
        <is>
          <t>ACIMA +20.7%</t>
        </is>
      </c>
      <c r="Q23" s="7" t="inlineStr"/>
    </row>
    <row r="24">
      <c r="A24" s="7" t="n">
        <v>1301</v>
      </c>
      <c r="B24" s="7" t="inlineStr"/>
      <c r="C24" s="12" t="inlineStr">
        <is>
          <t>7893454100647</t>
        </is>
      </c>
      <c r="D24" s="7" t="inlineStr">
        <is>
          <t>CETOBETA 20+0,64+2,5MG/G POM BG 30G</t>
        </is>
      </c>
      <c r="E24" s="13" t="n">
        <v>1</v>
      </c>
      <c r="F24" s="13" t="n">
        <v>21</v>
      </c>
      <c r="G24" s="13" t="n">
        <v>21</v>
      </c>
      <c r="H24" s="8" t="n">
        <v>8.369999999999999</v>
      </c>
      <c r="I24" s="8">
        <f>G24*H24</f>
        <v/>
      </c>
      <c r="J24" s="8">
        <f>H24/E24</f>
        <v/>
      </c>
      <c r="K24" s="8" t="n">
        <v>8</v>
      </c>
      <c r="L24" s="8" t="n">
        <v>7.69</v>
      </c>
      <c r="M24" s="8" t="n">
        <v>7.69</v>
      </c>
      <c r="N24" s="14">
        <f>J24/M24-1</f>
        <v/>
      </c>
      <c r="O24" s="14">
        <f>J24/K24-1</f>
        <v/>
      </c>
      <c r="P24" s="7" t="inlineStr">
        <is>
          <t>ACIMA +4.6%</t>
        </is>
      </c>
      <c r="Q24" s="7" t="inlineStr"/>
    </row>
    <row r="25">
      <c r="A25" s="7" t="n">
        <v>92221</v>
      </c>
      <c r="B25" s="7" t="inlineStr"/>
      <c r="C25" s="12" t="inlineStr">
        <is>
          <t>7899620911352</t>
        </is>
      </c>
      <c r="D25" s="7" t="inlineStr">
        <is>
          <t>CETOCONAZOL 200MG CX 10 COMP</t>
        </is>
      </c>
      <c r="E25" s="13" t="n">
        <v>1</v>
      </c>
      <c r="F25" s="13" t="n">
        <v>2</v>
      </c>
      <c r="G25" s="13" t="n">
        <v>2</v>
      </c>
      <c r="H25" s="8" t="n">
        <v>4.21</v>
      </c>
      <c r="I25" s="8">
        <f>G25*H25</f>
        <v/>
      </c>
      <c r="J25" s="8">
        <f>H25/E25</f>
        <v/>
      </c>
      <c r="K25" s="8" t="n">
        <v>4.1</v>
      </c>
      <c r="L25" s="8" t="n">
        <v>4.1</v>
      </c>
      <c r="M25" s="8" t="n">
        <v>4.1</v>
      </c>
      <c r="N25" s="14">
        <f>J25/M25-1</f>
        <v/>
      </c>
      <c r="O25" s="14">
        <f>J25/K25-1</f>
        <v/>
      </c>
      <c r="P25" s="7" t="inlineStr">
        <is>
          <t>ACIMA +2.7%</t>
        </is>
      </c>
      <c r="Q25" s="7" t="inlineStr"/>
    </row>
    <row r="26">
      <c r="A26" s="7" t="n">
        <v>92021</v>
      </c>
      <c r="B26" s="7" t="inlineStr"/>
      <c r="C26" s="12" t="inlineStr">
        <is>
          <t>7898216367535</t>
        </is>
      </c>
      <c r="D26" s="7" t="inlineStr">
        <is>
          <t>CETOCONAZOL 200MG CX 10 COMP</t>
        </is>
      </c>
      <c r="E26" s="13" t="n">
        <v>1</v>
      </c>
      <c r="F26" s="13" t="n">
        <v>4</v>
      </c>
      <c r="G26" s="13" t="n">
        <v>4</v>
      </c>
      <c r="H26" s="8" t="n">
        <v>5.88</v>
      </c>
      <c r="I26" s="8">
        <f>G26*H26</f>
        <v/>
      </c>
      <c r="J26" s="8">
        <f>H26/E26</f>
        <v/>
      </c>
      <c r="K26" s="8" t="n">
        <v>4.81</v>
      </c>
      <c r="L26" s="8" t="n">
        <v>4.81</v>
      </c>
      <c r="M26" s="8" t="n">
        <v>4.81</v>
      </c>
      <c r="N26" s="14">
        <f>J26/M26-1</f>
        <v/>
      </c>
      <c r="O26" s="14">
        <f>J26/K26-1</f>
        <v/>
      </c>
      <c r="P26" s="7" t="inlineStr">
        <is>
          <t>ACIMA +22.2%</t>
        </is>
      </c>
      <c r="Q26" s="7" t="inlineStr"/>
    </row>
    <row r="27">
      <c r="A27" s="7" t="n">
        <v>608881</v>
      </c>
      <c r="B27" s="7" t="inlineStr"/>
      <c r="C27" s="12" t="inlineStr">
        <is>
          <t>7898108640678</t>
        </is>
      </c>
      <c r="D27" s="7" t="inlineStr">
        <is>
          <t>CICATRISAN CURATIVO 10UN MICROPOROSO</t>
        </is>
      </c>
      <c r="E27" s="13" t="n">
        <v>1</v>
      </c>
      <c r="F27" s="13" t="n">
        <v>7</v>
      </c>
      <c r="G27" s="13" t="n">
        <v>7</v>
      </c>
      <c r="H27" s="8" t="n">
        <v>1.89</v>
      </c>
      <c r="I27" s="8">
        <f>G27*H27</f>
        <v/>
      </c>
      <c r="J27" s="8">
        <f>H27/E27</f>
        <v/>
      </c>
      <c r="K27" s="8" t="n">
        <v>1.96</v>
      </c>
      <c r="L27" s="8" t="n">
        <v>1.68</v>
      </c>
      <c r="M27" s="8" t="n">
        <v>1.773333333333333</v>
      </c>
      <c r="N27" s="14">
        <f>J27/M27-1</f>
        <v/>
      </c>
      <c r="O27" s="14">
        <f>J27/K27-1</f>
        <v/>
      </c>
      <c r="P27" s="7" t="inlineStr">
        <is>
          <t>OK (≤ últ. compra)</t>
        </is>
      </c>
      <c r="Q27" s="7" t="inlineStr"/>
    </row>
    <row r="28">
      <c r="A28" s="7" t="n">
        <v>108901</v>
      </c>
      <c r="B28" s="7" t="inlineStr"/>
      <c r="C28" s="12" t="inlineStr">
        <is>
          <t>7898216363445</t>
        </is>
      </c>
      <c r="D28" s="7" t="inlineStr">
        <is>
          <t>CLARITROMICINA 500MG CX 14 COMP REV</t>
        </is>
      </c>
      <c r="E28" s="13" t="n">
        <v>1</v>
      </c>
      <c r="F28" s="13" t="n">
        <v>7</v>
      </c>
      <c r="G28" s="13" t="n">
        <v>7</v>
      </c>
      <c r="H28" s="8" t="n">
        <v>43.78</v>
      </c>
      <c r="I28" s="8">
        <f>G28*H28</f>
        <v/>
      </c>
      <c r="J28" s="8">
        <f>H28/E28</f>
        <v/>
      </c>
      <c r="K28" s="8" t="n">
        <v>64.98999999999999</v>
      </c>
      <c r="L28" s="8" t="n">
        <v>43.94</v>
      </c>
      <c r="M28" s="8" t="n">
        <v>43.94</v>
      </c>
      <c r="N28" s="14">
        <f>J28/M28-1</f>
        <v/>
      </c>
      <c r="O28" s="14">
        <f>J28/K28-1</f>
        <v/>
      </c>
      <c r="P28" s="7" t="inlineStr">
        <is>
          <t>OK (≤ menor hist.)</t>
        </is>
      </c>
      <c r="Q28" s="7" t="inlineStr"/>
    </row>
    <row r="29">
      <c r="A29" s="7" t="n">
        <v>1103</v>
      </c>
      <c r="B29" s="7" t="inlineStr"/>
      <c r="C29" s="12" t="inlineStr">
        <is>
          <t>7898216361267</t>
        </is>
      </c>
      <c r="D29" s="7" t="inlineStr">
        <is>
          <t>CLARITROMICINA 500MG CX 7 COMP REV</t>
        </is>
      </c>
      <c r="E29" s="13" t="n">
        <v>1</v>
      </c>
      <c r="F29" s="13" t="n">
        <v>5</v>
      </c>
      <c r="G29" s="13" t="n">
        <v>5</v>
      </c>
      <c r="H29" s="8" t="n">
        <v>24.32</v>
      </c>
      <c r="I29" s="8">
        <f>G29*H29</f>
        <v/>
      </c>
      <c r="J29" s="8">
        <f>H29/E29</f>
        <v/>
      </c>
      <c r="K29" s="8" t="n">
        <v>31.9</v>
      </c>
      <c r="L29" s="8" t="n">
        <v>23.13</v>
      </c>
      <c r="M29" s="8" t="n">
        <v>23.13</v>
      </c>
      <c r="N29" s="14">
        <f>J29/M29-1</f>
        <v/>
      </c>
      <c r="O29" s="14">
        <f>J29/K29-1</f>
        <v/>
      </c>
      <c r="P29" s="7" t="inlineStr">
        <is>
          <t>OK (≤ últ. compra)</t>
        </is>
      </c>
      <c r="Q29" s="7" t="inlineStr"/>
    </row>
    <row r="30">
      <c r="A30" s="7" t="n">
        <v>129761</v>
      </c>
      <c r="B30" s="7" t="inlineStr"/>
      <c r="C30" s="12" t="inlineStr"/>
      <c r="D30" s="7" t="inlineStr">
        <is>
          <t>CLORIDRATO DE BROMEXINA 1,6MG XPE FR 120ML+CM</t>
        </is>
      </c>
      <c r="E30" s="13" t="n">
        <v>1</v>
      </c>
      <c r="F30" s="13" t="n">
        <v>4</v>
      </c>
      <c r="G30" s="13" t="n">
        <v>4</v>
      </c>
      <c r="H30" s="8" t="n">
        <v>6.44</v>
      </c>
      <c r="I30" s="8">
        <f>G30*H30</f>
        <v/>
      </c>
      <c r="J30" s="8">
        <f>H30/E30</f>
        <v/>
      </c>
      <c r="K30" s="8" t="n">
        <v>6.74</v>
      </c>
      <c r="L30" s="8" t="n">
        <v>6.74</v>
      </c>
      <c r="M30" s="8" t="n">
        <v>6.739999999999999</v>
      </c>
      <c r="N30" s="14">
        <f>J30/M30-1</f>
        <v/>
      </c>
      <c r="O30" s="14">
        <f>J30/K30-1</f>
        <v/>
      </c>
      <c r="P30" s="7" t="inlineStr">
        <is>
          <t>OK (≤ menor hist.)</t>
        </is>
      </c>
      <c r="Q30" s="7" t="inlineStr"/>
    </row>
    <row r="31">
      <c r="A31" s="7" t="n">
        <v>134601</v>
      </c>
      <c r="B31" s="7" t="inlineStr"/>
      <c r="C31" s="12" t="inlineStr">
        <is>
          <t>7898060139951</t>
        </is>
      </c>
      <c r="D31" s="7" t="inlineStr">
        <is>
          <t>CLORIDRATO DE CICLOBENZAPRINA 10MG CX 30 COMP REV</t>
        </is>
      </c>
      <c r="E31" s="13" t="n">
        <v>1</v>
      </c>
      <c r="F31" s="13" t="n">
        <v>4</v>
      </c>
      <c r="G31" s="13" t="n">
        <v>4</v>
      </c>
      <c r="H31" s="8" t="n">
        <v>5.28</v>
      </c>
      <c r="I31" s="8">
        <f>G31*H31</f>
        <v/>
      </c>
      <c r="J31" s="8">
        <f>H31/E31</f>
        <v/>
      </c>
      <c r="K31" s="8" t="n">
        <v>5.48</v>
      </c>
      <c r="L31" s="8" t="n">
        <v>5.48</v>
      </c>
      <c r="M31" s="8" t="n">
        <v>5.48</v>
      </c>
      <c r="N31" s="14">
        <f>J31/M31-1</f>
        <v/>
      </c>
      <c r="O31" s="14">
        <f>J31/K31-1</f>
        <v/>
      </c>
      <c r="P31" s="7" t="inlineStr">
        <is>
          <t>OK (≤ menor hist.)</t>
        </is>
      </c>
      <c r="Q31" s="7" t="inlineStr"/>
    </row>
    <row r="32">
      <c r="A32" s="7" t="n">
        <v>134661</v>
      </c>
      <c r="B32" s="7" t="inlineStr"/>
      <c r="C32" s="12" t="inlineStr">
        <is>
          <t>7898060139913</t>
        </is>
      </c>
      <c r="D32" s="7" t="inlineStr">
        <is>
          <t>CLORIDRATO DE CICLOBENZAPRINA 5MG CX 15 COMP REV</t>
        </is>
      </c>
      <c r="E32" s="13" t="n">
        <v>1</v>
      </c>
      <c r="F32" s="13" t="n">
        <v>1</v>
      </c>
      <c r="G32" s="13" t="n">
        <v>1</v>
      </c>
      <c r="H32" s="8" t="n">
        <v>2.44</v>
      </c>
      <c r="I32" s="8">
        <f>G32*H32</f>
        <v/>
      </c>
      <c r="J32" s="8">
        <f>H32/E32</f>
        <v/>
      </c>
      <c r="K32" s="8" t="n">
        <v>2.53</v>
      </c>
      <c r="L32" s="8" t="n">
        <v>2.53</v>
      </c>
      <c r="M32" s="8" t="n">
        <v>2.53</v>
      </c>
      <c r="N32" s="14">
        <f>J32/M32-1</f>
        <v/>
      </c>
      <c r="O32" s="14">
        <f>J32/K32-1</f>
        <v/>
      </c>
      <c r="P32" s="7" t="inlineStr">
        <is>
          <t>OK (≤ menor hist.)</t>
        </is>
      </c>
      <c r="Q32" s="7" t="inlineStr"/>
    </row>
    <row r="33">
      <c r="A33" s="7" t="n">
        <v>135981</v>
      </c>
      <c r="B33" s="7" t="inlineStr"/>
      <c r="C33" s="12" t="inlineStr">
        <is>
          <t>7898216360185</t>
        </is>
      </c>
      <c r="D33" s="7" t="inlineStr">
        <is>
          <t>CLORIDRATO DE CIPROFLOXACINO 500MG CX 14 COMP REV</t>
        </is>
      </c>
      <c r="E33" s="13" t="n">
        <v>1</v>
      </c>
      <c r="F33" s="13" t="n">
        <v>14</v>
      </c>
      <c r="G33" s="13" t="n">
        <v>14</v>
      </c>
      <c r="H33" s="8" t="n">
        <v>6.14</v>
      </c>
      <c r="I33" s="8">
        <f>G33*H33</f>
        <v/>
      </c>
      <c r="J33" s="8">
        <f>H33/E33</f>
        <v/>
      </c>
      <c r="K33" s="8" t="n">
        <v>6.19</v>
      </c>
      <c r="L33" s="8" t="n">
        <v>5.99</v>
      </c>
      <c r="M33" s="8" t="n">
        <v>6.116666666666667</v>
      </c>
      <c r="N33" s="14">
        <f>J33/M33-1</f>
        <v/>
      </c>
      <c r="O33" s="14">
        <f>J33/K33-1</f>
        <v/>
      </c>
      <c r="P33" s="7" t="inlineStr">
        <is>
          <t>OK (≤ últ. compra)</t>
        </is>
      </c>
      <c r="Q33" s="7" t="inlineStr"/>
    </row>
    <row r="34">
      <c r="A34" s="7" t="n">
        <v>142821</v>
      </c>
      <c r="B34" s="7" t="inlineStr"/>
      <c r="C34" s="12" t="inlineStr">
        <is>
          <t>7895296186018</t>
        </is>
      </c>
      <c r="D34" s="7" t="inlineStr">
        <is>
          <t>CLORIDRATO DE DORZOLAMIDA 20MG/ML FR X 5ML</t>
        </is>
      </c>
      <c r="E34" s="13" t="n">
        <v>1</v>
      </c>
      <c r="F34" s="13" t="n">
        <v>2</v>
      </c>
      <c r="G34" s="13" t="n">
        <v>2</v>
      </c>
      <c r="H34" s="8" t="n">
        <v>46.63</v>
      </c>
      <c r="I34" s="8">
        <f>G34*H34</f>
        <v/>
      </c>
      <c r="J34" s="8">
        <f>H34/E34</f>
        <v/>
      </c>
      <c r="K34" s="8" t="n">
        <v>29.87</v>
      </c>
      <c r="L34" s="8" t="n">
        <v>29.87</v>
      </c>
      <c r="M34" s="8" t="n">
        <v>29.87</v>
      </c>
      <c r="N34" s="14">
        <f>J34/M34-1</f>
        <v/>
      </c>
      <c r="O34" s="14">
        <f>J34/K34-1</f>
        <v/>
      </c>
      <c r="P34" s="7" t="inlineStr">
        <is>
          <t>ACIMA +56.1%</t>
        </is>
      </c>
      <c r="Q34" s="7" t="inlineStr"/>
    </row>
    <row r="35">
      <c r="A35" s="7" t="n">
        <v>152261</v>
      </c>
      <c r="B35" s="7" t="inlineStr"/>
      <c r="C35" s="12" t="inlineStr">
        <is>
          <t>7898216360864</t>
        </is>
      </c>
      <c r="D35" s="7" t="inlineStr">
        <is>
          <t>CLORIDRATO DE LIDOCAINA 20MG/G GELEIA BG 30G</t>
        </is>
      </c>
      <c r="E35" s="13" t="n">
        <v>1</v>
      </c>
      <c r="F35" s="13" t="n">
        <v>1</v>
      </c>
      <c r="G35" s="13" t="n">
        <v>1</v>
      </c>
      <c r="H35" s="8" t="n">
        <v>8.59</v>
      </c>
      <c r="I35" s="8">
        <f>G35*H35</f>
        <v/>
      </c>
      <c r="J35" s="8">
        <f>H35/E35</f>
        <v/>
      </c>
      <c r="K35" s="8" t="n">
        <v>8.93</v>
      </c>
      <c r="L35" s="8" t="n">
        <v>8.77</v>
      </c>
      <c r="M35" s="8" t="n">
        <v>8.876666666666667</v>
      </c>
      <c r="N35" s="14">
        <f>J35/M35-1</f>
        <v/>
      </c>
      <c r="O35" s="14">
        <f>J35/K35-1</f>
        <v/>
      </c>
      <c r="P35" s="7" t="inlineStr">
        <is>
          <t>OK (≤ menor hist.)</t>
        </is>
      </c>
      <c r="Q35" s="7" t="inlineStr"/>
    </row>
    <row r="36">
      <c r="A36" s="7" t="n">
        <v>644271</v>
      </c>
      <c r="B36" s="7" t="inlineStr"/>
      <c r="C36" s="12" t="inlineStr">
        <is>
          <t>7897917006453</t>
        </is>
      </c>
      <c r="D36" s="7" t="inlineStr">
        <is>
          <t>CLORIDRATO DE NAFAZOLINA 0,5MG/ML SOL NAS CT FR PLAS GOT X 30ML</t>
        </is>
      </c>
      <c r="E36" s="13" t="n">
        <v>1</v>
      </c>
      <c r="F36" s="13" t="n">
        <v>1</v>
      </c>
      <c r="G36" s="13" t="n">
        <v>1</v>
      </c>
      <c r="H36" s="8" t="n">
        <v>2.84</v>
      </c>
      <c r="I36" s="8">
        <f>G36*H36</f>
        <v/>
      </c>
      <c r="J36" s="8">
        <f>H36/E36</f>
        <v/>
      </c>
      <c r="K36" s="8" t="n">
        <v>2.72</v>
      </c>
      <c r="L36" s="8" t="n">
        <v>2.72</v>
      </c>
      <c r="M36" s="8" t="n">
        <v>2.72</v>
      </c>
      <c r="N36" s="14">
        <f>J36/M36-1</f>
        <v/>
      </c>
      <c r="O36" s="14">
        <f>J36/K36-1</f>
        <v/>
      </c>
      <c r="P36" s="7" t="inlineStr">
        <is>
          <t>ACIMA +4.4%</t>
        </is>
      </c>
      <c r="Q36" s="7" t="inlineStr"/>
    </row>
    <row r="37">
      <c r="A37" s="7" t="n">
        <v>171281</v>
      </c>
      <c r="B37" s="7" t="inlineStr"/>
      <c r="C37" s="12" t="inlineStr">
        <is>
          <t>7898216362431</t>
        </is>
      </c>
      <c r="D37" s="7" t="inlineStr">
        <is>
          <t>CLORIDRATO DE PROPANOLOL 40MG CX 30 COMP</t>
        </is>
      </c>
      <c r="E37" s="13" t="n">
        <v>1</v>
      </c>
      <c r="F37" s="13" t="n">
        <v>4</v>
      </c>
      <c r="G37" s="13" t="n">
        <v>4</v>
      </c>
      <c r="H37" s="8" t="n">
        <v>2.13</v>
      </c>
      <c r="I37" s="8">
        <f>G37*H37</f>
        <v/>
      </c>
      <c r="J37" s="8">
        <f>H37/E37</f>
        <v/>
      </c>
      <c r="K37" s="8" t="n">
        <v>2.12</v>
      </c>
      <c r="L37" s="8" t="n">
        <v>2.12</v>
      </c>
      <c r="M37" s="8" t="n">
        <v>2.12</v>
      </c>
      <c r="N37" s="14">
        <f>J37/M37-1</f>
        <v/>
      </c>
      <c r="O37" s="14">
        <f>J37/K37-1</f>
        <v/>
      </c>
      <c r="P37" s="7" t="inlineStr">
        <is>
          <t>ACIMA +0.5%</t>
        </is>
      </c>
      <c r="Q37" s="7" t="inlineStr"/>
    </row>
    <row r="38">
      <c r="A38" s="7" t="n">
        <v>44781</v>
      </c>
      <c r="B38" s="7" t="inlineStr"/>
      <c r="C38" s="12" t="inlineStr">
        <is>
          <t>7898048692652</t>
        </is>
      </c>
      <c r="D38" s="7" t="inlineStr">
        <is>
          <t>COLEGORICO 0,2 ML/ML ELX CT FR PLAS OPC GOT X 30 ML</t>
        </is>
      </c>
      <c r="E38" s="13" t="n">
        <v>1</v>
      </c>
      <c r="F38" s="13" t="n">
        <v>1</v>
      </c>
      <c r="G38" s="13" t="n">
        <v>1</v>
      </c>
      <c r="H38" s="8" t="n">
        <v>35.26</v>
      </c>
      <c r="I38" s="8">
        <f>G38*H38</f>
        <v/>
      </c>
      <c r="J38" s="8">
        <f>H38/E38</f>
        <v/>
      </c>
      <c r="K38" s="8" t="n">
        <v>4.71</v>
      </c>
      <c r="L38" s="8" t="n">
        <v>4.71</v>
      </c>
      <c r="M38" s="8" t="n">
        <v>4.71</v>
      </c>
      <c r="N38" s="14">
        <f>J38/M38-1</f>
        <v/>
      </c>
      <c r="O38" s="14">
        <f>J38/K38-1</f>
        <v/>
      </c>
      <c r="P38" s="7" t="inlineStr">
        <is>
          <t>ACIMA +648.6%</t>
        </is>
      </c>
      <c r="Q38" s="7" t="inlineStr">
        <is>
          <t>conferir emb.</t>
        </is>
      </c>
    </row>
    <row r="39">
      <c r="A39" s="7" t="n">
        <v>92041</v>
      </c>
      <c r="B39" s="7" t="inlineStr"/>
      <c r="C39" s="12" t="inlineStr">
        <is>
          <t>7898100241279</t>
        </is>
      </c>
      <c r="D39" s="7" t="inlineStr">
        <is>
          <t>CONAZOL 20MG/G CREME BG 20G</t>
        </is>
      </c>
      <c r="E39" s="13" t="n">
        <v>1</v>
      </c>
      <c r="F39" s="13" t="n">
        <v>7</v>
      </c>
      <c r="G39" s="13" t="n">
        <v>7</v>
      </c>
      <c r="H39" s="8" t="n">
        <v>3.86</v>
      </c>
      <c r="I39" s="8">
        <f>G39*H39</f>
        <v/>
      </c>
      <c r="J39" s="8">
        <f>H39/E39</f>
        <v/>
      </c>
      <c r="K39" s="8" t="n">
        <v>3.69</v>
      </c>
      <c r="L39" s="8" t="n">
        <v>3.69</v>
      </c>
      <c r="M39" s="8" t="n">
        <v>3.69</v>
      </c>
      <c r="N39" s="14">
        <f>J39/M39-1</f>
        <v/>
      </c>
      <c r="O39" s="14">
        <f>J39/K39-1</f>
        <v/>
      </c>
      <c r="P39" s="7" t="inlineStr">
        <is>
          <t>ACIMA +4.6%</t>
        </is>
      </c>
      <c r="Q39" s="7" t="inlineStr"/>
    </row>
    <row r="40">
      <c r="A40" s="7" t="n">
        <v>5003</v>
      </c>
      <c r="B40" s="7" t="inlineStr"/>
      <c r="C40" s="12" t="inlineStr">
        <is>
          <t>7898108641989</t>
        </is>
      </c>
      <c r="D40" s="7" t="inlineStr">
        <is>
          <t>CURATIVO MICKEY E MINNIE C/10 UND</t>
        </is>
      </c>
      <c r="E40" s="13" t="n">
        <v>1</v>
      </c>
      <c r="F40" s="13" t="n">
        <v>5</v>
      </c>
      <c r="G40" s="13" t="n">
        <v>5</v>
      </c>
      <c r="H40" s="8" t="n">
        <v>2.71</v>
      </c>
      <c r="I40" s="8">
        <f>G40*H40</f>
        <v/>
      </c>
      <c r="J40" s="8">
        <f>H40/E40</f>
        <v/>
      </c>
      <c r="K40" s="8" t="n">
        <v>2.94</v>
      </c>
      <c r="L40" s="8" t="n">
        <v>2.94</v>
      </c>
      <c r="M40" s="8" t="n">
        <v>2.94</v>
      </c>
      <c r="N40" s="14">
        <f>J40/M40-1</f>
        <v/>
      </c>
      <c r="O40" s="14">
        <f>J40/K40-1</f>
        <v/>
      </c>
      <c r="P40" s="7" t="inlineStr">
        <is>
          <t>OK (≤ menor hist.)</t>
        </is>
      </c>
      <c r="Q40" s="7" t="inlineStr"/>
    </row>
    <row r="41">
      <c r="A41" s="7" t="n">
        <v>203441</v>
      </c>
      <c r="B41" s="7" t="inlineStr"/>
      <c r="C41" s="12" t="inlineStr">
        <is>
          <t>7894916145459</t>
        </is>
      </c>
      <c r="D41" s="7" t="inlineStr">
        <is>
          <t>DESLORATADINA 5MG CX 10 COMP REV</t>
        </is>
      </c>
      <c r="E41" s="13" t="n">
        <v>1</v>
      </c>
      <c r="F41" s="13" t="n">
        <v>1</v>
      </c>
      <c r="G41" s="13" t="n">
        <v>1</v>
      </c>
      <c r="H41" s="8" t="n">
        <v>5.89</v>
      </c>
      <c r="I41" s="8">
        <f>G41*H41</f>
        <v/>
      </c>
      <c r="J41" s="8">
        <f>H41/E41</f>
        <v/>
      </c>
      <c r="K41" s="8" t="n">
        <v>6.79</v>
      </c>
      <c r="L41" s="8" t="n">
        <v>6.79</v>
      </c>
      <c r="M41" s="8" t="n">
        <v>6.79</v>
      </c>
      <c r="N41" s="14">
        <f>J41/M41-1</f>
        <v/>
      </c>
      <c r="O41" s="14">
        <f>J41/K41-1</f>
        <v/>
      </c>
      <c r="P41" s="7" t="inlineStr">
        <is>
          <t>OK (≤ menor hist.)</t>
        </is>
      </c>
      <c r="Q41" s="7" t="inlineStr"/>
    </row>
    <row r="42">
      <c r="A42" s="7" t="n">
        <v>214</v>
      </c>
      <c r="B42" s="7" t="inlineStr"/>
      <c r="C42" s="12" t="inlineStr">
        <is>
          <t>7898216367016</t>
        </is>
      </c>
      <c r="D42" s="7" t="inlineStr">
        <is>
          <t>DICLORIDRATO DE LEVOCETIRIZINA</t>
        </is>
      </c>
      <c r="E42" s="13" t="n">
        <v>1</v>
      </c>
      <c r="F42" s="13" t="n">
        <v>6</v>
      </c>
      <c r="G42" s="13" t="n">
        <v>6</v>
      </c>
      <c r="H42" s="8" t="n">
        <v>7.73</v>
      </c>
      <c r="I42" s="8">
        <f>G42*H42</f>
        <v/>
      </c>
      <c r="J42" s="8">
        <f>H42/E42</f>
        <v/>
      </c>
      <c r="K42" s="8" t="n">
        <v>8.48</v>
      </c>
      <c r="L42" s="8" t="n">
        <v>8.48</v>
      </c>
      <c r="M42" s="8" t="n">
        <v>8.48</v>
      </c>
      <c r="N42" s="14">
        <f>J42/M42-1</f>
        <v/>
      </c>
      <c r="O42" s="14">
        <f>J42/K42-1</f>
        <v/>
      </c>
      <c r="P42" s="7" t="inlineStr">
        <is>
          <t>OK (≤ menor hist.)</t>
        </is>
      </c>
      <c r="Q42" s="7" t="inlineStr"/>
    </row>
    <row r="43">
      <c r="A43" s="7" t="n">
        <v>229241</v>
      </c>
      <c r="B43" s="7" t="inlineStr"/>
      <c r="C43" s="12" t="inlineStr">
        <is>
          <t>7894916145114</t>
        </is>
      </c>
      <c r="D43" s="7" t="inlineStr">
        <is>
          <t>DOMPERIDONA 10MG CX 2BL X 15 COMP</t>
        </is>
      </c>
      <c r="E43" s="13" t="n">
        <v>1</v>
      </c>
      <c r="F43" s="13" t="n">
        <v>1</v>
      </c>
      <c r="G43" s="13" t="n">
        <v>1</v>
      </c>
      <c r="H43" s="8" t="n">
        <v>4.03</v>
      </c>
      <c r="I43" s="8">
        <f>G43*H43</f>
        <v/>
      </c>
      <c r="J43" s="8">
        <f>H43/E43</f>
        <v/>
      </c>
      <c r="K43" s="8" t="n">
        <v>4.19</v>
      </c>
      <c r="L43" s="8" t="n">
        <v>4.19</v>
      </c>
      <c r="M43" s="8" t="n">
        <v>4.19</v>
      </c>
      <c r="N43" s="14">
        <f>J43/M43-1</f>
        <v/>
      </c>
      <c r="O43" s="14">
        <f>J43/K43-1</f>
        <v/>
      </c>
      <c r="P43" s="7" t="inlineStr">
        <is>
          <t>OK (≤ menor hist.)</t>
        </is>
      </c>
      <c r="Q43" s="7" t="inlineStr"/>
    </row>
    <row r="44">
      <c r="A44" s="7" t="n">
        <v>648331</v>
      </c>
      <c r="B44" s="7" t="inlineStr"/>
      <c r="C44" s="12" t="inlineStr">
        <is>
          <t>7898108640944</t>
        </is>
      </c>
      <c r="D44" s="7" t="inlineStr">
        <is>
          <t>ESPARAD IMPERM SANFARMA 50MMX4,5M</t>
        </is>
      </c>
      <c r="E44" s="13" t="n">
        <v>1</v>
      </c>
      <c r="F44" s="13" t="n">
        <v>1</v>
      </c>
      <c r="G44" s="13" t="n">
        <v>1</v>
      </c>
      <c r="H44" s="8" t="n">
        <v>11.29</v>
      </c>
      <c r="I44" s="8">
        <f>G44*H44</f>
        <v/>
      </c>
      <c r="J44" s="8">
        <f>H44/E44</f>
        <v/>
      </c>
      <c r="K44" s="8" t="n">
        <v>11.4</v>
      </c>
      <c r="L44" s="8" t="n">
        <v>11.4</v>
      </c>
      <c r="M44" s="8" t="n">
        <v>11.4</v>
      </c>
      <c r="N44" s="14">
        <f>J44/M44-1</f>
        <v/>
      </c>
      <c r="O44" s="14">
        <f>J44/K44-1</f>
        <v/>
      </c>
      <c r="P44" s="7" t="inlineStr">
        <is>
          <t>OK (≤ menor hist.)</t>
        </is>
      </c>
      <c r="Q44" s="7" t="inlineStr"/>
    </row>
    <row r="45">
      <c r="A45" s="7" t="n">
        <v>303461</v>
      </c>
      <c r="B45" s="7" t="inlineStr"/>
      <c r="C45" s="12" t="inlineStr">
        <is>
          <t>7896004812168</t>
        </is>
      </c>
      <c r="D45" s="7" t="inlineStr">
        <is>
          <t>EXPEC XPE FR 120ML</t>
        </is>
      </c>
      <c r="E45" s="13" t="n">
        <v>1</v>
      </c>
      <c r="F45" s="13" t="n">
        <v>3</v>
      </c>
      <c r="G45" s="13" t="n">
        <v>3</v>
      </c>
      <c r="H45" s="8" t="n">
        <v>22.99</v>
      </c>
      <c r="I45" s="8">
        <f>G45*H45</f>
        <v/>
      </c>
      <c r="J45" s="8">
        <f>H45/E45</f>
        <v/>
      </c>
      <c r="K45" s="8" t="n">
        <v>16.86</v>
      </c>
      <c r="L45" s="8" t="n">
        <v>14</v>
      </c>
      <c r="M45" s="8" t="n">
        <v>15.90666666666667</v>
      </c>
      <c r="N45" s="14">
        <f>J45/M45-1</f>
        <v/>
      </c>
      <c r="O45" s="14">
        <f>J45/K45-1</f>
        <v/>
      </c>
      <c r="P45" s="7" t="inlineStr">
        <is>
          <t>ACIMA +36.4%</t>
        </is>
      </c>
      <c r="Q45" s="7" t="inlineStr"/>
    </row>
    <row r="46">
      <c r="A46" s="7" t="n">
        <v>645451</v>
      </c>
      <c r="B46" s="7" t="inlineStr"/>
      <c r="C46" s="12" t="inlineStr">
        <is>
          <t>7898108641262</t>
        </is>
      </c>
      <c r="D46" s="7" t="inlineStr">
        <is>
          <t>FITA MICROPOROSA SANFARMA 25MMX4,5M</t>
        </is>
      </c>
      <c r="E46" s="13" t="n">
        <v>1</v>
      </c>
      <c r="F46" s="13" t="n">
        <v>2</v>
      </c>
      <c r="G46" s="13" t="n">
        <v>2</v>
      </c>
      <c r="H46" s="8" t="n">
        <v>3.89</v>
      </c>
      <c r="I46" s="8">
        <f>G46*H46</f>
        <v/>
      </c>
      <c r="J46" s="8">
        <f>H46/E46</f>
        <v/>
      </c>
      <c r="K46" s="8" t="n">
        <v>4.09</v>
      </c>
      <c r="L46" s="8" t="n">
        <v>4.09</v>
      </c>
      <c r="M46" s="8" t="n">
        <v>4.09</v>
      </c>
      <c r="N46" s="14">
        <f>J46/M46-1</f>
        <v/>
      </c>
      <c r="O46" s="14">
        <f>J46/K46-1</f>
        <v/>
      </c>
      <c r="P46" s="7" t="inlineStr">
        <is>
          <t>OK (≤ menor hist.)</t>
        </is>
      </c>
      <c r="Q46" s="7" t="inlineStr"/>
    </row>
    <row r="47">
      <c r="A47" s="7" t="n">
        <v>648341</v>
      </c>
      <c r="B47" s="7" t="inlineStr"/>
      <c r="C47" s="12" t="inlineStr">
        <is>
          <t>7898108640982</t>
        </is>
      </c>
      <c r="D47" s="7" t="inlineStr">
        <is>
          <t>FITA MICROPOROSA SANFARMA 50MMX4,5M</t>
        </is>
      </c>
      <c r="E47" s="13" t="n">
        <v>1</v>
      </c>
      <c r="F47" s="13" t="n">
        <v>2</v>
      </c>
      <c r="G47" s="13" t="n">
        <v>2</v>
      </c>
      <c r="H47" s="8" t="n">
        <v>6.39</v>
      </c>
      <c r="I47" s="8">
        <f>G47*H47</f>
        <v/>
      </c>
      <c r="J47" s="8">
        <f>H47/E47</f>
        <v/>
      </c>
      <c r="K47" s="8" t="n">
        <v>5.84</v>
      </c>
      <c r="L47" s="8" t="n">
        <v>5.84</v>
      </c>
      <c r="M47" s="8" t="n">
        <v>5.84</v>
      </c>
      <c r="N47" s="14">
        <f>J47/M47-1</f>
        <v/>
      </c>
      <c r="O47" s="14">
        <f>J47/K47-1</f>
        <v/>
      </c>
      <c r="P47" s="7" t="inlineStr">
        <is>
          <t>ACIMA +9.4%</t>
        </is>
      </c>
      <c r="Q47" s="7" t="inlineStr"/>
    </row>
    <row r="48">
      <c r="A48" s="7" t="n">
        <v>610041</v>
      </c>
      <c r="B48" s="7" t="inlineStr"/>
      <c r="C48" s="12" t="inlineStr">
        <is>
          <t>7898719040195</t>
        </is>
      </c>
      <c r="D48" s="7" t="inlineStr">
        <is>
          <t>GELOFLAN BALSAMO AEROSSOL 120ML</t>
        </is>
      </c>
      <c r="E48" s="13" t="n">
        <v>1</v>
      </c>
      <c r="F48" s="13" t="n">
        <v>3</v>
      </c>
      <c r="G48" s="13" t="n">
        <v>3</v>
      </c>
      <c r="H48" s="8" t="n">
        <v>11.99</v>
      </c>
      <c r="I48" s="8">
        <f>G48*H48</f>
        <v/>
      </c>
      <c r="J48" s="8">
        <f>H48/E48</f>
        <v/>
      </c>
      <c r="K48" s="8" t="n">
        <v>12.59</v>
      </c>
      <c r="L48" s="8" t="n">
        <v>12.1</v>
      </c>
      <c r="M48" s="8" t="n">
        <v>12.42666666666667</v>
      </c>
      <c r="N48" s="14">
        <f>J48/M48-1</f>
        <v/>
      </c>
      <c r="O48" s="14">
        <f>J48/K48-1</f>
        <v/>
      </c>
      <c r="P48" s="7" t="inlineStr">
        <is>
          <t>OK (≤ menor hist.)</t>
        </is>
      </c>
      <c r="Q48" s="7" t="inlineStr"/>
    </row>
    <row r="49">
      <c r="A49" s="7" t="n">
        <v>657281</v>
      </c>
      <c r="B49" s="7" t="inlineStr"/>
      <c r="C49" s="12" t="inlineStr"/>
      <c r="D49" s="7" t="inlineStr">
        <is>
          <t>GLIBENCLAMIDA 5MG CX 30 COMP</t>
        </is>
      </c>
      <c r="E49" s="13" t="n">
        <v>1</v>
      </c>
      <c r="F49" s="13" t="n">
        <v>8</v>
      </c>
      <c r="G49" s="13" t="n">
        <v>8</v>
      </c>
      <c r="H49" s="8" t="n">
        <v>1.47</v>
      </c>
      <c r="I49" s="8">
        <f>G49*H49</f>
        <v/>
      </c>
      <c r="J49" s="8">
        <f>H49/E49</f>
        <v/>
      </c>
      <c r="K49" s="8" t="n">
        <v>1.47</v>
      </c>
      <c r="L49" s="8" t="n">
        <v>1.47</v>
      </c>
      <c r="M49" s="8" t="n">
        <v>1.47</v>
      </c>
      <c r="N49" s="14">
        <f>J49/M49-1</f>
        <v/>
      </c>
      <c r="O49" s="14">
        <f>J49/K49-1</f>
        <v/>
      </c>
      <c r="P49" s="7" t="inlineStr">
        <is>
          <t>OK (≤ menor hist.)</t>
        </is>
      </c>
      <c r="Q49" s="7" t="inlineStr"/>
    </row>
    <row r="50">
      <c r="A50" s="7" t="n">
        <v>601411</v>
      </c>
      <c r="B50" s="7" t="inlineStr"/>
      <c r="C50" s="12" t="inlineStr">
        <is>
          <t>7899620911833</t>
        </is>
      </c>
      <c r="D50" s="7" t="inlineStr">
        <is>
          <t>GLICENIX (N.S.) 1,37G CX 6 GLICEROL PED</t>
        </is>
      </c>
      <c r="E50" s="13" t="n">
        <v>1</v>
      </c>
      <c r="F50" s="13" t="n">
        <v>5</v>
      </c>
      <c r="G50" s="13" t="n">
        <v>5</v>
      </c>
      <c r="H50" s="8" t="n">
        <v>5.53</v>
      </c>
      <c r="I50" s="8">
        <f>G50*H50</f>
        <v/>
      </c>
      <c r="J50" s="8">
        <f>H50/E50</f>
        <v/>
      </c>
      <c r="K50" s="8" t="n">
        <v>5.68</v>
      </c>
      <c r="L50" s="8" t="n">
        <v>5.68</v>
      </c>
      <c r="M50" s="8" t="n">
        <v>5.68</v>
      </c>
      <c r="N50" s="14">
        <f>J50/M50-1</f>
        <v/>
      </c>
      <c r="O50" s="14">
        <f>J50/K50-1</f>
        <v/>
      </c>
      <c r="P50" s="7" t="inlineStr">
        <is>
          <t>OK (≤ menor hist.)</t>
        </is>
      </c>
      <c r="Q50" s="7" t="inlineStr"/>
    </row>
    <row r="51">
      <c r="A51" s="7" t="n">
        <v>531401</v>
      </c>
      <c r="B51" s="7" t="inlineStr"/>
      <c r="C51" s="12" t="inlineStr">
        <is>
          <t>7898216360604</t>
        </is>
      </c>
      <c r="D51" s="7" t="inlineStr">
        <is>
          <t>GLICLAZIDA 30MG CX 30 COMP LIB PROL</t>
        </is>
      </c>
      <c r="E51" s="13" t="n">
        <v>1</v>
      </c>
      <c r="F51" s="13" t="n">
        <v>7</v>
      </c>
      <c r="G51" s="13" t="n">
        <v>7</v>
      </c>
      <c r="H51" s="8" t="n">
        <v>9.24</v>
      </c>
      <c r="I51" s="8">
        <f>G51*H51</f>
        <v/>
      </c>
      <c r="J51" s="8">
        <f>H51/E51</f>
        <v/>
      </c>
      <c r="K51" s="8" t="n">
        <v>8.300000000000001</v>
      </c>
      <c r="L51" s="8" t="n">
        <v>8.300000000000001</v>
      </c>
      <c r="M51" s="8" t="n">
        <v>8.300000000000001</v>
      </c>
      <c r="N51" s="14">
        <f>J51/M51-1</f>
        <v/>
      </c>
      <c r="O51" s="14">
        <f>J51/K51-1</f>
        <v/>
      </c>
      <c r="P51" s="7" t="inlineStr">
        <is>
          <t>ACIMA +11.3%</t>
        </is>
      </c>
      <c r="Q51" s="7" t="inlineStr"/>
    </row>
    <row r="52">
      <c r="A52" s="7" t="n">
        <v>570021</v>
      </c>
      <c r="B52" s="7" t="inlineStr"/>
      <c r="C52" s="12" t="inlineStr"/>
      <c r="D52" s="7" t="inlineStr">
        <is>
          <t>GUACOFLUS XAROPE 100ML</t>
        </is>
      </c>
      <c r="E52" s="13" t="n">
        <v>1</v>
      </c>
      <c r="F52" s="13" t="n">
        <v>3</v>
      </c>
      <c r="G52" s="13" t="n">
        <v>3</v>
      </c>
      <c r="H52" s="8" t="n">
        <v>5.41</v>
      </c>
      <c r="I52" s="8">
        <f>G52*H52</f>
        <v/>
      </c>
      <c r="J52" s="8">
        <f>H52/E52</f>
        <v/>
      </c>
      <c r="K52" s="8" t="n">
        <v>5.66</v>
      </c>
      <c r="L52" s="8" t="n">
        <v>5.66</v>
      </c>
      <c r="M52" s="8" t="n">
        <v>5.66</v>
      </c>
      <c r="N52" s="14">
        <f>J52/M52-1</f>
        <v/>
      </c>
      <c r="O52" s="14">
        <f>J52/K52-1</f>
        <v/>
      </c>
      <c r="P52" s="7" t="inlineStr">
        <is>
          <t>OK (≤ menor hist.)</t>
        </is>
      </c>
      <c r="Q52" s="7" t="inlineStr"/>
    </row>
    <row r="53">
      <c r="A53" s="7" t="n">
        <v>531481</v>
      </c>
      <c r="B53" s="7" t="inlineStr"/>
      <c r="C53" s="12" t="inlineStr">
        <is>
          <t>7894164005420</t>
        </is>
      </c>
      <c r="D53" s="7" t="inlineStr">
        <is>
          <t>HIDRALI 500ML LARANJA AIRELA</t>
        </is>
      </c>
      <c r="E53" s="13" t="n">
        <v>1</v>
      </c>
      <c r="F53" s="13" t="n">
        <v>7</v>
      </c>
      <c r="G53" s="13" t="n">
        <v>7</v>
      </c>
      <c r="H53" s="8" t="n">
        <v>7.99</v>
      </c>
      <c r="I53" s="8">
        <f>G53*H53</f>
        <v/>
      </c>
      <c r="J53" s="8">
        <f>H53/E53</f>
        <v/>
      </c>
      <c r="K53" s="8" t="n">
        <v>8.300000000000001</v>
      </c>
      <c r="L53" s="8" t="n">
        <v>7.97</v>
      </c>
      <c r="M53" s="8" t="n">
        <v>8.19</v>
      </c>
      <c r="N53" s="14">
        <f>J53/M53-1</f>
        <v/>
      </c>
      <c r="O53" s="14">
        <f>J53/K53-1</f>
        <v/>
      </c>
      <c r="P53" s="7" t="inlineStr">
        <is>
          <t>OK (≤ últ. compra)</t>
        </is>
      </c>
      <c r="Q53" s="7" t="inlineStr"/>
    </row>
    <row r="54">
      <c r="A54" s="7" t="n">
        <v>531541</v>
      </c>
      <c r="B54" s="7" t="inlineStr"/>
      <c r="C54" s="12" t="inlineStr">
        <is>
          <t>7894164006755</t>
        </is>
      </c>
      <c r="D54" s="7" t="inlineStr">
        <is>
          <t>HIDROXIDO ALUMINIO SAB HORTELA 100ML</t>
        </is>
      </c>
      <c r="E54" s="13" t="n">
        <v>1</v>
      </c>
      <c r="F54" s="13" t="n">
        <v>53</v>
      </c>
      <c r="G54" s="13" t="n">
        <v>53</v>
      </c>
      <c r="H54" s="8" t="n">
        <v>6.06</v>
      </c>
      <c r="I54" s="8">
        <f>G54*H54</f>
        <v/>
      </c>
      <c r="J54" s="8">
        <f>H54/E54</f>
        <v/>
      </c>
      <c r="K54" s="8" t="n">
        <v>5.28</v>
      </c>
      <c r="L54" s="8" t="n">
        <v>4.65</v>
      </c>
      <c r="M54" s="8" t="n">
        <v>5.07</v>
      </c>
      <c r="N54" s="14">
        <f>J54/M54-1</f>
        <v/>
      </c>
      <c r="O54" s="14">
        <f>J54/K54-1</f>
        <v/>
      </c>
      <c r="P54" s="7" t="inlineStr">
        <is>
          <t>ACIMA +14.8%</t>
        </is>
      </c>
      <c r="Q54" s="7" t="inlineStr"/>
    </row>
    <row r="55">
      <c r="A55" s="7" t="n">
        <v>295141</v>
      </c>
      <c r="B55" s="7" t="inlineStr"/>
      <c r="C55" s="12" t="inlineStr">
        <is>
          <t>7896004747507</t>
        </is>
      </c>
      <c r="D55" s="7" t="inlineStr">
        <is>
          <t>IBUFLEX 400MG CX 4 CAPS</t>
        </is>
      </c>
      <c r="E55" s="13" t="n">
        <v>1</v>
      </c>
      <c r="F55" s="13" t="n">
        <v>1</v>
      </c>
      <c r="G55" s="13" t="n">
        <v>1</v>
      </c>
      <c r="H55" s="8" t="n">
        <v>3.17</v>
      </c>
      <c r="I55" s="8">
        <f>G55*H55</f>
        <v/>
      </c>
      <c r="J55" s="8">
        <f>H55/E55</f>
        <v/>
      </c>
      <c r="K55" s="8" t="n">
        <v>3.0145</v>
      </c>
      <c r="L55" s="8" t="n">
        <v>2.782</v>
      </c>
      <c r="M55" s="8" t="n">
        <v>2.937</v>
      </c>
      <c r="N55" s="14">
        <f>J55/M55-1</f>
        <v/>
      </c>
      <c r="O55" s="14">
        <f>J55/K55-1</f>
        <v/>
      </c>
      <c r="P55" s="7" t="inlineStr">
        <is>
          <t>ACIMA +5.2%</t>
        </is>
      </c>
      <c r="Q55" s="7" t="inlineStr"/>
    </row>
    <row r="56">
      <c r="A56" s="7" t="n">
        <v>306601</v>
      </c>
      <c r="B56" s="7" t="inlineStr"/>
      <c r="C56" s="12" t="inlineStr">
        <is>
          <t>7894916141000</t>
        </is>
      </c>
      <c r="D56" s="7" t="inlineStr">
        <is>
          <t>ITRACONAZOL 100MG CX 15 CAP</t>
        </is>
      </c>
      <c r="E56" s="13" t="n">
        <v>1</v>
      </c>
      <c r="F56" s="13" t="n">
        <v>9</v>
      </c>
      <c r="G56" s="13" t="n">
        <v>9</v>
      </c>
      <c r="H56" s="8" t="n">
        <v>18.38</v>
      </c>
      <c r="I56" s="8">
        <f>G56*H56</f>
        <v/>
      </c>
      <c r="J56" s="8">
        <f>H56/E56</f>
        <v/>
      </c>
      <c r="K56" s="8" t="n">
        <v>17.49</v>
      </c>
      <c r="L56" s="8" t="n">
        <v>17.49</v>
      </c>
      <c r="M56" s="8" t="n">
        <v>17.49</v>
      </c>
      <c r="N56" s="14">
        <f>J56/M56-1</f>
        <v/>
      </c>
      <c r="O56" s="14">
        <f>J56/K56-1</f>
        <v/>
      </c>
      <c r="P56" s="7" t="inlineStr">
        <is>
          <t>ACIMA +5.1%</t>
        </is>
      </c>
      <c r="Q56" s="7" t="inlineStr"/>
    </row>
    <row r="57">
      <c r="A57" s="7" t="n">
        <v>403121</v>
      </c>
      <c r="B57" s="7" t="inlineStr"/>
      <c r="C57" s="12" t="inlineStr"/>
      <c r="D57" s="7" t="inlineStr">
        <is>
          <t>KELTRINA PLUS 5% LOCAO 60ML</t>
        </is>
      </c>
      <c r="E57" s="13" t="n">
        <v>1</v>
      </c>
      <c r="F57" s="13" t="n">
        <v>21</v>
      </c>
      <c r="G57" s="13" t="n">
        <v>21</v>
      </c>
      <c r="H57" s="8" t="n">
        <v>10.38</v>
      </c>
      <c r="I57" s="8">
        <f>G57*H57</f>
        <v/>
      </c>
      <c r="J57" s="8">
        <f>H57/E57</f>
        <v/>
      </c>
      <c r="K57" s="8" t="n">
        <v>9.68</v>
      </c>
      <c r="L57" s="8" t="n">
        <v>9.68</v>
      </c>
      <c r="M57" s="8" t="n">
        <v>9.68</v>
      </c>
      <c r="N57" s="14">
        <f>J57/M57-1</f>
        <v/>
      </c>
      <c r="O57" s="14">
        <f>J57/K57-1</f>
        <v/>
      </c>
      <c r="P57" s="7" t="inlineStr">
        <is>
          <t>ACIMA +7.2%</t>
        </is>
      </c>
      <c r="Q57" s="7" t="inlineStr"/>
    </row>
    <row r="58">
      <c r="A58" s="7" t="n">
        <v>152141</v>
      </c>
      <c r="B58" s="7" t="inlineStr"/>
      <c r="C58" s="12" t="inlineStr">
        <is>
          <t>7898216361403</t>
        </is>
      </c>
      <c r="D58" s="7" t="inlineStr">
        <is>
          <t>LABCAINA 50MG POM DERM BG 25G</t>
        </is>
      </c>
      <c r="E58" s="13" t="n">
        <v>1</v>
      </c>
      <c r="F58" s="13" t="n">
        <v>3</v>
      </c>
      <c r="G58" s="13" t="n">
        <v>3</v>
      </c>
      <c r="H58" s="8" t="n">
        <v>8.44</v>
      </c>
      <c r="I58" s="8">
        <f>G58*H58</f>
        <v/>
      </c>
      <c r="J58" s="8">
        <f>H58/E58</f>
        <v/>
      </c>
      <c r="K58" s="8" t="n">
        <v>7.21</v>
      </c>
      <c r="L58" s="8" t="n">
        <v>7.21</v>
      </c>
      <c r="M58" s="8" t="n">
        <v>7.21</v>
      </c>
      <c r="N58" s="14">
        <f>J58/M58-1</f>
        <v/>
      </c>
      <c r="O58" s="14">
        <f>J58/K58-1</f>
        <v/>
      </c>
      <c r="P58" s="7" t="inlineStr">
        <is>
          <t>ACIMA +17.1%</t>
        </is>
      </c>
      <c r="Q58" s="7" t="inlineStr"/>
    </row>
    <row r="59">
      <c r="A59" s="7" t="n">
        <v>584741</v>
      </c>
      <c r="B59" s="7" t="inlineStr"/>
      <c r="C59" s="12" t="inlineStr"/>
      <c r="D59" s="7" t="inlineStr">
        <is>
          <t>LIMONADA PURGATIVA 175MG 200ML SUS</t>
        </is>
      </c>
      <c r="E59" s="13" t="n">
        <v>1</v>
      </c>
      <c r="F59" s="13" t="n">
        <v>1</v>
      </c>
      <c r="G59" s="13" t="n">
        <v>1</v>
      </c>
      <c r="H59" s="8" t="n">
        <v>8.5</v>
      </c>
      <c r="I59" s="8">
        <f>G59*H59</f>
        <v/>
      </c>
      <c r="J59" s="8">
        <f>H59/E59</f>
        <v/>
      </c>
      <c r="K59" s="8" t="n">
        <v>8.76</v>
      </c>
      <c r="L59" s="8" t="n">
        <v>8.06</v>
      </c>
      <c r="M59" s="8" t="n">
        <v>8.526666666666666</v>
      </c>
      <c r="N59" s="14">
        <f>J59/M59-1</f>
        <v/>
      </c>
      <c r="O59" s="14">
        <f>J59/K59-1</f>
        <v/>
      </c>
      <c r="P59" s="7" t="inlineStr">
        <is>
          <t>OK (≤ últ. compra)</t>
        </is>
      </c>
      <c r="Q59" s="7" t="inlineStr"/>
    </row>
    <row r="60">
      <c r="A60" s="7" t="n">
        <v>616271</v>
      </c>
      <c r="B60" s="7" t="inlineStr"/>
      <c r="C60" s="12" t="inlineStr">
        <is>
          <t>7894164010301</t>
        </is>
      </c>
      <c r="D60" s="7" t="inlineStr">
        <is>
          <t>LORATADINA 1MG/ML 100ML XPE UN</t>
        </is>
      </c>
      <c r="E60" s="13" t="n">
        <v>1</v>
      </c>
      <c r="F60" s="13" t="n">
        <v>4</v>
      </c>
      <c r="G60" s="13" t="n">
        <v>4</v>
      </c>
      <c r="H60" s="8" t="n">
        <v>5.66</v>
      </c>
      <c r="I60" s="8">
        <f>G60*H60</f>
        <v/>
      </c>
      <c r="J60" s="8">
        <f>H60/E60</f>
        <v/>
      </c>
      <c r="K60" s="8" t="n">
        <v>5.65</v>
      </c>
      <c r="L60" s="8" t="n">
        <v>5.65</v>
      </c>
      <c r="M60" s="8" t="n">
        <v>5.650000000000001</v>
      </c>
      <c r="N60" s="14">
        <f>J60/M60-1</f>
        <v/>
      </c>
      <c r="O60" s="14">
        <f>J60/K60-1</f>
        <v/>
      </c>
      <c r="P60" s="7" t="inlineStr">
        <is>
          <t>ACIMA +0.2%</t>
        </is>
      </c>
      <c r="Q60" s="7" t="inlineStr"/>
    </row>
    <row r="61">
      <c r="A61" s="7" t="n">
        <v>612321</v>
      </c>
      <c r="B61" s="7" t="inlineStr"/>
      <c r="C61" s="12" t="inlineStr">
        <is>
          <t>7894164005734</t>
        </is>
      </c>
      <c r="D61" s="7" t="inlineStr">
        <is>
          <t>MAGMILK HORTELA 80MG/ML 100ML (HIDROXIDO</t>
        </is>
      </c>
      <c r="E61" s="13" t="n">
        <v>1</v>
      </c>
      <c r="F61" s="13" t="n">
        <v>3</v>
      </c>
      <c r="G61" s="13" t="n">
        <v>3</v>
      </c>
      <c r="H61" s="8" t="n">
        <v>3.99</v>
      </c>
      <c r="I61" s="8">
        <f>G61*H61</f>
        <v/>
      </c>
      <c r="J61" s="8">
        <f>H61/E61</f>
        <v/>
      </c>
      <c r="K61" s="8" t="n">
        <v>4.14</v>
      </c>
      <c r="L61" s="8" t="n">
        <v>4.14</v>
      </c>
      <c r="M61" s="8" t="n">
        <v>4.14</v>
      </c>
      <c r="N61" s="14">
        <f>J61/M61-1</f>
        <v/>
      </c>
      <c r="O61" s="14">
        <f>J61/K61-1</f>
        <v/>
      </c>
      <c r="P61" s="7" t="inlineStr">
        <is>
          <t>OK (≤ menor hist.)</t>
        </is>
      </c>
      <c r="Q61" s="7" t="inlineStr"/>
    </row>
    <row r="62">
      <c r="A62" s="7" t="n">
        <v>542681</v>
      </c>
      <c r="B62" s="7" t="inlineStr"/>
      <c r="C62" s="12" t="inlineStr">
        <is>
          <t>7894164005727</t>
        </is>
      </c>
      <c r="D62" s="7" t="inlineStr">
        <is>
          <t>MAGMILK TRADICIONAL 80MG/ML 100ML(ARL)</t>
        </is>
      </c>
      <c r="E62" s="13" t="n">
        <v>1</v>
      </c>
      <c r="F62" s="13" t="n">
        <v>11</v>
      </c>
      <c r="G62" s="13" t="n">
        <v>11</v>
      </c>
      <c r="H62" s="8" t="n">
        <v>3.99</v>
      </c>
      <c r="I62" s="8">
        <f>G62*H62</f>
        <v/>
      </c>
      <c r="J62" s="8">
        <f>H62/E62</f>
        <v/>
      </c>
      <c r="K62" s="8" t="n">
        <v>4.71</v>
      </c>
      <c r="L62" s="8" t="n">
        <v>4.71</v>
      </c>
      <c r="M62" s="8" t="n">
        <v>4.71</v>
      </c>
      <c r="N62" s="14">
        <f>J62/M62-1</f>
        <v/>
      </c>
      <c r="O62" s="14">
        <f>J62/K62-1</f>
        <v/>
      </c>
      <c r="P62" s="7" t="inlineStr">
        <is>
          <t>OK (≤ menor hist.)</t>
        </is>
      </c>
      <c r="Q62" s="7" t="inlineStr"/>
    </row>
    <row r="63">
      <c r="A63" s="7" t="n">
        <v>339301</v>
      </c>
      <c r="B63" s="7" t="inlineStr"/>
      <c r="C63" s="12" t="inlineStr"/>
      <c r="D63" s="7" t="inlineStr">
        <is>
          <t>MELOXICAM 15MG CX 10 COMP</t>
        </is>
      </c>
      <c r="E63" s="13" t="n">
        <v>1</v>
      </c>
      <c r="F63" s="13" t="n">
        <v>1</v>
      </c>
      <c r="G63" s="13" t="n">
        <v>1</v>
      </c>
      <c r="H63" s="8" t="n">
        <v>2.05</v>
      </c>
      <c r="I63" s="8">
        <f>G63*H63</f>
        <v/>
      </c>
      <c r="J63" s="8">
        <f>H63/E63</f>
        <v/>
      </c>
      <c r="K63" s="8" t="n">
        <v>2.18</v>
      </c>
      <c r="L63" s="8" t="n">
        <v>1.99</v>
      </c>
      <c r="M63" s="8" t="n">
        <v>2.053333333333333</v>
      </c>
      <c r="N63" s="14">
        <f>J63/M63-1</f>
        <v/>
      </c>
      <c r="O63" s="14">
        <f>J63/K63-1</f>
        <v/>
      </c>
      <c r="P63" s="7" t="inlineStr">
        <is>
          <t>OK (≤ últ. compra)</t>
        </is>
      </c>
      <c r="Q63" s="7" t="inlineStr"/>
    </row>
    <row r="64">
      <c r="A64" s="7" t="n">
        <v>461901</v>
      </c>
      <c r="B64" s="7" t="inlineStr"/>
      <c r="C64" s="12" t="inlineStr">
        <is>
          <t>7897917000741</t>
        </is>
      </c>
      <c r="D64" s="7" t="inlineStr">
        <is>
          <t>MICOSBEL 50MG/ML LOCAO FR 30ML</t>
        </is>
      </c>
      <c r="E64" s="13" t="n">
        <v>1</v>
      </c>
      <c r="F64" s="13" t="n">
        <v>1</v>
      </c>
      <c r="G64" s="13" t="n">
        <v>1</v>
      </c>
      <c r="H64" s="8" t="n">
        <v>8.85</v>
      </c>
      <c r="I64" s="8">
        <f>G64*H64</f>
        <v/>
      </c>
      <c r="J64" s="8">
        <f>H64/E64</f>
        <v/>
      </c>
      <c r="K64" s="8" t="n">
        <v>8.960000000000001</v>
      </c>
      <c r="L64" s="8" t="n">
        <v>8.960000000000001</v>
      </c>
      <c r="M64" s="8" t="n">
        <v>8.960000000000001</v>
      </c>
      <c r="N64" s="14">
        <f>J64/M64-1</f>
        <v/>
      </c>
      <c r="O64" s="14">
        <f>J64/K64-1</f>
        <v/>
      </c>
      <c r="P64" s="7" t="inlineStr">
        <is>
          <t>OK (≤ menor hist.)</t>
        </is>
      </c>
      <c r="Q64" s="7" t="inlineStr"/>
    </row>
    <row r="65">
      <c r="A65" s="7" t="n">
        <v>360361</v>
      </c>
      <c r="B65" s="7" t="inlineStr"/>
      <c r="C65" s="12" t="inlineStr"/>
      <c r="D65" s="7" t="inlineStr">
        <is>
          <t>NIFEDIPRESS 20MG CX 30 COMP RETARD</t>
        </is>
      </c>
      <c r="E65" s="13" t="n">
        <v>1</v>
      </c>
      <c r="F65" s="13" t="n">
        <v>9</v>
      </c>
      <c r="G65" s="13" t="n">
        <v>9</v>
      </c>
      <c r="H65" s="8" t="n">
        <v>6.18</v>
      </c>
      <c r="I65" s="8">
        <f>G65*H65</f>
        <v/>
      </c>
      <c r="J65" s="8">
        <f>H65/E65</f>
        <v/>
      </c>
      <c r="K65" s="8" t="n">
        <v>6.22</v>
      </c>
      <c r="L65" s="8" t="n">
        <v>6.22</v>
      </c>
      <c r="M65" s="8" t="n">
        <v>6.22</v>
      </c>
      <c r="N65" s="14">
        <f>J65/M65-1</f>
        <v/>
      </c>
      <c r="O65" s="14">
        <f>J65/K65-1</f>
        <v/>
      </c>
      <c r="P65" s="7" t="inlineStr">
        <is>
          <t>OK (≤ menor hist.)</t>
        </is>
      </c>
      <c r="Q65" s="7" t="inlineStr"/>
    </row>
    <row r="66">
      <c r="A66" s="7" t="n">
        <v>485261</v>
      </c>
      <c r="B66" s="7" t="inlineStr"/>
      <c r="C66" s="12" t="inlineStr">
        <is>
          <t>7899620915039</t>
        </is>
      </c>
      <c r="D66" s="7" t="inlineStr">
        <is>
          <t>NIMESULIDA 100MG CX 12 COMP</t>
        </is>
      </c>
      <c r="E66" s="13" t="n">
        <v>1</v>
      </c>
      <c r="F66" s="13" t="n">
        <v>11</v>
      </c>
      <c r="G66" s="13" t="n">
        <v>11</v>
      </c>
      <c r="H66" s="8" t="n">
        <v>1.32</v>
      </c>
      <c r="I66" s="8">
        <f>G66*H66</f>
        <v/>
      </c>
      <c r="J66" s="8">
        <f>H66/E66</f>
        <v/>
      </c>
      <c r="K66" s="8" t="n">
        <v>1.1</v>
      </c>
      <c r="L66" s="8" t="n">
        <v>1.1</v>
      </c>
      <c r="M66" s="8" t="n">
        <v>1.1</v>
      </c>
      <c r="N66" s="14">
        <f>J66/M66-1</f>
        <v/>
      </c>
      <c r="O66" s="14">
        <f>J66/K66-1</f>
        <v/>
      </c>
      <c r="P66" s="7" t="inlineStr">
        <is>
          <t>ACIMA +20.0%</t>
        </is>
      </c>
      <c r="Q66" s="7" t="inlineStr"/>
    </row>
    <row r="67">
      <c r="A67" s="7" t="n">
        <v>493261</v>
      </c>
      <c r="B67" s="7" t="inlineStr"/>
      <c r="C67" s="12" t="inlineStr">
        <is>
          <t>7896862923273</t>
        </is>
      </c>
      <c r="D67" s="7" t="inlineStr">
        <is>
          <t>PANTOPRAZOL SODICO SESQUI-HIDRATADO 40MG CX 30 COMP REV</t>
        </is>
      </c>
      <c r="E67" s="13" t="n">
        <v>1</v>
      </c>
      <c r="F67" s="13" t="n">
        <v>10</v>
      </c>
      <c r="G67" s="13" t="n">
        <v>10</v>
      </c>
      <c r="H67" s="8" t="n">
        <v>4.69</v>
      </c>
      <c r="I67" s="8">
        <f>G67*H67</f>
        <v/>
      </c>
      <c r="J67" s="8">
        <f>H67/E67</f>
        <v/>
      </c>
      <c r="K67" s="8" t="n">
        <v>3.99</v>
      </c>
      <c r="L67" s="8" t="n">
        <v>3.99</v>
      </c>
      <c r="M67" s="8" t="n">
        <v>3.99</v>
      </c>
      <c r="N67" s="14">
        <f>J67/M67-1</f>
        <v/>
      </c>
      <c r="O67" s="14">
        <f>J67/K67-1</f>
        <v/>
      </c>
      <c r="P67" s="7" t="inlineStr">
        <is>
          <t>ACIMA +17.5%</t>
        </is>
      </c>
      <c r="Q67" s="7" t="inlineStr"/>
    </row>
    <row r="68">
      <c r="A68" s="7" t="n">
        <v>220241</v>
      </c>
      <c r="B68" s="7" t="inlineStr"/>
      <c r="C68" s="12" t="inlineStr"/>
      <c r="D68" s="7" t="inlineStr">
        <is>
          <t>PEPSOGEL SUSP FR 240ML</t>
        </is>
      </c>
      <c r="E68" s="13" t="n">
        <v>1</v>
      </c>
      <c r="F68" s="13" t="n">
        <v>15</v>
      </c>
      <c r="G68" s="13" t="n">
        <v>15</v>
      </c>
      <c r="H68" s="8" t="n">
        <v>11.69</v>
      </c>
      <c r="I68" s="8">
        <f>G68*H68</f>
        <v/>
      </c>
      <c r="J68" s="8">
        <f>H68/E68</f>
        <v/>
      </c>
      <c r="K68" s="8" t="n">
        <v>11.66</v>
      </c>
      <c r="L68" s="8" t="n">
        <v>11.38</v>
      </c>
      <c r="M68" s="8" t="n">
        <v>11.38</v>
      </c>
      <c r="N68" s="14">
        <f>J68/M68-1</f>
        <v/>
      </c>
      <c r="O68" s="14">
        <f>J68/K68-1</f>
        <v/>
      </c>
      <c r="P68" s="7" t="inlineStr">
        <is>
          <t>ACIMA +0.3%</t>
        </is>
      </c>
      <c r="Q68" s="7" t="inlineStr"/>
    </row>
    <row r="69">
      <c r="A69" s="7" t="n">
        <v>675911</v>
      </c>
      <c r="B69" s="7" t="inlineStr"/>
      <c r="C69" s="12" t="inlineStr">
        <is>
          <t>7898719041857</t>
        </is>
      </c>
      <c r="D69" s="7" t="inlineStr">
        <is>
          <t>PERIOASSEPT 250ML EXTRA MINT SEM ALCOOL</t>
        </is>
      </c>
      <c r="E69" s="13" t="n">
        <v>1</v>
      </c>
      <c r="F69" s="13" t="n">
        <v>3</v>
      </c>
      <c r="G69" s="13" t="n">
        <v>3</v>
      </c>
      <c r="H69" s="8" t="n">
        <v>14.69</v>
      </c>
      <c r="I69" s="8">
        <f>G69*H69</f>
        <v/>
      </c>
      <c r="J69" s="8">
        <f>H69/E69</f>
        <v/>
      </c>
      <c r="K69" s="8" t="n">
        <v>12.95</v>
      </c>
      <c r="L69" s="8" t="n">
        <v>12.95</v>
      </c>
      <c r="M69" s="8" t="n">
        <v>12.95</v>
      </c>
      <c r="N69" s="14">
        <f>J69/M69-1</f>
        <v/>
      </c>
      <c r="O69" s="14">
        <f>J69/K69-1</f>
        <v/>
      </c>
      <c r="P69" s="7" t="inlineStr">
        <is>
          <t>ACIMA +13.4%</t>
        </is>
      </c>
      <c r="Q69" s="7" t="inlineStr"/>
    </row>
    <row r="70">
      <c r="A70" s="7" t="n">
        <v>487921</v>
      </c>
      <c r="B70" s="7" t="inlineStr"/>
      <c r="C70" s="12" t="inlineStr">
        <is>
          <t>7898100244485</t>
        </is>
      </c>
      <c r="D70" s="7" t="inlineStr">
        <is>
          <t>PETIVIT BC XPE FR 240ML</t>
        </is>
      </c>
      <c r="E70" s="13" t="n">
        <v>1</v>
      </c>
      <c r="F70" s="13" t="n">
        <v>33</v>
      </c>
      <c r="G70" s="13" t="n">
        <v>33</v>
      </c>
      <c r="H70" s="8" t="n">
        <v>7.49</v>
      </c>
      <c r="I70" s="8">
        <f>G70*H70</f>
        <v/>
      </c>
      <c r="J70" s="8">
        <f>H70/E70</f>
        <v/>
      </c>
      <c r="K70" s="8" t="n">
        <v>6.99</v>
      </c>
      <c r="L70" s="8" t="n">
        <v>6.99</v>
      </c>
      <c r="M70" s="8" t="n">
        <v>6.989999999999999</v>
      </c>
      <c r="N70" s="14">
        <f>J70/M70-1</f>
        <v/>
      </c>
      <c r="O70" s="14">
        <f>J70/K70-1</f>
        <v/>
      </c>
      <c r="P70" s="7" t="inlineStr">
        <is>
          <t>ACIMA +7.2%</t>
        </is>
      </c>
      <c r="Q70" s="7" t="inlineStr"/>
    </row>
    <row r="71">
      <c r="A71" s="7" t="n">
        <v>565861</v>
      </c>
      <c r="B71" s="7" t="inlineStr"/>
      <c r="C71" s="12" t="inlineStr">
        <is>
          <t>7898100244669</t>
        </is>
      </c>
      <c r="D71" s="7" t="inlineStr">
        <is>
          <t>PHITOSS KIDS 7MG/ML XPE 100ML</t>
        </is>
      </c>
      <c r="E71" s="13" t="n">
        <v>1</v>
      </c>
      <c r="F71" s="13" t="n">
        <v>1</v>
      </c>
      <c r="G71" s="13" t="n">
        <v>1</v>
      </c>
      <c r="H71" s="8" t="n">
        <v>6.05</v>
      </c>
      <c r="I71" s="8">
        <f>G71*H71</f>
        <v/>
      </c>
      <c r="J71" s="8">
        <f>H71/E71</f>
        <v/>
      </c>
      <c r="K71" s="8" t="n">
        <v>5.66</v>
      </c>
      <c r="L71" s="8" t="n">
        <v>5.66</v>
      </c>
      <c r="M71" s="8" t="n">
        <v>5.66</v>
      </c>
      <c r="N71" s="14">
        <f>J71/M71-1</f>
        <v/>
      </c>
      <c r="O71" s="14">
        <f>J71/K71-1</f>
        <v/>
      </c>
      <c r="P71" s="7" t="inlineStr">
        <is>
          <t>ACIMA +6.9%</t>
        </is>
      </c>
      <c r="Q71" s="7" t="inlineStr"/>
    </row>
    <row r="72">
      <c r="A72" s="7" t="n">
        <v>404881</v>
      </c>
      <c r="B72" s="7" t="inlineStr"/>
      <c r="C72" s="12" t="inlineStr">
        <is>
          <t>7898216362189</t>
        </is>
      </c>
      <c r="D72" s="7" t="inlineStr">
        <is>
          <t>PIROXICAM 20MG CX 10 CAP</t>
        </is>
      </c>
      <c r="E72" s="13" t="n">
        <v>1</v>
      </c>
      <c r="F72" s="13" t="n">
        <v>6</v>
      </c>
      <c r="G72" s="13" t="n">
        <v>6</v>
      </c>
      <c r="H72" s="8" t="n">
        <v>4.22</v>
      </c>
      <c r="I72" s="8">
        <f>G72*H72</f>
        <v/>
      </c>
      <c r="J72" s="8">
        <f>H72/E72</f>
        <v/>
      </c>
      <c r="K72" s="8" t="n">
        <v>4.15</v>
      </c>
      <c r="L72" s="8" t="n">
        <v>4.15</v>
      </c>
      <c r="M72" s="8" t="n">
        <v>4.15</v>
      </c>
      <c r="N72" s="14">
        <f>J72/M72-1</f>
        <v/>
      </c>
      <c r="O72" s="14">
        <f>J72/K72-1</f>
        <v/>
      </c>
      <c r="P72" s="7" t="inlineStr">
        <is>
          <t>ACIMA +1.7%</t>
        </is>
      </c>
      <c r="Q72" s="7" t="inlineStr"/>
    </row>
    <row r="73">
      <c r="A73" s="7" t="n">
        <v>408801</v>
      </c>
      <c r="B73" s="7" t="inlineStr"/>
      <c r="C73" s="12" t="inlineStr">
        <is>
          <t>7894916141123</t>
        </is>
      </c>
      <c r="D73" s="7" t="inlineStr">
        <is>
          <t>PREDNISONA 20MG CX 10 COMP</t>
        </is>
      </c>
      <c r="E73" s="13" t="n">
        <v>1</v>
      </c>
      <c r="F73" s="13" t="n">
        <v>1</v>
      </c>
      <c r="G73" s="13" t="n">
        <v>1</v>
      </c>
      <c r="H73" s="8" t="n">
        <v>1.36</v>
      </c>
      <c r="I73" s="8">
        <f>G73*H73</f>
        <v/>
      </c>
      <c r="J73" s="8">
        <f>H73/E73</f>
        <v/>
      </c>
      <c r="K73" s="8" t="n">
        <v>5.04</v>
      </c>
      <c r="L73" s="8" t="n">
        <v>5.04</v>
      </c>
      <c r="M73" s="8" t="n">
        <v>5.04</v>
      </c>
      <c r="N73" s="14">
        <f>J73/M73-1</f>
        <v/>
      </c>
      <c r="O73" s="14">
        <f>J73/K73-1</f>
        <v/>
      </c>
      <c r="P73" s="7" t="inlineStr">
        <is>
          <t>OK (≤ menor hist.)</t>
        </is>
      </c>
      <c r="Q73" s="7" t="inlineStr">
        <is>
          <t>conferir emb.</t>
        </is>
      </c>
    </row>
    <row r="74">
      <c r="A74" s="7" t="n">
        <v>483381</v>
      </c>
      <c r="B74" s="7" t="inlineStr"/>
      <c r="C74" s="12" t="inlineStr">
        <is>
          <t>7899620912144</t>
        </is>
      </c>
      <c r="D74" s="7" t="inlineStr">
        <is>
          <t>PREDNISONA 20MG CX 20 COMP</t>
        </is>
      </c>
      <c r="E74" s="13" t="n">
        <v>1</v>
      </c>
      <c r="F74" s="13" t="n">
        <v>1</v>
      </c>
      <c r="G74" s="13" t="n">
        <v>1</v>
      </c>
      <c r="H74" s="8" t="n">
        <v>6.71</v>
      </c>
      <c r="I74" s="8">
        <f>G74*H74</f>
        <v/>
      </c>
      <c r="J74" s="8">
        <f>H74/E74</f>
        <v/>
      </c>
      <c r="K74" s="8" t="n">
        <v>6.97</v>
      </c>
      <c r="L74" s="8" t="n">
        <v>6.69</v>
      </c>
      <c r="M74" s="8" t="n">
        <v>6.783333333333334</v>
      </c>
      <c r="N74" s="14">
        <f>J74/M74-1</f>
        <v/>
      </c>
      <c r="O74" s="14">
        <f>J74/K74-1</f>
        <v/>
      </c>
      <c r="P74" s="7" t="inlineStr">
        <is>
          <t>OK (≤ últ. compra)</t>
        </is>
      </c>
      <c r="Q74" s="7" t="inlineStr"/>
    </row>
    <row r="75">
      <c r="A75" s="7" t="n">
        <v>414621</v>
      </c>
      <c r="B75" s="7" t="inlineStr"/>
      <c r="C75" s="12" t="inlineStr">
        <is>
          <t>7895296210324</t>
        </is>
      </c>
      <c r="D75" s="7" t="inlineStr">
        <is>
          <t>PROPIONATO DE CLOBETASOL 0,5MG/G CREME DERM BG 30G</t>
        </is>
      </c>
      <c r="E75" s="13" t="n">
        <v>1</v>
      </c>
      <c r="F75" s="13" t="n">
        <v>7</v>
      </c>
      <c r="G75" s="13" t="n">
        <v>7</v>
      </c>
      <c r="H75" s="8" t="n">
        <v>6.41</v>
      </c>
      <c r="I75" s="8">
        <f>G75*H75</f>
        <v/>
      </c>
      <c r="J75" s="8">
        <f>H75/E75</f>
        <v/>
      </c>
      <c r="K75" s="8" t="n">
        <v>6.19</v>
      </c>
      <c r="L75" s="8" t="n">
        <v>6.19</v>
      </c>
      <c r="M75" s="8" t="n">
        <v>6.19</v>
      </c>
      <c r="N75" s="14">
        <f>J75/M75-1</f>
        <v/>
      </c>
      <c r="O75" s="14">
        <f>J75/K75-1</f>
        <v/>
      </c>
      <c r="P75" s="7" t="inlineStr">
        <is>
          <t>ACIMA +3.6%</t>
        </is>
      </c>
      <c r="Q75" s="7" t="inlineStr"/>
    </row>
    <row r="76">
      <c r="A76" s="7" t="n">
        <v>201921</v>
      </c>
      <c r="B76" s="7" t="inlineStr"/>
      <c r="C76" s="12" t="inlineStr">
        <is>
          <t>7896472500253</t>
        </is>
      </c>
      <c r="D76" s="7" t="inlineStr">
        <is>
          <t>PV - DELTALAB 0,2MG LOCAO FR 100ML</t>
        </is>
      </c>
      <c r="E76" s="13" t="n">
        <v>1</v>
      </c>
      <c r="F76" s="13" t="n">
        <v>1</v>
      </c>
      <c r="G76" s="13" t="n">
        <v>1</v>
      </c>
      <c r="H76" s="8" t="n">
        <v>6.58</v>
      </c>
      <c r="I76" s="8">
        <f>G76*H76</f>
        <v/>
      </c>
      <c r="J76" s="8">
        <f>H76/E76</f>
        <v/>
      </c>
      <c r="K76" s="8" t="n">
        <v>5.6</v>
      </c>
      <c r="L76" s="8" t="n">
        <v>5.6</v>
      </c>
      <c r="M76" s="8" t="n">
        <v>5.599999999999999</v>
      </c>
      <c r="N76" s="14">
        <f>J76/M76-1</f>
        <v/>
      </c>
      <c r="O76" s="14">
        <f>J76/K76-1</f>
        <v/>
      </c>
      <c r="P76" s="7" t="inlineStr">
        <is>
          <t>ACIMA +17.5%</t>
        </is>
      </c>
      <c r="Q76" s="7" t="inlineStr"/>
    </row>
    <row r="77">
      <c r="A77" s="7" t="n">
        <v>315361</v>
      </c>
      <c r="B77" s="7" t="inlineStr"/>
      <c r="C77" s="12" t="inlineStr">
        <is>
          <t>7896004720838</t>
        </is>
      </c>
      <c r="D77" s="7" t="inlineStr">
        <is>
          <t>REPOFLOR 200MG FR 6 CAP</t>
        </is>
      </c>
      <c r="E77" s="13" t="n">
        <v>1</v>
      </c>
      <c r="F77" s="13" t="n">
        <v>17</v>
      </c>
      <c r="G77" s="13" t="n">
        <v>17</v>
      </c>
      <c r="H77" s="8" t="n">
        <v>23.64</v>
      </c>
      <c r="I77" s="8">
        <f>G77*H77</f>
        <v/>
      </c>
      <c r="J77" s="8">
        <f>H77/E77</f>
        <v/>
      </c>
      <c r="K77" s="8" t="n">
        <v>21.536</v>
      </c>
      <c r="L77" s="8" t="n">
        <v>14.14</v>
      </c>
      <c r="M77" s="8" t="n">
        <v>19.07066666666667</v>
      </c>
      <c r="N77" s="14">
        <f>J77/M77-1</f>
        <v/>
      </c>
      <c r="O77" s="14">
        <f>J77/K77-1</f>
        <v/>
      </c>
      <c r="P77" s="7" t="inlineStr">
        <is>
          <t>ACIMA +9.8%</t>
        </is>
      </c>
      <c r="Q77" s="7" t="inlineStr"/>
    </row>
    <row r="78">
      <c r="A78" s="7" t="n">
        <v>667251</v>
      </c>
      <c r="B78" s="7" t="inlineStr"/>
      <c r="C78" s="12" t="inlineStr">
        <is>
          <t>7898216366088</t>
        </is>
      </c>
      <c r="D78" s="7" t="inlineStr">
        <is>
          <t>ROSUVASTATINA CALCICA 5MG CX 30 COMP REV</t>
        </is>
      </c>
      <c r="E78" s="13" t="n">
        <v>1</v>
      </c>
      <c r="F78" s="13" t="n">
        <v>2</v>
      </c>
      <c r="G78" s="13" t="n">
        <v>2</v>
      </c>
      <c r="H78" s="8" t="n">
        <v>5.86</v>
      </c>
      <c r="I78" s="8">
        <f>G78*H78</f>
        <v/>
      </c>
      <c r="J78" s="8">
        <f>H78/E78</f>
        <v/>
      </c>
      <c r="K78" s="8" t="n">
        <v>5.9</v>
      </c>
      <c r="L78" s="8" t="n">
        <v>5.9</v>
      </c>
      <c r="M78" s="8" t="n">
        <v>5.900000000000001</v>
      </c>
      <c r="N78" s="14">
        <f>J78/M78-1</f>
        <v/>
      </c>
      <c r="O78" s="14">
        <f>J78/K78-1</f>
        <v/>
      </c>
      <c r="P78" s="7" t="inlineStr">
        <is>
          <t>OK (≤ menor hist.)</t>
        </is>
      </c>
      <c r="Q78" s="7" t="inlineStr"/>
    </row>
    <row r="79">
      <c r="A79" s="7" t="n">
        <v>431481</v>
      </c>
      <c r="B79" s="7" t="inlineStr"/>
      <c r="C79" s="12" t="inlineStr">
        <is>
          <t>7899620911857</t>
        </is>
      </c>
      <c r="D79" s="7" t="inlineStr">
        <is>
          <t>SECNIDAZOL 1000MG CX 2 COMP</t>
        </is>
      </c>
      <c r="E79" s="13" t="n">
        <v>1</v>
      </c>
      <c r="F79" s="13" t="n">
        <v>54</v>
      </c>
      <c r="G79" s="13" t="n">
        <v>54</v>
      </c>
      <c r="H79" s="8" t="n">
        <v>2.55</v>
      </c>
      <c r="I79" s="8">
        <f>G79*H79</f>
        <v/>
      </c>
      <c r="J79" s="8">
        <f>H79/E79</f>
        <v/>
      </c>
      <c r="K79" s="8" t="n">
        <v>2.65</v>
      </c>
      <c r="L79" s="8" t="n">
        <v>2.16</v>
      </c>
      <c r="M79" s="8" t="n">
        <v>2.466666666666667</v>
      </c>
      <c r="N79" s="14">
        <f>J79/M79-1</f>
        <v/>
      </c>
      <c r="O79" s="14">
        <f>J79/K79-1</f>
        <v/>
      </c>
      <c r="P79" s="7" t="inlineStr">
        <is>
          <t>OK (≤ últ. compra)</t>
        </is>
      </c>
      <c r="Q79" s="7" t="inlineStr"/>
    </row>
    <row r="80">
      <c r="A80" s="7" t="n">
        <v>538261</v>
      </c>
      <c r="B80" s="7" t="inlineStr"/>
      <c r="C80" s="12" t="inlineStr">
        <is>
          <t>7894164005611</t>
        </is>
      </c>
      <c r="D80" s="7" t="inlineStr">
        <is>
          <t>SILUSGEL SUS 100ML</t>
        </is>
      </c>
      <c r="E80" s="13" t="n">
        <v>1</v>
      </c>
      <c r="F80" s="13" t="n">
        <v>4</v>
      </c>
      <c r="G80" s="13" t="n">
        <v>4</v>
      </c>
      <c r="H80" s="8" t="n">
        <v>7.62</v>
      </c>
      <c r="I80" s="8">
        <f>G80*H80</f>
        <v/>
      </c>
      <c r="J80" s="8">
        <f>H80/E80</f>
        <v/>
      </c>
      <c r="K80" s="8" t="n">
        <v>7.68</v>
      </c>
      <c r="L80" s="8" t="n">
        <v>7.63</v>
      </c>
      <c r="M80" s="8" t="n">
        <v>7.663333333333333</v>
      </c>
      <c r="N80" s="14">
        <f>J80/M80-1</f>
        <v/>
      </c>
      <c r="O80" s="14">
        <f>J80/K80-1</f>
        <v/>
      </c>
      <c r="P80" s="7" t="inlineStr">
        <is>
          <t>OK (≤ menor hist.)</t>
        </is>
      </c>
      <c r="Q80" s="7" t="inlineStr"/>
    </row>
    <row r="81">
      <c r="A81" s="7" t="n">
        <v>436201</v>
      </c>
      <c r="B81" s="7" t="inlineStr"/>
      <c r="C81" s="12" t="inlineStr">
        <is>
          <t>7899620911079</t>
        </is>
      </c>
      <c r="D81" s="7" t="inlineStr">
        <is>
          <t>SINVASTATINA 40MG CX 30 COMP REV</t>
        </is>
      </c>
      <c r="E81" s="13" t="n">
        <v>1</v>
      </c>
      <c r="F81" s="13" t="n">
        <v>3</v>
      </c>
      <c r="G81" s="13" t="n">
        <v>3</v>
      </c>
      <c r="H81" s="8" t="n">
        <v>5.53</v>
      </c>
      <c r="I81" s="8">
        <f>G81*H81</f>
        <v/>
      </c>
      <c r="J81" s="8">
        <f>H81/E81</f>
        <v/>
      </c>
      <c r="K81" s="8" t="n">
        <v>5.79</v>
      </c>
      <c r="L81" s="8" t="n">
        <v>5.79</v>
      </c>
      <c r="M81" s="8" t="n">
        <v>5.79</v>
      </c>
      <c r="N81" s="14">
        <f>J81/M81-1</f>
        <v/>
      </c>
      <c r="O81" s="14">
        <f>J81/K81-1</f>
        <v/>
      </c>
      <c r="P81" s="7" t="inlineStr">
        <is>
          <t>OK (≤ menor hist.)</t>
        </is>
      </c>
      <c r="Q81" s="7" t="inlineStr"/>
    </row>
    <row r="82">
      <c r="A82" s="7" t="n">
        <v>201</v>
      </c>
      <c r="B82" s="7" t="inlineStr"/>
      <c r="C82" s="12" t="inlineStr">
        <is>
          <t>7893454100678</t>
        </is>
      </c>
      <c r="D82" s="7" t="inlineStr">
        <is>
          <t>TANDENE 125+50+300+30MG CX 15 COMP</t>
        </is>
      </c>
      <c r="E82" s="13" t="n">
        <v>1</v>
      </c>
      <c r="F82" s="13" t="n">
        <v>26</v>
      </c>
      <c r="G82" s="13" t="n">
        <v>26</v>
      </c>
      <c r="H82" s="8" t="n">
        <v>4.07</v>
      </c>
      <c r="I82" s="8">
        <f>G82*H82</f>
        <v/>
      </c>
      <c r="J82" s="8">
        <f>H82/E82</f>
        <v/>
      </c>
      <c r="K82" s="8" t="n">
        <v>3.91</v>
      </c>
      <c r="L82" s="8" t="n">
        <v>3.77</v>
      </c>
      <c r="M82" s="8" t="n">
        <v>3.776666666666667</v>
      </c>
      <c r="N82" s="14">
        <f>J82/M82-1</f>
        <v/>
      </c>
      <c r="O82" s="14">
        <f>J82/K82-1</f>
        <v/>
      </c>
      <c r="P82" s="7" t="inlineStr">
        <is>
          <t>ACIMA +4.1%</t>
        </is>
      </c>
      <c r="Q82" s="7" t="inlineStr"/>
    </row>
    <row r="83">
      <c r="A83" s="7" t="n">
        <v>82461</v>
      </c>
      <c r="B83" s="7" t="inlineStr"/>
      <c r="C83" s="12" t="inlineStr">
        <is>
          <t>7893454100685</t>
        </is>
      </c>
      <c r="D83" s="7" t="inlineStr">
        <is>
          <t>TANDENE 125+50+300+30MG CX 30 COMP</t>
        </is>
      </c>
      <c r="E83" s="13" t="n">
        <v>1</v>
      </c>
      <c r="F83" s="13" t="n">
        <v>6</v>
      </c>
      <c r="G83" s="13" t="n">
        <v>6</v>
      </c>
      <c r="H83" s="8" t="n">
        <v>7.98</v>
      </c>
      <c r="I83" s="8">
        <f>G83*H83</f>
        <v/>
      </c>
      <c r="J83" s="8">
        <f>H83/E83</f>
        <v/>
      </c>
      <c r="K83" s="8" t="n">
        <v>7.95</v>
      </c>
      <c r="L83" s="8" t="n">
        <v>7.95</v>
      </c>
      <c r="M83" s="8" t="n">
        <v>7.95</v>
      </c>
      <c r="N83" s="14">
        <f>J83/M83-1</f>
        <v/>
      </c>
      <c r="O83" s="14">
        <f>J83/K83-1</f>
        <v/>
      </c>
      <c r="P83" s="7" t="inlineStr">
        <is>
          <t>ACIMA +0.4%</t>
        </is>
      </c>
      <c r="Q83" s="7" t="inlineStr"/>
    </row>
    <row r="84">
      <c r="A84" s="7" t="n">
        <v>394941</v>
      </c>
      <c r="B84" s="7" t="inlineStr"/>
      <c r="C84" s="12" t="inlineStr"/>
      <c r="D84" s="7" t="inlineStr">
        <is>
          <t>TYFLEN (N.S.) 100MG/ML SUS FR 15ML BEBE</t>
        </is>
      </c>
      <c r="E84" s="13" t="n">
        <v>1</v>
      </c>
      <c r="F84" s="13" t="n">
        <v>4</v>
      </c>
      <c r="G84" s="13" t="n">
        <v>4</v>
      </c>
      <c r="H84" s="8" t="n">
        <v>4.39</v>
      </c>
      <c r="I84" s="8">
        <f>G84*H84</f>
        <v/>
      </c>
      <c r="J84" s="8">
        <f>H84/E84</f>
        <v/>
      </c>
      <c r="K84" s="8" t="n">
        <v>4.2</v>
      </c>
      <c r="L84" s="8" t="n">
        <v>4.2</v>
      </c>
      <c r="M84" s="8" t="n">
        <v>4.2</v>
      </c>
      <c r="N84" s="14">
        <f>J84/M84-1</f>
        <v/>
      </c>
      <c r="O84" s="14">
        <f>J84/K84-1</f>
        <v/>
      </c>
      <c r="P84" s="7" t="inlineStr">
        <is>
          <t>ACIMA +4.5%</t>
        </is>
      </c>
      <c r="Q84" s="7" t="inlineStr"/>
    </row>
    <row r="85">
      <c r="A85" s="7" t="n">
        <v>604071</v>
      </c>
      <c r="B85" s="7" t="inlineStr"/>
      <c r="C85" s="12" t="inlineStr"/>
      <c r="D85" s="7" t="inlineStr">
        <is>
          <t>VITAMINA B-12 60CP MAST</t>
        </is>
      </c>
      <c r="E85" s="13" t="n">
        <v>1</v>
      </c>
      <c r="F85" s="13" t="n">
        <v>2</v>
      </c>
      <c r="G85" s="13" t="n">
        <v>2</v>
      </c>
      <c r="H85" s="8" t="n">
        <v>22.87</v>
      </c>
      <c r="I85" s="8">
        <f>G85*H85</f>
        <v/>
      </c>
      <c r="J85" s="8">
        <f>H85/E85</f>
        <v/>
      </c>
      <c r="K85" s="8" t="n">
        <v>20.05</v>
      </c>
      <c r="L85" s="8" t="n">
        <v>20.05</v>
      </c>
      <c r="M85" s="8" t="n">
        <v>20.05</v>
      </c>
      <c r="N85" s="14">
        <f>J85/M85-1</f>
        <v/>
      </c>
      <c r="O85" s="14">
        <f>J85/K85-1</f>
        <v/>
      </c>
      <c r="P85" s="7" t="inlineStr">
        <is>
          <t>ACIMA +14.1%</t>
        </is>
      </c>
      <c r="Q85" s="7" t="inlineStr"/>
    </row>
    <row r="86">
      <c r="A86" s="7" t="n">
        <v>542841</v>
      </c>
      <c r="B86" s="7" t="inlineStr"/>
      <c r="C86" s="12" t="inlineStr"/>
      <c r="D86" s="7" t="inlineStr">
        <is>
          <t>VITAXON C GOTAS 200MG/ML 200ML (ARL) AIRELA INDUSTRIA FARMACEUTICA</t>
        </is>
      </c>
      <c r="E86" s="13" t="n">
        <v>1</v>
      </c>
      <c r="F86" s="13" t="n">
        <v>45</v>
      </c>
      <c r="G86" s="13" t="n">
        <v>45</v>
      </c>
      <c r="H86" s="8" t="n">
        <v>2.95</v>
      </c>
      <c r="I86" s="8">
        <f>G86*H86</f>
        <v/>
      </c>
      <c r="J86" s="8">
        <f>H86/E86</f>
        <v/>
      </c>
      <c r="K86" s="8" t="n">
        <v>2.36</v>
      </c>
      <c r="L86" s="8" t="n">
        <v>2.36</v>
      </c>
      <c r="M86" s="8" t="n">
        <v>2.36</v>
      </c>
      <c r="N86" s="14">
        <f>J86/M86-1</f>
        <v/>
      </c>
      <c r="O86" s="14">
        <f>J86/K86-1</f>
        <v/>
      </c>
      <c r="P86" s="7" t="inlineStr">
        <is>
          <t>ACIMA +25.0%</t>
        </is>
      </c>
      <c r="Q86" s="7" t="inlineStr"/>
    </row>
    <row r="87">
      <c r="A87" s="7" t="n">
        <v>549221</v>
      </c>
      <c r="B87" s="7" t="inlineStr"/>
      <c r="C87" s="12" t="inlineStr"/>
      <c r="D87" s="7" t="inlineStr">
        <is>
          <t>VITAXON C ZINCO EFERVECENTE CX C/ 10 CP</t>
        </is>
      </c>
      <c r="E87" s="13" t="n">
        <v>1</v>
      </c>
      <c r="F87" s="13" t="n">
        <v>65</v>
      </c>
      <c r="G87" s="13" t="n">
        <v>65</v>
      </c>
      <c r="H87" s="8" t="n">
        <v>5.93</v>
      </c>
      <c r="I87" s="8">
        <f>G87*H87</f>
        <v/>
      </c>
      <c r="J87" s="8">
        <f>H87/E87</f>
        <v/>
      </c>
      <c r="K87" s="8" t="n">
        <v>5</v>
      </c>
      <c r="L87" s="8" t="n">
        <v>5</v>
      </c>
      <c r="M87" s="8" t="n">
        <v>5</v>
      </c>
      <c r="N87" s="14">
        <f>J87/M87-1</f>
        <v/>
      </c>
      <c r="O87" s="14">
        <f>J87/K87-1</f>
        <v/>
      </c>
      <c r="P87" s="7" t="inlineStr">
        <is>
          <t>ACIMA +18.6%</t>
        </is>
      </c>
      <c r="Q87" s="7" t="inlineStr"/>
    </row>
    <row r="88">
      <c r="A88" s="7" t="n">
        <v>538321</v>
      </c>
      <c r="B88" s="7" t="inlineStr"/>
      <c r="C88" s="12" t="inlineStr"/>
      <c r="D88" s="7" t="inlineStr">
        <is>
          <t>VITAXON C ZINCO SOL GOTAS 20ML</t>
        </is>
      </c>
      <c r="E88" s="13" t="n">
        <v>1</v>
      </c>
      <c r="F88" s="13" t="n">
        <v>29</v>
      </c>
      <c r="G88" s="13" t="n">
        <v>29</v>
      </c>
      <c r="H88" s="8" t="n">
        <v>3.99</v>
      </c>
      <c r="I88" s="8">
        <f>G88*H88</f>
        <v/>
      </c>
      <c r="J88" s="8">
        <f>H88/E88</f>
        <v/>
      </c>
      <c r="K88" s="8" t="n">
        <v>3.01</v>
      </c>
      <c r="L88" s="8" t="n">
        <v>3.01</v>
      </c>
      <c r="M88" s="8" t="n">
        <v>3.01</v>
      </c>
      <c r="N88" s="14">
        <f>J88/M88-1</f>
        <v/>
      </c>
      <c r="O88" s="14">
        <f>J88/K88-1</f>
        <v/>
      </c>
      <c r="P88" s="7" t="inlineStr">
        <is>
          <t>ACIMA +32.6%</t>
        </is>
      </c>
      <c r="Q88" s="7" t="inlineStr"/>
    </row>
    <row r="89">
      <c r="D89" s="5" t="inlineStr">
        <is>
          <t>TOTAL</t>
        </is>
      </c>
      <c r="I89" s="18">
        <f>SUM(I2:I88)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7" customWidth="1" min="16" max="16"/>
    <col width="26" customWidth="1" min="17" max="17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Média hist.</t>
        </is>
      </c>
      <c r="N1" s="11" t="inlineStr">
        <is>
          <t>% vs média hist.</t>
        </is>
      </c>
      <c r="O1" s="11" t="inlineStr">
        <is>
          <t>% vs últ. compra</t>
        </is>
      </c>
      <c r="P1" s="11" t="inlineStr">
        <is>
          <t>Status</t>
        </is>
      </c>
      <c r="Q1" s="11" t="inlineStr">
        <is>
          <t>OBS</t>
        </is>
      </c>
    </row>
    <row r="2">
      <c r="A2" s="7" t="n">
        <v>673351</v>
      </c>
      <c r="B2" s="7" t="inlineStr"/>
      <c r="C2" s="12" t="inlineStr">
        <is>
          <t>7899941207714</t>
        </is>
      </c>
      <c r="D2" s="7" t="inlineStr">
        <is>
          <t>100% WHEY DOUBLE TASTY MAXTITANIUM BAUNI</t>
        </is>
      </c>
      <c r="E2" s="13" t="n">
        <v>1</v>
      </c>
      <c r="F2" s="13" t="n">
        <v>1</v>
      </c>
      <c r="G2" s="13" t="n">
        <v>1</v>
      </c>
      <c r="H2" s="8" t="n">
        <v>130</v>
      </c>
      <c r="I2" s="8">
        <f>G2*H2</f>
        <v/>
      </c>
      <c r="J2" s="8">
        <f>H2/E2</f>
        <v/>
      </c>
      <c r="K2" s="8" t="n">
        <v>119.98</v>
      </c>
      <c r="L2" s="8" t="n">
        <v>106.99</v>
      </c>
      <c r="M2" s="8" t="n">
        <v>115.65</v>
      </c>
      <c r="N2" s="14">
        <f>J2/M2-1</f>
        <v/>
      </c>
      <c r="O2" s="14">
        <f>J2/K2-1</f>
        <v/>
      </c>
      <c r="P2" s="7" t="inlineStr">
        <is>
          <t>ACIMA +8.4%</t>
        </is>
      </c>
      <c r="Q2" s="7" t="inlineStr"/>
    </row>
    <row r="3">
      <c r="A3" s="7" t="n">
        <v>673401</v>
      </c>
      <c r="B3" s="7" t="inlineStr"/>
      <c r="C3" s="12" t="inlineStr">
        <is>
          <t>7899941207721</t>
        </is>
      </c>
      <c r="D3" s="7" t="inlineStr">
        <is>
          <t>100% WHEY DOUBLE TASTY MAXTITANIUM CHOCO</t>
        </is>
      </c>
      <c r="E3" s="13" t="n">
        <v>1</v>
      </c>
      <c r="F3" s="13" t="n">
        <v>1</v>
      </c>
      <c r="G3" s="13" t="n">
        <v>1</v>
      </c>
      <c r="H3" s="8" t="n">
        <v>130</v>
      </c>
      <c r="I3" s="8">
        <f>G3*H3</f>
        <v/>
      </c>
      <c r="J3" s="8">
        <f>H3/E3</f>
        <v/>
      </c>
      <c r="K3" s="8" t="n">
        <v>106.99</v>
      </c>
      <c r="L3" s="8" t="n">
        <v>106.99</v>
      </c>
      <c r="M3" s="8" t="n">
        <v>106.99</v>
      </c>
      <c r="N3" s="14">
        <f>J3/M3-1</f>
        <v/>
      </c>
      <c r="O3" s="14">
        <f>J3/K3-1</f>
        <v/>
      </c>
      <c r="P3" s="7" t="inlineStr">
        <is>
          <t>ACIMA +21.5%</t>
        </is>
      </c>
      <c r="Q3" s="7" t="inlineStr"/>
    </row>
    <row r="4">
      <c r="A4" s="7" t="n">
        <v>597611</v>
      </c>
      <c r="B4" s="7" t="inlineStr"/>
      <c r="C4" s="12" t="inlineStr">
        <is>
          <t>7899941201781</t>
        </is>
      </c>
      <c r="D4" s="7" t="inlineStr">
        <is>
          <t>100% WHEY MAX TITANIUM BAUNILHA PT 900G</t>
        </is>
      </c>
      <c r="E4" s="13" t="n">
        <v>1</v>
      </c>
      <c r="F4" s="13" t="n">
        <v>1</v>
      </c>
      <c r="G4" s="13" t="n">
        <v>1</v>
      </c>
      <c r="H4" s="8" t="n">
        <v>162</v>
      </c>
      <c r="I4" s="8">
        <f>G4*H4</f>
        <v/>
      </c>
      <c r="J4" s="8">
        <f>H4/E4</f>
        <v/>
      </c>
      <c r="K4" s="8" t="n">
        <v>120.19</v>
      </c>
      <c r="L4" s="8" t="n">
        <v>120.19</v>
      </c>
      <c r="M4" s="8" t="n">
        <v>120.19</v>
      </c>
      <c r="N4" s="14">
        <f>J4/M4-1</f>
        <v/>
      </c>
      <c r="O4" s="14">
        <f>J4/K4-1</f>
        <v/>
      </c>
      <c r="P4" s="7" t="inlineStr">
        <is>
          <t>ACIMA +34.8%</t>
        </is>
      </c>
      <c r="Q4" s="7" t="inlineStr"/>
    </row>
    <row r="5">
      <c r="A5" s="7" t="n">
        <v>597621</v>
      </c>
      <c r="B5" s="7" t="inlineStr"/>
      <c r="C5" s="12" t="inlineStr">
        <is>
          <t>7899941201804</t>
        </is>
      </c>
      <c r="D5" s="7" t="inlineStr">
        <is>
          <t>100% WHEY MAX TITANIUM COOKIES CREAM PT 900G</t>
        </is>
      </c>
      <c r="E5" s="13" t="n">
        <v>1</v>
      </c>
      <c r="F5" s="13" t="n">
        <v>1</v>
      </c>
      <c r="G5" s="13" t="n">
        <v>1</v>
      </c>
      <c r="H5" s="8" t="n">
        <v>162</v>
      </c>
      <c r="I5" s="8">
        <f>G5*H5</f>
        <v/>
      </c>
      <c r="J5" s="8">
        <f>H5/E5</f>
        <v/>
      </c>
      <c r="K5" s="8" t="n">
        <v>119.61</v>
      </c>
      <c r="L5" s="8" t="n">
        <v>119.61</v>
      </c>
      <c r="M5" s="8" t="n">
        <v>119.61</v>
      </c>
      <c r="N5" s="14">
        <f>J5/M5-1</f>
        <v/>
      </c>
      <c r="O5" s="14">
        <f>J5/K5-1</f>
        <v/>
      </c>
      <c r="P5" s="7" t="inlineStr">
        <is>
          <t>ACIMA +35.4%</t>
        </is>
      </c>
      <c r="Q5" s="7" t="inlineStr"/>
    </row>
    <row r="6">
      <c r="A6" s="7" t="n">
        <v>605941</v>
      </c>
      <c r="B6" s="7" t="inlineStr"/>
      <c r="C6" s="12" t="inlineStr">
        <is>
          <t>7899941201811</t>
        </is>
      </c>
      <c r="D6" s="7" t="inlineStr">
        <is>
          <t>100% WHEY MAX TITANIUM MORANGO PT 900G</t>
        </is>
      </c>
      <c r="E6" s="13" t="n">
        <v>1</v>
      </c>
      <c r="F6" s="13" t="n">
        <v>1</v>
      </c>
      <c r="G6" s="13" t="n">
        <v>1</v>
      </c>
      <c r="H6" s="8" t="n">
        <v>162</v>
      </c>
      <c r="I6" s="8">
        <f>G6*H6</f>
        <v/>
      </c>
      <c r="J6" s="8">
        <f>H6/E6</f>
        <v/>
      </c>
      <c r="K6" s="8" t="n">
        <v>136.65</v>
      </c>
      <c r="L6" s="8" t="n">
        <v>119.61</v>
      </c>
      <c r="M6" s="8" t="n">
        <v>125.29</v>
      </c>
      <c r="N6" s="14">
        <f>J6/M6-1</f>
        <v/>
      </c>
      <c r="O6" s="14">
        <f>J6/K6-1</f>
        <v/>
      </c>
      <c r="P6" s="7" t="inlineStr">
        <is>
          <t>ACIMA +18.6%</t>
        </is>
      </c>
      <c r="Q6" s="7" t="inlineStr"/>
    </row>
    <row r="7">
      <c r="A7" s="7" t="n">
        <v>597651</v>
      </c>
      <c r="B7" s="7" t="inlineStr"/>
      <c r="C7" s="12" t="inlineStr">
        <is>
          <t>7896311763269</t>
        </is>
      </c>
      <c r="D7" s="7" t="inlineStr">
        <is>
          <t>AMINO BCAA INTEGRALMEDICA 90 CAPS</t>
        </is>
      </c>
      <c r="E7" s="13" t="n">
        <v>1</v>
      </c>
      <c r="F7" s="13" t="n">
        <v>5</v>
      </c>
      <c r="G7" s="13" t="n">
        <v>5</v>
      </c>
      <c r="H7" s="8" t="n">
        <v>45</v>
      </c>
      <c r="I7" s="8">
        <f>G7*H7</f>
        <v/>
      </c>
      <c r="J7" s="8">
        <f>H7/E7</f>
        <v/>
      </c>
      <c r="K7" s="8" t="n">
        <v>45.25</v>
      </c>
      <c r="L7" s="8" t="n">
        <v>38.06</v>
      </c>
      <c r="M7" s="8" t="n">
        <v>42.85333333333333</v>
      </c>
      <c r="N7" s="14">
        <f>J7/M7-1</f>
        <v/>
      </c>
      <c r="O7" s="14">
        <f>J7/K7-1</f>
        <v/>
      </c>
      <c r="P7" s="7" t="inlineStr">
        <is>
          <t>OK (≤ últ. compra)</t>
        </is>
      </c>
      <c r="Q7" s="7" t="inlineStr"/>
    </row>
    <row r="8">
      <c r="A8" s="7" t="n">
        <v>638221</v>
      </c>
      <c r="B8" s="7" t="inlineStr"/>
      <c r="C8" s="12" t="inlineStr">
        <is>
          <t>7899628600524</t>
        </is>
      </c>
      <c r="D8" s="7" t="inlineStr">
        <is>
          <t>BARRA FLOWBAR NUTS DARK CRANBERRY 30G D/12</t>
        </is>
      </c>
      <c r="E8" s="13" t="n">
        <v>1</v>
      </c>
      <c r="F8" s="13" t="n">
        <v>1</v>
      </c>
      <c r="G8" s="13" t="n">
        <v>1</v>
      </c>
      <c r="H8" s="8" t="n">
        <v>3.94</v>
      </c>
      <c r="I8" s="8">
        <f>G8*H8</f>
        <v/>
      </c>
      <c r="J8" s="8">
        <f>H8/E8</f>
        <v/>
      </c>
      <c r="K8" s="8" t="n">
        <v>3.27</v>
      </c>
      <c r="L8" s="8" t="n">
        <v>3.27</v>
      </c>
      <c r="M8" s="8" t="n">
        <v>3.27</v>
      </c>
      <c r="N8" s="14">
        <f>J8/M8-1</f>
        <v/>
      </c>
      <c r="O8" s="14">
        <f>J8/K8-1</f>
        <v/>
      </c>
      <c r="P8" s="7" t="inlineStr">
        <is>
          <t>ACIMA +20.5%</t>
        </is>
      </c>
      <c r="Q8" s="7" t="inlineStr"/>
    </row>
    <row r="9">
      <c r="A9" s="7" t="n">
        <v>9703</v>
      </c>
      <c r="B9" s="7" t="inlineStr"/>
      <c r="C9" s="12" t="inlineStr">
        <is>
          <t>7898920041592</t>
        </is>
      </c>
      <c r="D9" s="7" t="inlineStr">
        <is>
          <t>BCAA 2400MG MAX TITANIUM 100 CAPS</t>
        </is>
      </c>
      <c r="E9" s="13" t="n">
        <v>1</v>
      </c>
      <c r="F9" s="13" t="n">
        <v>1</v>
      </c>
      <c r="G9" s="13" t="n">
        <v>1</v>
      </c>
      <c r="H9" s="8" t="n">
        <v>48</v>
      </c>
      <c r="I9" s="8">
        <f>G9*H9</f>
        <v/>
      </c>
      <c r="J9" s="8">
        <f>H9/E9</f>
        <v/>
      </c>
      <c r="K9" s="8" t="n">
        <v>48.7</v>
      </c>
      <c r="L9" s="8" t="n">
        <v>42.64</v>
      </c>
      <c r="M9" s="8" t="n">
        <v>44.66</v>
      </c>
      <c r="N9" s="14">
        <f>J9/M9-1</f>
        <v/>
      </c>
      <c r="O9" s="14">
        <f>J9/K9-1</f>
        <v/>
      </c>
      <c r="P9" s="7" t="inlineStr">
        <is>
          <t>OK (≤ últ. compra)</t>
        </is>
      </c>
      <c r="Q9" s="7" t="inlineStr"/>
    </row>
    <row r="10">
      <c r="A10" s="7" t="n">
        <v>666601</v>
      </c>
      <c r="B10" s="7" t="inlineStr"/>
      <c r="C10" s="12" t="inlineStr">
        <is>
          <t>7898755180336</t>
        </is>
      </c>
      <c r="D10" s="7" t="inlineStr">
        <is>
          <t>BOLD BAR BANOFFEE D/12 UN 60G CX C/12</t>
        </is>
      </c>
      <c r="E10" s="13" t="n">
        <v>1</v>
      </c>
      <c r="F10" s="13" t="n">
        <v>1</v>
      </c>
      <c r="G10" s="13" t="n">
        <v>1</v>
      </c>
      <c r="H10" s="8" t="n">
        <v>11.35</v>
      </c>
      <c r="I10" s="8">
        <f>G10*H10</f>
        <v/>
      </c>
      <c r="J10" s="8">
        <f>H10/E10</f>
        <v/>
      </c>
      <c r="K10" s="8" t="n">
        <v>141.12</v>
      </c>
      <c r="L10" s="8" t="n">
        <v>141.12</v>
      </c>
      <c r="M10" s="8" t="n">
        <v>141.12</v>
      </c>
      <c r="N10" s="14">
        <f>J10/M10-1</f>
        <v/>
      </c>
      <c r="O10" s="14">
        <f>J10/K10-1</f>
        <v/>
      </c>
      <c r="P10" s="7" t="inlineStr">
        <is>
          <t>OK (≤ menor hist.)</t>
        </is>
      </c>
      <c r="Q10" s="7" t="inlineStr">
        <is>
          <t>conferir emb.</t>
        </is>
      </c>
    </row>
    <row r="11">
      <c r="A11" s="7" t="n">
        <v>609311</v>
      </c>
      <c r="B11" s="7" t="inlineStr"/>
      <c r="C11" s="12" t="inlineStr">
        <is>
          <t>609963966240</t>
        </is>
      </c>
      <c r="D11" s="7" t="inlineStr">
        <is>
          <t>BOLD BAR THIN COOKIES CREAM 40G</t>
        </is>
      </c>
      <c r="E11" s="13" t="n">
        <v>1</v>
      </c>
      <c r="F11" s="13" t="n">
        <v>1</v>
      </c>
      <c r="G11" s="13" t="n">
        <v>1</v>
      </c>
      <c r="H11" s="8" t="n">
        <v>7.65</v>
      </c>
      <c r="I11" s="8">
        <f>G11*H11</f>
        <v/>
      </c>
      <c r="J11" s="8">
        <f>H11/E11</f>
        <v/>
      </c>
      <c r="K11" s="8" t="n">
        <v>7.59</v>
      </c>
      <c r="L11" s="8" t="n">
        <v>7.59</v>
      </c>
      <c r="M11" s="8" t="n">
        <v>7.59</v>
      </c>
      <c r="N11" s="14">
        <f>J11/M11-1</f>
        <v/>
      </c>
      <c r="O11" s="14">
        <f>J11/K11-1</f>
        <v/>
      </c>
      <c r="P11" s="7" t="inlineStr">
        <is>
          <t>ACIMA +0.8%</t>
        </is>
      </c>
      <c r="Q11" s="7" t="inlineStr"/>
    </row>
    <row r="12">
      <c r="A12" s="7" t="n">
        <v>609321</v>
      </c>
      <c r="B12" s="7" t="inlineStr"/>
      <c r="C12" s="12" t="inlineStr">
        <is>
          <t>609963966288</t>
        </is>
      </c>
      <c r="D12" s="7" t="inlineStr">
        <is>
          <t>BOLD BAR THIN TRUFA DE MORANGO 40G D/12</t>
        </is>
      </c>
      <c r="E12" s="13" t="n">
        <v>1</v>
      </c>
      <c r="F12" s="13" t="n">
        <v>1</v>
      </c>
      <c r="G12" s="13" t="n">
        <v>1</v>
      </c>
      <c r="H12" s="8" t="n">
        <v>7.65</v>
      </c>
      <c r="I12" s="8">
        <f>G12*H12</f>
        <v/>
      </c>
      <c r="J12" s="8">
        <f>H12/E12</f>
        <v/>
      </c>
      <c r="K12" s="8" t="n">
        <v>7.59</v>
      </c>
      <c r="L12" s="8" t="n">
        <v>7.59</v>
      </c>
      <c r="M12" s="8" t="n">
        <v>7.59</v>
      </c>
      <c r="N12" s="14">
        <f>J12/M12-1</f>
        <v/>
      </c>
      <c r="O12" s="14">
        <f>J12/K12-1</f>
        <v/>
      </c>
      <c r="P12" s="7" t="inlineStr">
        <is>
          <t>ACIMA +0.8%</t>
        </is>
      </c>
      <c r="Q12" s="7" t="inlineStr"/>
    </row>
    <row r="13">
      <c r="A13" s="7" t="n">
        <v>602181</v>
      </c>
      <c r="B13" s="7" t="inlineStr"/>
      <c r="C13" s="12" t="inlineStr">
        <is>
          <t>7897104920784</t>
        </is>
      </c>
      <c r="D13" s="7" t="inlineStr">
        <is>
          <t>COLAGENO HIDRO VERISOL C/ ACIDO HIALURONICO BODYACTION LAR/ACEROLA 200G</t>
        </is>
      </c>
      <c r="E13" s="13" t="n">
        <v>1</v>
      </c>
      <c r="F13" s="13" t="n">
        <v>1</v>
      </c>
      <c r="G13" s="13" t="n">
        <v>1</v>
      </c>
      <c r="H13" s="8" t="n">
        <v>55</v>
      </c>
      <c r="I13" s="8">
        <f>G13*H13</f>
        <v/>
      </c>
      <c r="J13" s="8">
        <f>H13/E13</f>
        <v/>
      </c>
      <c r="K13" s="8" t="n">
        <v>54.9</v>
      </c>
      <c r="L13" s="8" t="n">
        <v>54.9</v>
      </c>
      <c r="M13" s="8" t="n">
        <v>54.9</v>
      </c>
      <c r="N13" s="14">
        <f>J13/M13-1</f>
        <v/>
      </c>
      <c r="O13" s="14">
        <f>J13/K13-1</f>
        <v/>
      </c>
      <c r="P13" s="7" t="inlineStr">
        <is>
          <t>ACIMA +0.2%</t>
        </is>
      </c>
      <c r="Q13" s="7" t="inlineStr"/>
    </row>
    <row r="14">
      <c r="A14" s="7" t="n">
        <v>597681</v>
      </c>
      <c r="B14" s="7" t="inlineStr"/>
      <c r="C14" s="12" t="inlineStr">
        <is>
          <t>7897104907396</t>
        </is>
      </c>
      <c r="D14" s="7" t="inlineStr">
        <is>
          <t>COLAGENO VERISOL COM ACIDO HIALURONICO BODYACTION 90CAP</t>
        </is>
      </c>
      <c r="E14" s="13" t="n">
        <v>1</v>
      </c>
      <c r="F14" s="13" t="n">
        <v>1</v>
      </c>
      <c r="G14" s="13" t="n">
        <v>1</v>
      </c>
      <c r="H14" s="8" t="n">
        <v>55</v>
      </c>
      <c r="I14" s="8">
        <f>G14*H14</f>
        <v/>
      </c>
      <c r="J14" s="8">
        <f>H14/E14</f>
        <v/>
      </c>
      <c r="K14" s="8" t="n">
        <v>55.51</v>
      </c>
      <c r="L14" s="8" t="n">
        <v>55.51</v>
      </c>
      <c r="M14" s="8" t="n">
        <v>55.51</v>
      </c>
      <c r="N14" s="14">
        <f>J14/M14-1</f>
        <v/>
      </c>
      <c r="O14" s="14">
        <f>J14/K14-1</f>
        <v/>
      </c>
      <c r="P14" s="7" t="inlineStr">
        <is>
          <t>OK (≤ menor hist.)</t>
        </is>
      </c>
      <c r="Q14" s="7" t="inlineStr"/>
    </row>
    <row r="15">
      <c r="A15" s="7" t="n">
        <v>650841</v>
      </c>
      <c r="B15" s="7" t="inlineStr"/>
      <c r="C15" s="12" t="inlineStr">
        <is>
          <t>7898583668457</t>
        </is>
      </c>
      <c r="D15" s="7" t="inlineStr">
        <is>
          <t>CREATINA FTW 1KG</t>
        </is>
      </c>
      <c r="E15" s="13" t="n">
        <v>1</v>
      </c>
      <c r="F15" s="13" t="n">
        <v>1</v>
      </c>
      <c r="G15" s="13" t="n">
        <v>1</v>
      </c>
      <c r="H15" s="8" t="n">
        <v>142</v>
      </c>
      <c r="I15" s="8">
        <f>G15*H15</f>
        <v/>
      </c>
      <c r="J15" s="8">
        <f>H15/E15</f>
        <v/>
      </c>
      <c r="K15" s="8" t="n">
        <v>161.42</v>
      </c>
      <c r="L15" s="8" t="n">
        <v>161.42</v>
      </c>
      <c r="M15" s="8" t="n">
        <v>161.42</v>
      </c>
      <c r="N15" s="14">
        <f>J15/M15-1</f>
        <v/>
      </c>
      <c r="O15" s="14">
        <f>J15/K15-1</f>
        <v/>
      </c>
      <c r="P15" s="7" t="inlineStr">
        <is>
          <t>OK (≤ menor hist.)</t>
        </is>
      </c>
      <c r="Q15" s="7" t="inlineStr"/>
    </row>
    <row r="16">
      <c r="A16" s="7" t="n">
        <v>630451</v>
      </c>
      <c r="B16" s="7" t="inlineStr"/>
      <c r="C16" s="12" t="inlineStr">
        <is>
          <t>7896311708314</t>
        </is>
      </c>
      <c r="D16" s="7" t="inlineStr">
        <is>
          <t>CREATINA INTEGRALMEDICA HARDCORE RELOAD 300G</t>
        </is>
      </c>
      <c r="E16" s="13" t="n">
        <v>1</v>
      </c>
      <c r="F16" s="13" t="n">
        <v>30</v>
      </c>
      <c r="G16" s="13" t="n">
        <v>30</v>
      </c>
      <c r="H16" s="8" t="n">
        <v>46</v>
      </c>
      <c r="I16" s="8">
        <f>G16*H16</f>
        <v/>
      </c>
      <c r="J16" s="8">
        <f>H16/E16</f>
        <v/>
      </c>
      <c r="K16" s="8" t="n">
        <v>46.54</v>
      </c>
      <c r="L16" s="8" t="n">
        <v>36.1</v>
      </c>
      <c r="M16" s="8" t="n">
        <v>39.58000000000001</v>
      </c>
      <c r="N16" s="14">
        <f>J16/M16-1</f>
        <v/>
      </c>
      <c r="O16" s="14">
        <f>J16/K16-1</f>
        <v/>
      </c>
      <c r="P16" s="7" t="inlineStr">
        <is>
          <t>OK (≤ últ. compra)</t>
        </is>
      </c>
      <c r="Q16" s="7" t="inlineStr"/>
    </row>
    <row r="17">
      <c r="A17" s="7" t="n">
        <v>597701</v>
      </c>
      <c r="B17" s="7" t="inlineStr"/>
      <c r="C17" s="12" t="inlineStr">
        <is>
          <t>7896311763498</t>
        </is>
      </c>
      <c r="D17" s="7" t="inlineStr">
        <is>
          <t>CREATINA INTEGRALMEDICA PT 150G</t>
        </is>
      </c>
      <c r="E17" s="13" t="n">
        <v>1</v>
      </c>
      <c r="F17" s="13" t="n">
        <v>17</v>
      </c>
      <c r="G17" s="13" t="n">
        <v>17</v>
      </c>
      <c r="H17" s="8" t="n">
        <v>28</v>
      </c>
      <c r="I17" s="8">
        <f>G17*H17</f>
        <v/>
      </c>
      <c r="J17" s="8">
        <f>H17/E17</f>
        <v/>
      </c>
      <c r="K17" s="8" t="n">
        <v>28.42</v>
      </c>
      <c r="L17" s="8" t="n">
        <v>17.59</v>
      </c>
      <c r="M17" s="8" t="n">
        <v>21.2</v>
      </c>
      <c r="N17" s="14">
        <f>J17/M17-1</f>
        <v/>
      </c>
      <c r="O17" s="14">
        <f>J17/K17-1</f>
        <v/>
      </c>
      <c r="P17" s="7" t="inlineStr">
        <is>
          <t>OK (≤ últ. compra)</t>
        </is>
      </c>
      <c r="Q17" s="7" t="inlineStr"/>
    </row>
    <row r="18">
      <c r="A18" s="7" t="n">
        <v>672991</v>
      </c>
      <c r="B18" s="7" t="inlineStr"/>
      <c r="C18" s="12" t="inlineStr">
        <is>
          <t>7896311709083</t>
        </is>
      </c>
      <c r="D18" s="7" t="inlineStr">
        <is>
          <t>CREATINA WHITE 60 CAPS</t>
        </is>
      </c>
      <c r="E18" s="13" t="n">
        <v>1</v>
      </c>
      <c r="F18" s="13" t="n">
        <v>4</v>
      </c>
      <c r="G18" s="13" t="n">
        <v>4</v>
      </c>
      <c r="H18" s="8" t="n">
        <v>21</v>
      </c>
      <c r="I18" s="8">
        <f>G18*H18</f>
        <v/>
      </c>
      <c r="J18" s="8">
        <f>H18/E18</f>
        <v/>
      </c>
      <c r="K18" s="8" t="n">
        <v>21.78</v>
      </c>
      <c r="L18" s="8" t="n">
        <v>16.28</v>
      </c>
      <c r="M18" s="8" t="n">
        <v>18.16666666666667</v>
      </c>
      <c r="N18" s="14">
        <f>J18/M18-1</f>
        <v/>
      </c>
      <c r="O18" s="14">
        <f>J18/K18-1</f>
        <v/>
      </c>
      <c r="P18" s="7" t="inlineStr">
        <is>
          <t>OK (≤ últ. compra)</t>
        </is>
      </c>
      <c r="Q18" s="7" t="inlineStr"/>
    </row>
    <row r="19">
      <c r="A19" s="7" t="n">
        <v>597731</v>
      </c>
      <c r="B19" s="7" t="inlineStr"/>
      <c r="C19" s="12" t="inlineStr">
        <is>
          <t>7898708731394</t>
        </is>
      </c>
      <c r="D19" s="7" t="inlineStr">
        <is>
          <t>CREATINE TURBO BLACKSKULL 150G</t>
        </is>
      </c>
      <c r="E19" s="13" t="n">
        <v>1</v>
      </c>
      <c r="F19" s="13" t="n">
        <v>4</v>
      </c>
      <c r="G19" s="13" t="n">
        <v>4</v>
      </c>
      <c r="H19" s="8" t="n">
        <v>25</v>
      </c>
      <c r="I19" s="8">
        <f>G19*H19</f>
        <v/>
      </c>
      <c r="J19" s="8">
        <f>H19/E19</f>
        <v/>
      </c>
      <c r="K19" s="8" t="n">
        <v>36.15</v>
      </c>
      <c r="L19" s="8" t="n">
        <v>36.15</v>
      </c>
      <c r="M19" s="8" t="n">
        <v>36.15</v>
      </c>
      <c r="N19" s="14">
        <f>J19/M19-1</f>
        <v/>
      </c>
      <c r="O19" s="14">
        <f>J19/K19-1</f>
        <v/>
      </c>
      <c r="P19" s="7" t="inlineStr">
        <is>
          <t>OK (≤ menor hist.)</t>
        </is>
      </c>
      <c r="Q19" s="7" t="inlineStr"/>
    </row>
    <row r="20">
      <c r="A20" s="7" t="n">
        <v>635321</v>
      </c>
      <c r="B20" s="7" t="inlineStr"/>
      <c r="C20" s="12" t="inlineStr">
        <is>
          <t>7898957433544</t>
        </is>
      </c>
      <c r="D20" s="7" t="inlineStr">
        <is>
          <t>CREATINY MONOHYDRATE CANIBALINC 300G</t>
        </is>
      </c>
      <c r="E20" s="13" t="n">
        <v>1</v>
      </c>
      <c r="F20" s="13" t="n">
        <v>4</v>
      </c>
      <c r="G20" s="13" t="n">
        <v>4</v>
      </c>
      <c r="H20" s="8" t="n">
        <v>38</v>
      </c>
      <c r="I20" s="8">
        <f>G20*H20</f>
        <v/>
      </c>
      <c r="J20" s="8">
        <f>H20/E20</f>
        <v/>
      </c>
      <c r="K20" s="8" t="n">
        <v>38.84</v>
      </c>
      <c r="L20" s="8" t="n">
        <v>38.84</v>
      </c>
      <c r="M20" s="8" t="n">
        <v>38.84</v>
      </c>
      <c r="N20" s="14">
        <f>J20/M20-1</f>
        <v/>
      </c>
      <c r="O20" s="14">
        <f>J20/K20-1</f>
        <v/>
      </c>
      <c r="P20" s="7" t="inlineStr">
        <is>
          <t>OK (≤ menor hist.)</t>
        </is>
      </c>
      <c r="Q20" s="7" t="inlineStr"/>
    </row>
    <row r="21">
      <c r="A21" s="7" t="n">
        <v>655861</v>
      </c>
      <c r="B21" s="7" t="inlineStr"/>
      <c r="C21" s="12" t="inlineStr">
        <is>
          <t>7896311771981</t>
        </is>
      </c>
      <c r="D21" s="7" t="inlineStr">
        <is>
          <t>DARK BAR DARKNESS CHOCO AO LEITE COM CHOCO CHIPS 90G D/08</t>
        </is>
      </c>
      <c r="E21" s="13" t="n">
        <v>1</v>
      </c>
      <c r="F21" s="13" t="n">
        <v>1</v>
      </c>
      <c r="G21" s="13" t="n">
        <v>1</v>
      </c>
      <c r="H21" s="8" t="n">
        <v>14</v>
      </c>
      <c r="I21" s="8">
        <f>G21*H21</f>
        <v/>
      </c>
      <c r="J21" s="8">
        <f>H21/E21</f>
        <v/>
      </c>
      <c r="K21" s="8" t="n">
        <v>12.5</v>
      </c>
      <c r="L21" s="8" t="n">
        <v>12.5</v>
      </c>
      <c r="M21" s="8" t="n">
        <v>12.5</v>
      </c>
      <c r="N21" s="14">
        <f>J21/M21-1</f>
        <v/>
      </c>
      <c r="O21" s="14">
        <f>J21/K21-1</f>
        <v/>
      </c>
      <c r="P21" s="7" t="inlineStr">
        <is>
          <t>ACIMA +12.0%</t>
        </is>
      </c>
      <c r="Q21" s="7" t="inlineStr"/>
    </row>
    <row r="22">
      <c r="A22" s="7" t="n">
        <v>630441</v>
      </c>
      <c r="B22" s="7" t="inlineStr"/>
      <c r="C22" s="12" t="inlineStr">
        <is>
          <t>7896311772421</t>
        </is>
      </c>
      <c r="D22" s="7" t="inlineStr">
        <is>
          <t>DARK BAR DARKNESS CREME DE COCO C/ CASTANHA 90G D/08</t>
        </is>
      </c>
      <c r="E22" s="13" t="n">
        <v>1</v>
      </c>
      <c r="F22" s="13" t="n">
        <v>2</v>
      </c>
      <c r="G22" s="13" t="n">
        <v>2</v>
      </c>
      <c r="H22" s="8" t="n">
        <v>14</v>
      </c>
      <c r="I22" s="8">
        <f>G22*H22</f>
        <v/>
      </c>
      <c r="J22" s="8">
        <f>H22/E22</f>
        <v/>
      </c>
      <c r="K22" s="8" t="n">
        <v>12.5</v>
      </c>
      <c r="L22" s="8" t="n">
        <v>12.5</v>
      </c>
      <c r="M22" s="8" t="n">
        <v>12.5</v>
      </c>
      <c r="N22" s="14">
        <f>J22/M22-1</f>
        <v/>
      </c>
      <c r="O22" s="14">
        <f>J22/K22-1</f>
        <v/>
      </c>
      <c r="P22" s="7" t="inlineStr">
        <is>
          <t>ACIMA +12.0%</t>
        </is>
      </c>
      <c r="Q22" s="7" t="inlineStr"/>
    </row>
    <row r="23">
      <c r="A23" s="7" t="n">
        <v>657881</v>
      </c>
      <c r="B23" s="7" t="inlineStr"/>
      <c r="C23" s="12" t="inlineStr">
        <is>
          <t>7896311774845</t>
        </is>
      </c>
      <c r="D23" s="7" t="inlineStr">
        <is>
          <t>DARK BAR DARKNESS CREME DE COCO C/ CASTANHA D/08 90G CX C/8</t>
        </is>
      </c>
      <c r="E23" s="13" t="n">
        <v>1</v>
      </c>
      <c r="F23" s="13" t="n">
        <v>1</v>
      </c>
      <c r="G23" s="13" t="n">
        <v>1</v>
      </c>
      <c r="H23" s="8" t="n">
        <v>14</v>
      </c>
      <c r="I23" s="8">
        <f>G23*H23</f>
        <v/>
      </c>
      <c r="J23" s="8">
        <f>H23/E23</f>
        <v/>
      </c>
      <c r="K23" s="8" t="n">
        <v>95</v>
      </c>
      <c r="L23" s="8" t="n">
        <v>95</v>
      </c>
      <c r="M23" s="8" t="n">
        <v>95</v>
      </c>
      <c r="N23" s="14">
        <f>J23/M23-1</f>
        <v/>
      </c>
      <c r="O23" s="14">
        <f>J23/K23-1</f>
        <v/>
      </c>
      <c r="P23" s="7" t="inlineStr">
        <is>
          <t>OK (≤ menor hist.)</t>
        </is>
      </c>
      <c r="Q23" s="7" t="inlineStr">
        <is>
          <t>conferir emb.</t>
        </is>
      </c>
    </row>
    <row r="24">
      <c r="A24" s="7" t="n">
        <v>638251</v>
      </c>
      <c r="B24" s="7" t="inlineStr"/>
      <c r="C24" s="12" t="inlineStr">
        <is>
          <t>7899598008740</t>
        </is>
      </c>
      <c r="D24" s="7" t="inlineStr">
        <is>
          <t>DIABO VERDE FTW INSANO ENERGETICO 150G</t>
        </is>
      </c>
      <c r="E24" s="13" t="n">
        <v>1</v>
      </c>
      <c r="F24" s="13" t="n">
        <v>1</v>
      </c>
      <c r="G24" s="13" t="n">
        <v>1</v>
      </c>
      <c r="H24" s="8" t="n">
        <v>58</v>
      </c>
      <c r="I24" s="8">
        <f>G24*H24</f>
        <v/>
      </c>
      <c r="J24" s="8">
        <f>H24/E24</f>
        <v/>
      </c>
      <c r="K24" s="8" t="n">
        <v>56.91</v>
      </c>
      <c r="L24" s="8" t="n">
        <v>56.91</v>
      </c>
      <c r="M24" s="8" t="n">
        <v>56.91</v>
      </c>
      <c r="N24" s="14">
        <f>J24/M24-1</f>
        <v/>
      </c>
      <c r="O24" s="14">
        <f>J24/K24-1</f>
        <v/>
      </c>
      <c r="P24" s="7" t="inlineStr">
        <is>
          <t>ACIMA +1.9%</t>
        </is>
      </c>
      <c r="Q24" s="7" t="inlineStr"/>
    </row>
    <row r="25">
      <c r="A25" s="7" t="n">
        <v>602171</v>
      </c>
      <c r="B25" s="7" t="inlineStr"/>
      <c r="C25" s="12" t="inlineStr">
        <is>
          <t>7898583666279</t>
        </is>
      </c>
      <c r="D25" s="7" t="inlineStr">
        <is>
          <t>DIABO VERDE FTW INSANO FRUTAS AMARELAS 150G</t>
        </is>
      </c>
      <c r="E25" s="13" t="n">
        <v>1</v>
      </c>
      <c r="F25" s="13" t="n">
        <v>1</v>
      </c>
      <c r="G25" s="13" t="n">
        <v>1</v>
      </c>
      <c r="H25" s="8" t="n">
        <v>58</v>
      </c>
      <c r="I25" s="8">
        <f>G25*H25</f>
        <v/>
      </c>
      <c r="J25" s="8">
        <f>H25/E25</f>
        <v/>
      </c>
      <c r="K25" s="8" t="n">
        <v>59.9</v>
      </c>
      <c r="L25" s="8" t="n">
        <v>56.91</v>
      </c>
      <c r="M25" s="8" t="n">
        <v>57.90666666666667</v>
      </c>
      <c r="N25" s="14">
        <f>J25/M25-1</f>
        <v/>
      </c>
      <c r="O25" s="14">
        <f>J25/K25-1</f>
        <v/>
      </c>
      <c r="P25" s="7" t="inlineStr">
        <is>
          <t>OK (≤ últ. compra)</t>
        </is>
      </c>
      <c r="Q25" s="7" t="inlineStr"/>
    </row>
    <row r="26">
      <c r="A26" s="7" t="n">
        <v>602161</v>
      </c>
      <c r="B26" s="7" t="inlineStr"/>
      <c r="C26" s="12" t="inlineStr">
        <is>
          <t>7899598008733</t>
        </is>
      </c>
      <c r="D26" s="7" t="inlineStr">
        <is>
          <t>DIABO VERDE FTW INSANO MACA VERDE 150G</t>
        </is>
      </c>
      <c r="E26" s="13" t="n">
        <v>1</v>
      </c>
      <c r="F26" s="13" t="n">
        <v>1</v>
      </c>
      <c r="G26" s="13" t="n">
        <v>1</v>
      </c>
      <c r="H26" s="8" t="n">
        <v>58</v>
      </c>
      <c r="I26" s="8">
        <f>G26*H26</f>
        <v/>
      </c>
      <c r="J26" s="8">
        <f>H26/E26</f>
        <v/>
      </c>
      <c r="K26" s="8" t="n">
        <v>59.9</v>
      </c>
      <c r="L26" s="8" t="n">
        <v>56.91</v>
      </c>
      <c r="M26" s="8" t="n">
        <v>57.90666666666667</v>
      </c>
      <c r="N26" s="14">
        <f>J26/M26-1</f>
        <v/>
      </c>
      <c r="O26" s="14">
        <f>J26/K26-1</f>
        <v/>
      </c>
      <c r="P26" s="7" t="inlineStr">
        <is>
          <t>OK (≤ últ. compra)</t>
        </is>
      </c>
      <c r="Q26" s="7" t="inlineStr"/>
    </row>
    <row r="27">
      <c r="A27" s="7" t="n">
        <v>638261</v>
      </c>
      <c r="B27" s="7" t="inlineStr"/>
      <c r="C27" s="12" t="inlineStr">
        <is>
          <t>7898583666538</t>
        </is>
      </c>
      <c r="D27" s="7" t="inlineStr">
        <is>
          <t>DIABO VERDE FTW PRE WORKOUT LIMAO 150</t>
        </is>
      </c>
      <c r="E27" s="13" t="n">
        <v>1</v>
      </c>
      <c r="F27" s="13" t="n">
        <v>1</v>
      </c>
      <c r="G27" s="13" t="n">
        <v>1</v>
      </c>
      <c r="H27" s="8" t="n">
        <v>58</v>
      </c>
      <c r="I27" s="8">
        <f>G27*H27</f>
        <v/>
      </c>
      <c r="J27" s="8">
        <f>H27/E27</f>
        <v/>
      </c>
      <c r="K27" s="8" t="n">
        <v>59.9</v>
      </c>
      <c r="L27" s="8" t="n">
        <v>58.79</v>
      </c>
      <c r="M27" s="8" t="n">
        <v>59.53</v>
      </c>
      <c r="N27" s="14">
        <f>J27/M27-1</f>
        <v/>
      </c>
      <c r="O27" s="14">
        <f>J27/K27-1</f>
        <v/>
      </c>
      <c r="P27" s="7" t="inlineStr">
        <is>
          <t>OK (≤ menor hist.)</t>
        </is>
      </c>
      <c r="Q27" s="7" t="inlineStr"/>
    </row>
    <row r="28">
      <c r="A28" s="7" t="n">
        <v>655871</v>
      </c>
      <c r="B28" s="7" t="inlineStr"/>
      <c r="C28" s="12" t="inlineStr">
        <is>
          <t>7899598025495</t>
        </is>
      </c>
      <c r="D28" s="7" t="inlineStr">
        <is>
          <t>DIABO VERDE PRE WORKOUT FTW FRUTAS VERMELHAS 150G</t>
        </is>
      </c>
      <c r="E28" s="13" t="n">
        <v>1</v>
      </c>
      <c r="F28" s="13" t="n">
        <v>1</v>
      </c>
      <c r="G28" s="13" t="n">
        <v>1</v>
      </c>
      <c r="H28" s="8" t="n">
        <v>58</v>
      </c>
      <c r="I28" s="8">
        <f>G28*H28</f>
        <v/>
      </c>
      <c r="J28" s="8">
        <f>H28/E28</f>
        <v/>
      </c>
      <c r="K28" s="8" t="n">
        <v>59.9</v>
      </c>
      <c r="L28" s="8" t="n">
        <v>56.91</v>
      </c>
      <c r="M28" s="8" t="n">
        <v>57.90666666666667</v>
      </c>
      <c r="N28" s="14">
        <f>J28/M28-1</f>
        <v/>
      </c>
      <c r="O28" s="14">
        <f>J28/K28-1</f>
        <v/>
      </c>
      <c r="P28" s="7" t="inlineStr">
        <is>
          <t>OK (≤ últ. compra)</t>
        </is>
      </c>
      <c r="Q28" s="7" t="inlineStr"/>
    </row>
    <row r="29">
      <c r="A29" s="7" t="n">
        <v>638271</v>
      </c>
      <c r="B29" s="7" t="inlineStr"/>
      <c r="C29" s="12" t="inlineStr">
        <is>
          <t>7899085567576</t>
        </is>
      </c>
      <c r="D29" s="7" t="inlineStr">
        <is>
          <t>DILA PUMP ADAPTOGEN LIMONADA 150G</t>
        </is>
      </c>
      <c r="E29" s="13" t="n">
        <v>1</v>
      </c>
      <c r="F29" s="13" t="n">
        <v>1</v>
      </c>
      <c r="G29" s="13" t="n">
        <v>1</v>
      </c>
      <c r="H29" s="8" t="n">
        <v>62</v>
      </c>
      <c r="I29" s="8">
        <f>G29*H29</f>
        <v/>
      </c>
      <c r="J29" s="8">
        <f>H29/E29</f>
        <v/>
      </c>
      <c r="K29" s="8" t="n">
        <v>51.21</v>
      </c>
      <c r="L29" s="8" t="n">
        <v>51.21</v>
      </c>
      <c r="M29" s="8" t="n">
        <v>51.21</v>
      </c>
      <c r="N29" s="14">
        <f>J29/M29-1</f>
        <v/>
      </c>
      <c r="O29" s="14">
        <f>J29/K29-1</f>
        <v/>
      </c>
      <c r="P29" s="7" t="inlineStr">
        <is>
          <t>ACIMA +21.1%</t>
        </is>
      </c>
      <c r="Q29" s="7" t="inlineStr"/>
    </row>
    <row r="30">
      <c r="A30" s="7" t="n">
        <v>613291</v>
      </c>
      <c r="B30" s="7" t="inlineStr"/>
      <c r="C30" s="12" t="inlineStr">
        <is>
          <t>7897104910259</t>
        </is>
      </c>
      <c r="D30" s="7" t="inlineStr">
        <is>
          <t>ENERGEL BLACK BODYACTION ABACAXI 30G/D10</t>
        </is>
      </c>
      <c r="E30" s="13" t="n">
        <v>1</v>
      </c>
      <c r="F30" s="13" t="n">
        <v>3</v>
      </c>
      <c r="G30" s="13" t="n">
        <v>3</v>
      </c>
      <c r="H30" s="8" t="n">
        <v>2.96</v>
      </c>
      <c r="I30" s="8">
        <f>G30*H30</f>
        <v/>
      </c>
      <c r="J30" s="8">
        <f>H30/E30</f>
        <v/>
      </c>
      <c r="K30" s="8" t="n">
        <v>2.33</v>
      </c>
      <c r="L30" s="8" t="n">
        <v>2.33</v>
      </c>
      <c r="M30" s="8" t="n">
        <v>2.33</v>
      </c>
      <c r="N30" s="14">
        <f>J30/M30-1</f>
        <v/>
      </c>
      <c r="O30" s="14">
        <f>J30/K30-1</f>
        <v/>
      </c>
      <c r="P30" s="7" t="inlineStr">
        <is>
          <t>ACIMA +27.0%</t>
        </is>
      </c>
      <c r="Q30" s="7" t="inlineStr"/>
    </row>
    <row r="31">
      <c r="A31" s="7" t="n">
        <v>657871</v>
      </c>
      <c r="B31" s="7" t="inlineStr"/>
      <c r="C31" s="12" t="inlineStr">
        <is>
          <t>7897104910310</t>
        </is>
      </c>
      <c r="D31" s="7" t="inlineStr">
        <is>
          <t>ENERGEL BLACK BODYACTION ABACAXI 30G/D10 CX C/10</t>
        </is>
      </c>
      <c r="E31" s="13" t="n">
        <v>1</v>
      </c>
      <c r="F31" s="13" t="n">
        <v>1</v>
      </c>
      <c r="G31" s="13" t="n">
        <v>1</v>
      </c>
      <c r="H31" s="8" t="n">
        <v>2.96</v>
      </c>
      <c r="I31" s="8">
        <f>G31*H31</f>
        <v/>
      </c>
      <c r="J31" s="8">
        <f>H31/E31</f>
        <v/>
      </c>
      <c r="K31" s="8" t="n">
        <v>2.33</v>
      </c>
      <c r="L31" s="8" t="n">
        <v>2.33</v>
      </c>
      <c r="M31" s="8" t="n">
        <v>2.33</v>
      </c>
      <c r="N31" s="14">
        <f>J31/M31-1</f>
        <v/>
      </c>
      <c r="O31" s="14">
        <f>J31/K31-1</f>
        <v/>
      </c>
      <c r="P31" s="7" t="inlineStr">
        <is>
          <t>ACIMA +27.0%</t>
        </is>
      </c>
      <c r="Q31" s="7" t="inlineStr"/>
    </row>
    <row r="32">
      <c r="A32" s="7" t="n">
        <v>30103</v>
      </c>
      <c r="B32" s="7" t="inlineStr"/>
      <c r="C32" s="12" t="inlineStr">
        <is>
          <t>07897104909604</t>
        </is>
      </c>
      <c r="D32" s="7" t="inlineStr">
        <is>
          <t>ENERGEL BLACK BODYACTION ACAI/GUARAN 30G</t>
        </is>
      </c>
      <c r="E32" s="13" t="n">
        <v>1</v>
      </c>
      <c r="F32" s="13" t="n">
        <v>2</v>
      </c>
      <c r="G32" s="13" t="n">
        <v>2</v>
      </c>
      <c r="H32" s="8" t="n">
        <v>2.96</v>
      </c>
      <c r="I32" s="8">
        <f>G32*H32</f>
        <v/>
      </c>
      <c r="J32" s="8">
        <f>H32/E32</f>
        <v/>
      </c>
      <c r="K32" s="8" t="n">
        <v>2.93</v>
      </c>
      <c r="L32" s="8" t="n">
        <v>2.93</v>
      </c>
      <c r="M32" s="8" t="n">
        <v>2.93</v>
      </c>
      <c r="N32" s="14">
        <f>J32/M32-1</f>
        <v/>
      </c>
      <c r="O32" s="14">
        <f>J32/K32-1</f>
        <v/>
      </c>
      <c r="P32" s="7" t="inlineStr">
        <is>
          <t>ACIMA +1.0%</t>
        </is>
      </c>
      <c r="Q32" s="7" t="inlineStr"/>
    </row>
    <row r="33">
      <c r="A33" s="7" t="n">
        <v>602151</v>
      </c>
      <c r="B33" s="7" t="inlineStr"/>
      <c r="C33" s="12" t="inlineStr">
        <is>
          <t>7897104910242</t>
        </is>
      </c>
      <c r="D33" s="7" t="inlineStr">
        <is>
          <t>ENERGEL BLACK BODYACTION FRUTAS VERMELHAS 30G D/10</t>
        </is>
      </c>
      <c r="E33" s="13" t="n">
        <v>1</v>
      </c>
      <c r="F33" s="13" t="n">
        <v>1</v>
      </c>
      <c r="G33" s="13" t="n">
        <v>1</v>
      </c>
      <c r="H33" s="8" t="n">
        <v>2.96</v>
      </c>
      <c r="I33" s="8">
        <f>G33*H33</f>
        <v/>
      </c>
      <c r="J33" s="8">
        <f>H33/E33</f>
        <v/>
      </c>
      <c r="K33" s="8" t="n">
        <v>23.3</v>
      </c>
      <c r="L33" s="8" t="n">
        <v>23.3</v>
      </c>
      <c r="M33" s="8" t="n">
        <v>23.3</v>
      </c>
      <c r="N33" s="14">
        <f>J33/M33-1</f>
        <v/>
      </c>
      <c r="O33" s="14">
        <f>J33/K33-1</f>
        <v/>
      </c>
      <c r="P33" s="7" t="inlineStr">
        <is>
          <t>OK (≤ menor hist.)</t>
        </is>
      </c>
      <c r="Q33" s="7" t="inlineStr">
        <is>
          <t>conferir emb.</t>
        </is>
      </c>
    </row>
    <row r="34">
      <c r="A34" s="7" t="n">
        <v>29403</v>
      </c>
      <c r="B34" s="7" t="inlineStr"/>
      <c r="C34" s="12" t="inlineStr">
        <is>
          <t>7897104928445</t>
        </is>
      </c>
      <c r="D34" s="7" t="inlineStr">
        <is>
          <t>ENERGEL BLACK BODYACTION LARAN/ACERO 30G</t>
        </is>
      </c>
      <c r="E34" s="13" t="n">
        <v>1</v>
      </c>
      <c r="F34" s="13" t="n">
        <v>1</v>
      </c>
      <c r="G34" s="13" t="n">
        <v>1</v>
      </c>
      <c r="H34" s="8" t="n">
        <v>2.96</v>
      </c>
      <c r="I34" s="8">
        <f>G34*H34</f>
        <v/>
      </c>
      <c r="J34" s="8">
        <f>H34/E34</f>
        <v/>
      </c>
      <c r="K34" s="8" t="n">
        <v>3.18</v>
      </c>
      <c r="L34" s="8" t="n">
        <v>3.18</v>
      </c>
      <c r="M34" s="8" t="n">
        <v>3.18</v>
      </c>
      <c r="N34" s="14">
        <f>J34/M34-1</f>
        <v/>
      </c>
      <c r="O34" s="14">
        <f>J34/K34-1</f>
        <v/>
      </c>
      <c r="P34" s="7" t="inlineStr">
        <is>
          <t>OK (≤ menor hist.)</t>
        </is>
      </c>
      <c r="Q34" s="7" t="inlineStr"/>
    </row>
    <row r="35">
      <c r="A35" s="7" t="n">
        <v>666581</v>
      </c>
      <c r="B35" s="7" t="inlineStr"/>
      <c r="C35" s="12" t="inlineStr">
        <is>
          <t>7897104926229</t>
        </is>
      </c>
      <c r="D35" s="7" t="inlineStr">
        <is>
          <t>ENERGEL BLACK BODYACTION UVA D/10 30G CX C/10</t>
        </is>
      </c>
      <c r="E35" s="13" t="n">
        <v>1</v>
      </c>
      <c r="F35" s="13" t="n">
        <v>1</v>
      </c>
      <c r="G35" s="13" t="n">
        <v>1</v>
      </c>
      <c r="H35" s="8" t="n">
        <v>2.96</v>
      </c>
      <c r="I35" s="8">
        <f>G35*H35</f>
        <v/>
      </c>
      <c r="J35" s="8">
        <f>H35/E35</f>
        <v/>
      </c>
      <c r="K35" s="8" t="n">
        <v>2.97</v>
      </c>
      <c r="L35" s="8" t="n">
        <v>2.97</v>
      </c>
      <c r="M35" s="8" t="n">
        <v>2.97</v>
      </c>
      <c r="N35" s="14">
        <f>J35/M35-1</f>
        <v/>
      </c>
      <c r="O35" s="14">
        <f>J35/K35-1</f>
        <v/>
      </c>
      <c r="P35" s="7" t="inlineStr">
        <is>
          <t>OK (≤ menor hist.)</t>
        </is>
      </c>
      <c r="Q35" s="7" t="inlineStr"/>
    </row>
    <row r="36">
      <c r="A36" s="7" t="n">
        <v>597751</v>
      </c>
      <c r="B36" s="7" t="inlineStr"/>
      <c r="C36" s="12" t="inlineStr">
        <is>
          <t>7897104905200</t>
        </is>
      </c>
      <c r="D36" s="7" t="inlineStr">
        <is>
          <t>HARDMASS 1800 BODYACTION CHOCOLATE PC 3K</t>
        </is>
      </c>
      <c r="E36" s="13" t="n">
        <v>1</v>
      </c>
      <c r="F36" s="13" t="n">
        <v>1</v>
      </c>
      <c r="G36" s="13" t="n">
        <v>1</v>
      </c>
      <c r="H36" s="8" t="n">
        <v>85</v>
      </c>
      <c r="I36" s="8">
        <f>G36*H36</f>
        <v/>
      </c>
      <c r="J36" s="8">
        <f>H36/E36</f>
        <v/>
      </c>
      <c r="K36" s="8" t="n">
        <v>82.42</v>
      </c>
      <c r="L36" s="8" t="n">
        <v>82.42</v>
      </c>
      <c r="M36" s="8" t="n">
        <v>82.42</v>
      </c>
      <c r="N36" s="14">
        <f>J36/M36-1</f>
        <v/>
      </c>
      <c r="O36" s="14">
        <f>J36/K36-1</f>
        <v/>
      </c>
      <c r="P36" s="7" t="inlineStr">
        <is>
          <t>ACIMA +3.1%</t>
        </is>
      </c>
      <c r="Q36" s="7" t="inlineStr"/>
    </row>
    <row r="37">
      <c r="A37" s="7" t="n">
        <v>661421</v>
      </c>
      <c r="B37" s="7" t="inlineStr"/>
      <c r="C37" s="12" t="inlineStr">
        <is>
          <t>7897104905194</t>
        </is>
      </c>
      <c r="D37" s="7" t="inlineStr">
        <is>
          <t>HARDMASS 1800 BODYACTION MORANGO PC 3KG</t>
        </is>
      </c>
      <c r="E37" s="13" t="n">
        <v>1</v>
      </c>
      <c r="F37" s="13" t="n">
        <v>1</v>
      </c>
      <c r="G37" s="13" t="n">
        <v>1</v>
      </c>
      <c r="H37" s="8" t="n">
        <v>85</v>
      </c>
      <c r="I37" s="8">
        <f>G37*H37</f>
        <v/>
      </c>
      <c r="J37" s="8">
        <f>H37/E37</f>
        <v/>
      </c>
      <c r="K37" s="8" t="n">
        <v>82.42</v>
      </c>
      <c r="L37" s="8" t="n">
        <v>82.42</v>
      </c>
      <c r="M37" s="8" t="n">
        <v>82.42</v>
      </c>
      <c r="N37" s="14">
        <f>J37/M37-1</f>
        <v/>
      </c>
      <c r="O37" s="14">
        <f>J37/K37-1</f>
        <v/>
      </c>
      <c r="P37" s="7" t="inlineStr">
        <is>
          <t>ACIMA +3.1%</t>
        </is>
      </c>
      <c r="Q37" s="7" t="inlineStr"/>
    </row>
    <row r="38">
      <c r="A38" s="7" t="n">
        <v>587981</v>
      </c>
      <c r="B38" s="7" t="inlineStr"/>
      <c r="C38" s="12" t="inlineStr">
        <is>
          <t>7896311710317</t>
        </is>
      </c>
      <c r="D38" s="7" t="inlineStr">
        <is>
          <t>INT. MEDICA PROT CRISP BAR DOC COCO DP/12</t>
        </is>
      </c>
      <c r="E38" s="13" t="n">
        <v>1</v>
      </c>
      <c r="F38" s="13" t="n">
        <v>2</v>
      </c>
      <c r="G38" s="13" t="n">
        <v>2</v>
      </c>
      <c r="H38" s="8" t="n">
        <v>8</v>
      </c>
      <c r="I38" s="8">
        <f>G38*H38</f>
        <v/>
      </c>
      <c r="J38" s="8">
        <f>H38/E38</f>
        <v/>
      </c>
      <c r="K38" s="8" t="n">
        <v>6.23</v>
      </c>
      <c r="L38" s="8" t="n">
        <v>6.23</v>
      </c>
      <c r="M38" s="8" t="n">
        <v>6.23</v>
      </c>
      <c r="N38" s="14">
        <f>J38/M38-1</f>
        <v/>
      </c>
      <c r="O38" s="14">
        <f>J38/K38-1</f>
        <v/>
      </c>
      <c r="P38" s="7" t="inlineStr">
        <is>
          <t>ACIMA +28.4%</t>
        </is>
      </c>
      <c r="Q38" s="7" t="inlineStr"/>
    </row>
    <row r="39">
      <c r="A39" s="7" t="n">
        <v>592501</v>
      </c>
      <c r="B39" s="7" t="inlineStr"/>
      <c r="C39" s="12" t="inlineStr">
        <is>
          <t>7896311710348</t>
        </is>
      </c>
      <c r="D39" s="7" t="inlineStr">
        <is>
          <t>INTEGRAL MEDICA PROT CRISP BAR PEAN BUT 45G</t>
        </is>
      </c>
      <c r="E39" s="13" t="n">
        <v>1</v>
      </c>
      <c r="F39" s="13" t="n">
        <v>1</v>
      </c>
      <c r="G39" s="13" t="n">
        <v>1</v>
      </c>
      <c r="H39" s="8" t="n">
        <v>8</v>
      </c>
      <c r="I39" s="8">
        <f>G39*H39</f>
        <v/>
      </c>
      <c r="J39" s="8">
        <f>H39/E39</f>
        <v/>
      </c>
      <c r="K39" s="8" t="n">
        <v>6.3</v>
      </c>
      <c r="L39" s="8" t="n">
        <v>6.3</v>
      </c>
      <c r="M39" s="8" t="n">
        <v>6.3</v>
      </c>
      <c r="N39" s="14">
        <f>J39/M39-1</f>
        <v/>
      </c>
      <c r="O39" s="14">
        <f>J39/K39-1</f>
        <v/>
      </c>
      <c r="P39" s="7" t="inlineStr">
        <is>
          <t>ACIMA +27.0%</t>
        </is>
      </c>
      <c r="Q39" s="7" t="inlineStr"/>
    </row>
    <row r="40">
      <c r="A40" s="7" t="n">
        <v>673371</v>
      </c>
      <c r="B40" s="7" t="inlineStr"/>
      <c r="C40" s="12" t="inlineStr">
        <is>
          <t>7898920041318</t>
        </is>
      </c>
      <c r="D40" s="7" t="inlineStr">
        <is>
          <t>MASS TITANIUM 17500 BAUNILHA 3KG</t>
        </is>
      </c>
      <c r="E40" s="13" t="n">
        <v>1</v>
      </c>
      <c r="F40" s="13" t="n">
        <v>1</v>
      </c>
      <c r="G40" s="13" t="n">
        <v>1</v>
      </c>
      <c r="H40" s="8" t="n">
        <v>93</v>
      </c>
      <c r="I40" s="8">
        <f>G40*H40</f>
        <v/>
      </c>
      <c r="J40" s="8">
        <f>H40/E40</f>
        <v/>
      </c>
      <c r="K40" s="8" t="n">
        <v>93.20999999999999</v>
      </c>
      <c r="L40" s="8" t="n">
        <v>86.75</v>
      </c>
      <c r="M40" s="8" t="n">
        <v>88.90333333333332</v>
      </c>
      <c r="N40" s="14">
        <f>J40/M40-1</f>
        <v/>
      </c>
      <c r="O40" s="14">
        <f>J40/K40-1</f>
        <v/>
      </c>
      <c r="P40" s="7" t="inlineStr">
        <is>
          <t>OK (≤ últ. compra)</t>
        </is>
      </c>
      <c r="Q40" s="7" t="inlineStr"/>
    </row>
    <row r="41">
      <c r="A41" s="7" t="n">
        <v>661351</v>
      </c>
      <c r="B41" s="7" t="inlineStr"/>
      <c r="C41" s="12" t="inlineStr">
        <is>
          <t>7896311773657</t>
        </is>
      </c>
      <c r="D41" s="7" t="inlineStr">
        <is>
          <t>MY WHEY INTEGRALMEDICA MORANGO PT 900G</t>
        </is>
      </c>
      <c r="E41" s="13" t="n">
        <v>1</v>
      </c>
      <c r="F41" s="13" t="n">
        <v>2</v>
      </c>
      <c r="G41" s="13" t="n">
        <v>2</v>
      </c>
      <c r="H41" s="8" t="n">
        <v>117</v>
      </c>
      <c r="I41" s="8">
        <f>G41*H41</f>
        <v/>
      </c>
      <c r="J41" s="8">
        <f>H41/E41</f>
        <v/>
      </c>
      <c r="K41" s="8" t="n">
        <v>110.68</v>
      </c>
      <c r="L41" s="8" t="n">
        <v>87.3</v>
      </c>
      <c r="M41" s="8" t="n">
        <v>99.73</v>
      </c>
      <c r="N41" s="14">
        <f>J41/M41-1</f>
        <v/>
      </c>
      <c r="O41" s="14">
        <f>J41/K41-1</f>
        <v/>
      </c>
      <c r="P41" s="7" t="inlineStr">
        <is>
          <t>ACIMA +5.7%</t>
        </is>
      </c>
      <c r="Q41" s="7" t="inlineStr"/>
    </row>
    <row r="42">
      <c r="A42" s="7" t="n">
        <v>606001</v>
      </c>
      <c r="B42" s="7" t="inlineStr"/>
      <c r="C42" s="12" t="inlineStr">
        <is>
          <t>7896311773626</t>
        </is>
      </c>
      <c r="D42" s="7" t="inlineStr">
        <is>
          <t>MY WHEY INTERALMEDICA BAUNILHA 900G PT</t>
        </is>
      </c>
      <c r="E42" s="13" t="n">
        <v>1</v>
      </c>
      <c r="F42" s="13" t="n">
        <v>1</v>
      </c>
      <c r="G42" s="13" t="n">
        <v>1</v>
      </c>
      <c r="H42" s="8" t="n">
        <v>117</v>
      </c>
      <c r="I42" s="8">
        <f>G42*H42</f>
        <v/>
      </c>
      <c r="J42" s="8">
        <f>H42/E42</f>
        <v/>
      </c>
      <c r="K42" s="8" t="n">
        <v>87.3</v>
      </c>
      <c r="L42" s="8" t="n">
        <v>87.3</v>
      </c>
      <c r="M42" s="8" t="n">
        <v>87.3</v>
      </c>
      <c r="N42" s="14">
        <f>J42/M42-1</f>
        <v/>
      </c>
      <c r="O42" s="14">
        <f>J42/K42-1</f>
        <v/>
      </c>
      <c r="P42" s="7" t="inlineStr">
        <is>
          <t>ACIMA +34.0%</t>
        </is>
      </c>
      <c r="Q42" s="7" t="inlineStr"/>
    </row>
    <row r="43">
      <c r="A43" s="7" t="n">
        <v>602101</v>
      </c>
      <c r="B43" s="7" t="inlineStr"/>
      <c r="C43" s="12" t="inlineStr">
        <is>
          <t>7896311773640</t>
        </is>
      </c>
      <c r="D43" s="7" t="inlineStr">
        <is>
          <t>MY WHEY INTERALMEDICA CHOCOLATE 900G PT</t>
        </is>
      </c>
      <c r="E43" s="13" t="n">
        <v>1</v>
      </c>
      <c r="F43" s="13" t="n">
        <v>1</v>
      </c>
      <c r="G43" s="13" t="n">
        <v>1</v>
      </c>
      <c r="H43" s="8" t="n">
        <v>117</v>
      </c>
      <c r="I43" s="8">
        <f>G43*H43</f>
        <v/>
      </c>
      <c r="J43" s="8">
        <f>H43/E43</f>
        <v/>
      </c>
      <c r="K43" s="8" t="n">
        <v>88.23</v>
      </c>
      <c r="L43" s="8" t="n">
        <v>88.23</v>
      </c>
      <c r="M43" s="8" t="n">
        <v>88.23</v>
      </c>
      <c r="N43" s="14">
        <f>J43/M43-1</f>
        <v/>
      </c>
      <c r="O43" s="14">
        <f>J43/K43-1</f>
        <v/>
      </c>
      <c r="P43" s="7" t="inlineStr">
        <is>
          <t>ACIMA +32.6%</t>
        </is>
      </c>
      <c r="Q43" s="7" t="inlineStr"/>
    </row>
    <row r="44">
      <c r="A44" s="7" t="n">
        <v>638291</v>
      </c>
      <c r="B44" s="7" t="inlineStr"/>
      <c r="C44" s="12" t="inlineStr">
        <is>
          <t>7897104926243</t>
        </is>
      </c>
      <c r="D44" s="7" t="inlineStr">
        <is>
          <t>NUCLEAR RUSH BODYACTION LARANJA 100G</t>
        </is>
      </c>
      <c r="E44" s="13" t="n">
        <v>1</v>
      </c>
      <c r="F44" s="13" t="n">
        <v>1</v>
      </c>
      <c r="G44" s="13" t="n">
        <v>1</v>
      </c>
      <c r="H44" s="8" t="n">
        <v>40</v>
      </c>
      <c r="I44" s="8">
        <f>G44*H44</f>
        <v/>
      </c>
      <c r="J44" s="8">
        <f>H44/E44</f>
        <v/>
      </c>
      <c r="K44" s="8" t="n">
        <v>38.16</v>
      </c>
      <c r="L44" s="8" t="n">
        <v>38.16</v>
      </c>
      <c r="M44" s="8" t="n">
        <v>38.16</v>
      </c>
      <c r="N44" s="14">
        <f>J44/M44-1</f>
        <v/>
      </c>
      <c r="O44" s="14">
        <f>J44/K44-1</f>
        <v/>
      </c>
      <c r="P44" s="7" t="inlineStr">
        <is>
          <t>ACIMA +4.8%</t>
        </is>
      </c>
      <c r="Q44" s="7" t="inlineStr"/>
    </row>
    <row r="45">
      <c r="A45" s="7" t="n">
        <v>673321</v>
      </c>
      <c r="B45" s="7" t="inlineStr"/>
      <c r="C45" s="12" t="inlineStr">
        <is>
          <t>7897104925444</t>
        </is>
      </c>
      <c r="D45" s="7" t="inlineStr">
        <is>
          <t>NUCLEAR RUSH GEL BODYACTION FRUTAS V 25G</t>
        </is>
      </c>
      <c r="E45" s="13" t="n">
        <v>1</v>
      </c>
      <c r="F45" s="13" t="n">
        <v>22</v>
      </c>
      <c r="G45" s="13" t="n">
        <v>22</v>
      </c>
      <c r="H45" s="8" t="n">
        <v>2.99</v>
      </c>
      <c r="I45" s="8">
        <f>G45*H45</f>
        <v/>
      </c>
      <c r="J45" s="8">
        <f>H45/E45</f>
        <v/>
      </c>
      <c r="K45" s="8" t="n">
        <v>2.99</v>
      </c>
      <c r="L45" s="8" t="n">
        <v>2.75</v>
      </c>
      <c r="M45" s="8" t="n">
        <v>2.91</v>
      </c>
      <c r="N45" s="14">
        <f>J45/M45-1</f>
        <v/>
      </c>
      <c r="O45" s="14">
        <f>J45/K45-1</f>
        <v/>
      </c>
      <c r="P45" s="7" t="inlineStr">
        <is>
          <t>OK (≤ últ. compra)</t>
        </is>
      </c>
      <c r="Q45" s="7" t="inlineStr"/>
    </row>
    <row r="46">
      <c r="A46" s="7" t="n">
        <v>673331</v>
      </c>
      <c r="B46" s="7" t="inlineStr"/>
      <c r="C46" s="12" t="inlineStr">
        <is>
          <t>7897104925437</t>
        </is>
      </c>
      <c r="D46" s="7" t="inlineStr">
        <is>
          <t>NUCLEAR RUSH GEL BODYACTION GUARANA 25G</t>
        </is>
      </c>
      <c r="E46" s="13" t="n">
        <v>1</v>
      </c>
      <c r="F46" s="13" t="n">
        <v>6</v>
      </c>
      <c r="G46" s="13" t="n">
        <v>6</v>
      </c>
      <c r="H46" s="8" t="n">
        <v>2.99</v>
      </c>
      <c r="I46" s="8">
        <f>G46*H46</f>
        <v/>
      </c>
      <c r="J46" s="8">
        <f>H46/E46</f>
        <v/>
      </c>
      <c r="K46" s="8" t="n">
        <v>2.75</v>
      </c>
      <c r="L46" s="8" t="n">
        <v>2.75</v>
      </c>
      <c r="M46" s="8" t="n">
        <v>2.75</v>
      </c>
      <c r="N46" s="14">
        <f>J46/M46-1</f>
        <v/>
      </c>
      <c r="O46" s="14">
        <f>J46/K46-1</f>
        <v/>
      </c>
      <c r="P46" s="7" t="inlineStr">
        <is>
          <t>ACIMA +8.7%</t>
        </is>
      </c>
      <c r="Q46" s="7" t="inlineStr"/>
    </row>
    <row r="47">
      <c r="A47" s="7" t="n">
        <v>657831</v>
      </c>
      <c r="B47" s="7" t="inlineStr"/>
      <c r="C47" s="12" t="inlineStr">
        <is>
          <t>7893595543204</t>
        </is>
      </c>
      <c r="D47" s="7" t="inlineStr">
        <is>
          <t>PANIC PRE WORKOUT ADAPTOGEN MACA VERDE 300G</t>
        </is>
      </c>
      <c r="E47" s="13" t="n">
        <v>1</v>
      </c>
      <c r="F47" s="13" t="n">
        <v>1</v>
      </c>
      <c r="G47" s="13" t="n">
        <v>1</v>
      </c>
      <c r="H47" s="8" t="n">
        <v>128</v>
      </c>
      <c r="I47" s="8">
        <f>G47*H47</f>
        <v/>
      </c>
      <c r="J47" s="8">
        <f>H47/E47</f>
        <v/>
      </c>
      <c r="K47" s="8" t="n">
        <v>103.58</v>
      </c>
      <c r="L47" s="8" t="n">
        <v>103.58</v>
      </c>
      <c r="M47" s="8" t="n">
        <v>103.58</v>
      </c>
      <c r="N47" s="14">
        <f>J47/M47-1</f>
        <v/>
      </c>
      <c r="O47" s="14">
        <f>J47/K47-1</f>
        <v/>
      </c>
      <c r="P47" s="7" t="inlineStr">
        <is>
          <t>ACIMA +23.6%</t>
        </is>
      </c>
      <c r="Q47" s="7" t="inlineStr"/>
    </row>
    <row r="48">
      <c r="A48" s="7" t="n">
        <v>657811</v>
      </c>
      <c r="B48" s="7" t="inlineStr"/>
      <c r="C48" s="12" t="inlineStr">
        <is>
          <t>7893095104271</t>
        </is>
      </c>
      <c r="D48" s="7" t="inlineStr">
        <is>
          <t>PANIC PRE WORKOUT ADAPTOGEN MORANGO 300G</t>
        </is>
      </c>
      <c r="E48" s="13" t="n">
        <v>1</v>
      </c>
      <c r="F48" s="13" t="n">
        <v>1</v>
      </c>
      <c r="G48" s="13" t="n">
        <v>1</v>
      </c>
      <c r="H48" s="8" t="n">
        <v>128</v>
      </c>
      <c r="I48" s="8">
        <f>G48*H48</f>
        <v/>
      </c>
      <c r="J48" s="8">
        <f>H48/E48</f>
        <v/>
      </c>
      <c r="K48" s="8" t="n">
        <v>103.58</v>
      </c>
      <c r="L48" s="8" t="n">
        <v>103.58</v>
      </c>
      <c r="M48" s="8" t="n">
        <v>103.58</v>
      </c>
      <c r="N48" s="14">
        <f>J48/M48-1</f>
        <v/>
      </c>
      <c r="O48" s="14">
        <f>J48/K48-1</f>
        <v/>
      </c>
      <c r="P48" s="7" t="inlineStr">
        <is>
          <t>ACIMA +23.6%</t>
        </is>
      </c>
      <c r="Q48" s="7" t="inlineStr"/>
    </row>
    <row r="49">
      <c r="A49" s="7" t="n">
        <v>638311</v>
      </c>
      <c r="B49" s="7" t="inlineStr"/>
      <c r="C49" s="12" t="inlineStr">
        <is>
          <t>7893596226427</t>
        </is>
      </c>
      <c r="D49" s="7" t="inlineStr">
        <is>
          <t>PANIC PRE WORKOUT ADAPTOGEN UVA 150G</t>
        </is>
      </c>
      <c r="E49" s="13" t="n">
        <v>1</v>
      </c>
      <c r="F49" s="13" t="n">
        <v>1</v>
      </c>
      <c r="G49" s="13" t="n">
        <v>1</v>
      </c>
      <c r="H49" s="8" t="n">
        <v>60</v>
      </c>
      <c r="I49" s="8">
        <f>G49*H49</f>
        <v/>
      </c>
      <c r="J49" s="8">
        <f>H49/E49</f>
        <v/>
      </c>
      <c r="K49" s="8" t="n">
        <v>62.61</v>
      </c>
      <c r="L49" s="8" t="n">
        <v>62.61</v>
      </c>
      <c r="M49" s="8" t="n">
        <v>62.60999999999999</v>
      </c>
      <c r="N49" s="14">
        <f>J49/M49-1</f>
        <v/>
      </c>
      <c r="O49" s="14">
        <f>J49/K49-1</f>
        <v/>
      </c>
      <c r="P49" s="7" t="inlineStr">
        <is>
          <t>OK (≤ menor hist.)</t>
        </is>
      </c>
      <c r="Q49" s="7" t="inlineStr"/>
    </row>
    <row r="50">
      <c r="A50" s="7" t="n">
        <v>602041</v>
      </c>
      <c r="B50" s="7" t="inlineStr"/>
      <c r="C50" s="12" t="inlineStr">
        <is>
          <t>7898939072617</t>
        </is>
      </c>
      <c r="D50" s="7" t="inlineStr">
        <is>
          <t>PASTA DE AMENDOIM POWER1ONE CROCANTE 1,005KG (L)</t>
        </is>
      </c>
      <c r="E50" s="13" t="n">
        <v>1</v>
      </c>
      <c r="F50" s="13" t="n">
        <v>2</v>
      </c>
      <c r="G50" s="13" t="n">
        <v>2</v>
      </c>
      <c r="H50" s="8" t="n">
        <v>27</v>
      </c>
      <c r="I50" s="8">
        <f>G50*H50</f>
        <v/>
      </c>
      <c r="J50" s="8">
        <f>H50/E50</f>
        <v/>
      </c>
      <c r="K50" s="8" t="n">
        <v>25.81</v>
      </c>
      <c r="L50" s="8" t="n">
        <v>20.81</v>
      </c>
      <c r="M50" s="8" t="n">
        <v>22.47666666666666</v>
      </c>
      <c r="N50" s="14">
        <f>J50/M50-1</f>
        <v/>
      </c>
      <c r="O50" s="14">
        <f>J50/K50-1</f>
        <v/>
      </c>
      <c r="P50" s="7" t="inlineStr">
        <is>
          <t>ACIMA +4.6%</t>
        </is>
      </c>
      <c r="Q50" s="7" t="inlineStr"/>
    </row>
    <row r="51">
      <c r="A51" s="7" t="n">
        <v>602031</v>
      </c>
      <c r="B51" s="7" t="inlineStr"/>
      <c r="C51" s="12" t="inlineStr">
        <is>
          <t>7898616753068</t>
        </is>
      </c>
      <c r="D51" s="7" t="inlineStr">
        <is>
          <t>PROHIBIDO 3VS CITRUS 360G</t>
        </is>
      </c>
      <c r="E51" s="13" t="n">
        <v>1</v>
      </c>
      <c r="F51" s="13" t="n">
        <v>1</v>
      </c>
      <c r="G51" s="13" t="n">
        <v>1</v>
      </c>
      <c r="H51" s="8" t="n">
        <v>117</v>
      </c>
      <c r="I51" s="8">
        <f>G51*H51</f>
        <v/>
      </c>
      <c r="J51" s="8">
        <f>H51/E51</f>
        <v/>
      </c>
      <c r="K51" s="8" t="n">
        <v>91.98999999999999</v>
      </c>
      <c r="L51" s="8" t="n">
        <v>91.98999999999999</v>
      </c>
      <c r="M51" s="8" t="n">
        <v>91.98999999999999</v>
      </c>
      <c r="N51" s="14">
        <f>J51/M51-1</f>
        <v/>
      </c>
      <c r="O51" s="14">
        <f>J51/K51-1</f>
        <v/>
      </c>
      <c r="P51" s="7" t="inlineStr">
        <is>
          <t>ACIMA +27.2%</t>
        </is>
      </c>
      <c r="Q51" s="7" t="inlineStr"/>
    </row>
    <row r="52">
      <c r="A52" s="7" t="n">
        <v>638321</v>
      </c>
      <c r="B52" s="7" t="inlineStr"/>
      <c r="C52" s="12" t="inlineStr">
        <is>
          <t>7898616753556</t>
        </is>
      </c>
      <c r="D52" s="7" t="inlineStr">
        <is>
          <t>PROHIBIDO 3VS COTTON CANDY 180G</t>
        </is>
      </c>
      <c r="E52" s="13" t="n">
        <v>1</v>
      </c>
      <c r="F52" s="13" t="n">
        <v>1</v>
      </c>
      <c r="G52" s="13" t="n">
        <v>1</v>
      </c>
      <c r="H52" s="8" t="n">
        <v>63</v>
      </c>
      <c r="I52" s="8">
        <f>G52*H52</f>
        <v/>
      </c>
      <c r="J52" s="8">
        <f>H52/E52</f>
        <v/>
      </c>
      <c r="K52" s="8" t="n">
        <v>56.1533</v>
      </c>
      <c r="L52" s="8" t="n">
        <v>56.1533</v>
      </c>
      <c r="M52" s="8" t="n">
        <v>56.1533</v>
      </c>
      <c r="N52" s="14">
        <f>J52/M52-1</f>
        <v/>
      </c>
      <c r="O52" s="14">
        <f>J52/K52-1</f>
        <v/>
      </c>
      <c r="P52" s="7" t="inlineStr">
        <is>
          <t>ACIMA +12.2%</t>
        </is>
      </c>
      <c r="Q52" s="7" t="inlineStr"/>
    </row>
    <row r="53">
      <c r="A53" s="7" t="n">
        <v>650881</v>
      </c>
      <c r="B53" s="7" t="inlineStr"/>
      <c r="C53" s="12" t="inlineStr">
        <is>
          <t>7898616753570</t>
        </is>
      </c>
      <c r="D53" s="7" t="inlineStr">
        <is>
          <t>PROHIBIDO 3VS FRUIT PUNCH 180G</t>
        </is>
      </c>
      <c r="E53" s="13" t="n">
        <v>1</v>
      </c>
      <c r="F53" s="13" t="n">
        <v>1</v>
      </c>
      <c r="G53" s="13" t="n">
        <v>1</v>
      </c>
      <c r="H53" s="8" t="n">
        <v>63</v>
      </c>
      <c r="I53" s="8">
        <f>G53*H53</f>
        <v/>
      </c>
      <c r="J53" s="8">
        <f>H53/E53</f>
        <v/>
      </c>
      <c r="K53" s="8" t="n">
        <v>56.1533</v>
      </c>
      <c r="L53" s="8" t="n">
        <v>56.1533</v>
      </c>
      <c r="M53" s="8" t="n">
        <v>56.1533</v>
      </c>
      <c r="N53" s="14">
        <f>J53/M53-1</f>
        <v/>
      </c>
      <c r="O53" s="14">
        <f>J53/K53-1</f>
        <v/>
      </c>
      <c r="P53" s="7" t="inlineStr">
        <is>
          <t>ACIMA +12.2%</t>
        </is>
      </c>
      <c r="Q53" s="7" t="inlineStr"/>
    </row>
    <row r="54">
      <c r="A54" s="7" t="n">
        <v>650891</v>
      </c>
      <c r="B54" s="7" t="inlineStr"/>
      <c r="C54" s="12" t="inlineStr">
        <is>
          <t>7898616753563</t>
        </is>
      </c>
      <c r="D54" s="7" t="inlineStr">
        <is>
          <t>PROHIBIDO 3VS STRAWBERRY MARGARITA 180G</t>
        </is>
      </c>
      <c r="E54" s="13" t="n">
        <v>1</v>
      </c>
      <c r="F54" s="13" t="n">
        <v>1</v>
      </c>
      <c r="G54" s="13" t="n">
        <v>1</v>
      </c>
      <c r="H54" s="8" t="n">
        <v>63</v>
      </c>
      <c r="I54" s="8">
        <f>G54*H54</f>
        <v/>
      </c>
      <c r="J54" s="8">
        <f>H54/E54</f>
        <v/>
      </c>
      <c r="K54" s="8" t="n">
        <v>56.15</v>
      </c>
      <c r="L54" s="8" t="n">
        <v>56.15</v>
      </c>
      <c r="M54" s="8" t="n">
        <v>56.15</v>
      </c>
      <c r="N54" s="14">
        <f>J54/M54-1</f>
        <v/>
      </c>
      <c r="O54" s="14">
        <f>J54/K54-1</f>
        <v/>
      </c>
      <c r="P54" s="7" t="inlineStr">
        <is>
          <t>ACIMA +12.2%</t>
        </is>
      </c>
      <c r="Q54" s="7" t="inlineStr"/>
    </row>
    <row r="55">
      <c r="A55" s="7" t="n">
        <v>602021</v>
      </c>
      <c r="B55" s="7" t="inlineStr"/>
      <c r="C55" s="12" t="inlineStr">
        <is>
          <t>7896311773275</t>
        </is>
      </c>
      <c r="D55" s="7" t="inlineStr">
        <is>
          <t>PROTEIN CRISP BAR INTEGRAL COOKIES AND CREAM 45G/D12</t>
        </is>
      </c>
      <c r="E55" s="13" t="n">
        <v>1</v>
      </c>
      <c r="F55" s="13" t="n">
        <v>3</v>
      </c>
      <c r="G55" s="13" t="n">
        <v>3</v>
      </c>
      <c r="H55" s="8" t="n">
        <v>8</v>
      </c>
      <c r="I55" s="8">
        <f>G55*H55</f>
        <v/>
      </c>
      <c r="J55" s="8">
        <f>H55/E55</f>
        <v/>
      </c>
      <c r="K55" s="8" t="n">
        <v>6.23</v>
      </c>
      <c r="L55" s="8" t="n">
        <v>6.23</v>
      </c>
      <c r="M55" s="8" t="n">
        <v>6.23</v>
      </c>
      <c r="N55" s="14">
        <f>J55/M55-1</f>
        <v/>
      </c>
      <c r="O55" s="14">
        <f>J55/K55-1</f>
        <v/>
      </c>
      <c r="P55" s="7" t="inlineStr">
        <is>
          <t>ACIMA +28.4%</t>
        </is>
      </c>
      <c r="Q55" s="7" t="inlineStr"/>
    </row>
    <row r="56">
      <c r="A56" s="7" t="n">
        <v>638331</v>
      </c>
      <c r="B56" s="7" t="inlineStr"/>
      <c r="C56" s="12" t="inlineStr">
        <is>
          <t>7896311775705</t>
        </is>
      </c>
      <c r="D56" s="7" t="inlineStr">
        <is>
          <t>PROTEIN CRISP BAR INTEGRAL CREME DE COCO 45G</t>
        </is>
      </c>
      <c r="E56" s="13" t="n">
        <v>1</v>
      </c>
      <c r="F56" s="13" t="n">
        <v>5</v>
      </c>
      <c r="G56" s="13" t="n">
        <v>5</v>
      </c>
      <c r="H56" s="8" t="n">
        <v>8</v>
      </c>
      <c r="I56" s="8">
        <f>G56*H56</f>
        <v/>
      </c>
      <c r="J56" s="8">
        <f>H56/E56</f>
        <v/>
      </c>
      <c r="K56" s="8" t="n">
        <v>6.64</v>
      </c>
      <c r="L56" s="8" t="n">
        <v>6.23</v>
      </c>
      <c r="M56" s="8" t="n">
        <v>6.503333333333333</v>
      </c>
      <c r="N56" s="14">
        <f>J56/M56-1</f>
        <v/>
      </c>
      <c r="O56" s="14">
        <f>J56/K56-1</f>
        <v/>
      </c>
      <c r="P56" s="7" t="inlineStr">
        <is>
          <t>ACIMA +20.5%</t>
        </is>
      </c>
      <c r="Q56" s="7" t="inlineStr"/>
    </row>
    <row r="57">
      <c r="A57" s="7" t="n">
        <v>602011</v>
      </c>
      <c r="B57" s="7" t="inlineStr"/>
      <c r="C57" s="12" t="inlineStr">
        <is>
          <t>7896311773299</t>
        </is>
      </c>
      <c r="D57" s="7" t="inlineStr">
        <is>
          <t>PROTEIN CRISP BAR INTEGRAL DUO CRUNCH 45G/D12</t>
        </is>
      </c>
      <c r="E57" s="13" t="n">
        <v>1</v>
      </c>
      <c r="F57" s="13" t="n">
        <v>4</v>
      </c>
      <c r="G57" s="13" t="n">
        <v>4</v>
      </c>
      <c r="H57" s="8" t="n">
        <v>8</v>
      </c>
      <c r="I57" s="8">
        <f>G57*H57</f>
        <v/>
      </c>
      <c r="J57" s="8">
        <f>H57/E57</f>
        <v/>
      </c>
      <c r="K57" s="8" t="n">
        <v>6.64</v>
      </c>
      <c r="L57" s="8" t="n">
        <v>6.23</v>
      </c>
      <c r="M57" s="8" t="n">
        <v>6.503333333333333</v>
      </c>
      <c r="N57" s="14">
        <f>J57/M57-1</f>
        <v/>
      </c>
      <c r="O57" s="14">
        <f>J57/K57-1</f>
        <v/>
      </c>
      <c r="P57" s="7" t="inlineStr">
        <is>
          <t>ACIMA +20.5%</t>
        </is>
      </c>
      <c r="Q57" s="7" t="inlineStr"/>
    </row>
    <row r="58">
      <c r="A58" s="7" t="n">
        <v>602001</v>
      </c>
      <c r="B58" s="7" t="inlineStr"/>
      <c r="C58" s="12" t="inlineStr">
        <is>
          <t>7896311710300</t>
        </is>
      </c>
      <c r="D58" s="7" t="inlineStr">
        <is>
          <t>PROTEIN CRISP BAR INTEGRAL TRUFA AVELA 45G/D12</t>
        </is>
      </c>
      <c r="E58" s="13" t="n">
        <v>1</v>
      </c>
      <c r="F58" s="13" t="n">
        <v>1</v>
      </c>
      <c r="G58" s="13" t="n">
        <v>1</v>
      </c>
      <c r="H58" s="8" t="n">
        <v>8</v>
      </c>
      <c r="I58" s="8">
        <f>G58*H58</f>
        <v/>
      </c>
      <c r="J58" s="8">
        <f>H58/E58</f>
        <v/>
      </c>
      <c r="K58" s="8" t="n">
        <v>5.985</v>
      </c>
      <c r="L58" s="8" t="n">
        <v>5.985</v>
      </c>
      <c r="M58" s="8" t="n">
        <v>5.985</v>
      </c>
      <c r="N58" s="14">
        <f>J58/M58-1</f>
        <v/>
      </c>
      <c r="O58" s="14">
        <f>J58/K58-1</f>
        <v/>
      </c>
      <c r="P58" s="7" t="inlineStr">
        <is>
          <t>ACIMA +33.7%</t>
        </is>
      </c>
      <c r="Q58" s="7" t="inlineStr"/>
    </row>
    <row r="59">
      <c r="A59" s="7" t="n">
        <v>9203</v>
      </c>
      <c r="B59" s="7" t="inlineStr"/>
      <c r="C59" s="12" t="inlineStr">
        <is>
          <t>7896311775729</t>
        </is>
      </c>
      <c r="D59" s="7" t="inlineStr">
        <is>
          <t>PROTEIN CRISP INTEGRAL BROW CHOC 45G</t>
        </is>
      </c>
      <c r="E59" s="13" t="n">
        <v>1</v>
      </c>
      <c r="F59" s="13" t="n">
        <v>3</v>
      </c>
      <c r="G59" s="13" t="n">
        <v>3</v>
      </c>
      <c r="H59" s="8" t="n">
        <v>8</v>
      </c>
      <c r="I59" s="8">
        <f>G59*H59</f>
        <v/>
      </c>
      <c r="J59" s="8">
        <f>H59/E59</f>
        <v/>
      </c>
      <c r="K59" s="8" t="n">
        <v>6.64</v>
      </c>
      <c r="L59" s="8" t="n">
        <v>6.64</v>
      </c>
      <c r="M59" s="8" t="n">
        <v>6.64</v>
      </c>
      <c r="N59" s="14">
        <f>J59/M59-1</f>
        <v/>
      </c>
      <c r="O59" s="14">
        <f>J59/K59-1</f>
        <v/>
      </c>
      <c r="P59" s="7" t="inlineStr">
        <is>
          <t>ACIMA +20.5%</t>
        </is>
      </c>
      <c r="Q59" s="7" t="inlineStr"/>
    </row>
    <row r="60">
      <c r="A60" s="7" t="n">
        <v>672961</v>
      </c>
      <c r="B60" s="7" t="inlineStr"/>
      <c r="C60" s="12" t="inlineStr">
        <is>
          <t>7896311778041</t>
        </is>
      </c>
      <c r="D60" s="7" t="inlineStr">
        <is>
          <t>PROTEIN CRISP INTEGRAL OVOMALTIN 45G</t>
        </is>
      </c>
      <c r="E60" s="13" t="n">
        <v>1</v>
      </c>
      <c r="F60" s="13" t="n">
        <v>6</v>
      </c>
      <c r="G60" s="13" t="n">
        <v>6</v>
      </c>
      <c r="H60" s="8" t="n">
        <v>8</v>
      </c>
      <c r="I60" s="8">
        <f>G60*H60</f>
        <v/>
      </c>
      <c r="J60" s="8">
        <f>H60/E60</f>
        <v/>
      </c>
      <c r="K60" s="8" t="n">
        <v>8.050000000000001</v>
      </c>
      <c r="L60" s="8" t="n">
        <v>6.23</v>
      </c>
      <c r="M60" s="8" t="n">
        <v>6.973333333333334</v>
      </c>
      <c r="N60" s="14">
        <f>J60/M60-1</f>
        <v/>
      </c>
      <c r="O60" s="14">
        <f>J60/K60-1</f>
        <v/>
      </c>
      <c r="P60" s="7" t="inlineStr">
        <is>
          <t>OK (≤ últ. compra)</t>
        </is>
      </c>
      <c r="Q60" s="7" t="inlineStr"/>
    </row>
    <row r="61">
      <c r="A61" s="7" t="n">
        <v>646181</v>
      </c>
      <c r="B61" s="7" t="inlineStr"/>
      <c r="C61" s="12" t="inlineStr">
        <is>
          <t>7899941203211</t>
        </is>
      </c>
      <c r="D61" s="7" t="inlineStr">
        <is>
          <t>PV - HORUS MAX TITANIUM MACA VERDE POTE 150G</t>
        </is>
      </c>
      <c r="E61" s="13" t="n">
        <v>1</v>
      </c>
      <c r="F61" s="13" t="n">
        <v>1</v>
      </c>
      <c r="G61" s="13" t="n">
        <v>1</v>
      </c>
      <c r="H61" s="8" t="n">
        <v>59</v>
      </c>
      <c r="I61" s="8">
        <f>G61*H61</f>
        <v/>
      </c>
      <c r="J61" s="8">
        <f>H61/E61</f>
        <v/>
      </c>
      <c r="K61" s="8" t="n">
        <v>63.61</v>
      </c>
      <c r="L61" s="8" t="n">
        <v>63.61</v>
      </c>
      <c r="M61" s="8" t="n">
        <v>63.60999999999999</v>
      </c>
      <c r="N61" s="14">
        <f>J61/M61-1</f>
        <v/>
      </c>
      <c r="O61" s="14">
        <f>J61/K61-1</f>
        <v/>
      </c>
      <c r="P61" s="7" t="inlineStr">
        <is>
          <t>OK (≤ menor hist.)</t>
        </is>
      </c>
      <c r="Q61" s="7" t="inlineStr"/>
    </row>
    <row r="62">
      <c r="A62" s="7" t="n">
        <v>643331</v>
      </c>
      <c r="B62" s="7" t="inlineStr"/>
      <c r="C62" s="12" t="inlineStr">
        <is>
          <t>7899941202016</t>
        </is>
      </c>
      <c r="D62" s="7" t="inlineStr">
        <is>
          <t>REFIL 100% WHEY MAX TITANIUM BAUNILHA 900G</t>
        </is>
      </c>
      <c r="E62" s="13" t="n">
        <v>1</v>
      </c>
      <c r="F62" s="13" t="n">
        <v>1</v>
      </c>
      <c r="G62" s="13" t="n">
        <v>1</v>
      </c>
      <c r="H62" s="8" t="n">
        <v>139</v>
      </c>
      <c r="I62" s="8">
        <f>G62*H62</f>
        <v/>
      </c>
      <c r="J62" s="8">
        <f>H62/E62</f>
        <v/>
      </c>
      <c r="K62" s="8" t="n">
        <v>117.03</v>
      </c>
      <c r="L62" s="8" t="n">
        <v>101.11</v>
      </c>
      <c r="M62" s="8" t="n">
        <v>111.7233333333333</v>
      </c>
      <c r="N62" s="14">
        <f>J62/M62-1</f>
        <v/>
      </c>
      <c r="O62" s="14">
        <f>J62/K62-1</f>
        <v/>
      </c>
      <c r="P62" s="7" t="inlineStr">
        <is>
          <t>ACIMA +18.8%</t>
        </is>
      </c>
      <c r="Q62" s="7" t="inlineStr"/>
    </row>
    <row r="63">
      <c r="A63" s="7" t="n">
        <v>609371</v>
      </c>
      <c r="B63" s="7" t="inlineStr"/>
      <c r="C63" s="12" t="inlineStr">
        <is>
          <t>7899941201729</t>
        </is>
      </c>
      <c r="D63" s="7" t="inlineStr">
        <is>
          <t>REFIL 100% WHEY MAX TITANIUM CHOCOLATE 900G</t>
        </is>
      </c>
      <c r="E63" s="13" t="n">
        <v>1</v>
      </c>
      <c r="F63" s="13" t="n">
        <v>1</v>
      </c>
      <c r="G63" s="13" t="n">
        <v>1</v>
      </c>
      <c r="H63" s="8" t="n">
        <v>139</v>
      </c>
      <c r="I63" s="8">
        <f>G63*H63</f>
        <v/>
      </c>
      <c r="J63" s="8">
        <f>H63/E63</f>
        <v/>
      </c>
      <c r="K63" s="8" t="n">
        <v>125.03</v>
      </c>
      <c r="L63" s="8" t="n">
        <v>117.03</v>
      </c>
      <c r="M63" s="8" t="n">
        <v>119.6966666666667</v>
      </c>
      <c r="N63" s="14">
        <f>J63/M63-1</f>
        <v/>
      </c>
      <c r="O63" s="14">
        <f>J63/K63-1</f>
        <v/>
      </c>
      <c r="P63" s="7" t="inlineStr">
        <is>
          <t>ACIMA +11.2%</t>
        </is>
      </c>
      <c r="Q63" s="7" t="inlineStr"/>
    </row>
    <row r="64">
      <c r="A64" s="7" t="n">
        <v>618891</v>
      </c>
      <c r="B64" s="7" t="inlineStr"/>
      <c r="C64" s="12" t="inlineStr">
        <is>
          <t>7899941202023</t>
        </is>
      </c>
      <c r="D64" s="7" t="inlineStr">
        <is>
          <t>REFIL 100% WHEY MAX TITANIUM COOKIES E CREAM 900G</t>
        </is>
      </c>
      <c r="E64" s="13" t="n">
        <v>1</v>
      </c>
      <c r="F64" s="13" t="n">
        <v>1</v>
      </c>
      <c r="G64" s="13" t="n">
        <v>1</v>
      </c>
      <c r="H64" s="8" t="n">
        <v>139</v>
      </c>
      <c r="I64" s="8">
        <f>G64*H64</f>
        <v/>
      </c>
      <c r="J64" s="8">
        <f>H64/E64</f>
        <v/>
      </c>
      <c r="K64" s="8" t="n">
        <v>127.93</v>
      </c>
      <c r="L64" s="8" t="n">
        <v>101.11</v>
      </c>
      <c r="M64" s="8" t="n">
        <v>115.3566666666667</v>
      </c>
      <c r="N64" s="14">
        <f>J64/M64-1</f>
        <v/>
      </c>
      <c r="O64" s="14">
        <f>J64/K64-1</f>
        <v/>
      </c>
      <c r="P64" s="7" t="inlineStr">
        <is>
          <t>ACIMA +8.7%</t>
        </is>
      </c>
      <c r="Q64" s="7" t="inlineStr"/>
    </row>
    <row r="65">
      <c r="A65" s="7" t="n">
        <v>643321</v>
      </c>
      <c r="B65" s="7" t="inlineStr"/>
      <c r="C65" s="12" t="inlineStr">
        <is>
          <t>7899941201712</t>
        </is>
      </c>
      <c r="D65" s="7" t="inlineStr">
        <is>
          <t>REFIL 100% WHEY MAX TITANIUM MORANGO  900G</t>
        </is>
      </c>
      <c r="E65" s="13" t="n">
        <v>1</v>
      </c>
      <c r="F65" s="13" t="n">
        <v>2</v>
      </c>
      <c r="G65" s="13" t="n">
        <v>2</v>
      </c>
      <c r="H65" s="8" t="n">
        <v>139</v>
      </c>
      <c r="I65" s="8">
        <f>G65*H65</f>
        <v/>
      </c>
      <c r="J65" s="8">
        <f>H65/E65</f>
        <v/>
      </c>
      <c r="K65" s="8" t="n">
        <v>127.93</v>
      </c>
      <c r="L65" s="8" t="n">
        <v>101.11</v>
      </c>
      <c r="M65" s="8" t="n">
        <v>115.3566666666667</v>
      </c>
      <c r="N65" s="14">
        <f>J65/M65-1</f>
        <v/>
      </c>
      <c r="O65" s="14">
        <f>J65/K65-1</f>
        <v/>
      </c>
      <c r="P65" s="7" t="inlineStr">
        <is>
          <t>ACIMA +8.7%</t>
        </is>
      </c>
      <c r="Q65" s="7" t="inlineStr"/>
    </row>
    <row r="66">
      <c r="A66" s="7" t="n">
        <v>635411</v>
      </c>
      <c r="B66" s="7" t="inlineStr"/>
      <c r="C66" s="12" t="inlineStr">
        <is>
          <t>7896311775439</t>
        </is>
      </c>
      <c r="D66" s="7" t="inlineStr">
        <is>
          <t>REFIL CREAMASS INTEGRALMEDICA CHOCOLATE 3KG</t>
        </is>
      </c>
      <c r="E66" s="13" t="n">
        <v>1</v>
      </c>
      <c r="F66" s="13" t="n">
        <v>1</v>
      </c>
      <c r="G66" s="13" t="n">
        <v>1</v>
      </c>
      <c r="H66" s="8" t="n">
        <v>106</v>
      </c>
      <c r="I66" s="8">
        <f>G66*H66</f>
        <v/>
      </c>
      <c r="J66" s="8">
        <f>H66/E66</f>
        <v/>
      </c>
      <c r="K66" s="8" t="n">
        <v>106.26</v>
      </c>
      <c r="L66" s="8" t="n">
        <v>79.20999999999999</v>
      </c>
      <c r="M66" s="8" t="n">
        <v>89.10666666666667</v>
      </c>
      <c r="N66" s="14">
        <f>J66/M66-1</f>
        <v/>
      </c>
      <c r="O66" s="14">
        <f>J66/K66-1</f>
        <v/>
      </c>
      <c r="P66" s="7" t="inlineStr">
        <is>
          <t>OK (≤ últ. compra)</t>
        </is>
      </c>
      <c r="Q66" s="7" t="inlineStr"/>
    </row>
    <row r="67">
      <c r="A67" s="7" t="n">
        <v>661441</v>
      </c>
      <c r="B67" s="7" t="inlineStr"/>
      <c r="C67" s="12" t="inlineStr">
        <is>
          <t>7899598027420</t>
        </is>
      </c>
      <c r="D67" s="7" t="inlineStr">
        <is>
          <t>REFIL CREATINA FTW 1KG</t>
        </is>
      </c>
      <c r="E67" s="13" t="n">
        <v>1</v>
      </c>
      <c r="F67" s="13" t="n">
        <v>1</v>
      </c>
      <c r="G67" s="13" t="n">
        <v>1</v>
      </c>
      <c r="H67" s="8" t="n">
        <v>142</v>
      </c>
      <c r="I67" s="8">
        <f>G67*H67</f>
        <v/>
      </c>
      <c r="J67" s="8">
        <f>H67/E67</f>
        <v/>
      </c>
      <c r="K67" s="8" t="n">
        <v>113.16</v>
      </c>
      <c r="L67" s="8" t="n">
        <v>113.16</v>
      </c>
      <c r="M67" s="8" t="n">
        <v>113.16</v>
      </c>
      <c r="N67" s="14">
        <f>J67/M67-1</f>
        <v/>
      </c>
      <c r="O67" s="14">
        <f>J67/K67-1</f>
        <v/>
      </c>
      <c r="P67" s="7" t="inlineStr">
        <is>
          <t>ACIMA +25.5%</t>
        </is>
      </c>
      <c r="Q67" s="7" t="inlineStr"/>
    </row>
    <row r="68">
      <c r="A68" s="7" t="n">
        <v>673221</v>
      </c>
      <c r="B68" s="7" t="inlineStr"/>
      <c r="C68" s="12" t="inlineStr">
        <is>
          <t>7898708739987</t>
        </is>
      </c>
      <c r="D68" s="7" t="inlineStr">
        <is>
          <t>REFIL CREATINE TURBO BLACKSKULL 300G</t>
        </is>
      </c>
      <c r="E68" s="13" t="n">
        <v>1</v>
      </c>
      <c r="F68" s="13" t="n">
        <v>1</v>
      </c>
      <c r="G68" s="13" t="n">
        <v>1</v>
      </c>
      <c r="H68" s="8" t="n">
        <v>36</v>
      </c>
      <c r="I68" s="8">
        <f>G68*H68</f>
        <v/>
      </c>
      <c r="J68" s="8">
        <f>H68/E68</f>
        <v/>
      </c>
      <c r="K68" s="8" t="n">
        <v>32.63</v>
      </c>
      <c r="L68" s="8" t="n">
        <v>32.63</v>
      </c>
      <c r="M68" s="8" t="n">
        <v>32.63</v>
      </c>
      <c r="N68" s="14">
        <f>J68/M68-1</f>
        <v/>
      </c>
      <c r="O68" s="14">
        <f>J68/K68-1</f>
        <v/>
      </c>
      <c r="P68" s="7" t="inlineStr">
        <is>
          <t>ACIMA +10.3%</t>
        </is>
      </c>
      <c r="Q68" s="7" t="inlineStr"/>
    </row>
    <row r="69">
      <c r="A69" s="7" t="n">
        <v>661501</v>
      </c>
      <c r="B69" s="7" t="inlineStr"/>
      <c r="C69" s="12" t="inlineStr">
        <is>
          <t>7898626448343</t>
        </is>
      </c>
      <c r="D69" s="7" t="inlineStr">
        <is>
          <t>REFIL ISOLATE PROTEIN MIX PROFIT BAUNILHA 900G</t>
        </is>
      </c>
      <c r="E69" s="13" t="n">
        <v>1</v>
      </c>
      <c r="F69" s="13" t="n">
        <v>1</v>
      </c>
      <c r="G69" s="13" t="n">
        <v>1</v>
      </c>
      <c r="H69" s="8" t="n">
        <v>71</v>
      </c>
      <c r="I69" s="8">
        <f>G69*H69</f>
        <v/>
      </c>
      <c r="J69" s="8">
        <f>H69/E69</f>
        <v/>
      </c>
      <c r="K69" s="8" t="n">
        <v>71.40000000000001</v>
      </c>
      <c r="L69" s="8" t="n">
        <v>71.40000000000001</v>
      </c>
      <c r="M69" s="8" t="n">
        <v>71.40000000000001</v>
      </c>
      <c r="N69" s="14">
        <f>J69/M69-1</f>
        <v/>
      </c>
      <c r="O69" s="14">
        <f>J69/K69-1</f>
        <v/>
      </c>
      <c r="P69" s="7" t="inlineStr">
        <is>
          <t>OK (≤ menor hist.)</t>
        </is>
      </c>
      <c r="Q69" s="7" t="inlineStr"/>
    </row>
    <row r="70">
      <c r="A70" s="7" t="n">
        <v>630411</v>
      </c>
      <c r="B70" s="7" t="inlineStr"/>
      <c r="C70" s="12" t="inlineStr">
        <is>
          <t>7898938200660</t>
        </is>
      </c>
      <c r="D70" s="7" t="inlineStr">
        <is>
          <t>REFIL ISOLATE PROTEIN MIX PROFIT BAUNILHA 900G</t>
        </is>
      </c>
      <c r="E70" s="13" t="n">
        <v>1</v>
      </c>
      <c r="F70" s="13" t="n">
        <v>1</v>
      </c>
      <c r="G70" s="13" t="n">
        <v>1</v>
      </c>
      <c r="H70" s="8" t="n">
        <v>71</v>
      </c>
      <c r="I70" s="8">
        <f>G70*H70</f>
        <v/>
      </c>
      <c r="J70" s="8">
        <f>H70/E70</f>
        <v/>
      </c>
      <c r="K70" s="8" t="n">
        <v>58.81</v>
      </c>
      <c r="L70" s="8" t="n">
        <v>58.81</v>
      </c>
      <c r="M70" s="8" t="n">
        <v>58.81</v>
      </c>
      <c r="N70" s="14">
        <f>J70/M70-1</f>
        <v/>
      </c>
      <c r="O70" s="14">
        <f>J70/K70-1</f>
        <v/>
      </c>
      <c r="P70" s="7" t="inlineStr">
        <is>
          <t>ACIMA +20.7%</t>
        </is>
      </c>
      <c r="Q70" s="7" t="inlineStr"/>
    </row>
    <row r="71">
      <c r="A71" s="7" t="n">
        <v>30003</v>
      </c>
      <c r="B71" s="7" t="inlineStr"/>
      <c r="C71" s="12" t="inlineStr">
        <is>
          <t>7896311778072</t>
        </is>
      </c>
      <c r="D71" s="7" t="inlineStr">
        <is>
          <t>REFIL NUTRIWHEY INTEGRAL MORANGO 1,2KG</t>
        </is>
      </c>
      <c r="E71" s="13" t="n">
        <v>1</v>
      </c>
      <c r="F71" s="13" t="n">
        <v>3</v>
      </c>
      <c r="G71" s="13" t="n">
        <v>3</v>
      </c>
      <c r="H71" s="8" t="n">
        <v>85</v>
      </c>
      <c r="I71" s="8">
        <f>G71*H71</f>
        <v/>
      </c>
      <c r="J71" s="8">
        <f>H71/E71</f>
        <v/>
      </c>
      <c r="K71" s="8" t="n">
        <v>85.67</v>
      </c>
      <c r="L71" s="8" t="n">
        <v>85.67</v>
      </c>
      <c r="M71" s="8" t="n">
        <v>85.67</v>
      </c>
      <c r="N71" s="14">
        <f>J71/M71-1</f>
        <v/>
      </c>
      <c r="O71" s="14">
        <f>J71/K71-1</f>
        <v/>
      </c>
      <c r="P71" s="7" t="inlineStr">
        <is>
          <t>OK (≤ menor hist.)</t>
        </is>
      </c>
      <c r="Q71" s="7" t="inlineStr"/>
    </row>
    <row r="72">
      <c r="A72" s="7" t="n">
        <v>672971</v>
      </c>
      <c r="B72" s="7" t="inlineStr"/>
      <c r="C72" s="12" t="inlineStr">
        <is>
          <t>7896311761722</t>
        </is>
      </c>
      <c r="D72" s="7" t="inlineStr">
        <is>
          <t>REFIL WHEY 100% CHOCO 900G</t>
        </is>
      </c>
      <c r="E72" s="13" t="n">
        <v>1</v>
      </c>
      <c r="F72" s="13" t="n">
        <v>1</v>
      </c>
      <c r="G72" s="13" t="n">
        <v>1</v>
      </c>
      <c r="H72" s="8" t="n">
        <v>158</v>
      </c>
      <c r="I72" s="8">
        <f>G72*H72</f>
        <v/>
      </c>
      <c r="J72" s="8">
        <f>H72/E72</f>
        <v/>
      </c>
      <c r="K72" s="8" t="n">
        <v>126.46</v>
      </c>
      <c r="L72" s="8" t="n">
        <v>118.71</v>
      </c>
      <c r="M72" s="8" t="n">
        <v>123.8766666666667</v>
      </c>
      <c r="N72" s="14">
        <f>J72/M72-1</f>
        <v/>
      </c>
      <c r="O72" s="14">
        <f>J72/K72-1</f>
        <v/>
      </c>
      <c r="P72" s="7" t="inlineStr">
        <is>
          <t>ACIMA +24.9%</t>
        </is>
      </c>
      <c r="Q72" s="7" t="inlineStr"/>
    </row>
    <row r="73">
      <c r="A73" s="7" t="n">
        <v>597491</v>
      </c>
      <c r="B73" s="7" t="inlineStr"/>
      <c r="C73" s="12" t="inlineStr">
        <is>
          <t>7896311761708</t>
        </is>
      </c>
      <c r="D73" s="7" t="inlineStr">
        <is>
          <t>REFIL WHEY 100% INTEGRALMEDICA BAUNILHA 907G</t>
        </is>
      </c>
      <c r="E73" s="13" t="n">
        <v>1</v>
      </c>
      <c r="F73" s="13" t="n">
        <v>1</v>
      </c>
      <c r="G73" s="13" t="n">
        <v>1</v>
      </c>
      <c r="H73" s="8" t="n">
        <v>158</v>
      </c>
      <c r="I73" s="8">
        <f>G73*H73</f>
        <v/>
      </c>
      <c r="J73" s="8">
        <f>H73/E73</f>
        <v/>
      </c>
      <c r="K73" s="8" t="n">
        <v>136.08</v>
      </c>
      <c r="L73" s="8" t="n">
        <v>118.71</v>
      </c>
      <c r="M73" s="8" t="n">
        <v>127.0833333333333</v>
      </c>
      <c r="N73" s="14">
        <f>J73/M73-1</f>
        <v/>
      </c>
      <c r="O73" s="14">
        <f>J73/K73-1</f>
        <v/>
      </c>
      <c r="P73" s="7" t="inlineStr">
        <is>
          <t>ACIMA +16.1%</t>
        </is>
      </c>
      <c r="Q73" s="7" t="inlineStr"/>
    </row>
    <row r="74">
      <c r="A74" s="7" t="n">
        <v>597481</v>
      </c>
      <c r="B74" s="7" t="inlineStr"/>
      <c r="C74" s="12" t="inlineStr">
        <is>
          <t>7896311767397</t>
        </is>
      </c>
      <c r="D74" s="7" t="inlineStr">
        <is>
          <t>REFIL WHEY 100% INTEGRALMEDICA COOKIES 907G</t>
        </is>
      </c>
      <c r="E74" s="13" t="n">
        <v>1</v>
      </c>
      <c r="F74" s="13" t="n">
        <v>1</v>
      </c>
      <c r="G74" s="13" t="n">
        <v>1</v>
      </c>
      <c r="H74" s="8" t="n">
        <v>158</v>
      </c>
      <c r="I74" s="8">
        <f>G74*H74</f>
        <v/>
      </c>
      <c r="J74" s="8">
        <f>H74/E74</f>
        <v/>
      </c>
      <c r="K74" s="8" t="n">
        <v>136.08</v>
      </c>
      <c r="L74" s="8" t="n">
        <v>118.71</v>
      </c>
      <c r="M74" s="8" t="n">
        <v>127.0833333333333</v>
      </c>
      <c r="N74" s="14">
        <f>J74/M74-1</f>
        <v/>
      </c>
      <c r="O74" s="14">
        <f>J74/K74-1</f>
        <v/>
      </c>
      <c r="P74" s="7" t="inlineStr">
        <is>
          <t>ACIMA +16.1%</t>
        </is>
      </c>
      <c r="Q74" s="7" t="inlineStr"/>
    </row>
    <row r="75">
      <c r="A75" s="7" t="n">
        <v>638351</v>
      </c>
      <c r="B75" s="7" t="inlineStr"/>
      <c r="C75" s="12" t="inlineStr">
        <is>
          <t>7896311761715</t>
        </is>
      </c>
      <c r="D75" s="7" t="inlineStr">
        <is>
          <t>REFIL WHEY 100% INTEGRALMEDICA MORANGO 907G</t>
        </is>
      </c>
      <c r="E75" s="13" t="n">
        <v>1</v>
      </c>
      <c r="F75" s="13" t="n">
        <v>1</v>
      </c>
      <c r="G75" s="13" t="n">
        <v>1</v>
      </c>
      <c r="H75" s="8" t="n">
        <v>158</v>
      </c>
      <c r="I75" s="8">
        <f>G75*H75</f>
        <v/>
      </c>
      <c r="J75" s="8">
        <f>H75/E75</f>
        <v/>
      </c>
      <c r="K75" s="8" t="n">
        <v>126.46</v>
      </c>
      <c r="L75" s="8" t="n">
        <v>119.54</v>
      </c>
      <c r="M75" s="8" t="n">
        <v>124.1533333333333</v>
      </c>
      <c r="N75" s="14">
        <f>J75/M75-1</f>
        <v/>
      </c>
      <c r="O75" s="14">
        <f>J75/K75-1</f>
        <v/>
      </c>
      <c r="P75" s="7" t="inlineStr">
        <is>
          <t>ACIMA +24.9%</t>
        </is>
      </c>
      <c r="Q75" s="7" t="inlineStr"/>
    </row>
    <row r="76">
      <c r="A76" s="7" t="n">
        <v>29703</v>
      </c>
      <c r="B76" s="7" t="inlineStr"/>
      <c r="C76" s="12" t="inlineStr">
        <is>
          <t>7898626449623</t>
        </is>
      </c>
      <c r="D76" s="7" t="inlineStr">
        <is>
          <t>RF ISOLATE PROTEIN MIX PROFIT LEITE 900G</t>
        </is>
      </c>
      <c r="E76" s="13" t="n">
        <v>1</v>
      </c>
      <c r="F76" s="13" t="n">
        <v>2</v>
      </c>
      <c r="G76" s="13" t="n">
        <v>2</v>
      </c>
      <c r="H76" s="8" t="n">
        <v>71</v>
      </c>
      <c r="I76" s="8">
        <f>G76*H76</f>
        <v/>
      </c>
      <c r="J76" s="8">
        <f>H76/E76</f>
        <v/>
      </c>
      <c r="K76" s="8" t="n">
        <v>71.40000000000001</v>
      </c>
      <c r="L76" s="8" t="n">
        <v>71.40000000000001</v>
      </c>
      <c r="M76" s="8" t="n">
        <v>71.40000000000001</v>
      </c>
      <c r="N76" s="14">
        <f>J76/M76-1</f>
        <v/>
      </c>
      <c r="O76" s="14">
        <f>J76/K76-1</f>
        <v/>
      </c>
      <c r="P76" s="7" t="inlineStr">
        <is>
          <t>OK (≤ menor hist.)</t>
        </is>
      </c>
      <c r="Q76" s="7" t="inlineStr"/>
    </row>
    <row r="77">
      <c r="A77" s="7" t="n">
        <v>661461</v>
      </c>
      <c r="B77" s="7" t="inlineStr"/>
      <c r="C77" s="12" t="inlineStr">
        <is>
          <t>7898708731516</t>
        </is>
      </c>
      <c r="D77" s="7" t="inlineStr">
        <is>
          <t>THERMO FLAME CAVEIRAPRETA 120 TABLETES</t>
        </is>
      </c>
      <c r="E77" s="13" t="n">
        <v>1</v>
      </c>
      <c r="F77" s="13" t="n">
        <v>1</v>
      </c>
      <c r="G77" s="13" t="n">
        <v>1</v>
      </c>
      <c r="H77" s="8" t="n">
        <v>22</v>
      </c>
      <c r="I77" s="8">
        <f>G77*H77</f>
        <v/>
      </c>
      <c r="J77" s="8">
        <f>H77/E77</f>
        <v/>
      </c>
      <c r="K77" s="8" t="n">
        <v>39.65</v>
      </c>
      <c r="L77" s="8" t="n">
        <v>39.65</v>
      </c>
      <c r="M77" s="8" t="n">
        <v>39.65</v>
      </c>
      <c r="N77" s="14">
        <f>J77/M77-1</f>
        <v/>
      </c>
      <c r="O77" s="14">
        <f>J77/K77-1</f>
        <v/>
      </c>
      <c r="P77" s="7" t="inlineStr">
        <is>
          <t>OK (≤ menor hist.)</t>
        </is>
      </c>
      <c r="Q77" s="7" t="inlineStr"/>
    </row>
    <row r="78">
      <c r="A78" s="7" t="n">
        <v>655901</v>
      </c>
      <c r="B78" s="7" t="inlineStr"/>
      <c r="C78" s="12" t="inlineStr">
        <is>
          <t>7898708732278</t>
        </is>
      </c>
      <c r="D78" s="7" t="inlineStr">
        <is>
          <t>WHEY 100% HD CAVEIRAPRETA CHOCOLATE 900G</t>
        </is>
      </c>
      <c r="E78" s="13" t="n">
        <v>1</v>
      </c>
      <c r="F78" s="13" t="n">
        <v>1</v>
      </c>
      <c r="G78" s="13" t="n">
        <v>1</v>
      </c>
      <c r="H78" s="8" t="n">
        <v>146</v>
      </c>
      <c r="I78" s="8">
        <f>G78*H78</f>
        <v/>
      </c>
      <c r="J78" s="8">
        <f>H78/E78</f>
        <v/>
      </c>
      <c r="K78" s="8" t="n">
        <v>96.51000000000001</v>
      </c>
      <c r="L78" s="8" t="n">
        <v>96.51000000000001</v>
      </c>
      <c r="M78" s="8" t="n">
        <v>96.51000000000001</v>
      </c>
      <c r="N78" s="14">
        <f>J78/M78-1</f>
        <v/>
      </c>
      <c r="O78" s="14">
        <f>J78/K78-1</f>
        <v/>
      </c>
      <c r="P78" s="7" t="inlineStr">
        <is>
          <t>ACIMA +51.3%</t>
        </is>
      </c>
      <c r="Q78" s="7" t="inlineStr"/>
    </row>
    <row r="79">
      <c r="A79" s="7" t="n">
        <v>638361</v>
      </c>
      <c r="B79" s="7" t="inlineStr"/>
      <c r="C79" s="12" t="inlineStr">
        <is>
          <t>7898708733596</t>
        </is>
      </c>
      <c r="D79" s="7" t="inlineStr">
        <is>
          <t>WHEY 100% HD CAVEIRAPRETA COOKIES CREAM 900G</t>
        </is>
      </c>
      <c r="E79" s="13" t="n">
        <v>1</v>
      </c>
      <c r="F79" s="13" t="n">
        <v>1</v>
      </c>
      <c r="G79" s="13" t="n">
        <v>1</v>
      </c>
      <c r="H79" s="8" t="n">
        <v>146</v>
      </c>
      <c r="I79" s="8">
        <f>G79*H79</f>
        <v/>
      </c>
      <c r="J79" s="8">
        <f>H79/E79</f>
        <v/>
      </c>
      <c r="K79" s="8" t="n">
        <v>96.51000000000001</v>
      </c>
      <c r="L79" s="8" t="n">
        <v>96.51000000000001</v>
      </c>
      <c r="M79" s="8" t="n">
        <v>96.51000000000001</v>
      </c>
      <c r="N79" s="14">
        <f>J79/M79-1</f>
        <v/>
      </c>
      <c r="O79" s="14">
        <f>J79/K79-1</f>
        <v/>
      </c>
      <c r="P79" s="7" t="inlineStr">
        <is>
          <t>ACIMA +51.3%</t>
        </is>
      </c>
      <c r="Q79" s="7" t="inlineStr"/>
    </row>
    <row r="80">
      <c r="A80" s="7" t="n">
        <v>638371</v>
      </c>
      <c r="B80" s="7" t="inlineStr"/>
      <c r="C80" s="12" t="inlineStr">
        <is>
          <t>7898708732261</t>
        </is>
      </c>
      <c r="D80" s="7" t="inlineStr">
        <is>
          <t>WHEY 100% HD CAVEIRAPRETA MORANGO 900G</t>
        </is>
      </c>
      <c r="E80" s="13" t="n">
        <v>1</v>
      </c>
      <c r="F80" s="13" t="n">
        <v>1</v>
      </c>
      <c r="G80" s="13" t="n">
        <v>1</v>
      </c>
      <c r="H80" s="8" t="n">
        <v>146</v>
      </c>
      <c r="I80" s="8">
        <f>G80*H80</f>
        <v/>
      </c>
      <c r="J80" s="8">
        <f>H80/E80</f>
        <v/>
      </c>
      <c r="K80" s="8" t="n">
        <v>96.51000000000001</v>
      </c>
      <c r="L80" s="8" t="n">
        <v>96.51000000000001</v>
      </c>
      <c r="M80" s="8" t="n">
        <v>96.51000000000001</v>
      </c>
      <c r="N80" s="14">
        <f>J80/M80-1</f>
        <v/>
      </c>
      <c r="O80" s="14">
        <f>J80/K80-1</f>
        <v/>
      </c>
      <c r="P80" s="7" t="inlineStr">
        <is>
          <t>ACIMA +51.3%</t>
        </is>
      </c>
      <c r="Q80" s="7" t="inlineStr"/>
    </row>
    <row r="81">
      <c r="A81" s="7" t="n">
        <v>597441</v>
      </c>
      <c r="B81" s="7" t="inlineStr"/>
      <c r="C81" s="12" t="inlineStr">
        <is>
          <t>7896311709984</t>
        </is>
      </c>
      <c r="D81" s="7" t="inlineStr">
        <is>
          <t>WHEY 100% PURE INTEGRALMEDICA BAUNILHA PT 900G</t>
        </is>
      </c>
      <c r="E81" s="13" t="n">
        <v>1</v>
      </c>
      <c r="F81" s="13" t="n">
        <v>1</v>
      </c>
      <c r="G81" s="13" t="n">
        <v>1</v>
      </c>
      <c r="H81" s="8" t="n">
        <v>164</v>
      </c>
      <c r="I81" s="8">
        <f>G81*H81</f>
        <v/>
      </c>
      <c r="J81" s="8">
        <f>H81/E81</f>
        <v/>
      </c>
      <c r="K81" s="8" t="n">
        <v>141.71</v>
      </c>
      <c r="L81" s="8" t="n">
        <v>124.11</v>
      </c>
      <c r="M81" s="8" t="n">
        <v>135.8433333333333</v>
      </c>
      <c r="N81" s="14">
        <f>J81/M81-1</f>
        <v/>
      </c>
      <c r="O81" s="14">
        <f>J81/K81-1</f>
        <v/>
      </c>
      <c r="P81" s="7" t="inlineStr">
        <is>
          <t>ACIMA +15.7%</t>
        </is>
      </c>
      <c r="Q81" s="7" t="inlineStr"/>
    </row>
    <row r="82">
      <c r="A82" s="7" t="n">
        <v>606031</v>
      </c>
      <c r="B82" s="7" t="inlineStr"/>
      <c r="C82" s="12" t="inlineStr">
        <is>
          <t>7896311709991</t>
        </is>
      </c>
      <c r="D82" s="7" t="inlineStr">
        <is>
          <t>WHEY 100% PURE INTEGRALMEDICA CHOCOLATE PT 907G</t>
        </is>
      </c>
      <c r="E82" s="13" t="n">
        <v>1</v>
      </c>
      <c r="F82" s="13" t="n">
        <v>1</v>
      </c>
      <c r="G82" s="13" t="n">
        <v>1</v>
      </c>
      <c r="H82" s="8" t="n">
        <v>164</v>
      </c>
      <c r="I82" s="8">
        <f>G82*H82</f>
        <v/>
      </c>
      <c r="J82" s="8">
        <f>H82/E82</f>
        <v/>
      </c>
      <c r="K82" s="8" t="n">
        <v>141.71</v>
      </c>
      <c r="L82" s="8" t="n">
        <v>124.11</v>
      </c>
      <c r="M82" s="8" t="n">
        <v>135.8433333333333</v>
      </c>
      <c r="N82" s="14">
        <f>J82/M82-1</f>
        <v/>
      </c>
      <c r="O82" s="14">
        <f>J82/K82-1</f>
        <v/>
      </c>
      <c r="P82" s="7" t="inlineStr">
        <is>
          <t>ACIMA +15.7%</t>
        </is>
      </c>
      <c r="Q82" s="7" t="inlineStr"/>
    </row>
    <row r="83">
      <c r="A83" s="7" t="n">
        <v>635351</v>
      </c>
      <c r="B83" s="7" t="inlineStr"/>
      <c r="C83" s="12" t="inlineStr">
        <is>
          <t>7896311710010</t>
        </is>
      </c>
      <c r="D83" s="7" t="inlineStr">
        <is>
          <t>WHEY 100% PURE INTEGRALMEDICA MORANGO PT 900G</t>
        </is>
      </c>
      <c r="E83" s="13" t="n">
        <v>1</v>
      </c>
      <c r="F83" s="13" t="n">
        <v>1</v>
      </c>
      <c r="G83" s="13" t="n">
        <v>1</v>
      </c>
      <c r="H83" s="8" t="n">
        <v>164</v>
      </c>
      <c r="I83" s="8">
        <f>G83*H83</f>
        <v/>
      </c>
      <c r="J83" s="8">
        <f>H83/E83</f>
        <v/>
      </c>
      <c r="K83" s="8" t="n">
        <v>124.11</v>
      </c>
      <c r="L83" s="8" t="n">
        <v>124.11</v>
      </c>
      <c r="M83" s="8" t="n">
        <v>124.11</v>
      </c>
      <c r="N83" s="14">
        <f>J83/M83-1</f>
        <v/>
      </c>
      <c r="O83" s="14">
        <f>J83/K83-1</f>
        <v/>
      </c>
      <c r="P83" s="7" t="inlineStr">
        <is>
          <t>ACIMA +32.1%</t>
        </is>
      </c>
      <c r="Q83" s="7" t="inlineStr"/>
    </row>
    <row r="84">
      <c r="D84" s="5" t="inlineStr">
        <is>
          <t>TOTAL</t>
        </is>
      </c>
      <c r="I84" s="18">
        <f>SUM(I2:I83)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2026-09-09T12:51:15Z</dcterms:created>
  <dcterms:modified xsi:type="dcterms:W3CDTF">2026-09-09T12:51:21Z</dcterms:modified>
</cp:coreProperties>
</file>